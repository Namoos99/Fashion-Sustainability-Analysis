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e FTI" sheetId="1" r:id="rId4"/>
    <sheet state="visible" name="Instructions" sheetId="2" r:id="rId5"/>
    <sheet state="visible" name="Questionnaire" sheetId="3" r:id="rId6"/>
  </sheets>
  <definedNames/>
  <calcPr/>
  <extLst>
    <ext uri="GoogleSheetsCustomDataVersion2">
      <go:sheetsCustomData xmlns:go="http://customooxmlschemas.google.com/" r:id="rId7" roundtripDataChecksum="JES4vhqfDgun8Px5z9QsxtbXfLlA1vOU0vibdfxFRAA="/>
    </ext>
  </extLst>
</workbook>
</file>

<file path=xl/sharedStrings.xml><?xml version="1.0" encoding="utf-8"?>
<sst xmlns="http://schemas.openxmlformats.org/spreadsheetml/2006/main" count="891" uniqueCount="487">
  <si>
    <t>FASHION TRANSPARENCY INDEX 2023</t>
  </si>
  <si>
    <t>About the Fashion Transparency Index</t>
  </si>
  <si>
    <t>Our approach to transparency</t>
  </si>
  <si>
    <r>
      <rPr>
        <rFont val="Arial"/>
        <color theme="1"/>
        <sz val="15.0"/>
      </rPr>
      <t xml:space="preserve">The Fashion Transparency Index reviews and ranks 250 of the biggest global fashion brands and retailers according to how much they disclose about their social and environmental policies, practices and impact. Brands have been chosen on the basis of their annual turnover, over $400 million USD and representing a spread of market segments including high street, luxury, sportswear, accessories, footwear and denim from across Europe, North America, South America, Asia and Africa. 
The methodology has been designed by the Fashion Revolution team with consultative input from a committee of more than 20 pro bono industry experts and organisations, including but not limited to:
  • Dr Mark Anner, Associate Professor &amp; Director of the Center for Global Workers' Rights at Penn State University
 • Neil Brown, Partner and Fund Manager at Liontrust Asset Management
 • Gary Cook, Global Climate Campaigns Director at Stand.earth
 • Subindu Garkhel, Cotton and Textiles Lead at The Fairtrade Foundation
 • Fiona Gooch, Senior Private Sector Policy Advisor at Transform Trade
 • Christina Hajagos-Clausen, Textile and Garment Industry Director at IndustriALL Global Union
 • Kristian Hardiman, Head of Ratings at Good On You
 • David Hachfeld, Clean Clothes Campaign Specialist at Public Eye 
 • Aruna Kashyap, Senior Counsel at Human Rights Watch
 • Kate Larsen, Business &amp; Human Rights Consultant
 • Hester Le Roux, Senior Economic Advisor, Policy &amp; Advocacy at CARE International
 • Emily MacIntosh, Policy Officer for Textiles at European Environmental Bureau
 • Maya Rommwatt, Fashion Climate Campaigner at Stand.earth
 • Francois Souchet, Make Fashion Circular Lead at Ellen MacArthur Foundation
 • Joe Sutcliffe, Senior Advisor, Dignified Work at CARE International
 • Urska Trunk, Campaign Advisor at Changing Markets
 • Nusa Urbanic, Campaigns Director, Changing Markets
 • George Harding-Rolls, Campaign Manager, Changing Markets 
 • Ben Vanpeperstraete, Supply Chain Consultant
 • Frank Michel, Executive Director, ZDHC
 • Klaas Nuttbohm, Implementation Director, ZDHC
 • Olivia Windham Stewart, Business and Human Rights Specialist
 • Katie Shaw, Chief Programme Officer, Open Apparel Registry 
 • Pauline Op De Beeck, Head of Sales, Europe – Apparel Sector Lead, Carbon Trust 
 • Laura Balmond, Lead - Make Fashion Circular, Ellen Macarthur Foundation 
 • Anna Bryher, Director of Advocacy, Labour Behind the Label
 • Chloe Rollscane, Researcher, Canopy Global 
 • Holly Syrett, Global Fashion Agenda 
 • Alessandra Mezzadri, Senior Lecturer in Development Studies Department of Development Studies, SOAS
 • Rohan Preece, Business and Human Rights Manager, Traidcraft India
 • Kratika Choubey, Associate Manager of Business and Human Rights, Traidcraft India
 • Hidden Homeworkers Project
 • Louise Nicholls, Managing Director, Suseco Limited
 • Kaarina Kolle, Clean Energy Demand Programme Manager, European Climate Foundation Manager
 • Joseph Zacune, Consultant
</t>
    </r>
    <r>
      <rPr>
        <rFont val="Arial"/>
        <color theme="1"/>
        <sz val="12.0"/>
      </rPr>
      <t xml:space="preserve">
</t>
    </r>
  </si>
  <si>
    <r>
      <rPr>
        <rFont val="Arial"/>
        <sz val="15.0"/>
      </rPr>
      <t>For Fashion Revolution, transparency means public disclosure of credible, comprehensive and comparable data on a company's social and environmental policies, commitments, practices and impacts across its value chain. Disclosing key supplier, supply chain and operational information can bring significant benefits to businesses, drive better outcomes for workers and make it easier for consumers to know more about the products they buy.</t>
    </r>
    <r>
      <rPr>
        <rFont val="Arial"/>
        <sz val="12.0"/>
      </rPr>
      <t xml:space="preserve">
</t>
    </r>
    <r>
      <rPr>
        <rFont val="Arial"/>
        <sz val="15.0"/>
      </rPr>
      <t xml:space="preserve"> 
When companies publish information about their supply chains and business practices it helps NGOs, unions, local communities and even workers themselves to more swiftly alert brands to human rights and environmental issues. This in turn helps companies to mitigate risks and drive improvements faster. Transparency can also help the company keep track of any unauthorised suppliers being used to make its products, which also makes it easier to manage risks that might lead to human rights and environmental abuses. 
We believe that transparency enables accountability and drives short-term improvements and long-term positive change.
Transparency can also help build customer trust and enhance the brand's reputation. Consumers are increasingly interested in the human and environmental impact of what they buy and are seeking out ways to be able to make more informed purchases. Since Fashion Revolution launched, we have seen a significant increase in people all around the world asking the brands they buy: "Who Made my Clothes?"
</t>
    </r>
    <r>
      <rPr>
        <rFont val="Arial"/>
        <b/>
        <color rgb="FF000000"/>
        <sz val="15.0"/>
        <u/>
      </rPr>
      <t>Read last year's Fashion Transparency Index here:</t>
    </r>
    <r>
      <rPr>
        <rFont val="Arial"/>
        <color rgb="FF000000"/>
        <sz val="15.0"/>
        <u/>
      </rPr>
      <t xml:space="preserve">
 </t>
    </r>
    <r>
      <rPr>
        <rFont val="Arial"/>
        <color rgb="FF1155CC"/>
        <sz val="15.0"/>
        <u/>
      </rPr>
      <t>https://www.fashionrevolution.org/transparency</t>
    </r>
  </si>
  <si>
    <t>About the scope of the research</t>
  </si>
  <si>
    <t>About the methodology</t>
  </si>
  <si>
    <t>The Fashion Transparency Index has been designed to give an illustrative look at how much brands know and share about the human rights and environmental impacts across their value chains. The Fashion Transparency Index reviews publicly disclosed information/data on major brands' policies, procedures, performance and progress on human rights and environmental issues across the value chain. 
We have deliberately chosen to focus specifically on transparency by means of public disclosure and not everything that brands and retailers are doing internally and behind the scenes across their companies and supply chains. If the information and data disclosed by brands is publicly available, detailed and specific enough, it can be used by multiple stakeholders, including brands themselves, to drive positive change on human rights and environmental issues. Limited and inward-facing disclosure enables limited scope for transformative impact. This is why we are looking for disclosure not only on brands’ policies, procedures and governance, which is perhaps easier or less risky to share, but also meaningful disclosure of performance, progress and impact information across the business and its value chain.
As such, the Fashion Transparency Index does not offer an in-depth analysis of the content, quality, authenticity or accuracy of brands' policies, procedures, performance and progress in any given area. Verification of claims made by brands and retailers is beyond the scope of this research. 
 We have designed the methodology to provide insights that:
 • Reveal patterns of transparent disclosure;
 • Identify emerging themes and trends in industry transparency;
 • Allow anyone to see where brands stand on transparency compared to their peers;
 • Can be used as year-on-year comparison to track progress over time.</t>
  </si>
  <si>
    <r>
      <rPr>
        <rFont val="Arial"/>
        <color theme="1"/>
        <sz val="15.0"/>
      </rPr>
      <t>The Fashion Transparency Index uses a ratings methodology to benchmark brands' disclosure across five key areas, including: policy and commitments, governance, traceability, supplier assessment and remediation, and 'spotlight issues' covering climate change, gender equality and female empowerment, and decent work and purchasing practices topics.</t>
    </r>
    <r>
      <rPr>
        <rFont val="Arial"/>
        <color theme="1"/>
        <sz val="12.0"/>
      </rPr>
      <t xml:space="preserve">
</t>
    </r>
    <r>
      <rPr>
        <rFont val="Arial"/>
        <color theme="1"/>
        <sz val="15.0"/>
      </rPr>
      <t xml:space="preserve"> 
We award points only for information/data that has been publicly disclosed on the brand or parent company's own website. Information/data must be publicly available from one the following places:
 • On the brand or parent company’s website;
 • Sustainability/CR microsite, provided there is a direct web link to it from the main brand or parent company website;
 • In annual reports or annual sustainability/CSR reports (only counted if dated January 2021 or later) published on the brand or parent company website;
 • In any other documents which are publicly available and can be downloaded freely from the brands' website; or
 • Via external, third party websites but only when there is a direct web link from the brand or parent company's website to the third party website (e.g. Bangladesh Accord, Better Work, CDP, FLA, ETI, BSCI/amfori websites) where specific disclosures can be found.
Brands must provide at least one web link for all disclosure in order to receive full points. You are welcome to include additional weblinks in column M.
Weighting of the scores:
The weighting of the scores is intended to emphasize increasing levels of detailed information/data disclosure. Essentially, we are rewarding granularity. We also give more weight to information/data that enables scrutiny and accountability - in other words, by providing the means for external stakeholders to meaningfully use that information.
The methodology is based on existing international standards and benchmarks such as: SDG's, ETI Base Code, UNGPs, OECD Due Diligence Guidelines, Fair Labor Association’s Freedom of Association guidelines, among others. It has also been developed to align with other industry benchmarks and relevant initiatives including the Transparency Pledge, Corporate Human Rights Benchmark, Know The Chain and the Open Data Standard.</t>
    </r>
  </si>
  <si>
    <t>More about Fashion Revolution</t>
  </si>
  <si>
    <t>Selected press coverage for the 2022 Index</t>
  </si>
  <si>
    <r>
      <rPr>
        <rFont val="Arial"/>
        <color rgb="FF000000"/>
        <sz val="15.0"/>
        <u/>
      </rPr>
      <t>Fashion Revolution works towards a vision of a fashion industry that conserves and restores the environment and values people over growth and profit.
Founded in 2014 in response to the Rana Plaza disaster in Bangladesh, understanding the need for greater industry transparency, Fashion Revolution has become the world’s largest fashion activism movement. We mobilise citizens, industry and policy makers through research, education and advocacy in order to demand greater transparency and systemic, structural change that benefits the people who make our clothes, the public and the living planet.</t>
    </r>
    <r>
      <rPr>
        <rFont val="Arial"/>
        <color rgb="FF000000"/>
        <sz val="12.0"/>
        <u/>
      </rPr>
      <t xml:space="preserve">
</t>
    </r>
    <r>
      <rPr>
        <rFont val="Arial"/>
        <color rgb="FF000000"/>
        <sz val="15.0"/>
        <u/>
      </rPr>
      <t xml:space="preserve">Our annual Fashion Revolution Week is taking place between 22nd - 29th April 2023 and involves a large social media campaign (in 2022, 5.8 million people were reached on Fashion Revolution's social media with 181k+ people engaging with Fashion Revolution directly on social media, over 800+ press mentions with a reach of 4.8 million, 33k+ impressions of our Fashion Revolution Get Involved Guides, and 10.7k+ thousand attendees of our online events.) During Fashion Revolution Week 2023, we are bringing people together across our global network of fashion revolutionaries in 88 countries to build a vision for radical change in the fashion industry.
</t>
    </r>
    <r>
      <rPr>
        <rFont val="Arial"/>
        <b/>
        <color rgb="FF000000"/>
        <sz val="15.0"/>
        <u/>
      </rPr>
      <t>Read more about our impact here:</t>
    </r>
    <r>
      <rPr>
        <rFont val="Arial"/>
        <color rgb="FF000000"/>
        <sz val="15.0"/>
        <u/>
      </rPr>
      <t xml:space="preserve">
https://www.fashionrevolution.org/impact/</t>
    </r>
    <r>
      <rPr>
        <rFont val="Arial"/>
        <color rgb="FF000000"/>
        <sz val="12.0"/>
        <u/>
      </rPr>
      <t xml:space="preserve">
</t>
    </r>
  </si>
  <si>
    <r>
      <rPr>
        <rFont val="Arial"/>
        <b/>
        <color rgb="FF0000FF"/>
        <sz val="12.0"/>
        <u/>
      </rPr>
      <t xml:space="preserve">
</t>
    </r>
    <r>
      <rPr>
        <rFont val="Arial"/>
        <b/>
        <color rgb="FF0000FF"/>
        <sz val="15.0"/>
        <u/>
      </rPr>
      <t xml:space="preserve">
Business of Fashion - Fashion’s Transparency Efforts Fall Short on Fundamental Data Points</t>
    </r>
    <r>
      <rPr>
        <rFont val="Arial"/>
        <b val="0"/>
        <color rgb="FF000000"/>
        <sz val="15.0"/>
        <u/>
      </rPr>
      <t xml:space="preserve">
</t>
    </r>
    <r>
      <rPr>
        <rFont val="Arial"/>
        <b val="0"/>
        <color rgb="FF0000FF"/>
        <sz val="15.0"/>
        <u/>
      </rPr>
      <t>https://www.businessoffashion.com/articles/sustainability/fashions-transparency-efforts-fall-short-on-fundamental-data-points/?utm_source=newsletter_dailydigest&amp;utm_medium=email&amp;utm_campaign=Daily_Digest_140722&amp;utm_content=intro</t>
    </r>
    <r>
      <rPr>
        <rFont val="Arial"/>
        <b/>
        <color rgb="FF0000FF"/>
        <sz val="15.0"/>
        <u/>
      </rPr>
      <t xml:space="preserve">
British Vogue - We Still Don’t Have Enough Transparency In Fashion</t>
    </r>
    <r>
      <rPr>
        <rFont val="Arial"/>
        <b val="0"/>
        <color rgb="FF0000FF"/>
        <sz val="15.0"/>
        <u/>
      </rPr>
      <t xml:space="preserve">
https://news.sky.com/story/most-uk-fashion-brands-moving-too-slow-on-transparency-over-ethical-practices-report-12357137
</t>
    </r>
    <r>
      <rPr>
        <rFont val="Arial"/>
        <b/>
        <color rgb="FF0000FF"/>
        <sz val="15.0"/>
        <u/>
      </rPr>
      <t>Vogue Business - Fashion is making little progress on transparency when it’s the ‘bare minimum’</t>
    </r>
    <r>
      <rPr>
        <rFont val="Arial"/>
        <b val="0"/>
        <color rgb="FF0000FF"/>
        <sz val="15.0"/>
        <u/>
      </rPr>
      <t xml:space="preserve">
https://www.voguebusiness.com/sustainability/fashion-is-making-little-progress-on-transparency-when-its-the-bare-minimum
</t>
    </r>
    <r>
      <rPr>
        <rFont val="Arial"/>
        <b/>
        <color rgb="FF0000FF"/>
        <sz val="15.0"/>
        <u/>
      </rPr>
      <t>Drapers - Calzedonia Group ‘biggest mover’ in transparency index</t>
    </r>
    <r>
      <rPr>
        <rFont val="Arial"/>
        <b val="0"/>
        <color rgb="FF0000FF"/>
        <sz val="15.0"/>
        <u/>
      </rPr>
      <t xml:space="preserve">
</t>
    </r>
    <r>
      <rPr>
        <rFont val="Arial"/>
        <b val="0"/>
        <color rgb="FF000000"/>
        <sz val="15.0"/>
        <u/>
      </rPr>
      <t xml:space="preserve">https://www.drapersonline.com/news/ovs-tops-fashion-transparency-index-second-year-in-a-row
</t>
    </r>
    <r>
      <rPr>
        <rFont val="Arial"/>
        <b val="0"/>
        <color rgb="FF0000FF"/>
        <sz val="15.0"/>
        <u/>
      </rPr>
      <t xml:space="preserve">
</t>
    </r>
    <r>
      <rPr>
        <rFont val="Arial"/>
        <b/>
        <color rgb="FF0000FF"/>
        <sz val="15.0"/>
        <u/>
      </rPr>
      <t>Just Style - Legislation last resort to tackle fashion brands’ ongoing transparency failure</t>
    </r>
    <r>
      <rPr>
        <rFont val="Arial"/>
        <b val="0"/>
        <color rgb="FF0000FF"/>
        <sz val="15.0"/>
        <u/>
      </rPr>
      <t xml:space="preserve">
https://www.just-style.com/analysis/legislation-last-resort-to-tackle-fashion-brands-ongoing-transparency-failure/
</t>
    </r>
    <r>
      <rPr>
        <rFont val="Arial"/>
        <b/>
        <color rgb="FF0000FF"/>
        <sz val="15.0"/>
        <u/>
      </rPr>
      <t>WWD - Fashion Continues Unbridled ‘Lip Service’ to Sustainability, Per Fashion Revolution’s Latest Index</t>
    </r>
    <r>
      <rPr>
        <rFont val="Arial"/>
        <b val="0"/>
        <color rgb="FF0000FF"/>
        <sz val="15.0"/>
        <u/>
      </rPr>
      <t xml:space="preserve">
https://wwd.com/sustainability/business/fashion-revolution-transparency-index-2022-sustainability-jil-sander-fashion-nova-tom-ford-max-mara-1235252018/
</t>
    </r>
    <r>
      <rPr>
        <rFont val="Arial"/>
        <b/>
        <color rgb="FF0000FF"/>
        <sz val="15.0"/>
        <u/>
      </rPr>
      <t xml:space="preserve">
Fibre2Fashion – 85% fashion brands do not disclose annual production volumes: Report</t>
    </r>
    <r>
      <rPr>
        <rFont val="Arial"/>
        <b val="0"/>
        <color rgb="FF0000FF"/>
        <sz val="15.0"/>
        <u/>
      </rPr>
      <t xml:space="preserve">
https://www.fibre2fashion.com/news/fashion-news/85-fashion-brands-do-not-disclose-annual-production-volumes-report-281929-newsdetails.htm
</t>
    </r>
    <r>
      <rPr>
        <rFont val="Arial"/>
        <b/>
        <color rgb="FF0000FF"/>
        <sz val="15.0"/>
        <u/>
      </rPr>
      <t>Fashion United – Fashion’s transparency continues to disappoint according to 2022 Fashion Revolution index</t>
    </r>
    <r>
      <rPr>
        <rFont val="Arial"/>
        <b val="0"/>
        <color rgb="FF0000FF"/>
        <sz val="15.0"/>
        <u/>
      </rPr>
      <t xml:space="preserve">
https://fashionunited.uk/news/business/fashion-s-transparency-continues-to-disappoint-according-to-2022-fashion-revolution-index/2022071464118</t>
    </r>
    <r>
      <rPr>
        <rFont val="Arial"/>
        <b/>
        <color rgb="FF0000FF"/>
        <sz val="15.0"/>
        <u/>
      </rPr>
      <t xml:space="preserve">
</t>
    </r>
    <r>
      <rPr>
        <rFont val="Arial"/>
        <b/>
        <color rgb="FF000000"/>
        <sz val="15.0"/>
        <u/>
      </rPr>
      <t xml:space="preserve">
</t>
    </r>
  </si>
  <si>
    <t>Instructions for completing this questionnaire</t>
  </si>
  <si>
    <t>How to contact Fashion Revolution</t>
  </si>
  <si>
    <t xml:space="preserve">We kindly request you to fill in gaps within the questionnaire on the next tab. 
We realize that your team receives many similar requests for information, particularly from other benchmarks and campaign groups. As such, we would like to thank you for your participation in the Fashion Transparency Index process. Our research team has spent many weeks reviewing your brands' public communications and pre-populating this questionnaire. We hope this reduces your team's time and effort required to complete this questionnaire.
 </t>
  </si>
  <si>
    <t>Should you have any questions or would like to discuss the project further, please feel free to get in touch:
Liv Simpliciano
Policy &amp; Research Manager
liv@fashionrevolution.org 
transparency@fashionrevolution.org
www.fashionrevolution.org/about/transparency 
Please note our team will be extremely busy during this period. We will make every effort to get back to you as quickly as we can, but you might experience a slower than usual response.</t>
  </si>
  <si>
    <t>Instructions for filling out this spreadsheet</t>
  </si>
  <si>
    <r>
      <rPr>
        <rFont val="Arial"/>
        <color theme="1"/>
        <sz val="12.0"/>
      </rPr>
      <t xml:space="preserve">Our research team has made a large effort to pre-populate your questionnaire with as much relevant publicly available information/data as we could find. It is possible that our researchers have not found every relevant piece of information/data disclosed by your brand or parent company, which is why we are asking you to fill in the gaps.
Where our researchers have already awarded your brand points in the questionnaire, you do not need to provide any further information. Please only complete the areas where the brand has not already received the points. 
Should you have information to add, please put a weblink as evidence of where this information can be found publicly in </t>
    </r>
    <r>
      <rPr>
        <rFont val="Arial"/>
        <b/>
        <color theme="1"/>
        <sz val="12.0"/>
      </rPr>
      <t>columns H and/or J</t>
    </r>
    <r>
      <rPr>
        <rFont val="Arial"/>
        <color theme="1"/>
        <sz val="12.0"/>
      </rPr>
      <t>. If you are referencing a PDF or other downloadable document, please include the page number in</t>
    </r>
    <r>
      <rPr>
        <rFont val="Arial"/>
        <b/>
        <color theme="1"/>
        <sz val="12.0"/>
      </rPr>
      <t xml:space="preserve"> column I and/or K</t>
    </r>
    <r>
      <rPr>
        <rFont val="Arial"/>
        <color theme="1"/>
        <sz val="12.0"/>
      </rPr>
      <t>. You must include at least one weblink, as evidence of the disclosure, in order to receive the point(s). Once you add the relevant weblink, give your brand the additional point(s) in</t>
    </r>
    <r>
      <rPr>
        <rFont val="Arial"/>
        <b/>
        <color theme="1"/>
        <sz val="12.0"/>
      </rPr>
      <t xml:space="preserve"> column E</t>
    </r>
    <r>
      <rPr>
        <rFont val="Arial"/>
        <color theme="1"/>
        <sz val="12.0"/>
      </rPr>
      <t xml:space="preserve">.
If you are providing evidence of disclosure via a third party website, you must include both the weblink to that disclosure in </t>
    </r>
    <r>
      <rPr>
        <rFont val="Arial"/>
        <b/>
        <color theme="1"/>
        <sz val="12.0"/>
      </rPr>
      <t xml:space="preserve">column H or J </t>
    </r>
    <r>
      <rPr>
        <rFont val="Arial"/>
        <color theme="1"/>
        <sz val="12.0"/>
      </rPr>
      <t xml:space="preserve">and you must also identify where that third party disclosure is linked to directly from the brand's own website. If your company is not disclosing the requested information, simply leave it blank.
Please use </t>
    </r>
    <r>
      <rPr>
        <rFont val="Arial"/>
        <b/>
        <color theme="1"/>
        <sz val="12.0"/>
      </rPr>
      <t>column N</t>
    </r>
    <r>
      <rPr>
        <rFont val="Arial"/>
        <color theme="1"/>
        <sz val="12.0"/>
      </rPr>
      <t xml:space="preserve"> to leave us any questions or anything else you might like us to know. You may find some comments or questions from our research team in</t>
    </r>
    <r>
      <rPr>
        <rFont val="Arial"/>
        <b/>
        <color theme="1"/>
        <sz val="12.0"/>
      </rPr>
      <t xml:space="preserve"> column L.</t>
    </r>
    <r>
      <rPr>
        <rFont val="Arial"/>
        <color theme="1"/>
        <sz val="12.0"/>
      </rPr>
      <t xml:space="preserve"> These comments do not require your response unless you feel compelled to respond, then please use </t>
    </r>
    <r>
      <rPr>
        <rFont val="Arial"/>
        <b/>
        <color theme="1"/>
        <sz val="12.0"/>
      </rPr>
      <t>column N</t>
    </r>
    <r>
      <rPr>
        <rFont val="Arial"/>
        <color theme="1"/>
        <sz val="12.0"/>
      </rPr>
      <t xml:space="preserve">.
</t>
    </r>
    <r>
      <rPr>
        <rFont val="Arial"/>
        <b/>
        <color theme="1"/>
        <sz val="12.0"/>
      </rPr>
      <t xml:space="preserve">
Please do not use columns D, F, G, L or M </t>
    </r>
    <r>
      <rPr>
        <rFont val="Arial"/>
        <color theme="1"/>
        <sz val="12.0"/>
      </rPr>
      <t>- these columns are reserved for use by our own research team only.
Please do not make any amendments to this questionnaire template. Please do not add any columns, rows or cells. Please do not change any of the colours, formulas or anything else. If the questionnaire template is not working for you or you have any further questions about the questionnaire, please contact us at anytime and we will try to help you.</t>
    </r>
  </si>
  <si>
    <t>Indicator</t>
  </si>
  <si>
    <t xml:space="preserve">Possible Points </t>
  </si>
  <si>
    <t>Points scored by FTI RESEARCHERS</t>
  </si>
  <si>
    <t>Points scored by BRANDS</t>
  </si>
  <si>
    <t>Final scoring 
FR TEAM ONLY</t>
  </si>
  <si>
    <t>Guidance notes to help FTI Researchers and Brands to interpret indicators</t>
  </si>
  <si>
    <t>Website Link to justify scoring  (one weblink only please)</t>
  </si>
  <si>
    <t>PDF Page number (if applicable)</t>
  </si>
  <si>
    <t>Additional Website Link to justify scoring (one weblink only please)</t>
  </si>
  <si>
    <t xml:space="preserve">FTI RESEARCHERS ONLY - Notes or questions. Please copy and paste or make note of the header or first sentence of evidence in this column to allow someone to easily find the disclosure.  </t>
  </si>
  <si>
    <t xml:space="preserve">FTI RESEARCHER ONLY -
Column M is exclusively for one answer i.e. If the indicator is, "Discloses whether the company is tracing the source/supplier of one or more specific raw materials" the text could be "Leather Working Group".  The reason we want to isolate one answer is to help filter data during analysis. </t>
  </si>
  <si>
    <t xml:space="preserve">BRANDS Notes - This is a space for brands to include any additional information or explanation. </t>
  </si>
  <si>
    <t xml:space="preserve">FR TEAM ONLY - Authorisation by FTI Project Leads </t>
  </si>
  <si>
    <t>COMPANY DETAILS</t>
  </si>
  <si>
    <t xml:space="preserve">Brand name: </t>
  </si>
  <si>
    <t xml:space="preserve">Brand/company address:  </t>
  </si>
  <si>
    <t>Telephone number (will not be shared publicly):</t>
  </si>
  <si>
    <t>Company or Department public e-mail (will not be shared publicly):</t>
  </si>
  <si>
    <t>Details of person completing questionnaire (will not be shared publicly)</t>
  </si>
  <si>
    <t xml:space="preserve">Name:  </t>
  </si>
  <si>
    <t xml:space="preserve">Position:  </t>
  </si>
  <si>
    <r>
      <rPr>
        <rFont val="Arial"/>
        <color theme="1"/>
        <sz val="12.0"/>
      </rPr>
      <t>Telephone:</t>
    </r>
    <r>
      <rPr>
        <rFont val="Arial"/>
        <b/>
        <color theme="1"/>
        <sz val="12.0"/>
      </rPr>
      <t xml:space="preserve">  </t>
    </r>
  </si>
  <si>
    <r>
      <rPr>
        <rFont val="Arial"/>
        <color theme="1"/>
        <sz val="12.0"/>
      </rPr>
      <t xml:space="preserve">Email: </t>
    </r>
    <r>
      <rPr>
        <rFont val="Arial"/>
        <b/>
        <color theme="1"/>
        <sz val="12.0"/>
      </rPr>
      <t xml:space="preserve"> </t>
    </r>
  </si>
  <si>
    <t>Name of parent company and/or other major shareholders (over 10%):</t>
  </si>
  <si>
    <t xml:space="preserve"> </t>
  </si>
  <si>
    <t>1. POLICY &amp; COMMITMENTS</t>
  </si>
  <si>
    <r>
      <rPr>
        <rFont val="Arial"/>
        <b/>
        <color theme="1"/>
        <sz val="12.0"/>
      </rPr>
      <t xml:space="preserve">Please note: wherever we ask for annual disclosure, we mean information that has been published in the last reporting period (reports published before January </t>
    </r>
    <r>
      <rPr>
        <rFont val="Arial"/>
        <b/>
        <color rgb="FFFF0000"/>
        <sz val="12.0"/>
      </rPr>
      <t>2021</t>
    </r>
    <r>
      <rPr>
        <rFont val="Arial"/>
        <b/>
        <color theme="1"/>
        <sz val="12.0"/>
      </rPr>
      <t xml:space="preserve"> not counted).
</t>
    </r>
  </si>
  <si>
    <t>Possible  Points</t>
  </si>
  <si>
    <t xml:space="preserve">1.1 What are the company’s human rights and environmental policies? </t>
  </si>
  <si>
    <t xml:space="preserve">
Published document(s) which sets out the company's human rights standards and environmental standards (as related to its own company operations in its head offices, stores, warehouses, and owned production facilities). 
Please note: Some of the policies in this section can be found in an Employee Handbook, if publicly available, or sometimes in the Careers section of the website.
Environmental policies are often separate company policies, not included in an Employee Handbook.
Supplier Code of Conducts do not count in section 1.1 unless they explicitly state that they apply to the company's own employees.
</t>
  </si>
  <si>
    <t>Animal Welfare</t>
  </si>
  <si>
    <t>Banning the use of any animal derived fibre isn't sufficient for points. We are looking for a policy such as the Five Freedoms approach, which covers issues such as husbandry and use of animal derived materials.</t>
  </si>
  <si>
    <t>Annual Leave &amp; Public Holidays</t>
  </si>
  <si>
    <r>
      <rPr>
        <rFont val="Arial"/>
        <color rgb="FF000000"/>
        <sz val="12.0"/>
      </rPr>
      <t xml:space="preserve">Weekends or number of days off in a given week does not count as annual leave or public holiday. We are looking for policies that outline annual holiday allowance or vacation time </t>
    </r>
    <r>
      <rPr>
        <rFont val="Arial"/>
        <color rgb="FF000000"/>
        <sz val="12.0"/>
      </rPr>
      <t>in number of days or weeks. Following local regulation is not sufficient.</t>
    </r>
  </si>
  <si>
    <t>Anti-bribery, Corruption, &amp; Presentation of False Information</t>
  </si>
  <si>
    <t xml:space="preserve">Best practice would include separate policies for head office and warehouse employees. </t>
  </si>
  <si>
    <t xml:space="preserve">Biodiversity &amp; Conservation </t>
  </si>
  <si>
    <t xml:space="preserve">This can include deforestation. This does not include water conservation (water usage) but can include ocean conservation. </t>
  </si>
  <si>
    <t>Community Engagement</t>
  </si>
  <si>
    <t>Discrimination</t>
  </si>
  <si>
    <t>We will accept disclosure that prohibits discrimination based on protected characteristics (sex, gender, age, race, religion etc)</t>
  </si>
  <si>
    <t xml:space="preserve">Diversity &amp; Inclusion </t>
  </si>
  <si>
    <t xml:space="preserve">Disclosure must go beyond a non-discrimination policy to encourage or foster a diverse and inclusive environment such as a disabilities and accessibility policy and/or flexible working. </t>
  </si>
  <si>
    <t>Energy &amp; Greenhouse Gas Emissions</t>
  </si>
  <si>
    <t xml:space="preserve">Policy must track and reduce Scope 1 and 2 emissions (own operations). </t>
  </si>
  <si>
    <t xml:space="preserve">Equal Pay </t>
  </si>
  <si>
    <r>
      <rPr>
        <rFont val="Arial"/>
        <color rgb="FF000000"/>
        <sz val="12.0"/>
      </rPr>
      <t xml:space="preserve">Meaning men and women are paid the same for performing equal work. This can sometimes be found within a discrimination policy.
</t>
    </r>
    <r>
      <rPr>
        <rFont val="Arial"/>
        <color rgb="FFFF0000"/>
        <sz val="12.0"/>
      </rPr>
      <t>We will only accept disclosure that states “compensation/remuneration/payment” or equivalent. We will not accept disclosure which shares a general statement about equal opportunity employment decisions or conditions to all genders.</t>
    </r>
  </si>
  <si>
    <t xml:space="preserve">Freedom of Association, Right to Organise &amp; Collective Bargaining </t>
  </si>
  <si>
    <t>Harassment &amp; Violence</t>
  </si>
  <si>
    <r>
      <rPr>
        <rFont val="Arial"/>
        <color rgb="FF000000"/>
        <sz val="12.0"/>
      </rPr>
      <t>Aligning language with the new ILO Convention 190</t>
    </r>
    <r>
      <rPr>
        <rFont val="Arial"/>
        <color rgb="FF000000"/>
        <sz val="12.0"/>
      </rPr>
      <t xml:space="preserve"> supplemented by Recommendation 206 concerning the elimination of violence and harassment in the world of work.</t>
    </r>
  </si>
  <si>
    <t>Health &amp; Safety</t>
  </si>
  <si>
    <t xml:space="preserve">Maternity Rights &amp; Parental Leave </t>
  </si>
  <si>
    <t xml:space="preserve">General statement of compliance with local regulation is not sufficient. We are looking for policies that outline maternity and parental leave allowance in number of days or weeks.  </t>
  </si>
  <si>
    <t>Mental Health &amp; Wellbeing</t>
  </si>
  <si>
    <t>Restricted Substance List (RSL)</t>
  </si>
  <si>
    <t>Definition: an RSL targets only the chemicals that end up in the finished product. The list itself must be published, not sufficient if they just say that they have a RSL in place.</t>
  </si>
  <si>
    <t>Wages &amp; Financial Benefits (e.g. bonuses, insurance, social security, pensions)</t>
  </si>
  <si>
    <t>Waste &amp; Recycling (Packaging/Office/Retail)</t>
  </si>
  <si>
    <r>
      <rPr>
        <rFont val="Arial"/>
        <color rgb="FF000000"/>
        <sz val="12.0"/>
      </rPr>
      <t xml:space="preserve">Disclosure could range from packaging to plastic bags to paper recycling or building materials. Best practice could include alignment to the </t>
    </r>
    <r>
      <rPr>
        <rFont val="Arial"/>
        <color rgb="FF000000"/>
        <sz val="12.0"/>
      </rPr>
      <t>UK Plastics Pact</t>
    </r>
    <r>
      <rPr>
        <rFont val="Arial"/>
        <color rgb="FF000000"/>
        <sz val="12.0"/>
      </rPr>
      <t>.</t>
    </r>
  </si>
  <si>
    <t xml:space="preserve">Waste &amp; Recycling (Product/Textiles) </t>
  </si>
  <si>
    <t xml:space="preserve">We are looking specific for policies on off-cuts and textile wastage or policy on waste resulting from defective stock or production samples. We will not accept a policy on the use of recycled materials. </t>
  </si>
  <si>
    <t>Water Consumption</t>
  </si>
  <si>
    <t>Working Hours &amp; Rest Breaks</t>
  </si>
  <si>
    <t>Possible points</t>
  </si>
  <si>
    <r>
      <rPr>
        <rFont val="Arial"/>
        <b/>
        <color theme="1"/>
        <sz val="12.0"/>
      </rPr>
      <t xml:space="preserve">1.2 What are the company’s </t>
    </r>
    <r>
      <rPr>
        <rFont val="Arial"/>
        <b/>
        <color theme="1"/>
        <sz val="12.0"/>
        <u/>
      </rPr>
      <t>vendor/supplier policies</t>
    </r>
    <r>
      <rPr>
        <rFont val="Arial"/>
        <b/>
        <color theme="1"/>
        <sz val="12.0"/>
      </rPr>
      <t xml:space="preserve"> covering human rights and environmental standards across the supply chain? (e.g. Code of Conduct, Terms of Engagement, Supplier Guidebook)</t>
    </r>
  </si>
  <si>
    <t xml:space="preserve">Website Link to justify scoring  (one weblink only please)
</t>
  </si>
  <si>
    <t xml:space="preserve">Additional Website Link to justify scoring (one weblink only please)
</t>
  </si>
  <si>
    <t xml:space="preserve">Published document(s) which sets out the minimum human rights and environmental standards expected by the company for suppliers and/or vendors. To include the following issues: 
Please note: All of these issues must be explicitly stated in any policies.
Code of Ethics that typically apply to section 1.1. do not count in 1.2 unless they explicitly state that they apply to suppliers. 
</t>
  </si>
  <si>
    <r>
      <rPr>
        <rFont val="Arial"/>
        <color rgb="FF000000"/>
        <sz val="12.0"/>
      </rPr>
      <t xml:space="preserve">Weekends or number of days off in a given week does not count as annual leave or public holiday. We are looking for policies that outline annual holiday allowance or vacation time. </t>
    </r>
    <r>
      <rPr>
        <rFont val="Arial"/>
        <color rgb="FF000000"/>
        <sz val="12.0"/>
      </rPr>
      <t xml:space="preserve">Points can be awarded if the policy follows local regulation but not if the disclosure is vague such as 'enhanced annual leave'. </t>
    </r>
  </si>
  <si>
    <t>Anti-bribery, Corruption &amp; Presentation of False Information</t>
  </si>
  <si>
    <t>This can include deforestation. This does not include water conservation (water usage) but can include ocean conservation.  In general, best practice aligns with EU Best Available Techniques (BATs). However, EU BATs should not be used in place of more ambitious, local legal standards.</t>
  </si>
  <si>
    <t xml:space="preserve">Child Labour </t>
  </si>
  <si>
    <t>Must be in the CoC. Must be a policy, not just community-based programmes they have in place in production countries.</t>
  </si>
  <si>
    <t>Contracts &amp; Terms of Employment (including notice period, dismissal &amp; disciplinary action)</t>
  </si>
  <si>
    <t xml:space="preserve">Points can be awarded if the evidence is across multiple disclosure. </t>
  </si>
  <si>
    <t>Best practice disclosure would consist of annual reporting of emissions.</t>
  </si>
  <si>
    <r>
      <rPr>
        <rFont val="Arial"/>
        <color rgb="FF000000"/>
        <sz val="12.0"/>
      </rPr>
      <t xml:space="preserve">Meaning men and women are paid the same for performing equal work. This can sometimes be found within a discrimination policy.
</t>
    </r>
    <r>
      <rPr>
        <rFont val="Arial"/>
        <color rgb="FFFF0000"/>
        <sz val="12.0"/>
      </rPr>
      <t>We will only accept disclosure that states “compensation/remuneration/payment” or equivalent. We will not accept disclosure which shares a general statement about equal opportunity employment decisions or conditions to all genders.</t>
    </r>
  </si>
  <si>
    <t>Forced &amp; Bonded Labour</t>
  </si>
  <si>
    <t xml:space="preserve">Foreign &amp; Migrant Labour </t>
  </si>
  <si>
    <r>
      <rPr>
        <rFont val="Arial"/>
        <color rgb="FFFF0000"/>
        <sz val="12.0"/>
      </rPr>
      <t xml:space="preserve">We will accept disclosure/policy on recruitment fees if the disclosure explicitly says that the policy applies to migrant workers. 
</t>
    </r>
    <r>
      <rPr>
        <rFont val="Arial"/>
        <color rgb="FF000000"/>
        <sz val="12.0"/>
      </rPr>
      <t xml:space="preserve">Best practice would include a separate migrant workers policy. 
</t>
    </r>
  </si>
  <si>
    <r>
      <rPr>
        <rFont val="Arial"/>
        <color rgb="FFFF0000"/>
        <sz val="12.0"/>
      </rPr>
      <t xml:space="preserve">We are looking for language which aligns with the new </t>
    </r>
    <r>
      <rPr>
        <rFont val="Arial"/>
        <color rgb="FF1155CC"/>
        <sz val="12.0"/>
        <u/>
      </rPr>
      <t>ILO Convention 190</t>
    </r>
    <r>
      <rPr>
        <rFont val="Arial"/>
        <color rgb="FFFF0000"/>
        <sz val="12.0"/>
      </rPr>
      <t xml:space="preserve">.
Disclosure can be accepted if it references discrimination. See example: “In particular, workers shall not be harassed or disciplined on any of the grounds listed above...” </t>
    </r>
    <r>
      <rPr>
        <rFont val="Arial"/>
        <color rgb="FF000000"/>
        <sz val="12.0"/>
      </rPr>
      <t xml:space="preserve">
</t>
    </r>
  </si>
  <si>
    <t>Best practice would include separate guidebook on health and safety and/or alignment with the ILO Code of Practice on Safety and Health in Textiles, Clothing, Leather and Footwear industries</t>
  </si>
  <si>
    <t>Homeworking</t>
  </si>
  <si>
    <t>We are looking for policies that recognise the existence of homeworkers in supply chains. Best practice would include guidance on contracts and working hours. We are looking for policies that go beyond a ban of homeworking.</t>
  </si>
  <si>
    <t>Living Conditions/Dormitories</t>
  </si>
  <si>
    <t>This can sometimes be found within a Health and Safety policy.</t>
  </si>
  <si>
    <t>Manufacturing Restricted Substances List (MRSL)</t>
  </si>
  <si>
    <r>
      <rPr>
        <rFont val="Arial"/>
        <color rgb="FF000000"/>
        <sz val="12.0"/>
      </rPr>
      <t xml:space="preserve">Definition: An MRSL targets all chemicals used in the manufacturing process of a product. The list itself must be published, not sufficient if they just say that they have a MRSL in place. If you are disclosing commitment to ZDHC, we are also looking for whether or not you link to their MRSL programme. Whilst brands may have their own MRSL, best practice uses the ZDHC MRSL as the orientation mark. 
</t>
    </r>
    <r>
      <rPr>
        <rFont val="Arial"/>
        <color rgb="FFFF0000"/>
        <sz val="12.0"/>
      </rPr>
      <t xml:space="preserve">If the chemical management policy does not provide a clear list of substances and it does not state that it covers manufacturing processes, no points will be awarded. </t>
    </r>
  </si>
  <si>
    <t xml:space="preserve">Points can we awarded if the policy follows local regulation but not if the disclosure is vague such as 'enhanced maternity leave'. </t>
  </si>
  <si>
    <t>Overtime Pay</t>
  </si>
  <si>
    <t>Discloses rate of pay for overtime hours. For example, overtime shall always be compensated at a premium rate, which is recommended to be not less than 125% of the regular rate of pay. Disclosing that overtime pay is paid at a premium is not sufficient.</t>
  </si>
  <si>
    <t>Subcontracting</t>
  </si>
  <si>
    <t>This can often be found under a Remuneration policy.</t>
  </si>
  <si>
    <t>Waste &amp; Recycling (Packaging/Office/Facility)</t>
  </si>
  <si>
    <t>This could be anything from packaging to plastic/poly bags to paper recycling or building materials.</t>
  </si>
  <si>
    <t>Water Effluents &amp; Treatment</t>
  </si>
  <si>
    <t xml:space="preserve">This could include participation in the MRSL compliance for wastewater programme from ZDHC. </t>
  </si>
  <si>
    <t>This is about how much water is used rather than water treatment.</t>
  </si>
  <si>
    <t>Does the company state that its supplier/vendor policies are based on credible international standards such as the Ethical Trading Initiative Base Code, relevant UN and ILO Conventions, OECD Guidelines for Multinational Enterprises or the UN Global Compact</t>
  </si>
  <si>
    <t>We will award points if requirements/alignment to credible international standards are partial - for example if one section of the policy aligns to a specific, relevant ILO Convention. Best practice would follow that the entire CoC is aligned to international standards. However, partial alignment is sufficient.</t>
  </si>
  <si>
    <t>Does the company publish whether the policy (or policies) is part of the purchase agreement or if a supplier signature is required</t>
  </si>
  <si>
    <t>We are looking for a sentence stating that the code must be signed by suppliers. A signature line is sufficient.</t>
  </si>
  <si>
    <t>Publishes translations of the supplier/vendor policies/CoC in local languages of production/sourcing countries</t>
  </si>
  <si>
    <r>
      <rPr>
        <rFont val="Arial"/>
        <color rgb="FF000000"/>
        <sz val="12.0"/>
      </rPr>
      <t xml:space="preserve">Translations themselves must be published and publicly available. </t>
    </r>
    <r>
      <rPr>
        <rFont val="Arial"/>
        <color rgb="FF000000"/>
        <sz val="12.0"/>
      </rPr>
      <t xml:space="preserve">The translation should be in a language from a sourcing country. We will not accept if the only available translation is for market country but not from sourcing country. </t>
    </r>
  </si>
  <si>
    <r>
      <rPr>
        <rFont val="Arial"/>
        <b/>
        <color theme="1"/>
        <sz val="12.0"/>
      </rPr>
      <t xml:space="preserve">1.3 Publishes the company’s human rights and environmental management procedures (i.e. how the company is putting its policies 1.1 and 1.2 into action; simply auditing for compliance is not enough to score points) Reports published after January </t>
    </r>
    <r>
      <rPr>
        <rFont val="Arial"/>
        <b/>
        <color rgb="FFFF0000"/>
        <sz val="12.0"/>
      </rPr>
      <t>2021</t>
    </r>
  </si>
  <si>
    <t xml:space="preserve">
Please note: We will accept any information explaning how an initiative works. However, we will not accept performance or progress data alone in this section. There needs to be an explaination of how reductions or progress was made. This section is entirely about the how rather than the what.</t>
  </si>
  <si>
    <r>
      <rPr>
        <rFont val="Arial"/>
        <color rgb="FF000000"/>
        <sz val="12.0"/>
      </rPr>
      <t xml:space="preserve">This could be participation in the Leather Working Group, Responsible Down Standard, Responsible Wool Standard, etc. </t>
    </r>
    <r>
      <rPr>
        <rFont val="Arial"/>
        <color rgb="FF000000"/>
        <sz val="12.0"/>
      </rPr>
      <t>If the brand does not use any animal-derived materials, we are looking for evidence of vegan certification such as Vegan Society, EVE Vegan, Certified Vegan. Banning the use of any animal derived fibre isn't sufficient for points.</t>
    </r>
  </si>
  <si>
    <t xml:space="preserve">We are looking for evidence of a system in place that ensures employees actually receive annual leave. This could be a record system to track employees annual leave or an annual leave approval system. </t>
  </si>
  <si>
    <t xml:space="preserve">Could be something like dedicated training for employees/workers on bribery and corruption. We will not award the point for general whistleblowing channels. </t>
  </si>
  <si>
    <r>
      <rPr>
        <rFont val="Arial"/>
        <color rgb="FF000000"/>
        <sz val="12.0"/>
      </rPr>
      <t xml:space="preserve">For example, working with FSC or Canopy to ensure sources of cellulose-based fibres are not contributing to biodiversity loss, by restoring soil health and increasing biodiversity through regenerative agriculture. </t>
    </r>
    <r>
      <rPr>
        <rFont val="Arial"/>
        <color rgb="FF000000"/>
        <sz val="12.0"/>
      </rPr>
      <t xml:space="preserve">BCI will not be accepted. </t>
    </r>
  </si>
  <si>
    <t xml:space="preserve">We are looking for evidence of due diligence, partnerships or programs that work to eliminate child labour.  </t>
  </si>
  <si>
    <t>We are looking for evidence of partnerships and programs that support communities in the areas impacted by the company.</t>
  </si>
  <si>
    <r>
      <rPr>
        <rFont val="Arial"/>
        <color rgb="FF000000"/>
        <sz val="12.0"/>
      </rPr>
      <t xml:space="preserve">This could be a procedure ensuring all contracts are in the local language, are signed by both parties and that employees are given a copy of the contract. </t>
    </r>
    <r>
      <rPr>
        <rFont val="Arial"/>
        <color rgb="FF000000"/>
        <sz val="12.0"/>
      </rPr>
      <t xml:space="preserve">We would also accept training sessions for workers who are not literate to go through their contract verbally before they sign. </t>
    </r>
  </si>
  <si>
    <t xml:space="preserve">Discrimination </t>
  </si>
  <si>
    <r>
      <rPr>
        <rFont val="Arial"/>
        <color rgb="FF000000"/>
        <sz val="12.0"/>
      </rPr>
      <t xml:space="preserve">We are looking for evidence of partnerships and/or specific programs that seek to prevent, mitigate or remedy discrimination. </t>
    </r>
    <r>
      <rPr>
        <rFont val="Arial"/>
        <color rgb="FF000000"/>
        <sz val="12.0"/>
      </rPr>
      <t xml:space="preserve">We would also accept training. </t>
    </r>
  </si>
  <si>
    <r>
      <rPr>
        <rFont val="Arial"/>
        <color rgb="FF000000"/>
        <sz val="12.0"/>
      </rPr>
      <t xml:space="preserve">We are looking for evidence of partnerships and/or specific programs that fosters diversity and inclusion. </t>
    </r>
    <r>
      <rPr>
        <rFont val="Arial"/>
        <color rgb="FF000000"/>
        <sz val="12.0"/>
      </rPr>
      <t xml:space="preserve">We would also accept training. This could also include gender empowerment and ethnic inclusion efforts to promote a diverse leadership. </t>
    </r>
  </si>
  <si>
    <r>
      <rPr>
        <rFont val="Arial"/>
        <color rgb="FF000000"/>
        <sz val="12.0"/>
      </rPr>
      <t xml:space="preserve">Implementation of any energy-saving and reduction initiatives or how they proactively work to reduce their carbon emissions. Brand could receive points for targets approved by the Science-Based Targets Initiative. </t>
    </r>
    <r>
      <rPr>
        <rFont val="Arial"/>
        <color rgb="FF000000"/>
        <sz val="12.0"/>
      </rPr>
      <t>https://sciencebasedtargets.org/</t>
    </r>
    <r>
      <rPr>
        <rFont val="Arial"/>
        <color rgb="FF000000"/>
        <sz val="12.0"/>
      </rPr>
      <t xml:space="preserve"> </t>
    </r>
    <r>
      <rPr>
        <rFont val="Arial"/>
        <color rgb="FF000000"/>
        <sz val="12.0"/>
      </rPr>
      <t xml:space="preserve">This could include initiatives that support suppliers in the transition the green energy. </t>
    </r>
  </si>
  <si>
    <t>Any evidence of work beyond a policy to ensure equal pay; could be evidence of training on this issue, partnerships or specific programs that address this topic explicitly.</t>
  </si>
  <si>
    <t xml:space="preserve">We are looking for evidence of due diligence, partnerships or programs that work to eliminate human trafficking, forced and bonded labour - the type of procedural information which might be include in a UK Modern Slavery Act or California Transparency in Supply Chains Act statement. </t>
  </si>
  <si>
    <t>We are looking for evidence of due diligence, partnerships or programs that work to support migrant workers within their supply chain such as the AAFA/FLA Apparel &amp; Footwear Industry Commitment to Responsible Recruitment.</t>
  </si>
  <si>
    <t>This could be via a Global Framework Agreement or partnerships that proactively support freedom of association and CB such as ACT, Indonesia Protocol or partnerships with local unions.</t>
  </si>
  <si>
    <t>This could include initiatives such as training for factory managers and workers, dedicated hotline to anonymously report harassment/abuse/violence and other sensitisation type activities.</t>
  </si>
  <si>
    <t>We are looking for how health and safety policies are put into practice such as topical training for workers.</t>
  </si>
  <si>
    <r>
      <rPr>
        <rFont val="Arial"/>
        <color rgb="FF000000"/>
        <sz val="12.0"/>
      </rPr>
      <t xml:space="preserve">We are looking for programmes or initiatives that support homeworkers. Guidance may align with the Homeworkers Worldwide Toolkit for brands.
</t>
    </r>
    <r>
      <rPr>
        <rFont val="Arial"/>
        <color rgb="FFFF0000"/>
        <sz val="12.0"/>
      </rPr>
      <t>We are only allowing homeworking due diligence on supply chain homeworkers, not employees that worked from home through Covid-19 lockdowns (or otherwise).</t>
    </r>
  </si>
  <si>
    <t>We are looking for programs in supplier facilities focused on improving conditions in hostels/dormitories where workers are living onsite. For example, supporting hostel registration or providing provisions to increase quality of life for workers living in hostels/dormitories.</t>
  </si>
  <si>
    <r>
      <rPr>
        <rFont val="Arial"/>
        <color rgb="FF000000"/>
        <sz val="12.0"/>
      </rPr>
      <t>This could be testing or programmes to support the implementation of MRSLs e.g. working with ZDHC programme such as MMCF (if link to ZDHC provided) or Changing Markets Foundation The Roadmap Towards Responsible Viscose and Modal Fibre Manufacturing</t>
    </r>
    <r>
      <rPr>
        <rFont val="Arial"/>
        <color rgb="FF000000"/>
        <sz val="12.0"/>
      </rPr>
      <t>.</t>
    </r>
  </si>
  <si>
    <t xml:space="preserve">We are looking for procedures and programs that seek to protect maternity rights and ensure parental leave for employees. For example, schemes that allow employees to work remotely or part-time after returning from maternity leave.
</t>
  </si>
  <si>
    <t>We are looking for procedures and programs that support garment worker or employee mental health and wellbeing.</t>
  </si>
  <si>
    <t xml:space="preserve">We are looking for initiatives or procedures that manage overtime pay for employees. This could be documentation of overtime hours and pay through an overtime management system. </t>
  </si>
  <si>
    <t>Restricted Substances List (RSL)</t>
  </si>
  <si>
    <r>
      <rPr>
        <rFont val="Arial"/>
        <color rgb="FF000000"/>
        <sz val="12.0"/>
      </rPr>
      <t xml:space="preserve">This could be an overview of their product testing, results and progress. </t>
    </r>
    <r>
      <rPr>
        <rFont val="Arial"/>
        <color rgb="FF000000"/>
        <sz val="12.0"/>
      </rPr>
      <t xml:space="preserve">Best practice would go beyond alignment to ZDHC to disclose the date of when the RSL was last reviewed and how often it is reviewed. </t>
    </r>
  </si>
  <si>
    <t>We are looking for evidence of partnerships and specific programs that seek to address and support better home working practices or traceability of sub-contracting.</t>
  </si>
  <si>
    <t>Wages &amp; Benefits (e.g. bonuses, insurance, social security, pensions)</t>
  </si>
  <si>
    <t>We are looking for evidence of partnerships and programs that proactively support improving wages and benefits. For example, ACT membership, Fair Wear Foundation Fair Wage Ladder, calculating and benchmarking wages using Anker or Asia Floor Wage. Or, it could be by providing detailed information about wage management systems.</t>
  </si>
  <si>
    <t>Waste &amp; Recycling (Packaging/Office/Facility/Retail)</t>
  </si>
  <si>
    <t>Initiatives or procedures that are in action to reduce/reuse waste such as paper, plastic and glass, packaging, etc.</t>
  </si>
  <si>
    <r>
      <rPr>
        <rFont val="Arial"/>
        <color rgb="FF000000"/>
        <sz val="12.0"/>
      </rPr>
      <t xml:space="preserve">Initiatives or practices that reduce/reuse/repurpose off-cuts and textile wastage, defective stock, production samples and/or post-consumer waste. We will not accept the use of recycled materials as a procedure here.
</t>
    </r>
    <r>
      <rPr>
        <rFont val="Arial"/>
        <color rgb="FFFF0000"/>
        <sz val="12.0"/>
      </rPr>
      <t>For example, the following would not be allowed: All recycled components in our products are certified according to the Global Recycled Standard (GRS).</t>
    </r>
  </si>
  <si>
    <t xml:space="preserve">We are looking for evidence that brands have a program on improving wastewater quality and treatment or wastewater testing. Working with ZDHC programme is sufficient. </t>
  </si>
  <si>
    <r>
      <rPr>
        <rFont val="Arial"/>
        <color theme="1"/>
        <sz val="12.0"/>
      </rPr>
      <t xml:space="preserve">Initiatives or procedures that are in action to reduce/minimise the use of water in business or supplier activities. </t>
    </r>
    <r>
      <rPr>
        <rFont val="Arial"/>
        <color rgb="FFFF0000"/>
        <sz val="12.0"/>
      </rPr>
      <t>We will accept points if the brand discloses information on a tool to track water consumption.</t>
    </r>
  </si>
  <si>
    <t xml:space="preserve">We are looking for initiatives or procedures that ensure workers/employees receive an adequate number of paid rest breaks for a healthy person within normal working hours. Or, initiatives or procedures that ensure workers/employees are working normal, legal hours in a day. </t>
  </si>
  <si>
    <t>1.4 Publishes a strategic plan towards progressively improving human rights and environmental impacts (i.e. roadmap or vision document) Must cover dates in the future</t>
  </si>
  <si>
    <r>
      <rPr>
        <rFont val="Arial"/>
        <color theme="1"/>
        <sz val="12.0"/>
      </rPr>
      <t xml:space="preserve">Certifications do not count here unless they demonstrate that measurable progress has been made towards meeting a specific goal. The progress must be against the target specified above. </t>
    </r>
    <r>
      <rPr>
        <rFont val="Arial"/>
        <color rgb="FFFF0000"/>
        <sz val="12.0"/>
      </rPr>
      <t>No points will be awarded unless a clear target is defined above.</t>
    </r>
  </si>
  <si>
    <t>Publishes measurable, time-bound and long-term commitments, targets or goals on improving human rights</t>
  </si>
  <si>
    <t xml:space="preserve">We accept long-term as goals which span at least a 3 year period. If the brand has a 5 year strategy and they are at the end of that 5 years and reporting on progress then that is still acceptable. </t>
  </si>
  <si>
    <t>Publishes measurable, time-bound and long-term commitments, targets or goals on improving environmental impacts</t>
  </si>
  <si>
    <t xml:space="preserve">Annual, up-to-date disclosure of progress towards achieving the company's measurable, time-bound and long-term human rights commitments, targets or goals </t>
  </si>
  <si>
    <r>
      <rPr>
        <rFont val="Arial"/>
        <color rgb="FF000000"/>
        <sz val="12.0"/>
      </rPr>
      <t xml:space="preserve">Certifications do not count here unless they demonstrate that measurable progress has been made towards meeting a specific goal. The progress must be against the target specified above. </t>
    </r>
    <r>
      <rPr>
        <rFont val="Arial"/>
        <color rgb="FF000000"/>
        <sz val="12.0"/>
      </rPr>
      <t>No points will be awarded unless a clear target is defined above.</t>
    </r>
  </si>
  <si>
    <t xml:space="preserve">Annual, up-to-date disclosure of progress towards achieving the company's measurable, time-bound and long-term environmental commitments, targets or goals </t>
  </si>
  <si>
    <r>
      <rPr>
        <rFont val="Arial"/>
        <color rgb="FF000000"/>
        <sz val="12.0"/>
      </rPr>
      <t xml:space="preserve">Certifications do not count here unless they demonstrate that measurable progress has been made towards meeting a specific goal. The progress must be against the target specified above. </t>
    </r>
    <r>
      <rPr>
        <rFont val="Arial"/>
        <color rgb="FF000000"/>
        <sz val="12.0"/>
      </rPr>
      <t>No points will be awarded unless a clear target is defined above.</t>
    </r>
  </si>
  <si>
    <r>
      <rPr>
        <rFont val="Arial"/>
        <b/>
        <color theme="1"/>
        <sz val="12.0"/>
      </rPr>
      <t xml:space="preserve">1.5 Publishes an annual sustainability or corporate social responsibility report that is audited or verified by an independent third party. Reports published after January </t>
    </r>
    <r>
      <rPr>
        <rFont val="Arial"/>
        <b/>
        <color rgb="FFFF0000"/>
        <sz val="12.0"/>
      </rPr>
      <t>2021</t>
    </r>
  </si>
  <si>
    <t xml:space="preserve">Publishes an annual sustainability or corporate social responsibility report (could also be found within annual company report) that is audited or verified by an independent third party. </t>
  </si>
  <si>
    <r>
      <rPr>
        <rFont val="Arial"/>
        <color rgb="FF000000"/>
        <sz val="12.0"/>
      </rPr>
      <t xml:space="preserve">Must state clearly that the sustainability information is audited and not just the financial data within the report, or if unclear then we cannot count. E.g. as required by French law. </t>
    </r>
    <r>
      <rPr>
        <rFont val="Arial"/>
        <color rgb="FF000000"/>
        <sz val="12.0"/>
      </rPr>
      <t>The report should include an assurance statement by a third party stating the scope of assurance.  EG: carbon emissions.</t>
    </r>
  </si>
  <si>
    <t>Total possible points in Section 1</t>
  </si>
  <si>
    <t>2. GOVERNANCE</t>
  </si>
  <si>
    <t>2.1 Publicly discloses contact details for the department the company that has responsibility for human rights and environmental issues</t>
  </si>
  <si>
    <t>Discloses direct contact details for relevant department (e.g. email address and/or phone number of sustainability or CSR team)</t>
  </si>
  <si>
    <t>2.2 Publicly discloses the company board member or board committee accountable for human rights and environmental issues</t>
  </si>
  <si>
    <r>
      <rPr>
        <rFont val="Arial"/>
        <color rgb="FF000000"/>
        <sz val="12.0"/>
      </rPr>
      <t>Discloses name and/or</t>
    </r>
    <r>
      <rPr>
        <rFont val="Arial"/>
        <color rgb="FF000000"/>
        <sz val="12.0"/>
      </rPr>
      <t xml:space="preserve"> direct contact details </t>
    </r>
    <r>
      <rPr>
        <rFont val="Arial"/>
        <color rgb="FF000000"/>
        <sz val="12.0"/>
      </rPr>
      <t>of board member responsible for human rights and environmental issues in the business</t>
    </r>
  </si>
  <si>
    <t xml:space="preserve">This must be a specific board member, an individual person, such as the chair of the relevant committee. By the board, we mean the team of people elected by a company's shareholders to represent the shareholders' interests and ensure that the company's management acts on their behalf. When we say direct contact details, we mean the email and/or phone number of the responsible person. The reason we ask that the contact details are disclosed is so that it is clear and easily actionable should an affected stakeholder need to get in touch with the brand. </t>
  </si>
  <si>
    <t xml:space="preserve">Publishes description of how board level accountability is implemented in practice </t>
  </si>
  <si>
    <t>By the board, we mean the team of people elected by a company's shareholders to represent the shareholders' interests and ensure that the company's management acts on their behalf. For example, providing a mechanism for board members to provide advice and guide the brand's Sustainability Strategy, for example, through a sustainability specific committee.</t>
  </si>
  <si>
    <t>Worker representation on the corporate board of directors</t>
  </si>
  <si>
    <t xml:space="preserve">Worker representatives are elected by employees rather than selected by the board. </t>
  </si>
  <si>
    <t xml:space="preserve">2.3 Publicly acknowledges how the company prioritises money spent on managing and implementing CSR and sustainability activities </t>
  </si>
  <si>
    <t>Publishes a responsible tax strategy</t>
  </si>
  <si>
    <r>
      <rPr>
        <rFont val="Arial"/>
        <sz val="12.0"/>
      </rPr>
      <t xml:space="preserve">We are looking for a tax strategy which sets out how the business manages its taxes in each country where it operates. The disclosure does not have to be recent as is not time sensitive. We are accepting any statement or commitment to pay taxes due in countries that they operate in. It is also acceptable if disclosure is country specific, i.e. Levi Strauss (UK) Ltd. Tax Strategy. </t>
    </r>
    <r>
      <rPr>
        <rFont val="Arial"/>
        <color rgb="FF0000FF"/>
        <sz val="12.0"/>
        <u/>
      </rPr>
      <t>Best practice means a tax strategy covers the 7 principles set out by the B Team Responsible Tax Principles</t>
    </r>
  </si>
  <si>
    <t>2.4 Publishes how the company incorporates human rights and environmental performance into purchasing practices</t>
  </si>
  <si>
    <r>
      <rPr>
        <rFont val="Arial"/>
        <color rgb="FF000000"/>
        <sz val="12.0"/>
      </rPr>
      <t>Discloses how employees beyond the CSR/sustainability/ethical trade team (sourcing, production, buyers, designers,</t>
    </r>
    <r>
      <rPr>
        <rFont val="Arial"/>
        <color rgb="FF000000"/>
        <sz val="12.0"/>
      </rPr>
      <t xml:space="preserve"> merchandisers</t>
    </r>
    <r>
      <rPr>
        <rFont val="Arial"/>
        <color rgb="FF000000"/>
        <sz val="12.0"/>
      </rPr>
      <t>) incentives (e.g. bonuses; part of employee performance reviews) are tied to improvements in human rights impacts and environmental management</t>
    </r>
  </si>
  <si>
    <t>Training is not sufficient</t>
  </si>
  <si>
    <t>Discloses how executive (e.g. CEO, CFO, president) pay, bonuses and/or performance reviews are tied to improvements in human rights impacts and environmental management</t>
  </si>
  <si>
    <t>% of executive bonus or pay linked to environmental and social targets</t>
  </si>
  <si>
    <r>
      <rPr>
        <rFont val="Arial"/>
        <color rgb="FF000000"/>
        <sz val="12.0"/>
      </rPr>
      <t>Description of how suppliers incentives are tied to improvement in good labour practices and environmental management</t>
    </r>
    <r>
      <rPr>
        <rFont val="Arial"/>
        <color rgb="FF000000"/>
        <sz val="12.0"/>
      </rPr>
      <t xml:space="preserve"> (e.g. long-term commitments to purchase, longer contracts, increased orders, price premiums, fewer audits)</t>
    </r>
  </si>
  <si>
    <r>
      <rPr>
        <rFont val="Arial"/>
        <color theme="1"/>
        <sz val="12.0"/>
      </rPr>
      <t xml:space="preserve">Training alone is not sufficient.
</t>
    </r>
    <r>
      <rPr>
        <rFont val="Arial"/>
        <color rgb="FFFF0000"/>
        <sz val="12.0"/>
      </rPr>
      <t xml:space="preserve">For guidance on good purchasing practices, see the Better Buying Institute (https://betterbuying.org/)  and their Win-Win Sustainable Partnerships report: </t>
    </r>
    <r>
      <rPr>
        <rFont val="Arial"/>
        <color rgb="FF1155CC"/>
        <sz val="12.0"/>
        <u/>
      </rPr>
      <t>https://betterbuying.org/download/win-win-sustainable-partnership-2/</t>
    </r>
  </si>
  <si>
    <t>Total possible points for Section 2</t>
  </si>
  <si>
    <t>3. TRACEABILITY</t>
  </si>
  <si>
    <t>3.1 Publishes tier one factories (direct relationship with buyer e.g. production units, Cut Make Trim (CMT) facilities, garment sewing, garment finishing, full package production and packaging and storage)</t>
  </si>
  <si>
    <t>Name of Facility</t>
  </si>
  <si>
    <r>
      <rPr>
        <rFont val="Arial"/>
        <color rgb="FF000000"/>
        <sz val="12.0"/>
      </rPr>
      <t xml:space="preserve">We are looking for a map or list that represents a significant proportion of their suppliers, and not just a few. </t>
    </r>
    <r>
      <rPr>
        <rFont val="Arial"/>
        <color rgb="FF000000"/>
        <sz val="12.0"/>
      </rPr>
      <t>If brands do not disclose their percentage we will use our own discretion to determine if the list seems exhaustive and appears to represent a significant proportion.</t>
    </r>
    <r>
      <rPr>
        <rFont val="Arial"/>
        <color rgb="FF000000"/>
        <sz val="12.0"/>
      </rPr>
      <t xml:space="preserve"> If a brand links to the  Open Supply Hub (formerly known as the Open Apparel Registry) and you can find suppliers linked to the brand on the platform, then we will allow points. The OSH houses data from tier one and beyond. By facility, we mean individual factories or manufacturing locations. 
</t>
    </r>
  </si>
  <si>
    <t xml:space="preserve">Name of Parent Company (for each facility, if applicable)
</t>
  </si>
  <si>
    <r>
      <rPr>
        <rFont val="Arial"/>
        <color theme="1"/>
        <sz val="12.0"/>
      </rPr>
      <t xml:space="preserve">A parent company is a holding group that has majority ownership or control over a factory or supplier facility. If a facility does not have a parent company and that is indicated in the list, then points are allowed. </t>
    </r>
    <r>
      <rPr>
        <rFont val="Arial"/>
        <color rgb="FFFF0000"/>
        <sz val="12.0"/>
      </rPr>
      <t xml:space="preserve">We do not accept disclosure on a group agent for this indicator. Group Agents work as mediators between apparel buyers (retailers) and garment manufacturers. Therefore, the parent company information is more important as this expresses ownership. </t>
    </r>
  </si>
  <si>
    <t>Address</t>
  </si>
  <si>
    <t>If a brand links to OSH and you can find suppliers linked to the brand on the platform, then we will allow points.</t>
  </si>
  <si>
    <t>Type of products or services</t>
  </si>
  <si>
    <t>Approximate number of workers at each site</t>
  </si>
  <si>
    <t>Weekly take-home wage for entry-level workers based on a standard work week of no more than 48 weekly working hours, excluding overtime.</t>
  </si>
  <si>
    <t>This applies garments, textile, leather and footwear production workers (not other workers at the facility like security, catering etc). This indicator aligns to our Proposal for an EU legislative Directive on Living Wages in the Garment, Textile, Leather and Footwear Sector - download draft legal act here, Article 7</t>
  </si>
  <si>
    <r>
      <rPr>
        <rFont val="Arial"/>
        <color theme="1"/>
        <sz val="12.0"/>
      </rPr>
      <t xml:space="preserve">Discloses if the facility has a trade union </t>
    </r>
    <r>
      <rPr>
        <rFont val="Arial"/>
        <color rgb="FFFF0000"/>
        <sz val="12.0"/>
      </rPr>
      <t xml:space="preserve">and the name of the trade union </t>
    </r>
  </si>
  <si>
    <t xml:space="preserve">We will only accept points if the Trade Union(s) are named to allow scrutiny as well as getting in touch if needed.
</t>
  </si>
  <si>
    <t>If the facility has an independent worker committee</t>
  </si>
  <si>
    <t>Worker-management committees are not sufficient. Committees must be independent, otherwise workers power is potentially quite limited.</t>
  </si>
  <si>
    <t>Sex-disaggregated breakdown of workers at each site</t>
  </si>
  <si>
    <t>% or number of migrant or contract workers</t>
  </si>
  <si>
    <t>The type of workers who are typically recruited through outsourcing companies, labour recruiters or other informal intermediaries. They are often employed seasonally or in some form of flexible, casual labour. Migrant workers may have moved from one region to another within a country or moved from one country to another to find work.</t>
  </si>
  <si>
    <t>Discloses length of time worked with suppliers</t>
  </si>
  <si>
    <t>What certifications, if any, the facility has</t>
  </si>
  <si>
    <t>For example, GOTS, FLO, SA8000, WRAP etc.</t>
  </si>
  <si>
    <t xml:space="preserve">List is publicly available as a csv, json or Excel spreadsheet (aligning with the Open Data Standard for the Apparel Sector) in order to make this information easy to use for trade unions and NGOs </t>
  </si>
  <si>
    <t>Online maps and PDF documents do not count as not machine readable. Looking specifically for Excel, csv or json documents.</t>
  </si>
  <si>
    <t>List contributed to the Open Supply Hub (formerly known as the Open Apparel Registry), in order to enable collaboration, as well as easy and efficient access for trade unions &amp; NGOs</t>
  </si>
  <si>
    <t>Where a Contributor name includes [Public List] at the end, this means that the data has been accessed, formatted and contributed to the Open Supply Hub by the their team. It is not actively managed and updated by the brand itself. In that case, the brand does not get the point</t>
  </si>
  <si>
    <t>Discloses aggregate volume of business that is captured by the disclosure and the percentage of total supplier factories published</t>
  </si>
  <si>
    <t>This indicator is aligned with Fashion Checker.</t>
  </si>
  <si>
    <t>If list/map covers at least 95% of the tier one factories in its supply chain</t>
  </si>
  <si>
    <t>Where a brand says their list includes "all" their suppliers, we assume this means 100% and we give them the point here and for the next question, over 95%.</t>
  </si>
  <si>
    <r>
      <rPr>
        <rFont val="Arial"/>
        <color rgb="FF000000"/>
        <sz val="12.0"/>
      </rPr>
      <t xml:space="preserve">Discloses </t>
    </r>
    <r>
      <rPr>
        <rFont val="Arial"/>
        <color rgb="FF000000"/>
        <sz val="12.0"/>
      </rPr>
      <t>that this list or map of tier one factories has been updated within the past 6 months</t>
    </r>
  </si>
  <si>
    <t>Will accept if the brand says their list is updated every 6 months or more frequently. If list published within the past 6 months, allow the point.</t>
  </si>
  <si>
    <t xml:space="preserve">Discloses energy consumption at facility level </t>
  </si>
  <si>
    <t xml:space="preserve">There are no points available at this time for this indicator. However, for those brands that do disclose this information may be highlighted as best practice in the FTI 2023 report. </t>
  </si>
  <si>
    <t xml:space="preserve">Discloses water consumption at facility level </t>
  </si>
  <si>
    <t>3.2 Publishes processing facilities (e.g. ginning and spinning, knitting, weaving, sub-contractors, dyeing and wet processing, tanneries, embroidering, printing, fabric finishing, dye-houses, laundries, etc.)</t>
  </si>
  <si>
    <r>
      <rPr>
        <rFont val="Arial"/>
        <color rgb="FF000000"/>
        <sz val="12.0"/>
      </rPr>
      <t>We are looking for a map or list that represents a significant proportion of their suppliers. Disclosing one or two suppliers is not sufficient unless it specifies that these suppliers supply a significant chunk of the company's overall product volume. By facility, we mean individual factories or processing locations.</t>
    </r>
    <r>
      <rPr>
        <rFont val="Arial"/>
        <color rgb="FF000000"/>
        <sz val="12.0"/>
      </rPr>
      <t>If brands do not disclose their percentage we will use our own discretion to determine if the list seems exhaustive and appears to represent a significant proportion.</t>
    </r>
  </si>
  <si>
    <t>Name of Parent Company (for each facility, if applicable)</t>
  </si>
  <si>
    <t>A parent company is a company that has majority ownership or control over a factory or supplier facility</t>
  </si>
  <si>
    <r>
      <rPr>
        <rFont val="Arial"/>
        <color theme="1"/>
        <sz val="12.0"/>
      </rPr>
      <t xml:space="preserve">Discloses if the facility has a trade union </t>
    </r>
    <r>
      <rPr>
        <rFont val="Arial"/>
        <color rgb="FFFF0000"/>
        <sz val="12.0"/>
      </rPr>
      <t xml:space="preserve">and the name of the trade union </t>
    </r>
  </si>
  <si>
    <r>
      <rPr>
        <rFont val="Arial"/>
        <color rgb="FF000000"/>
        <sz val="12.0"/>
      </rPr>
      <t xml:space="preserve">List is publicly available as a csv, </t>
    </r>
    <r>
      <rPr>
        <rFont val="Arial"/>
        <color rgb="FF000000"/>
        <sz val="12.0"/>
      </rPr>
      <t>json</t>
    </r>
    <r>
      <rPr>
        <rFont val="Arial"/>
        <color rgb="FF000000"/>
        <sz val="12.0"/>
      </rPr>
      <t xml:space="preserve"> or Excel spreadsheet </t>
    </r>
    <r>
      <rPr>
        <rFont val="Arial"/>
        <color rgb="FF000000"/>
        <sz val="12.0"/>
      </rPr>
      <t>(aligning with the Open Data Standard for the Apparel Sector)</t>
    </r>
    <r>
      <rPr>
        <rFont val="Arial"/>
        <color rgb="FF000000"/>
        <sz val="12.0"/>
      </rPr>
      <t xml:space="preserve"> in order to make this information easy to use for trade unions and NGOs </t>
    </r>
  </si>
  <si>
    <t>Where a Contributor name includes [Public List] at the end, this means that the data has been accessed, formatted and contributed to the Open Supply Hub (OSH)  by the OSH Team. It is not actively managed and updated by the brand itself. In that case, the brand does not get the point</t>
  </si>
  <si>
    <t>If list/map covers at least 95% of the processing factories in its supply chain</t>
  </si>
  <si>
    <t>Where brands says their list includes "all" their suppliers, we assume this means 100% and we give them the point here and for the next question, over 95%.</t>
  </si>
  <si>
    <r>
      <rPr>
        <rFont val="Arial"/>
        <color rgb="FF000000"/>
        <sz val="12.0"/>
      </rPr>
      <t xml:space="preserve">Discloses </t>
    </r>
    <r>
      <rPr>
        <rFont val="Arial"/>
        <color rgb="FF000000"/>
        <sz val="12.0"/>
      </rPr>
      <t>that this list or map of tier one factories has been updated within the past 6 months</t>
    </r>
  </si>
  <si>
    <t xml:space="preserve">Will accept if the brand says their list is updated every 6 months or more frequently. If list published within the past 6 months, allow the point.
</t>
  </si>
  <si>
    <t xml:space="preserve">Discloses energy consumption at processing facility level </t>
  </si>
  <si>
    <t xml:space="preserve">Discloses water consumption at processing facility level </t>
  </si>
  <si>
    <t xml:space="preserve">3.3 Publishes suppliers of raw materials such as fibres, hides, rubber, dyes, metals, etc. (e.g. raw material providers, farms, slaughter houses, sewing yarn suppliers, filament and staple, chemical suppliers, etc.) </t>
  </si>
  <si>
    <t>Name of supplier (e.g. parent company)</t>
  </si>
  <si>
    <t>We are looking for a list or map that represents a significant proportion of suppliers. Disclosing one or two suppliers is not sufficient unless it specifies that these suppliers supply a significant chunk of the company's overall volume. However, will accept if list covers only one or two types of fibre such as viscose, wool, cotton, etc.</t>
  </si>
  <si>
    <t>Name of specific facility or farm</t>
  </si>
  <si>
    <r>
      <rPr>
        <rFont val="Arial"/>
        <color theme="1"/>
        <sz val="12.0"/>
      </rPr>
      <t xml:space="preserve">By facility, we mean individual factories, farm or locations in which the raw materials originate.
</t>
    </r>
    <r>
      <rPr>
        <rFont val="Arial"/>
        <color rgb="FFFF0000"/>
        <sz val="12.0"/>
      </rPr>
      <t xml:space="preserve">Polyester: for virgin polyester, we are looking for the name of the oil rig (where oil/petroleum is extracted) and/or the supplier of refined oil. 
For recycled polyester, we are looking for the recycling facility where the polyester is made (i.e. facility where existing plastic is melted and re-spun it into new polyester fibre.)
</t>
    </r>
  </si>
  <si>
    <r>
      <rPr>
        <rFont val="Arial"/>
        <color rgb="FF000000"/>
        <sz val="12.0"/>
      </rPr>
      <t>Discloses the specific raw material fibre</t>
    </r>
    <r>
      <rPr>
        <rFont val="Arial"/>
        <color rgb="FF000000"/>
        <sz val="12.0"/>
      </rPr>
      <t>, products or services</t>
    </r>
  </si>
  <si>
    <t xml:space="preserve">For instance, viscose or synthetics </t>
  </si>
  <si>
    <t>Approximate number of workers</t>
  </si>
  <si>
    <t>Sex-disaggregated breakdown of workers</t>
  </si>
  <si>
    <t xml:space="preserve">A contracted worker has usually been employed a third-party agency and not directly by the company which often encourages bonded labour. If they provide the number of workers, not the % and also provide the number of workers per facility, they can also receive the point. </t>
  </si>
  <si>
    <r>
      <rPr>
        <rFont val="Arial"/>
        <color rgb="FF000000"/>
        <sz val="12.0"/>
      </rPr>
      <t xml:space="preserve">List is publicly available as a csv, </t>
    </r>
    <r>
      <rPr>
        <rFont val="Arial"/>
        <color rgb="FF000000"/>
        <sz val="12.0"/>
      </rPr>
      <t>json</t>
    </r>
    <r>
      <rPr>
        <rFont val="Arial"/>
        <color rgb="FF000000"/>
        <sz val="12.0"/>
      </rPr>
      <t xml:space="preserve"> or Excel spreadsheet </t>
    </r>
    <r>
      <rPr>
        <rFont val="Arial"/>
        <color rgb="FF000000"/>
        <sz val="12.0"/>
      </rPr>
      <t>(aligning with the Open Data Standard for the Apparel Sector)</t>
    </r>
    <r>
      <rPr>
        <rFont val="Arial"/>
        <color rgb="FF000000"/>
        <sz val="12.0"/>
      </rPr>
      <t xml:space="preserve"> in order to make this information easy to use for trade unions and NGOs </t>
    </r>
  </si>
  <si>
    <t>Discloses what percentage of raw materials suppliers is published</t>
  </si>
  <si>
    <t>Discloses supplier list that covers more than one raw material type</t>
  </si>
  <si>
    <t>Publishes that this list or map of raw materials suppliers has been updated within the past 12 months</t>
  </si>
  <si>
    <t>Will accept if the brand says their list is updated annually or more frequently. If list published within the past 12 months, allow the point.</t>
  </si>
  <si>
    <r>
      <rPr>
        <rFont val="Arial"/>
        <color theme="1"/>
        <sz val="12.0"/>
      </rPr>
      <t xml:space="preserve">Discloses whether the company is tracing the source/supplier of one or more specific raw materials (e.g. part of Leather Working Group or using Responsible Down/Wool Standard, Global Recycling Standard, Content Claim Standard, Organic Cotton Standard, GOTS, FAIRTRADE Certified Cotton Mark and Cotton Programme, Cotton Made in Africa HIP, Oeko-Tex SteP/Made in Green, </t>
    </r>
    <r>
      <rPr>
        <rFont val="Arial"/>
        <color rgb="FFFF0000"/>
        <sz val="12.0"/>
      </rPr>
      <t>TENCEL™ Lyocell and Modal</t>
    </r>
    <r>
      <rPr>
        <rFont val="Arial"/>
        <color theme="1"/>
        <sz val="12.0"/>
      </rPr>
      <t>, or company/parent group's own initiatives such as using blockchain or transaction certifications or DNA schemes.</t>
    </r>
  </si>
  <si>
    <t xml:space="preserve">Better Cotton Initiative (BCI) is only traceable to country level and not producer group/farmer level, so no points for this initiative. Please check conflict mineral policies or reports as they may contain information on tracing raw materials. </t>
  </si>
  <si>
    <t>Total possible points for Section 3</t>
  </si>
  <si>
    <t>4. KNOW, SHOW &amp; FIX</t>
  </si>
  <si>
    <r>
      <rPr>
        <rFont val="Arial"/>
        <b/>
        <color theme="1"/>
        <sz val="12.0"/>
      </rPr>
      <t xml:space="preserve">4.1a </t>
    </r>
    <r>
      <rPr>
        <rFont val="Arial"/>
        <b/>
        <color theme="1"/>
        <sz val="12.0"/>
        <u/>
      </rPr>
      <t>Know, Show &amp; Fix:</t>
    </r>
    <r>
      <rPr>
        <rFont val="Arial"/>
        <b/>
        <color theme="1"/>
        <sz val="12.0"/>
      </rPr>
      <t xml:space="preserve"> Publicly discloses human rights due diligence processes, outcomes and what brand is doing to remediate any issues identified. (Please note: Auditing by itself does not represent a due diligence process.)</t>
    </r>
  </si>
  <si>
    <t xml:space="preserve">Due diligence on human rights risks, impacts and violations
Please note for this entire section: Due diligence is the process through which companies identify, prevent, mitigate and remedy their actual and potential adverse impacts. Due diligence can be included within broader enterprise risk management systems, provided that it goes beyond simply identifying and managing material risks to the enterprise itself to include issues occurring within their supply chain and focuses on identifying the most salient risks to workers, farmers and other affected stakeholders themselves.
A materiality matrix may be partially based on a companies due diligence process but they do not get points in this section purely for publishing a materiality matrix. 
</t>
  </si>
  <si>
    <r>
      <rPr>
        <rFont val="Arial"/>
        <color rgb="FF000000"/>
        <sz val="12.0"/>
      </rPr>
      <t xml:space="preserve">Discloses how the company works to identify and </t>
    </r>
    <r>
      <rPr>
        <rFont val="Arial"/>
        <color rgb="FF000000"/>
        <sz val="12.0"/>
      </rPr>
      <t xml:space="preserve">prioritise </t>
    </r>
    <r>
      <rPr>
        <rFont val="Arial"/>
        <color rgb="FF000000"/>
        <sz val="12.0"/>
      </rPr>
      <t xml:space="preserve">human rights risks, impacts and violations in its supply chain (its approach to conducting </t>
    </r>
    <r>
      <rPr>
        <rFont val="Arial"/>
        <color rgb="FF000000"/>
        <sz val="12.0"/>
      </rPr>
      <t>human rights</t>
    </r>
    <r>
      <rPr>
        <rFont val="Arial"/>
        <color rgb="FF000000"/>
        <sz val="12.0"/>
      </rPr>
      <t xml:space="preserve"> due diligence) </t>
    </r>
  </si>
  <si>
    <r>
      <rPr>
        <rFont val="Arial"/>
        <color theme="1"/>
        <sz val="12.0"/>
      </rPr>
      <t>We will only allow points in 4.1 if the data covers human rights. Auditing by itself does not represent a due diligence process.</t>
    </r>
    <r>
      <rPr>
        <rFont val="Arial"/>
        <color theme="1"/>
        <sz val="12.0"/>
        <u/>
      </rPr>
      <t xml:space="preserve"> </t>
    </r>
    <r>
      <rPr>
        <rFont val="Arial"/>
        <color theme="1"/>
        <sz val="12.0"/>
      </rPr>
      <t>Brands should not get points in the rest of this section if they are not disclosing their process.</t>
    </r>
  </si>
  <si>
    <t>Discloses how worker/producer/farmer representatives, unions and other affected stakeholders are involved in the due diligence process</t>
  </si>
  <si>
    <r>
      <rPr>
        <rFont val="Arial"/>
        <color theme="1"/>
        <sz val="12.0"/>
      </rPr>
      <t xml:space="preserve">For example, worker/producer/farmer representatives, unions and other affected stakeholders have been consulted throughout the due diligence process through feedback mechanisms and meetings. 
</t>
    </r>
    <r>
      <rPr>
        <rFont val="Arial"/>
        <color rgb="FFFF0000"/>
        <sz val="12.0"/>
      </rPr>
      <t xml:space="preserve">For example: "Following a case of forced labour for migrant workers in our factory, we have contacted an NGO to create a workers' centre where migrant workers could receive more information on their rights and how to raise issues using a hotline." The NGO should be named in the disclosure. </t>
    </r>
  </si>
  <si>
    <r>
      <rPr>
        <rFont val="Arial"/>
        <color rgb="FF000000"/>
        <sz val="12.0"/>
      </rPr>
      <t xml:space="preserve">Discloses how women workers, women's organisations, women human rights defenders and gender experts </t>
    </r>
    <r>
      <rPr>
        <rFont val="Arial"/>
        <color rgb="FF000000"/>
        <sz val="12.0"/>
      </rPr>
      <t>are involved in</t>
    </r>
    <r>
      <rPr>
        <rFont val="Arial"/>
        <color rgb="FF000000"/>
        <sz val="12.0"/>
      </rPr>
      <t xml:space="preserve"> all stages of human rights due diligence</t>
    </r>
  </si>
  <si>
    <t>Discloses the salient human rights risks, impacts and violations identified</t>
  </si>
  <si>
    <r>
      <rPr>
        <rFont val="Arial"/>
        <color theme="1"/>
        <sz val="12.0"/>
      </rPr>
      <t xml:space="preserve">We are looking for geographic hotspots and thematic risks and impacts to be identified. Researchers please take notes in column L of what countries and issues/violations the brand highlights in particular. We will be interested to see this information later on in the analysis stage. Brands should not get points in the rest of this section if they are not disclosing what the salient risks are.
</t>
    </r>
    <r>
      <rPr>
        <rFont val="Arial"/>
        <color rgb="FFFF0000"/>
        <sz val="12.0"/>
      </rPr>
      <t>One time disclosures/examples/case studies of salient risks can be accepted. See example: “In 2021, we identified two cases where forced labor indicators...in Thailand and the Philippines" and "Two suppliers located in China were actively engaged in projects with IPS, the supplier and the third-party labor standards consultant to ensure their respective factories were appropriately managing their working hours, paying overtime wages to workers and operating in a more transparent way."</t>
    </r>
    <r>
      <rPr>
        <rFont val="Arial"/>
        <color theme="1"/>
        <sz val="12.0"/>
      </rPr>
      <t xml:space="preserve">
</t>
    </r>
  </si>
  <si>
    <t xml:space="preserve">Discloses evidence of steps taken to cease, prevent, mitigate and remedy human rights risks, impacts and violations identified </t>
  </si>
  <si>
    <r>
      <rPr>
        <rFont val="Arial"/>
        <color theme="1"/>
        <sz val="12.0"/>
      </rPr>
      <t xml:space="preserve">We are looking for examples of what the company has done in response to any salient issues that were found during the due diligence process, for example, working with trade unions to resolve working hours or pay issues. This must clearly be linked to their due diligence process.
</t>
    </r>
    <r>
      <rPr>
        <rFont val="Arial"/>
        <color rgb="FFFF0000"/>
        <sz val="12.0"/>
      </rPr>
      <t>We will only accept output data i.e. number of workers trained, number of posters put up etc. For example, 100 workers received a training session on gender based violence or 10 posters about gender based violence were displayed at the factory.</t>
    </r>
  </si>
  <si>
    <t xml:space="preserve">Discloses the outcomes or results of steps taken to cease, prevent, mitigate and remedy human rights risks, impacts and violations identified </t>
  </si>
  <si>
    <r>
      <rPr>
        <rFont val="Arial"/>
        <color theme="1"/>
        <sz val="12.0"/>
      </rPr>
      <t xml:space="preserve">Will accept even if the results covers just one topic or one intervention made. We will only accept results clearly linked to the salient human rights risks, impacts and violations identified in the indicators above in this subsection.
</t>
    </r>
    <r>
      <rPr>
        <rFont val="Arial"/>
        <color rgb="FFFF0000"/>
        <sz val="12.0"/>
      </rPr>
      <t>We will only allow outcome or impact data i.e. 10% decrease in instances of gender based violence, or 10% workers self report feeling more confident in reporting gender based violence.</t>
    </r>
  </si>
  <si>
    <r>
      <rPr>
        <rFont val="Arial"/>
        <b/>
        <color theme="1"/>
        <sz val="12.0"/>
      </rPr>
      <t xml:space="preserve">4.1b </t>
    </r>
    <r>
      <rPr>
        <rFont val="Arial"/>
        <b/>
        <color theme="1"/>
        <sz val="12.0"/>
        <u/>
      </rPr>
      <t>Know, Show &amp; Fix:</t>
    </r>
    <r>
      <rPr>
        <rFont val="Arial"/>
        <b/>
        <color theme="1"/>
        <sz val="12.0"/>
      </rPr>
      <t xml:space="preserve"> Publicly discloses environmental due diligence processes, outcomes and what brand is doing to remediate any issues identified. (Please note: Auditing by itself does not represent a due diligence process.)</t>
    </r>
  </si>
  <si>
    <t xml:space="preserve">Due diligence on environmental risks, impacts and violations
Please note for this entire section: Due diligence is the process through which companies identify, prevent, mitigate and remedy their actual and potential adverse impacts. Due diligence can be included within broader enterprise risk management systems, provided that it goes beyond simply identifying and managing material risks to the enterprise itself to include issues occurring within their supply chain and focuses on identifying the most salient risks to workers, farmers and other affected stakeholders themselves.
A materiality matrix may be partially based on a companies due diligence process but they do not get points in this section purely for publishing a materiality matrix. 
</t>
  </si>
  <si>
    <t xml:space="preserve">Discloses how the company works to identify and prioritise environmental risks, impacts and violations in its supply chain (its approach to conducting environmental due diligence) </t>
  </si>
  <si>
    <t>We will only allow points in 4.1 if the data covers environmental topics. Auditing by itself does not represent a due diligence process. Brands should not get points in the rest of this section if they are not disclosing their process.</t>
  </si>
  <si>
    <t>Discloses how worker/producer/farmer representatives, unions and other affected stakeholders are involved in the environmental due diligence process</t>
  </si>
  <si>
    <t xml:space="preserve">For example, worker/producer/farmer representatives, unions and other affected stakeholders have been consulted throughout the due diligence process through feedback mechanisms and meetings. </t>
  </si>
  <si>
    <t>Discloses the salient environmental risks, impacts and violations identified</t>
  </si>
  <si>
    <t>We are looking for geographic hotspots and thematic risks and impacts to be identified. Researchers please take notes in column L of what countries and issues/violations the brand highlights in particular. We will be interested to see this information later on in the analysis stage. Brands should not get points in the rest of this section if they are not disclosing what the salient risks are.</t>
  </si>
  <si>
    <t xml:space="preserve">Discloses evidence of steps taken to cease, prevent, mitigate and remedy environmental risks, impacts and violations identified </t>
  </si>
  <si>
    <t>We are looking for examples of what the company has done in response to any salient issues that were found during the due diligence process, for example, initiatives to reduce water consumption. This must clearly be linked to their due diligence process.</t>
  </si>
  <si>
    <t xml:space="preserve">Discloses the outcomes or results of steps taken to cease, prevent, mitigate and remedy environmental risks, impacts and violations identified </t>
  </si>
  <si>
    <t>Will accept even if the results covers just one topic or one intervention made. We will only accept results clearly linked to the salient environmental risks, impacts and violations identified in the indicators above in this subsection.</t>
  </si>
  <si>
    <r>
      <rPr>
        <rFont val="Arial"/>
        <b/>
        <color theme="1"/>
        <sz val="12.0"/>
      </rPr>
      <t xml:space="preserve">4.2 </t>
    </r>
    <r>
      <rPr>
        <rFont val="Arial"/>
        <b/>
        <color theme="1"/>
        <sz val="12.0"/>
        <u/>
      </rPr>
      <t>Know:</t>
    </r>
    <r>
      <rPr>
        <rFont val="Arial"/>
        <b val="0"/>
        <color theme="1"/>
        <sz val="12.0"/>
      </rPr>
      <t xml:space="preserve"> </t>
    </r>
    <r>
      <rPr>
        <rFont val="Arial"/>
        <b/>
        <color theme="1"/>
        <sz val="12.0"/>
      </rPr>
      <t>Publicly discloses</t>
    </r>
    <r>
      <rPr>
        <rFont val="Arial"/>
        <b val="0"/>
        <color theme="1"/>
        <sz val="12.0"/>
      </rPr>
      <t xml:space="preserve"> </t>
    </r>
    <r>
      <rPr>
        <rFont val="Arial"/>
        <b/>
        <color theme="1"/>
        <sz val="12.0"/>
      </rPr>
      <t>how</t>
    </r>
    <r>
      <rPr>
        <rFont val="Arial"/>
        <b val="0"/>
        <color theme="1"/>
        <sz val="12.0"/>
      </rPr>
      <t xml:space="preserve"> </t>
    </r>
    <r>
      <rPr>
        <rFont val="Arial"/>
        <b/>
        <color theme="1"/>
        <sz val="12.0"/>
      </rPr>
      <t>the company assesses implementation of its supply chain policies (as described in section 1.2)</t>
    </r>
    <r>
      <rPr>
        <rFont val="Arial"/>
        <b val="0"/>
        <color theme="1"/>
        <sz val="12.0"/>
      </rPr>
      <t xml:space="preserve"> </t>
    </r>
    <r>
      <rPr>
        <rFont val="Arial"/>
        <b/>
        <color theme="1"/>
        <sz val="12.0"/>
      </rPr>
      <t>by facility (e.g. at factories, processing facilities, and farms)</t>
    </r>
  </si>
  <si>
    <t>Disclose the scope, process and accreditation for environmental audits</t>
  </si>
  <si>
    <r>
      <rPr>
        <rFont val="Arial"/>
        <color rgb="FF000000"/>
        <sz val="12.0"/>
      </rPr>
      <t xml:space="preserve">We are looking for companies to describe how they check to see whether suppliers are meeting their environmental standards (as usually set out of the Code of Conduct or similar document).
</t>
    </r>
    <r>
      <rPr>
        <rFont val="Arial"/>
        <color rgb="FFFF0000"/>
        <sz val="12.0"/>
      </rPr>
      <t>We will not accept disclosure on social audit methodologies unless the disclosure explicitly states that the brand monitors environmental components of the social audit. It is insufficient to simply state a social methodology with environmental components e.g. we use SA8000 to monitor suppliers. However if there is explicit qualification of environmental data, allow. E.g. we use SA8000 methodology to socially and environmentally monitor and audit suppliers.</t>
    </r>
    <r>
      <rPr>
        <rFont val="Arial"/>
        <color rgb="FF000000"/>
        <sz val="12.0"/>
      </rPr>
      <t xml:space="preserve">
</t>
    </r>
  </si>
  <si>
    <t>Discloses criteria for taking on new facilities before production commences to ensure the facility meets policies and standards</t>
  </si>
  <si>
    <t>For example, there may be a requirement that the facility passes a third party audit before manufacturing commences or at a certain stage of commencing production/completing a first order.</t>
  </si>
  <si>
    <t>Discloses number or % of workers interviewed offsite as part of audits</t>
  </si>
  <si>
    <t>Offsite means not on the facility premises (not in the canteen or dormitories).</t>
  </si>
  <si>
    <t>% of audits which included a trade union representative</t>
  </si>
  <si>
    <r>
      <rPr>
        <rFont val="Arial"/>
        <b/>
        <color theme="1"/>
        <sz val="12.0"/>
      </rPr>
      <t xml:space="preserve">4.3 </t>
    </r>
    <r>
      <rPr>
        <rFont val="Arial"/>
        <b/>
        <color theme="1"/>
        <sz val="12.0"/>
        <u/>
      </rPr>
      <t>Show:</t>
    </r>
    <r>
      <rPr>
        <rFont val="Arial"/>
        <b val="0"/>
        <color theme="1"/>
        <sz val="12.0"/>
      </rPr>
      <t xml:space="preserve"> </t>
    </r>
    <r>
      <rPr>
        <rFont val="Arial"/>
        <b/>
        <color theme="1"/>
        <sz val="12.0"/>
      </rPr>
      <t>Publicly discloses findings from its facility-level assessments (e.g. at factories, processing facilities, and farms)</t>
    </r>
  </si>
  <si>
    <t>Points for increasing degrees of disclosure</t>
  </si>
  <si>
    <t>Summary of assessment findings or aggregate facility rating without naming individual facilities</t>
  </si>
  <si>
    <t>At tier 1 level</t>
  </si>
  <si>
    <t xml:space="preserve">This rating can be based on social and/or environmental performance. </t>
  </si>
  <si>
    <t>Beyond tier 1</t>
  </si>
  <si>
    <t>Raw material level</t>
  </si>
  <si>
    <t xml:space="preserve">Facility-level rating by named facility </t>
  </si>
  <si>
    <t>Selected audit findings/reports by named facility</t>
  </si>
  <si>
    <t xml:space="preserve">Where brands are publishing tier one supplier list in Section 3 and are members of the Bangladesh/Transition Accord or part of the ILO Better Work programme, and the Accord/Better Work is linked to from the brand's own website, then they should receive these points. This is because you could technically cross-reference their list with the Accord inspection reports or BW compliance reports for specific factories. Bangladesh Alliance no longer counts as it has ceased operations. </t>
  </si>
  <si>
    <t>Where brands are publishing processing facilities in Section 3 and are members of the Bangladesh/Transition Accord, and the Accord is linked to from the brand's own website, then they should receive these points. Bangladesh Accord inspected factories are typically tier one suppliers but sometimes includes suppliers beyond tier one. Bangladesh Alliance no longer counts as it has ceased operations. Better Work programme only covers tier one suppliers.</t>
  </si>
  <si>
    <t xml:space="preserve">Full audit reports naming individual facilities </t>
  </si>
  <si>
    <t xml:space="preserve">You are very unlikely to see this level of disclosure from brands. However, this disclosure of full audit reports for specific factories is useful for unions, NGOs and worker representatives in order to enable evidence-based collective bargaining with factory managers/employers. </t>
  </si>
  <si>
    <r>
      <rPr>
        <rFont val="Arial"/>
        <b/>
        <color theme="1"/>
        <sz val="12.0"/>
      </rPr>
      <t xml:space="preserve">4.4A </t>
    </r>
    <r>
      <rPr>
        <rFont val="Arial"/>
        <b/>
        <color theme="1"/>
        <sz val="12.0"/>
        <u/>
      </rPr>
      <t>Fix:</t>
    </r>
    <r>
      <rPr>
        <rFont val="Arial"/>
        <b/>
        <color theme="1"/>
        <sz val="12.0"/>
      </rPr>
      <t xml:space="preserve"> Publicly discloses description and status of the remediation process</t>
    </r>
  </si>
  <si>
    <t>Discloses the process for remediation when non-compliances are found in a facility (e.g. corrective action plans that include stop-work notices, warning letters, supplementary training, and/or policy revision)</t>
  </si>
  <si>
    <r>
      <rPr>
        <rFont val="Arial"/>
        <color rgb="FF000000"/>
        <sz val="12.0"/>
      </rPr>
      <t xml:space="preserve">In other words, what do brands expect suppliers to do to fix problems found during audits. We are looking for a process here not just a mention of remediation. </t>
    </r>
    <r>
      <rPr>
        <rFont val="Arial"/>
        <color rgb="FF000000"/>
        <sz val="12.0"/>
      </rPr>
      <t>Best practice would include disclosure of the resources, funding and support offered to suppliers for corrective action to remediate non-compliances identified.</t>
    </r>
  </si>
  <si>
    <t>Discloses how the company engages with workers/producers/farmers, trade unions and any other affected stakeholders in the development and implementation of remediation/corrective action plans</t>
  </si>
  <si>
    <t>This could include factory-level worker and union involvement in the technical review and oversight of remediation plans and progress.</t>
  </si>
  <si>
    <t>Discloses exit strategy when a brand leaves a supplier (e.g. ensuring that policy is not to just cut-and-run, including an assessment on potential adverse human rights impacts and ensuring suppliers are given reasonable notice of intent to terminate the relationship)</t>
  </si>
  <si>
    <r>
      <rPr>
        <rFont val="Arial"/>
        <color theme="1"/>
        <sz val="12.0"/>
      </rPr>
      <t xml:space="preserve">We are looking for the specific steps that the company takes when ending a relationship with a supplier to manage the possible adverse impacts and risks to workers. May be referred to as a responsible exit strategy.
</t>
    </r>
    <r>
      <rPr>
        <rFont val="Arial"/>
        <color rgb="FFFF0000"/>
        <sz val="12.0"/>
      </rPr>
      <t xml:space="preserve">We will not accept vague disclosure to ‘responsibly exit’ unless qualified with details on the steps taken. We are looking for the specific steps that the company takes when ending a relationship with a supplier to manage the possible adverse impacts and risks to workers - e.g. ensuring that policy is not to just cut-and-run, including an assessment on potential adverse human rights impacts and ensuring suppliers are given reasonable notice of intent to terminate the relationship. </t>
    </r>
  </si>
  <si>
    <r>
      <rPr>
        <rFont val="Arial"/>
        <b/>
        <color theme="1"/>
        <sz val="12.0"/>
      </rPr>
      <t xml:space="preserve">4.4B </t>
    </r>
    <r>
      <rPr>
        <rFont val="Arial"/>
        <b/>
        <color theme="1"/>
        <sz val="12.0"/>
        <u/>
      </rPr>
      <t>Fix:</t>
    </r>
    <r>
      <rPr>
        <rFont val="Arial"/>
        <b/>
        <color theme="1"/>
        <sz val="12.0"/>
      </rPr>
      <t xml:space="preserve"> Publicly discloses how the company ensures human rights and environmental grievances from employees and workers are captured and addressed (no points given if whistleblowing is only for reasons of financial misconduct)  Reports published after January 2021</t>
    </r>
  </si>
  <si>
    <t>For direct employees</t>
  </si>
  <si>
    <t>Description of confidential whistleblowing or grievance mechanism e.g. web form, email, hotline (The mechanism itself must be published, not sufficient if they just say that they have it in place)</t>
  </si>
  <si>
    <t>Points will only be awarded if the mechanism itself is published (e.g. phone number or email address).</t>
  </si>
  <si>
    <t>For suppliers and vendors.  (No points given if onus is solely on the supplier to set up a grievance mechanism)</t>
  </si>
  <si>
    <r>
      <rPr>
        <rFont val="Arial"/>
        <color rgb="FF000000"/>
        <sz val="12.0"/>
      </rPr>
      <t xml:space="preserve">Best practice ensures that the grievance mechanism is available to all affected stakeholders (i.e. indigenous communities in sourcing countries) and available in local languages. 
</t>
    </r>
    <r>
      <rPr>
        <rFont val="Arial"/>
        <color rgb="FFFF0000"/>
        <sz val="12.0"/>
      </rPr>
      <t>Points will only be awarded if the mechanism itself is published (e.g. phone number or email address).</t>
    </r>
  </si>
  <si>
    <t>How the whistleblowing or feedback mechanism is implemented, i.e. how the company responds to complaints and/or reported violations of policies and standards</t>
  </si>
  <si>
    <t xml:space="preserve">For example, disclosing the timescales for addressing the complaints and for informing the complainant of steps taken or outcomes. Brands may also describe how complaints may be escalated to more senior levels or independent parties. Best practice would be for the grievance mechanism to be independently managed by a third party, not the brand itself. </t>
  </si>
  <si>
    <t>How workers are informed of the whistleblowing or grievance mechanism (e.g. posted a wall or board in the facility; via a training session with facility workers)</t>
  </si>
  <si>
    <t>Best practice would include disclosure of stakeholders access to whistleblower protection and grievance mechanisms in line with the UN Guiding Principles</t>
  </si>
  <si>
    <t>If the whistleblowing procedure or grievance mechanism is included in the supplier/vendor policies e.g. Code of Conduct (The mechanism itself must be published, not sufficient if they just say that they have it in place)</t>
  </si>
  <si>
    <t xml:space="preserve">Best practice would be that the brand accepts joint liability in investigating and remediating grievances raised through the mechanism. </t>
  </si>
  <si>
    <t>Discloses data about the number of reported violations or grievances filed, addressed and resolved</t>
  </si>
  <si>
    <t>The brand should receive the point even if they disclose only the number of grievances filed. The brand should not receive the point if they only disclose the number of grievances address or resolved without disclosing the number of grievances made in the first place. Best practice = when brands disclose all three.</t>
  </si>
  <si>
    <t>Total possible points for Section 4</t>
  </si>
  <si>
    <r>
      <rPr>
        <rFont val="Arial"/>
        <b/>
        <color theme="1"/>
        <sz val="12.0"/>
      </rPr>
      <t xml:space="preserve">5. SPOTLIGHT ISSUES
5.1 – DECENT WORK &amp; PURCHASING PRACTICES
5.2 – GENDER &amp; RACIAL EQUALITY
5.3 – SUSTAINABLE SOURCING &amp; MATERIALS
5.4 – OVERCONSUMPTION, WASTE &amp; CIRCULARITY
5.4 – WATER &amp; CHEMICALS
5.6 – CLIMATE CHANGE &amp; BIODIVERSITY
Reports published after January </t>
    </r>
    <r>
      <rPr>
        <rFont val="Arial"/>
        <b/>
        <color rgb="FFFF0000"/>
        <sz val="12.0"/>
      </rPr>
      <t>2021</t>
    </r>
    <r>
      <rPr>
        <rFont val="Arial"/>
        <b/>
        <color theme="1"/>
        <sz val="12.0"/>
      </rPr>
      <t>, where relevant to indicator</t>
    </r>
  </si>
  <si>
    <r>
      <rPr>
        <rFont val="Arial"/>
        <b/>
        <color theme="1"/>
        <sz val="12.0"/>
      </rPr>
      <t xml:space="preserve"> 5.1 – DECENT WORK &amp; PURCHASING PRACTICES</t>
    </r>
    <r>
      <rPr>
        <rFont val="Arial"/>
        <b val="0"/>
        <color theme="1"/>
        <sz val="12.0"/>
      </rPr>
      <t xml:space="preserve">
</t>
    </r>
    <r>
      <rPr>
        <rFont val="Arial"/>
        <b/>
        <color theme="1"/>
        <sz val="12.0"/>
      </rPr>
      <t xml:space="preserve">As related to SDG 8: Decent Work &amp; Economic Growth – particularly targets 8.5 and 8.8 </t>
    </r>
  </si>
  <si>
    <t>Discloses brand’s approach to recruitment fees in the supply chain, including whether the brand adopts the Employer Pays Principle and/or reimburses any costs workers have incurred during recruitment processes</t>
  </si>
  <si>
    <t xml:space="preserve">Best practice disclosure aligns with the Institute for Human Rights and Business 's Employer Pays Principle, which states that no worker should pay for a job and where the costs of recruitment should be borne not by the worker but by the employer). Best practice due diligence would include that workers are interviewed about their recruitment journey to establish if any fees or related costs have been paid. </t>
  </si>
  <si>
    <t>Discloses the number of workers in the supply chain affected by the payment of recruitment fees or related costs</t>
  </si>
  <si>
    <r>
      <rPr>
        <rFont val="Arial"/>
        <color rgb="FF000000"/>
        <sz val="12.0"/>
      </rPr>
      <t xml:space="preserve">This indicator aligns with the Corporate Human Rights Benchmark. Please see pg. 48 of CHRB </t>
    </r>
    <r>
      <rPr>
        <rFont val="Arial"/>
        <color rgb="FF000000"/>
        <sz val="12.0"/>
      </rPr>
      <t>Methodology</t>
    </r>
    <r>
      <rPr>
        <rFont val="Arial"/>
        <color rgb="FF000000"/>
        <sz val="12.0"/>
      </rPr>
      <t>.</t>
    </r>
  </si>
  <si>
    <t>Publishes data on the prevalence of modern slavery related violations and risk factors (e.g. excessive and forced overtime, restricted freedom of movement, retaining workers' passports or other identity/personal documents, withholding wages, debt bondage, grievances related to recruitment practices)</t>
  </si>
  <si>
    <t xml:space="preserve">Best practice addresses all of the modern slavery related violations listed rather than aggregated disclosure. We advocate for disclosure on the number of violations. Disclosure accepted for forced labour risk factors and violations identified in own operations and supply chain. </t>
  </si>
  <si>
    <t>Living wages</t>
  </si>
  <si>
    <t>Fashion Revolution, in coalition with allies, call on the European Commission to propose legislation requiring undertakings active in the garment and footwear sector to conduct due diligence in respect of living wages in their supply chains. See our Good Clothes, Fair Pay European Citizens Initiative campaign here</t>
  </si>
  <si>
    <t>Discloses the company's approach to achieving the payment of living wages to workers in the supply chain</t>
  </si>
  <si>
    <r>
      <rPr>
        <rFont val="Arial"/>
        <color rgb="FF000000"/>
        <sz val="12.0"/>
      </rPr>
      <t xml:space="preserve">The living wage questions refer to garment workers, factory workers and other supply chain producer involved in production. It doesn't include retail workers, warehouse staff or other employees in the company's owned operations. This question must be evidenced through a credible process such as ACT membership, Fair Wear Foundation Fair Wage Ladder, Fairtrade Textile Standard, FLA's Fair Compensation Strategy. </t>
    </r>
    <r>
      <rPr>
        <rFont val="Arial"/>
        <color rgb="FF000000"/>
        <sz val="12.0"/>
      </rPr>
      <t xml:space="preserve">With regards to disclosure of membership in multi-stakeholder initiatives, best practice would include a description of what specific measures the brand is taking beyond disclosure of membership to the MSI. </t>
    </r>
  </si>
  <si>
    <t>Publishes time-bound, measurable roadmap/strategy for how it will achieve a living wage for all workers across its supply chain</t>
  </si>
  <si>
    <t>Reports on annual, measurable progress towards paying living wages to workers in the supply chain</t>
  </si>
  <si>
    <r>
      <rPr>
        <rFont val="Arial"/>
        <color theme="1"/>
        <sz val="12.0"/>
      </rPr>
      <t xml:space="preserve">This could include data such as the number of wage management systems set up/improved, the outcomes of worker capacity building related to wage increases, outcomes of participation in initiatives such as ACT or FLA, the % of wage increases workers in the supply chain have received as result of brand's effort to improve wages, etc.
</t>
    </r>
    <r>
      <rPr>
        <rFont val="Arial"/>
        <color rgb="FFFF0000"/>
        <sz val="12.0"/>
      </rPr>
      <t>No points will be awarded for this indicator if no roadmap or strategy is disclosed above.</t>
    </r>
  </si>
  <si>
    <t>Discloses what living wage estimates brand uses to track and benchmark wages for workers in its supply chain</t>
  </si>
  <si>
    <r>
      <rPr>
        <rFont val="Arial"/>
        <color rgb="FF000000"/>
        <sz val="12.0"/>
      </rPr>
      <t xml:space="preserve">We are looking for information about how brands calculate and benchmark living wage rates for workers in their supply chain, such as by using the Anker methodology, Asia Floor Wage or WageIndicator Foundation data. They could be using multiple benchmarks. We will also accept if the brand uses in-house methods of calculating living wages but only if they disclose their calculation methodology. </t>
    </r>
    <r>
      <rPr>
        <rFont val="Arial"/>
        <b/>
        <color rgb="FF000000"/>
        <sz val="12.0"/>
      </rPr>
      <t xml:space="preserve">Please note, disclosure on membership to initiatives alone is not sufficient to receive points. </t>
    </r>
  </si>
  <si>
    <t xml:space="preserve">% of workers that are receiving wage payments digitally </t>
  </si>
  <si>
    <t>Best practice would include a full breakdown on the percentage of workers paid digitally, by cash and cheque.</t>
  </si>
  <si>
    <t>% above the minimum wage workers are paid in the brand’s supply chain</t>
  </si>
  <si>
    <t xml:space="preserve">Will accept if data only covers a small number of selected supplier facilities. </t>
  </si>
  <si>
    <t xml:space="preserve">Discloses the approximate percentage of workers paid by piece rate in their supply chain 
</t>
  </si>
  <si>
    <r>
      <rPr>
        <rFont val="Arial"/>
        <color rgb="FFFF0000"/>
        <sz val="12.0"/>
      </rPr>
      <t xml:space="preserve">We are looking for disclosure which also shares the geographies/product types where piece rate pay is most prevalent.
Piece rate is defined as work paid according to the number of units produced (e.g. the number of T-shirts produced) instead of being paid on the basis of time spent on the job. (https://www.ilo.org/wcmsp5/groups/public/---ed_dialogue/---dialogue/documents/publication/wcms_663063.pdf)
To understand why piece rate pay can be detrimental for garment workers, see this example from the Better Work Programme (https://betterwork.org/2018/12/20/piece-rate-pay-brings-mixed-results-for-garment-workers-new-study-shows/) 
"Workers whose pay is jointly determined by hourly pay and a piece rate (described as partial piece rate pay) are more likely to report reduced emotional and physical health compared to workers paid by the hour. Typically in these systems, workers receive the hourly base salary, which is often very low, and the incentive pay, based on the output, is obtained only if a certain output threshold is reached...suggesting that uncertainty or unpredictability in how payments are determined may be the driving factor of these detrimental effects." </t>
    </r>
    <r>
      <rPr>
        <rFont val="Arial"/>
        <color theme="1"/>
        <sz val="12.0"/>
      </rPr>
      <t xml:space="preserve">
</t>
    </r>
  </si>
  <si>
    <t>Where the presence of either (a) piece-rate workers and/or (b) daily wage workers have
been disclosed in the supply chain, reports on proportions who receive at least minimum
wage payment</t>
  </si>
  <si>
    <t>Reports on the overall proportion of factory workers who are paid at least minimum wages</t>
  </si>
  <si>
    <t xml:space="preserve">Discloses % or number of workers in supply chain that are being paid a living wage rate </t>
  </si>
  <si>
    <t xml:space="preserve">Will accept if data only if the living wage methodology used is disclosed. For example, the disclosure must be against a target that has been determined using credible methodologies such as the Anker methodology, Asia Floor Wage or WageIndicator Foundation. Unsubstantiated disclosure will not be accepted. </t>
  </si>
  <si>
    <t xml:space="preserve">Purchasing practices </t>
  </si>
  <si>
    <r>
      <rPr>
        <rFont val="Arial"/>
        <color rgb="FF000000"/>
        <sz val="12.0"/>
      </rPr>
      <t>Discloses method for calculating and ring-fencing labour costs (</t>
    </r>
    <r>
      <rPr>
        <rFont val="Arial"/>
        <color rgb="FF000000"/>
        <sz val="12.0"/>
      </rPr>
      <t>including wage rate</t>
    </r>
    <r>
      <rPr>
        <rFont val="Arial"/>
        <color rgb="FF000000"/>
        <sz val="12.0"/>
      </rPr>
      <t xml:space="preserve"> + overtime, social security, sick leave, vacation and other forms of leave as well as the cost of indirect labour and wage increases) in price negotiations</t>
    </r>
  </si>
  <si>
    <r>
      <rPr>
        <rFont val="Arial"/>
        <color rgb="FF000000"/>
        <sz val="12.0"/>
      </rPr>
      <t xml:space="preserve">Many of these indicators are required as part of ACT brand membership </t>
    </r>
    <r>
      <rPr>
        <rFont val="Arial"/>
        <color rgb="FF000000"/>
        <sz val="12.0"/>
      </rPr>
      <t xml:space="preserve">but ACT membership is not sufficient to score points. </t>
    </r>
  </si>
  <si>
    <t>% of orders/volume for which wages and other labour costs (such as wages increases) are isolated/ring-fenced</t>
  </si>
  <si>
    <t>% that the brand’s Free On Board (FOB) prices have increased or decreased on average in the past 12 months</t>
  </si>
  <si>
    <t xml:space="preserve">Publishes a standard, due-diligence aligned supplier agreement template, setting out typical order and payment terms and conditions
</t>
  </si>
  <si>
    <r>
      <rPr>
        <rFont val="Arial"/>
        <color rgb="FF000000"/>
        <sz val="12.0"/>
      </rPr>
      <t xml:space="preserve">Due diligence-aligned supplier agreements should include, at a minimum: 
- Commitment by both buyer and supplier to engage in human rights due diligence
</t>
    </r>
    <r>
      <rPr>
        <rFont val="Arial"/>
        <b/>
        <color rgb="FF000000"/>
        <sz val="12.0"/>
        <u/>
      </rPr>
      <t>Buyer commitments</t>
    </r>
    <r>
      <rPr>
        <rFont val="Arial"/>
        <color rgb="FF000000"/>
        <sz val="12.0"/>
      </rPr>
      <t>:
- Responsible purchasing practices
- Contract pricing that covers the costs of production and the costs associated with responsible business conduct 
- Reasonable assistance to support suppliers’ ability to uphold buyers’ human rights standards
- Responsible exit
Human rights remediation ahead of traditional contract remedies for human rights breaches</t>
    </r>
    <r>
      <rPr>
        <rFont val="Arial"/>
        <color rgb="FF000000"/>
        <sz val="12.0"/>
      </rPr>
      <t xml:space="preserve">
</t>
    </r>
  </si>
  <si>
    <t xml:space="preserve">Publishes a Responsible Purchasing Code of Conduct (aka “Buyer Code”)
</t>
  </si>
  <si>
    <r>
      <rPr>
        <rFont val="Arial"/>
        <b/>
        <color rgb="FF000000"/>
        <sz val="12.0"/>
        <u/>
      </rPr>
      <t>A Buyer Code</t>
    </r>
    <r>
      <rPr>
        <rFont val="Arial"/>
        <color rgb="FF000000"/>
        <sz val="12.0"/>
        <u/>
      </rPr>
      <t xml:space="preserve"> should include, at a minimum, commitments to: 
- Carrying out human rights due diligence, including responsible purchasing 
- Selecting suppliers using both commercial and human rights standards 
- Negotiating contracts fairly and agreeing prices that cover all costs of production, including those associated with responsible business conduct 
- Engaging in ongoing dialogue with suppliers throughout the course of the contract to ensure that buyers’ requests do not undermine human rights 
- Providing for or cooperating in human rights remediation in the event of a human rights breach
- Existing contracts responsibly, by giving reasonable notice, paying outstanding invoices, and taking measures to address adverse impacts connected to termination
Please see this example published by American Bar Association Business Law Working Group to Draft Model Contract Clauses to
Protect Human Rights in International Supply Chains, developed in wide consultation with industry stakeholders.</t>
    </r>
  </si>
  <si>
    <r>
      <rPr>
        <rFont val="Arial"/>
        <color rgb="FF000000"/>
        <sz val="12.0"/>
      </rPr>
      <t xml:space="preserve">Discloses policy on what % of the purchase order the brand typically pays to the supplier up front before production begins (in order to cover </t>
    </r>
    <r>
      <rPr>
        <rFont val="Arial"/>
        <color rgb="FF000000"/>
        <sz val="12.0"/>
      </rPr>
      <t xml:space="preserve">pre-production costs such as the purchase of </t>
    </r>
    <r>
      <rPr>
        <rFont val="Arial"/>
        <color rgb="FF000000"/>
        <sz val="12.0"/>
      </rPr>
      <t xml:space="preserve">raw materials </t>
    </r>
    <r>
      <rPr>
        <rFont val="Arial"/>
        <color rgb="FF000000"/>
        <sz val="12.0"/>
      </rPr>
      <t>and other inputs</t>
    </r>
    <r>
      <rPr>
        <rFont val="Arial"/>
        <color rgb="FF000000"/>
        <sz val="12.0"/>
      </rPr>
      <t>)</t>
    </r>
  </si>
  <si>
    <t>Discloses policy to pay suppliers within a maximum of 60 days (e.g. via UK Prompt Payment Code commitments)</t>
  </si>
  <si>
    <t>Discloses the average number of days in which purchase orders are paid in full to suppliers after delivery</t>
  </si>
  <si>
    <t>% of orders that have retrospective changes to their previously agreed payment terms</t>
  </si>
  <si>
    <t>Discloses annual supplier feedback on the brands’ purchasing practices through a formal process (e.g. via Better Buying platform, Supplier Summits, internal surveys of suppliers of brands’ purchasing practices)</t>
  </si>
  <si>
    <t>For example, if brands publish their Better Buying report then this would count. Please note: audits not sufficient</t>
  </si>
  <si>
    <t>Unionisation &amp; collective bargaining</t>
  </si>
  <si>
    <t>Number or % of supplier facilities that have independent, democratically elected trade unions</t>
  </si>
  <si>
    <t xml:space="preserve">Worker-management or worker participation committees do not count, we are looking for trade unions specifically. </t>
  </si>
  <si>
    <t>Number or % of workers in the supply chain that are covered by collective bargaining agreements</t>
  </si>
  <si>
    <t>Please note that claiming membership to multi-stakeholder initiatives that work on issues of collective bargaining, such as ACT, is not enough to receive credit. 
In 2022, we accepted disclosure that referenced Global Framework Agreements but moving forward, we will only accept data that references workers covered by collective bargaining agreements exclusively. The reason for this is that GFAs do not always lead to CBAs in facilities.</t>
  </si>
  <si>
    <t>Number of collective bargaining agreements that provide wages that are higher than required by local law for workers in the supply chain</t>
  </si>
  <si>
    <t>Publishes data on the prevalence of collective bargaining and freedom of association related violations in supplier facilities</t>
  </si>
  <si>
    <t xml:space="preserve"> 5.2 – GENDER &amp; RACIAL EQUALITY
As related to SDG 10: Reducing Inequalities – particularly targets 10.2, 10.3 and 10.4 </t>
  </si>
  <si>
    <t>Gender equality</t>
  </si>
  <si>
    <t>Publishes annual gender pay gap, including by distribution of job roles, within the company</t>
  </si>
  <si>
    <t xml:space="preserve">We will accept disclosure where the company provides a pay gap breakdown per quartile. This is aligned with UK reporting requirements. </t>
  </si>
  <si>
    <t>Publishes annual sex-disaggregated distribution of job roles (e.g. executive level, managers/supervisors, employees) within the company (head office, retail stories, owned and operated facilities)</t>
  </si>
  <si>
    <t>Publishes annual sex-disaggregated distribution of job roles (e.g. employees such as helpers, machinists verses supervisors/managers) in supplier facilities</t>
  </si>
  <si>
    <t>Publishes data on the prevalence of gender-based labour violations in supplier facilities (e.g. sexual harassment and other forms of gender-based violence; treatment and firing of pregnant workers; maternity pay; bathroom breaks during periods, etc.; women in supervisor/middle management roles; gender pay gap; women on Worker Participations Committees and in unions; etc.)</t>
  </si>
  <si>
    <t>Discloses actions focusing on the promotion of gender equality in supplier facilities (such as steps taken to address instances of gender-based violence or initiatives to promote women workers into leadership positions)</t>
  </si>
  <si>
    <r>
      <rPr>
        <rFont val="Arial"/>
        <color rgb="FF000000"/>
        <sz val="12.0"/>
      </rPr>
      <t xml:space="preserve">We are looking for actions and programs that foster a culture in favour of gender equality, inclusion of women in managerial and executive positions, and the promotion of gender equality in integration events of new </t>
    </r>
    <r>
      <rPr>
        <rFont val="Arial"/>
        <color rgb="FF000000"/>
        <sz val="12.0"/>
      </rPr>
      <t>workers.</t>
    </r>
  </si>
  <si>
    <t>Racial equality</t>
  </si>
  <si>
    <t>Publishes annual ethnicity pay gap, including by distribution of job roles (e.g. executive level, managers/supervisors, employees) within the company (head office, retail stories, owned and operated facilities)</t>
  </si>
  <si>
    <t>Publishes race/ethnicity breakdown by distribution of job roles (e.g. executive level, managers/supervisors, employees) within the company (head office, retail stories, owned and operated facilities)</t>
  </si>
  <si>
    <r>
      <rPr>
        <rFont val="Arial"/>
        <color rgb="FF000000"/>
        <sz val="12.0"/>
      </rPr>
      <t xml:space="preserve">Publishes actions focusing on the promotion of </t>
    </r>
    <r>
      <rPr>
        <rFont val="Arial"/>
        <color rgb="FF000000"/>
        <sz val="12.0"/>
      </rPr>
      <t>racial and ethnic equality in supplier facilities (such as steps taken to address instances of racial and ethnic discrimination or initiatives to promote racial or ethnic equality)</t>
    </r>
  </si>
  <si>
    <t xml:space="preserve">We are looking for actions and programs that foster a culture in favour of racial diversity, inclusion of people of colour in managerial and executive positions, and the promotion of racial equality in integration events of new employees. </t>
  </si>
  <si>
    <r>
      <rPr>
        <rFont val="Arial"/>
        <b/>
        <color theme="1"/>
        <sz val="12.0"/>
      </rPr>
      <t>5.3 – SUSTAINABLE SOURCING &amp; MATERIALS</t>
    </r>
    <r>
      <rPr>
        <rFont val="Arial"/>
        <b val="0"/>
        <color theme="1"/>
        <sz val="12.0"/>
      </rPr>
      <t xml:space="preserve">
</t>
    </r>
    <r>
      <rPr>
        <rFont val="Arial"/>
        <b/>
        <color theme="1"/>
        <sz val="12.0"/>
      </rPr>
      <t xml:space="preserve">As related to SDG 12: Responsible Consumption and Production – particularly targets 12.2 and 12.4 </t>
    </r>
  </si>
  <si>
    <r>
      <rPr>
        <rFont val="Arial"/>
        <color theme="1"/>
        <sz val="12.0"/>
      </rPr>
      <t xml:space="preserve">Discloses breakdown (% or tonnes) of types of fibres sourced annually (i.e. the fibre mix)
</t>
    </r>
    <r>
      <rPr>
        <rFont val="Arial"/>
        <b/>
        <color theme="1"/>
        <sz val="12.0"/>
      </rPr>
      <t xml:space="preserve"> </t>
    </r>
  </si>
  <si>
    <r>
      <rPr>
        <rFont val="Arial"/>
        <color rgb="FFFF0000"/>
        <sz val="12.0"/>
        <u/>
      </rPr>
      <t xml:space="preserve">We are looking for disclosure which states the annual fibre tonnage and the % of total fibre tonnage in metric tonnes. 
</t>
    </r>
    <r>
      <rPr>
        <rFont val="Arial"/>
        <color rgb="FF000000"/>
        <sz val="12.0"/>
        <u/>
      </rPr>
      <t>Best practice would include disclosure of both % of fibre, tonnes and types of fibres</t>
    </r>
    <r>
      <rPr>
        <rFont val="Arial"/>
        <color rgb="FFFF0000"/>
        <sz val="12.0"/>
        <u/>
      </rPr>
      <t xml:space="preserve"> sourced annually, with disclosure against the total fibre mix. 
Please see this link for an example of Best Practice disclosure and how this could be shared in the brand's reporting.
</t>
    </r>
  </si>
  <si>
    <t>Discloses a time-bound and measurable sustainable materials strategy, roadmap or targets</t>
  </si>
  <si>
    <r>
      <rPr>
        <rFont val="Arial"/>
        <color theme="1"/>
        <sz val="12.0"/>
      </rPr>
      <t xml:space="preserve">The strategy must cover multiple materials.
</t>
    </r>
    <r>
      <rPr>
        <rFont val="Arial"/>
        <color rgb="FFFF0000"/>
        <sz val="12.0"/>
      </rPr>
      <t>For example, the target could be 100% sustainable materials and they could state that this includes organic cotton, leather etc.</t>
    </r>
  </si>
  <si>
    <t>Publishes annual progress on achieving sustainable material targets (e.g. what % of materials are made using conventional/virgin materials verses more sustainable materials such as organic/Fairtrade, recycled/repurposed, recycled and sustainable wool, recycled polyester, chrome-free/recycled leather, sustainably sourced forest based fabrics)</t>
  </si>
  <si>
    <r>
      <rPr>
        <rFont val="Arial"/>
        <color theme="1"/>
        <sz val="12.0"/>
      </rPr>
      <t xml:space="preserve">Brands should only receive this point if they publish progress for more than one material.
</t>
    </r>
    <r>
      <rPr>
        <rFont val="Arial"/>
        <color rgb="FFFF0000"/>
        <sz val="12.0"/>
      </rPr>
      <t>No points will be awarded unless a clear target is defined above.</t>
    </r>
  </si>
  <si>
    <t>Explains what tool or process they use to define what is considered a 'sustainable' material</t>
  </si>
  <si>
    <t>For example, the brand may specify and provide a hyperlink to a particular sustainable materials benchmark they use such as the Textile Exchange Preferred Fibre and Material Exchange Index.</t>
  </si>
  <si>
    <t>Publishes measurable, time-bound targets for the reduction of textiles deriving from virgin fossil fuels</t>
  </si>
  <si>
    <t>Best practice would include disclosure on the elimination of synthetic materials.</t>
  </si>
  <si>
    <t>Publishes annual progress on the reduction of textiles deriving from virgin fossil fuels</t>
  </si>
  <si>
    <t>No points will be awarded unless a clear target is defined above.</t>
  </si>
  <si>
    <t>Publishes measurable, time-bound targets for the reduction of virgin plastics for packaging (including accessories, hangers, packaging)</t>
  </si>
  <si>
    <t>Publishes annual progress on the reduction of virgin plastics for packaging (including accessories, hangers, packaging)</t>
  </si>
  <si>
    <r>
      <rPr>
        <rFont val="Arial"/>
        <color rgb="FF000000"/>
        <sz val="12.0"/>
      </rPr>
      <t xml:space="preserve">We are looking for disclosure beyond stating membership or commitments to initiatives. 
</t>
    </r>
    <r>
      <rPr>
        <rFont val="Arial"/>
        <color rgb="FFFF0000"/>
        <sz val="12.0"/>
      </rPr>
      <t>No points will be awarded unless a clear target is defined above.</t>
    </r>
  </si>
  <si>
    <t>Discloses what the brand is doing to minimise the impact of microfibres</t>
  </si>
  <si>
    <t>This could be through testing of materials and products to assess microfibre shedding, designing products for reduced shedding, or partnering with research bodies or multi-stakeholder initiatives to understand microfibre impacts and develop science-based tools.</t>
  </si>
  <si>
    <r>
      <rPr>
        <rFont val="Arial"/>
        <b/>
        <color theme="1"/>
        <sz val="12.0"/>
      </rPr>
      <t>5.4 – OVERCONSUMPTION, WASTE &amp; CIRCULARITY</t>
    </r>
    <r>
      <rPr>
        <rFont val="Arial"/>
        <b val="0"/>
        <color theme="1"/>
        <sz val="12.0"/>
      </rPr>
      <t xml:space="preserve">
</t>
    </r>
    <r>
      <rPr>
        <rFont val="Arial"/>
        <b/>
        <color theme="1"/>
        <sz val="12.0"/>
      </rPr>
      <t>As related to SDG 12: Responsible Consumption and Production – particularly targets 12.5, 12.6 and 12.8</t>
    </r>
  </si>
  <si>
    <t xml:space="preserve">Discloses quantity of products produced during the annual reporting period
</t>
  </si>
  <si>
    <t>We are looking to see how many items brands produced in the past year. For example, 'we produced 1.5 billion products in 2021.'</t>
  </si>
  <si>
    <r>
      <rPr>
        <rFont val="Arial"/>
        <color rgb="FFFF0000"/>
        <sz val="12.0"/>
      </rPr>
      <t>Discloses a commitment to degrowth</t>
    </r>
    <r>
      <rPr>
        <rFont val="Arial"/>
        <color theme="1"/>
        <sz val="12.0"/>
      </rPr>
      <t xml:space="preserve">
</t>
    </r>
    <r>
      <rPr>
        <rFont val="Arial"/>
        <b/>
        <color theme="1"/>
        <sz val="12.0"/>
      </rPr>
      <t xml:space="preserve"> </t>
    </r>
  </si>
  <si>
    <t>Degrowth is a critique of the global capitalist system which pursues growth at all costs, causing human exploitation and environmental destruction. The degrowth movement prioritises social and ecological well-being instead of corporate profits, over-production and excess consumption. It requires radical redistribution, reduction in the material size of the global economy, and a shift in common values towards care, solidarity and autonomy. (degrowth.info) Importantly, this should be viewed primarily as the deliberate reduction of socially and environmentally damaging practices, like overproduction, excess consumption and usage of finite resources by the Global North. Fashion Revolution stands in solidarity with those countries and people facing the impacts of the climate crisis and who are ultimately the least responsible for its cause. 
We will only accept disclosure that states commitment to reduce volume output of new items per year e.g. number of new items produced per year. We will not accept disclosure on reduction of individual environmental impact per product if there is no disclosed commitment to reduce overall production of new items.</t>
  </si>
  <si>
    <t>Discloses quantity of pre-production waste generated annually (e.g. offcuts, scraps, threads, end of roll fabrics)</t>
  </si>
  <si>
    <t>We are looking to see the amount of pre-production textile waste from manufacturing is generated each year. For example, 'We produced 10,000 tonnes of pre-production textile waste in 2021.'</t>
  </si>
  <si>
    <t>Discloses quantity of post-production/pre-consumer waste generated annually (e.g. deadstock, overstock, samples)</t>
  </si>
  <si>
    <t>We are looking to see the amount of post-production textile waste generated each year e.g. deadstock, overstock, samples. For example, 'We produced 10,000 tonnes of deadstock/overstock/samples in 2021.'</t>
  </si>
  <si>
    <t>Discloses breakdown (% or tonnes) of how pre-consumer waste is reused or recycled (e.g. downcycled, sold locally, used for energy recovery, resold into other markets, upcycled, recycled into new textiles)</t>
  </si>
  <si>
    <t>We are looking to see how much of the brand's pre-consumer waste is reused or recycled e.g. downcycled, resold locally, used for energy recovery, resold into other markets, upcycled, recycled into new textiles. For example, 'In 2021, we recycled 80% of pre-production textile waste into new textiles, 20% of pre-production textile waste was downcycled.</t>
  </si>
  <si>
    <t xml:space="preserve">% or tonnes of textiles or number of items destroyed (typically incinerated) during the annual reporting period </t>
  </si>
  <si>
    <t>We are looking to see how much of the brand's waste is destroyed. We are looking for this to cover all textile waste that has been incinerated in the textile production process, this should clearly state that it covers both post and pre production textiles/items.</t>
  </si>
  <si>
    <t>Offers permanent, year-round take-back schemes/in-store recycling</t>
  </si>
  <si>
    <t>One-off or irregular projects not sufficient for the point.</t>
  </si>
  <si>
    <t>Discloses what happens to clothes received through take-back scheme (e.g. how much is resold locally, resold into other markets, downcycled, upcycled, recycled into new textiles)</t>
  </si>
  <si>
    <t xml:space="preserve">Best practice disclosure would also state the volume of textiles collected via the take-back scheme (in tonnes or equivalent), but this is not required for the point. </t>
  </si>
  <si>
    <t xml:space="preserve">Offers new business models that support clothing longevity and slow down consumption of new clothing such as renting and reselling </t>
  </si>
  <si>
    <t>Take-back schemes do not apply.</t>
  </si>
  <si>
    <t xml:space="preserve">Offers repair services in order to increase clothing longevity  and slow down consumption of new clothing </t>
  </si>
  <si>
    <t>Disclose evidence of developing circular solutions that enable textile to textile recycling beyond reuse and downcycling (e.g. closed loop textile recycling; nb. use of recycled materials not sufficient)</t>
  </si>
  <si>
    <r>
      <rPr>
        <rFont val="Arial"/>
        <color rgb="FF000000"/>
        <sz val="12.0"/>
      </rPr>
      <t xml:space="preserve">For example, if brands are investing in innovations like Worn Again or Evrnu or perhaps if they have specific projects with Ellen MacArthur Foundation or the Centre for Circular Design. Take back schemes are not to be counted in these two indicators. Best practice would include disclosure on how much the brand is investing in the development of circular solutions as a % of their revenue.  
</t>
    </r>
    <r>
      <rPr>
        <rFont val="Arial"/>
        <color rgb="FFFF0000"/>
        <sz val="12.0"/>
      </rPr>
      <t xml:space="preserve">Please note: We will only allow points if the disclosure explicitly states what projects the brand is working on with Ellen Macarthur Foundation or Centre for Circular Design. Stating “partnered with” is not detailed enough. We need disclosure on the project and how the brand is actively working with EMF. </t>
    </r>
  </si>
  <si>
    <t>Discloses % of products that are designed to enable closed loop or textile to textile recycling at end of life</t>
  </si>
  <si>
    <r>
      <rPr>
        <rFont val="Arial"/>
        <color rgb="FF000000"/>
        <sz val="12.0"/>
      </rPr>
      <t xml:space="preserve">Best practice is design which aligns with Ellen MacArthur Foundation's Vision of a Circular Economy for Fashion. In short, EMF advocates that a circular economy is based on three principles, driven by design: eliminate waste and pollution, circulate products and materials (at their highest value), and regenerate nature. 
</t>
    </r>
    <r>
      <rPr>
        <rFont val="Arial"/>
        <color rgb="FF000000"/>
        <sz val="12.0"/>
      </rPr>
      <t xml:space="preserve">(https://ellenmacarthurfoundation.org/topics/circular-economy-introduction/overview#:~:text=timescales.%20and%20materials.-,A%20circular%20economy,the%20consumption%20of%20finite%20resources.) </t>
    </r>
  </si>
  <si>
    <t xml:space="preserve">Discloses efforts to provide upskilling and/or investment in supply chain workers for a Just Transition to Circular Economy </t>
  </si>
  <si>
    <r>
      <rPr>
        <rFont val="Arial"/>
        <color rgb="FFFF0000"/>
        <sz val="12.0"/>
        <u/>
      </rPr>
      <t xml:space="preserve">Brand can describe how the workforce is being upskilled to transition jobs from production to repair, reuse etc as part of the supply chain adopting circular economy models. E.g., the number of workers benefiting from training with an outline of what the training includes.
For more information on how to centre workers in the transition to circular fashion, please look at </t>
    </r>
    <r>
      <rPr>
        <rFont val="Arial"/>
        <color rgb="FF1155CC"/>
        <sz val="12.0"/>
        <u/>
      </rPr>
      <t>BSR's Keeping Workers in the Loop report</t>
    </r>
    <r>
      <rPr>
        <rFont val="Arial"/>
        <color rgb="FFFF0000"/>
        <sz val="12.0"/>
        <u/>
      </rPr>
      <t xml:space="preserve"> as well as a case study from the Fashion Transparency Index 2022 on pg. 102 on the Climate, Automation and Circularity.  </t>
    </r>
  </si>
  <si>
    <r>
      <rPr>
        <rFont val="Arial"/>
        <b/>
        <color theme="1"/>
        <sz val="12.0"/>
      </rPr>
      <t>5.5 – WATER &amp; CHEMICALS</t>
    </r>
    <r>
      <rPr>
        <rFont val="Arial"/>
        <b val="0"/>
        <color theme="1"/>
        <sz val="12.0"/>
      </rPr>
      <t xml:space="preserve">
</t>
    </r>
    <r>
      <rPr>
        <rFont val="Arial"/>
        <b/>
        <color theme="1"/>
        <sz val="12.0"/>
      </rPr>
      <t xml:space="preserve">As related to SDG 6: Clean Water – particularly targets 6.3 and 6.4 </t>
    </r>
  </si>
  <si>
    <t>Discloses a time-bound commitment/roadmap to eliminate the use of hazardous chemicals as aligned with international standards such as ZDHC and Bluesign</t>
  </si>
  <si>
    <t>Discloses measurable progress towards eliminating the use of hazardous chemicals at supply chain partners as aligned with international standards such as ZDHC MRSL, e.g. via Bluesign or STeP by Oeko Tex</t>
  </si>
  <si>
    <r>
      <rPr>
        <rFont val="Arial"/>
        <color rgb="FF000000"/>
        <sz val="12.0"/>
      </rPr>
      <t xml:space="preserve">If no clear target disclosed, no points available for progress.Targets referring to RSL requirements (product level, also PRSL) are insufficient, as targets should refer to elimination of use in production. Evaluation of reaching targets should therefore be done by evaluating the supply chain partners’ chemical inventories, e.g. via ZDHC InCheck or STeP or Bluesign certificates for individual supply chain partners. For viscose/modal, we will accept disclosure on reduction as some chemicals cannot be eliminated. Best practice includes disclosure on how progress is measured and information on how chemical inventories are verified.
</t>
    </r>
    <r>
      <rPr>
        <rFont val="Arial"/>
        <color rgb="FFFF0000"/>
        <sz val="12.0"/>
      </rPr>
      <t>No points will be awarded unless a clear target is defined above.</t>
    </r>
  </si>
  <si>
    <t>Publishes supplier wastewater test results</t>
  </si>
  <si>
    <r>
      <rPr>
        <rFont val="Arial"/>
        <color rgb="FF000000"/>
        <sz val="12.0"/>
      </rPr>
      <t xml:space="preserve">For example, publishing wastewater testing results publicly on the Institute of Environmental Affairs (IPE) website. </t>
    </r>
    <r>
      <rPr>
        <rFont val="Arial"/>
        <color rgb="FF000000"/>
        <sz val="12.0"/>
      </rPr>
      <t xml:space="preserve">The ZDHC Detox Live platform (on their 'Gateway') does not currently disclose wastewater test results to the public, or NGOs/Trade Unions. Points should only be given when wastewater test reports (laboratory reports) are disclosed via IPE or on a company's own website in line with the ZDHC programme, Oeko-Tex, Bluesign, AFIRM, EU Ecolabel, the Nordic Swan, Global Organic Textile Standard (GOTS) and equivalent. </t>
    </r>
  </si>
  <si>
    <t>Publishes annual water footprint in company’s owned and operated facilities (e.g. head office, retail stores, distribution centres, warehouses, etc.)</t>
  </si>
  <si>
    <t>Publishes annual water footprint at manufacturing and/or processing facility level</t>
  </si>
  <si>
    <t xml:space="preserve">We will accept the overall footprint but best practice is to disclose by facility. </t>
  </si>
  <si>
    <t>Publishes annual water footprint at fibre production and/or raw material level</t>
  </si>
  <si>
    <t>Discloses process or methodology for conducting water-related risk assessments</t>
  </si>
  <si>
    <t>Best practice includes alignment and engagement with WRI Water Aqueduct Too, WWF Water Atlas Filter, WBCSD Global Water Tool as well as CDP Water. Additionally, engagement on managing water use with suppliers in water-risk basins.</t>
  </si>
  <si>
    <t xml:space="preserve">5.6 - CLIMATE CHANGE &amp; BIODIVERSITY
As related to SDG 13: Climate Action target 13.3 and SDG 15: Life on Land – particularly targets 15.1, 15.2, 15.3 and 15.5 
</t>
  </si>
  <si>
    <t>Decarbonisation, deforestation and regeneration</t>
  </si>
  <si>
    <t xml:space="preserve">Publishes time-bound, measurable commitment to decarbonisation </t>
  </si>
  <si>
    <r>
      <rPr>
        <rFont val="Arial"/>
        <color rgb="FF000000"/>
        <sz val="12.0"/>
      </rPr>
      <t>Must cover Scopes 1, 2 and 3, i.e. supply chain and own operation</t>
    </r>
    <r>
      <rPr>
        <rFont val="Arial"/>
        <color rgb="FFFF0000"/>
        <sz val="12.0"/>
      </rPr>
      <t xml:space="preserve"> and these figures must be verified by the Science Based Targets Initiative. You must include a link to the SBTI website from the brand website. </t>
    </r>
  </si>
  <si>
    <r>
      <rPr>
        <rFont val="Arial"/>
        <color theme="1"/>
        <sz val="12.0"/>
      </rPr>
      <t xml:space="preserve">Publishes </t>
    </r>
    <r>
      <rPr>
        <rFont val="Arial"/>
        <color rgb="FFFF0000"/>
        <sz val="12.0"/>
      </rPr>
      <t>near (5-10 years)</t>
    </r>
    <r>
      <rPr>
        <rFont val="Arial"/>
        <color theme="1"/>
        <sz val="12.0"/>
      </rPr>
      <t xml:space="preserve"> and </t>
    </r>
    <r>
      <rPr>
        <rFont val="Arial"/>
        <color rgb="FFFF0000"/>
        <sz val="12.0"/>
      </rPr>
      <t xml:space="preserve">long term (2040-2050) </t>
    </r>
    <r>
      <rPr>
        <rFont val="Arial"/>
        <color theme="1"/>
        <sz val="12.0"/>
      </rPr>
      <t xml:space="preserve">science-based targets (aligned with the 1.5°C pathway) in line with the Science Based Targets Initiative. </t>
    </r>
  </si>
  <si>
    <t xml:space="preserve">We are looking for disclosure that is approved by SBTi and covers scopes 1,2 and 3 and includes accounting for land-based emissions or removals in their targets or disclosures. Further guidance for Apparel and Footwear (https://sciencebasedtargets.org/sectors/apparel-and-footwear) and Forest, Land and Agriculture guidance (FLAG) https://sciencebasedtargets.org/sectors/forest-land-and-agriculture
</t>
  </si>
  <si>
    <t xml:space="preserve">Publishes measurable progress towards decarbonisation. </t>
  </si>
  <si>
    <r>
      <rPr>
        <rFont val="Arial"/>
        <color rgb="FFFF0000"/>
        <sz val="12.0"/>
      </rPr>
      <t xml:space="preserve">Must have a clear, detailed implementation. </t>
    </r>
    <r>
      <rPr>
        <rFont val="Arial"/>
        <color rgb="FF000000"/>
        <sz val="12.0"/>
      </rPr>
      <t xml:space="preserve">
If no clear target disclosed, no points available for progress. 
 </t>
    </r>
  </si>
  <si>
    <t xml:space="preserve">Discloses the level annual investment in decarbonisation (i.e. investment in R&amp;D, purchase of facilities, helping suppliers access finance to cover costs of a green transition, sustainability-linked loan, insetting back into supply chain such as investment in renewables or regenerative farming) to demonstrate action on decarbonisation targets
</t>
  </si>
  <si>
    <t xml:space="preserve">We are looking for evidence that the brand is supporting Scope 3 decarbonisation. This disclosure needs to be core to their SBTI Action Plan and not a pilot project. </t>
  </si>
  <si>
    <t>Explains what is included in the company's scopes 1, 2 and 3 emissions</t>
  </si>
  <si>
    <r>
      <rPr>
        <rFont val="Arial"/>
        <color rgb="FF000000"/>
        <sz val="12.0"/>
      </rPr>
      <t xml:space="preserve">When calculating their carbon footprint, brands do not always disclose what is in and out of scope.
Best practice would include listing the different categories accounted for in Scope 3, in alignment with the Greenhouse Gas Protocol. </t>
    </r>
    <r>
      <rPr>
        <rFont val="Arial"/>
        <color rgb="FFFF0000"/>
        <sz val="12.0"/>
      </rPr>
      <t xml:space="preserve">
The Greenhouse Gas Protocol categorizes direct and indirect emissions into three broad scopes:
- </t>
    </r>
    <r>
      <rPr>
        <rFont val="Arial"/>
        <b/>
        <color rgb="FFFF0000"/>
        <sz val="12.0"/>
        <u/>
      </rPr>
      <t>Scope 1</t>
    </r>
    <r>
      <rPr>
        <rFont val="Arial"/>
        <color rgb="FFFF0000"/>
        <sz val="12.0"/>
      </rPr>
      <t xml:space="preserve">: Direct GHG emissions occur from sources that are owned or controlled by the company, for example, emissions from combustion in owned or controlled boilers, furnaces, vehicles, etc.; emissions from chemical production in owned or controlled process equipment.
- </t>
    </r>
    <r>
      <rPr>
        <rFont val="Arial"/>
        <b/>
        <color rgb="FFFF0000"/>
        <sz val="12.0"/>
        <u/>
      </rPr>
      <t>Scope 2</t>
    </r>
    <r>
      <rPr>
        <rFont val="Arial"/>
        <color rgb="FFFF0000"/>
        <sz val="12.0"/>
      </rPr>
      <t xml:space="preserve">: Indirect greenhouse gas emissions from consumption of purchased electricity, heat or steam.
- </t>
    </r>
    <r>
      <rPr>
        <rFont val="Arial"/>
        <b/>
        <color rgb="FFFF0000"/>
        <sz val="12.0"/>
        <u/>
      </rPr>
      <t>Scope 3</t>
    </r>
    <r>
      <rPr>
        <rFont val="Arial"/>
        <color rgb="FFFF0000"/>
        <sz val="12.0"/>
      </rPr>
      <t xml:space="preserve">: Other indirect emissions, such as the extraction and production of purchased materials and fuels, transport-related activities in vehicles not owned or controlled by the reporting entity, electricity-related activities (e.g. T&amp;D losses) not covered in Scope 2, outsourced activities, waste disposal, etc.
Science-based targets must cover scopes 1 and 2. For companies whose scope 3 emissions cover more than 40% of their combined scope 1, 2 and 3 emissions, targets must cover scope 3.
For guidance on what to include in each scope, please refer to the GHG Protocol Corporate Standard (https://ghgprotocol.org/corporate-standard). For specific guidance on what to include in Scope 3, please refer to GHG Protocol Scope 3 Guidance (https://ghgprotocol.org/scope-3-technical-calculation-guidance).
Please consult the SBTi criteria for further details (https://sciencebasedtargets.org/resources/files/SBTi-criteria.pdf). </t>
    </r>
  </si>
  <si>
    <t>Publishes evidence that maps environmental risks and impacts directly to financial statements (eg Environmental Profit &amp; Loss)</t>
  </si>
  <si>
    <r>
      <rPr>
        <rFont val="Arial"/>
        <color rgb="FF000000"/>
        <sz val="12.0"/>
        <u/>
      </rPr>
      <t xml:space="preserve">This could be done by putting a cost on environmental risks. For example: costs associated with closing down a factory in a country at high risk of floods.  This is the type of disclosure you may find in a CDP Climate questionnaire. 
</t>
    </r>
    <r>
      <rPr>
        <rFont val="Arial"/>
        <color rgb="FFFF0000"/>
        <sz val="12.0"/>
        <u/>
      </rPr>
      <t xml:space="preserve">
Best practice is to disclose in alignment with the Task Force on Climate Related Financial Disclosures. This should include a list of risks and opportunities as well as financial implications of the top risks and opportunities to the business, where climate should be a principal risk on the company risk register.</t>
    </r>
    <r>
      <rPr>
        <rFont val="Arial"/>
        <b/>
        <color rgb="FF000000"/>
        <sz val="12.0"/>
        <u/>
      </rPr>
      <t xml:space="preserve">
</t>
    </r>
  </si>
  <si>
    <t>Publishes time-bound, measurable commitment to zero deforestation</t>
  </si>
  <si>
    <t>Will not allow net zero deforestation which allows for the clearance or conversion of forests in one area as long as an equal area is replanted elsewhere. Looking for best practice on this issue which is zero deforestation.</t>
  </si>
  <si>
    <t>Publishes measurable progress towards achieving zero deforestation</t>
  </si>
  <si>
    <t xml:space="preserve">If no clear target disclosed, no points available for progress. </t>
  </si>
  <si>
    <t>Discloses evidence of implementing regenerative farming practices in one or more raw material sources</t>
  </si>
  <si>
    <r>
      <rPr>
        <rFont val="Arial"/>
        <color theme="1"/>
        <sz val="12.0"/>
      </rPr>
      <t>Regenerative Agriculture is a system of farming principles and practices that increases biodiversity, enriches soils, improves watersheds and enhances ecosystem services, including carbon sequestration.</t>
    </r>
    <r>
      <rPr>
        <rFont val="Arial"/>
        <color rgb="FFFF0000"/>
        <sz val="12.0"/>
      </rPr>
      <t xml:space="preserve"> </t>
    </r>
    <r>
      <rPr>
        <rFont val="Arial"/>
        <color theme="1"/>
        <sz val="12.0"/>
      </rPr>
      <t xml:space="preserve">We are also looking for disclosure on how brands financially support farmers to transition to more regenerative farming practices. </t>
    </r>
    <r>
      <rPr>
        <rFont val="Arial"/>
        <color rgb="FFFF0000"/>
        <sz val="12.0"/>
      </rPr>
      <t xml:space="preserve">For instance, brands may have set an internal carbon price and based on their carbon footprint, set up a fund where the money will fund initiatives that will restore the environment - agroforestry projects with their farmers etc. 
</t>
    </r>
  </si>
  <si>
    <t>Carbon emissions</t>
  </si>
  <si>
    <t>Publishes annual carbon footprint or GHG emissions in owned and operated facilities (e.g. head office, retail stores, distribution centres, warehouses, transport and mail orders, etc.)</t>
  </si>
  <si>
    <t>Publishes annual value chain/scope 3 carbon footprint, focusing on detailed calculations on GHG emissions in the supply chain (e.g. at manufacturing and processing facilities, textile production), with estimations for downstream impacts</t>
  </si>
  <si>
    <r>
      <rPr>
        <rFont val="Arial"/>
        <color rgb="FF000000"/>
        <sz val="12.0"/>
        <u/>
      </rPr>
      <t xml:space="preserve">Points awarded if brands discloses emissions aligned with GHG protocol under purchased goods and services.
The supply chain means supplier factories, processing facilities, fabric suppliers, tier one and beyond such as via </t>
    </r>
    <r>
      <rPr>
        <rFont val="Arial"/>
        <color rgb="FF000000"/>
        <sz val="12.0"/>
        <u/>
      </rPr>
      <t>IPE.org.cn</t>
    </r>
    <r>
      <rPr>
        <rFont val="Arial"/>
        <color rgb="FF000000"/>
        <sz val="12.0"/>
        <u/>
      </rPr>
      <t xml:space="preserve">. </t>
    </r>
    <r>
      <rPr>
        <rFont val="Arial"/>
        <color rgb="FF000000"/>
        <sz val="12.0"/>
        <u/>
      </rPr>
      <t>Companies should publish methodology used and % of primary vs secondary data and plans to improve the accuracy of the calculation.</t>
    </r>
  </si>
  <si>
    <t>Publishes annual value chain/carbon footprint at a raw material level, with estimations for downstream impacts</t>
  </si>
  <si>
    <r>
      <rPr>
        <rFont val="Arial"/>
        <color theme="1"/>
        <sz val="12.0"/>
      </rPr>
      <t xml:space="preserve">Points awarded if brands discloses emissions aligned with GHG protocol under purchased goods and services. </t>
    </r>
    <r>
      <rPr>
        <rFont val="Arial"/>
        <color rgb="FFFF0000"/>
        <sz val="12.0"/>
      </rPr>
      <t xml:space="preserve">Raw materials coming from agricultural processes should progress to being split out according to the GHGP Land Use and SBTi FLAG guidances. </t>
    </r>
    <r>
      <rPr>
        <rFont val="Arial"/>
        <color theme="1"/>
        <sz val="12.0"/>
      </rPr>
      <t xml:space="preserve">
</t>
    </r>
  </si>
  <si>
    <t>Energy use</t>
  </si>
  <si>
    <t>Discloses data on absolute energy reduction in the supply chain (e.g. at manufacturing and processing facilities, fibre production level)</t>
  </si>
  <si>
    <r>
      <rPr>
        <rFont val="Arial"/>
        <color rgb="FF000000"/>
        <sz val="12.0"/>
      </rPr>
      <t xml:space="preserve">We are looking for absolute data rather than intensity. Absolute refers to the total amount of energy reduced in the supply chain. Whereas intensity is a metric that normalises a company's emissions or energy consumption relative to the businesses revenue, which allows emissions or energy use to increase as revenue increases. </t>
    </r>
    <r>
      <rPr>
        <rFont val="Arial"/>
        <color rgb="FF000000"/>
        <sz val="12.0"/>
      </rPr>
      <t xml:space="preserve">We will only award points if the whole supply chain is included in the absolute reduction. This means it includes manufacturing and processing facilities, fibre production level. This is because the highest environmental impacts occur at fibre production level. </t>
    </r>
  </si>
  <si>
    <t>% of energy use coming from renewable sources in the company’s owned and operated facilities (e.g. head office, retail stores, distribution centres, warehouses, etc.)</t>
  </si>
  <si>
    <t xml:space="preserve">
Best practice is disaggregated data by country </t>
  </si>
  <si>
    <t>% of energy use coming from renewable sources in the supply chain (e.g. at manufacturing and processing facilities, fibre production level)</t>
  </si>
  <si>
    <t xml:space="preserve">
Best practice is disaggregated data by country 
</t>
  </si>
  <si>
    <t>Discloses commitment to RE100</t>
  </si>
  <si>
    <r>
      <rPr>
        <rFont val="Arial"/>
        <color rgb="FFFF0000"/>
        <sz val="12.0"/>
      </rPr>
      <t xml:space="preserve">We are looking for membership to the RE100 initiative  </t>
    </r>
    <r>
      <rPr>
        <rFont val="Arial"/>
        <color rgb="FF1155CC"/>
        <sz val="12.0"/>
        <u/>
      </rPr>
      <t>https://www.there100.org/re100-members</t>
    </r>
    <r>
      <rPr>
        <rFont val="Arial"/>
        <color rgb="FFFF0000"/>
        <sz val="12.0"/>
      </rPr>
      <t xml:space="preserve">.
Best practice is that the target covers the entire supply chain, beyond owned and operated facilities. We will award points for either at this time. 
For guidance on renewable energy procurement integrity, please consider the New Climate Institute report (https://newclimate.org/sites/default/files/2022-07/NewClimate_MD_CorporateTargetSettingNL_Methodology.pdf) 
</t>
    </r>
    <r>
      <rPr>
        <rFont val="Arial"/>
        <b/>
        <color rgb="FFFF0000"/>
        <sz val="12.0"/>
      </rPr>
      <t>Pg. 35, Table 3E Procurement of Renewable Electricity</t>
    </r>
    <r>
      <rPr>
        <rFont val="Arial"/>
        <color rgb="FFFF0000"/>
        <sz val="12.0"/>
      </rPr>
      <t xml:space="preserve"> outlines a clear trajectory for transparent procurement of renewable electricity. This level of disclosure and differentiation is highly relevant to make the RES commitments transformative in the coming years. We understand that many brands may not be able to provide this level of disclosure at present, which is why this is a 0pts indicator. However, for those brands that do disclose this information may be highlighted as best practice in the FTI 2023 report. 
Best practice would be a breakdown of renewable energy by category, i.e. % of energy coming from unbundled EACs, PPAs, Green Tariffs, self-generation, direct line, EACs 
</t>
    </r>
  </si>
  <si>
    <t xml:space="preserve">Discloses what proportion of production is powered by coal, including which geographies and sectors are affected </t>
  </si>
  <si>
    <t xml:space="preserve">The aim of this indicator is to track disclosure of brands' usage of suppliers powered by coal-fired boilers across their value chain, with the hope of establishing a coal-free supply chain by no longer accepting new suppliers powered by coal-fired boilers and helping existing suppliers switch to renewable energy. The first iteration of this indicator is to get a baseline understanding of if and how brands are disclosing this information.
</t>
  </si>
  <si>
    <t>Total possible points for Section 5</t>
  </si>
  <si>
    <t>TOTAL POSSIBLE POINTS</t>
  </si>
  <si>
    <t>DO NOT CHANGE</t>
  </si>
</sst>
</file>

<file path=xl/styles.xml><?xml version="1.0" encoding="utf-8"?>
<styleSheet xmlns="http://schemas.openxmlformats.org/spreadsheetml/2006/main" xmlns:x14ac="http://schemas.microsoft.com/office/spreadsheetml/2009/9/ac" xmlns:mc="http://schemas.openxmlformats.org/markup-compatibility/2006">
  <fonts count="33">
    <font>
      <sz val="12.0"/>
      <color theme="1"/>
      <name val="Calibri"/>
      <scheme val="minor"/>
    </font>
    <font>
      <b/>
      <sz val="26.0"/>
      <color theme="1"/>
      <name val="Arial"/>
    </font>
    <font>
      <sz val="12.0"/>
      <color theme="1"/>
      <name val="Calibri"/>
    </font>
    <font>
      <b/>
      <sz val="14.0"/>
      <color theme="1"/>
      <name val="Arial"/>
    </font>
    <font/>
    <font>
      <sz val="12.0"/>
      <color theme="1"/>
      <name val="Arial"/>
    </font>
    <font>
      <u/>
      <sz val="12.0"/>
      <color rgb="FF0000FF"/>
      <name val="Arial"/>
    </font>
    <font>
      <sz val="15.0"/>
      <color theme="1"/>
      <name val="Arial"/>
    </font>
    <font>
      <u/>
      <sz val="12.0"/>
      <color rgb="FF000000"/>
      <name val="Arial"/>
    </font>
    <font>
      <b/>
      <u/>
      <sz val="12.0"/>
      <color rgb="FF0000FF"/>
      <name val="Arial"/>
    </font>
    <font>
      <b/>
      <sz val="12.0"/>
      <color theme="1"/>
      <name val="Calibri"/>
    </font>
    <font>
      <b/>
      <sz val="12.0"/>
      <color rgb="FF0000FF"/>
      <name val="Arial"/>
    </font>
    <font>
      <b/>
      <sz val="12.0"/>
      <color theme="1"/>
      <name val="Arial"/>
    </font>
    <font>
      <b/>
      <sz val="12.0"/>
      <color rgb="FF000000"/>
      <name val="Arial"/>
    </font>
    <font>
      <color theme="1"/>
      <name val="Calibri"/>
      <scheme val="minor"/>
    </font>
    <font>
      <sz val="12.0"/>
      <color rgb="FF000000"/>
      <name val="Arial"/>
    </font>
    <font>
      <u/>
      <sz val="12.0"/>
      <color rgb="FF000000"/>
      <name val="Arial"/>
    </font>
    <font>
      <i/>
      <sz val="12.0"/>
      <color theme="1"/>
      <name val="Arial"/>
    </font>
    <font>
      <sz val="12.0"/>
      <color rgb="FFFF0000"/>
      <name val="Arial"/>
    </font>
    <font>
      <u/>
      <sz val="12.0"/>
      <color rgb="FF000000"/>
      <name val="Arial"/>
    </font>
    <font>
      <b/>
      <i/>
      <sz val="12.0"/>
      <color theme="1"/>
      <name val="Arial"/>
    </font>
    <font>
      <u/>
      <sz val="12.0"/>
      <color rgb="FF0000FF"/>
      <name val="Arial"/>
    </font>
    <font>
      <u/>
      <sz val="12.0"/>
      <color theme="1"/>
      <name val="Arial"/>
    </font>
    <font>
      <u/>
      <sz val="12.0"/>
      <color rgb="FFFF0000"/>
      <name val="Arial"/>
    </font>
    <font>
      <sz val="12.0"/>
      <color rgb="FF434343"/>
      <name val="Arial"/>
    </font>
    <font>
      <strike/>
      <sz val="12.0"/>
      <color theme="1"/>
      <name val="Arial"/>
    </font>
    <font>
      <color rgb="FF000000"/>
      <name val="Arial"/>
    </font>
    <font>
      <u/>
      <sz val="12.0"/>
      <color rgb="FF000000"/>
      <name val="Arial"/>
    </font>
    <font>
      <u/>
      <sz val="12.0"/>
      <color rgb="FF0000FF"/>
      <name val="Arial"/>
    </font>
    <font>
      <u/>
      <sz val="12.0"/>
      <color rgb="FF000000"/>
      <name val="Arial"/>
    </font>
    <font>
      <color theme="1"/>
      <name val="Calibri"/>
    </font>
    <font>
      <u/>
      <sz val="12.0"/>
      <color rgb="FFFF0000"/>
      <name val="Arial"/>
    </font>
    <font>
      <u/>
      <sz val="12.0"/>
      <color rgb="FF000000"/>
      <name val="Arial"/>
    </font>
  </fonts>
  <fills count="15">
    <fill>
      <patternFill patternType="none"/>
    </fill>
    <fill>
      <patternFill patternType="lightGray"/>
    </fill>
    <fill>
      <patternFill patternType="solid">
        <fgColor rgb="FFFDE9D9"/>
        <bgColor rgb="FFFDE9D9"/>
      </patternFill>
    </fill>
    <fill>
      <patternFill patternType="solid">
        <fgColor rgb="FFDAEEF3"/>
        <bgColor rgb="FFDAEEF3"/>
      </patternFill>
    </fill>
    <fill>
      <patternFill patternType="solid">
        <fgColor rgb="FFFFFFFF"/>
        <bgColor rgb="FFFFFFFF"/>
      </patternFill>
    </fill>
    <fill>
      <patternFill patternType="solid">
        <fgColor rgb="FFF2DBDB"/>
        <bgColor rgb="FFF2DBDB"/>
      </patternFill>
    </fill>
    <fill>
      <patternFill patternType="solid">
        <fgColor rgb="FFD8D8D8"/>
        <bgColor rgb="FFD8D8D8"/>
      </patternFill>
    </fill>
    <fill>
      <patternFill patternType="solid">
        <fgColor rgb="FFD9D9D9"/>
        <bgColor rgb="FFD9D9D9"/>
      </patternFill>
    </fill>
    <fill>
      <patternFill patternType="solid">
        <fgColor theme="0"/>
        <bgColor theme="0"/>
      </patternFill>
    </fill>
    <fill>
      <patternFill patternType="solid">
        <fgColor rgb="FFFCE5CD"/>
        <bgColor rgb="FFFCE5CD"/>
      </patternFill>
    </fill>
    <fill>
      <patternFill patternType="solid">
        <fgColor rgb="FFD6E3BC"/>
        <bgColor rgb="FFD6E3BC"/>
      </patternFill>
    </fill>
    <fill>
      <patternFill patternType="solid">
        <fgColor rgb="FFE5DFEC"/>
        <bgColor rgb="FFE5DFEC"/>
      </patternFill>
    </fill>
    <fill>
      <patternFill patternType="solid">
        <fgColor rgb="FFE4DFEC"/>
        <bgColor rgb="FFE4DFEC"/>
      </patternFill>
    </fill>
    <fill>
      <patternFill patternType="solid">
        <fgColor rgb="FFD9D2E9"/>
        <bgColor rgb="FFD9D2E9"/>
      </patternFill>
    </fill>
    <fill>
      <patternFill patternType="solid">
        <fgColor rgb="FFFFFF00"/>
        <bgColor rgb="FFFFFF00"/>
      </patternFill>
    </fill>
  </fills>
  <borders count="3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
      <left style="thin">
        <color rgb="FF000000"/>
      </left>
      <right style="thin">
        <color rgb="FF000000"/>
      </right>
    </border>
    <border>
      <left style="medium">
        <color rgb="FF000000"/>
      </left>
      <top style="medium">
        <color rgb="FF000000"/>
      </top>
    </border>
    <border>
      <left style="thin">
        <color rgb="FF000000"/>
      </left>
      <right style="thin">
        <color rgb="FF000000"/>
      </right>
      <top style="medium">
        <color rgb="FF000000"/>
      </top>
    </border>
    <border>
      <left style="medium">
        <color rgb="FF000000"/>
      </left>
      <bottom style="medium">
        <color rgb="FF000000"/>
      </bottom>
    </border>
    <border>
      <left style="thin">
        <color rgb="FF000000"/>
      </left>
      <right style="thin">
        <color rgb="FF000000"/>
      </right>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style="thin">
        <color rgb="FF000000"/>
      </right>
      <bottom style="thin">
        <color rgb="FF000000"/>
      </bottom>
    </border>
    <border>
      <right/>
      <top/>
      <bottom/>
    </border>
    <border>
      <left/>
      <top/>
      <bottom/>
    </border>
    <border>
      <top/>
      <bottom/>
    </border>
    <border>
      <left/>
      <right/>
      <bottom/>
    </border>
    <border>
      <left/>
    </border>
    <border>
      <left/>
      <top/>
    </border>
    <border>
      <right/>
      <bottom/>
    </border>
    <border>
      <right style="thin">
        <color rgb="FF000000"/>
      </right>
      <top style="thin">
        <color rgb="FF000000"/>
      </top>
    </border>
    <border>
      <left style="thin">
        <color rgb="FF000000"/>
      </left>
      <top style="thin">
        <color rgb="FF000000"/>
      </top>
    </border>
    <border>
      <left/>
      <bottom/>
    </border>
    <border>
      <left style="thin">
        <color rgb="FF000000"/>
      </left>
      <right style="thin">
        <color rgb="FF000000"/>
      </right>
      <bottom/>
    </border>
    <border>
      <left style="thin">
        <color rgb="FF000000"/>
      </left>
      <right style="thin">
        <color rgb="FF000000"/>
      </right>
      <top/>
      <bottom/>
    </border>
    <border>
      <top style="thin">
        <color rgb="FF000000"/>
      </top>
    </border>
    <border>
      <bottom style="thin">
        <color rgb="FF000000"/>
      </bottom>
    </border>
    <border>
      <right/>
      <top style="thin">
        <color rgb="FF000000"/>
      </top>
      <bottom/>
    </border>
    <border>
      <right style="thin">
        <color rgb="FF000000"/>
      </right>
      <bottom style="thin">
        <color rgb="FF000000"/>
      </bottom>
    </border>
    <border>
      <right style="thin">
        <color rgb="FF000000"/>
      </right>
    </border>
    <border>
      <right style="thin">
        <color rgb="FF000000"/>
      </right>
      <top/>
      <bottom style="thin">
        <color rgb="FF000000"/>
      </bottom>
    </border>
    <border>
      <left style="thin">
        <color rgb="FF000000"/>
      </left>
      <right style="thin">
        <color rgb="FF000000"/>
      </right>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vertical="bottom"/>
    </xf>
    <xf borderId="1" fillId="0" fontId="3" numFmtId="0" xfId="0" applyBorder="1" applyFont="1"/>
    <xf borderId="2" fillId="0" fontId="4" numFmtId="0" xfId="0" applyBorder="1" applyFont="1"/>
    <xf borderId="3" fillId="0" fontId="4" numFmtId="0" xfId="0" applyBorder="1" applyFont="1"/>
    <xf borderId="0" fillId="0" fontId="2" numFmtId="0" xfId="0" applyFont="1"/>
    <xf borderId="1" fillId="2" fontId="5" numFmtId="0" xfId="0" applyAlignment="1" applyBorder="1" applyFill="1" applyFont="1">
      <alignment readingOrder="0" shrinkToFit="0" vertical="top" wrapText="1"/>
    </xf>
    <xf borderId="4" fillId="0" fontId="2" numFmtId="0" xfId="0" applyAlignment="1" applyBorder="1" applyFont="1">
      <alignment vertical="bottom"/>
    </xf>
    <xf borderId="1" fillId="3" fontId="6" numFmtId="0" xfId="0" applyAlignment="1" applyBorder="1" applyFill="1" applyFont="1">
      <alignment shrinkToFit="0" vertical="top" wrapText="1"/>
    </xf>
    <xf borderId="1" fillId="0" fontId="3" numFmtId="0" xfId="0" applyAlignment="1" applyBorder="1" applyFont="1">
      <alignment vertical="bottom"/>
    </xf>
    <xf borderId="3" fillId="0" fontId="5" numFmtId="0" xfId="0" applyAlignment="1" applyBorder="1" applyFont="1">
      <alignment vertical="bottom"/>
    </xf>
    <xf borderId="2" fillId="0" fontId="3" numFmtId="0" xfId="0" applyAlignment="1" applyBorder="1" applyFont="1">
      <alignment vertical="bottom"/>
    </xf>
    <xf borderId="0" fillId="0" fontId="5" numFmtId="0" xfId="0" applyAlignment="1" applyFont="1">
      <alignment vertical="bottom"/>
    </xf>
    <xf borderId="1" fillId="2" fontId="7" numFmtId="0" xfId="0" applyAlignment="1" applyBorder="1" applyFont="1">
      <alignment readingOrder="0" shrinkToFit="0" vertical="top" wrapText="1"/>
    </xf>
    <xf borderId="2" fillId="3" fontId="5" numFmtId="0" xfId="0" applyAlignment="1" applyBorder="1" applyFont="1">
      <alignment readingOrder="0" shrinkToFit="0" vertical="top" wrapText="1"/>
    </xf>
    <xf borderId="1" fillId="0" fontId="3" numFmtId="0" xfId="0" applyAlignment="1" applyBorder="1" applyFont="1">
      <alignment shrinkToFit="0" wrapText="1"/>
    </xf>
    <xf borderId="1" fillId="4" fontId="3" numFmtId="0" xfId="0" applyAlignment="1" applyBorder="1" applyFill="1" applyFont="1">
      <alignment shrinkToFit="0" wrapText="1"/>
    </xf>
    <xf borderId="1" fillId="2" fontId="8" numFmtId="0" xfId="0" applyAlignment="1" applyBorder="1" applyFont="1">
      <alignment readingOrder="0" shrinkToFit="0" vertical="top" wrapText="1"/>
    </xf>
    <xf borderId="1" fillId="3" fontId="9" numFmtId="0" xfId="0" applyAlignment="1" applyBorder="1" applyFont="1">
      <alignment readingOrder="0" shrinkToFit="0" vertical="top" wrapText="1"/>
    </xf>
    <xf borderId="0" fillId="0" fontId="10" numFmtId="0" xfId="0" applyAlignment="1" applyFont="1">
      <alignment shrinkToFit="0" vertical="bottom" wrapText="0"/>
    </xf>
    <xf borderId="0" fillId="0" fontId="2" numFmtId="0" xfId="0" applyAlignment="1" applyFont="1">
      <alignment horizontal="right" vertical="bottom"/>
    </xf>
    <xf borderId="0" fillId="0" fontId="1" numFmtId="0" xfId="0" applyAlignment="1" applyFont="1">
      <alignment horizontal="center" readingOrder="0" shrinkToFit="0" wrapText="1"/>
    </xf>
    <xf borderId="1" fillId="2" fontId="5" numFmtId="0" xfId="0" applyAlignment="1" applyBorder="1" applyFont="1">
      <alignment shrinkToFit="0" vertical="top" wrapText="1"/>
    </xf>
    <xf borderId="1" fillId="3" fontId="5" numFmtId="0" xfId="0" applyAlignment="1" applyBorder="1" applyFont="1">
      <alignment shrinkToFit="0" vertical="top" wrapText="1"/>
    </xf>
    <xf borderId="0" fillId="0" fontId="2" numFmtId="0" xfId="0" applyAlignment="1" applyFont="1">
      <alignment vertical="top"/>
    </xf>
    <xf borderId="5" fillId="5" fontId="11" numFmtId="0" xfId="0" applyAlignment="1" applyBorder="1" applyFill="1" applyFont="1">
      <alignment horizontal="left" shrinkToFit="0" vertical="center" wrapText="1"/>
    </xf>
    <xf borderId="5" fillId="5" fontId="12" numFmtId="0" xfId="0" applyAlignment="1" applyBorder="1" applyFont="1">
      <alignment horizontal="left" shrinkToFit="0" vertical="center" wrapText="1"/>
    </xf>
    <xf borderId="6" fillId="5" fontId="12" numFmtId="0" xfId="0" applyAlignment="1" applyBorder="1" applyFont="1">
      <alignment horizontal="left" readingOrder="0" shrinkToFit="0" vertical="center" wrapText="1"/>
    </xf>
    <xf borderId="6" fillId="5" fontId="12" numFmtId="0" xfId="0" applyAlignment="1" applyBorder="1" applyFont="1">
      <alignment horizontal="left" shrinkToFit="0" vertical="center" wrapText="1"/>
    </xf>
    <xf borderId="6" fillId="5" fontId="12" numFmtId="0" xfId="0" applyAlignment="1" applyBorder="1" applyFont="1">
      <alignment shrinkToFit="0" vertical="center" wrapText="1"/>
    </xf>
    <xf borderId="4" fillId="5" fontId="12" numFmtId="0" xfId="0" applyAlignment="1" applyBorder="1" applyFont="1">
      <alignment shrinkToFit="0" vertical="center" wrapText="1"/>
    </xf>
    <xf borderId="4" fillId="5" fontId="13" numFmtId="0" xfId="0" applyAlignment="1" applyBorder="1" applyFont="1">
      <alignment shrinkToFit="0" vertical="center" wrapText="1"/>
    </xf>
    <xf borderId="7" fillId="4" fontId="5" numFmtId="0" xfId="0" applyAlignment="1" applyBorder="1" applyFont="1">
      <alignment shrinkToFit="0" vertical="center" wrapText="1"/>
    </xf>
    <xf borderId="0" fillId="0" fontId="14" numFmtId="0" xfId="0" applyAlignment="1" applyFont="1">
      <alignment vertical="center"/>
    </xf>
    <xf borderId="1" fillId="0" fontId="1" numFmtId="0" xfId="0" applyAlignment="1" applyBorder="1" applyFont="1">
      <alignment shrinkToFit="0" vertical="center" wrapText="1"/>
    </xf>
    <xf borderId="0" fillId="0" fontId="12" numFmtId="0" xfId="0" applyAlignment="1" applyFont="1">
      <alignment horizontal="right" shrinkToFit="0" vertical="center" wrapText="1"/>
    </xf>
    <xf borderId="0" fillId="0" fontId="5" numFmtId="0" xfId="0" applyAlignment="1" applyFont="1">
      <alignment horizontal="right" shrinkToFit="0" vertical="center" wrapText="1"/>
    </xf>
    <xf borderId="0" fillId="0" fontId="5" numFmtId="0" xfId="0" applyAlignment="1" applyFont="1">
      <alignment shrinkToFit="0" vertical="center" wrapText="1"/>
    </xf>
    <xf borderId="0" fillId="4" fontId="5" numFmtId="0" xfId="0" applyAlignment="1" applyFont="1">
      <alignment shrinkToFit="0" vertical="center" wrapText="1"/>
    </xf>
    <xf borderId="8" fillId="0" fontId="5" numFmtId="0" xfId="0" applyAlignment="1" applyBorder="1" applyFont="1">
      <alignment shrinkToFit="0" vertical="center" wrapText="1"/>
    </xf>
    <xf borderId="0" fillId="0" fontId="12" numFmtId="0" xfId="0" applyAlignment="1" applyFont="1">
      <alignment shrinkToFit="0" vertical="center" wrapText="1"/>
    </xf>
    <xf borderId="9" fillId="0" fontId="5" numFmtId="0" xfId="0" applyAlignment="1" applyBorder="1" applyFont="1">
      <alignment shrinkToFit="0" vertical="center" wrapText="1"/>
    </xf>
    <xf borderId="10" fillId="0" fontId="12" numFmtId="0" xfId="0" applyAlignment="1" applyBorder="1" applyFont="1">
      <alignment shrinkToFit="0" vertical="center" wrapText="1"/>
    </xf>
    <xf borderId="11" fillId="0" fontId="4" numFmtId="0" xfId="0" applyBorder="1" applyFont="1"/>
    <xf borderId="12" fillId="0" fontId="4" numFmtId="0" xfId="0" applyBorder="1" applyFont="1"/>
    <xf borderId="8" fillId="0" fontId="12" numFmtId="0" xfId="0" applyAlignment="1" applyBorder="1" applyFont="1">
      <alignment shrinkToFit="0" vertical="center" wrapText="1"/>
    </xf>
    <xf borderId="13" fillId="0" fontId="5" numFmtId="0" xfId="0" applyAlignment="1" applyBorder="1" applyFont="1">
      <alignment shrinkToFit="0" vertical="center" wrapText="1"/>
    </xf>
    <xf borderId="14" fillId="0" fontId="12" numFmtId="0" xfId="0" applyAlignment="1" applyBorder="1" applyFont="1">
      <alignment shrinkToFit="0" vertical="center" wrapText="1"/>
    </xf>
    <xf borderId="15" fillId="0" fontId="5" numFmtId="0" xfId="0" applyAlignment="1" applyBorder="1" applyFont="1">
      <alignment shrinkToFit="0" vertical="center" wrapText="1"/>
    </xf>
    <xf borderId="11" fillId="0" fontId="5" numFmtId="0" xfId="0" applyAlignment="1" applyBorder="1" applyFont="1">
      <alignment shrinkToFit="0" vertical="center" wrapText="1"/>
    </xf>
    <xf borderId="12" fillId="0" fontId="12" numFmtId="0" xfId="0" applyAlignment="1" applyBorder="1" applyFont="1">
      <alignment shrinkToFit="0" vertical="center" wrapText="1"/>
    </xf>
    <xf borderId="4" fillId="6" fontId="12" numFmtId="0" xfId="0" applyAlignment="1" applyBorder="1" applyFill="1" applyFont="1">
      <alignment shrinkToFit="0" vertical="center" wrapText="1"/>
    </xf>
    <xf borderId="4" fillId="6" fontId="12" numFmtId="0" xfId="0" applyAlignment="1" applyBorder="1" applyFont="1">
      <alignment horizontal="left" readingOrder="0" shrinkToFit="0" vertical="center" wrapText="1"/>
    </xf>
    <xf borderId="4" fillId="6" fontId="12" numFmtId="0" xfId="0" applyAlignment="1" applyBorder="1" applyFont="1">
      <alignment horizontal="left" shrinkToFit="0" vertical="center" wrapText="1"/>
    </xf>
    <xf borderId="4" fillId="6" fontId="13" numFmtId="0" xfId="0" applyAlignment="1" applyBorder="1" applyFont="1">
      <alignment shrinkToFit="0" vertical="center" wrapText="1"/>
    </xf>
    <xf borderId="4" fillId="6" fontId="12" numFmtId="0" xfId="0" applyAlignment="1" applyBorder="1" applyFont="1">
      <alignment readingOrder="0" shrinkToFit="0" vertical="center" wrapText="1"/>
    </xf>
    <xf borderId="4" fillId="7" fontId="13" numFmtId="0" xfId="0" applyAlignment="1" applyBorder="1" applyFill="1" applyFont="1">
      <alignment shrinkToFit="0" vertical="center" wrapText="1"/>
    </xf>
    <xf borderId="16" fillId="0" fontId="12" numFmtId="0" xfId="0" applyAlignment="1" applyBorder="1" applyFont="1">
      <alignment shrinkToFit="0" vertical="center" wrapText="1"/>
    </xf>
    <xf borderId="5" fillId="0" fontId="5" numFmtId="0" xfId="0" applyAlignment="1" applyBorder="1" applyFont="1">
      <alignment horizontal="left" shrinkToFit="0" vertical="center" wrapText="1"/>
    </xf>
    <xf borderId="4" fillId="0" fontId="5" numFmtId="0" xfId="0" applyAlignment="1" applyBorder="1" applyFont="1">
      <alignment shrinkToFit="0" vertical="center" wrapText="1"/>
    </xf>
    <xf borderId="4" fillId="6" fontId="12" numFmtId="0" xfId="0" applyAlignment="1" applyBorder="1" applyFont="1">
      <alignment horizontal="right" shrinkToFit="0" vertical="center" wrapText="1"/>
    </xf>
    <xf borderId="4" fillId="4" fontId="5" numFmtId="0" xfId="0" applyAlignment="1" applyBorder="1" applyFont="1">
      <alignment horizontal="right" readingOrder="0" shrinkToFit="0" vertical="center" wrapText="1"/>
    </xf>
    <xf borderId="4" fillId="4" fontId="5" numFmtId="0" xfId="0" applyAlignment="1" applyBorder="1" applyFont="1">
      <alignment horizontal="right" shrinkToFit="0" vertical="center" wrapText="1"/>
    </xf>
    <xf borderId="8" fillId="0" fontId="4" numFmtId="0" xfId="0" applyBorder="1" applyFont="1"/>
    <xf borderId="4" fillId="0" fontId="15" numFmtId="0" xfId="0" applyAlignment="1" applyBorder="1" applyFont="1">
      <alignment shrinkToFit="0" vertical="center" wrapText="1"/>
    </xf>
    <xf borderId="4" fillId="0" fontId="15" numFmtId="0" xfId="0" applyAlignment="1" applyBorder="1" applyFont="1">
      <alignment readingOrder="0" shrinkToFit="0" vertical="center" wrapText="1"/>
    </xf>
    <xf borderId="4" fillId="0" fontId="16" numFmtId="0" xfId="0" applyAlignment="1" applyBorder="1" applyFont="1">
      <alignment shrinkToFit="0" vertical="center" wrapText="1"/>
    </xf>
    <xf borderId="16" fillId="0" fontId="4" numFmtId="0" xfId="0" applyBorder="1" applyFont="1"/>
    <xf borderId="17" fillId="6" fontId="12" numFmtId="0" xfId="0" applyAlignment="1" applyBorder="1" applyFont="1">
      <alignment horizontal="right" shrinkToFit="0" vertical="center" wrapText="1"/>
    </xf>
    <xf borderId="0" fillId="0" fontId="17" numFmtId="0" xfId="0" applyAlignment="1" applyFont="1">
      <alignment shrinkToFit="0" vertical="center" wrapText="1"/>
    </xf>
    <xf borderId="8" fillId="6" fontId="5" numFmtId="0" xfId="0" applyAlignment="1" applyBorder="1" applyFont="1">
      <alignment shrinkToFit="0" vertical="center" wrapText="1"/>
    </xf>
    <xf borderId="7" fillId="6" fontId="12" numFmtId="0" xfId="0" applyAlignment="1" applyBorder="1" applyFont="1">
      <alignment horizontal="right" shrinkToFit="0" vertical="center" wrapText="1"/>
    </xf>
    <xf borderId="18" fillId="6" fontId="12" numFmtId="0" xfId="0" applyAlignment="1" applyBorder="1" applyFont="1">
      <alignment horizontal="right" shrinkToFit="0" vertical="center" wrapText="1"/>
    </xf>
    <xf borderId="0" fillId="6" fontId="12" numFmtId="0" xfId="0" applyAlignment="1" applyFont="1">
      <alignment shrinkToFit="0" vertical="center" wrapText="1"/>
    </xf>
    <xf borderId="0" fillId="7" fontId="5" numFmtId="0" xfId="0" applyAlignment="1" applyFont="1">
      <alignment shrinkToFit="0" vertical="center" wrapText="1"/>
    </xf>
    <xf borderId="5" fillId="0" fontId="5" numFmtId="0" xfId="0" applyAlignment="1" applyBorder="1" applyFont="1">
      <alignment shrinkToFit="0" vertical="center" wrapText="1"/>
    </xf>
    <xf borderId="4" fillId="0" fontId="5" numFmtId="0" xfId="0" applyAlignment="1" applyBorder="1" applyFont="1">
      <alignment horizontal="right" shrinkToFit="0" vertical="center" wrapText="1"/>
    </xf>
    <xf borderId="4" fillId="0" fontId="2" numFmtId="0" xfId="0" applyAlignment="1" applyBorder="1" applyFont="1">
      <alignment vertical="center"/>
    </xf>
    <xf borderId="0" fillId="0" fontId="2" numFmtId="0" xfId="0" applyAlignment="1" applyFont="1">
      <alignment vertical="center"/>
    </xf>
    <xf borderId="4" fillId="8" fontId="5" numFmtId="0" xfId="0" applyAlignment="1" applyBorder="1" applyFill="1" applyFont="1">
      <alignment shrinkToFit="0" vertical="center" wrapText="1"/>
    </xf>
    <xf borderId="3" fillId="0" fontId="18" numFmtId="0" xfId="0" applyAlignment="1" applyBorder="1" applyFont="1">
      <alignment shrinkToFit="0" vertical="center" wrapText="1"/>
    </xf>
    <xf borderId="4" fillId="0" fontId="18" numFmtId="0" xfId="0" applyAlignment="1" applyBorder="1" applyFont="1">
      <alignment readingOrder="0" shrinkToFit="0" vertical="center" wrapText="1"/>
    </xf>
    <xf borderId="19" fillId="6" fontId="12" numFmtId="0" xfId="0" applyAlignment="1" applyBorder="1" applyFont="1">
      <alignment horizontal="right" shrinkToFit="0" vertical="center" wrapText="1"/>
    </xf>
    <xf borderId="20" fillId="6" fontId="12" numFmtId="0" xfId="0" applyAlignment="1" applyBorder="1" applyFont="1">
      <alignment horizontal="right" shrinkToFit="0" vertical="center" wrapText="1"/>
    </xf>
    <xf borderId="21" fillId="6" fontId="12" numFmtId="0" xfId="0" applyAlignment="1" applyBorder="1" applyFont="1">
      <alignment shrinkToFit="0" vertical="center" wrapText="1"/>
    </xf>
    <xf borderId="5" fillId="0" fontId="15" numFmtId="0" xfId="0" applyAlignment="1" applyBorder="1" applyFont="1">
      <alignment readingOrder="0" shrinkToFit="0" vertical="center" wrapText="1"/>
    </xf>
    <xf borderId="16" fillId="0" fontId="5" numFmtId="0" xfId="0" applyAlignment="1" applyBorder="1" applyFont="1">
      <alignment shrinkToFit="0" vertical="center" wrapText="1"/>
    </xf>
    <xf borderId="4" fillId="0" fontId="5" numFmtId="0" xfId="0" applyAlignment="1" applyBorder="1" applyFont="1">
      <alignment horizontal="right" readingOrder="0" shrinkToFit="0" vertical="center" wrapText="1"/>
    </xf>
    <xf borderId="4" fillId="8" fontId="15" numFmtId="0" xfId="0" applyAlignment="1" applyBorder="1" applyFont="1">
      <alignment shrinkToFit="0" vertical="center" wrapText="1"/>
    </xf>
    <xf borderId="4" fillId="8" fontId="19" numFmtId="0" xfId="0" applyAlignment="1" applyBorder="1" applyFont="1">
      <alignment shrinkToFit="0" vertical="center" wrapText="1"/>
    </xf>
    <xf borderId="4" fillId="0" fontId="5" numFmtId="0" xfId="0" applyAlignment="1" applyBorder="1" applyFont="1">
      <alignment readingOrder="0" shrinkToFit="0" vertical="center" wrapText="1"/>
    </xf>
    <xf borderId="4" fillId="8" fontId="5" numFmtId="0" xfId="0" applyAlignment="1" applyBorder="1" applyFont="1">
      <alignment readingOrder="0" shrinkToFit="0" vertical="center" wrapText="1"/>
    </xf>
    <xf borderId="8" fillId="6" fontId="12" numFmtId="0" xfId="0" applyAlignment="1" applyBorder="1" applyFont="1">
      <alignment shrinkToFit="0" vertical="center" wrapText="1"/>
    </xf>
    <xf borderId="22" fillId="6" fontId="12" numFmtId="0" xfId="0" applyAlignment="1" applyBorder="1" applyFont="1">
      <alignment shrinkToFit="0" vertical="center" wrapText="1"/>
    </xf>
    <xf borderId="5" fillId="0" fontId="5" numFmtId="0" xfId="0" applyAlignment="1" applyBorder="1" applyFont="1">
      <alignment readingOrder="0" shrinkToFit="0" vertical="center" wrapText="1"/>
    </xf>
    <xf borderId="4" fillId="8" fontId="15" numFmtId="0" xfId="0" applyAlignment="1" applyBorder="1" applyFont="1">
      <alignment readingOrder="0" shrinkToFit="0" vertical="center" wrapText="1"/>
    </xf>
    <xf borderId="18" fillId="6" fontId="12" numFmtId="0" xfId="0" applyAlignment="1" applyBorder="1" applyFont="1">
      <alignment shrinkToFit="0" vertical="center" wrapText="1"/>
    </xf>
    <xf borderId="4" fillId="7" fontId="12" numFmtId="0" xfId="0" applyAlignment="1" applyBorder="1" applyFont="1">
      <alignment readingOrder="0" shrinkToFit="0" vertical="center" wrapText="1"/>
    </xf>
    <xf borderId="3" fillId="7" fontId="12" numFmtId="0" xfId="0" applyAlignment="1" applyBorder="1" applyFont="1">
      <alignment horizontal="right" shrinkToFit="0" vertical="center" wrapText="1"/>
    </xf>
    <xf borderId="3" fillId="0" fontId="15" numFmtId="0" xfId="0" applyAlignment="1" applyBorder="1" applyFont="1">
      <alignment shrinkToFit="0" vertical="center" wrapText="1"/>
    </xf>
    <xf borderId="17" fillId="7" fontId="12" numFmtId="0" xfId="0" applyAlignment="1" applyBorder="1" applyFont="1">
      <alignment horizontal="right" shrinkToFit="0" vertical="center" wrapText="1"/>
    </xf>
    <xf borderId="7" fillId="7" fontId="12" numFmtId="0" xfId="0" applyAlignment="1" applyBorder="1" applyFont="1">
      <alignment horizontal="right" shrinkToFit="0" vertical="center" wrapText="1"/>
    </xf>
    <xf borderId="4" fillId="6" fontId="5" numFmtId="0" xfId="0" applyAlignment="1" applyBorder="1" applyFont="1">
      <alignment horizontal="right" shrinkToFit="0" vertical="center" wrapText="1"/>
    </xf>
    <xf borderId="18" fillId="7" fontId="12" numFmtId="0" xfId="0" applyAlignment="1" applyBorder="1" applyFont="1">
      <alignment shrinkToFit="0" vertical="center" wrapText="1"/>
    </xf>
    <xf borderId="0" fillId="0" fontId="20" numFmtId="0" xfId="0" applyAlignment="1" applyFont="1">
      <alignment shrinkToFit="0" vertical="center" wrapText="1"/>
    </xf>
    <xf borderId="22" fillId="6" fontId="2" numFmtId="0" xfId="0" applyAlignment="1" applyBorder="1" applyFont="1">
      <alignment vertical="center"/>
    </xf>
    <xf borderId="0" fillId="7" fontId="2" numFmtId="0" xfId="0" applyAlignment="1" applyFont="1">
      <alignment vertical="center"/>
    </xf>
    <xf borderId="4" fillId="3" fontId="12" numFmtId="0" xfId="0" applyAlignment="1" applyBorder="1" applyFont="1">
      <alignment shrinkToFit="0" vertical="center" wrapText="1"/>
    </xf>
    <xf borderId="4" fillId="3" fontId="12" numFmtId="0" xfId="0" applyAlignment="1" applyBorder="1" applyFont="1">
      <alignment horizontal="left" shrinkToFit="0" vertical="center" wrapText="1"/>
    </xf>
    <xf borderId="4" fillId="3" fontId="13" numFmtId="0" xfId="0" applyAlignment="1" applyBorder="1" applyFont="1">
      <alignment shrinkToFit="0" vertical="center" wrapText="1"/>
    </xf>
    <xf borderId="1" fillId="3" fontId="12" numFmtId="0" xfId="0" applyAlignment="1" applyBorder="1" applyFont="1">
      <alignment shrinkToFit="0" vertical="center" wrapText="1"/>
    </xf>
    <xf borderId="4" fillId="3" fontId="12" numFmtId="0" xfId="0" applyAlignment="1" applyBorder="1" applyFont="1">
      <alignment horizontal="right" shrinkToFit="0" vertical="center" wrapText="1"/>
    </xf>
    <xf borderId="23" fillId="3" fontId="12" numFmtId="0" xfId="0" applyAlignment="1" applyBorder="1" applyFont="1">
      <alignment horizontal="right" shrinkToFit="0" vertical="center" wrapText="1"/>
    </xf>
    <xf borderId="24" fillId="0" fontId="5" numFmtId="0" xfId="0" applyAlignment="1" applyBorder="1" applyFont="1">
      <alignment shrinkToFit="0" vertical="center" wrapText="1"/>
    </xf>
    <xf borderId="25" fillId="0" fontId="5" numFmtId="0" xfId="0" applyAlignment="1" applyBorder="1" applyFont="1">
      <alignment shrinkToFit="0" vertical="center" wrapText="1"/>
    </xf>
    <xf borderId="8" fillId="3" fontId="12" numFmtId="0" xfId="0" applyAlignment="1" applyBorder="1" applyFont="1">
      <alignment shrinkToFit="0" vertical="center" wrapText="1"/>
    </xf>
    <xf borderId="17" fillId="3" fontId="12" numFmtId="0" xfId="0" applyAlignment="1" applyBorder="1" applyFont="1">
      <alignment horizontal="right" shrinkToFit="0" vertical="center" wrapText="1"/>
    </xf>
    <xf borderId="7" fillId="3" fontId="12" numFmtId="0" xfId="0" applyAlignment="1" applyBorder="1" applyFont="1">
      <alignment horizontal="right" shrinkToFit="0" vertical="center" wrapText="1"/>
    </xf>
    <xf borderId="18" fillId="3" fontId="12" numFmtId="0" xfId="0" applyAlignment="1" applyBorder="1" applyFont="1">
      <alignment horizontal="right" shrinkToFit="0" vertical="center" wrapText="1"/>
    </xf>
    <xf borderId="0" fillId="3" fontId="5" numFmtId="0" xfId="0" applyAlignment="1" applyFont="1">
      <alignment horizontal="right" readingOrder="0" shrinkToFit="0" vertical="center" wrapText="1"/>
    </xf>
    <xf borderId="19" fillId="3" fontId="12" numFmtId="0" xfId="0" applyAlignment="1" applyBorder="1" applyFont="1">
      <alignment shrinkToFit="0" vertical="center" wrapText="1"/>
    </xf>
    <xf borderId="0" fillId="3" fontId="5" numFmtId="0" xfId="0" applyAlignment="1" applyFont="1">
      <alignment shrinkToFit="0" vertical="center" wrapText="1"/>
    </xf>
    <xf borderId="5" fillId="0" fontId="5" numFmtId="0" xfId="0" applyAlignment="1" applyBorder="1" applyFont="1">
      <alignment horizontal="center" shrinkToFit="0" vertical="center" wrapText="1"/>
    </xf>
    <xf borderId="22" fillId="3" fontId="12" numFmtId="0" xfId="0" applyAlignment="1" applyBorder="1" applyFont="1">
      <alignment shrinkToFit="0" vertical="center" wrapText="1"/>
    </xf>
    <xf borderId="4" fillId="0" fontId="21" numFmtId="0" xfId="0" applyAlignment="1" applyBorder="1" applyFont="1">
      <alignment shrinkToFit="0" vertical="center" wrapText="1"/>
    </xf>
    <xf borderId="0" fillId="8" fontId="5" numFmtId="0" xfId="0" applyAlignment="1" applyFont="1">
      <alignment shrinkToFit="0" vertical="center" wrapText="1"/>
    </xf>
    <xf borderId="20" fillId="3" fontId="12" numFmtId="0" xfId="0" applyAlignment="1" applyBorder="1" applyFont="1">
      <alignment horizontal="right" shrinkToFit="0" vertical="center" wrapText="1"/>
    </xf>
    <xf borderId="4" fillId="3" fontId="5" numFmtId="0" xfId="0" applyAlignment="1" applyBorder="1" applyFont="1">
      <alignment horizontal="right" shrinkToFit="0" vertical="center" wrapText="1"/>
    </xf>
    <xf borderId="26" fillId="3" fontId="12" numFmtId="0" xfId="0" applyAlignment="1" applyBorder="1" applyFont="1">
      <alignment shrinkToFit="0" vertical="center" wrapText="1"/>
    </xf>
    <xf borderId="4" fillId="0" fontId="11" numFmtId="0" xfId="0" applyAlignment="1" applyBorder="1" applyFont="1">
      <alignment shrinkToFit="0" vertical="center" wrapText="1"/>
    </xf>
    <xf borderId="4" fillId="0" fontId="22" numFmtId="0" xfId="0" applyAlignment="1" applyBorder="1" applyFont="1">
      <alignment readingOrder="0" shrinkToFit="0" vertical="center" wrapText="1"/>
    </xf>
    <xf borderId="18" fillId="3" fontId="12" numFmtId="0" xfId="0" applyAlignment="1" applyBorder="1" applyFont="1">
      <alignment shrinkToFit="0" vertical="center" wrapText="1"/>
    </xf>
    <xf borderId="4" fillId="2" fontId="12" numFmtId="0" xfId="0" applyAlignment="1" applyBorder="1" applyFont="1">
      <alignment shrinkToFit="0" vertical="center" wrapText="1"/>
    </xf>
    <xf borderId="4" fillId="2" fontId="12" numFmtId="0" xfId="0" applyAlignment="1" applyBorder="1" applyFont="1">
      <alignment horizontal="left" shrinkToFit="0" vertical="center" wrapText="1"/>
    </xf>
    <xf borderId="4" fillId="2" fontId="13" numFmtId="0" xfId="0" applyAlignment="1" applyBorder="1" applyFont="1">
      <alignment shrinkToFit="0" vertical="center" wrapText="1"/>
    </xf>
    <xf borderId="4" fillId="2" fontId="12" numFmtId="0" xfId="0" applyAlignment="1" applyBorder="1" applyFont="1">
      <alignment horizontal="right" shrinkToFit="0" vertical="center" wrapText="1"/>
    </xf>
    <xf borderId="4" fillId="8" fontId="5" numFmtId="0" xfId="0" applyAlignment="1" applyBorder="1" applyFont="1">
      <alignment horizontal="left" shrinkToFit="0" vertical="center" wrapText="1"/>
    </xf>
    <xf borderId="16" fillId="0" fontId="5" numFmtId="0" xfId="0" applyAlignment="1" applyBorder="1" applyFont="1">
      <alignment readingOrder="0" shrinkToFit="0" vertical="center" wrapText="1"/>
    </xf>
    <xf borderId="4" fillId="0" fontId="18" numFmtId="0" xfId="0" applyAlignment="1" applyBorder="1" applyFont="1">
      <alignment shrinkToFit="0" vertical="center" wrapText="1"/>
    </xf>
    <xf borderId="4" fillId="0" fontId="23" numFmtId="0" xfId="0" applyAlignment="1" applyBorder="1" applyFont="1">
      <alignment shrinkToFit="0" vertical="center" wrapText="1"/>
    </xf>
    <xf borderId="27" fillId="4" fontId="5" numFmtId="0" xfId="0" applyAlignment="1" applyBorder="1" applyFont="1">
      <alignment horizontal="left" vertical="center"/>
    </xf>
    <xf borderId="0" fillId="0" fontId="5" numFmtId="0" xfId="0" applyAlignment="1" applyFont="1">
      <alignment vertical="center"/>
    </xf>
    <xf borderId="8" fillId="0" fontId="15" numFmtId="0" xfId="0" applyAlignment="1" applyBorder="1" applyFont="1">
      <alignment horizontal="left" shrinkToFit="0" vertical="center" wrapText="1"/>
    </xf>
    <xf borderId="23" fillId="2" fontId="12" numFmtId="0" xfId="0" applyAlignment="1" applyBorder="1" applyFont="1">
      <alignment horizontal="right" shrinkToFit="0" vertical="center" wrapText="1"/>
    </xf>
    <xf borderId="8" fillId="2" fontId="12" numFmtId="0" xfId="0" applyAlignment="1" applyBorder="1" applyFont="1">
      <alignment shrinkToFit="0" vertical="center" wrapText="1"/>
    </xf>
    <xf borderId="17" fillId="2" fontId="12" numFmtId="0" xfId="0" applyAlignment="1" applyBorder="1" applyFont="1">
      <alignment horizontal="right" shrinkToFit="0" vertical="center" wrapText="1"/>
    </xf>
    <xf borderId="7" fillId="2" fontId="12" numFmtId="0" xfId="0" applyAlignment="1" applyBorder="1" applyFont="1">
      <alignment horizontal="right" shrinkToFit="0" vertical="center" wrapText="1"/>
    </xf>
    <xf borderId="22" fillId="2" fontId="12" numFmtId="0" xfId="0" applyAlignment="1" applyBorder="1" applyFont="1">
      <alignment shrinkToFit="0" vertical="center" wrapText="1"/>
    </xf>
    <xf borderId="0" fillId="9" fontId="5" numFmtId="0" xfId="0" applyAlignment="1" applyFill="1" applyFont="1">
      <alignment shrinkToFit="0" vertical="center" wrapText="1"/>
    </xf>
    <xf borderId="4" fillId="0" fontId="5" numFmtId="0" xfId="0" applyAlignment="1" applyBorder="1" applyFont="1">
      <alignment horizontal="left" shrinkToFit="0" vertical="center" wrapText="1"/>
    </xf>
    <xf borderId="28" fillId="4" fontId="5" numFmtId="0" xfId="0" applyAlignment="1" applyBorder="1" applyFont="1">
      <alignment horizontal="left" vertical="center"/>
    </xf>
    <xf borderId="4" fillId="2" fontId="13" numFmtId="0" xfId="0" applyAlignment="1" applyBorder="1" applyFont="1">
      <alignment horizontal="right" shrinkToFit="0" vertical="center" wrapText="1"/>
    </xf>
    <xf borderId="4" fillId="0" fontId="15" numFmtId="0" xfId="0" applyAlignment="1" applyBorder="1" applyFont="1">
      <alignment horizontal="right" shrinkToFit="0" vertical="center" wrapText="1"/>
    </xf>
    <xf borderId="16" fillId="0" fontId="15" numFmtId="0" xfId="0" applyAlignment="1" applyBorder="1" applyFont="1">
      <alignment shrinkToFit="0" vertical="center" wrapText="1"/>
    </xf>
    <xf borderId="18" fillId="2" fontId="12" numFmtId="0" xfId="0" applyAlignment="1" applyBorder="1" applyFont="1">
      <alignment horizontal="right" shrinkToFit="0" vertical="center" wrapText="1"/>
    </xf>
    <xf borderId="0" fillId="9" fontId="12" numFmtId="0" xfId="0" applyAlignment="1" applyFont="1">
      <alignment shrinkToFit="0" vertical="center" wrapText="1"/>
    </xf>
    <xf borderId="16" fillId="2" fontId="12" numFmtId="0" xfId="0" applyAlignment="1" applyBorder="1" applyFont="1">
      <alignment shrinkToFit="0" vertical="center" wrapText="1"/>
    </xf>
    <xf borderId="6" fillId="8" fontId="5" numFmtId="0" xfId="0" applyAlignment="1" applyBorder="1" applyFont="1">
      <alignment readingOrder="0" shrinkToFit="0" vertical="center" wrapText="1"/>
    </xf>
    <xf borderId="26" fillId="2" fontId="12" numFmtId="0" xfId="0" applyAlignment="1" applyBorder="1" applyFont="1">
      <alignment shrinkToFit="0" vertical="center" wrapText="1"/>
    </xf>
    <xf borderId="0" fillId="2" fontId="5" numFmtId="0" xfId="0" applyAlignment="1" applyFont="1">
      <alignment shrinkToFit="0" vertical="center" wrapText="1"/>
    </xf>
    <xf borderId="18" fillId="2" fontId="12" numFmtId="0" xfId="0" applyAlignment="1" applyBorder="1" applyFont="1">
      <alignment shrinkToFit="0" vertical="center" wrapText="1"/>
    </xf>
    <xf borderId="4" fillId="10" fontId="12" numFmtId="0" xfId="0" applyAlignment="1" applyBorder="1" applyFill="1" applyFont="1">
      <alignment shrinkToFit="0" vertical="center" wrapText="1"/>
    </xf>
    <xf borderId="4" fillId="10" fontId="12" numFmtId="0" xfId="0" applyAlignment="1" applyBorder="1" applyFont="1">
      <alignment horizontal="left" shrinkToFit="0" vertical="center" wrapText="1"/>
    </xf>
    <xf borderId="4" fillId="10" fontId="13" numFmtId="0" xfId="0" applyAlignment="1" applyBorder="1" applyFont="1">
      <alignment shrinkToFit="0" vertical="center" wrapText="1"/>
    </xf>
    <xf borderId="4" fillId="10" fontId="12" numFmtId="0" xfId="0" applyAlignment="1" applyBorder="1" applyFont="1">
      <alignment horizontal="right" shrinkToFit="0" vertical="center" wrapText="1"/>
    </xf>
    <xf borderId="0" fillId="0" fontId="5" numFmtId="0" xfId="0" applyAlignment="1" applyFont="1">
      <alignment horizontal="left" shrinkToFit="0" vertical="center" wrapText="1"/>
    </xf>
    <xf borderId="29" fillId="0" fontId="5" numFmtId="0" xfId="0" applyAlignment="1" applyBorder="1" applyFont="1">
      <alignment shrinkToFit="0" vertical="center" wrapText="1"/>
    </xf>
    <xf borderId="17" fillId="10" fontId="12" numFmtId="0" xfId="0" applyAlignment="1" applyBorder="1" applyFont="1">
      <alignment horizontal="right" shrinkToFit="0" vertical="center" wrapText="1"/>
    </xf>
    <xf borderId="8" fillId="10" fontId="12" numFmtId="0" xfId="0" applyAlignment="1" applyBorder="1" applyFont="1">
      <alignment shrinkToFit="0" vertical="center" wrapText="1"/>
    </xf>
    <xf borderId="7" fillId="10" fontId="12" numFmtId="0" xfId="0" applyAlignment="1" applyBorder="1" applyFont="1">
      <alignment horizontal="right" shrinkToFit="0" vertical="center" wrapText="1"/>
    </xf>
    <xf borderId="22" fillId="10" fontId="12" numFmtId="0" xfId="0" applyAlignment="1" applyBorder="1" applyFont="1">
      <alignment shrinkToFit="0" vertical="center" wrapText="1"/>
    </xf>
    <xf borderId="0" fillId="10" fontId="12" numFmtId="0" xfId="0" applyAlignment="1" applyFont="1">
      <alignment shrinkToFit="0" vertical="center" wrapText="1"/>
    </xf>
    <xf borderId="4" fillId="0" fontId="24" numFmtId="0" xfId="0" applyAlignment="1" applyBorder="1" applyFont="1">
      <alignment shrinkToFit="0" vertical="center" wrapText="1"/>
    </xf>
    <xf borderId="4" fillId="0" fontId="24" numFmtId="0" xfId="0" applyAlignment="1" applyBorder="1" applyFont="1">
      <alignment readingOrder="0" shrinkToFit="0" vertical="center" wrapText="1"/>
    </xf>
    <xf borderId="0" fillId="0" fontId="5" numFmtId="0" xfId="0" applyAlignment="1" applyFont="1">
      <alignment horizontal="right" readingOrder="0" shrinkToFit="0" vertical="center" wrapText="1"/>
    </xf>
    <xf borderId="18" fillId="10" fontId="12" numFmtId="0" xfId="0" applyAlignment="1" applyBorder="1" applyFont="1">
      <alignment shrinkToFit="0" vertical="center" wrapText="1"/>
    </xf>
    <xf borderId="4" fillId="10" fontId="17" numFmtId="0" xfId="0" applyAlignment="1" applyBorder="1" applyFont="1">
      <alignment shrinkToFit="0" vertical="center" wrapText="1"/>
    </xf>
    <xf borderId="5" fillId="4" fontId="5" numFmtId="0" xfId="0" applyAlignment="1" applyBorder="1" applyFont="1">
      <alignment shrinkToFit="0" vertical="center" wrapText="1"/>
    </xf>
    <xf borderId="5" fillId="8" fontId="5" numFmtId="0" xfId="0" applyAlignment="1" applyBorder="1" applyFont="1">
      <alignment shrinkToFit="0" vertical="center" wrapText="1"/>
    </xf>
    <xf borderId="17" fillId="8" fontId="5" numFmtId="0" xfId="0" applyAlignment="1" applyBorder="1" applyFont="1">
      <alignment shrinkToFit="0" vertical="center" wrapText="1"/>
    </xf>
    <xf borderId="7" fillId="8" fontId="5" numFmtId="0" xfId="0" applyAlignment="1" applyBorder="1" applyFont="1">
      <alignment shrinkToFit="0" vertical="center" wrapText="1"/>
    </xf>
    <xf borderId="4" fillId="8" fontId="25" numFmtId="0" xfId="0" applyAlignment="1" applyBorder="1" applyFont="1">
      <alignment shrinkToFit="0" vertical="center" wrapText="1"/>
    </xf>
    <xf borderId="23" fillId="10" fontId="12" numFmtId="0" xfId="0" applyAlignment="1" applyBorder="1" applyFont="1">
      <alignment horizontal="right" shrinkToFit="0" vertical="center" wrapText="1"/>
    </xf>
    <xf borderId="0" fillId="10" fontId="5" numFmtId="0" xfId="0" applyAlignment="1" applyFont="1">
      <alignment shrinkToFit="0" vertical="center" wrapText="1"/>
    </xf>
    <xf borderId="30" fillId="0" fontId="5" numFmtId="0" xfId="0" applyAlignment="1" applyBorder="1" applyFont="1">
      <alignment shrinkToFit="0" vertical="center" wrapText="1"/>
    </xf>
    <xf borderId="4" fillId="10" fontId="12" numFmtId="0" xfId="0" applyAlignment="1" applyBorder="1" applyFont="1">
      <alignment readingOrder="0" shrinkToFit="0" vertical="center" wrapText="1"/>
    </xf>
    <xf borderId="8" fillId="10" fontId="5" numFmtId="0" xfId="0" applyAlignment="1" applyBorder="1" applyFont="1">
      <alignment shrinkToFit="0" vertical="center" wrapText="1"/>
    </xf>
    <xf borderId="18" fillId="10" fontId="12" numFmtId="0" xfId="0" applyAlignment="1" applyBorder="1" applyFont="1">
      <alignment horizontal="right" shrinkToFit="0" vertical="center" wrapText="1"/>
    </xf>
    <xf borderId="0" fillId="10" fontId="2" numFmtId="0" xfId="0" applyAlignment="1" applyFont="1">
      <alignment vertical="center"/>
    </xf>
    <xf borderId="4" fillId="11" fontId="12" numFmtId="0" xfId="0" applyAlignment="1" applyBorder="1" applyFill="1" applyFont="1">
      <alignment readingOrder="0" shrinkToFit="0" vertical="center" wrapText="1"/>
    </xf>
    <xf borderId="4" fillId="11" fontId="12" numFmtId="0" xfId="0" applyAlignment="1" applyBorder="1" applyFont="1">
      <alignment shrinkToFit="0" vertical="center" wrapText="1"/>
    </xf>
    <xf borderId="4" fillId="11" fontId="12" numFmtId="0" xfId="0" applyAlignment="1" applyBorder="1" applyFont="1">
      <alignment horizontal="left" shrinkToFit="0" vertical="center" wrapText="1"/>
    </xf>
    <xf borderId="4" fillId="11" fontId="13" numFmtId="0" xfId="0" applyAlignment="1" applyBorder="1" applyFont="1">
      <alignment shrinkToFit="0" vertical="center" wrapText="1"/>
    </xf>
    <xf borderId="4" fillId="4" fontId="12" numFmtId="0" xfId="0" applyAlignment="1" applyBorder="1" applyFont="1">
      <alignment shrinkToFit="0" vertical="center" wrapText="1"/>
    </xf>
    <xf borderId="6" fillId="4" fontId="12" numFmtId="0" xfId="0" applyAlignment="1" applyBorder="1" applyFont="1">
      <alignment shrinkToFit="0" vertical="center" wrapText="1"/>
    </xf>
    <xf borderId="31" fillId="4" fontId="12" numFmtId="0" xfId="0" applyAlignment="1" applyBorder="1" applyFont="1">
      <alignment horizontal="left" shrinkToFit="0" vertical="center" wrapText="1"/>
    </xf>
    <xf borderId="20" fillId="4" fontId="12" numFmtId="0" xfId="0" applyAlignment="1" applyBorder="1" applyFont="1">
      <alignment horizontal="left" shrinkToFit="0" vertical="center" wrapText="1"/>
    </xf>
    <xf borderId="26" fillId="4" fontId="12" numFmtId="0" xfId="0" applyAlignment="1" applyBorder="1" applyFont="1">
      <alignment horizontal="left" shrinkToFit="0" vertical="center" wrapText="1"/>
    </xf>
    <xf borderId="0" fillId="4" fontId="12" numFmtId="0" xfId="0" applyAlignment="1" applyFont="1">
      <alignment shrinkToFit="0" vertical="center" wrapText="1"/>
    </xf>
    <xf borderId="17" fillId="4" fontId="5" numFmtId="0" xfId="0" applyAlignment="1" applyBorder="1" applyFont="1">
      <alignment shrinkToFit="0" vertical="center" wrapText="1"/>
    </xf>
    <xf borderId="5" fillId="0" fontId="2" numFmtId="0" xfId="0" applyAlignment="1" applyBorder="1" applyFont="1">
      <alignment vertical="center"/>
    </xf>
    <xf borderId="4" fillId="0" fontId="26" numFmtId="0" xfId="0" applyAlignment="1" applyBorder="1" applyFont="1">
      <alignment shrinkToFit="0" vertical="center" wrapText="1"/>
    </xf>
    <xf borderId="4" fillId="11" fontId="12" numFmtId="0" xfId="0" applyAlignment="1" applyBorder="1" applyFont="1">
      <alignment horizontal="right" shrinkToFit="0" vertical="center" wrapText="1"/>
    </xf>
    <xf borderId="8" fillId="0" fontId="26" numFmtId="0" xfId="0" applyAlignment="1" applyBorder="1" applyFont="1">
      <alignment shrinkToFit="0" vertical="center" wrapText="1"/>
    </xf>
    <xf borderId="32" fillId="0" fontId="27" numFmtId="0" xfId="0" applyAlignment="1" applyBorder="1" applyFont="1">
      <alignment shrinkToFit="0" vertical="center" wrapText="1"/>
    </xf>
    <xf borderId="32" fillId="11" fontId="12" numFmtId="0" xfId="0" applyAlignment="1" applyBorder="1" applyFont="1">
      <alignment horizontal="right" shrinkToFit="0" vertical="center" wrapText="1"/>
    </xf>
    <xf borderId="32" fillId="0" fontId="15" numFmtId="0" xfId="0" applyAlignment="1" applyBorder="1" applyFont="1">
      <alignment shrinkToFit="0" vertical="center" wrapText="1"/>
    </xf>
    <xf borderId="4" fillId="0" fontId="2" numFmtId="0" xfId="0" applyAlignment="1" applyBorder="1" applyFont="1">
      <alignment shrinkToFit="0" vertical="center" wrapText="1"/>
    </xf>
    <xf borderId="0" fillId="0" fontId="2" numFmtId="0" xfId="0" applyAlignment="1" applyFont="1">
      <alignment shrinkToFit="0" vertical="center" wrapText="1"/>
    </xf>
    <xf borderId="4" fillId="11" fontId="20" numFmtId="0" xfId="0" applyAlignment="1" applyBorder="1" applyFont="1">
      <alignment shrinkToFit="0" vertical="center" wrapText="1"/>
    </xf>
    <xf borderId="5" fillId="0" fontId="28" numFmtId="0" xfId="0" applyAlignment="1" applyBorder="1" applyFont="1">
      <alignment horizontal="center" shrinkToFit="0" vertical="center" wrapText="1"/>
    </xf>
    <xf borderId="4" fillId="11" fontId="13" numFmtId="0" xfId="0" applyAlignment="1" applyBorder="1" applyFont="1">
      <alignment horizontal="right" shrinkToFit="0" vertical="center" wrapText="1"/>
    </xf>
    <xf borderId="2" fillId="0" fontId="12" numFmtId="0" xfId="0" applyAlignment="1" applyBorder="1" applyFont="1">
      <alignment horizontal="right" shrinkToFit="0" vertical="center" wrapText="1"/>
    </xf>
    <xf borderId="2" fillId="0" fontId="5" numFmtId="0" xfId="0" applyAlignment="1" applyBorder="1" applyFont="1">
      <alignment horizontal="right" shrinkToFit="0" vertical="center" wrapText="1"/>
    </xf>
    <xf borderId="2" fillId="0" fontId="5" numFmtId="0" xfId="0" applyAlignment="1" applyBorder="1" applyFont="1">
      <alignment shrinkToFit="0" vertical="center" wrapText="1"/>
    </xf>
    <xf borderId="4" fillId="0" fontId="15" numFmtId="0" xfId="0" applyAlignment="1" applyBorder="1" applyFont="1">
      <alignment horizontal="left" shrinkToFit="0" vertical="center" wrapText="1"/>
    </xf>
    <xf borderId="4" fillId="4" fontId="29" numFmtId="0" xfId="0" applyAlignment="1" applyBorder="1" applyFont="1">
      <alignment readingOrder="0" shrinkToFit="0" vertical="center" wrapText="1"/>
    </xf>
    <xf borderId="17" fillId="11" fontId="12" numFmtId="0" xfId="0" applyAlignment="1" applyBorder="1" applyFont="1">
      <alignment horizontal="right" shrinkToFit="0" vertical="center" wrapText="1"/>
    </xf>
    <xf borderId="8" fillId="12" fontId="12" numFmtId="0" xfId="0" applyAlignment="1" applyBorder="1" applyFill="1" applyFont="1">
      <alignment shrinkToFit="0" vertical="center" wrapText="1"/>
    </xf>
    <xf borderId="7" fillId="11" fontId="12" numFmtId="0" xfId="0" applyAlignment="1" applyBorder="1" applyFont="1">
      <alignment horizontal="right" shrinkToFit="0" vertical="center" wrapText="1"/>
    </xf>
    <xf borderId="18" fillId="11" fontId="12" numFmtId="0" xfId="0" applyAlignment="1" applyBorder="1" applyFont="1">
      <alignment horizontal="right" shrinkToFit="0" vertical="center" wrapText="1"/>
    </xf>
    <xf borderId="0" fillId="11" fontId="12" numFmtId="0" xfId="0" applyAlignment="1" applyFont="1">
      <alignment shrinkToFit="0" vertical="center" wrapText="1"/>
    </xf>
    <xf borderId="0" fillId="11" fontId="5" numFmtId="0" xfId="0" applyAlignment="1" applyFont="1">
      <alignment shrinkToFit="0" vertical="center" wrapText="1"/>
    </xf>
    <xf borderId="30" fillId="0" fontId="12" numFmtId="0" xfId="0" applyAlignment="1" applyBorder="1" applyFont="1">
      <alignment horizontal="right" shrinkToFit="0" vertical="center" wrapText="1"/>
    </xf>
    <xf borderId="30" fillId="0" fontId="5" numFmtId="0" xfId="0" applyAlignment="1" applyBorder="1" applyFont="1">
      <alignment horizontal="right" shrinkToFit="0" vertical="center" wrapText="1"/>
    </xf>
    <xf borderId="33" fillId="0" fontId="5" numFmtId="0" xfId="0" applyAlignment="1" applyBorder="1" applyFont="1">
      <alignment shrinkToFit="0" vertical="center" wrapText="1"/>
    </xf>
    <xf borderId="34" fillId="12" fontId="12" numFmtId="0" xfId="0" applyAlignment="1" applyBorder="1" applyFont="1">
      <alignment horizontal="right" shrinkToFit="0" vertical="center" wrapText="1"/>
    </xf>
    <xf borderId="33" fillId="0" fontId="4" numFmtId="0" xfId="0" applyBorder="1" applyFont="1"/>
    <xf borderId="32" fillId="0" fontId="5" numFmtId="0" xfId="0" applyAlignment="1" applyBorder="1" applyFont="1">
      <alignment shrinkToFit="0" vertical="center" wrapText="1"/>
    </xf>
    <xf borderId="32" fillId="0" fontId="4" numFmtId="0" xfId="0" applyBorder="1" applyFont="1"/>
    <xf borderId="30" fillId="12" fontId="12" numFmtId="0" xfId="0" applyAlignment="1" applyBorder="1" applyFont="1">
      <alignment horizontal="right" shrinkToFit="0" vertical="center" wrapText="1"/>
    </xf>
    <xf borderId="21" fillId="8" fontId="5" numFmtId="0" xfId="0" applyAlignment="1" applyBorder="1" applyFont="1">
      <alignment shrinkToFit="0" vertical="center" wrapText="1"/>
    </xf>
    <xf borderId="4" fillId="12" fontId="12" numFmtId="0" xfId="0" applyAlignment="1" applyBorder="1" applyFont="1">
      <alignment horizontal="right" shrinkToFit="0" vertical="center" wrapText="1"/>
    </xf>
    <xf borderId="4" fillId="0" fontId="30" numFmtId="0" xfId="0" applyAlignment="1" applyBorder="1" applyFont="1">
      <alignment vertical="center"/>
    </xf>
    <xf borderId="4" fillId="13" fontId="12" numFmtId="0" xfId="0" applyAlignment="1" applyBorder="1" applyFill="1" applyFont="1">
      <alignment shrinkToFit="0" vertical="center" wrapText="1"/>
    </xf>
    <xf borderId="4" fillId="0" fontId="31" numFmtId="0" xfId="0" applyAlignment="1" applyBorder="1" applyFont="1">
      <alignment readingOrder="0" shrinkToFit="0" vertical="center" wrapText="1"/>
    </xf>
    <xf borderId="3" fillId="11" fontId="12" numFmtId="0" xfId="0" applyAlignment="1" applyBorder="1" applyFont="1">
      <alignment horizontal="right" shrinkToFit="0" vertical="center" wrapText="1"/>
    </xf>
    <xf borderId="0" fillId="0" fontId="15" numFmtId="0" xfId="0" applyAlignment="1" applyFont="1">
      <alignment shrinkToFit="0" vertical="center" wrapText="1"/>
    </xf>
    <xf borderId="8" fillId="12" fontId="5" numFmtId="0" xfId="0" applyAlignment="1" applyBorder="1" applyFont="1">
      <alignment vertical="center"/>
    </xf>
    <xf borderId="17" fillId="12" fontId="12" numFmtId="0" xfId="0" applyAlignment="1" applyBorder="1" applyFont="1">
      <alignment horizontal="right" shrinkToFit="0" vertical="center" wrapText="1"/>
    </xf>
    <xf borderId="7" fillId="12" fontId="12" numFmtId="0" xfId="0" applyAlignment="1" applyBorder="1" applyFont="1">
      <alignment horizontal="right" shrinkToFit="0" vertical="center" wrapText="1"/>
    </xf>
    <xf borderId="18" fillId="12" fontId="12" numFmtId="0" xfId="0" applyAlignment="1" applyBorder="1" applyFont="1">
      <alignment horizontal="right" shrinkToFit="0" vertical="center" wrapText="1"/>
    </xf>
    <xf borderId="0" fillId="12" fontId="12" numFmtId="0" xfId="0" applyAlignment="1" applyFont="1">
      <alignment shrinkToFit="0" vertical="center" wrapText="1"/>
    </xf>
    <xf borderId="8" fillId="0" fontId="12" numFmtId="0" xfId="0" applyAlignment="1" applyBorder="1" applyFont="1">
      <alignment horizontal="right" shrinkToFit="0" vertical="center" wrapText="1"/>
    </xf>
    <xf borderId="6" fillId="11" fontId="12" numFmtId="0" xfId="0" applyAlignment="1" applyBorder="1" applyFont="1">
      <alignment readingOrder="0" shrinkToFit="0" vertical="center" wrapText="1"/>
    </xf>
    <xf borderId="4" fillId="0" fontId="15" numFmtId="0" xfId="0" applyAlignment="1" applyBorder="1" applyFont="1">
      <alignment horizontal="left" readingOrder="0" shrinkToFit="0" vertical="center" wrapText="1"/>
    </xf>
    <xf borderId="8" fillId="12" fontId="17" numFmtId="0" xfId="0" applyAlignment="1" applyBorder="1" applyFont="1">
      <alignment shrinkToFit="0" vertical="center" wrapText="1"/>
    </xf>
    <xf borderId="0" fillId="11" fontId="30" numFmtId="0" xfId="0" applyAlignment="1" applyFont="1">
      <alignment vertical="center"/>
    </xf>
    <xf borderId="8" fillId="0" fontId="17" numFmtId="0" xfId="0" applyAlignment="1" applyBorder="1" applyFont="1">
      <alignment shrinkToFit="0" vertical="center" wrapText="1"/>
    </xf>
    <xf borderId="6" fillId="12" fontId="12" numFmtId="0" xfId="0" applyAlignment="1" applyBorder="1" applyFont="1">
      <alignment shrinkToFit="0" vertical="center" wrapText="1"/>
    </xf>
    <xf borderId="5" fillId="0" fontId="5" numFmtId="0" xfId="0" applyAlignment="1" applyBorder="1" applyFont="1">
      <alignment vertical="center"/>
    </xf>
    <xf borderId="8" fillId="0" fontId="5" numFmtId="0" xfId="0" applyAlignment="1" applyBorder="1" applyFont="1">
      <alignment vertical="center"/>
    </xf>
    <xf borderId="6" fillId="11" fontId="12" numFmtId="0" xfId="0" applyAlignment="1" applyBorder="1" applyFont="1">
      <alignment shrinkToFit="0" vertical="center" wrapText="1"/>
    </xf>
    <xf borderId="16" fillId="0" fontId="18" numFmtId="0" xfId="0" applyAlignment="1" applyBorder="1" applyFont="1">
      <alignment shrinkToFit="0" vertical="center" wrapText="1"/>
    </xf>
    <xf borderId="4" fillId="4" fontId="5" numFmtId="0" xfId="0" applyAlignment="1" applyBorder="1" applyFont="1">
      <alignment readingOrder="0" shrinkToFit="0" vertical="center" wrapText="1"/>
    </xf>
    <xf borderId="35" fillId="11" fontId="20" numFmtId="0" xfId="0" applyAlignment="1" applyBorder="1" applyFont="1">
      <alignment shrinkToFit="0" vertical="center" wrapText="1"/>
    </xf>
    <xf borderId="4" fillId="8" fontId="12" numFmtId="0" xfId="0" applyAlignment="1" applyBorder="1" applyFont="1">
      <alignment shrinkToFit="0" vertical="center" wrapText="1"/>
    </xf>
    <xf borderId="36" fillId="8" fontId="12" numFmtId="0" xfId="0" applyAlignment="1" applyBorder="1" applyFont="1">
      <alignment horizontal="right" shrinkToFit="0" vertical="center" wrapText="1"/>
    </xf>
    <xf borderId="37" fillId="8" fontId="5" numFmtId="0" xfId="0" applyAlignment="1" applyBorder="1" applyFont="1">
      <alignment horizontal="right" shrinkToFit="0" vertical="center" wrapText="1"/>
    </xf>
    <xf borderId="38" fillId="8" fontId="5" numFmtId="0" xfId="0" applyAlignment="1" applyBorder="1" applyFont="1">
      <alignment shrinkToFit="0" vertical="center" wrapText="1"/>
    </xf>
    <xf borderId="0" fillId="0" fontId="32" numFmtId="0" xfId="0" applyAlignment="1" applyFont="1">
      <alignment readingOrder="0" shrinkToFit="0" vertical="center" wrapText="1"/>
    </xf>
    <xf borderId="18" fillId="8" fontId="15" numFmtId="0" xfId="0" applyAlignment="1" applyBorder="1" applyFont="1">
      <alignment readingOrder="0" shrinkToFit="0" vertical="center" wrapText="1"/>
    </xf>
    <xf borderId="5" fillId="0" fontId="18" numFmtId="0" xfId="0" applyAlignment="1" applyBorder="1" applyFont="1">
      <alignment shrinkToFit="0" vertical="center" wrapText="1"/>
    </xf>
    <xf borderId="5" fillId="0" fontId="5" numFmtId="0" xfId="0" applyAlignment="1" applyBorder="1" applyFont="1">
      <alignment horizontal="right" shrinkToFit="0" vertical="center" wrapText="1"/>
    </xf>
    <xf borderId="5" fillId="0" fontId="18" numFmtId="0" xfId="0" applyAlignment="1" applyBorder="1" applyFont="1">
      <alignment readingOrder="0" shrinkToFit="0" vertical="center" wrapText="1"/>
    </xf>
    <xf borderId="16" fillId="0" fontId="18" numFmtId="0" xfId="0" applyAlignment="1" applyBorder="1" applyFont="1">
      <alignment readingOrder="0" shrinkToFit="0" vertical="center" wrapText="1"/>
    </xf>
    <xf borderId="4" fillId="11" fontId="12" numFmtId="0" xfId="0" applyAlignment="1" applyBorder="1" applyFont="1">
      <alignment horizontal="right" readingOrder="0" shrinkToFit="0" vertical="center" wrapText="1"/>
    </xf>
    <xf borderId="5" fillId="0" fontId="5" numFmtId="0" xfId="0" applyAlignment="1" applyBorder="1" applyFont="1">
      <alignment horizontal="right" readingOrder="0" shrinkToFit="0" vertical="center" wrapText="1"/>
    </xf>
    <xf borderId="23" fillId="11" fontId="12" numFmtId="0" xfId="0" applyAlignment="1" applyBorder="1" applyFont="1">
      <alignment horizontal="right" shrinkToFit="0" vertical="center" wrapText="1"/>
    </xf>
    <xf borderId="20" fillId="11" fontId="12" numFmtId="0" xfId="0" applyAlignment="1" applyBorder="1" applyFont="1">
      <alignment horizontal="right" shrinkToFit="0" vertical="center" wrapText="1"/>
    </xf>
    <xf borderId="26" fillId="11" fontId="12" numFmtId="0" xfId="0" applyAlignment="1" applyBorder="1" applyFont="1">
      <alignment shrinkToFit="0" vertical="center" wrapText="1"/>
    </xf>
    <xf borderId="0" fillId="12" fontId="5" numFmtId="0" xfId="0" applyAlignment="1" applyFont="1">
      <alignment shrinkToFit="0" vertical="center" wrapText="1"/>
    </xf>
    <xf borderId="18" fillId="11" fontId="12" numFmtId="0" xfId="0" applyAlignment="1" applyBorder="1" applyFont="1">
      <alignment shrinkToFit="0" vertical="center" wrapText="1"/>
    </xf>
    <xf borderId="18" fillId="14" fontId="12" numFmtId="0" xfId="0" applyAlignment="1" applyBorder="1" applyFill="1" applyFont="1">
      <alignment shrinkToFit="0" vertical="center" wrapText="1"/>
    </xf>
    <xf borderId="28" fillId="14" fontId="5" numFmtId="0" xfId="0" applyAlignment="1" applyBorder="1" applyFont="1">
      <alignment shrinkToFit="0" vertical="center" wrapText="1"/>
    </xf>
    <xf borderId="17" fillId="14" fontId="12" numFmtId="0" xfId="0" applyAlignment="1" applyBorder="1" applyFont="1">
      <alignment horizontal="right" shrinkToFit="0" vertical="center" wrapText="1"/>
    </xf>
    <xf borderId="7" fillId="14" fontId="12" numFmtId="0" xfId="0" applyAlignment="1" applyBorder="1" applyFont="1">
      <alignment horizontal="right" shrinkToFit="0" vertical="center" wrapText="1"/>
    </xf>
    <xf borderId="0" fillId="14" fontId="5" numFmtId="0" xfId="0" applyAlignment="1" applyFont="1">
      <alignment shrinkToFit="0" vertical="center" wrapText="1"/>
    </xf>
    <xf borderId="0" fillId="0" fontId="13" numFmtId="0" xfId="0" applyAlignment="1" applyFont="1">
      <alignment shrinkToFit="0" vertical="center" wrapText="1"/>
    </xf>
    <xf borderId="0" fillId="0" fontId="10" numFmtId="0" xfId="0" applyAlignment="1" applyFont="1">
      <alignment shrinkToFit="0" vertical="center" wrapText="0"/>
    </xf>
    <xf borderId="0" fillId="0" fontId="2" numFmtId="0" xfId="0" applyAlignment="1" applyFont="1">
      <alignment horizontal="right" vertical="center"/>
    </xf>
    <xf borderId="4" fillId="0" fontId="2" numFmtId="0" xfId="0" applyAlignment="1" applyBorder="1" applyFont="1">
      <alignment horizontal="right" vertical="center"/>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3295650</xdr:colOff>
      <xdr:row>1</xdr:row>
      <xdr:rowOff>114300</xdr:rowOff>
    </xdr:from>
    <xdr:ext cx="857250" cy="828675"/>
    <xdr:pic>
      <xdr:nvPicPr>
        <xdr:cNvPr descr="Letterhead logo FRD.jpg"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shionrevolution.org/about/transparency" TargetMode="External"/><Relationship Id="rId2" Type="http://schemas.openxmlformats.org/officeDocument/2006/relationships/hyperlink" Target="https://www.theguardian.com/fashion/2020/apr/21/hm-tops-2020-fashion-transparency-index-as-10-brands-score-zer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americanbar.org/groups/human_rights/business-human-rights-initiative/contractual-clauses-project/" TargetMode="External"/><Relationship Id="rId10" Type="http://schemas.openxmlformats.org/officeDocument/2006/relationships/hyperlink" Target="https://www.goodclothesfairpay.eu/" TargetMode="External"/><Relationship Id="rId13" Type="http://schemas.openxmlformats.org/officeDocument/2006/relationships/hyperlink" Target="https://emf.thirdlight.com/link/nbwff6ugh01m-y15u3p/@/preview/1?o" TargetMode="External"/><Relationship Id="rId12" Type="http://schemas.openxmlformats.org/officeDocument/2006/relationships/hyperlink" Target="https://docs.google.com/spreadsheets/d/1GbG7LRq03VEunVgWmcjdEMU-02GmA71F0PklRbXM42A/edit" TargetMode="External"/><Relationship Id="rId1" Type="http://schemas.openxmlformats.org/officeDocument/2006/relationships/hyperlink" Target="https://wrap.org.uk/taking-action/plastic-packaging/the-uk-plastics-pact" TargetMode="External"/><Relationship Id="rId2" Type="http://schemas.openxmlformats.org/officeDocument/2006/relationships/hyperlink" Target="https://www.ilo.org/dyn/normlex/en/f?p=NORMLEXPUB:12100:0::NO::P12100_ILO_CODE:C190" TargetMode="External"/><Relationship Id="rId3" Type="http://schemas.openxmlformats.org/officeDocument/2006/relationships/hyperlink" Target="https://sciencebasedtargets.org/" TargetMode="External"/><Relationship Id="rId4" Type="http://schemas.openxmlformats.org/officeDocument/2006/relationships/hyperlink" Target="https://changingmarkets.org/wp-content/uploads/2018/02/Roadmap_towards_responsible_viscose_and_modal_fibre_manufacturing_2018.pdf" TargetMode="External"/><Relationship Id="rId9" Type="http://schemas.openxmlformats.org/officeDocument/2006/relationships/hyperlink" Target="https://assets.worldbenchmarkingalliance.org/app/uploads/2021/09/CHBR-Methodology_Apparel_2021_FINAL3.pdf" TargetMode="External"/><Relationship Id="rId15" Type="http://schemas.openxmlformats.org/officeDocument/2006/relationships/hyperlink" Target="https://www.fsb-tcfd.org/" TargetMode="External"/><Relationship Id="rId14" Type="http://schemas.openxmlformats.org/officeDocument/2006/relationships/hyperlink" Target="https://www.bsr.org/en/our-insights/report-view/circular-fashion-keeping-workers-in-the-loop" TargetMode="External"/><Relationship Id="rId17" Type="http://schemas.openxmlformats.org/officeDocument/2006/relationships/hyperlink" Target="https://www.there100.org/re100-members" TargetMode="External"/><Relationship Id="rId16" Type="http://schemas.openxmlformats.org/officeDocument/2006/relationships/hyperlink" Target="http://ipe.org.cn/" TargetMode="External"/><Relationship Id="rId5" Type="http://schemas.openxmlformats.org/officeDocument/2006/relationships/hyperlink" Target="https://bteam.org/assets/reports/A-New-Bar-for-Responsible-Tax.pdf" TargetMode="External"/><Relationship Id="rId6" Type="http://schemas.openxmlformats.org/officeDocument/2006/relationships/hyperlink" Target="https://betterbuying.org/download/win-win-sustainable-partnership-2/" TargetMode="External"/><Relationship Id="rId18" Type="http://schemas.openxmlformats.org/officeDocument/2006/relationships/drawing" Target="../drawings/drawing3.xml"/><Relationship Id="rId7" Type="http://schemas.openxmlformats.org/officeDocument/2006/relationships/hyperlink" Target="https://europa.eu/citizens-initiative/initiatives/details/2022/000004_en" TargetMode="External"/><Relationship Id="rId8" Type="http://schemas.openxmlformats.org/officeDocument/2006/relationships/hyperlink" Target="https://www.ihrb.org/uploads/news-uploads/Employer_Pays_Principle_-_Leadership_Group_for_Responsible_Recruitment_updated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6" width="11.22"/>
  </cols>
  <sheetData>
    <row r="1">
      <c r="A1" s="1" t="s">
        <v>0</v>
      </c>
      <c r="K1" s="2"/>
      <c r="L1" s="2"/>
      <c r="M1" s="2"/>
      <c r="N1" s="2"/>
      <c r="O1" s="2"/>
      <c r="P1" s="2"/>
      <c r="Q1" s="2"/>
      <c r="R1" s="2"/>
      <c r="S1" s="2"/>
      <c r="T1" s="2"/>
      <c r="U1" s="2"/>
      <c r="V1" s="2"/>
      <c r="W1" s="2"/>
      <c r="X1" s="2"/>
      <c r="Y1" s="2"/>
      <c r="Z1" s="2"/>
    </row>
    <row r="2">
      <c r="K2" s="2"/>
      <c r="L2" s="2"/>
      <c r="M2" s="2"/>
      <c r="N2" s="2"/>
      <c r="O2" s="2"/>
      <c r="P2" s="2"/>
      <c r="Q2" s="2"/>
      <c r="R2" s="2"/>
      <c r="S2" s="2"/>
      <c r="T2" s="2"/>
      <c r="U2" s="2"/>
      <c r="V2" s="2"/>
      <c r="W2" s="2"/>
      <c r="X2" s="2"/>
      <c r="Y2" s="2"/>
      <c r="Z2" s="2"/>
    </row>
    <row r="3">
      <c r="A3" s="3" t="s">
        <v>1</v>
      </c>
      <c r="B3" s="4"/>
      <c r="C3" s="4"/>
      <c r="D3" s="4"/>
      <c r="E3" s="4"/>
      <c r="F3" s="4"/>
      <c r="G3" s="4"/>
      <c r="H3" s="4"/>
      <c r="I3" s="4"/>
      <c r="J3" s="5"/>
      <c r="K3" s="6"/>
      <c r="L3" s="3" t="s">
        <v>2</v>
      </c>
      <c r="M3" s="4"/>
      <c r="N3" s="4"/>
      <c r="O3" s="4"/>
      <c r="P3" s="4"/>
      <c r="Q3" s="4"/>
      <c r="R3" s="4"/>
      <c r="S3" s="4"/>
      <c r="T3" s="4"/>
      <c r="U3" s="5"/>
      <c r="V3" s="6"/>
      <c r="W3" s="6"/>
      <c r="X3" s="6"/>
      <c r="Y3" s="6"/>
      <c r="Z3" s="6"/>
    </row>
    <row r="4">
      <c r="A4" s="7" t="s">
        <v>3</v>
      </c>
      <c r="B4" s="4"/>
      <c r="C4" s="4"/>
      <c r="D4" s="4"/>
      <c r="E4" s="4"/>
      <c r="F4" s="4"/>
      <c r="G4" s="4"/>
      <c r="H4" s="4"/>
      <c r="I4" s="4"/>
      <c r="J4" s="5"/>
      <c r="K4" s="8"/>
      <c r="L4" s="9" t="s">
        <v>4</v>
      </c>
      <c r="M4" s="4"/>
      <c r="N4" s="4"/>
      <c r="O4" s="4"/>
      <c r="P4" s="4"/>
      <c r="Q4" s="4"/>
      <c r="R4" s="4"/>
      <c r="S4" s="4"/>
      <c r="T4" s="4"/>
      <c r="U4" s="5"/>
      <c r="V4" s="2"/>
      <c r="W4" s="2"/>
      <c r="X4" s="2"/>
      <c r="Y4" s="2"/>
      <c r="Z4" s="2"/>
    </row>
    <row r="5">
      <c r="A5" s="10" t="s">
        <v>5</v>
      </c>
      <c r="B5" s="4"/>
      <c r="C5" s="4"/>
      <c r="D5" s="4"/>
      <c r="E5" s="4"/>
      <c r="F5" s="4"/>
      <c r="G5" s="4"/>
      <c r="H5" s="4"/>
      <c r="I5" s="4"/>
      <c r="J5" s="5"/>
      <c r="K5" s="11"/>
      <c r="L5" s="12" t="s">
        <v>6</v>
      </c>
      <c r="M5" s="4"/>
      <c r="N5" s="4"/>
      <c r="O5" s="4"/>
      <c r="P5" s="4"/>
      <c r="Q5" s="4"/>
      <c r="R5" s="4"/>
      <c r="S5" s="4"/>
      <c r="T5" s="4"/>
      <c r="U5" s="5"/>
      <c r="V5" s="13"/>
      <c r="W5" s="13"/>
      <c r="X5" s="13"/>
      <c r="Y5" s="13"/>
      <c r="Z5" s="13"/>
    </row>
    <row r="6" ht="546.0" customHeight="1">
      <c r="A6" s="14" t="s">
        <v>7</v>
      </c>
      <c r="B6" s="4"/>
      <c r="C6" s="4"/>
      <c r="D6" s="4"/>
      <c r="E6" s="4"/>
      <c r="F6" s="4"/>
      <c r="G6" s="4"/>
      <c r="H6" s="4"/>
      <c r="I6" s="4"/>
      <c r="J6" s="5"/>
      <c r="K6" s="11"/>
      <c r="L6" s="15" t="s">
        <v>8</v>
      </c>
      <c r="M6" s="4"/>
      <c r="N6" s="4"/>
      <c r="O6" s="4"/>
      <c r="P6" s="4"/>
      <c r="Q6" s="4"/>
      <c r="R6" s="4"/>
      <c r="S6" s="4"/>
      <c r="T6" s="4"/>
      <c r="U6" s="5"/>
      <c r="V6" s="13"/>
      <c r="W6" s="13"/>
      <c r="X6" s="13"/>
      <c r="Y6" s="13"/>
      <c r="Z6" s="13"/>
    </row>
    <row r="7">
      <c r="A7" s="16" t="s">
        <v>9</v>
      </c>
      <c r="B7" s="4"/>
      <c r="C7" s="4"/>
      <c r="D7" s="4"/>
      <c r="E7" s="4"/>
      <c r="F7" s="4"/>
      <c r="G7" s="4"/>
      <c r="H7" s="4"/>
      <c r="I7" s="4"/>
      <c r="J7" s="5"/>
      <c r="K7" s="6"/>
      <c r="L7" s="17" t="s">
        <v>10</v>
      </c>
      <c r="M7" s="4"/>
      <c r="N7" s="4"/>
      <c r="O7" s="4"/>
      <c r="P7" s="4"/>
      <c r="Q7" s="4"/>
      <c r="R7" s="4"/>
      <c r="S7" s="4"/>
      <c r="T7" s="4"/>
      <c r="U7" s="5"/>
      <c r="V7" s="2"/>
      <c r="W7" s="2"/>
      <c r="X7" s="2"/>
      <c r="Y7" s="2"/>
      <c r="Z7" s="2"/>
    </row>
    <row r="8">
      <c r="A8" s="18" t="s">
        <v>11</v>
      </c>
      <c r="B8" s="4"/>
      <c r="C8" s="4"/>
      <c r="D8" s="4"/>
      <c r="E8" s="4"/>
      <c r="F8" s="4"/>
      <c r="G8" s="4"/>
      <c r="H8" s="4"/>
      <c r="I8" s="4"/>
      <c r="J8" s="5"/>
      <c r="K8" s="8"/>
      <c r="L8" s="19" t="s">
        <v>12</v>
      </c>
      <c r="M8" s="4"/>
      <c r="N8" s="4"/>
      <c r="O8" s="4"/>
      <c r="P8" s="4"/>
      <c r="Q8" s="4"/>
      <c r="R8" s="4"/>
      <c r="S8" s="4"/>
      <c r="T8" s="4"/>
      <c r="U8" s="5"/>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0"/>
      <c r="D11" s="2"/>
      <c r="E11" s="2"/>
      <c r="F11" s="2"/>
      <c r="G11" s="2"/>
      <c r="H11" s="2"/>
      <c r="I11" s="2"/>
      <c r="J11" s="2"/>
      <c r="K11" s="2"/>
      <c r="L11" s="2"/>
      <c r="M11" s="2"/>
      <c r="N11" s="2"/>
      <c r="O11" s="2"/>
      <c r="P11" s="2"/>
      <c r="Q11" s="2"/>
      <c r="R11" s="2"/>
      <c r="S11" s="2"/>
      <c r="T11" s="2"/>
      <c r="U11" s="2"/>
      <c r="V11" s="2"/>
      <c r="W11" s="2"/>
      <c r="X11" s="2"/>
      <c r="Y11" s="2"/>
      <c r="Z11" s="2"/>
    </row>
    <row r="12">
      <c r="A12" s="2"/>
      <c r="B12" s="21"/>
      <c r="C12" s="21"/>
      <c r="D12" s="21"/>
      <c r="E12" s="21"/>
      <c r="F12" s="21"/>
      <c r="G12" s="21"/>
      <c r="H12" s="21"/>
      <c r="I12" s="2"/>
      <c r="J12" s="2"/>
      <c r="K12" s="2"/>
      <c r="L12" s="2"/>
      <c r="M12" s="2"/>
      <c r="N12" s="2"/>
      <c r="O12" s="2"/>
      <c r="P12" s="2"/>
      <c r="Q12" s="2"/>
      <c r="R12" s="2"/>
      <c r="S12" s="2"/>
      <c r="T12" s="2"/>
      <c r="U12" s="2"/>
      <c r="V12" s="2"/>
      <c r="W12" s="2"/>
      <c r="X12" s="2"/>
      <c r="Y12" s="2"/>
      <c r="Z12" s="2"/>
    </row>
    <row r="13">
      <c r="A13" s="2"/>
      <c r="B13" s="21"/>
      <c r="C13" s="21"/>
      <c r="D13" s="21"/>
      <c r="E13" s="21"/>
      <c r="F13" s="21"/>
      <c r="G13" s="21"/>
      <c r="H13" s="21"/>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5:J5"/>
    <mergeCell ref="A6:J6"/>
    <mergeCell ref="A7:J7"/>
    <mergeCell ref="A8:J8"/>
    <mergeCell ref="L6:U6"/>
    <mergeCell ref="L7:U7"/>
    <mergeCell ref="L8:U8"/>
    <mergeCell ref="A1:J1"/>
    <mergeCell ref="A2:J2"/>
    <mergeCell ref="A3:J3"/>
    <mergeCell ref="L3:U3"/>
    <mergeCell ref="A4:J4"/>
    <mergeCell ref="L4:U4"/>
    <mergeCell ref="L5:U5"/>
  </mergeCells>
  <hyperlinks>
    <hyperlink r:id="rId1" ref="L4"/>
    <hyperlink r:id="rId2" ref="L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6" width="11.22"/>
  </cols>
  <sheetData>
    <row r="1">
      <c r="A1" s="22" t="s">
        <v>0</v>
      </c>
      <c r="K1" s="2"/>
      <c r="L1" s="2"/>
      <c r="M1" s="2"/>
      <c r="N1" s="2"/>
      <c r="O1" s="2"/>
      <c r="P1" s="2"/>
      <c r="Q1" s="2"/>
      <c r="R1" s="2"/>
      <c r="S1" s="2"/>
      <c r="T1" s="2"/>
      <c r="U1" s="2"/>
      <c r="V1" s="2"/>
      <c r="W1" s="2"/>
      <c r="X1" s="2"/>
      <c r="Y1" s="2"/>
      <c r="Z1" s="2"/>
    </row>
    <row r="2">
      <c r="K2" s="2"/>
      <c r="L2" s="2"/>
      <c r="M2" s="2"/>
      <c r="N2" s="2"/>
      <c r="O2" s="2"/>
      <c r="P2" s="2"/>
      <c r="Q2" s="2"/>
      <c r="R2" s="2"/>
      <c r="S2" s="2"/>
      <c r="T2" s="2"/>
      <c r="U2" s="2"/>
      <c r="V2" s="2"/>
      <c r="W2" s="2"/>
      <c r="X2" s="2"/>
      <c r="Y2" s="2"/>
      <c r="Z2" s="2"/>
    </row>
    <row r="3">
      <c r="A3" s="16" t="s">
        <v>13</v>
      </c>
      <c r="B3" s="4"/>
      <c r="C3" s="4"/>
      <c r="D3" s="4"/>
      <c r="E3" s="4"/>
      <c r="F3" s="4"/>
      <c r="G3" s="4"/>
      <c r="H3" s="4"/>
      <c r="I3" s="4"/>
      <c r="J3" s="5"/>
      <c r="K3" s="6"/>
      <c r="L3" s="16" t="s">
        <v>14</v>
      </c>
      <c r="M3" s="4"/>
      <c r="N3" s="4"/>
      <c r="O3" s="4"/>
      <c r="P3" s="4"/>
      <c r="Q3" s="4"/>
      <c r="R3" s="4"/>
      <c r="S3" s="4"/>
      <c r="T3" s="4"/>
      <c r="U3" s="5"/>
      <c r="V3" s="6"/>
      <c r="W3" s="6"/>
      <c r="X3" s="6"/>
      <c r="Y3" s="6"/>
      <c r="Z3" s="6"/>
    </row>
    <row r="4">
      <c r="A4" s="23" t="s">
        <v>15</v>
      </c>
      <c r="B4" s="4"/>
      <c r="C4" s="4"/>
      <c r="D4" s="4"/>
      <c r="E4" s="4"/>
      <c r="F4" s="4"/>
      <c r="G4" s="4"/>
      <c r="H4" s="4"/>
      <c r="I4" s="4"/>
      <c r="J4" s="5"/>
      <c r="K4" s="8"/>
      <c r="L4" s="24" t="s">
        <v>16</v>
      </c>
      <c r="M4" s="4"/>
      <c r="N4" s="4"/>
      <c r="O4" s="4"/>
      <c r="P4" s="4"/>
      <c r="Q4" s="4"/>
      <c r="R4" s="4"/>
      <c r="S4" s="4"/>
      <c r="T4" s="4"/>
      <c r="U4" s="5"/>
      <c r="V4" s="2"/>
      <c r="W4" s="2"/>
      <c r="X4" s="2"/>
      <c r="Y4" s="2"/>
      <c r="Z4" s="2"/>
    </row>
    <row r="5">
      <c r="A5" s="16" t="s">
        <v>17</v>
      </c>
      <c r="B5" s="4"/>
      <c r="C5" s="4"/>
      <c r="D5" s="4"/>
      <c r="E5" s="4"/>
      <c r="F5" s="4"/>
      <c r="G5" s="4"/>
      <c r="H5" s="4"/>
      <c r="I5" s="4"/>
      <c r="J5" s="5"/>
      <c r="K5" s="6"/>
      <c r="V5" s="6"/>
      <c r="W5" s="6"/>
      <c r="X5" s="6"/>
      <c r="Y5" s="6"/>
      <c r="Z5" s="6"/>
    </row>
    <row r="6">
      <c r="A6" s="7" t="s">
        <v>18</v>
      </c>
      <c r="B6" s="4"/>
      <c r="C6" s="4"/>
      <c r="D6" s="4"/>
      <c r="E6" s="4"/>
      <c r="F6" s="4"/>
      <c r="G6" s="4"/>
      <c r="H6" s="4"/>
      <c r="I6" s="4"/>
      <c r="J6" s="5"/>
      <c r="K6" s="2"/>
      <c r="L6" s="25"/>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J5"/>
    <mergeCell ref="A6:J6"/>
    <mergeCell ref="A1:J1"/>
    <mergeCell ref="A2:J2"/>
    <mergeCell ref="A3:J3"/>
    <mergeCell ref="L3:U3"/>
    <mergeCell ref="A4:J4"/>
    <mergeCell ref="L4:U4"/>
    <mergeCell ref="L5:U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44"/>
    <col customWidth="1" min="2" max="2" width="40.67"/>
    <col customWidth="1" min="3" max="3" width="13.67"/>
    <col customWidth="1" min="4" max="6" width="15.33"/>
    <col customWidth="1" min="7" max="7" width="53.89"/>
    <col customWidth="1" min="8" max="8" width="57.22"/>
    <col customWidth="1" min="9" max="9" width="24.11"/>
    <col customWidth="1" min="10" max="10" width="29.44"/>
    <col customWidth="1" min="11" max="11" width="31.22"/>
    <col customWidth="1" min="12" max="12" width="66.56"/>
    <col customWidth="1" min="13" max="13" width="71.89"/>
    <col customWidth="1" min="14" max="14" width="36.11"/>
    <col customWidth="1" min="15" max="15" width="33.67"/>
    <col customWidth="1" min="16" max="24" width="10.67"/>
  </cols>
  <sheetData>
    <row r="1" ht="120.75" customHeight="1">
      <c r="A1" s="26"/>
      <c r="B1" s="27" t="s">
        <v>19</v>
      </c>
      <c r="C1" s="28" t="s">
        <v>20</v>
      </c>
      <c r="D1" s="29" t="s">
        <v>21</v>
      </c>
      <c r="E1" s="29" t="s">
        <v>22</v>
      </c>
      <c r="F1" s="29" t="s">
        <v>23</v>
      </c>
      <c r="G1" s="30" t="s">
        <v>24</v>
      </c>
      <c r="H1" s="31" t="s">
        <v>25</v>
      </c>
      <c r="I1" s="31" t="s">
        <v>26</v>
      </c>
      <c r="J1" s="31" t="s">
        <v>27</v>
      </c>
      <c r="K1" s="31" t="s">
        <v>26</v>
      </c>
      <c r="L1" s="31" t="s">
        <v>28</v>
      </c>
      <c r="M1" s="32" t="s">
        <v>29</v>
      </c>
      <c r="N1" s="31" t="s">
        <v>30</v>
      </c>
      <c r="O1" s="31" t="s">
        <v>31</v>
      </c>
      <c r="P1" s="33"/>
      <c r="Q1" s="33"/>
      <c r="R1" s="33"/>
      <c r="S1" s="33"/>
      <c r="T1" s="33"/>
      <c r="U1" s="33"/>
      <c r="V1" s="33"/>
      <c r="W1" s="33"/>
      <c r="X1" s="33"/>
      <c r="Y1" s="34"/>
      <c r="Z1" s="34"/>
    </row>
    <row r="2" ht="81.0" customHeight="1">
      <c r="A2" s="35" t="s">
        <v>0</v>
      </c>
      <c r="B2" s="5"/>
      <c r="C2" s="36"/>
      <c r="D2" s="37"/>
      <c r="E2" s="37"/>
      <c r="F2" s="37"/>
      <c r="G2" s="38"/>
      <c r="H2" s="38"/>
      <c r="I2" s="38"/>
      <c r="J2" s="38"/>
      <c r="K2" s="38"/>
      <c r="L2" s="38"/>
      <c r="M2" s="38"/>
      <c r="N2" s="38"/>
      <c r="O2" s="38"/>
      <c r="P2" s="39"/>
      <c r="Q2" s="39"/>
      <c r="R2" s="39"/>
      <c r="S2" s="39"/>
      <c r="T2" s="39"/>
      <c r="U2" s="39"/>
      <c r="V2" s="39"/>
      <c r="W2" s="39"/>
      <c r="X2" s="39"/>
      <c r="Y2" s="34"/>
      <c r="Z2" s="34"/>
    </row>
    <row r="3">
      <c r="A3" s="38"/>
      <c r="B3" s="40"/>
      <c r="C3" s="36"/>
      <c r="D3" s="37"/>
      <c r="E3" s="37"/>
      <c r="F3" s="37"/>
      <c r="G3" s="38"/>
      <c r="H3" s="38"/>
      <c r="I3" s="38"/>
      <c r="J3" s="38"/>
      <c r="K3" s="38"/>
      <c r="L3" s="38"/>
      <c r="M3" s="38"/>
      <c r="N3" s="38"/>
      <c r="O3" s="38"/>
      <c r="P3" s="38"/>
      <c r="Q3" s="38"/>
      <c r="R3" s="38"/>
      <c r="S3" s="38"/>
      <c r="T3" s="38"/>
      <c r="U3" s="38"/>
      <c r="V3" s="38"/>
      <c r="W3" s="38"/>
      <c r="X3" s="38"/>
      <c r="Y3" s="34"/>
      <c r="Z3" s="34"/>
    </row>
    <row r="4">
      <c r="A4" s="38"/>
      <c r="B4" s="40"/>
      <c r="C4" s="36"/>
      <c r="D4" s="37"/>
      <c r="E4" s="37"/>
      <c r="F4" s="37"/>
      <c r="G4" s="38"/>
      <c r="H4" s="38"/>
      <c r="I4" s="38"/>
      <c r="J4" s="38"/>
      <c r="K4" s="38"/>
      <c r="L4" s="38"/>
      <c r="M4" s="38"/>
      <c r="N4" s="38"/>
      <c r="O4" s="38"/>
      <c r="P4" s="38"/>
      <c r="Q4" s="38"/>
      <c r="R4" s="38"/>
      <c r="S4" s="38"/>
      <c r="T4" s="38"/>
      <c r="U4" s="38"/>
      <c r="V4" s="38"/>
      <c r="W4" s="38"/>
      <c r="X4" s="38"/>
      <c r="Y4" s="34"/>
      <c r="Z4" s="34"/>
    </row>
    <row r="5">
      <c r="A5" s="38"/>
      <c r="B5" s="40"/>
      <c r="C5" s="36"/>
      <c r="D5" s="37"/>
      <c r="E5" s="37"/>
      <c r="F5" s="37"/>
      <c r="G5" s="38"/>
      <c r="H5" s="38"/>
      <c r="I5" s="38"/>
      <c r="J5" s="38"/>
      <c r="K5" s="38"/>
      <c r="L5" s="38"/>
      <c r="M5" s="38"/>
      <c r="N5" s="38"/>
      <c r="O5" s="38"/>
      <c r="P5" s="38"/>
      <c r="Q5" s="38"/>
      <c r="R5" s="38"/>
      <c r="S5" s="38"/>
      <c r="T5" s="38"/>
      <c r="U5" s="38"/>
      <c r="V5" s="38"/>
      <c r="W5" s="38"/>
      <c r="X5" s="38"/>
      <c r="Y5" s="34"/>
      <c r="Z5" s="34"/>
    </row>
    <row r="6">
      <c r="A6" s="38"/>
      <c r="B6" s="40"/>
      <c r="C6" s="36"/>
      <c r="D6" s="37"/>
      <c r="E6" s="37"/>
      <c r="F6" s="37"/>
      <c r="G6" s="38"/>
      <c r="H6" s="38"/>
      <c r="I6" s="38"/>
      <c r="J6" s="38"/>
      <c r="K6" s="38"/>
      <c r="L6" s="38"/>
      <c r="M6" s="38"/>
      <c r="N6" s="38"/>
      <c r="O6" s="38"/>
      <c r="P6" s="38"/>
      <c r="Q6" s="38"/>
      <c r="R6" s="38"/>
      <c r="S6" s="38"/>
      <c r="T6" s="38"/>
      <c r="U6" s="38"/>
      <c r="V6" s="38"/>
      <c r="W6" s="38"/>
      <c r="X6" s="38"/>
      <c r="Y6" s="34"/>
      <c r="Z6" s="34"/>
    </row>
    <row r="7">
      <c r="A7" s="41" t="s">
        <v>32</v>
      </c>
      <c r="B7" s="40"/>
      <c r="C7" s="36"/>
      <c r="D7" s="37"/>
      <c r="E7" s="37"/>
      <c r="F7" s="37"/>
      <c r="G7" s="38"/>
      <c r="H7" s="38"/>
      <c r="I7" s="38"/>
      <c r="J7" s="38"/>
      <c r="K7" s="38"/>
      <c r="L7" s="38"/>
      <c r="M7" s="38"/>
      <c r="N7" s="38"/>
      <c r="O7" s="38"/>
      <c r="P7" s="38"/>
      <c r="Q7" s="38"/>
      <c r="R7" s="38"/>
      <c r="S7" s="38"/>
      <c r="T7" s="38"/>
      <c r="U7" s="38"/>
      <c r="V7" s="38"/>
      <c r="W7" s="38"/>
      <c r="X7" s="38"/>
      <c r="Y7" s="34"/>
      <c r="Z7" s="34"/>
    </row>
    <row r="8">
      <c r="A8" s="38"/>
      <c r="B8" s="40"/>
      <c r="C8" s="36"/>
      <c r="D8" s="37"/>
      <c r="E8" s="37"/>
      <c r="F8" s="37"/>
      <c r="G8" s="38"/>
      <c r="H8" s="38"/>
      <c r="I8" s="38"/>
      <c r="J8" s="38"/>
      <c r="K8" s="38"/>
      <c r="L8" s="38"/>
      <c r="M8" s="38"/>
      <c r="N8" s="38"/>
      <c r="O8" s="38"/>
      <c r="P8" s="38"/>
      <c r="Q8" s="38"/>
      <c r="R8" s="38"/>
      <c r="S8" s="38"/>
      <c r="T8" s="38"/>
      <c r="U8" s="38"/>
      <c r="V8" s="38"/>
      <c r="W8" s="38"/>
      <c r="X8" s="38"/>
      <c r="Y8" s="34"/>
      <c r="Z8" s="34"/>
    </row>
    <row r="9">
      <c r="A9" s="42" t="s">
        <v>33</v>
      </c>
      <c r="B9" s="43"/>
      <c r="C9" s="36"/>
      <c r="D9" s="37"/>
      <c r="E9" s="37"/>
      <c r="F9" s="37"/>
      <c r="G9" s="38"/>
      <c r="H9" s="38"/>
      <c r="I9" s="38"/>
      <c r="J9" s="38"/>
      <c r="K9" s="38"/>
      <c r="L9" s="38"/>
      <c r="M9" s="38"/>
      <c r="N9" s="38"/>
      <c r="O9" s="38"/>
      <c r="P9" s="38"/>
      <c r="Q9" s="38"/>
      <c r="R9" s="38"/>
      <c r="S9" s="38"/>
      <c r="T9" s="38"/>
      <c r="U9" s="38"/>
      <c r="V9" s="38"/>
      <c r="W9" s="38"/>
      <c r="X9" s="38"/>
      <c r="Y9" s="34"/>
      <c r="Z9" s="34"/>
    </row>
    <row r="10">
      <c r="A10" s="44"/>
      <c r="B10" s="45"/>
      <c r="C10" s="36"/>
      <c r="D10" s="37"/>
      <c r="E10" s="37"/>
      <c r="F10" s="37"/>
      <c r="G10" s="38"/>
      <c r="H10" s="38"/>
      <c r="I10" s="38"/>
      <c r="J10" s="38"/>
      <c r="K10" s="38"/>
      <c r="L10" s="38"/>
      <c r="M10" s="38"/>
      <c r="N10" s="38"/>
      <c r="O10" s="38"/>
      <c r="P10" s="38"/>
      <c r="Q10" s="38"/>
      <c r="R10" s="38"/>
      <c r="S10" s="38"/>
      <c r="T10" s="38"/>
      <c r="U10" s="38"/>
      <c r="V10" s="38"/>
      <c r="W10" s="38"/>
      <c r="X10" s="38"/>
      <c r="Y10" s="34"/>
      <c r="Z10" s="34"/>
    </row>
    <row r="11">
      <c r="A11" s="38"/>
      <c r="B11" s="46"/>
      <c r="C11" s="36"/>
      <c r="D11" s="37"/>
      <c r="E11" s="37"/>
      <c r="F11" s="37"/>
      <c r="G11" s="38"/>
      <c r="H11" s="38"/>
      <c r="I11" s="38"/>
      <c r="J11" s="38"/>
      <c r="K11" s="38"/>
      <c r="L11" s="38"/>
      <c r="M11" s="38"/>
      <c r="N11" s="38"/>
      <c r="O11" s="38"/>
      <c r="P11" s="38"/>
      <c r="Q11" s="38"/>
      <c r="R11" s="38"/>
      <c r="S11" s="38"/>
      <c r="T11" s="38"/>
      <c r="U11" s="38"/>
      <c r="V11" s="38"/>
      <c r="W11" s="38"/>
      <c r="X11" s="38"/>
      <c r="Y11" s="34"/>
      <c r="Z11" s="34"/>
    </row>
    <row r="12">
      <c r="A12" s="42" t="s">
        <v>34</v>
      </c>
      <c r="B12" s="43"/>
      <c r="C12" s="36"/>
      <c r="D12" s="37"/>
      <c r="E12" s="37"/>
      <c r="F12" s="37"/>
      <c r="G12" s="38"/>
      <c r="H12" s="38"/>
      <c r="I12" s="38"/>
      <c r="J12" s="38"/>
      <c r="K12" s="38"/>
      <c r="L12" s="38"/>
      <c r="M12" s="38"/>
      <c r="N12" s="38"/>
      <c r="O12" s="38"/>
      <c r="P12" s="38"/>
      <c r="Q12" s="38"/>
      <c r="R12" s="38"/>
      <c r="S12" s="38"/>
      <c r="T12" s="38"/>
      <c r="U12" s="38"/>
      <c r="V12" s="38"/>
      <c r="W12" s="38"/>
      <c r="X12" s="38"/>
      <c r="Y12" s="34"/>
      <c r="Z12" s="34"/>
    </row>
    <row r="13">
      <c r="A13" s="44"/>
      <c r="B13" s="45"/>
      <c r="C13" s="36"/>
      <c r="D13" s="37"/>
      <c r="E13" s="37"/>
      <c r="F13" s="37"/>
      <c r="G13" s="38"/>
      <c r="H13" s="38"/>
      <c r="I13" s="38"/>
      <c r="J13" s="38"/>
      <c r="K13" s="38"/>
      <c r="L13" s="38"/>
      <c r="M13" s="38"/>
      <c r="N13" s="38"/>
      <c r="O13" s="38"/>
      <c r="P13" s="38"/>
      <c r="Q13" s="38"/>
      <c r="R13" s="38"/>
      <c r="S13" s="38"/>
      <c r="T13" s="38"/>
      <c r="U13" s="38"/>
      <c r="V13" s="38"/>
      <c r="W13" s="38"/>
      <c r="X13" s="38"/>
      <c r="Y13" s="34"/>
      <c r="Z13" s="34"/>
    </row>
    <row r="14">
      <c r="A14" s="38"/>
      <c r="B14" s="46"/>
      <c r="C14" s="36"/>
      <c r="D14" s="37"/>
      <c r="E14" s="37"/>
      <c r="F14" s="37"/>
      <c r="G14" s="38"/>
      <c r="H14" s="38"/>
      <c r="I14" s="38"/>
      <c r="J14" s="38"/>
      <c r="K14" s="38"/>
      <c r="L14" s="38"/>
      <c r="M14" s="38"/>
      <c r="N14" s="38"/>
      <c r="O14" s="38"/>
      <c r="P14" s="38"/>
      <c r="Q14" s="38"/>
      <c r="R14" s="38"/>
      <c r="S14" s="38"/>
      <c r="T14" s="38"/>
      <c r="U14" s="38"/>
      <c r="V14" s="38"/>
      <c r="W14" s="38"/>
      <c r="X14" s="38"/>
      <c r="Y14" s="34"/>
      <c r="Z14" s="34"/>
    </row>
    <row r="15">
      <c r="A15" s="42" t="s">
        <v>35</v>
      </c>
      <c r="B15" s="43"/>
      <c r="C15" s="36"/>
      <c r="D15" s="37"/>
      <c r="E15" s="37"/>
      <c r="F15" s="37"/>
      <c r="G15" s="38"/>
      <c r="H15" s="38"/>
      <c r="I15" s="38"/>
      <c r="J15" s="38"/>
      <c r="K15" s="38"/>
      <c r="L15" s="38"/>
      <c r="M15" s="38"/>
      <c r="N15" s="38"/>
      <c r="O15" s="38"/>
      <c r="P15" s="38"/>
      <c r="Q15" s="38"/>
      <c r="R15" s="38"/>
      <c r="S15" s="38"/>
      <c r="T15" s="38"/>
      <c r="U15" s="38"/>
      <c r="V15" s="38"/>
      <c r="W15" s="38"/>
      <c r="X15" s="38"/>
      <c r="Y15" s="34"/>
      <c r="Z15" s="34"/>
    </row>
    <row r="16">
      <c r="A16" s="44"/>
      <c r="B16" s="45"/>
      <c r="C16" s="36"/>
      <c r="D16" s="37"/>
      <c r="E16" s="37"/>
      <c r="F16" s="37"/>
      <c r="G16" s="38"/>
      <c r="H16" s="38"/>
      <c r="I16" s="38"/>
      <c r="J16" s="38"/>
      <c r="K16" s="38"/>
      <c r="L16" s="38"/>
      <c r="M16" s="38"/>
      <c r="N16" s="38"/>
      <c r="O16" s="38"/>
      <c r="P16" s="38"/>
      <c r="Q16" s="38"/>
      <c r="R16" s="38"/>
      <c r="S16" s="38"/>
      <c r="T16" s="38"/>
      <c r="U16" s="38"/>
      <c r="V16" s="38"/>
      <c r="W16" s="38"/>
      <c r="X16" s="38"/>
      <c r="Y16" s="34"/>
      <c r="Z16" s="34"/>
    </row>
    <row r="17">
      <c r="A17" s="38"/>
      <c r="B17" s="46"/>
      <c r="C17" s="36"/>
      <c r="D17" s="37"/>
      <c r="E17" s="37"/>
      <c r="F17" s="37"/>
      <c r="G17" s="38"/>
      <c r="H17" s="38"/>
      <c r="I17" s="38"/>
      <c r="J17" s="38"/>
      <c r="K17" s="38"/>
      <c r="L17" s="38"/>
      <c r="M17" s="38"/>
      <c r="N17" s="38"/>
      <c r="O17" s="38"/>
      <c r="P17" s="38"/>
      <c r="Q17" s="38"/>
      <c r="R17" s="38"/>
      <c r="S17" s="38"/>
      <c r="T17" s="38"/>
      <c r="U17" s="38"/>
      <c r="V17" s="38"/>
      <c r="W17" s="38"/>
      <c r="X17" s="38"/>
      <c r="Y17" s="34"/>
      <c r="Z17" s="34"/>
    </row>
    <row r="18">
      <c r="A18" s="47" t="s">
        <v>36</v>
      </c>
      <c r="B18" s="48"/>
      <c r="C18" s="36"/>
      <c r="D18" s="37"/>
      <c r="E18" s="37"/>
      <c r="F18" s="37"/>
      <c r="G18" s="38"/>
      <c r="H18" s="38"/>
      <c r="I18" s="38"/>
      <c r="J18" s="38"/>
      <c r="K18" s="38"/>
      <c r="L18" s="38"/>
      <c r="M18" s="38"/>
      <c r="N18" s="38"/>
      <c r="O18" s="38"/>
      <c r="P18" s="38"/>
      <c r="Q18" s="38"/>
      <c r="R18" s="38"/>
      <c r="S18" s="38"/>
      <c r="T18" s="38"/>
      <c r="U18" s="38"/>
      <c r="V18" s="38"/>
      <c r="W18" s="38"/>
      <c r="X18" s="38"/>
      <c r="Y18" s="34"/>
      <c r="Z18" s="34"/>
    </row>
    <row r="19">
      <c r="A19" s="38"/>
      <c r="B19" s="46"/>
      <c r="C19" s="36"/>
      <c r="D19" s="37"/>
      <c r="E19" s="37"/>
      <c r="F19" s="37"/>
      <c r="G19" s="38"/>
      <c r="H19" s="38"/>
      <c r="I19" s="38"/>
      <c r="J19" s="38"/>
      <c r="K19" s="38"/>
      <c r="L19" s="38"/>
      <c r="M19" s="38"/>
      <c r="N19" s="38"/>
      <c r="O19" s="38"/>
      <c r="P19" s="38"/>
      <c r="Q19" s="38"/>
      <c r="R19" s="38"/>
      <c r="S19" s="38"/>
      <c r="T19" s="38"/>
      <c r="U19" s="38"/>
      <c r="V19" s="38"/>
      <c r="W19" s="38"/>
      <c r="X19" s="38"/>
      <c r="Y19" s="34"/>
      <c r="Z19" s="34"/>
    </row>
    <row r="20">
      <c r="A20" s="42" t="s">
        <v>37</v>
      </c>
      <c r="B20" s="43"/>
      <c r="C20" s="36"/>
      <c r="D20" s="37"/>
      <c r="E20" s="37"/>
      <c r="F20" s="37"/>
      <c r="G20" s="38"/>
      <c r="H20" s="38"/>
      <c r="I20" s="38"/>
      <c r="J20" s="38"/>
      <c r="K20" s="38"/>
      <c r="L20" s="38"/>
      <c r="M20" s="38"/>
      <c r="N20" s="38"/>
      <c r="O20" s="38"/>
      <c r="P20" s="38"/>
      <c r="Q20" s="38"/>
      <c r="R20" s="38"/>
      <c r="S20" s="38"/>
      <c r="T20" s="38"/>
      <c r="U20" s="38"/>
      <c r="V20" s="38"/>
      <c r="W20" s="38"/>
      <c r="X20" s="38"/>
      <c r="Y20" s="34"/>
      <c r="Z20" s="34"/>
    </row>
    <row r="21" ht="15.75" customHeight="1">
      <c r="A21" s="49" t="s">
        <v>38</v>
      </c>
      <c r="B21" s="46"/>
      <c r="C21" s="36"/>
      <c r="D21" s="37"/>
      <c r="E21" s="37"/>
      <c r="F21" s="37"/>
      <c r="G21" s="38"/>
      <c r="H21" s="38"/>
      <c r="I21" s="38"/>
      <c r="J21" s="38"/>
      <c r="K21" s="38"/>
      <c r="L21" s="38"/>
      <c r="M21" s="38"/>
      <c r="N21" s="38"/>
      <c r="O21" s="38"/>
      <c r="P21" s="38"/>
      <c r="Q21" s="38"/>
      <c r="R21" s="38"/>
      <c r="S21" s="38"/>
      <c r="T21" s="38"/>
      <c r="U21" s="38"/>
      <c r="V21" s="38"/>
      <c r="W21" s="38"/>
      <c r="X21" s="38"/>
      <c r="Y21" s="34"/>
      <c r="Z21" s="34"/>
    </row>
    <row r="22" ht="15.75" customHeight="1">
      <c r="A22" s="49" t="s">
        <v>39</v>
      </c>
      <c r="B22" s="46"/>
      <c r="C22" s="36"/>
      <c r="D22" s="37"/>
      <c r="E22" s="37"/>
      <c r="F22" s="37"/>
      <c r="G22" s="38"/>
      <c r="H22" s="38"/>
      <c r="I22" s="38"/>
      <c r="J22" s="38"/>
      <c r="K22" s="38"/>
      <c r="L22" s="38"/>
      <c r="M22" s="38"/>
      <c r="N22" s="38"/>
      <c r="O22" s="38"/>
      <c r="P22" s="38"/>
      <c r="Q22" s="38"/>
      <c r="R22" s="38"/>
      <c r="S22" s="38"/>
      <c r="T22" s="38"/>
      <c r="U22" s="38"/>
      <c r="V22" s="38"/>
      <c r="W22" s="38"/>
      <c r="X22" s="38"/>
      <c r="Y22" s="34"/>
      <c r="Z22" s="34"/>
    </row>
    <row r="23" ht="15.75" customHeight="1">
      <c r="A23" s="49" t="s">
        <v>40</v>
      </c>
      <c r="B23" s="46"/>
      <c r="C23" s="36"/>
      <c r="D23" s="37"/>
      <c r="E23" s="37"/>
      <c r="F23" s="37"/>
      <c r="G23" s="38"/>
      <c r="H23" s="38"/>
      <c r="I23" s="38"/>
      <c r="J23" s="38"/>
      <c r="K23" s="38"/>
      <c r="L23" s="38"/>
      <c r="M23" s="38"/>
      <c r="N23" s="38"/>
      <c r="O23" s="38"/>
      <c r="P23" s="38"/>
      <c r="Q23" s="38"/>
      <c r="R23" s="38"/>
      <c r="S23" s="38"/>
      <c r="T23" s="38"/>
      <c r="U23" s="38"/>
      <c r="V23" s="38"/>
      <c r="W23" s="38"/>
      <c r="X23" s="38"/>
      <c r="Y23" s="34"/>
      <c r="Z23" s="34"/>
    </row>
    <row r="24" ht="15.75" customHeight="1">
      <c r="A24" s="50" t="s">
        <v>41</v>
      </c>
      <c r="B24" s="51"/>
      <c r="C24" s="36"/>
      <c r="D24" s="37"/>
      <c r="E24" s="37"/>
      <c r="F24" s="37"/>
      <c r="G24" s="38"/>
      <c r="H24" s="38"/>
      <c r="I24" s="38"/>
      <c r="J24" s="38"/>
      <c r="K24" s="38"/>
      <c r="L24" s="38"/>
      <c r="M24" s="38"/>
      <c r="N24" s="38"/>
      <c r="O24" s="38"/>
      <c r="P24" s="38"/>
      <c r="Q24" s="38"/>
      <c r="R24" s="38"/>
      <c r="S24" s="38"/>
      <c r="T24" s="38"/>
      <c r="U24" s="38"/>
      <c r="V24" s="38"/>
      <c r="W24" s="38"/>
      <c r="X24" s="38"/>
      <c r="Y24" s="34"/>
      <c r="Z24" s="34"/>
    </row>
    <row r="25" ht="15.75" customHeight="1">
      <c r="A25" s="38"/>
      <c r="B25" s="46"/>
      <c r="C25" s="36"/>
      <c r="D25" s="37"/>
      <c r="E25" s="37"/>
      <c r="F25" s="37"/>
      <c r="G25" s="38"/>
      <c r="H25" s="38"/>
      <c r="I25" s="38"/>
      <c r="J25" s="38"/>
      <c r="K25" s="38"/>
      <c r="L25" s="38"/>
      <c r="M25" s="38"/>
      <c r="N25" s="38"/>
      <c r="O25" s="38"/>
      <c r="P25" s="38"/>
      <c r="Q25" s="38"/>
      <c r="R25" s="38"/>
      <c r="S25" s="38"/>
      <c r="T25" s="38"/>
      <c r="U25" s="38"/>
      <c r="V25" s="38"/>
      <c r="W25" s="38"/>
      <c r="X25" s="38"/>
      <c r="Y25" s="34"/>
      <c r="Z25" s="34"/>
    </row>
    <row r="26" ht="15.75" customHeight="1">
      <c r="A26" s="42" t="s">
        <v>42</v>
      </c>
      <c r="B26" s="43"/>
      <c r="C26" s="36"/>
      <c r="D26" s="37"/>
      <c r="E26" s="37"/>
      <c r="F26" s="37"/>
      <c r="G26" s="38"/>
      <c r="H26" s="38"/>
      <c r="I26" s="38"/>
      <c r="J26" s="38"/>
      <c r="K26" s="38"/>
      <c r="L26" s="38"/>
      <c r="M26" s="38"/>
      <c r="N26" s="38"/>
      <c r="O26" s="38"/>
      <c r="P26" s="38"/>
      <c r="Q26" s="38"/>
      <c r="R26" s="38"/>
      <c r="S26" s="38"/>
      <c r="T26" s="38"/>
      <c r="U26" s="38"/>
      <c r="V26" s="38"/>
      <c r="W26" s="38"/>
      <c r="X26" s="38"/>
      <c r="Y26" s="34"/>
      <c r="Z26" s="34"/>
    </row>
    <row r="27" ht="15.75" customHeight="1">
      <c r="A27" s="44"/>
      <c r="B27" s="45"/>
      <c r="C27" s="36"/>
      <c r="D27" s="37"/>
      <c r="E27" s="37"/>
      <c r="F27" s="37"/>
      <c r="G27" s="38"/>
      <c r="H27" s="38"/>
      <c r="I27" s="38"/>
      <c r="J27" s="38"/>
      <c r="K27" s="38"/>
      <c r="L27" s="38"/>
      <c r="M27" s="38"/>
      <c r="N27" s="38"/>
      <c r="O27" s="38"/>
      <c r="P27" s="38"/>
      <c r="Q27" s="38"/>
      <c r="R27" s="38"/>
      <c r="S27" s="38"/>
      <c r="T27" s="38"/>
      <c r="U27" s="38"/>
      <c r="V27" s="38"/>
      <c r="W27" s="38"/>
      <c r="X27" s="38"/>
      <c r="Y27" s="34"/>
      <c r="Z27" s="34"/>
    </row>
    <row r="28" ht="15.75" customHeight="1">
      <c r="A28" s="41" t="s">
        <v>43</v>
      </c>
      <c r="B28" s="40"/>
      <c r="C28" s="36"/>
      <c r="D28" s="37"/>
      <c r="E28" s="37"/>
      <c r="F28" s="37"/>
      <c r="G28" s="38"/>
      <c r="H28" s="38"/>
      <c r="I28" s="38"/>
      <c r="J28" s="38"/>
      <c r="K28" s="38"/>
      <c r="L28" s="38"/>
      <c r="M28" s="38"/>
      <c r="N28" s="38"/>
      <c r="O28" s="38"/>
      <c r="P28" s="38"/>
      <c r="Q28" s="38"/>
      <c r="R28" s="38"/>
      <c r="S28" s="38"/>
      <c r="T28" s="38"/>
      <c r="U28" s="38"/>
      <c r="V28" s="38"/>
      <c r="W28" s="38"/>
      <c r="X28" s="38"/>
      <c r="Y28" s="34"/>
      <c r="Z28" s="34"/>
    </row>
    <row r="29" ht="15.75" customHeight="1">
      <c r="A29" s="52" t="s">
        <v>44</v>
      </c>
      <c r="B29" s="53" t="s">
        <v>45</v>
      </c>
      <c r="C29" s="54" t="s">
        <v>46</v>
      </c>
      <c r="D29" s="54" t="s">
        <v>21</v>
      </c>
      <c r="E29" s="54" t="s">
        <v>22</v>
      </c>
      <c r="F29" s="54" t="s">
        <v>23</v>
      </c>
      <c r="G29" s="55" t="s">
        <v>24</v>
      </c>
      <c r="H29" s="56" t="s">
        <v>25</v>
      </c>
      <c r="I29" s="52" t="s">
        <v>26</v>
      </c>
      <c r="J29" s="56" t="s">
        <v>27</v>
      </c>
      <c r="K29" s="52" t="s">
        <v>26</v>
      </c>
      <c r="L29" s="52" t="s">
        <v>28</v>
      </c>
      <c r="M29" s="57" t="s">
        <v>29</v>
      </c>
      <c r="N29" s="52" t="s">
        <v>30</v>
      </c>
      <c r="O29" s="52" t="s">
        <v>31</v>
      </c>
      <c r="P29" s="38"/>
      <c r="Q29" s="38"/>
      <c r="R29" s="38"/>
      <c r="S29" s="38"/>
      <c r="T29" s="38"/>
      <c r="U29" s="38"/>
      <c r="V29" s="38"/>
      <c r="W29" s="38"/>
      <c r="X29" s="38"/>
      <c r="Y29" s="34"/>
      <c r="Z29" s="34"/>
    </row>
    <row r="30" ht="15.75" customHeight="1">
      <c r="A30" s="38"/>
      <c r="B30" s="40"/>
      <c r="C30" s="36"/>
      <c r="D30" s="37"/>
      <c r="E30" s="37"/>
      <c r="F30" s="37"/>
      <c r="G30" s="38"/>
      <c r="H30" s="38"/>
      <c r="I30" s="38"/>
      <c r="J30" s="38"/>
      <c r="K30" s="38"/>
      <c r="L30" s="38"/>
      <c r="M30" s="38"/>
      <c r="N30" s="38"/>
      <c r="O30" s="38"/>
      <c r="P30" s="38"/>
      <c r="Q30" s="38"/>
      <c r="R30" s="38"/>
      <c r="S30" s="38"/>
      <c r="T30" s="38"/>
      <c r="U30" s="38"/>
      <c r="V30" s="38"/>
      <c r="W30" s="38"/>
      <c r="X30" s="38"/>
      <c r="Y30" s="34"/>
      <c r="Z30" s="34"/>
    </row>
    <row r="31" ht="15.75" customHeight="1">
      <c r="A31" s="52" t="s">
        <v>47</v>
      </c>
      <c r="B31" s="58"/>
      <c r="C31" s="36"/>
      <c r="D31" s="37"/>
      <c r="E31" s="37"/>
      <c r="F31" s="37"/>
      <c r="G31" s="38"/>
      <c r="H31" s="38"/>
      <c r="I31" s="38"/>
      <c r="J31" s="38"/>
      <c r="K31" s="38"/>
      <c r="L31" s="38"/>
      <c r="M31" s="38"/>
      <c r="N31" s="38"/>
      <c r="O31" s="38"/>
      <c r="P31" s="38"/>
      <c r="Q31" s="38"/>
      <c r="R31" s="38"/>
      <c r="S31" s="38"/>
      <c r="T31" s="38"/>
      <c r="U31" s="38"/>
      <c r="V31" s="38"/>
      <c r="W31" s="38"/>
      <c r="X31" s="38"/>
      <c r="Y31" s="34"/>
      <c r="Z31" s="34"/>
    </row>
    <row r="32" ht="15.75" customHeight="1">
      <c r="A32" s="59" t="s">
        <v>48</v>
      </c>
      <c r="B32" s="60" t="s">
        <v>49</v>
      </c>
      <c r="C32" s="61">
        <v>0.25</v>
      </c>
      <c r="D32" s="62">
        <v>0.0</v>
      </c>
      <c r="E32" s="62">
        <v>0.0</v>
      </c>
      <c r="F32" s="63">
        <f t="shared" ref="F32:F51" si="1">SUM(D32:E32)</f>
        <v>0</v>
      </c>
      <c r="G32" s="60" t="s">
        <v>50</v>
      </c>
      <c r="H32" s="60"/>
      <c r="I32" s="60"/>
      <c r="J32" s="60"/>
      <c r="K32" s="60"/>
      <c r="L32" s="60"/>
      <c r="M32" s="60"/>
      <c r="N32" s="60"/>
      <c r="O32" s="60"/>
      <c r="P32" s="38"/>
      <c r="Q32" s="38"/>
      <c r="R32" s="38"/>
      <c r="S32" s="38"/>
      <c r="T32" s="38"/>
      <c r="U32" s="38"/>
      <c r="V32" s="38"/>
      <c r="W32" s="38"/>
      <c r="X32" s="38"/>
      <c r="Y32" s="34"/>
      <c r="Z32" s="34"/>
    </row>
    <row r="33" ht="15.75" customHeight="1">
      <c r="A33" s="64"/>
      <c r="B33" s="60" t="s">
        <v>51</v>
      </c>
      <c r="C33" s="61">
        <v>0.25</v>
      </c>
      <c r="D33" s="63">
        <v>0.0</v>
      </c>
      <c r="E33" s="63">
        <v>0.0</v>
      </c>
      <c r="F33" s="63">
        <f t="shared" si="1"/>
        <v>0</v>
      </c>
      <c r="G33" s="65" t="s">
        <v>52</v>
      </c>
      <c r="H33" s="60"/>
      <c r="I33" s="60"/>
      <c r="J33" s="60"/>
      <c r="K33" s="60"/>
      <c r="L33" s="60"/>
      <c r="M33" s="60"/>
      <c r="N33" s="60"/>
      <c r="O33" s="60"/>
      <c r="P33" s="38"/>
      <c r="Q33" s="38"/>
      <c r="R33" s="38"/>
      <c r="S33" s="38"/>
      <c r="T33" s="38"/>
      <c r="U33" s="38"/>
      <c r="V33" s="38"/>
      <c r="W33" s="38"/>
      <c r="X33" s="38"/>
      <c r="Y33" s="34"/>
      <c r="Z33" s="34"/>
    </row>
    <row r="34" ht="15.75" customHeight="1">
      <c r="A34" s="64"/>
      <c r="B34" s="60" t="s">
        <v>53</v>
      </c>
      <c r="C34" s="61">
        <v>0.25</v>
      </c>
      <c r="D34" s="63">
        <v>0.0</v>
      </c>
      <c r="E34" s="63">
        <v>0.0</v>
      </c>
      <c r="F34" s="63">
        <f t="shared" si="1"/>
        <v>0</v>
      </c>
      <c r="G34" s="65" t="s">
        <v>54</v>
      </c>
      <c r="H34" s="60"/>
      <c r="I34" s="60"/>
      <c r="J34" s="60"/>
      <c r="K34" s="60"/>
      <c r="L34" s="60"/>
      <c r="M34" s="60"/>
      <c r="N34" s="60"/>
      <c r="O34" s="60"/>
      <c r="P34" s="38"/>
      <c r="Q34" s="38"/>
      <c r="R34" s="38"/>
      <c r="S34" s="38"/>
      <c r="T34" s="38"/>
      <c r="U34" s="38"/>
      <c r="V34" s="38"/>
      <c r="W34" s="38"/>
      <c r="X34" s="38"/>
      <c r="Y34" s="34"/>
      <c r="Z34" s="34"/>
    </row>
    <row r="35" ht="15.75" customHeight="1">
      <c r="A35" s="64"/>
      <c r="B35" s="60" t="s">
        <v>55</v>
      </c>
      <c r="C35" s="61">
        <v>0.25</v>
      </c>
      <c r="D35" s="63">
        <v>0.0</v>
      </c>
      <c r="E35" s="63">
        <v>0.0</v>
      </c>
      <c r="F35" s="63">
        <f t="shared" si="1"/>
        <v>0</v>
      </c>
      <c r="G35" s="65" t="s">
        <v>56</v>
      </c>
      <c r="H35" s="60"/>
      <c r="I35" s="60"/>
      <c r="J35" s="60"/>
      <c r="K35" s="60"/>
      <c r="L35" s="60"/>
      <c r="M35" s="60"/>
      <c r="N35" s="60"/>
      <c r="O35" s="60"/>
      <c r="P35" s="38"/>
      <c r="Q35" s="38"/>
      <c r="R35" s="38"/>
      <c r="S35" s="38"/>
      <c r="T35" s="38"/>
      <c r="U35" s="38"/>
      <c r="V35" s="38"/>
      <c r="W35" s="38"/>
      <c r="X35" s="38"/>
      <c r="Y35" s="34"/>
      <c r="Z35" s="34"/>
    </row>
    <row r="36" ht="15.75" customHeight="1">
      <c r="A36" s="64"/>
      <c r="B36" s="60" t="s">
        <v>57</v>
      </c>
      <c r="C36" s="61">
        <v>0.25</v>
      </c>
      <c r="D36" s="63">
        <v>0.0</v>
      </c>
      <c r="E36" s="63">
        <v>0.0</v>
      </c>
      <c r="F36" s="63">
        <f t="shared" si="1"/>
        <v>0</v>
      </c>
      <c r="G36" s="65"/>
      <c r="H36" s="60"/>
      <c r="I36" s="60"/>
      <c r="J36" s="60"/>
      <c r="K36" s="60"/>
      <c r="L36" s="60"/>
      <c r="M36" s="60"/>
      <c r="N36" s="60"/>
      <c r="O36" s="60"/>
      <c r="P36" s="38"/>
      <c r="Q36" s="38"/>
      <c r="R36" s="38"/>
      <c r="S36" s="38"/>
      <c r="T36" s="38"/>
      <c r="U36" s="38"/>
      <c r="V36" s="38"/>
      <c r="W36" s="38"/>
      <c r="X36" s="38"/>
      <c r="Y36" s="34"/>
      <c r="Z36" s="34"/>
    </row>
    <row r="37" ht="15.75" customHeight="1">
      <c r="A37" s="64"/>
      <c r="B37" s="60" t="s">
        <v>58</v>
      </c>
      <c r="C37" s="61">
        <v>0.25</v>
      </c>
      <c r="D37" s="63">
        <v>0.0</v>
      </c>
      <c r="E37" s="63">
        <v>0.0</v>
      </c>
      <c r="F37" s="63">
        <f t="shared" si="1"/>
        <v>0</v>
      </c>
      <c r="G37" s="65" t="s">
        <v>59</v>
      </c>
      <c r="H37" s="60"/>
      <c r="I37" s="60"/>
      <c r="J37" s="60"/>
      <c r="K37" s="60"/>
      <c r="L37" s="60"/>
      <c r="M37" s="60"/>
      <c r="N37" s="60"/>
      <c r="O37" s="60"/>
      <c r="P37" s="38"/>
      <c r="Q37" s="38"/>
      <c r="R37" s="38"/>
      <c r="S37" s="38"/>
      <c r="T37" s="38"/>
      <c r="U37" s="38"/>
      <c r="V37" s="38"/>
      <c r="W37" s="38"/>
      <c r="X37" s="38"/>
      <c r="Y37" s="34"/>
      <c r="Z37" s="34"/>
    </row>
    <row r="38" ht="15.75" customHeight="1">
      <c r="A38" s="64"/>
      <c r="B38" s="60" t="s">
        <v>60</v>
      </c>
      <c r="C38" s="61">
        <v>0.25</v>
      </c>
      <c r="D38" s="63">
        <v>0.0</v>
      </c>
      <c r="E38" s="63">
        <v>0.0</v>
      </c>
      <c r="F38" s="63">
        <f t="shared" si="1"/>
        <v>0</v>
      </c>
      <c r="G38" s="65" t="s">
        <v>61</v>
      </c>
      <c r="H38" s="60"/>
      <c r="I38" s="60"/>
      <c r="J38" s="60"/>
      <c r="K38" s="60"/>
      <c r="L38" s="60"/>
      <c r="M38" s="60"/>
      <c r="N38" s="60"/>
      <c r="O38" s="60"/>
      <c r="P38" s="38"/>
      <c r="Q38" s="38"/>
      <c r="R38" s="38"/>
      <c r="S38" s="38"/>
      <c r="T38" s="38"/>
      <c r="U38" s="38"/>
      <c r="V38" s="38"/>
      <c r="W38" s="38"/>
      <c r="X38" s="38"/>
      <c r="Y38" s="34"/>
      <c r="Z38" s="34"/>
    </row>
    <row r="39" ht="15.75" customHeight="1">
      <c r="A39" s="64"/>
      <c r="B39" s="60" t="s">
        <v>62</v>
      </c>
      <c r="C39" s="61">
        <v>0.25</v>
      </c>
      <c r="D39" s="63">
        <v>0.0</v>
      </c>
      <c r="E39" s="63">
        <v>0.0</v>
      </c>
      <c r="F39" s="63">
        <f t="shared" si="1"/>
        <v>0</v>
      </c>
      <c r="G39" s="65" t="s">
        <v>63</v>
      </c>
      <c r="H39" s="60"/>
      <c r="I39" s="60"/>
      <c r="J39" s="60"/>
      <c r="K39" s="60"/>
      <c r="L39" s="60"/>
      <c r="M39" s="60"/>
      <c r="N39" s="60"/>
      <c r="O39" s="60"/>
      <c r="P39" s="38"/>
      <c r="Q39" s="38"/>
      <c r="R39" s="38"/>
      <c r="S39" s="38"/>
      <c r="T39" s="38"/>
      <c r="U39" s="38"/>
      <c r="V39" s="38"/>
      <c r="W39" s="38"/>
      <c r="X39" s="38"/>
      <c r="Y39" s="34"/>
      <c r="Z39" s="34"/>
    </row>
    <row r="40" ht="15.75" customHeight="1">
      <c r="A40" s="64"/>
      <c r="B40" s="60" t="s">
        <v>64</v>
      </c>
      <c r="C40" s="61">
        <v>0.25</v>
      </c>
      <c r="D40" s="63">
        <v>0.0</v>
      </c>
      <c r="E40" s="63">
        <v>0.0</v>
      </c>
      <c r="F40" s="63">
        <f t="shared" si="1"/>
        <v>0</v>
      </c>
      <c r="G40" s="66" t="s">
        <v>65</v>
      </c>
      <c r="H40" s="60"/>
      <c r="I40" s="60"/>
      <c r="J40" s="60"/>
      <c r="K40" s="60"/>
      <c r="L40" s="60"/>
      <c r="M40" s="60"/>
      <c r="N40" s="60"/>
      <c r="O40" s="60"/>
      <c r="P40" s="38"/>
      <c r="Q40" s="38"/>
      <c r="R40" s="38"/>
      <c r="S40" s="38"/>
      <c r="T40" s="38"/>
      <c r="U40" s="38"/>
      <c r="V40" s="38"/>
      <c r="W40" s="38"/>
      <c r="X40" s="38"/>
      <c r="Y40" s="34"/>
      <c r="Z40" s="34"/>
    </row>
    <row r="41" ht="15.75" customHeight="1">
      <c r="A41" s="64"/>
      <c r="B41" s="60" t="s">
        <v>66</v>
      </c>
      <c r="C41" s="61">
        <v>0.25</v>
      </c>
      <c r="D41" s="63">
        <v>0.0</v>
      </c>
      <c r="E41" s="63">
        <v>0.0</v>
      </c>
      <c r="F41" s="63">
        <f t="shared" si="1"/>
        <v>0</v>
      </c>
      <c r="G41" s="65"/>
      <c r="H41" s="60"/>
      <c r="I41" s="60"/>
      <c r="J41" s="60"/>
      <c r="K41" s="60"/>
      <c r="L41" s="60"/>
      <c r="M41" s="60"/>
      <c r="N41" s="60"/>
      <c r="O41" s="60"/>
      <c r="P41" s="38"/>
      <c r="Q41" s="38"/>
      <c r="R41" s="38"/>
      <c r="S41" s="38"/>
      <c r="T41" s="38"/>
      <c r="U41" s="38"/>
      <c r="V41" s="38"/>
      <c r="W41" s="38"/>
      <c r="X41" s="38"/>
      <c r="Y41" s="34"/>
      <c r="Z41" s="34"/>
    </row>
    <row r="42" ht="15.75" customHeight="1">
      <c r="A42" s="64"/>
      <c r="B42" s="60" t="s">
        <v>67</v>
      </c>
      <c r="C42" s="61">
        <v>0.25</v>
      </c>
      <c r="D42" s="63">
        <v>0.0</v>
      </c>
      <c r="E42" s="63">
        <v>0.0</v>
      </c>
      <c r="F42" s="63">
        <f t="shared" si="1"/>
        <v>0</v>
      </c>
      <c r="G42" s="65" t="s">
        <v>68</v>
      </c>
      <c r="H42" s="60"/>
      <c r="I42" s="60"/>
      <c r="J42" s="60"/>
      <c r="K42" s="60"/>
      <c r="L42" s="60"/>
      <c r="M42" s="60"/>
      <c r="N42" s="60"/>
      <c r="O42" s="60"/>
      <c r="P42" s="38"/>
      <c r="Q42" s="38"/>
      <c r="R42" s="38"/>
      <c r="S42" s="38"/>
      <c r="T42" s="38"/>
      <c r="U42" s="38"/>
      <c r="V42" s="38"/>
      <c r="W42" s="38"/>
      <c r="X42" s="38"/>
      <c r="Y42" s="34"/>
      <c r="Z42" s="34"/>
    </row>
    <row r="43" ht="15.75" customHeight="1">
      <c r="A43" s="64"/>
      <c r="B43" s="60" t="s">
        <v>69</v>
      </c>
      <c r="C43" s="61">
        <v>0.25</v>
      </c>
      <c r="D43" s="63">
        <v>0.0</v>
      </c>
      <c r="E43" s="63">
        <v>0.0</v>
      </c>
      <c r="F43" s="63">
        <f t="shared" si="1"/>
        <v>0</v>
      </c>
      <c r="G43" s="65"/>
      <c r="H43" s="60"/>
      <c r="I43" s="60"/>
      <c r="J43" s="60"/>
      <c r="K43" s="60"/>
      <c r="L43" s="60"/>
      <c r="M43" s="60"/>
      <c r="N43" s="60"/>
      <c r="O43" s="60"/>
      <c r="P43" s="38"/>
      <c r="Q43" s="38"/>
      <c r="R43" s="38"/>
      <c r="S43" s="38"/>
      <c r="T43" s="38"/>
      <c r="U43" s="38"/>
      <c r="V43" s="38"/>
      <c r="W43" s="38"/>
      <c r="X43" s="38"/>
      <c r="Y43" s="34"/>
      <c r="Z43" s="34"/>
    </row>
    <row r="44" ht="77.25" customHeight="1">
      <c r="A44" s="64"/>
      <c r="B44" s="60" t="s">
        <v>70</v>
      </c>
      <c r="C44" s="61">
        <v>0.25</v>
      </c>
      <c r="D44" s="63">
        <v>0.0</v>
      </c>
      <c r="E44" s="63">
        <v>0.0</v>
      </c>
      <c r="F44" s="63">
        <f t="shared" si="1"/>
        <v>0</v>
      </c>
      <c r="G44" s="65" t="s">
        <v>71</v>
      </c>
      <c r="H44" s="60"/>
      <c r="I44" s="60"/>
      <c r="J44" s="60"/>
      <c r="K44" s="60"/>
      <c r="L44" s="60"/>
      <c r="M44" s="60"/>
      <c r="N44" s="60"/>
      <c r="O44" s="60"/>
      <c r="P44" s="38"/>
      <c r="Q44" s="38"/>
      <c r="R44" s="38"/>
      <c r="S44" s="38"/>
      <c r="T44" s="38"/>
      <c r="U44" s="38"/>
      <c r="V44" s="38"/>
      <c r="W44" s="38"/>
      <c r="X44" s="38"/>
      <c r="Y44" s="34"/>
      <c r="Z44" s="34"/>
    </row>
    <row r="45" ht="15.75" customHeight="1">
      <c r="A45" s="64"/>
      <c r="B45" s="60" t="s">
        <v>72</v>
      </c>
      <c r="C45" s="61">
        <v>0.25</v>
      </c>
      <c r="D45" s="63">
        <v>0.0</v>
      </c>
      <c r="E45" s="63">
        <v>0.0</v>
      </c>
      <c r="F45" s="63">
        <f t="shared" si="1"/>
        <v>0</v>
      </c>
      <c r="G45" s="65"/>
      <c r="H45" s="60"/>
      <c r="I45" s="60"/>
      <c r="J45" s="60"/>
      <c r="K45" s="60"/>
      <c r="L45" s="60"/>
      <c r="M45" s="60"/>
      <c r="N45" s="60"/>
      <c r="O45" s="60"/>
      <c r="P45" s="38"/>
      <c r="Q45" s="38"/>
      <c r="R45" s="38"/>
      <c r="S45" s="38"/>
      <c r="T45" s="38"/>
      <c r="U45" s="38"/>
      <c r="V45" s="38"/>
      <c r="W45" s="38"/>
      <c r="X45" s="38"/>
      <c r="Y45" s="34"/>
      <c r="Z45" s="34"/>
    </row>
    <row r="46" ht="15.75" customHeight="1">
      <c r="A46" s="64"/>
      <c r="B46" s="60" t="s">
        <v>73</v>
      </c>
      <c r="C46" s="61">
        <v>0.25</v>
      </c>
      <c r="D46" s="63">
        <v>0.0</v>
      </c>
      <c r="E46" s="63">
        <v>0.0</v>
      </c>
      <c r="F46" s="63">
        <f t="shared" si="1"/>
        <v>0</v>
      </c>
      <c r="G46" s="66" t="s">
        <v>74</v>
      </c>
      <c r="H46" s="60"/>
      <c r="I46" s="60"/>
      <c r="J46" s="60"/>
      <c r="K46" s="60"/>
      <c r="L46" s="60"/>
      <c r="M46" s="60"/>
      <c r="N46" s="60"/>
      <c r="O46" s="60"/>
      <c r="P46" s="38"/>
      <c r="Q46" s="38"/>
      <c r="R46" s="38"/>
      <c r="S46" s="38"/>
      <c r="T46" s="38"/>
      <c r="U46" s="38"/>
      <c r="V46" s="38"/>
      <c r="W46" s="38"/>
      <c r="X46" s="38"/>
      <c r="Y46" s="34"/>
      <c r="Z46" s="34"/>
    </row>
    <row r="47" ht="15.75" customHeight="1">
      <c r="A47" s="64"/>
      <c r="B47" s="60" t="s">
        <v>75</v>
      </c>
      <c r="C47" s="61">
        <v>0.25</v>
      </c>
      <c r="D47" s="63">
        <v>0.0</v>
      </c>
      <c r="E47" s="63">
        <v>0.0</v>
      </c>
      <c r="F47" s="63">
        <f t="shared" si="1"/>
        <v>0</v>
      </c>
      <c r="G47" s="65"/>
      <c r="H47" s="60"/>
      <c r="I47" s="60"/>
      <c r="J47" s="60"/>
      <c r="K47" s="60"/>
      <c r="L47" s="60"/>
      <c r="M47" s="60"/>
      <c r="N47" s="60"/>
      <c r="O47" s="60"/>
      <c r="P47" s="38"/>
      <c r="Q47" s="38"/>
      <c r="R47" s="38"/>
      <c r="S47" s="38"/>
      <c r="T47" s="38"/>
      <c r="U47" s="38"/>
      <c r="V47" s="38"/>
      <c r="W47" s="38"/>
      <c r="X47" s="38"/>
      <c r="Y47" s="34"/>
      <c r="Z47" s="34"/>
    </row>
    <row r="48" ht="15.75" customHeight="1">
      <c r="A48" s="64"/>
      <c r="B48" s="60" t="s">
        <v>76</v>
      </c>
      <c r="C48" s="61">
        <v>0.25</v>
      </c>
      <c r="D48" s="63">
        <v>0.0</v>
      </c>
      <c r="E48" s="63">
        <v>0.0</v>
      </c>
      <c r="F48" s="63">
        <f t="shared" si="1"/>
        <v>0</v>
      </c>
      <c r="G48" s="67" t="s">
        <v>77</v>
      </c>
      <c r="H48" s="60"/>
      <c r="I48" s="60"/>
      <c r="J48" s="60"/>
      <c r="K48" s="60"/>
      <c r="L48" s="60"/>
      <c r="M48" s="60"/>
      <c r="N48" s="60"/>
      <c r="O48" s="60"/>
      <c r="P48" s="38"/>
      <c r="Q48" s="38"/>
      <c r="R48" s="38"/>
      <c r="S48" s="38"/>
      <c r="T48" s="38"/>
      <c r="U48" s="38"/>
      <c r="V48" s="38"/>
      <c r="W48" s="38"/>
      <c r="X48" s="38"/>
      <c r="Y48" s="34"/>
      <c r="Z48" s="34"/>
    </row>
    <row r="49" ht="15.75" customHeight="1">
      <c r="A49" s="64"/>
      <c r="B49" s="60" t="s">
        <v>78</v>
      </c>
      <c r="C49" s="61">
        <v>0.25</v>
      </c>
      <c r="D49" s="63">
        <v>0.0</v>
      </c>
      <c r="E49" s="63">
        <v>0.0</v>
      </c>
      <c r="F49" s="63">
        <f t="shared" si="1"/>
        <v>0</v>
      </c>
      <c r="G49" s="65" t="s">
        <v>79</v>
      </c>
      <c r="H49" s="60"/>
      <c r="I49" s="60"/>
      <c r="J49" s="60"/>
      <c r="K49" s="60"/>
      <c r="L49" s="60"/>
      <c r="M49" s="60"/>
      <c r="N49" s="60"/>
      <c r="O49" s="60"/>
      <c r="P49" s="38"/>
      <c r="Q49" s="38"/>
      <c r="R49" s="38"/>
      <c r="S49" s="38"/>
      <c r="T49" s="38"/>
      <c r="U49" s="38"/>
      <c r="V49" s="38"/>
      <c r="W49" s="38"/>
      <c r="X49" s="38"/>
      <c r="Y49" s="34"/>
      <c r="Z49" s="34"/>
    </row>
    <row r="50" ht="15.75" customHeight="1">
      <c r="A50" s="64"/>
      <c r="B50" s="60" t="s">
        <v>80</v>
      </c>
      <c r="C50" s="61">
        <v>0.25</v>
      </c>
      <c r="D50" s="63">
        <v>0.0</v>
      </c>
      <c r="E50" s="63">
        <v>0.0</v>
      </c>
      <c r="F50" s="63">
        <f t="shared" si="1"/>
        <v>0</v>
      </c>
      <c r="G50" s="60"/>
      <c r="H50" s="60"/>
      <c r="I50" s="60"/>
      <c r="J50" s="60"/>
      <c r="K50" s="60"/>
      <c r="L50" s="60"/>
      <c r="M50" s="60"/>
      <c r="N50" s="60"/>
      <c r="O50" s="60"/>
      <c r="P50" s="38"/>
      <c r="Q50" s="38"/>
      <c r="R50" s="38"/>
      <c r="S50" s="38"/>
      <c r="T50" s="38"/>
      <c r="U50" s="38"/>
      <c r="V50" s="38"/>
      <c r="W50" s="38"/>
      <c r="X50" s="38"/>
      <c r="Y50" s="34"/>
      <c r="Z50" s="34"/>
    </row>
    <row r="51" ht="15.75" customHeight="1">
      <c r="A51" s="68"/>
      <c r="B51" s="60" t="s">
        <v>81</v>
      </c>
      <c r="C51" s="61">
        <v>0.25</v>
      </c>
      <c r="D51" s="63">
        <v>0.0</v>
      </c>
      <c r="E51" s="63">
        <v>0.0</v>
      </c>
      <c r="F51" s="63">
        <f t="shared" si="1"/>
        <v>0</v>
      </c>
      <c r="G51" s="60"/>
      <c r="H51" s="60"/>
      <c r="I51" s="60"/>
      <c r="J51" s="60"/>
      <c r="K51" s="60"/>
      <c r="L51" s="60"/>
      <c r="M51" s="60"/>
      <c r="N51" s="60"/>
      <c r="O51" s="60"/>
      <c r="P51" s="38"/>
      <c r="Q51" s="38"/>
      <c r="R51" s="38"/>
      <c r="S51" s="38"/>
      <c r="T51" s="38"/>
      <c r="U51" s="38"/>
      <c r="V51" s="38"/>
      <c r="W51" s="38"/>
      <c r="X51" s="38"/>
      <c r="Y51" s="34"/>
      <c r="Z51" s="34"/>
    </row>
    <row r="52" ht="15.75" customHeight="1">
      <c r="A52" s="38"/>
      <c r="B52" s="40"/>
      <c r="C52" s="69"/>
      <c r="D52" s="37"/>
      <c r="E52" s="37"/>
      <c r="F52" s="37"/>
      <c r="G52" s="38"/>
      <c r="H52" s="38"/>
      <c r="I52" s="38"/>
      <c r="J52" s="38"/>
      <c r="K52" s="38"/>
      <c r="L52" s="38"/>
      <c r="M52" s="38"/>
      <c r="N52" s="38"/>
      <c r="O52" s="38"/>
      <c r="P52" s="38"/>
      <c r="Q52" s="38"/>
      <c r="R52" s="38"/>
      <c r="S52" s="38"/>
      <c r="T52" s="38"/>
      <c r="U52" s="38"/>
      <c r="V52" s="38"/>
      <c r="W52" s="38"/>
      <c r="X52" s="38"/>
      <c r="Y52" s="34"/>
      <c r="Z52" s="34"/>
    </row>
    <row r="53" ht="15.75" customHeight="1">
      <c r="A53" s="70" t="s">
        <v>82</v>
      </c>
      <c r="B53" s="71" t="s">
        <v>43</v>
      </c>
      <c r="C53" s="69">
        <f t="shared" ref="C53:F53" si="2">SUM(C32:C51)</f>
        <v>5</v>
      </c>
      <c r="D53" s="72">
        <f t="shared" si="2"/>
        <v>0</v>
      </c>
      <c r="E53" s="72">
        <f t="shared" si="2"/>
        <v>0</v>
      </c>
      <c r="F53" s="73">
        <f t="shared" si="2"/>
        <v>0</v>
      </c>
      <c r="G53" s="74"/>
      <c r="H53" s="75"/>
      <c r="I53" s="75"/>
      <c r="J53" s="75"/>
      <c r="K53" s="75"/>
      <c r="L53" s="75"/>
      <c r="M53" s="75"/>
      <c r="N53" s="75"/>
      <c r="O53" s="75"/>
      <c r="P53" s="38"/>
      <c r="Q53" s="38"/>
      <c r="R53" s="38"/>
      <c r="S53" s="38"/>
      <c r="T53" s="38"/>
      <c r="U53" s="38"/>
      <c r="V53" s="38"/>
      <c r="W53" s="38"/>
      <c r="X53" s="38"/>
      <c r="Y53" s="34"/>
      <c r="Z53" s="34"/>
    </row>
    <row r="54" ht="15.75" customHeight="1">
      <c r="A54" s="38"/>
      <c r="B54" s="40"/>
      <c r="C54" s="36"/>
      <c r="D54" s="37"/>
      <c r="E54" s="37"/>
      <c r="F54" s="37"/>
      <c r="G54" s="38"/>
      <c r="H54" s="38"/>
      <c r="I54" s="38"/>
      <c r="J54" s="38"/>
      <c r="K54" s="38"/>
      <c r="L54" s="38"/>
      <c r="M54" s="38"/>
      <c r="N54" s="38"/>
      <c r="O54" s="38"/>
      <c r="P54" s="38"/>
      <c r="Q54" s="38"/>
      <c r="R54" s="38"/>
      <c r="S54" s="38"/>
      <c r="T54" s="38"/>
      <c r="U54" s="38"/>
      <c r="V54" s="38"/>
      <c r="W54" s="38"/>
      <c r="X54" s="38"/>
      <c r="Y54" s="34"/>
      <c r="Z54" s="34"/>
    </row>
    <row r="55" ht="15.75" customHeight="1">
      <c r="A55" s="52" t="s">
        <v>83</v>
      </c>
      <c r="B55" s="52"/>
      <c r="C55" s="54" t="s">
        <v>46</v>
      </c>
      <c r="D55" s="54" t="s">
        <v>21</v>
      </c>
      <c r="E55" s="54" t="s">
        <v>22</v>
      </c>
      <c r="F55" s="54" t="s">
        <v>23</v>
      </c>
      <c r="G55" s="55" t="s">
        <v>24</v>
      </c>
      <c r="H55" s="52" t="s">
        <v>84</v>
      </c>
      <c r="I55" s="52" t="s">
        <v>26</v>
      </c>
      <c r="J55" s="52" t="s">
        <v>85</v>
      </c>
      <c r="K55" s="52" t="s">
        <v>26</v>
      </c>
      <c r="L55" s="52" t="s">
        <v>28</v>
      </c>
      <c r="M55" s="57" t="s">
        <v>29</v>
      </c>
      <c r="N55" s="52" t="s">
        <v>30</v>
      </c>
      <c r="O55" s="52" t="s">
        <v>31</v>
      </c>
      <c r="P55" s="38"/>
      <c r="Q55" s="38"/>
      <c r="R55" s="38"/>
      <c r="S55" s="38"/>
      <c r="T55" s="38"/>
      <c r="U55" s="38"/>
      <c r="V55" s="38"/>
      <c r="W55" s="38"/>
      <c r="X55" s="38"/>
      <c r="Y55" s="34"/>
      <c r="Z55" s="34"/>
    </row>
    <row r="56" ht="15.75" customHeight="1">
      <c r="A56" s="76" t="s">
        <v>86</v>
      </c>
      <c r="B56" s="60" t="s">
        <v>51</v>
      </c>
      <c r="C56" s="61">
        <v>0.25</v>
      </c>
      <c r="D56" s="77">
        <v>0.0</v>
      </c>
      <c r="E56" s="77">
        <v>0.0</v>
      </c>
      <c r="F56" s="63">
        <f t="shared" ref="F56:F84" si="3">SUM(D56:E56)</f>
        <v>0</v>
      </c>
      <c r="G56" s="65" t="s">
        <v>87</v>
      </c>
      <c r="H56" s="60"/>
      <c r="I56" s="60"/>
      <c r="J56" s="60"/>
      <c r="K56" s="60"/>
      <c r="L56" s="60"/>
      <c r="M56" s="60"/>
      <c r="N56" s="60"/>
      <c r="O56" s="60"/>
      <c r="P56" s="38"/>
      <c r="Q56" s="38"/>
      <c r="R56" s="38"/>
      <c r="S56" s="38"/>
      <c r="T56" s="38"/>
      <c r="U56" s="38"/>
      <c r="V56" s="38"/>
      <c r="W56" s="38"/>
      <c r="X56" s="38"/>
      <c r="Y56" s="34"/>
      <c r="Z56" s="34"/>
    </row>
    <row r="57" ht="15.75" customHeight="1">
      <c r="A57" s="64"/>
      <c r="B57" s="60" t="s">
        <v>88</v>
      </c>
      <c r="C57" s="61">
        <v>0.25</v>
      </c>
      <c r="D57" s="77">
        <v>0.0</v>
      </c>
      <c r="E57" s="77">
        <v>0.0</v>
      </c>
      <c r="F57" s="63">
        <f t="shared" si="3"/>
        <v>0</v>
      </c>
      <c r="G57" s="65"/>
      <c r="H57" s="60"/>
      <c r="I57" s="60"/>
      <c r="J57" s="60"/>
      <c r="K57" s="60"/>
      <c r="L57" s="60"/>
      <c r="M57" s="60"/>
      <c r="N57" s="60"/>
      <c r="O57" s="60"/>
      <c r="P57" s="38"/>
      <c r="Q57" s="38"/>
      <c r="R57" s="38"/>
      <c r="S57" s="38"/>
      <c r="T57" s="38"/>
      <c r="U57" s="38"/>
      <c r="V57" s="38"/>
      <c r="W57" s="38"/>
      <c r="X57" s="38"/>
      <c r="Y57" s="34"/>
      <c r="Z57" s="34"/>
    </row>
    <row r="58" ht="15.75" customHeight="1">
      <c r="A58" s="64"/>
      <c r="B58" s="60" t="s">
        <v>55</v>
      </c>
      <c r="C58" s="61">
        <v>0.25</v>
      </c>
      <c r="D58" s="77">
        <v>0.0</v>
      </c>
      <c r="E58" s="77">
        <v>0.0</v>
      </c>
      <c r="F58" s="63">
        <f t="shared" si="3"/>
        <v>0</v>
      </c>
      <c r="G58" s="65" t="s">
        <v>89</v>
      </c>
      <c r="H58" s="78"/>
      <c r="I58" s="78"/>
      <c r="J58" s="78"/>
      <c r="K58" s="78"/>
      <c r="L58" s="78"/>
      <c r="M58" s="78"/>
      <c r="N58" s="78"/>
      <c r="O58" s="78"/>
      <c r="P58" s="79"/>
      <c r="Q58" s="79"/>
      <c r="R58" s="79"/>
      <c r="S58" s="79"/>
      <c r="T58" s="79"/>
      <c r="U58" s="79"/>
      <c r="V58" s="79"/>
      <c r="W58" s="79"/>
      <c r="X58" s="79"/>
      <c r="Y58" s="34"/>
      <c r="Z58" s="34"/>
    </row>
    <row r="59" ht="15.75" customHeight="1">
      <c r="A59" s="64"/>
      <c r="B59" s="60" t="s">
        <v>90</v>
      </c>
      <c r="C59" s="61">
        <v>0.25</v>
      </c>
      <c r="D59" s="77">
        <v>0.0</v>
      </c>
      <c r="E59" s="77">
        <v>0.0</v>
      </c>
      <c r="F59" s="63">
        <f t="shared" si="3"/>
        <v>0</v>
      </c>
      <c r="G59" s="65"/>
      <c r="H59" s="60"/>
      <c r="I59" s="60"/>
      <c r="J59" s="60"/>
      <c r="K59" s="60"/>
      <c r="L59" s="60"/>
      <c r="M59" s="60"/>
      <c r="N59" s="60"/>
      <c r="O59" s="60"/>
      <c r="P59" s="38"/>
      <c r="Q59" s="38"/>
      <c r="R59" s="38"/>
      <c r="S59" s="38"/>
      <c r="T59" s="38"/>
      <c r="U59" s="38"/>
      <c r="V59" s="38"/>
      <c r="W59" s="38"/>
      <c r="X59" s="38"/>
      <c r="Y59" s="34"/>
      <c r="Z59" s="34"/>
    </row>
    <row r="60" ht="15.75" customHeight="1">
      <c r="A60" s="64"/>
      <c r="B60" s="60" t="s">
        <v>57</v>
      </c>
      <c r="C60" s="61">
        <v>0.25</v>
      </c>
      <c r="D60" s="77">
        <v>0.0</v>
      </c>
      <c r="E60" s="77">
        <v>0.0</v>
      </c>
      <c r="F60" s="63">
        <f t="shared" si="3"/>
        <v>0</v>
      </c>
      <c r="G60" s="65" t="s">
        <v>91</v>
      </c>
      <c r="H60" s="60"/>
      <c r="I60" s="60"/>
      <c r="J60" s="60"/>
      <c r="K60" s="60"/>
      <c r="L60" s="60"/>
      <c r="M60" s="60"/>
      <c r="N60" s="60"/>
      <c r="O60" s="60"/>
      <c r="P60" s="38"/>
      <c r="Q60" s="38"/>
      <c r="R60" s="38"/>
      <c r="S60" s="38"/>
      <c r="T60" s="38"/>
      <c r="U60" s="38"/>
      <c r="V60" s="38"/>
      <c r="W60" s="38"/>
      <c r="X60" s="38"/>
      <c r="Y60" s="34"/>
      <c r="Z60" s="34"/>
    </row>
    <row r="61" ht="15.75" customHeight="1">
      <c r="A61" s="64"/>
      <c r="B61" s="60" t="s">
        <v>92</v>
      </c>
      <c r="C61" s="61">
        <v>0.25</v>
      </c>
      <c r="D61" s="77">
        <v>0.0</v>
      </c>
      <c r="E61" s="77">
        <v>0.0</v>
      </c>
      <c r="F61" s="63">
        <f t="shared" si="3"/>
        <v>0</v>
      </c>
      <c r="G61" s="65" t="s">
        <v>93</v>
      </c>
      <c r="H61" s="60"/>
      <c r="I61" s="60"/>
      <c r="J61" s="60"/>
      <c r="K61" s="60"/>
      <c r="L61" s="60"/>
      <c r="M61" s="60"/>
      <c r="N61" s="60"/>
      <c r="O61" s="60"/>
      <c r="P61" s="38"/>
      <c r="Q61" s="38"/>
      <c r="R61" s="38"/>
      <c r="S61" s="38"/>
      <c r="T61" s="38"/>
      <c r="U61" s="38"/>
      <c r="V61" s="38"/>
      <c r="W61" s="38"/>
      <c r="X61" s="38"/>
      <c r="Y61" s="34"/>
      <c r="Z61" s="34"/>
    </row>
    <row r="62" ht="15.75" customHeight="1">
      <c r="A62" s="64"/>
      <c r="B62" s="60" t="s">
        <v>58</v>
      </c>
      <c r="C62" s="61">
        <v>0.25</v>
      </c>
      <c r="D62" s="77">
        <v>0.0</v>
      </c>
      <c r="E62" s="77">
        <v>0.0</v>
      </c>
      <c r="F62" s="63">
        <f t="shared" si="3"/>
        <v>0</v>
      </c>
      <c r="G62" s="65"/>
      <c r="H62" s="60"/>
      <c r="I62" s="60"/>
      <c r="J62" s="60"/>
      <c r="K62" s="60"/>
      <c r="L62" s="60"/>
      <c r="M62" s="60"/>
      <c r="N62" s="60"/>
      <c r="O62" s="60"/>
      <c r="P62" s="38"/>
      <c r="Q62" s="38"/>
      <c r="R62" s="38"/>
      <c r="S62" s="38"/>
      <c r="T62" s="38"/>
      <c r="U62" s="38"/>
      <c r="V62" s="38"/>
      <c r="W62" s="38"/>
      <c r="X62" s="38"/>
      <c r="Y62" s="34"/>
      <c r="Z62" s="34"/>
    </row>
    <row r="63" ht="15.75" customHeight="1">
      <c r="A63" s="64"/>
      <c r="B63" s="60" t="s">
        <v>62</v>
      </c>
      <c r="C63" s="61">
        <v>0.25</v>
      </c>
      <c r="D63" s="77">
        <v>0.0</v>
      </c>
      <c r="E63" s="77">
        <v>0.0</v>
      </c>
      <c r="F63" s="63">
        <f t="shared" si="3"/>
        <v>0</v>
      </c>
      <c r="G63" s="65" t="s">
        <v>94</v>
      </c>
      <c r="H63" s="60"/>
      <c r="I63" s="60"/>
      <c r="J63" s="60"/>
      <c r="K63" s="60"/>
      <c r="L63" s="60"/>
      <c r="M63" s="60"/>
      <c r="N63" s="60"/>
      <c r="O63" s="60"/>
      <c r="P63" s="38"/>
      <c r="Q63" s="38"/>
      <c r="R63" s="38"/>
      <c r="S63" s="38"/>
      <c r="T63" s="38"/>
      <c r="U63" s="38"/>
      <c r="V63" s="38"/>
      <c r="W63" s="38"/>
      <c r="X63" s="38"/>
      <c r="Y63" s="34"/>
      <c r="Z63" s="34"/>
    </row>
    <row r="64" ht="15.75" customHeight="1">
      <c r="A64" s="64"/>
      <c r="B64" s="60" t="s">
        <v>64</v>
      </c>
      <c r="C64" s="61">
        <v>0.25</v>
      </c>
      <c r="D64" s="77">
        <v>0.0</v>
      </c>
      <c r="E64" s="77">
        <v>0.0</v>
      </c>
      <c r="F64" s="63">
        <f t="shared" si="3"/>
        <v>0</v>
      </c>
      <c r="G64" s="65" t="s">
        <v>95</v>
      </c>
      <c r="H64" s="60"/>
      <c r="I64" s="60"/>
      <c r="J64" s="60"/>
      <c r="K64" s="60"/>
      <c r="L64" s="60"/>
      <c r="M64" s="60"/>
      <c r="N64" s="60"/>
      <c r="O64" s="60"/>
      <c r="P64" s="38"/>
      <c r="Q64" s="38"/>
      <c r="R64" s="38"/>
      <c r="S64" s="38"/>
      <c r="T64" s="38"/>
      <c r="U64" s="38"/>
      <c r="V64" s="38"/>
      <c r="W64" s="38"/>
      <c r="X64" s="38"/>
      <c r="Y64" s="34"/>
      <c r="Z64" s="34"/>
    </row>
    <row r="65" ht="15.75" customHeight="1">
      <c r="A65" s="64"/>
      <c r="B65" s="60" t="s">
        <v>96</v>
      </c>
      <c r="C65" s="61">
        <v>0.25</v>
      </c>
      <c r="D65" s="77">
        <v>0.0</v>
      </c>
      <c r="E65" s="77">
        <v>0.0</v>
      </c>
      <c r="F65" s="63">
        <f t="shared" si="3"/>
        <v>0</v>
      </c>
      <c r="G65" s="65"/>
      <c r="H65" s="60"/>
      <c r="I65" s="60"/>
      <c r="J65" s="60"/>
      <c r="K65" s="60"/>
      <c r="L65" s="60"/>
      <c r="M65" s="60"/>
      <c r="N65" s="60"/>
      <c r="O65" s="60"/>
      <c r="P65" s="38"/>
      <c r="Q65" s="38"/>
      <c r="R65" s="38"/>
      <c r="S65" s="38"/>
      <c r="T65" s="38"/>
      <c r="U65" s="38"/>
      <c r="V65" s="38"/>
      <c r="W65" s="38"/>
      <c r="X65" s="38"/>
      <c r="Y65" s="34"/>
      <c r="Z65" s="34"/>
    </row>
    <row r="66" ht="15.75" customHeight="1">
      <c r="A66" s="64"/>
      <c r="B66" s="60" t="s">
        <v>97</v>
      </c>
      <c r="C66" s="61">
        <v>0.25</v>
      </c>
      <c r="D66" s="77">
        <v>0.0</v>
      </c>
      <c r="E66" s="77">
        <v>0.0</v>
      </c>
      <c r="F66" s="63">
        <f t="shared" si="3"/>
        <v>0</v>
      </c>
      <c r="G66" s="65" t="s">
        <v>98</v>
      </c>
      <c r="H66" s="60"/>
      <c r="I66" s="60"/>
      <c r="J66" s="60"/>
      <c r="K66" s="60"/>
      <c r="L66" s="60"/>
      <c r="M66" s="60"/>
      <c r="N66" s="60"/>
      <c r="O66" s="60"/>
      <c r="P66" s="38"/>
      <c r="Q66" s="38"/>
      <c r="R66" s="38"/>
      <c r="S66" s="38"/>
      <c r="T66" s="38"/>
      <c r="U66" s="38"/>
      <c r="V66" s="38"/>
      <c r="W66" s="38"/>
      <c r="X66" s="38"/>
      <c r="Y66" s="34"/>
      <c r="Z66" s="34"/>
    </row>
    <row r="67" ht="15.75" customHeight="1">
      <c r="A67" s="64"/>
      <c r="B67" s="60" t="s">
        <v>66</v>
      </c>
      <c r="C67" s="61">
        <v>0.25</v>
      </c>
      <c r="D67" s="77">
        <v>0.0</v>
      </c>
      <c r="E67" s="77">
        <v>0.0</v>
      </c>
      <c r="F67" s="63">
        <f t="shared" si="3"/>
        <v>0</v>
      </c>
      <c r="G67" s="65"/>
      <c r="H67" s="60"/>
      <c r="I67" s="60"/>
      <c r="J67" s="60"/>
      <c r="K67" s="60"/>
      <c r="L67" s="60"/>
      <c r="M67" s="60"/>
      <c r="N67" s="60"/>
      <c r="O67" s="60"/>
      <c r="P67" s="38"/>
      <c r="Q67" s="38"/>
      <c r="R67" s="38"/>
      <c r="S67" s="38"/>
      <c r="T67" s="38"/>
      <c r="U67" s="38"/>
      <c r="V67" s="38"/>
      <c r="W67" s="38"/>
      <c r="X67" s="38"/>
      <c r="Y67" s="34"/>
      <c r="Z67" s="34"/>
    </row>
    <row r="68" ht="15.75" customHeight="1">
      <c r="A68" s="64"/>
      <c r="B68" s="60" t="s">
        <v>67</v>
      </c>
      <c r="C68" s="61">
        <v>0.25</v>
      </c>
      <c r="D68" s="77">
        <v>0.0</v>
      </c>
      <c r="E68" s="77">
        <v>0.0</v>
      </c>
      <c r="F68" s="63">
        <f t="shared" si="3"/>
        <v>0</v>
      </c>
      <c r="G68" s="67" t="s">
        <v>99</v>
      </c>
      <c r="H68" s="60"/>
      <c r="I68" s="60"/>
      <c r="J68" s="60"/>
      <c r="K68" s="60"/>
      <c r="L68" s="60"/>
      <c r="M68" s="60"/>
      <c r="N68" s="60"/>
      <c r="O68" s="60"/>
      <c r="P68" s="38"/>
      <c r="Q68" s="38"/>
      <c r="R68" s="38"/>
      <c r="S68" s="38"/>
      <c r="T68" s="38"/>
      <c r="U68" s="38"/>
      <c r="V68" s="38"/>
      <c r="W68" s="38"/>
      <c r="X68" s="38"/>
      <c r="Y68" s="34"/>
      <c r="Z68" s="34"/>
    </row>
    <row r="69" ht="15.75" customHeight="1">
      <c r="A69" s="64"/>
      <c r="B69" s="60" t="s">
        <v>69</v>
      </c>
      <c r="C69" s="61">
        <v>0.25</v>
      </c>
      <c r="D69" s="77">
        <v>0.0</v>
      </c>
      <c r="E69" s="77">
        <v>0.0</v>
      </c>
      <c r="F69" s="63">
        <f t="shared" si="3"/>
        <v>0</v>
      </c>
      <c r="G69" s="65" t="s">
        <v>100</v>
      </c>
      <c r="H69" s="60"/>
      <c r="I69" s="60"/>
      <c r="J69" s="60"/>
      <c r="K69" s="60"/>
      <c r="L69" s="60"/>
      <c r="M69" s="60"/>
      <c r="N69" s="60"/>
      <c r="O69" s="60"/>
      <c r="P69" s="38"/>
      <c r="Q69" s="38"/>
      <c r="R69" s="38"/>
      <c r="S69" s="38"/>
      <c r="T69" s="38"/>
      <c r="U69" s="38"/>
      <c r="V69" s="38"/>
      <c r="W69" s="38"/>
      <c r="X69" s="38"/>
      <c r="Y69" s="34"/>
      <c r="Z69" s="34"/>
    </row>
    <row r="70" ht="15.75" customHeight="1">
      <c r="A70" s="64"/>
      <c r="B70" s="60" t="s">
        <v>101</v>
      </c>
      <c r="C70" s="61">
        <v>0.25</v>
      </c>
      <c r="D70" s="77">
        <v>0.0</v>
      </c>
      <c r="E70" s="77">
        <v>0.0</v>
      </c>
      <c r="F70" s="63">
        <f t="shared" si="3"/>
        <v>0</v>
      </c>
      <c r="G70" s="65" t="s">
        <v>102</v>
      </c>
      <c r="H70" s="60"/>
      <c r="I70" s="60"/>
      <c r="J70" s="60"/>
      <c r="K70" s="60"/>
      <c r="L70" s="60"/>
      <c r="M70" s="60"/>
      <c r="N70" s="60"/>
      <c r="O70" s="60"/>
      <c r="P70" s="38"/>
      <c r="Q70" s="38"/>
      <c r="R70" s="38"/>
      <c r="S70" s="38"/>
      <c r="T70" s="38"/>
      <c r="U70" s="38"/>
      <c r="V70" s="38"/>
      <c r="W70" s="38"/>
      <c r="X70" s="38"/>
      <c r="Y70" s="34"/>
      <c r="Z70" s="34"/>
    </row>
    <row r="71" ht="15.75" customHeight="1">
      <c r="A71" s="64"/>
      <c r="B71" s="60" t="s">
        <v>103</v>
      </c>
      <c r="C71" s="61">
        <v>0.25</v>
      </c>
      <c r="D71" s="77">
        <v>0.0</v>
      </c>
      <c r="E71" s="77">
        <v>0.0</v>
      </c>
      <c r="F71" s="63">
        <f t="shared" si="3"/>
        <v>0</v>
      </c>
      <c r="G71" s="65" t="s">
        <v>104</v>
      </c>
      <c r="H71" s="60"/>
      <c r="I71" s="60"/>
      <c r="J71" s="60"/>
      <c r="K71" s="60"/>
      <c r="L71" s="60"/>
      <c r="M71" s="60"/>
      <c r="N71" s="60"/>
      <c r="O71" s="60"/>
      <c r="P71" s="38"/>
      <c r="Q71" s="38"/>
      <c r="R71" s="38"/>
      <c r="S71" s="38"/>
      <c r="T71" s="38"/>
      <c r="U71" s="38"/>
      <c r="V71" s="38"/>
      <c r="W71" s="38"/>
      <c r="X71" s="38"/>
      <c r="Y71" s="34"/>
      <c r="Z71" s="34"/>
    </row>
    <row r="72" ht="15.75" customHeight="1">
      <c r="A72" s="64"/>
      <c r="B72" s="60" t="s">
        <v>105</v>
      </c>
      <c r="C72" s="61">
        <v>0.25</v>
      </c>
      <c r="D72" s="77">
        <v>0.0</v>
      </c>
      <c r="E72" s="77">
        <v>0.0</v>
      </c>
      <c r="F72" s="63">
        <f t="shared" si="3"/>
        <v>0</v>
      </c>
      <c r="G72" s="66" t="s">
        <v>106</v>
      </c>
      <c r="H72" s="60"/>
      <c r="I72" s="60"/>
      <c r="J72" s="60"/>
      <c r="K72" s="60"/>
      <c r="L72" s="60"/>
      <c r="M72" s="60"/>
      <c r="N72" s="60"/>
      <c r="O72" s="60"/>
      <c r="P72" s="38"/>
      <c r="Q72" s="38"/>
      <c r="R72" s="38"/>
      <c r="S72" s="38"/>
      <c r="T72" s="38"/>
      <c r="U72" s="38"/>
      <c r="V72" s="38"/>
      <c r="W72" s="38"/>
      <c r="X72" s="38"/>
      <c r="Y72" s="34"/>
      <c r="Z72" s="34"/>
    </row>
    <row r="73" ht="15.75" customHeight="1">
      <c r="A73" s="64"/>
      <c r="B73" s="60" t="s">
        <v>70</v>
      </c>
      <c r="C73" s="61">
        <v>0.25</v>
      </c>
      <c r="D73" s="77">
        <v>0.0</v>
      </c>
      <c r="E73" s="77">
        <v>0.0</v>
      </c>
      <c r="F73" s="63">
        <f t="shared" si="3"/>
        <v>0</v>
      </c>
      <c r="G73" s="65" t="s">
        <v>107</v>
      </c>
      <c r="H73" s="60"/>
      <c r="I73" s="60"/>
      <c r="J73" s="60"/>
      <c r="K73" s="60"/>
      <c r="L73" s="60"/>
      <c r="M73" s="60"/>
      <c r="N73" s="60"/>
      <c r="O73" s="60"/>
      <c r="P73" s="38"/>
      <c r="Q73" s="38"/>
      <c r="R73" s="38"/>
      <c r="S73" s="38"/>
      <c r="T73" s="38"/>
      <c r="U73" s="38"/>
      <c r="V73" s="38"/>
      <c r="W73" s="38"/>
      <c r="X73" s="38"/>
      <c r="Y73" s="34"/>
      <c r="Z73" s="34"/>
    </row>
    <row r="74" ht="15.75" customHeight="1">
      <c r="A74" s="64"/>
      <c r="B74" s="60" t="s">
        <v>108</v>
      </c>
      <c r="C74" s="61">
        <v>0.25</v>
      </c>
      <c r="D74" s="77">
        <v>0.0</v>
      </c>
      <c r="E74" s="77">
        <v>0.0</v>
      </c>
      <c r="F74" s="63">
        <f t="shared" si="3"/>
        <v>0</v>
      </c>
      <c r="G74" s="65" t="s">
        <v>109</v>
      </c>
      <c r="H74" s="60"/>
      <c r="I74" s="60"/>
      <c r="J74" s="60"/>
      <c r="K74" s="60"/>
      <c r="L74" s="60"/>
      <c r="M74" s="60"/>
      <c r="N74" s="60"/>
      <c r="O74" s="60"/>
      <c r="P74" s="38"/>
      <c r="Q74" s="38"/>
      <c r="R74" s="38"/>
      <c r="S74" s="38"/>
      <c r="T74" s="38"/>
      <c r="U74" s="38"/>
      <c r="V74" s="38"/>
      <c r="W74" s="38"/>
      <c r="X74" s="38"/>
      <c r="Y74" s="34"/>
      <c r="Z74" s="34"/>
    </row>
    <row r="75" ht="15.75" customHeight="1">
      <c r="A75" s="64"/>
      <c r="B75" s="60" t="s">
        <v>110</v>
      </c>
      <c r="C75" s="61">
        <v>0.25</v>
      </c>
      <c r="D75" s="77">
        <v>0.0</v>
      </c>
      <c r="E75" s="77">
        <v>0.0</v>
      </c>
      <c r="F75" s="63">
        <f t="shared" si="3"/>
        <v>0</v>
      </c>
      <c r="G75" s="60"/>
      <c r="H75" s="60"/>
      <c r="I75" s="60"/>
      <c r="J75" s="60"/>
      <c r="K75" s="60"/>
      <c r="L75" s="60"/>
      <c r="M75" s="60"/>
      <c r="N75" s="60"/>
      <c r="O75" s="60"/>
      <c r="P75" s="38"/>
      <c r="Q75" s="38"/>
      <c r="R75" s="38"/>
      <c r="S75" s="38"/>
      <c r="T75" s="38"/>
      <c r="U75" s="38"/>
      <c r="V75" s="38"/>
      <c r="W75" s="38"/>
      <c r="X75" s="38"/>
      <c r="Y75" s="34"/>
      <c r="Z75" s="34"/>
    </row>
    <row r="76" ht="15.75" customHeight="1">
      <c r="A76" s="64"/>
      <c r="B76" s="60" t="s">
        <v>75</v>
      </c>
      <c r="C76" s="61">
        <v>0.25</v>
      </c>
      <c r="D76" s="77">
        <v>0.0</v>
      </c>
      <c r="E76" s="77">
        <v>0.0</v>
      </c>
      <c r="F76" s="63">
        <f t="shared" si="3"/>
        <v>0</v>
      </c>
      <c r="G76" s="60" t="s">
        <v>111</v>
      </c>
      <c r="H76" s="60"/>
      <c r="I76" s="60"/>
      <c r="J76" s="60"/>
      <c r="K76" s="60"/>
      <c r="L76" s="60"/>
      <c r="M76" s="60"/>
      <c r="N76" s="60"/>
      <c r="O76" s="60"/>
      <c r="P76" s="38"/>
      <c r="Q76" s="38"/>
      <c r="R76" s="38"/>
      <c r="S76" s="38"/>
      <c r="T76" s="38"/>
      <c r="U76" s="38"/>
      <c r="V76" s="38"/>
      <c r="W76" s="38"/>
      <c r="X76" s="38"/>
      <c r="Y76" s="34"/>
      <c r="Z76" s="34"/>
    </row>
    <row r="77" ht="15.75" customHeight="1">
      <c r="A77" s="64"/>
      <c r="B77" s="60" t="s">
        <v>112</v>
      </c>
      <c r="C77" s="61">
        <v>0.25</v>
      </c>
      <c r="D77" s="77">
        <v>0.0</v>
      </c>
      <c r="E77" s="77">
        <v>0.0</v>
      </c>
      <c r="F77" s="63">
        <f t="shared" si="3"/>
        <v>0</v>
      </c>
      <c r="G77" s="65" t="s">
        <v>113</v>
      </c>
      <c r="H77" s="60"/>
      <c r="I77" s="60"/>
      <c r="J77" s="60"/>
      <c r="K77" s="60"/>
      <c r="L77" s="60"/>
      <c r="M77" s="60"/>
      <c r="N77" s="60"/>
      <c r="O77" s="60"/>
      <c r="P77" s="38"/>
      <c r="Q77" s="38"/>
      <c r="R77" s="38"/>
      <c r="S77" s="38"/>
      <c r="T77" s="38"/>
      <c r="U77" s="38"/>
      <c r="V77" s="38"/>
      <c r="W77" s="38"/>
      <c r="X77" s="38"/>
      <c r="Y77" s="34"/>
      <c r="Z77" s="34"/>
    </row>
    <row r="78" ht="15.75" customHeight="1">
      <c r="A78" s="64"/>
      <c r="B78" s="60" t="s">
        <v>78</v>
      </c>
      <c r="C78" s="61">
        <v>0.25</v>
      </c>
      <c r="D78" s="77">
        <v>0.0</v>
      </c>
      <c r="E78" s="77">
        <v>0.0</v>
      </c>
      <c r="F78" s="63">
        <f t="shared" si="3"/>
        <v>0</v>
      </c>
      <c r="G78" s="65" t="s">
        <v>79</v>
      </c>
      <c r="H78" s="60"/>
      <c r="I78" s="60"/>
      <c r="J78" s="60"/>
      <c r="K78" s="60"/>
      <c r="L78" s="60"/>
      <c r="M78" s="60"/>
      <c r="N78" s="60"/>
      <c r="O78" s="60"/>
      <c r="P78" s="38"/>
      <c r="Q78" s="38"/>
      <c r="R78" s="38"/>
      <c r="S78" s="38"/>
      <c r="T78" s="38"/>
      <c r="U78" s="38"/>
      <c r="V78" s="38"/>
      <c r="W78" s="38"/>
      <c r="X78" s="38"/>
      <c r="Y78" s="34"/>
      <c r="Z78" s="34"/>
    </row>
    <row r="79" ht="15.75" customHeight="1">
      <c r="A79" s="64"/>
      <c r="B79" s="60" t="s">
        <v>114</v>
      </c>
      <c r="C79" s="61">
        <v>0.25</v>
      </c>
      <c r="D79" s="77">
        <v>0.0</v>
      </c>
      <c r="E79" s="77">
        <v>0.0</v>
      </c>
      <c r="F79" s="63">
        <f t="shared" si="3"/>
        <v>0</v>
      </c>
      <c r="G79" s="65" t="s">
        <v>115</v>
      </c>
      <c r="H79" s="60"/>
      <c r="I79" s="60"/>
      <c r="J79" s="60"/>
      <c r="K79" s="60"/>
      <c r="L79" s="60"/>
      <c r="M79" s="60"/>
      <c r="N79" s="60"/>
      <c r="O79" s="60"/>
      <c r="P79" s="38"/>
      <c r="Q79" s="38"/>
      <c r="R79" s="38"/>
      <c r="S79" s="38"/>
      <c r="T79" s="38"/>
      <c r="U79" s="38"/>
      <c r="V79" s="38"/>
      <c r="W79" s="38"/>
      <c r="X79" s="38"/>
      <c r="Y79" s="34"/>
      <c r="Z79" s="34"/>
    </row>
    <row r="80" ht="15.75" customHeight="1">
      <c r="A80" s="64"/>
      <c r="B80" s="60" t="s">
        <v>80</v>
      </c>
      <c r="C80" s="61">
        <v>0.25</v>
      </c>
      <c r="D80" s="77">
        <v>0.0</v>
      </c>
      <c r="E80" s="77">
        <v>0.0</v>
      </c>
      <c r="F80" s="63">
        <f t="shared" si="3"/>
        <v>0</v>
      </c>
      <c r="G80" s="65" t="s">
        <v>116</v>
      </c>
      <c r="H80" s="60"/>
      <c r="I80" s="60"/>
      <c r="J80" s="60"/>
      <c r="K80" s="60"/>
      <c r="L80" s="60"/>
      <c r="M80" s="60"/>
      <c r="N80" s="60"/>
      <c r="O80" s="60"/>
      <c r="P80" s="38"/>
      <c r="Q80" s="38"/>
      <c r="R80" s="38"/>
      <c r="S80" s="38"/>
      <c r="T80" s="38"/>
      <c r="U80" s="38"/>
      <c r="V80" s="38"/>
      <c r="W80" s="38"/>
      <c r="X80" s="38"/>
      <c r="Y80" s="34"/>
      <c r="Z80" s="34"/>
    </row>
    <row r="81" ht="15.75" customHeight="1">
      <c r="A81" s="64"/>
      <c r="B81" s="60" t="s">
        <v>81</v>
      </c>
      <c r="C81" s="61">
        <v>0.25</v>
      </c>
      <c r="D81" s="77">
        <v>0.0</v>
      </c>
      <c r="E81" s="77">
        <v>0.0</v>
      </c>
      <c r="F81" s="63">
        <f t="shared" si="3"/>
        <v>0</v>
      </c>
      <c r="G81" s="65"/>
      <c r="H81" s="60"/>
      <c r="I81" s="60"/>
      <c r="J81" s="60"/>
      <c r="K81" s="60"/>
      <c r="L81" s="60"/>
      <c r="M81" s="60"/>
      <c r="N81" s="60"/>
      <c r="O81" s="60"/>
      <c r="P81" s="38"/>
      <c r="Q81" s="38"/>
      <c r="R81" s="38"/>
      <c r="S81" s="38"/>
      <c r="T81" s="38"/>
      <c r="U81" s="38"/>
      <c r="V81" s="38"/>
      <c r="W81" s="38"/>
      <c r="X81" s="38"/>
      <c r="Y81" s="34"/>
      <c r="Z81" s="34"/>
    </row>
    <row r="82" ht="15.75" customHeight="1">
      <c r="A82" s="64"/>
      <c r="B82" s="80" t="s">
        <v>117</v>
      </c>
      <c r="C82" s="61">
        <v>0.5</v>
      </c>
      <c r="D82" s="77">
        <v>0.0</v>
      </c>
      <c r="E82" s="77">
        <v>0.0</v>
      </c>
      <c r="F82" s="77">
        <f t="shared" si="3"/>
        <v>0</v>
      </c>
      <c r="G82" s="81" t="s">
        <v>118</v>
      </c>
      <c r="H82" s="60"/>
      <c r="I82" s="60"/>
      <c r="J82" s="60"/>
      <c r="K82" s="60"/>
      <c r="L82" s="60"/>
      <c r="M82" s="60"/>
      <c r="N82" s="60"/>
      <c r="O82" s="60"/>
      <c r="P82" s="38"/>
      <c r="Q82" s="38"/>
      <c r="R82" s="38"/>
      <c r="S82" s="38"/>
      <c r="T82" s="38"/>
      <c r="U82" s="38"/>
      <c r="V82" s="38"/>
      <c r="W82" s="38"/>
      <c r="X82" s="38"/>
      <c r="Y82" s="34"/>
      <c r="Z82" s="34"/>
    </row>
    <row r="83" ht="15.75" customHeight="1">
      <c r="A83" s="64"/>
      <c r="B83" s="80" t="s">
        <v>119</v>
      </c>
      <c r="C83" s="61">
        <v>1.0</v>
      </c>
      <c r="D83" s="77">
        <v>0.0</v>
      </c>
      <c r="E83" s="77">
        <v>0.0</v>
      </c>
      <c r="F83" s="77">
        <f t="shared" si="3"/>
        <v>0</v>
      </c>
      <c r="G83" s="82" t="s">
        <v>120</v>
      </c>
      <c r="H83" s="60"/>
      <c r="I83" s="60"/>
      <c r="J83" s="60"/>
      <c r="K83" s="60"/>
      <c r="L83" s="60"/>
      <c r="M83" s="60"/>
      <c r="N83" s="60"/>
      <c r="O83" s="60"/>
      <c r="P83" s="38"/>
      <c r="Q83" s="38"/>
      <c r="R83" s="38"/>
      <c r="S83" s="38"/>
      <c r="T83" s="38"/>
      <c r="U83" s="38"/>
      <c r="V83" s="38"/>
      <c r="W83" s="38"/>
      <c r="X83" s="38"/>
      <c r="Y83" s="34"/>
      <c r="Z83" s="34"/>
    </row>
    <row r="84" ht="15.75" customHeight="1">
      <c r="A84" s="68"/>
      <c r="B84" s="80" t="s">
        <v>121</v>
      </c>
      <c r="C84" s="61">
        <v>1.0</v>
      </c>
      <c r="D84" s="77">
        <v>0.0</v>
      </c>
      <c r="E84" s="77">
        <v>0.0</v>
      </c>
      <c r="F84" s="77">
        <f t="shared" si="3"/>
        <v>0</v>
      </c>
      <c r="G84" s="65" t="s">
        <v>122</v>
      </c>
      <c r="H84" s="60"/>
      <c r="I84" s="60"/>
      <c r="J84" s="60"/>
      <c r="K84" s="60"/>
      <c r="L84" s="60"/>
      <c r="M84" s="60"/>
      <c r="N84" s="60"/>
      <c r="O84" s="60"/>
      <c r="P84" s="38"/>
      <c r="Q84" s="38"/>
      <c r="R84" s="38"/>
      <c r="S84" s="38"/>
      <c r="T84" s="38"/>
      <c r="U84" s="38"/>
      <c r="V84" s="38"/>
      <c r="W84" s="38"/>
      <c r="X84" s="38"/>
      <c r="Y84" s="34"/>
      <c r="Z84" s="34"/>
    </row>
    <row r="85" ht="15.75" customHeight="1">
      <c r="A85" s="38"/>
      <c r="B85" s="46"/>
      <c r="C85" s="83"/>
      <c r="D85" s="37"/>
      <c r="E85" s="37"/>
      <c r="F85" s="37"/>
      <c r="G85" s="38"/>
      <c r="H85" s="38"/>
      <c r="I85" s="38"/>
      <c r="J85" s="38"/>
      <c r="K85" s="38"/>
      <c r="L85" s="38"/>
      <c r="M85" s="38"/>
      <c r="N85" s="38"/>
      <c r="O85" s="38"/>
      <c r="P85" s="38"/>
      <c r="Q85" s="38"/>
      <c r="R85" s="38"/>
      <c r="S85" s="38"/>
      <c r="T85" s="38"/>
      <c r="U85" s="38"/>
      <c r="V85" s="38"/>
      <c r="W85" s="38"/>
      <c r="X85" s="38"/>
      <c r="Y85" s="34"/>
      <c r="Z85" s="34"/>
    </row>
    <row r="86" ht="15.75" customHeight="1">
      <c r="A86" s="70" t="s">
        <v>82</v>
      </c>
      <c r="B86" s="71" t="s">
        <v>43</v>
      </c>
      <c r="C86" s="69">
        <f t="shared" ref="C86:F86" si="4">SUM(C56:C84)</f>
        <v>9</v>
      </c>
      <c r="D86" s="84">
        <f t="shared" si="4"/>
        <v>0</v>
      </c>
      <c r="E86" s="84">
        <f t="shared" si="4"/>
        <v>0</v>
      </c>
      <c r="F86" s="84">
        <f t="shared" si="4"/>
        <v>0</v>
      </c>
      <c r="G86" s="85"/>
      <c r="H86" s="75"/>
      <c r="I86" s="75"/>
      <c r="J86" s="75"/>
      <c r="K86" s="75"/>
      <c r="L86" s="75"/>
      <c r="M86" s="75"/>
      <c r="N86" s="75"/>
      <c r="O86" s="75"/>
      <c r="P86" s="38"/>
      <c r="Q86" s="38"/>
      <c r="R86" s="38"/>
      <c r="S86" s="38"/>
      <c r="T86" s="38"/>
      <c r="U86" s="38"/>
      <c r="V86" s="38"/>
      <c r="W86" s="38"/>
      <c r="X86" s="38"/>
      <c r="Y86" s="34"/>
      <c r="Z86" s="34"/>
    </row>
    <row r="87" ht="15.75" customHeight="1">
      <c r="A87" s="38"/>
      <c r="B87" s="40"/>
      <c r="C87" s="36"/>
      <c r="D87" s="37"/>
      <c r="E87" s="37"/>
      <c r="F87" s="37"/>
      <c r="G87" s="38"/>
      <c r="H87" s="38"/>
      <c r="I87" s="38"/>
      <c r="J87" s="38"/>
      <c r="K87" s="38"/>
      <c r="L87" s="38"/>
      <c r="M87" s="38"/>
      <c r="N87" s="38"/>
      <c r="O87" s="38"/>
      <c r="P87" s="38"/>
      <c r="Q87" s="38"/>
      <c r="R87" s="38"/>
      <c r="S87" s="38"/>
      <c r="T87" s="38"/>
      <c r="U87" s="38"/>
      <c r="V87" s="38"/>
      <c r="W87" s="38"/>
      <c r="X87" s="38"/>
      <c r="Y87" s="34"/>
      <c r="Z87" s="34"/>
    </row>
    <row r="88" ht="15.75" customHeight="1">
      <c r="A88" s="56" t="s">
        <v>123</v>
      </c>
      <c r="B88" s="52"/>
      <c r="C88" s="54" t="s">
        <v>46</v>
      </c>
      <c r="D88" s="54" t="s">
        <v>21</v>
      </c>
      <c r="E88" s="54" t="s">
        <v>22</v>
      </c>
      <c r="F88" s="54" t="s">
        <v>23</v>
      </c>
      <c r="G88" s="55" t="s">
        <v>24</v>
      </c>
      <c r="H88" s="52" t="s">
        <v>84</v>
      </c>
      <c r="I88" s="52" t="s">
        <v>26</v>
      </c>
      <c r="J88" s="52" t="s">
        <v>85</v>
      </c>
      <c r="K88" s="52" t="s">
        <v>26</v>
      </c>
      <c r="L88" s="52" t="s">
        <v>28</v>
      </c>
      <c r="M88" s="57" t="s">
        <v>29</v>
      </c>
      <c r="N88" s="52" t="s">
        <v>30</v>
      </c>
      <c r="O88" s="52" t="s">
        <v>31</v>
      </c>
      <c r="P88" s="38"/>
      <c r="Q88" s="38"/>
      <c r="R88" s="38"/>
      <c r="S88" s="38"/>
      <c r="T88" s="38"/>
      <c r="U88" s="38"/>
      <c r="V88" s="38"/>
      <c r="W88" s="38"/>
      <c r="X88" s="38"/>
      <c r="Y88" s="34"/>
      <c r="Z88" s="34"/>
    </row>
    <row r="89" ht="15.75" customHeight="1">
      <c r="A89" s="86" t="s">
        <v>124</v>
      </c>
      <c r="B89" s="60" t="s">
        <v>49</v>
      </c>
      <c r="C89" s="61">
        <v>0.5</v>
      </c>
      <c r="D89" s="77">
        <v>0.0</v>
      </c>
      <c r="E89" s="77">
        <v>0.0</v>
      </c>
      <c r="F89" s="77">
        <f t="shared" ref="F89:F118" si="5">SUM(D89:E89)</f>
        <v>0</v>
      </c>
      <c r="G89" s="65" t="s">
        <v>125</v>
      </c>
      <c r="H89" s="60"/>
      <c r="I89" s="60"/>
      <c r="J89" s="60"/>
      <c r="K89" s="60"/>
      <c r="L89" s="60"/>
      <c r="M89" s="60"/>
      <c r="N89" s="60"/>
      <c r="O89" s="60"/>
      <c r="P89" s="38"/>
      <c r="Q89" s="38"/>
      <c r="R89" s="38"/>
      <c r="S89" s="38"/>
      <c r="T89" s="38"/>
      <c r="U89" s="38"/>
      <c r="V89" s="38"/>
      <c r="W89" s="38"/>
      <c r="X89" s="38"/>
      <c r="Y89" s="34"/>
      <c r="Z89" s="34"/>
    </row>
    <row r="90" ht="15.75" customHeight="1">
      <c r="A90" s="64"/>
      <c r="B90" s="87" t="s">
        <v>51</v>
      </c>
      <c r="C90" s="61">
        <v>0.5</v>
      </c>
      <c r="D90" s="77">
        <v>0.0</v>
      </c>
      <c r="E90" s="77">
        <v>0.0</v>
      </c>
      <c r="F90" s="77">
        <f t="shared" si="5"/>
        <v>0</v>
      </c>
      <c r="G90" s="65" t="s">
        <v>126</v>
      </c>
      <c r="H90" s="60"/>
      <c r="I90" s="60"/>
      <c r="J90" s="60"/>
      <c r="K90" s="60"/>
      <c r="L90" s="60"/>
      <c r="M90" s="60"/>
      <c r="N90" s="60"/>
      <c r="O90" s="60"/>
      <c r="P90" s="38"/>
      <c r="Q90" s="38"/>
      <c r="R90" s="38"/>
      <c r="S90" s="38"/>
      <c r="T90" s="38"/>
      <c r="U90" s="38"/>
      <c r="V90" s="38"/>
      <c r="W90" s="38"/>
      <c r="X90" s="38"/>
      <c r="Y90" s="34"/>
      <c r="Z90" s="34"/>
    </row>
    <row r="91" ht="15.75" customHeight="1">
      <c r="A91" s="64"/>
      <c r="B91" s="87" t="s">
        <v>88</v>
      </c>
      <c r="C91" s="61">
        <v>0.5</v>
      </c>
      <c r="D91" s="88">
        <v>0.0</v>
      </c>
      <c r="E91" s="77">
        <v>0.0</v>
      </c>
      <c r="F91" s="77">
        <f t="shared" si="5"/>
        <v>0</v>
      </c>
      <c r="G91" s="89" t="s">
        <v>127</v>
      </c>
      <c r="H91" s="60"/>
      <c r="I91" s="60"/>
      <c r="J91" s="60"/>
      <c r="K91" s="60"/>
      <c r="L91" s="60"/>
      <c r="M91" s="60"/>
      <c r="N91" s="60"/>
      <c r="O91" s="60"/>
      <c r="P91" s="38"/>
      <c r="Q91" s="38"/>
      <c r="R91" s="38"/>
      <c r="S91" s="38"/>
      <c r="T91" s="38"/>
      <c r="U91" s="38"/>
      <c r="V91" s="38"/>
      <c r="W91" s="38"/>
      <c r="X91" s="38"/>
      <c r="Y91" s="34"/>
      <c r="Z91" s="34"/>
    </row>
    <row r="92" ht="15.75" customHeight="1">
      <c r="A92" s="64"/>
      <c r="B92" s="60" t="s">
        <v>55</v>
      </c>
      <c r="C92" s="61">
        <v>0.5</v>
      </c>
      <c r="D92" s="77">
        <v>0.0</v>
      </c>
      <c r="E92" s="77">
        <v>0.0</v>
      </c>
      <c r="F92" s="77">
        <f t="shared" si="5"/>
        <v>0</v>
      </c>
      <c r="G92" s="65" t="s">
        <v>128</v>
      </c>
      <c r="H92" s="60"/>
      <c r="I92" s="60"/>
      <c r="J92" s="60"/>
      <c r="K92" s="60"/>
      <c r="L92" s="60"/>
      <c r="M92" s="60"/>
      <c r="N92" s="60"/>
      <c r="O92" s="60"/>
      <c r="P92" s="38"/>
      <c r="Q92" s="38"/>
      <c r="R92" s="38"/>
      <c r="S92" s="38"/>
      <c r="T92" s="38"/>
      <c r="U92" s="38"/>
      <c r="V92" s="38"/>
      <c r="W92" s="38"/>
      <c r="X92" s="38"/>
      <c r="Y92" s="34"/>
      <c r="Z92" s="34"/>
    </row>
    <row r="93" ht="15.75" customHeight="1">
      <c r="A93" s="64"/>
      <c r="B93" s="87" t="s">
        <v>90</v>
      </c>
      <c r="C93" s="61">
        <v>0.5</v>
      </c>
      <c r="D93" s="77">
        <v>0.0</v>
      </c>
      <c r="E93" s="77">
        <v>0.0</v>
      </c>
      <c r="F93" s="77">
        <f t="shared" si="5"/>
        <v>0</v>
      </c>
      <c r="G93" s="89" t="s">
        <v>129</v>
      </c>
      <c r="H93" s="60"/>
      <c r="I93" s="60"/>
      <c r="J93" s="60"/>
      <c r="K93" s="60"/>
      <c r="L93" s="60"/>
      <c r="M93" s="60"/>
      <c r="N93" s="60"/>
      <c r="O93" s="60"/>
      <c r="P93" s="38"/>
      <c r="Q93" s="38"/>
      <c r="R93" s="38"/>
      <c r="S93" s="38"/>
      <c r="T93" s="38"/>
      <c r="U93" s="38"/>
      <c r="V93" s="38"/>
      <c r="W93" s="38"/>
      <c r="X93" s="38"/>
      <c r="Y93" s="34"/>
      <c r="Z93" s="34"/>
    </row>
    <row r="94" ht="15.75" customHeight="1">
      <c r="A94" s="64"/>
      <c r="B94" s="87" t="s">
        <v>57</v>
      </c>
      <c r="C94" s="61">
        <v>0.5</v>
      </c>
      <c r="D94" s="77">
        <v>0.0</v>
      </c>
      <c r="E94" s="77">
        <v>0.0</v>
      </c>
      <c r="F94" s="77">
        <f t="shared" si="5"/>
        <v>0</v>
      </c>
      <c r="G94" s="89" t="s">
        <v>130</v>
      </c>
      <c r="H94" s="60"/>
      <c r="I94" s="60"/>
      <c r="J94" s="60"/>
      <c r="K94" s="60"/>
      <c r="L94" s="60"/>
      <c r="M94" s="60"/>
      <c r="N94" s="60"/>
      <c r="O94" s="60"/>
      <c r="P94" s="38"/>
      <c r="Q94" s="38"/>
      <c r="R94" s="38"/>
      <c r="S94" s="38"/>
      <c r="T94" s="38"/>
      <c r="U94" s="38"/>
      <c r="V94" s="38"/>
      <c r="W94" s="38"/>
      <c r="X94" s="38"/>
      <c r="Y94" s="34"/>
      <c r="Z94" s="34"/>
    </row>
    <row r="95" ht="15.75" customHeight="1">
      <c r="A95" s="64"/>
      <c r="B95" s="60" t="s">
        <v>92</v>
      </c>
      <c r="C95" s="61">
        <v>0.5</v>
      </c>
      <c r="D95" s="77">
        <v>0.0</v>
      </c>
      <c r="E95" s="77">
        <v>0.0</v>
      </c>
      <c r="F95" s="77">
        <f t="shared" si="5"/>
        <v>0</v>
      </c>
      <c r="G95" s="65" t="s">
        <v>131</v>
      </c>
      <c r="H95" s="60"/>
      <c r="I95" s="60"/>
      <c r="J95" s="60"/>
      <c r="K95" s="60"/>
      <c r="L95" s="60"/>
      <c r="M95" s="60"/>
      <c r="N95" s="60"/>
      <c r="O95" s="60"/>
      <c r="P95" s="38"/>
      <c r="Q95" s="38"/>
      <c r="R95" s="38"/>
      <c r="S95" s="38"/>
      <c r="T95" s="38"/>
      <c r="U95" s="38"/>
      <c r="V95" s="38"/>
      <c r="W95" s="38"/>
      <c r="X95" s="38"/>
      <c r="Y95" s="34"/>
      <c r="Z95" s="34"/>
    </row>
    <row r="96" ht="15.75" customHeight="1">
      <c r="A96" s="64"/>
      <c r="B96" s="87" t="s">
        <v>132</v>
      </c>
      <c r="C96" s="61">
        <v>0.5</v>
      </c>
      <c r="D96" s="77">
        <v>0.0</v>
      </c>
      <c r="E96" s="77">
        <v>0.0</v>
      </c>
      <c r="F96" s="77">
        <f t="shared" si="5"/>
        <v>0</v>
      </c>
      <c r="G96" s="89" t="s">
        <v>133</v>
      </c>
      <c r="H96" s="60"/>
      <c r="I96" s="60"/>
      <c r="J96" s="60"/>
      <c r="K96" s="60"/>
      <c r="L96" s="60"/>
      <c r="M96" s="60"/>
      <c r="N96" s="60"/>
      <c r="O96" s="60"/>
      <c r="P96" s="38"/>
      <c r="Q96" s="38"/>
      <c r="R96" s="38"/>
      <c r="S96" s="38"/>
      <c r="T96" s="38"/>
      <c r="U96" s="38"/>
      <c r="V96" s="38"/>
      <c r="W96" s="38"/>
      <c r="X96" s="38"/>
      <c r="Y96" s="34"/>
      <c r="Z96" s="34"/>
    </row>
    <row r="97" ht="15.75" customHeight="1">
      <c r="A97" s="64"/>
      <c r="B97" s="87" t="s">
        <v>60</v>
      </c>
      <c r="C97" s="61">
        <v>0.5</v>
      </c>
      <c r="D97" s="77">
        <v>0.0</v>
      </c>
      <c r="E97" s="77">
        <v>0.0</v>
      </c>
      <c r="F97" s="77">
        <f t="shared" si="5"/>
        <v>0</v>
      </c>
      <c r="G97" s="65" t="s">
        <v>134</v>
      </c>
      <c r="H97" s="60"/>
      <c r="I97" s="60"/>
      <c r="J97" s="60"/>
      <c r="K97" s="60"/>
      <c r="L97" s="60"/>
      <c r="M97" s="60"/>
      <c r="N97" s="60"/>
      <c r="O97" s="60"/>
      <c r="P97" s="38"/>
      <c r="Q97" s="38"/>
      <c r="R97" s="38"/>
      <c r="S97" s="38"/>
      <c r="T97" s="38"/>
      <c r="U97" s="38"/>
      <c r="V97" s="38"/>
      <c r="W97" s="38"/>
      <c r="X97" s="38"/>
      <c r="Y97" s="34"/>
      <c r="Z97" s="34"/>
    </row>
    <row r="98" ht="15.75" customHeight="1">
      <c r="A98" s="64"/>
      <c r="B98" s="87" t="s">
        <v>62</v>
      </c>
      <c r="C98" s="61">
        <v>0.5</v>
      </c>
      <c r="D98" s="88">
        <v>0.0</v>
      </c>
      <c r="E98" s="77">
        <v>0.0</v>
      </c>
      <c r="F98" s="77">
        <f t="shared" si="5"/>
        <v>0</v>
      </c>
      <c r="G98" s="90" t="s">
        <v>135</v>
      </c>
      <c r="H98" s="60"/>
      <c r="I98" s="60"/>
      <c r="J98" s="60"/>
      <c r="K98" s="60"/>
      <c r="L98" s="60"/>
      <c r="M98" s="60"/>
      <c r="N98" s="60"/>
      <c r="O98" s="60"/>
      <c r="P98" s="38"/>
      <c r="Q98" s="38"/>
      <c r="R98" s="38"/>
      <c r="S98" s="38"/>
      <c r="T98" s="38"/>
      <c r="U98" s="38"/>
      <c r="V98" s="38"/>
      <c r="W98" s="38"/>
      <c r="X98" s="38"/>
      <c r="Y98" s="34"/>
      <c r="Z98" s="34"/>
    </row>
    <row r="99" ht="15.75" customHeight="1">
      <c r="A99" s="64"/>
      <c r="B99" s="87" t="s">
        <v>64</v>
      </c>
      <c r="C99" s="61">
        <v>0.5</v>
      </c>
      <c r="D99" s="77">
        <v>0.0</v>
      </c>
      <c r="E99" s="77">
        <v>0.0</v>
      </c>
      <c r="F99" s="77">
        <f t="shared" si="5"/>
        <v>0</v>
      </c>
      <c r="G99" s="89" t="s">
        <v>136</v>
      </c>
      <c r="H99" s="60"/>
      <c r="I99" s="60"/>
      <c r="J99" s="60"/>
      <c r="K99" s="60"/>
      <c r="L99" s="60"/>
      <c r="M99" s="60"/>
      <c r="N99" s="60"/>
      <c r="O99" s="60"/>
      <c r="P99" s="38"/>
      <c r="Q99" s="38"/>
      <c r="R99" s="38"/>
      <c r="S99" s="38"/>
      <c r="T99" s="38"/>
      <c r="U99" s="38"/>
      <c r="V99" s="38"/>
      <c r="W99" s="38"/>
      <c r="X99" s="38"/>
      <c r="Y99" s="34"/>
      <c r="Z99" s="34"/>
    </row>
    <row r="100" ht="93.0" customHeight="1">
      <c r="A100" s="64"/>
      <c r="B100" s="87" t="s">
        <v>96</v>
      </c>
      <c r="C100" s="61">
        <v>0.5</v>
      </c>
      <c r="D100" s="77">
        <v>0.0</v>
      </c>
      <c r="E100" s="77">
        <v>0.0</v>
      </c>
      <c r="F100" s="77">
        <f t="shared" si="5"/>
        <v>0</v>
      </c>
      <c r="G100" s="89" t="s">
        <v>137</v>
      </c>
      <c r="H100" s="60"/>
      <c r="I100" s="60"/>
      <c r="J100" s="60"/>
      <c r="K100" s="60"/>
      <c r="L100" s="60"/>
      <c r="M100" s="60"/>
      <c r="N100" s="60"/>
      <c r="O100" s="60"/>
      <c r="P100" s="38"/>
      <c r="Q100" s="38"/>
      <c r="R100" s="38"/>
      <c r="S100" s="38"/>
      <c r="T100" s="38"/>
      <c r="U100" s="38"/>
      <c r="V100" s="38"/>
      <c r="W100" s="38"/>
      <c r="X100" s="38"/>
      <c r="Y100" s="34"/>
      <c r="Z100" s="34"/>
    </row>
    <row r="101" ht="15.75" customHeight="1">
      <c r="A101" s="64"/>
      <c r="B101" s="87" t="s">
        <v>97</v>
      </c>
      <c r="C101" s="61">
        <v>0.5</v>
      </c>
      <c r="D101" s="77">
        <v>0.0</v>
      </c>
      <c r="E101" s="77">
        <v>0.0</v>
      </c>
      <c r="F101" s="77">
        <f t="shared" si="5"/>
        <v>0</v>
      </c>
      <c r="G101" s="89" t="s">
        <v>138</v>
      </c>
      <c r="H101" s="60"/>
      <c r="I101" s="60"/>
      <c r="J101" s="60"/>
      <c r="K101" s="60"/>
      <c r="L101" s="60"/>
      <c r="M101" s="60"/>
      <c r="N101" s="60"/>
      <c r="O101" s="60"/>
      <c r="P101" s="38"/>
      <c r="Q101" s="38"/>
      <c r="R101" s="38"/>
      <c r="S101" s="38"/>
      <c r="T101" s="38"/>
      <c r="U101" s="38"/>
      <c r="V101" s="38"/>
      <c r="W101" s="38"/>
      <c r="X101" s="38"/>
      <c r="Y101" s="34"/>
      <c r="Z101" s="34"/>
    </row>
    <row r="102" ht="63.0" customHeight="1">
      <c r="A102" s="64"/>
      <c r="B102" s="87" t="s">
        <v>66</v>
      </c>
      <c r="C102" s="61">
        <v>0.5</v>
      </c>
      <c r="D102" s="77">
        <v>0.0</v>
      </c>
      <c r="E102" s="77">
        <v>0.0</v>
      </c>
      <c r="F102" s="77">
        <f t="shared" si="5"/>
        <v>0</v>
      </c>
      <c r="G102" s="89" t="s">
        <v>139</v>
      </c>
      <c r="H102" s="60"/>
      <c r="I102" s="60"/>
      <c r="J102" s="60"/>
      <c r="K102" s="60"/>
      <c r="L102" s="60"/>
      <c r="M102" s="60"/>
      <c r="N102" s="60"/>
      <c r="O102" s="60"/>
      <c r="P102" s="38"/>
      <c r="Q102" s="38"/>
      <c r="R102" s="38"/>
      <c r="S102" s="38"/>
      <c r="T102" s="38"/>
      <c r="U102" s="38"/>
      <c r="V102" s="38"/>
      <c r="W102" s="38"/>
      <c r="X102" s="38"/>
      <c r="Y102" s="34"/>
      <c r="Z102" s="34"/>
    </row>
    <row r="103" ht="15.75" customHeight="1">
      <c r="A103" s="64"/>
      <c r="B103" s="87" t="s">
        <v>67</v>
      </c>
      <c r="C103" s="61">
        <v>0.5</v>
      </c>
      <c r="D103" s="77">
        <v>0.0</v>
      </c>
      <c r="E103" s="77">
        <v>0.0</v>
      </c>
      <c r="F103" s="77">
        <f t="shared" si="5"/>
        <v>0</v>
      </c>
      <c r="G103" s="89" t="s">
        <v>140</v>
      </c>
      <c r="H103" s="91"/>
      <c r="I103" s="60"/>
      <c r="J103" s="60"/>
      <c r="K103" s="60"/>
      <c r="L103" s="60"/>
      <c r="M103" s="60"/>
      <c r="N103" s="60"/>
      <c r="O103" s="60"/>
      <c r="P103" s="38"/>
      <c r="Q103" s="38"/>
      <c r="R103" s="38"/>
      <c r="S103" s="38"/>
      <c r="T103" s="38"/>
      <c r="U103" s="38"/>
      <c r="V103" s="38"/>
      <c r="W103" s="38"/>
      <c r="X103" s="38"/>
      <c r="Y103" s="34"/>
      <c r="Z103" s="34"/>
    </row>
    <row r="104" ht="15.75" customHeight="1">
      <c r="A104" s="64"/>
      <c r="B104" s="87" t="s">
        <v>69</v>
      </c>
      <c r="C104" s="61">
        <v>0.5</v>
      </c>
      <c r="D104" s="77">
        <v>0.0</v>
      </c>
      <c r="E104" s="77">
        <v>0.0</v>
      </c>
      <c r="F104" s="77">
        <f t="shared" si="5"/>
        <v>0</v>
      </c>
      <c r="G104" s="89" t="s">
        <v>141</v>
      </c>
      <c r="H104" s="60"/>
      <c r="I104" s="60"/>
      <c r="J104" s="60"/>
      <c r="K104" s="60"/>
      <c r="L104" s="60"/>
      <c r="M104" s="60"/>
      <c r="N104" s="60"/>
      <c r="O104" s="60"/>
      <c r="P104" s="38"/>
      <c r="Q104" s="38"/>
      <c r="R104" s="38"/>
      <c r="S104" s="38"/>
      <c r="T104" s="38"/>
      <c r="U104" s="38"/>
      <c r="V104" s="38"/>
      <c r="W104" s="38"/>
      <c r="X104" s="38"/>
      <c r="Y104" s="34"/>
      <c r="Z104" s="34"/>
    </row>
    <row r="105" ht="15.75" customHeight="1">
      <c r="A105" s="64"/>
      <c r="B105" s="87" t="s">
        <v>101</v>
      </c>
      <c r="C105" s="61">
        <v>0.5</v>
      </c>
      <c r="D105" s="77">
        <v>0.0</v>
      </c>
      <c r="E105" s="77">
        <v>0.0</v>
      </c>
      <c r="F105" s="77">
        <f t="shared" si="5"/>
        <v>0</v>
      </c>
      <c r="G105" s="66" t="s">
        <v>142</v>
      </c>
      <c r="H105" s="60"/>
      <c r="I105" s="60"/>
      <c r="J105" s="60"/>
      <c r="K105" s="60"/>
      <c r="L105" s="60"/>
      <c r="M105" s="60"/>
      <c r="N105" s="60"/>
      <c r="O105" s="60"/>
      <c r="P105" s="38"/>
      <c r="Q105" s="38"/>
      <c r="R105" s="38"/>
      <c r="S105" s="38"/>
      <c r="T105" s="38"/>
      <c r="U105" s="38"/>
      <c r="V105" s="38"/>
      <c r="W105" s="38"/>
      <c r="X105" s="38"/>
      <c r="Y105" s="34"/>
      <c r="Z105" s="34"/>
    </row>
    <row r="106" ht="15.75" customHeight="1">
      <c r="A106" s="64"/>
      <c r="B106" s="87" t="s">
        <v>103</v>
      </c>
      <c r="C106" s="61">
        <v>0.5</v>
      </c>
      <c r="D106" s="77">
        <v>0.0</v>
      </c>
      <c r="E106" s="77">
        <v>0.0</v>
      </c>
      <c r="F106" s="77">
        <f t="shared" si="5"/>
        <v>0</v>
      </c>
      <c r="G106" s="89" t="s">
        <v>143</v>
      </c>
      <c r="H106" s="60"/>
      <c r="I106" s="60"/>
      <c r="J106" s="60"/>
      <c r="K106" s="60"/>
      <c r="L106" s="60"/>
      <c r="M106" s="60"/>
      <c r="N106" s="60"/>
      <c r="O106" s="60"/>
      <c r="P106" s="38"/>
      <c r="Q106" s="38"/>
      <c r="R106" s="38"/>
      <c r="S106" s="38"/>
      <c r="T106" s="38"/>
      <c r="U106" s="38"/>
      <c r="V106" s="38"/>
      <c r="W106" s="38"/>
      <c r="X106" s="38"/>
      <c r="Y106" s="34"/>
      <c r="Z106" s="34"/>
    </row>
    <row r="107" ht="15.75" customHeight="1">
      <c r="A107" s="64"/>
      <c r="B107" s="87" t="s">
        <v>105</v>
      </c>
      <c r="C107" s="61">
        <v>0.5</v>
      </c>
      <c r="D107" s="77">
        <v>0.0</v>
      </c>
      <c r="E107" s="77">
        <v>0.0</v>
      </c>
      <c r="F107" s="77">
        <f t="shared" si="5"/>
        <v>0</v>
      </c>
      <c r="G107" s="67" t="s">
        <v>144</v>
      </c>
      <c r="H107" s="60"/>
      <c r="I107" s="60"/>
      <c r="J107" s="60"/>
      <c r="K107" s="60"/>
      <c r="L107" s="60"/>
      <c r="M107" s="60"/>
      <c r="N107" s="60"/>
      <c r="O107" s="60"/>
      <c r="P107" s="38"/>
      <c r="Q107" s="38"/>
      <c r="R107" s="38"/>
      <c r="S107" s="38"/>
      <c r="T107" s="38"/>
      <c r="U107" s="38"/>
      <c r="V107" s="38"/>
      <c r="W107" s="38"/>
      <c r="X107" s="38"/>
      <c r="Y107" s="34"/>
      <c r="Z107" s="34"/>
    </row>
    <row r="108" ht="81.0" customHeight="1">
      <c r="A108" s="64"/>
      <c r="B108" s="87" t="s">
        <v>70</v>
      </c>
      <c r="C108" s="61">
        <v>0.5</v>
      </c>
      <c r="D108" s="77">
        <v>0.0</v>
      </c>
      <c r="E108" s="77">
        <v>0.0</v>
      </c>
      <c r="F108" s="77">
        <f t="shared" si="5"/>
        <v>0</v>
      </c>
      <c r="G108" s="60" t="s">
        <v>145</v>
      </c>
      <c r="H108" s="60"/>
      <c r="I108" s="60"/>
      <c r="J108" s="60"/>
      <c r="K108" s="60"/>
      <c r="L108" s="60"/>
      <c r="M108" s="60"/>
      <c r="N108" s="60"/>
      <c r="O108" s="60"/>
      <c r="P108" s="38"/>
      <c r="Q108" s="38"/>
      <c r="R108" s="38"/>
      <c r="S108" s="38"/>
      <c r="T108" s="38"/>
      <c r="U108" s="38"/>
      <c r="V108" s="38"/>
      <c r="W108" s="38"/>
      <c r="X108" s="38"/>
      <c r="Y108" s="34"/>
      <c r="Z108" s="34"/>
    </row>
    <row r="109" ht="15.75" customHeight="1">
      <c r="A109" s="64"/>
      <c r="B109" s="87" t="s">
        <v>72</v>
      </c>
      <c r="C109" s="61">
        <v>0.5</v>
      </c>
      <c r="D109" s="77">
        <v>0.0</v>
      </c>
      <c r="E109" s="77">
        <v>0.0</v>
      </c>
      <c r="F109" s="77">
        <f t="shared" si="5"/>
        <v>0</v>
      </c>
      <c r="G109" s="60" t="s">
        <v>146</v>
      </c>
      <c r="H109" s="60"/>
      <c r="I109" s="60"/>
      <c r="J109" s="60"/>
      <c r="K109" s="60"/>
      <c r="L109" s="60"/>
      <c r="M109" s="60"/>
      <c r="N109" s="60"/>
      <c r="O109" s="60"/>
      <c r="P109" s="38"/>
      <c r="Q109" s="38"/>
      <c r="R109" s="38"/>
      <c r="S109" s="38"/>
      <c r="T109" s="38"/>
      <c r="U109" s="38"/>
      <c r="V109" s="38"/>
      <c r="W109" s="38"/>
      <c r="X109" s="38"/>
      <c r="Y109" s="34"/>
      <c r="Z109" s="34"/>
    </row>
    <row r="110" ht="15.75" customHeight="1">
      <c r="A110" s="64"/>
      <c r="B110" s="87" t="s">
        <v>108</v>
      </c>
      <c r="C110" s="61">
        <v>0.5</v>
      </c>
      <c r="D110" s="77">
        <v>0.0</v>
      </c>
      <c r="E110" s="77">
        <v>0.0</v>
      </c>
      <c r="F110" s="77">
        <f t="shared" si="5"/>
        <v>0</v>
      </c>
      <c r="G110" s="65" t="s">
        <v>147</v>
      </c>
      <c r="H110" s="60"/>
      <c r="I110" s="60"/>
      <c r="J110" s="60"/>
      <c r="K110" s="60"/>
      <c r="L110" s="60"/>
      <c r="M110" s="60"/>
      <c r="N110" s="60"/>
      <c r="O110" s="60"/>
      <c r="P110" s="38"/>
      <c r="Q110" s="38"/>
      <c r="R110" s="38"/>
      <c r="S110" s="38"/>
      <c r="T110" s="38"/>
      <c r="U110" s="38"/>
      <c r="V110" s="38"/>
      <c r="W110" s="38"/>
      <c r="X110" s="38"/>
      <c r="Y110" s="34"/>
      <c r="Z110" s="34"/>
    </row>
    <row r="111" ht="15.75" customHeight="1">
      <c r="A111" s="64"/>
      <c r="B111" s="60" t="s">
        <v>148</v>
      </c>
      <c r="C111" s="61">
        <v>0.5</v>
      </c>
      <c r="D111" s="77">
        <v>0.0</v>
      </c>
      <c r="E111" s="77">
        <v>0.0</v>
      </c>
      <c r="F111" s="77">
        <f t="shared" si="5"/>
        <v>0</v>
      </c>
      <c r="G111" s="89" t="s">
        <v>149</v>
      </c>
      <c r="H111" s="60"/>
      <c r="I111" s="60"/>
      <c r="J111" s="60"/>
      <c r="K111" s="60"/>
      <c r="L111" s="60"/>
      <c r="M111" s="60"/>
      <c r="N111" s="60"/>
      <c r="O111" s="60"/>
      <c r="P111" s="38"/>
      <c r="Q111" s="38"/>
      <c r="R111" s="38"/>
      <c r="S111" s="38"/>
      <c r="T111" s="38"/>
      <c r="U111" s="38"/>
      <c r="V111" s="38"/>
      <c r="W111" s="38"/>
      <c r="X111" s="38"/>
      <c r="Y111" s="34"/>
      <c r="Z111" s="34"/>
    </row>
    <row r="112" ht="15.75" customHeight="1">
      <c r="A112" s="64"/>
      <c r="B112" s="87" t="s">
        <v>110</v>
      </c>
      <c r="C112" s="61">
        <v>0.5</v>
      </c>
      <c r="D112" s="77">
        <v>0.0</v>
      </c>
      <c r="E112" s="77">
        <v>0.0</v>
      </c>
      <c r="F112" s="77">
        <f t="shared" si="5"/>
        <v>0</v>
      </c>
      <c r="G112" s="89" t="s">
        <v>150</v>
      </c>
      <c r="H112" s="60"/>
      <c r="I112" s="60"/>
      <c r="J112" s="60"/>
      <c r="K112" s="60"/>
      <c r="L112" s="60"/>
      <c r="M112" s="60"/>
      <c r="N112" s="60"/>
      <c r="O112" s="60"/>
      <c r="P112" s="38"/>
      <c r="Q112" s="38"/>
      <c r="R112" s="38"/>
      <c r="S112" s="38"/>
      <c r="T112" s="38"/>
      <c r="U112" s="38"/>
      <c r="V112" s="38"/>
      <c r="W112" s="38"/>
      <c r="X112" s="38"/>
      <c r="Y112" s="34"/>
      <c r="Z112" s="34"/>
    </row>
    <row r="113" ht="15.75" customHeight="1">
      <c r="A113" s="64"/>
      <c r="B113" s="87" t="s">
        <v>151</v>
      </c>
      <c r="C113" s="61">
        <v>0.5</v>
      </c>
      <c r="D113" s="77">
        <v>0.0</v>
      </c>
      <c r="E113" s="77">
        <v>0.0</v>
      </c>
      <c r="F113" s="77">
        <f t="shared" si="5"/>
        <v>0</v>
      </c>
      <c r="G113" s="65" t="s">
        <v>152</v>
      </c>
      <c r="H113" s="60"/>
      <c r="I113" s="60"/>
      <c r="J113" s="60"/>
      <c r="K113" s="60"/>
      <c r="L113" s="60"/>
      <c r="M113" s="60"/>
      <c r="N113" s="60"/>
      <c r="O113" s="60"/>
      <c r="P113" s="38"/>
      <c r="Q113" s="38"/>
      <c r="R113" s="38"/>
      <c r="S113" s="38"/>
      <c r="T113" s="38"/>
      <c r="U113" s="38"/>
      <c r="V113" s="38"/>
      <c r="W113" s="38"/>
      <c r="X113" s="38"/>
      <c r="Y113" s="34"/>
      <c r="Z113" s="34"/>
    </row>
    <row r="114" ht="15.75" customHeight="1">
      <c r="A114" s="64"/>
      <c r="B114" s="60" t="s">
        <v>153</v>
      </c>
      <c r="C114" s="61">
        <v>0.5</v>
      </c>
      <c r="D114" s="77">
        <v>0.0</v>
      </c>
      <c r="E114" s="77">
        <v>0.0</v>
      </c>
      <c r="F114" s="77">
        <f t="shared" si="5"/>
        <v>0</v>
      </c>
      <c r="G114" s="89" t="s">
        <v>154</v>
      </c>
      <c r="H114" s="60"/>
      <c r="I114" s="60"/>
      <c r="J114" s="60"/>
      <c r="K114" s="60"/>
      <c r="L114" s="60"/>
      <c r="M114" s="60"/>
      <c r="N114" s="60"/>
      <c r="O114" s="60"/>
      <c r="P114" s="38"/>
      <c r="Q114" s="38"/>
      <c r="R114" s="38"/>
      <c r="S114" s="38"/>
      <c r="T114" s="38"/>
      <c r="U114" s="38"/>
      <c r="V114" s="38"/>
      <c r="W114" s="38"/>
      <c r="X114" s="38"/>
      <c r="Y114" s="34"/>
      <c r="Z114" s="34"/>
    </row>
    <row r="115" ht="15.75" customHeight="1">
      <c r="A115" s="64"/>
      <c r="B115" s="87" t="s">
        <v>78</v>
      </c>
      <c r="C115" s="61">
        <v>0.5</v>
      </c>
      <c r="D115" s="77">
        <v>0.0</v>
      </c>
      <c r="E115" s="77">
        <v>0.0</v>
      </c>
      <c r="F115" s="77">
        <f t="shared" si="5"/>
        <v>0</v>
      </c>
      <c r="G115" s="65" t="s">
        <v>155</v>
      </c>
      <c r="H115" s="60"/>
      <c r="I115" s="60"/>
      <c r="J115" s="60"/>
      <c r="K115" s="60"/>
      <c r="L115" s="60"/>
      <c r="M115" s="60"/>
      <c r="N115" s="60"/>
      <c r="O115" s="60"/>
      <c r="P115" s="38"/>
      <c r="Q115" s="38"/>
      <c r="R115" s="38"/>
      <c r="S115" s="38"/>
      <c r="T115" s="38"/>
      <c r="U115" s="38"/>
      <c r="V115" s="38"/>
      <c r="W115" s="38"/>
      <c r="X115" s="38"/>
      <c r="Y115" s="34"/>
      <c r="Z115" s="34"/>
    </row>
    <row r="116" ht="15.75" customHeight="1">
      <c r="A116" s="64"/>
      <c r="B116" s="87" t="s">
        <v>114</v>
      </c>
      <c r="C116" s="61">
        <v>0.5</v>
      </c>
      <c r="D116" s="77">
        <v>0.0</v>
      </c>
      <c r="E116" s="77">
        <v>0.0</v>
      </c>
      <c r="F116" s="77">
        <f t="shared" si="5"/>
        <v>0</v>
      </c>
      <c r="G116" s="91" t="s">
        <v>156</v>
      </c>
      <c r="H116" s="60"/>
      <c r="I116" s="60"/>
      <c r="J116" s="60"/>
      <c r="K116" s="60"/>
      <c r="L116" s="60"/>
      <c r="M116" s="60"/>
      <c r="N116" s="60"/>
      <c r="O116" s="60"/>
      <c r="P116" s="38"/>
      <c r="Q116" s="38"/>
      <c r="R116" s="38"/>
      <c r="S116" s="38"/>
      <c r="T116" s="38"/>
      <c r="U116" s="38"/>
      <c r="V116" s="38"/>
      <c r="W116" s="38"/>
      <c r="X116" s="38"/>
      <c r="Y116" s="34"/>
      <c r="Z116" s="34"/>
    </row>
    <row r="117" ht="15.75" customHeight="1">
      <c r="A117" s="64"/>
      <c r="B117" s="87" t="s">
        <v>80</v>
      </c>
      <c r="C117" s="61">
        <v>0.5</v>
      </c>
      <c r="D117" s="77">
        <v>0.0</v>
      </c>
      <c r="E117" s="77">
        <v>0.0</v>
      </c>
      <c r="F117" s="77">
        <f t="shared" si="5"/>
        <v>0</v>
      </c>
      <c r="G117" s="92" t="s">
        <v>157</v>
      </c>
      <c r="H117" s="60"/>
      <c r="I117" s="60"/>
      <c r="J117" s="60"/>
      <c r="K117" s="60"/>
      <c r="L117" s="60"/>
      <c r="M117" s="60"/>
      <c r="N117" s="60"/>
      <c r="O117" s="60"/>
      <c r="P117" s="38"/>
      <c r="Q117" s="38"/>
      <c r="R117" s="38"/>
      <c r="S117" s="38"/>
      <c r="T117" s="38"/>
      <c r="U117" s="38"/>
      <c r="V117" s="38"/>
      <c r="W117" s="38"/>
      <c r="X117" s="38"/>
      <c r="Y117" s="34"/>
      <c r="Z117" s="34"/>
    </row>
    <row r="118" ht="15.75" customHeight="1">
      <c r="A118" s="68"/>
      <c r="B118" s="87" t="s">
        <v>81</v>
      </c>
      <c r="C118" s="61">
        <v>0.5</v>
      </c>
      <c r="D118" s="77">
        <v>0.0</v>
      </c>
      <c r="E118" s="77">
        <v>0.0</v>
      </c>
      <c r="F118" s="77">
        <f t="shared" si="5"/>
        <v>0</v>
      </c>
      <c r="G118" s="60" t="s">
        <v>158</v>
      </c>
      <c r="H118" s="60"/>
      <c r="I118" s="60"/>
      <c r="J118" s="60"/>
      <c r="K118" s="60"/>
      <c r="L118" s="60"/>
      <c r="M118" s="60"/>
      <c r="N118" s="60"/>
      <c r="O118" s="60"/>
      <c r="P118" s="38"/>
      <c r="Q118" s="38"/>
      <c r="R118" s="38"/>
      <c r="S118" s="38"/>
      <c r="T118" s="38"/>
      <c r="U118" s="38"/>
      <c r="V118" s="38"/>
      <c r="W118" s="38"/>
      <c r="X118" s="38"/>
      <c r="Y118" s="34"/>
      <c r="Z118" s="34"/>
    </row>
    <row r="119" ht="15.75" customHeight="1">
      <c r="A119" s="38"/>
      <c r="B119" s="46"/>
      <c r="C119" s="69"/>
      <c r="D119" s="37"/>
      <c r="E119" s="37"/>
      <c r="F119" s="37"/>
      <c r="G119" s="38"/>
      <c r="H119" s="38"/>
      <c r="I119" s="38"/>
      <c r="J119" s="38"/>
      <c r="K119" s="38"/>
      <c r="L119" s="38"/>
      <c r="M119" s="38"/>
      <c r="N119" s="38"/>
      <c r="O119" s="38"/>
      <c r="P119" s="38"/>
      <c r="Q119" s="38"/>
      <c r="R119" s="38"/>
      <c r="S119" s="38"/>
      <c r="T119" s="38"/>
      <c r="U119" s="38"/>
      <c r="V119" s="38"/>
      <c r="W119" s="38"/>
      <c r="X119" s="38"/>
      <c r="Y119" s="34"/>
      <c r="Z119" s="34"/>
    </row>
    <row r="120" ht="15.75" customHeight="1">
      <c r="A120" s="70" t="s">
        <v>82</v>
      </c>
      <c r="B120" s="93"/>
      <c r="C120" s="69">
        <f t="shared" ref="C120:F120" si="6">SUM(C89:C118)</f>
        <v>15</v>
      </c>
      <c r="D120" s="72">
        <f t="shared" si="6"/>
        <v>0</v>
      </c>
      <c r="E120" s="72">
        <f t="shared" si="6"/>
        <v>0</v>
      </c>
      <c r="F120" s="84">
        <f t="shared" si="6"/>
        <v>0</v>
      </c>
      <c r="G120" s="94"/>
      <c r="H120" s="75"/>
      <c r="I120" s="75"/>
      <c r="J120" s="75"/>
      <c r="K120" s="75"/>
      <c r="L120" s="75"/>
      <c r="M120" s="75"/>
      <c r="N120" s="75"/>
      <c r="O120" s="75"/>
      <c r="P120" s="38"/>
      <c r="Q120" s="38"/>
      <c r="R120" s="38"/>
      <c r="S120" s="38"/>
      <c r="T120" s="38"/>
      <c r="U120" s="38"/>
      <c r="V120" s="38"/>
      <c r="W120" s="38"/>
      <c r="X120" s="38"/>
      <c r="Y120" s="34"/>
      <c r="Z120" s="34"/>
    </row>
    <row r="121" ht="15.75" customHeight="1">
      <c r="A121" s="38"/>
      <c r="B121" s="40"/>
      <c r="C121" s="36"/>
      <c r="D121" s="37"/>
      <c r="E121" s="37"/>
      <c r="F121" s="37"/>
      <c r="G121" s="38"/>
      <c r="H121" s="38"/>
      <c r="I121" s="38"/>
      <c r="J121" s="38"/>
      <c r="K121" s="38"/>
      <c r="L121" s="38"/>
      <c r="M121" s="38"/>
      <c r="N121" s="38"/>
      <c r="O121" s="38"/>
      <c r="P121" s="38"/>
      <c r="Q121" s="38"/>
      <c r="R121" s="38"/>
      <c r="S121" s="38"/>
      <c r="T121" s="38"/>
      <c r="U121" s="38"/>
      <c r="V121" s="38"/>
      <c r="W121" s="38"/>
      <c r="X121" s="38"/>
      <c r="Y121" s="34"/>
      <c r="Z121" s="34"/>
    </row>
    <row r="122" ht="15.75" customHeight="1">
      <c r="A122" s="52" t="s">
        <v>159</v>
      </c>
      <c r="B122" s="52"/>
      <c r="C122" s="54" t="s">
        <v>46</v>
      </c>
      <c r="D122" s="54" t="s">
        <v>21</v>
      </c>
      <c r="E122" s="54" t="s">
        <v>22</v>
      </c>
      <c r="F122" s="54" t="s">
        <v>23</v>
      </c>
      <c r="G122" s="55" t="s">
        <v>24</v>
      </c>
      <c r="H122" s="52" t="s">
        <v>84</v>
      </c>
      <c r="I122" s="52" t="s">
        <v>26</v>
      </c>
      <c r="J122" s="52" t="s">
        <v>85</v>
      </c>
      <c r="K122" s="52" t="s">
        <v>26</v>
      </c>
      <c r="L122" s="52" t="s">
        <v>28</v>
      </c>
      <c r="M122" s="57" t="s">
        <v>29</v>
      </c>
      <c r="N122" s="52" t="s">
        <v>30</v>
      </c>
      <c r="O122" s="52" t="s">
        <v>31</v>
      </c>
      <c r="P122" s="38"/>
      <c r="Q122" s="38"/>
      <c r="R122" s="38"/>
      <c r="S122" s="38"/>
      <c r="T122" s="38"/>
      <c r="U122" s="38"/>
      <c r="V122" s="38"/>
      <c r="W122" s="38"/>
      <c r="X122" s="38"/>
      <c r="Y122" s="34"/>
      <c r="Z122" s="34"/>
    </row>
    <row r="123" ht="15.75" customHeight="1">
      <c r="A123" s="95" t="s">
        <v>160</v>
      </c>
      <c r="B123" s="60" t="s">
        <v>161</v>
      </c>
      <c r="C123" s="61">
        <v>0.5</v>
      </c>
      <c r="D123" s="88">
        <v>0.0</v>
      </c>
      <c r="E123" s="77">
        <v>0.0</v>
      </c>
      <c r="F123" s="77">
        <f t="shared" ref="F123:F126" si="7">SUM(D123:E123)</f>
        <v>0</v>
      </c>
      <c r="G123" s="60" t="s">
        <v>162</v>
      </c>
      <c r="H123" s="60"/>
      <c r="I123" s="60"/>
      <c r="J123" s="60"/>
      <c r="K123" s="60"/>
      <c r="L123" s="60"/>
      <c r="M123" s="60"/>
      <c r="N123" s="60"/>
      <c r="O123" s="60"/>
      <c r="P123" s="38"/>
      <c r="Q123" s="38"/>
      <c r="R123" s="38"/>
      <c r="S123" s="38"/>
      <c r="T123" s="38"/>
      <c r="U123" s="38"/>
      <c r="V123" s="38"/>
      <c r="W123" s="38"/>
      <c r="X123" s="38"/>
      <c r="Y123" s="34"/>
      <c r="Z123" s="34"/>
    </row>
    <row r="124" ht="15.75" customHeight="1">
      <c r="A124" s="64"/>
      <c r="B124" s="60" t="s">
        <v>163</v>
      </c>
      <c r="C124" s="61">
        <v>0.5</v>
      </c>
      <c r="D124" s="77">
        <v>0.0</v>
      </c>
      <c r="E124" s="77">
        <v>0.0</v>
      </c>
      <c r="F124" s="77">
        <f t="shared" si="7"/>
        <v>0</v>
      </c>
      <c r="G124" s="65" t="s">
        <v>162</v>
      </c>
      <c r="H124" s="60"/>
      <c r="I124" s="60"/>
      <c r="J124" s="60"/>
      <c r="K124" s="60"/>
      <c r="L124" s="60"/>
      <c r="M124" s="60"/>
      <c r="N124" s="60"/>
      <c r="O124" s="60"/>
      <c r="P124" s="38"/>
      <c r="Q124" s="38"/>
      <c r="R124" s="38"/>
      <c r="S124" s="38"/>
      <c r="T124" s="38"/>
      <c r="U124" s="38"/>
      <c r="V124" s="38"/>
      <c r="W124" s="38"/>
      <c r="X124" s="38"/>
      <c r="Y124" s="34"/>
      <c r="Z124" s="34"/>
    </row>
    <row r="125" ht="15.75" customHeight="1">
      <c r="A125" s="64"/>
      <c r="B125" s="60" t="s">
        <v>164</v>
      </c>
      <c r="C125" s="61">
        <v>1.0</v>
      </c>
      <c r="D125" s="77">
        <v>0.0</v>
      </c>
      <c r="E125" s="77">
        <v>0.0</v>
      </c>
      <c r="F125" s="77">
        <f t="shared" si="7"/>
        <v>0</v>
      </c>
      <c r="G125" s="89" t="s">
        <v>165</v>
      </c>
      <c r="H125" s="60"/>
      <c r="I125" s="60"/>
      <c r="J125" s="60"/>
      <c r="K125" s="60"/>
      <c r="L125" s="60"/>
      <c r="M125" s="60"/>
      <c r="N125" s="60"/>
      <c r="O125" s="60"/>
      <c r="P125" s="38"/>
      <c r="Q125" s="38"/>
      <c r="R125" s="38"/>
      <c r="S125" s="38"/>
      <c r="T125" s="38"/>
      <c r="U125" s="38"/>
      <c r="V125" s="38"/>
      <c r="W125" s="38"/>
      <c r="X125" s="38"/>
      <c r="Y125" s="34"/>
      <c r="Z125" s="34"/>
    </row>
    <row r="126" ht="88.5" customHeight="1">
      <c r="A126" s="68"/>
      <c r="B126" s="60" t="s">
        <v>166</v>
      </c>
      <c r="C126" s="61">
        <v>1.0</v>
      </c>
      <c r="D126" s="77">
        <v>0.0</v>
      </c>
      <c r="E126" s="77">
        <v>0.0</v>
      </c>
      <c r="F126" s="77">
        <f t="shared" si="7"/>
        <v>0</v>
      </c>
      <c r="G126" s="96" t="s">
        <v>167</v>
      </c>
      <c r="H126" s="60"/>
      <c r="I126" s="60"/>
      <c r="J126" s="60"/>
      <c r="K126" s="60"/>
      <c r="L126" s="60"/>
      <c r="M126" s="60"/>
      <c r="N126" s="60"/>
      <c r="O126" s="60"/>
      <c r="P126" s="38"/>
      <c r="Q126" s="38"/>
      <c r="R126" s="38"/>
      <c r="S126" s="38"/>
      <c r="T126" s="38"/>
      <c r="U126" s="38"/>
      <c r="V126" s="38"/>
      <c r="W126" s="38"/>
      <c r="X126" s="38"/>
      <c r="Y126" s="34"/>
      <c r="Z126" s="34"/>
    </row>
    <row r="127" ht="15.75" customHeight="1">
      <c r="A127" s="38"/>
      <c r="B127" s="40"/>
      <c r="C127" s="69"/>
      <c r="D127" s="37"/>
      <c r="E127" s="37"/>
      <c r="F127" s="37"/>
      <c r="G127" s="38"/>
      <c r="H127" s="38"/>
      <c r="I127" s="38"/>
      <c r="J127" s="38"/>
      <c r="K127" s="38"/>
      <c r="L127" s="38"/>
      <c r="M127" s="38"/>
      <c r="N127" s="38"/>
      <c r="O127" s="38"/>
      <c r="P127" s="38"/>
      <c r="Q127" s="38"/>
      <c r="R127" s="38"/>
      <c r="S127" s="38"/>
      <c r="T127" s="38"/>
      <c r="U127" s="38"/>
      <c r="V127" s="38"/>
      <c r="W127" s="38"/>
      <c r="X127" s="38"/>
      <c r="Y127" s="34"/>
      <c r="Z127" s="34"/>
    </row>
    <row r="128" ht="15.75" customHeight="1">
      <c r="A128" s="70" t="s">
        <v>82</v>
      </c>
      <c r="B128" s="93"/>
      <c r="C128" s="69">
        <f t="shared" ref="C128:F128" si="8">SUM(C123:C126)</f>
        <v>3</v>
      </c>
      <c r="D128" s="72">
        <f t="shared" si="8"/>
        <v>0</v>
      </c>
      <c r="E128" s="72">
        <f t="shared" si="8"/>
        <v>0</v>
      </c>
      <c r="F128" s="72">
        <f t="shared" si="8"/>
        <v>0</v>
      </c>
      <c r="G128" s="97"/>
      <c r="H128" s="94"/>
      <c r="I128" s="75"/>
      <c r="J128" s="75"/>
      <c r="K128" s="75"/>
      <c r="L128" s="75"/>
      <c r="M128" s="75"/>
      <c r="N128" s="75"/>
      <c r="O128" s="75"/>
      <c r="P128" s="38"/>
      <c r="Q128" s="38"/>
      <c r="R128" s="38"/>
      <c r="S128" s="38"/>
      <c r="T128" s="38"/>
      <c r="U128" s="38"/>
      <c r="V128" s="38"/>
      <c r="W128" s="38"/>
      <c r="X128" s="38"/>
      <c r="Y128" s="34"/>
      <c r="Z128" s="34"/>
    </row>
    <row r="129" ht="15.75" customHeight="1">
      <c r="A129" s="70"/>
      <c r="B129" s="46"/>
      <c r="C129" s="36"/>
      <c r="D129" s="36"/>
      <c r="E129" s="36"/>
      <c r="F129" s="36"/>
      <c r="G129" s="41"/>
      <c r="H129" s="38"/>
      <c r="I129" s="38"/>
      <c r="J129" s="38"/>
      <c r="K129" s="38"/>
      <c r="L129" s="38"/>
      <c r="M129" s="38"/>
      <c r="N129" s="38"/>
      <c r="O129" s="38"/>
      <c r="P129" s="38"/>
      <c r="Q129" s="38"/>
      <c r="R129" s="38"/>
      <c r="S129" s="38"/>
      <c r="T129" s="38"/>
      <c r="U129" s="38"/>
      <c r="V129" s="38"/>
      <c r="W129" s="38"/>
      <c r="X129" s="38"/>
      <c r="Y129" s="34"/>
      <c r="Z129" s="34"/>
    </row>
    <row r="130" ht="15.75" customHeight="1">
      <c r="A130" s="98" t="s">
        <v>168</v>
      </c>
      <c r="B130" s="58"/>
      <c r="C130" s="36"/>
      <c r="D130" s="37"/>
      <c r="E130" s="37"/>
      <c r="F130" s="37"/>
      <c r="G130" s="38"/>
      <c r="H130" s="38"/>
      <c r="I130" s="38"/>
      <c r="J130" s="38"/>
      <c r="K130" s="38"/>
      <c r="L130" s="38"/>
      <c r="M130" s="38"/>
      <c r="N130" s="38"/>
      <c r="O130" s="38"/>
      <c r="P130" s="38"/>
      <c r="Q130" s="38"/>
      <c r="R130" s="38"/>
      <c r="S130" s="38"/>
      <c r="T130" s="38"/>
      <c r="U130" s="38"/>
      <c r="V130" s="38"/>
      <c r="W130" s="38"/>
      <c r="X130" s="38"/>
      <c r="Y130" s="34"/>
      <c r="Z130" s="34"/>
    </row>
    <row r="131" ht="15.75" customHeight="1">
      <c r="A131" s="60"/>
      <c r="B131" s="60" t="s">
        <v>169</v>
      </c>
      <c r="C131" s="99">
        <v>1.0</v>
      </c>
      <c r="D131" s="88">
        <v>0.0</v>
      </c>
      <c r="E131" s="77">
        <v>0.0</v>
      </c>
      <c r="F131" s="77">
        <f>SUM(D131:E131)</f>
        <v>0</v>
      </c>
      <c r="G131" s="100" t="s">
        <v>170</v>
      </c>
      <c r="H131" s="60"/>
      <c r="I131" s="60"/>
      <c r="J131" s="60"/>
      <c r="K131" s="60"/>
      <c r="L131" s="60"/>
      <c r="M131" s="60"/>
      <c r="N131" s="60"/>
      <c r="O131" s="60"/>
      <c r="P131" s="38"/>
      <c r="Q131" s="38"/>
      <c r="R131" s="38"/>
      <c r="S131" s="38"/>
      <c r="T131" s="38"/>
      <c r="U131" s="38"/>
      <c r="V131" s="38"/>
      <c r="W131" s="38"/>
      <c r="X131" s="38"/>
      <c r="Y131" s="34"/>
      <c r="Z131" s="34"/>
    </row>
    <row r="132" ht="15.75" customHeight="1">
      <c r="A132" s="38"/>
      <c r="B132" s="40"/>
      <c r="C132" s="101"/>
      <c r="D132" s="37"/>
      <c r="E132" s="37"/>
      <c r="F132" s="37"/>
      <c r="G132" s="38"/>
      <c r="H132" s="38"/>
      <c r="I132" s="38"/>
      <c r="J132" s="38"/>
      <c r="K132" s="38"/>
      <c r="L132" s="38"/>
      <c r="M132" s="38"/>
      <c r="N132" s="38"/>
      <c r="O132" s="38"/>
      <c r="P132" s="38"/>
      <c r="Q132" s="38"/>
      <c r="R132" s="38"/>
      <c r="S132" s="38"/>
      <c r="T132" s="38"/>
      <c r="U132" s="38"/>
      <c r="V132" s="38"/>
      <c r="W132" s="38"/>
      <c r="X132" s="38"/>
      <c r="Y132" s="34"/>
      <c r="Z132" s="34"/>
    </row>
    <row r="133" ht="15.75" customHeight="1">
      <c r="A133" s="70" t="s">
        <v>82</v>
      </c>
      <c r="B133" s="93"/>
      <c r="C133" s="101">
        <f t="shared" ref="C133:F133" si="9">SUM(C131)</f>
        <v>1</v>
      </c>
      <c r="D133" s="102">
        <f t="shared" si="9"/>
        <v>0</v>
      </c>
      <c r="E133" s="102">
        <f t="shared" si="9"/>
        <v>0</v>
      </c>
      <c r="F133" s="103">
        <f t="shared" si="9"/>
        <v>0</v>
      </c>
      <c r="G133" s="104"/>
      <c r="H133" s="94"/>
      <c r="I133" s="75"/>
      <c r="J133" s="75"/>
      <c r="K133" s="75"/>
      <c r="L133" s="75"/>
      <c r="M133" s="75"/>
      <c r="N133" s="75"/>
      <c r="O133" s="75"/>
      <c r="P133" s="38"/>
      <c r="Q133" s="38"/>
      <c r="R133" s="38"/>
      <c r="S133" s="38"/>
      <c r="T133" s="38"/>
      <c r="U133" s="38"/>
      <c r="V133" s="38"/>
      <c r="W133" s="38"/>
      <c r="X133" s="38"/>
      <c r="Y133" s="34"/>
      <c r="Z133" s="34"/>
    </row>
    <row r="134" ht="15.75" customHeight="1">
      <c r="A134" s="70"/>
      <c r="B134" s="46"/>
      <c r="C134" s="36"/>
      <c r="D134" s="36"/>
      <c r="E134" s="36"/>
      <c r="F134" s="36"/>
      <c r="G134" s="41"/>
      <c r="H134" s="38"/>
      <c r="I134" s="38"/>
      <c r="J134" s="38"/>
      <c r="K134" s="38"/>
      <c r="L134" s="38"/>
      <c r="M134" s="38"/>
      <c r="N134" s="38"/>
      <c r="O134" s="38"/>
      <c r="P134" s="39"/>
      <c r="Q134" s="39"/>
      <c r="R134" s="39"/>
      <c r="S134" s="39"/>
      <c r="T134" s="39"/>
      <c r="U134" s="39"/>
      <c r="V134" s="39"/>
      <c r="W134" s="39"/>
      <c r="X134" s="39"/>
      <c r="Y134" s="34"/>
      <c r="Z134" s="34"/>
    </row>
    <row r="135" ht="15.75" customHeight="1">
      <c r="A135" s="105" t="s">
        <v>171</v>
      </c>
      <c r="B135" s="93"/>
      <c r="C135" s="101">
        <f t="shared" ref="C135:F135" si="10">SUM(C53+C86+C120+C128+C133)</f>
        <v>33</v>
      </c>
      <c r="D135" s="102">
        <f t="shared" si="10"/>
        <v>0</v>
      </c>
      <c r="E135" s="102">
        <f t="shared" si="10"/>
        <v>0</v>
      </c>
      <c r="F135" s="102">
        <f t="shared" si="10"/>
        <v>0</v>
      </c>
      <c r="G135" s="104"/>
      <c r="H135" s="106"/>
      <c r="I135" s="107"/>
      <c r="J135" s="107"/>
      <c r="K135" s="107"/>
      <c r="L135" s="107"/>
      <c r="M135" s="107"/>
      <c r="N135" s="107"/>
      <c r="O135" s="107"/>
      <c r="P135" s="39"/>
      <c r="Q135" s="39"/>
      <c r="R135" s="39"/>
      <c r="S135" s="39"/>
      <c r="T135" s="39"/>
      <c r="U135" s="39"/>
      <c r="V135" s="39"/>
      <c r="W135" s="39"/>
      <c r="X135" s="39"/>
      <c r="Y135" s="34"/>
      <c r="Z135" s="34"/>
    </row>
    <row r="136" ht="15.75" customHeight="1">
      <c r="A136" s="70"/>
      <c r="B136" s="46"/>
      <c r="C136" s="36"/>
      <c r="D136" s="36"/>
      <c r="E136" s="36"/>
      <c r="F136" s="36"/>
      <c r="G136" s="41"/>
      <c r="H136" s="41"/>
      <c r="I136" s="38"/>
      <c r="J136" s="38"/>
      <c r="K136" s="38"/>
      <c r="L136" s="38"/>
      <c r="M136" s="38"/>
      <c r="N136" s="38"/>
      <c r="O136" s="38"/>
      <c r="P136" s="39"/>
      <c r="Q136" s="39"/>
      <c r="R136" s="39"/>
      <c r="S136" s="39"/>
      <c r="T136" s="39"/>
      <c r="U136" s="39"/>
      <c r="V136" s="39"/>
      <c r="W136" s="39"/>
      <c r="X136" s="39"/>
      <c r="Y136" s="34"/>
      <c r="Z136" s="34"/>
    </row>
    <row r="137" ht="15.75" customHeight="1">
      <c r="A137" s="108" t="s">
        <v>172</v>
      </c>
      <c r="B137" s="108"/>
      <c r="C137" s="109" t="s">
        <v>46</v>
      </c>
      <c r="D137" s="109" t="s">
        <v>21</v>
      </c>
      <c r="E137" s="109" t="s">
        <v>22</v>
      </c>
      <c r="F137" s="109" t="s">
        <v>23</v>
      </c>
      <c r="G137" s="108" t="s">
        <v>24</v>
      </c>
      <c r="H137" s="108" t="s">
        <v>25</v>
      </c>
      <c r="I137" s="108" t="s">
        <v>26</v>
      </c>
      <c r="J137" s="108" t="s">
        <v>27</v>
      </c>
      <c r="K137" s="108" t="s">
        <v>26</v>
      </c>
      <c r="L137" s="108" t="s">
        <v>28</v>
      </c>
      <c r="M137" s="110" t="s">
        <v>29</v>
      </c>
      <c r="N137" s="108" t="s">
        <v>30</v>
      </c>
      <c r="O137" s="108" t="s">
        <v>31</v>
      </c>
      <c r="P137" s="39"/>
      <c r="Q137" s="39"/>
      <c r="R137" s="39"/>
      <c r="S137" s="39"/>
      <c r="T137" s="39"/>
      <c r="U137" s="39"/>
      <c r="V137" s="39"/>
      <c r="W137" s="39"/>
      <c r="X137" s="39"/>
      <c r="Y137" s="34"/>
      <c r="Z137" s="34"/>
    </row>
    <row r="138" ht="15.75" customHeight="1">
      <c r="A138" s="38"/>
      <c r="B138" s="38"/>
      <c r="C138" s="36"/>
      <c r="D138" s="37"/>
      <c r="E138" s="37"/>
      <c r="F138" s="37"/>
      <c r="G138" s="38"/>
      <c r="H138" s="38"/>
      <c r="I138" s="38"/>
      <c r="J138" s="38"/>
      <c r="K138" s="38"/>
      <c r="L138" s="38"/>
      <c r="M138" s="38"/>
      <c r="N138" s="38"/>
      <c r="O138" s="38"/>
      <c r="P138" s="39"/>
      <c r="Q138" s="39"/>
      <c r="R138" s="39"/>
      <c r="S138" s="39"/>
      <c r="T138" s="39"/>
      <c r="U138" s="39"/>
      <c r="V138" s="39"/>
      <c r="W138" s="39"/>
      <c r="X138" s="39"/>
      <c r="Y138" s="34"/>
      <c r="Z138" s="34"/>
    </row>
    <row r="139" ht="15.75" customHeight="1">
      <c r="A139" s="111" t="s">
        <v>173</v>
      </c>
      <c r="B139" s="41"/>
      <c r="C139" s="36"/>
      <c r="D139" s="37"/>
      <c r="E139" s="37"/>
      <c r="F139" s="37"/>
      <c r="G139" s="38"/>
      <c r="H139" s="38"/>
      <c r="I139" s="38"/>
      <c r="J139" s="38"/>
      <c r="K139" s="38"/>
      <c r="L139" s="38"/>
      <c r="M139" s="38"/>
      <c r="N139" s="38"/>
      <c r="O139" s="38"/>
      <c r="P139" s="39"/>
      <c r="Q139" s="39"/>
      <c r="R139" s="39"/>
      <c r="S139" s="39"/>
      <c r="T139" s="39"/>
      <c r="U139" s="39"/>
      <c r="V139" s="39"/>
      <c r="W139" s="39"/>
      <c r="X139" s="39"/>
      <c r="Y139" s="34"/>
      <c r="Z139" s="34"/>
    </row>
    <row r="140" ht="15.75" customHeight="1">
      <c r="A140" s="60"/>
      <c r="B140" s="60" t="s">
        <v>174</v>
      </c>
      <c r="C140" s="112">
        <v>1.0</v>
      </c>
      <c r="D140" s="88">
        <v>0.0</v>
      </c>
      <c r="E140" s="77">
        <v>0.0</v>
      </c>
      <c r="F140" s="77">
        <f>SUM(D140:E140)</f>
        <v>0</v>
      </c>
      <c r="G140" s="60"/>
      <c r="H140" s="60"/>
      <c r="I140" s="60"/>
      <c r="J140" s="60"/>
      <c r="K140" s="60"/>
      <c r="L140" s="60"/>
      <c r="M140" s="60"/>
      <c r="N140" s="60"/>
      <c r="O140" s="60"/>
      <c r="P140" s="39"/>
      <c r="Q140" s="39"/>
      <c r="R140" s="39"/>
      <c r="S140" s="39"/>
      <c r="T140" s="39"/>
      <c r="U140" s="39"/>
      <c r="V140" s="39"/>
      <c r="W140" s="39"/>
      <c r="X140" s="39"/>
      <c r="Y140" s="34"/>
      <c r="Z140" s="34"/>
    </row>
    <row r="141" ht="15.75" customHeight="1">
      <c r="A141" s="38"/>
      <c r="B141" s="46"/>
      <c r="C141" s="113"/>
      <c r="D141" s="37"/>
      <c r="E141" s="37"/>
      <c r="F141" s="37"/>
      <c r="G141" s="38"/>
      <c r="H141" s="38"/>
      <c r="I141" s="114"/>
      <c r="J141" s="76"/>
      <c r="K141" s="76"/>
      <c r="L141" s="76"/>
      <c r="M141" s="115"/>
      <c r="N141" s="115"/>
      <c r="O141" s="38"/>
      <c r="P141" s="38"/>
      <c r="Q141" s="38"/>
      <c r="R141" s="38"/>
      <c r="S141" s="38"/>
      <c r="T141" s="38"/>
      <c r="U141" s="38"/>
      <c r="V141" s="38"/>
      <c r="W141" s="38"/>
      <c r="X141" s="38"/>
      <c r="Y141" s="34"/>
      <c r="Z141" s="34"/>
    </row>
    <row r="142" ht="15.75" customHeight="1">
      <c r="A142" s="70" t="s">
        <v>82</v>
      </c>
      <c r="B142" s="116"/>
      <c r="C142" s="117">
        <f t="shared" ref="C142:F142" si="11">SUM(C140)</f>
        <v>1</v>
      </c>
      <c r="D142" s="118">
        <f t="shared" si="11"/>
        <v>0</v>
      </c>
      <c r="E142" s="119">
        <f t="shared" si="11"/>
        <v>0</v>
      </c>
      <c r="F142" s="120">
        <f t="shared" si="11"/>
        <v>0</v>
      </c>
      <c r="G142" s="121"/>
      <c r="H142" s="122"/>
      <c r="I142" s="122"/>
      <c r="J142" s="122"/>
      <c r="K142" s="122"/>
      <c r="L142" s="122"/>
      <c r="M142" s="122"/>
      <c r="N142" s="122"/>
      <c r="O142" s="122"/>
      <c r="P142" s="38"/>
      <c r="Q142" s="38"/>
      <c r="R142" s="38"/>
      <c r="S142" s="38"/>
      <c r="T142" s="38"/>
      <c r="U142" s="38"/>
      <c r="V142" s="38"/>
      <c r="W142" s="38"/>
      <c r="X142" s="38"/>
      <c r="Y142" s="34"/>
      <c r="Z142" s="34"/>
    </row>
    <row r="143" ht="15.75" customHeight="1">
      <c r="A143" s="38"/>
      <c r="B143" s="40"/>
      <c r="C143" s="36"/>
      <c r="D143" s="37"/>
      <c r="E143" s="37"/>
      <c r="F143" s="37"/>
      <c r="G143" s="38"/>
      <c r="H143" s="38"/>
      <c r="I143" s="38"/>
      <c r="J143" s="38"/>
      <c r="K143" s="38"/>
      <c r="L143" s="38"/>
      <c r="M143" s="38"/>
      <c r="N143" s="38"/>
      <c r="O143" s="38"/>
      <c r="P143" s="38"/>
      <c r="Q143" s="38"/>
      <c r="R143" s="38"/>
      <c r="S143" s="38"/>
      <c r="T143" s="38"/>
      <c r="U143" s="38"/>
      <c r="V143" s="38"/>
      <c r="W143" s="38"/>
      <c r="X143" s="38"/>
      <c r="Y143" s="34"/>
      <c r="Z143" s="34"/>
    </row>
    <row r="144" ht="15.75" customHeight="1">
      <c r="A144" s="108" t="s">
        <v>175</v>
      </c>
      <c r="B144" s="58"/>
      <c r="C144" s="36"/>
      <c r="D144" s="37"/>
      <c r="E144" s="37"/>
      <c r="F144" s="37"/>
      <c r="G144" s="38"/>
      <c r="H144" s="38"/>
      <c r="I144" s="38"/>
      <c r="J144" s="38"/>
      <c r="K144" s="38"/>
      <c r="L144" s="38"/>
      <c r="M144" s="38"/>
      <c r="N144" s="38"/>
      <c r="O144" s="38"/>
      <c r="P144" s="38"/>
      <c r="Q144" s="38"/>
      <c r="R144" s="38"/>
      <c r="S144" s="38"/>
      <c r="T144" s="38"/>
      <c r="U144" s="38"/>
      <c r="V144" s="38"/>
      <c r="W144" s="38"/>
      <c r="X144" s="38"/>
      <c r="Y144" s="34"/>
      <c r="Z144" s="34"/>
    </row>
    <row r="145" ht="15.75" customHeight="1">
      <c r="A145" s="123"/>
      <c r="B145" s="65" t="s">
        <v>176</v>
      </c>
      <c r="C145" s="112">
        <v>1.0</v>
      </c>
      <c r="D145" s="88">
        <v>0.0</v>
      </c>
      <c r="E145" s="77">
        <v>0.0</v>
      </c>
      <c r="F145" s="77">
        <f t="shared" ref="F145:F147" si="12">SUM(D145:E145)</f>
        <v>0</v>
      </c>
      <c r="G145" s="60" t="s">
        <v>177</v>
      </c>
      <c r="H145" s="60"/>
      <c r="I145" s="60"/>
      <c r="J145" s="60"/>
      <c r="K145" s="60"/>
      <c r="L145" s="60"/>
      <c r="M145" s="60"/>
      <c r="N145" s="60"/>
      <c r="O145" s="60"/>
      <c r="P145" s="38"/>
      <c r="Q145" s="38"/>
      <c r="R145" s="38"/>
      <c r="S145" s="38"/>
      <c r="T145" s="38"/>
      <c r="U145" s="38"/>
      <c r="V145" s="38"/>
      <c r="W145" s="38"/>
      <c r="X145" s="38"/>
      <c r="Y145" s="34"/>
      <c r="Z145" s="34"/>
    </row>
    <row r="146" ht="15.75" customHeight="1">
      <c r="A146" s="64"/>
      <c r="B146" s="60" t="s">
        <v>178</v>
      </c>
      <c r="C146" s="112">
        <v>1.0</v>
      </c>
      <c r="D146" s="77">
        <v>0.0</v>
      </c>
      <c r="E146" s="77">
        <v>0.0</v>
      </c>
      <c r="F146" s="77">
        <f t="shared" si="12"/>
        <v>0</v>
      </c>
      <c r="G146" s="60" t="s">
        <v>179</v>
      </c>
      <c r="H146" s="60"/>
      <c r="I146" s="60"/>
      <c r="J146" s="60"/>
      <c r="K146" s="60"/>
      <c r="L146" s="60"/>
      <c r="M146" s="60"/>
      <c r="N146" s="60"/>
      <c r="O146" s="60"/>
      <c r="P146" s="38"/>
      <c r="Q146" s="38"/>
      <c r="R146" s="38"/>
      <c r="S146" s="38"/>
      <c r="T146" s="38"/>
      <c r="U146" s="38"/>
      <c r="V146" s="38"/>
      <c r="W146" s="38"/>
      <c r="X146" s="38"/>
      <c r="Y146" s="34"/>
      <c r="Z146" s="34"/>
    </row>
    <row r="147" ht="15.75" customHeight="1">
      <c r="A147" s="68"/>
      <c r="B147" s="60" t="s">
        <v>180</v>
      </c>
      <c r="C147" s="112">
        <v>1.0</v>
      </c>
      <c r="D147" s="77">
        <v>0.0</v>
      </c>
      <c r="E147" s="77">
        <v>0.0</v>
      </c>
      <c r="F147" s="77">
        <f t="shared" si="12"/>
        <v>0</v>
      </c>
      <c r="G147" s="65" t="s">
        <v>181</v>
      </c>
      <c r="H147" s="60"/>
      <c r="I147" s="60"/>
      <c r="J147" s="60"/>
      <c r="K147" s="60"/>
      <c r="L147" s="60"/>
      <c r="M147" s="60"/>
      <c r="N147" s="60"/>
      <c r="O147" s="60"/>
      <c r="P147" s="38"/>
      <c r="Q147" s="38"/>
      <c r="R147" s="38"/>
      <c r="S147" s="38"/>
      <c r="T147" s="38"/>
      <c r="U147" s="38"/>
      <c r="V147" s="38"/>
      <c r="W147" s="38"/>
      <c r="X147" s="38"/>
      <c r="Y147" s="34"/>
      <c r="Z147" s="34"/>
    </row>
    <row r="148" ht="15.75" customHeight="1">
      <c r="A148" s="38" t="s">
        <v>43</v>
      </c>
      <c r="B148" s="46"/>
      <c r="C148" s="117"/>
      <c r="D148" s="37"/>
      <c r="E148" s="37"/>
      <c r="F148" s="37"/>
      <c r="G148" s="38"/>
      <c r="H148" s="38"/>
      <c r="I148" s="38"/>
      <c r="J148" s="38"/>
      <c r="K148" s="38"/>
      <c r="L148" s="38"/>
      <c r="M148" s="38"/>
      <c r="N148" s="38"/>
      <c r="O148" s="38"/>
      <c r="P148" s="38"/>
      <c r="Q148" s="38"/>
      <c r="R148" s="38"/>
      <c r="S148" s="38"/>
      <c r="T148" s="38"/>
      <c r="U148" s="38"/>
      <c r="V148" s="38"/>
      <c r="W148" s="38"/>
      <c r="X148" s="38"/>
      <c r="Y148" s="34"/>
      <c r="Z148" s="34"/>
    </row>
    <row r="149" ht="15.75" customHeight="1">
      <c r="A149" s="70" t="s">
        <v>82</v>
      </c>
      <c r="B149" s="116"/>
      <c r="C149" s="117">
        <f t="shared" ref="C149:F149" si="13">SUM(C145:C147)</f>
        <v>3</v>
      </c>
      <c r="D149" s="118">
        <f t="shared" si="13"/>
        <v>0</v>
      </c>
      <c r="E149" s="118">
        <f t="shared" si="13"/>
        <v>0</v>
      </c>
      <c r="F149" s="118">
        <f t="shared" si="13"/>
        <v>0</v>
      </c>
      <c r="G149" s="124"/>
      <c r="H149" s="122"/>
      <c r="I149" s="122"/>
      <c r="J149" s="122"/>
      <c r="K149" s="122"/>
      <c r="L149" s="122"/>
      <c r="M149" s="122"/>
      <c r="N149" s="122"/>
      <c r="O149" s="122"/>
      <c r="P149" s="38"/>
      <c r="Q149" s="38"/>
      <c r="R149" s="38"/>
      <c r="S149" s="38"/>
      <c r="T149" s="38"/>
      <c r="U149" s="38"/>
      <c r="V149" s="38"/>
      <c r="W149" s="38"/>
      <c r="X149" s="38"/>
      <c r="Y149" s="34"/>
      <c r="Z149" s="34"/>
    </row>
    <row r="150" ht="15.75" customHeight="1">
      <c r="A150" s="38"/>
      <c r="B150" s="40"/>
      <c r="C150" s="36"/>
      <c r="D150" s="37"/>
      <c r="E150" s="37"/>
      <c r="F150" s="37"/>
      <c r="G150" s="34"/>
      <c r="H150" s="38"/>
      <c r="I150" s="38"/>
      <c r="J150" s="38"/>
      <c r="K150" s="38"/>
      <c r="L150" s="38"/>
      <c r="M150" s="38"/>
      <c r="N150" s="38"/>
      <c r="O150" s="38"/>
      <c r="P150" s="38"/>
      <c r="Q150" s="38"/>
      <c r="R150" s="38"/>
      <c r="S150" s="38"/>
      <c r="T150" s="38"/>
      <c r="U150" s="38"/>
      <c r="V150" s="38"/>
      <c r="W150" s="38"/>
      <c r="X150" s="38"/>
      <c r="Y150" s="34"/>
      <c r="Z150" s="34"/>
    </row>
    <row r="151" ht="15.75" customHeight="1">
      <c r="A151" s="109" t="s">
        <v>182</v>
      </c>
      <c r="B151" s="108"/>
      <c r="C151" s="109" t="s">
        <v>46</v>
      </c>
      <c r="D151" s="109" t="s">
        <v>21</v>
      </c>
      <c r="E151" s="109" t="s">
        <v>22</v>
      </c>
      <c r="F151" s="109" t="s">
        <v>23</v>
      </c>
      <c r="G151" s="110" t="s">
        <v>24</v>
      </c>
      <c r="H151" s="108" t="s">
        <v>25</v>
      </c>
      <c r="I151" s="108" t="s">
        <v>26</v>
      </c>
      <c r="J151" s="108" t="s">
        <v>85</v>
      </c>
      <c r="K151" s="108" t="s">
        <v>26</v>
      </c>
      <c r="L151" s="108" t="s">
        <v>28</v>
      </c>
      <c r="M151" s="110" t="s">
        <v>29</v>
      </c>
      <c r="N151" s="108" t="s">
        <v>30</v>
      </c>
      <c r="O151" s="108" t="s">
        <v>31</v>
      </c>
      <c r="P151" s="38"/>
      <c r="Q151" s="38"/>
      <c r="R151" s="38"/>
      <c r="S151" s="38"/>
      <c r="T151" s="38"/>
      <c r="U151" s="38"/>
      <c r="V151" s="38"/>
      <c r="W151" s="38"/>
      <c r="X151" s="38"/>
      <c r="Y151" s="34"/>
      <c r="Z151" s="34"/>
    </row>
    <row r="152" ht="145.5" customHeight="1">
      <c r="A152" s="60" t="s">
        <v>43</v>
      </c>
      <c r="B152" s="65" t="s">
        <v>183</v>
      </c>
      <c r="C152" s="112">
        <v>1.0</v>
      </c>
      <c r="D152" s="88">
        <v>0.0</v>
      </c>
      <c r="E152" s="77">
        <v>0.0</v>
      </c>
      <c r="F152" s="77">
        <f>SUM(D152:E152)</f>
        <v>0</v>
      </c>
      <c r="G152" s="125" t="s">
        <v>184</v>
      </c>
      <c r="H152" s="60"/>
      <c r="I152" s="60"/>
      <c r="J152" s="60"/>
      <c r="K152" s="60"/>
      <c r="L152" s="60"/>
      <c r="M152" s="60"/>
      <c r="N152" s="60"/>
      <c r="O152" s="60"/>
      <c r="P152" s="126"/>
      <c r="Q152" s="126"/>
      <c r="R152" s="126"/>
      <c r="S152" s="126"/>
      <c r="T152" s="126"/>
      <c r="U152" s="126"/>
      <c r="V152" s="126"/>
      <c r="W152" s="126"/>
      <c r="X152" s="126"/>
      <c r="Y152" s="34"/>
      <c r="Z152" s="34"/>
    </row>
    <row r="153" ht="15.75" customHeight="1">
      <c r="A153" s="70" t="s">
        <v>82</v>
      </c>
      <c r="B153" s="116"/>
      <c r="C153" s="113">
        <f t="shared" ref="C153:F153" si="14">SUM(C152)</f>
        <v>1</v>
      </c>
      <c r="D153" s="127">
        <f t="shared" si="14"/>
        <v>0</v>
      </c>
      <c r="E153" s="127">
        <f t="shared" si="14"/>
        <v>0</v>
      </c>
      <c r="F153" s="128">
        <f t="shared" si="14"/>
        <v>0</v>
      </c>
      <c r="G153" s="129"/>
      <c r="H153" s="122"/>
      <c r="I153" s="122"/>
      <c r="J153" s="122"/>
      <c r="K153" s="122"/>
      <c r="L153" s="122"/>
      <c r="M153" s="122"/>
      <c r="N153" s="122"/>
      <c r="O153" s="122"/>
      <c r="P153" s="126"/>
      <c r="Q153" s="126"/>
      <c r="R153" s="126"/>
      <c r="S153" s="126"/>
      <c r="T153" s="126"/>
      <c r="U153" s="126"/>
      <c r="V153" s="126"/>
      <c r="W153" s="126"/>
      <c r="X153" s="126"/>
      <c r="Y153" s="34"/>
      <c r="Z153" s="34"/>
    </row>
    <row r="154" ht="15.75" customHeight="1">
      <c r="A154" s="41"/>
      <c r="B154" s="46"/>
      <c r="C154" s="36"/>
      <c r="D154" s="37"/>
      <c r="E154" s="37"/>
      <c r="F154" s="37"/>
      <c r="G154" s="38"/>
      <c r="H154" s="38"/>
      <c r="I154" s="38"/>
      <c r="J154" s="38"/>
      <c r="K154" s="38"/>
      <c r="L154" s="38"/>
      <c r="M154" s="38"/>
      <c r="N154" s="38"/>
      <c r="O154" s="38"/>
      <c r="P154" s="126"/>
      <c r="Q154" s="126"/>
      <c r="R154" s="126"/>
      <c r="S154" s="126"/>
      <c r="T154" s="126"/>
      <c r="U154" s="126"/>
      <c r="V154" s="126"/>
      <c r="W154" s="126"/>
      <c r="X154" s="126"/>
      <c r="Y154" s="34"/>
      <c r="Z154" s="34"/>
    </row>
    <row r="155" ht="15.75" customHeight="1">
      <c r="A155" s="108" t="s">
        <v>185</v>
      </c>
      <c r="B155" s="108"/>
      <c r="C155" s="109" t="s">
        <v>46</v>
      </c>
      <c r="D155" s="109" t="s">
        <v>21</v>
      </c>
      <c r="E155" s="109" t="s">
        <v>22</v>
      </c>
      <c r="F155" s="109" t="s">
        <v>23</v>
      </c>
      <c r="G155" s="110" t="s">
        <v>24</v>
      </c>
      <c r="H155" s="108" t="s">
        <v>84</v>
      </c>
      <c r="I155" s="108" t="s">
        <v>26</v>
      </c>
      <c r="J155" s="108" t="s">
        <v>85</v>
      </c>
      <c r="K155" s="108" t="s">
        <v>26</v>
      </c>
      <c r="L155" s="108" t="s">
        <v>28</v>
      </c>
      <c r="M155" s="110" t="s">
        <v>29</v>
      </c>
      <c r="N155" s="108" t="s">
        <v>30</v>
      </c>
      <c r="O155" s="108" t="s">
        <v>31</v>
      </c>
      <c r="P155" s="126"/>
      <c r="Q155" s="126"/>
      <c r="R155" s="126"/>
      <c r="S155" s="126"/>
      <c r="T155" s="126"/>
      <c r="U155" s="126"/>
      <c r="V155" s="126"/>
      <c r="W155" s="126"/>
      <c r="X155" s="126"/>
      <c r="Y155" s="34"/>
      <c r="Z155" s="34"/>
    </row>
    <row r="156" ht="103.5" customHeight="1">
      <c r="A156" s="76"/>
      <c r="B156" s="65" t="s">
        <v>186</v>
      </c>
      <c r="C156" s="112">
        <v>1.0</v>
      </c>
      <c r="D156" s="88">
        <v>0.0</v>
      </c>
      <c r="E156" s="77">
        <v>0.0</v>
      </c>
      <c r="F156" s="77">
        <f t="shared" ref="F156:F159" si="15">SUM(D156:E156)</f>
        <v>0</v>
      </c>
      <c r="G156" s="60" t="s">
        <v>187</v>
      </c>
      <c r="H156" s="60"/>
      <c r="I156" s="60"/>
      <c r="J156" s="60"/>
      <c r="K156" s="60"/>
      <c r="L156" s="60"/>
      <c r="M156" s="60"/>
      <c r="N156" s="60"/>
      <c r="O156" s="60"/>
      <c r="P156" s="126"/>
      <c r="Q156" s="126"/>
      <c r="R156" s="126"/>
      <c r="S156" s="126"/>
      <c r="T156" s="126"/>
      <c r="U156" s="126"/>
      <c r="V156" s="126"/>
      <c r="W156" s="126"/>
      <c r="X156" s="126"/>
      <c r="Y156" s="34"/>
      <c r="Z156" s="34"/>
    </row>
    <row r="157" ht="83.25" customHeight="1">
      <c r="A157" s="64"/>
      <c r="B157" s="65" t="s">
        <v>188</v>
      </c>
      <c r="C157" s="112">
        <v>2.0</v>
      </c>
      <c r="D157" s="88">
        <v>0.0</v>
      </c>
      <c r="E157" s="77">
        <v>0.0</v>
      </c>
      <c r="F157" s="77">
        <f t="shared" si="15"/>
        <v>0</v>
      </c>
      <c r="G157" s="130"/>
      <c r="H157" s="60"/>
      <c r="I157" s="60"/>
      <c r="J157" s="60"/>
      <c r="K157" s="60"/>
      <c r="L157" s="60"/>
      <c r="M157" s="60"/>
      <c r="N157" s="60"/>
      <c r="O157" s="60"/>
      <c r="P157" s="126"/>
      <c r="Q157" s="126"/>
      <c r="R157" s="126"/>
      <c r="S157" s="126"/>
      <c r="T157" s="126"/>
      <c r="U157" s="126"/>
      <c r="V157" s="126"/>
      <c r="W157" s="126"/>
      <c r="X157" s="126"/>
      <c r="Y157" s="34"/>
      <c r="Z157" s="34"/>
    </row>
    <row r="158" ht="97.5" customHeight="1">
      <c r="A158" s="64"/>
      <c r="B158" s="65" t="s">
        <v>189</v>
      </c>
      <c r="C158" s="112">
        <v>1.0</v>
      </c>
      <c r="D158" s="88">
        <v>0.0</v>
      </c>
      <c r="E158" s="77">
        <v>0.0</v>
      </c>
      <c r="F158" s="77">
        <f t="shared" si="15"/>
        <v>0</v>
      </c>
      <c r="G158" s="60"/>
      <c r="H158" s="60"/>
      <c r="I158" s="60"/>
      <c r="J158" s="60"/>
      <c r="K158" s="60"/>
      <c r="L158" s="60"/>
      <c r="M158" s="60"/>
      <c r="N158" s="60"/>
      <c r="O158" s="60"/>
      <c r="P158" s="38"/>
      <c r="Q158" s="38"/>
      <c r="R158" s="38"/>
      <c r="S158" s="38"/>
      <c r="T158" s="38"/>
      <c r="U158" s="38"/>
      <c r="V158" s="38"/>
      <c r="W158" s="38"/>
      <c r="X158" s="38"/>
      <c r="Y158" s="34"/>
      <c r="Z158" s="34"/>
    </row>
    <row r="159" ht="80.25" customHeight="1">
      <c r="A159" s="68"/>
      <c r="B159" s="65" t="s">
        <v>190</v>
      </c>
      <c r="C159" s="112">
        <v>2.0</v>
      </c>
      <c r="D159" s="88">
        <v>0.0</v>
      </c>
      <c r="E159" s="77">
        <v>0.0</v>
      </c>
      <c r="F159" s="77">
        <f t="shared" si="15"/>
        <v>0</v>
      </c>
      <c r="G159" s="131" t="s">
        <v>191</v>
      </c>
      <c r="H159" s="60"/>
      <c r="I159" s="60"/>
      <c r="J159" s="60"/>
      <c r="K159" s="60"/>
      <c r="L159" s="60"/>
      <c r="M159" s="60"/>
      <c r="N159" s="60"/>
      <c r="O159" s="60"/>
      <c r="P159" s="126"/>
      <c r="Q159" s="126"/>
      <c r="R159" s="126"/>
      <c r="S159" s="126"/>
      <c r="T159" s="126"/>
      <c r="U159" s="126"/>
      <c r="V159" s="126"/>
      <c r="W159" s="126"/>
      <c r="X159" s="126"/>
      <c r="Y159" s="34"/>
      <c r="Z159" s="34"/>
    </row>
    <row r="160" ht="15.75" customHeight="1">
      <c r="A160" s="38" t="s">
        <v>43</v>
      </c>
      <c r="B160" s="46"/>
      <c r="C160" s="117"/>
      <c r="D160" s="37"/>
      <c r="E160" s="37"/>
      <c r="F160" s="37"/>
      <c r="G160" s="38"/>
      <c r="H160" s="38"/>
      <c r="I160" s="38"/>
      <c r="J160" s="38"/>
      <c r="K160" s="38"/>
      <c r="L160" s="38"/>
      <c r="M160" s="38"/>
      <c r="N160" s="38"/>
      <c r="O160" s="38"/>
      <c r="P160" s="126"/>
      <c r="Q160" s="126"/>
      <c r="R160" s="126"/>
      <c r="S160" s="126"/>
      <c r="T160" s="126"/>
      <c r="U160" s="126"/>
      <c r="V160" s="126"/>
      <c r="W160" s="126"/>
      <c r="X160" s="126"/>
      <c r="Y160" s="34"/>
      <c r="Z160" s="34"/>
    </row>
    <row r="161" ht="15.75" customHeight="1">
      <c r="A161" s="70" t="s">
        <v>82</v>
      </c>
      <c r="B161" s="116"/>
      <c r="C161" s="117">
        <f t="shared" ref="C161:F161" si="16">SUM(C156:C159)</f>
        <v>6</v>
      </c>
      <c r="D161" s="118">
        <f t="shared" si="16"/>
        <v>0</v>
      </c>
      <c r="E161" s="118">
        <f t="shared" si="16"/>
        <v>0</v>
      </c>
      <c r="F161" s="118">
        <f t="shared" si="16"/>
        <v>0</v>
      </c>
      <c r="G161" s="132"/>
      <c r="H161" s="122"/>
      <c r="I161" s="122"/>
      <c r="J161" s="122"/>
      <c r="K161" s="122"/>
      <c r="L161" s="122"/>
      <c r="M161" s="122"/>
      <c r="N161" s="122"/>
      <c r="O161" s="122"/>
      <c r="P161" s="126"/>
      <c r="Q161" s="126"/>
      <c r="R161" s="126"/>
      <c r="S161" s="126"/>
      <c r="T161" s="126"/>
      <c r="U161" s="126"/>
      <c r="V161" s="126"/>
      <c r="W161" s="126"/>
      <c r="X161" s="126"/>
      <c r="Y161" s="34"/>
      <c r="Z161" s="34"/>
    </row>
    <row r="162" ht="15.75" customHeight="1">
      <c r="A162" s="70"/>
      <c r="B162" s="46"/>
      <c r="C162" s="36"/>
      <c r="D162" s="36"/>
      <c r="E162" s="36"/>
      <c r="F162" s="36"/>
      <c r="G162" s="41"/>
      <c r="H162" s="38"/>
      <c r="I162" s="38"/>
      <c r="J162" s="38"/>
      <c r="K162" s="38"/>
      <c r="L162" s="38"/>
      <c r="M162" s="38"/>
      <c r="N162" s="38"/>
      <c r="O162" s="38"/>
      <c r="P162" s="126"/>
      <c r="Q162" s="126"/>
      <c r="R162" s="126"/>
      <c r="S162" s="126"/>
      <c r="T162" s="126"/>
      <c r="U162" s="126"/>
      <c r="V162" s="126"/>
      <c r="W162" s="126"/>
      <c r="X162" s="126"/>
      <c r="Y162" s="34"/>
      <c r="Z162" s="34"/>
    </row>
    <row r="163" ht="15.75" customHeight="1">
      <c r="A163" s="105" t="s">
        <v>192</v>
      </c>
      <c r="B163" s="116"/>
      <c r="C163" s="117">
        <f t="shared" ref="C163:F163" si="17">SUM(C161+C149+C153+C142)</f>
        <v>11</v>
      </c>
      <c r="D163" s="118">
        <f t="shared" si="17"/>
        <v>0</v>
      </c>
      <c r="E163" s="118">
        <f t="shared" si="17"/>
        <v>0</v>
      </c>
      <c r="F163" s="118">
        <f t="shared" si="17"/>
        <v>0</v>
      </c>
      <c r="G163" s="132"/>
      <c r="H163" s="122"/>
      <c r="I163" s="122"/>
      <c r="J163" s="122"/>
      <c r="K163" s="122"/>
      <c r="L163" s="122"/>
      <c r="M163" s="122"/>
      <c r="N163" s="122"/>
      <c r="O163" s="122"/>
      <c r="P163" s="126"/>
      <c r="Q163" s="126"/>
      <c r="R163" s="126"/>
      <c r="S163" s="126"/>
      <c r="T163" s="126"/>
      <c r="U163" s="126"/>
      <c r="V163" s="126"/>
      <c r="W163" s="126"/>
      <c r="X163" s="126"/>
      <c r="Y163" s="34"/>
      <c r="Z163" s="34"/>
    </row>
    <row r="164" ht="15.75" customHeight="1">
      <c r="A164" s="41"/>
      <c r="B164" s="46"/>
      <c r="C164" s="36"/>
      <c r="D164" s="37"/>
      <c r="E164" s="37"/>
      <c r="F164" s="37"/>
      <c r="G164" s="38"/>
      <c r="H164" s="38"/>
      <c r="I164" s="38"/>
      <c r="J164" s="38"/>
      <c r="K164" s="38"/>
      <c r="L164" s="38"/>
      <c r="M164" s="38"/>
      <c r="N164" s="38"/>
      <c r="O164" s="38"/>
      <c r="P164" s="126"/>
      <c r="Q164" s="126"/>
      <c r="R164" s="126"/>
      <c r="S164" s="126"/>
      <c r="T164" s="126"/>
      <c r="U164" s="126"/>
      <c r="V164" s="126"/>
      <c r="W164" s="126"/>
      <c r="X164" s="126"/>
      <c r="Y164" s="34"/>
      <c r="Z164" s="34"/>
    </row>
    <row r="165" ht="15.75" customHeight="1">
      <c r="A165" s="133" t="s">
        <v>193</v>
      </c>
      <c r="B165" s="133"/>
      <c r="C165" s="134" t="s">
        <v>46</v>
      </c>
      <c r="D165" s="134" t="s">
        <v>21</v>
      </c>
      <c r="E165" s="134" t="s">
        <v>22</v>
      </c>
      <c r="F165" s="134" t="s">
        <v>23</v>
      </c>
      <c r="G165" s="133" t="s">
        <v>24</v>
      </c>
      <c r="H165" s="133" t="s">
        <v>84</v>
      </c>
      <c r="I165" s="133" t="s">
        <v>26</v>
      </c>
      <c r="J165" s="133" t="s">
        <v>85</v>
      </c>
      <c r="K165" s="133" t="s">
        <v>26</v>
      </c>
      <c r="L165" s="133" t="s">
        <v>28</v>
      </c>
      <c r="M165" s="135" t="s">
        <v>29</v>
      </c>
      <c r="N165" s="133" t="s">
        <v>30</v>
      </c>
      <c r="O165" s="133" t="s">
        <v>31</v>
      </c>
      <c r="P165" s="126"/>
      <c r="Q165" s="126"/>
      <c r="R165" s="126"/>
      <c r="S165" s="126"/>
      <c r="T165" s="126"/>
      <c r="U165" s="126"/>
      <c r="V165" s="126"/>
      <c r="W165" s="126"/>
      <c r="X165" s="126"/>
      <c r="Y165" s="34"/>
      <c r="Z165" s="34"/>
    </row>
    <row r="166" ht="15.75" customHeight="1">
      <c r="A166" s="38"/>
      <c r="B166" s="40"/>
      <c r="C166" s="36"/>
      <c r="D166" s="37"/>
      <c r="E166" s="37"/>
      <c r="F166" s="37"/>
      <c r="G166" s="38"/>
      <c r="H166" s="38"/>
      <c r="I166" s="38"/>
      <c r="J166" s="38"/>
      <c r="K166" s="38"/>
      <c r="L166" s="38"/>
      <c r="M166" s="38"/>
      <c r="N166" s="38"/>
      <c r="O166" s="38"/>
      <c r="P166" s="126"/>
      <c r="Q166" s="126"/>
      <c r="R166" s="126"/>
      <c r="S166" s="126"/>
      <c r="T166" s="126"/>
      <c r="U166" s="126"/>
      <c r="V166" s="126"/>
      <c r="W166" s="126"/>
      <c r="X166" s="126"/>
      <c r="Y166" s="34"/>
      <c r="Z166" s="34"/>
    </row>
    <row r="167" ht="15.75" customHeight="1">
      <c r="A167" s="133" t="s">
        <v>194</v>
      </c>
      <c r="B167" s="58"/>
      <c r="C167" s="36" t="s">
        <v>43</v>
      </c>
      <c r="D167" s="37"/>
      <c r="E167" s="37"/>
      <c r="F167" s="37"/>
      <c r="G167" s="38"/>
      <c r="H167" s="38"/>
      <c r="I167" s="38"/>
      <c r="J167" s="38"/>
      <c r="K167" s="38"/>
      <c r="L167" s="38"/>
      <c r="M167" s="38"/>
      <c r="N167" s="38"/>
      <c r="O167" s="38"/>
      <c r="P167" s="126"/>
      <c r="Q167" s="126"/>
      <c r="R167" s="126"/>
      <c r="S167" s="126"/>
      <c r="T167" s="126"/>
      <c r="U167" s="126"/>
      <c r="V167" s="126"/>
      <c r="W167" s="126"/>
      <c r="X167" s="126"/>
      <c r="Y167" s="34"/>
      <c r="Z167" s="34"/>
    </row>
    <row r="168" ht="15.75" customHeight="1">
      <c r="A168" s="76"/>
      <c r="B168" s="60" t="s">
        <v>195</v>
      </c>
      <c r="C168" s="136">
        <v>3.0</v>
      </c>
      <c r="D168" s="88">
        <v>0.0</v>
      </c>
      <c r="E168" s="77">
        <v>0.0</v>
      </c>
      <c r="F168" s="77">
        <f t="shared" ref="F168:F184" si="18">SUM(D168:E168)</f>
        <v>0</v>
      </c>
      <c r="G168" s="89" t="s">
        <v>196</v>
      </c>
      <c r="H168" s="60"/>
      <c r="I168" s="60"/>
      <c r="J168" s="60"/>
      <c r="K168" s="60"/>
      <c r="L168" s="60"/>
      <c r="M168" s="60"/>
      <c r="N168" s="60"/>
      <c r="O168" s="60"/>
      <c r="P168" s="38"/>
      <c r="Q168" s="38"/>
      <c r="R168" s="38"/>
      <c r="S168" s="38"/>
      <c r="T168" s="38"/>
      <c r="U168" s="38"/>
      <c r="V168" s="38"/>
      <c r="W168" s="38"/>
      <c r="X168" s="38"/>
      <c r="Y168" s="34"/>
      <c r="Z168" s="34"/>
    </row>
    <row r="169" ht="15.75" customHeight="1">
      <c r="A169" s="64"/>
      <c r="B169" s="60" t="s">
        <v>197</v>
      </c>
      <c r="C169" s="136">
        <v>3.0</v>
      </c>
      <c r="D169" s="88">
        <v>0.0</v>
      </c>
      <c r="E169" s="77">
        <v>0.0</v>
      </c>
      <c r="F169" s="77">
        <f t="shared" si="18"/>
        <v>0</v>
      </c>
      <c r="G169" s="137" t="s">
        <v>198</v>
      </c>
      <c r="H169" s="60"/>
      <c r="I169" s="60"/>
      <c r="J169" s="60"/>
      <c r="K169" s="60"/>
      <c r="L169" s="60"/>
      <c r="M169" s="60"/>
      <c r="N169" s="60"/>
      <c r="O169" s="60"/>
      <c r="P169" s="38"/>
      <c r="Q169" s="38"/>
      <c r="R169" s="38"/>
      <c r="S169" s="38"/>
      <c r="T169" s="38"/>
      <c r="U169" s="38"/>
      <c r="V169" s="38"/>
      <c r="W169" s="38"/>
      <c r="X169" s="38"/>
      <c r="Y169" s="34"/>
      <c r="Z169" s="34"/>
    </row>
    <row r="170" ht="15.75" customHeight="1">
      <c r="A170" s="64"/>
      <c r="B170" s="60" t="s">
        <v>199</v>
      </c>
      <c r="C170" s="136">
        <v>3.0</v>
      </c>
      <c r="D170" s="77">
        <v>0.0</v>
      </c>
      <c r="E170" s="77">
        <v>0.0</v>
      </c>
      <c r="F170" s="77">
        <f t="shared" si="18"/>
        <v>0</v>
      </c>
      <c r="G170" s="138" t="s">
        <v>200</v>
      </c>
      <c r="H170" s="60"/>
      <c r="I170" s="60"/>
      <c r="J170" s="60"/>
      <c r="K170" s="60"/>
      <c r="L170" s="60"/>
      <c r="M170" s="60"/>
      <c r="N170" s="60"/>
      <c r="O170" s="60"/>
      <c r="P170" s="38"/>
      <c r="Q170" s="38"/>
      <c r="R170" s="38"/>
      <c r="S170" s="38"/>
      <c r="T170" s="38"/>
      <c r="U170" s="38"/>
      <c r="V170" s="38"/>
      <c r="W170" s="38"/>
      <c r="X170" s="38"/>
      <c r="Y170" s="34"/>
      <c r="Z170" s="34"/>
    </row>
    <row r="171" ht="15.75" customHeight="1">
      <c r="A171" s="64"/>
      <c r="B171" s="60" t="s">
        <v>201</v>
      </c>
      <c r="C171" s="136">
        <v>2.0</v>
      </c>
      <c r="D171" s="77">
        <v>0.0</v>
      </c>
      <c r="E171" s="77">
        <v>0.0</v>
      </c>
      <c r="F171" s="77">
        <f t="shared" si="18"/>
        <v>0</v>
      </c>
      <c r="G171" s="60"/>
      <c r="H171" s="60"/>
      <c r="I171" s="60"/>
      <c r="J171" s="60"/>
      <c r="K171" s="60"/>
      <c r="L171" s="60"/>
      <c r="M171" s="60"/>
      <c r="N171" s="60"/>
      <c r="O171" s="60"/>
      <c r="P171" s="38"/>
      <c r="Q171" s="38"/>
      <c r="R171" s="38"/>
      <c r="S171" s="38"/>
      <c r="T171" s="38"/>
      <c r="U171" s="38"/>
      <c r="V171" s="38"/>
      <c r="W171" s="38"/>
      <c r="X171" s="38"/>
      <c r="Y171" s="34"/>
      <c r="Z171" s="34"/>
    </row>
    <row r="172" ht="31.5" customHeight="1">
      <c r="A172" s="64"/>
      <c r="B172" s="60" t="s">
        <v>202</v>
      </c>
      <c r="C172" s="136">
        <v>1.0</v>
      </c>
      <c r="D172" s="77">
        <v>0.0</v>
      </c>
      <c r="E172" s="77">
        <v>0.0</v>
      </c>
      <c r="F172" s="77">
        <f t="shared" si="18"/>
        <v>0</v>
      </c>
      <c r="G172" s="60"/>
      <c r="H172" s="60"/>
      <c r="I172" s="60"/>
      <c r="J172" s="60"/>
      <c r="K172" s="60"/>
      <c r="L172" s="60"/>
      <c r="M172" s="60"/>
      <c r="N172" s="60"/>
      <c r="O172" s="60"/>
      <c r="P172" s="38"/>
      <c r="Q172" s="38"/>
      <c r="R172" s="38"/>
      <c r="S172" s="38"/>
      <c r="T172" s="38"/>
      <c r="U172" s="38"/>
      <c r="V172" s="38"/>
      <c r="W172" s="38"/>
      <c r="X172" s="38"/>
      <c r="Y172" s="34"/>
      <c r="Z172" s="34"/>
    </row>
    <row r="173" ht="15.75" customHeight="1">
      <c r="A173" s="64"/>
      <c r="B173" s="139" t="s">
        <v>203</v>
      </c>
      <c r="C173" s="136">
        <v>1.0</v>
      </c>
      <c r="D173" s="88">
        <v>0.0</v>
      </c>
      <c r="E173" s="77">
        <v>0.0</v>
      </c>
      <c r="F173" s="77">
        <f t="shared" si="18"/>
        <v>0</v>
      </c>
      <c r="G173" s="140" t="s">
        <v>204</v>
      </c>
      <c r="H173" s="60"/>
      <c r="I173" s="60"/>
      <c r="J173" s="60"/>
      <c r="K173" s="60"/>
      <c r="L173" s="60"/>
      <c r="M173" s="60"/>
      <c r="N173" s="60"/>
      <c r="O173" s="60"/>
      <c r="P173" s="38"/>
      <c r="Q173" s="38"/>
      <c r="R173" s="38"/>
      <c r="S173" s="38"/>
      <c r="T173" s="38"/>
      <c r="U173" s="38"/>
      <c r="V173" s="38"/>
      <c r="W173" s="38"/>
      <c r="X173" s="38"/>
      <c r="Y173" s="34"/>
      <c r="Z173" s="34"/>
    </row>
    <row r="174" ht="15.75" customHeight="1">
      <c r="A174" s="64"/>
      <c r="B174" s="60" t="s">
        <v>205</v>
      </c>
      <c r="C174" s="136">
        <v>2.0</v>
      </c>
      <c r="D174" s="88">
        <v>0.0</v>
      </c>
      <c r="E174" s="77">
        <v>0.0</v>
      </c>
      <c r="F174" s="77">
        <f t="shared" si="18"/>
        <v>0</v>
      </c>
      <c r="G174" s="139" t="s">
        <v>206</v>
      </c>
      <c r="H174" s="60"/>
      <c r="I174" s="60"/>
      <c r="J174" s="60"/>
      <c r="K174" s="60"/>
      <c r="L174" s="60"/>
      <c r="M174" s="60"/>
      <c r="N174" s="60"/>
      <c r="O174" s="60"/>
      <c r="P174" s="38"/>
      <c r="Q174" s="38"/>
      <c r="R174" s="38"/>
      <c r="S174" s="38"/>
      <c r="T174" s="38"/>
      <c r="U174" s="38"/>
      <c r="V174" s="38"/>
      <c r="W174" s="38"/>
      <c r="X174" s="38"/>
      <c r="Y174" s="34"/>
      <c r="Z174" s="34"/>
    </row>
    <row r="175" ht="15.75" customHeight="1">
      <c r="A175" s="64"/>
      <c r="B175" s="141" t="s">
        <v>207</v>
      </c>
      <c r="C175" s="136">
        <v>1.0</v>
      </c>
      <c r="D175" s="77">
        <v>0.0</v>
      </c>
      <c r="E175" s="77">
        <v>0.0</v>
      </c>
      <c r="F175" s="77">
        <f t="shared" si="18"/>
        <v>0</v>
      </c>
      <c r="G175" s="60" t="s">
        <v>208</v>
      </c>
      <c r="H175" s="60"/>
      <c r="I175" s="60"/>
      <c r="J175" s="60"/>
      <c r="K175" s="60"/>
      <c r="L175" s="60"/>
      <c r="M175" s="60"/>
      <c r="N175" s="60"/>
      <c r="O175" s="60"/>
      <c r="P175" s="38"/>
      <c r="Q175" s="38"/>
      <c r="R175" s="38"/>
      <c r="S175" s="38"/>
      <c r="T175" s="38"/>
      <c r="U175" s="38"/>
      <c r="V175" s="38"/>
      <c r="W175" s="38"/>
      <c r="X175" s="38"/>
      <c r="Y175" s="34"/>
      <c r="Z175" s="34"/>
    </row>
    <row r="176" ht="15.75" customHeight="1">
      <c r="A176" s="64"/>
      <c r="B176" s="60" t="s">
        <v>209</v>
      </c>
      <c r="C176" s="136">
        <v>1.0</v>
      </c>
      <c r="D176" s="77">
        <v>0.0</v>
      </c>
      <c r="E176" s="77">
        <v>0.0</v>
      </c>
      <c r="F176" s="77">
        <f t="shared" si="18"/>
        <v>0</v>
      </c>
      <c r="G176" s="142"/>
      <c r="H176" s="60"/>
      <c r="I176" s="60"/>
      <c r="J176" s="60"/>
      <c r="K176" s="60"/>
      <c r="L176" s="60"/>
      <c r="M176" s="60"/>
      <c r="N176" s="60"/>
      <c r="O176" s="60"/>
      <c r="P176" s="38"/>
      <c r="Q176" s="38"/>
      <c r="R176" s="38"/>
      <c r="S176" s="38"/>
      <c r="T176" s="38"/>
      <c r="U176" s="38"/>
      <c r="V176" s="38"/>
      <c r="W176" s="38"/>
      <c r="X176" s="38"/>
      <c r="Y176" s="34"/>
      <c r="Z176" s="34"/>
    </row>
    <row r="177" ht="110.25" customHeight="1">
      <c r="A177" s="64"/>
      <c r="B177" s="60" t="s">
        <v>210</v>
      </c>
      <c r="C177" s="136">
        <v>1.0</v>
      </c>
      <c r="D177" s="77">
        <v>0.0</v>
      </c>
      <c r="E177" s="77">
        <v>0.0</v>
      </c>
      <c r="F177" s="77">
        <f t="shared" si="18"/>
        <v>0</v>
      </c>
      <c r="G177" s="60" t="s">
        <v>211</v>
      </c>
      <c r="H177" s="60"/>
      <c r="I177" s="60"/>
      <c r="J177" s="60"/>
      <c r="K177" s="60"/>
      <c r="L177" s="60"/>
      <c r="M177" s="60"/>
      <c r="N177" s="60"/>
      <c r="O177" s="60"/>
      <c r="P177" s="38"/>
      <c r="Q177" s="38"/>
      <c r="R177" s="38"/>
      <c r="S177" s="38"/>
      <c r="T177" s="38"/>
      <c r="U177" s="38"/>
      <c r="V177" s="38"/>
      <c r="W177" s="38"/>
      <c r="X177" s="38"/>
      <c r="Y177" s="34"/>
      <c r="Z177" s="34"/>
    </row>
    <row r="178" ht="15.75" customHeight="1">
      <c r="A178" s="64"/>
      <c r="B178" s="82" t="s">
        <v>212</v>
      </c>
      <c r="C178" s="136">
        <v>1.0</v>
      </c>
      <c r="D178" s="77">
        <v>0.0</v>
      </c>
      <c r="E178" s="77">
        <v>0.0</v>
      </c>
      <c r="F178" s="77">
        <f t="shared" si="18"/>
        <v>0</v>
      </c>
      <c r="G178" s="139"/>
      <c r="H178" s="60"/>
      <c r="I178" s="60"/>
      <c r="J178" s="60"/>
      <c r="K178" s="60"/>
      <c r="L178" s="60"/>
      <c r="M178" s="60"/>
      <c r="N178" s="60"/>
      <c r="O178" s="60"/>
      <c r="P178" s="38"/>
      <c r="Q178" s="38"/>
      <c r="R178" s="38"/>
      <c r="S178" s="38"/>
      <c r="T178" s="38"/>
      <c r="U178" s="38"/>
      <c r="V178" s="38"/>
      <c r="W178" s="38"/>
      <c r="X178" s="38"/>
      <c r="Y178" s="34"/>
      <c r="Z178" s="34"/>
    </row>
    <row r="179" ht="15.75" customHeight="1">
      <c r="A179" s="64"/>
      <c r="B179" s="60" t="s">
        <v>213</v>
      </c>
      <c r="C179" s="136">
        <v>2.0</v>
      </c>
      <c r="D179" s="77">
        <v>0.0</v>
      </c>
      <c r="E179" s="77">
        <v>0.0</v>
      </c>
      <c r="F179" s="77">
        <f t="shared" si="18"/>
        <v>0</v>
      </c>
      <c r="G179" s="60" t="s">
        <v>214</v>
      </c>
      <c r="H179" s="60"/>
      <c r="I179" s="60"/>
      <c r="J179" s="60"/>
      <c r="K179" s="60"/>
      <c r="L179" s="60"/>
      <c r="M179" s="60"/>
      <c r="N179" s="60"/>
      <c r="O179" s="60"/>
      <c r="P179" s="38"/>
      <c r="Q179" s="38"/>
      <c r="R179" s="38"/>
      <c r="S179" s="38"/>
      <c r="T179" s="38"/>
      <c r="U179" s="38"/>
      <c r="V179" s="38"/>
      <c r="W179" s="38"/>
      <c r="X179" s="38"/>
      <c r="Y179" s="34"/>
      <c r="Z179" s="34"/>
    </row>
    <row r="180" ht="15.75" customHeight="1">
      <c r="A180" s="64"/>
      <c r="B180" s="65" t="s">
        <v>215</v>
      </c>
      <c r="C180" s="136">
        <v>2.0</v>
      </c>
      <c r="D180" s="77">
        <v>0.0</v>
      </c>
      <c r="E180" s="77">
        <v>0.0</v>
      </c>
      <c r="F180" s="77">
        <f t="shared" si="18"/>
        <v>0</v>
      </c>
      <c r="G180" s="87" t="s">
        <v>216</v>
      </c>
      <c r="H180" s="60"/>
      <c r="I180" s="60"/>
      <c r="J180" s="60"/>
      <c r="K180" s="60"/>
      <c r="L180" s="60"/>
      <c r="M180" s="60"/>
      <c r="N180" s="60"/>
      <c r="O180" s="60"/>
      <c r="P180" s="38"/>
      <c r="Q180" s="38"/>
      <c r="R180" s="38"/>
      <c r="S180" s="38"/>
      <c r="T180" s="38"/>
      <c r="U180" s="38"/>
      <c r="V180" s="38"/>
      <c r="W180" s="38"/>
      <c r="X180" s="38"/>
      <c r="Y180" s="34"/>
      <c r="Z180" s="34"/>
    </row>
    <row r="181" ht="15.75" customHeight="1">
      <c r="A181" s="64"/>
      <c r="B181" s="65" t="s">
        <v>217</v>
      </c>
      <c r="C181" s="136">
        <v>1.0</v>
      </c>
      <c r="D181" s="88">
        <v>0.0</v>
      </c>
      <c r="E181" s="88">
        <v>0.0</v>
      </c>
      <c r="F181" s="77">
        <f t="shared" si="18"/>
        <v>0</v>
      </c>
      <c r="G181" s="65" t="s">
        <v>218</v>
      </c>
      <c r="H181" s="60"/>
      <c r="I181" s="60"/>
      <c r="J181" s="60"/>
      <c r="K181" s="60"/>
      <c r="L181" s="60"/>
      <c r="M181" s="60"/>
      <c r="N181" s="60"/>
      <c r="O181" s="60"/>
      <c r="P181" s="38"/>
      <c r="Q181" s="38"/>
      <c r="R181" s="38"/>
      <c r="S181" s="38"/>
      <c r="T181" s="38"/>
      <c r="U181" s="38"/>
      <c r="V181" s="38"/>
      <c r="W181" s="38"/>
      <c r="X181" s="38"/>
      <c r="Y181" s="34"/>
      <c r="Z181" s="34"/>
    </row>
    <row r="182" ht="15.75" customHeight="1">
      <c r="A182" s="64"/>
      <c r="B182" s="143" t="s">
        <v>219</v>
      </c>
      <c r="C182" s="136">
        <v>1.0</v>
      </c>
      <c r="D182" s="88">
        <v>0.0</v>
      </c>
      <c r="E182" s="77">
        <v>0.0</v>
      </c>
      <c r="F182" s="77">
        <f t="shared" si="18"/>
        <v>0</v>
      </c>
      <c r="G182" s="65" t="s">
        <v>220</v>
      </c>
      <c r="H182" s="60"/>
      <c r="I182" s="60"/>
      <c r="J182" s="60"/>
      <c r="K182" s="60"/>
      <c r="L182" s="60"/>
      <c r="M182" s="60"/>
      <c r="N182" s="60"/>
      <c r="O182" s="60"/>
      <c r="P182" s="38"/>
      <c r="Q182" s="38"/>
      <c r="R182" s="38"/>
      <c r="S182" s="38"/>
      <c r="T182" s="38"/>
      <c r="U182" s="38"/>
      <c r="V182" s="38"/>
      <c r="W182" s="38"/>
      <c r="X182" s="38"/>
      <c r="Y182" s="34"/>
      <c r="Z182" s="34"/>
    </row>
    <row r="183" ht="15.75" customHeight="1">
      <c r="A183" s="64"/>
      <c r="B183" s="60" t="s">
        <v>221</v>
      </c>
      <c r="C183" s="136">
        <v>1.0</v>
      </c>
      <c r="D183" s="88">
        <v>0.0</v>
      </c>
      <c r="E183" s="77">
        <v>0.0</v>
      </c>
      <c r="F183" s="77">
        <f t="shared" si="18"/>
        <v>0</v>
      </c>
      <c r="G183" s="60" t="s">
        <v>222</v>
      </c>
      <c r="H183" s="60"/>
      <c r="I183" s="60"/>
      <c r="J183" s="60"/>
      <c r="K183" s="60"/>
      <c r="L183" s="60"/>
      <c r="M183" s="60"/>
      <c r="N183" s="60"/>
      <c r="O183" s="60"/>
      <c r="P183" s="38"/>
      <c r="Q183" s="38"/>
      <c r="R183" s="38"/>
      <c r="S183" s="38"/>
      <c r="T183" s="38"/>
      <c r="U183" s="38"/>
      <c r="V183" s="38"/>
      <c r="W183" s="38"/>
      <c r="X183" s="38"/>
      <c r="Y183" s="34"/>
      <c r="Z183" s="34"/>
    </row>
    <row r="184" ht="15.75" customHeight="1">
      <c r="A184" s="64"/>
      <c r="B184" s="65" t="s">
        <v>223</v>
      </c>
      <c r="C184" s="136">
        <v>1.0</v>
      </c>
      <c r="D184" s="88">
        <v>0.0</v>
      </c>
      <c r="E184" s="77">
        <v>0.0</v>
      </c>
      <c r="F184" s="77">
        <f t="shared" si="18"/>
        <v>0</v>
      </c>
      <c r="G184" s="60" t="s">
        <v>224</v>
      </c>
      <c r="H184" s="60"/>
      <c r="I184" s="60"/>
      <c r="J184" s="60"/>
      <c r="K184" s="60"/>
      <c r="L184" s="60"/>
      <c r="M184" s="60"/>
      <c r="N184" s="60"/>
      <c r="O184" s="60"/>
      <c r="P184" s="38"/>
      <c r="Q184" s="38"/>
      <c r="R184" s="38"/>
      <c r="S184" s="38"/>
      <c r="T184" s="38"/>
      <c r="U184" s="38"/>
      <c r="V184" s="38"/>
      <c r="W184" s="38"/>
      <c r="X184" s="38"/>
      <c r="Y184" s="34"/>
      <c r="Z184" s="34"/>
    </row>
    <row r="185" ht="15.75" customHeight="1">
      <c r="A185" s="64"/>
      <c r="B185" s="139" t="s">
        <v>225</v>
      </c>
      <c r="C185" s="136">
        <v>0.0</v>
      </c>
      <c r="D185" s="77">
        <v>0.0</v>
      </c>
      <c r="E185" s="77">
        <f t="shared" ref="E185:F185" si="19">SUM(C185:D185)</f>
        <v>0</v>
      </c>
      <c r="F185" s="77">
        <f t="shared" si="19"/>
        <v>0</v>
      </c>
      <c r="G185" s="139" t="s">
        <v>226</v>
      </c>
      <c r="H185" s="60"/>
      <c r="I185" s="60"/>
      <c r="J185" s="60"/>
      <c r="K185" s="60"/>
      <c r="L185" s="60"/>
      <c r="M185" s="60"/>
      <c r="N185" s="60"/>
      <c r="O185" s="60"/>
      <c r="P185" s="38"/>
      <c r="Q185" s="38"/>
      <c r="R185" s="38"/>
      <c r="S185" s="38"/>
      <c r="T185" s="38"/>
      <c r="U185" s="38"/>
      <c r="V185" s="38"/>
      <c r="W185" s="38"/>
      <c r="X185" s="38"/>
      <c r="Y185" s="34"/>
      <c r="Z185" s="34"/>
    </row>
    <row r="186" ht="15.75" customHeight="1">
      <c r="A186" s="68"/>
      <c r="B186" s="139" t="s">
        <v>227</v>
      </c>
      <c r="C186" s="136">
        <v>0.0</v>
      </c>
      <c r="D186" s="77">
        <v>0.0</v>
      </c>
      <c r="E186" s="77">
        <v>0.0</v>
      </c>
      <c r="F186" s="77">
        <f>SUM(D186:E186)</f>
        <v>0</v>
      </c>
      <c r="G186" s="139" t="s">
        <v>226</v>
      </c>
      <c r="H186" s="60"/>
      <c r="I186" s="60"/>
      <c r="J186" s="60"/>
      <c r="K186" s="60"/>
      <c r="L186" s="60"/>
      <c r="M186" s="60"/>
      <c r="N186" s="60"/>
      <c r="O186" s="60"/>
      <c r="P186" s="38"/>
      <c r="Q186" s="38"/>
      <c r="R186" s="38"/>
      <c r="S186" s="38"/>
      <c r="T186" s="38"/>
      <c r="U186" s="38"/>
      <c r="V186" s="38"/>
      <c r="W186" s="38"/>
      <c r="X186" s="38"/>
      <c r="Y186" s="34"/>
      <c r="Z186" s="34"/>
    </row>
    <row r="187" ht="15.75" customHeight="1">
      <c r="A187" s="41" t="s">
        <v>43</v>
      </c>
      <c r="B187" s="46"/>
      <c r="C187" s="144"/>
      <c r="D187" s="37"/>
      <c r="E187" s="37"/>
      <c r="F187" s="37"/>
      <c r="G187" s="38"/>
      <c r="H187" s="38"/>
      <c r="I187" s="38"/>
      <c r="J187" s="38"/>
      <c r="K187" s="38"/>
      <c r="L187" s="38"/>
      <c r="M187" s="38"/>
      <c r="N187" s="38"/>
      <c r="O187" s="38"/>
      <c r="P187" s="38"/>
      <c r="Q187" s="38"/>
      <c r="R187" s="38"/>
      <c r="S187" s="38"/>
      <c r="T187" s="38"/>
      <c r="U187" s="38"/>
      <c r="V187" s="38"/>
      <c r="W187" s="38"/>
      <c r="X187" s="38"/>
      <c r="Y187" s="34"/>
      <c r="Z187" s="34"/>
    </row>
    <row r="188" ht="15.75" customHeight="1">
      <c r="A188" s="70" t="s">
        <v>82</v>
      </c>
      <c r="B188" s="145"/>
      <c r="C188" s="146">
        <f t="shared" ref="C188:F188" si="20">SUM(C168:C186)</f>
        <v>27</v>
      </c>
      <c r="D188" s="147">
        <f t="shared" si="20"/>
        <v>0</v>
      </c>
      <c r="E188" s="147">
        <f t="shared" si="20"/>
        <v>0</v>
      </c>
      <c r="F188" s="147">
        <f t="shared" si="20"/>
        <v>0</v>
      </c>
      <c r="G188" s="148"/>
      <c r="H188" s="149"/>
      <c r="I188" s="149"/>
      <c r="J188" s="149"/>
      <c r="K188" s="149"/>
      <c r="L188" s="149"/>
      <c r="M188" s="149"/>
      <c r="N188" s="149"/>
      <c r="O188" s="149"/>
      <c r="P188" s="38"/>
      <c r="Q188" s="38"/>
      <c r="R188" s="38"/>
      <c r="S188" s="38"/>
      <c r="T188" s="38"/>
      <c r="U188" s="38"/>
      <c r="V188" s="38"/>
      <c r="W188" s="38"/>
      <c r="X188" s="38"/>
      <c r="Y188" s="34"/>
      <c r="Z188" s="34"/>
    </row>
    <row r="189" ht="15.75" customHeight="1">
      <c r="A189" s="38"/>
      <c r="B189" s="40"/>
      <c r="C189" s="36"/>
      <c r="D189" s="37"/>
      <c r="E189" s="37"/>
      <c r="F189" s="37"/>
      <c r="G189" s="38"/>
      <c r="H189" s="38"/>
      <c r="I189" s="38"/>
      <c r="J189" s="38"/>
      <c r="K189" s="38"/>
      <c r="L189" s="38"/>
      <c r="M189" s="38"/>
      <c r="N189" s="38"/>
      <c r="O189" s="38"/>
      <c r="P189" s="38"/>
      <c r="Q189" s="38"/>
      <c r="R189" s="38"/>
      <c r="S189" s="38"/>
      <c r="T189" s="38"/>
      <c r="U189" s="38"/>
      <c r="V189" s="38"/>
      <c r="W189" s="38"/>
      <c r="X189" s="38"/>
      <c r="Y189" s="34"/>
      <c r="Z189" s="34"/>
    </row>
    <row r="190" ht="15.75" customHeight="1">
      <c r="A190" s="133" t="s">
        <v>228</v>
      </c>
      <c r="B190" s="133"/>
      <c r="C190" s="134" t="s">
        <v>46</v>
      </c>
      <c r="D190" s="134" t="s">
        <v>21</v>
      </c>
      <c r="E190" s="134" t="s">
        <v>22</v>
      </c>
      <c r="F190" s="134" t="s">
        <v>23</v>
      </c>
      <c r="G190" s="135" t="s">
        <v>24</v>
      </c>
      <c r="H190" s="133" t="s">
        <v>84</v>
      </c>
      <c r="I190" s="133" t="s">
        <v>26</v>
      </c>
      <c r="J190" s="133" t="s">
        <v>85</v>
      </c>
      <c r="K190" s="133" t="s">
        <v>26</v>
      </c>
      <c r="L190" s="133" t="s">
        <v>28</v>
      </c>
      <c r="M190" s="135" t="s">
        <v>29</v>
      </c>
      <c r="N190" s="133" t="s">
        <v>30</v>
      </c>
      <c r="O190" s="133" t="s">
        <v>31</v>
      </c>
      <c r="P190" s="38"/>
      <c r="Q190" s="38"/>
      <c r="R190" s="38"/>
      <c r="S190" s="38"/>
      <c r="T190" s="38"/>
      <c r="U190" s="38"/>
      <c r="V190" s="38"/>
      <c r="W190" s="38"/>
      <c r="X190" s="38"/>
      <c r="Y190" s="34"/>
      <c r="Z190" s="34"/>
    </row>
    <row r="191" ht="15.75" customHeight="1">
      <c r="A191" s="76"/>
      <c r="B191" s="60" t="s">
        <v>195</v>
      </c>
      <c r="C191" s="136">
        <v>3.0</v>
      </c>
      <c r="D191" s="88">
        <v>0.0</v>
      </c>
      <c r="E191" s="77">
        <v>0.0</v>
      </c>
      <c r="F191" s="77">
        <f t="shared" ref="F191:F207" si="21">SUM(D191:E191)</f>
        <v>0</v>
      </c>
      <c r="G191" s="65" t="s">
        <v>229</v>
      </c>
      <c r="H191" s="60"/>
      <c r="I191" s="60"/>
      <c r="J191" s="60"/>
      <c r="K191" s="60"/>
      <c r="L191" s="60"/>
      <c r="M191" s="60"/>
      <c r="N191" s="60"/>
      <c r="O191" s="60"/>
      <c r="P191" s="38"/>
      <c r="Q191" s="38"/>
      <c r="R191" s="38"/>
      <c r="S191" s="38"/>
      <c r="T191" s="38"/>
      <c r="U191" s="38"/>
      <c r="V191" s="38"/>
      <c r="W191" s="38"/>
      <c r="X191" s="38"/>
      <c r="Y191" s="34"/>
      <c r="Z191" s="34"/>
    </row>
    <row r="192" ht="15.75" customHeight="1">
      <c r="A192" s="64"/>
      <c r="B192" s="60" t="s">
        <v>230</v>
      </c>
      <c r="C192" s="136">
        <v>3.0</v>
      </c>
      <c r="D192" s="88">
        <v>0.0</v>
      </c>
      <c r="E192" s="77">
        <v>0.0</v>
      </c>
      <c r="F192" s="77">
        <f t="shared" si="21"/>
        <v>0</v>
      </c>
      <c r="G192" s="150" t="s">
        <v>231</v>
      </c>
      <c r="H192" s="60"/>
      <c r="I192" s="60"/>
      <c r="J192" s="60"/>
      <c r="K192" s="60"/>
      <c r="L192" s="60"/>
      <c r="M192" s="60"/>
      <c r="N192" s="60"/>
      <c r="O192" s="60"/>
      <c r="P192" s="38"/>
      <c r="Q192" s="38"/>
      <c r="R192" s="38"/>
      <c r="S192" s="38"/>
      <c r="T192" s="38"/>
      <c r="U192" s="38"/>
      <c r="V192" s="38"/>
      <c r="W192" s="38"/>
      <c r="X192" s="38"/>
      <c r="Y192" s="34"/>
      <c r="Z192" s="34"/>
    </row>
    <row r="193" ht="15.75" customHeight="1">
      <c r="A193" s="64"/>
      <c r="B193" s="60" t="s">
        <v>199</v>
      </c>
      <c r="C193" s="136">
        <v>3.0</v>
      </c>
      <c r="D193" s="88">
        <v>0.0</v>
      </c>
      <c r="E193" s="77">
        <v>0.0</v>
      </c>
      <c r="F193" s="77">
        <f t="shared" si="21"/>
        <v>0</v>
      </c>
      <c r="G193" s="60"/>
      <c r="H193" s="60"/>
      <c r="I193" s="60"/>
      <c r="J193" s="60"/>
      <c r="K193" s="60"/>
      <c r="L193" s="60"/>
      <c r="M193" s="60"/>
      <c r="N193" s="60"/>
      <c r="O193" s="60"/>
      <c r="P193" s="38"/>
      <c r="Q193" s="38"/>
      <c r="R193" s="38"/>
      <c r="S193" s="38"/>
      <c r="T193" s="38"/>
      <c r="U193" s="38"/>
      <c r="V193" s="38"/>
      <c r="W193" s="38"/>
      <c r="X193" s="38"/>
      <c r="Y193" s="34"/>
      <c r="Z193" s="34"/>
    </row>
    <row r="194" ht="15.75" customHeight="1">
      <c r="A194" s="64"/>
      <c r="B194" s="60" t="s">
        <v>201</v>
      </c>
      <c r="C194" s="136">
        <v>2.0</v>
      </c>
      <c r="D194" s="77">
        <v>0.0</v>
      </c>
      <c r="E194" s="77">
        <v>0.0</v>
      </c>
      <c r="F194" s="77">
        <f t="shared" si="21"/>
        <v>0</v>
      </c>
      <c r="G194" s="60"/>
      <c r="H194" s="60"/>
      <c r="I194" s="60"/>
      <c r="J194" s="60"/>
      <c r="K194" s="60"/>
      <c r="L194" s="60"/>
      <c r="M194" s="60"/>
      <c r="N194" s="60"/>
      <c r="O194" s="60"/>
      <c r="P194" s="38"/>
      <c r="Q194" s="38"/>
      <c r="R194" s="38"/>
      <c r="S194" s="38"/>
      <c r="T194" s="38"/>
      <c r="U194" s="38"/>
      <c r="V194" s="38"/>
      <c r="W194" s="38"/>
      <c r="X194" s="38"/>
      <c r="Y194" s="34"/>
      <c r="Z194" s="34"/>
    </row>
    <row r="195" ht="15.75" customHeight="1">
      <c r="A195" s="64"/>
      <c r="B195" s="60" t="s">
        <v>202</v>
      </c>
      <c r="C195" s="136">
        <v>2.0</v>
      </c>
      <c r="D195" s="77">
        <v>0.0</v>
      </c>
      <c r="E195" s="77">
        <v>0.0</v>
      </c>
      <c r="F195" s="77">
        <f t="shared" si="21"/>
        <v>0</v>
      </c>
      <c r="G195" s="60"/>
      <c r="H195" s="60"/>
      <c r="I195" s="60"/>
      <c r="J195" s="60"/>
      <c r="K195" s="60"/>
      <c r="L195" s="60"/>
      <c r="M195" s="60"/>
      <c r="N195" s="60"/>
      <c r="O195" s="60"/>
      <c r="P195" s="38"/>
      <c r="Q195" s="38"/>
      <c r="R195" s="38"/>
      <c r="S195" s="38"/>
      <c r="T195" s="38"/>
      <c r="U195" s="38"/>
      <c r="V195" s="38"/>
      <c r="W195" s="38"/>
      <c r="X195" s="38"/>
      <c r="Y195" s="34"/>
      <c r="Z195" s="34"/>
    </row>
    <row r="196" ht="15.75" customHeight="1">
      <c r="A196" s="64"/>
      <c r="B196" s="60" t="s">
        <v>232</v>
      </c>
      <c r="C196" s="136">
        <v>2.0</v>
      </c>
      <c r="D196" s="77">
        <v>0.0</v>
      </c>
      <c r="E196" s="77">
        <v>0.0</v>
      </c>
      <c r="F196" s="77">
        <f t="shared" si="21"/>
        <v>0</v>
      </c>
      <c r="G196" s="139" t="s">
        <v>206</v>
      </c>
      <c r="H196" s="60"/>
      <c r="I196" s="60"/>
      <c r="J196" s="60"/>
      <c r="K196" s="60"/>
      <c r="L196" s="60"/>
      <c r="M196" s="60"/>
      <c r="N196" s="60"/>
      <c r="O196" s="60"/>
      <c r="P196" s="38"/>
      <c r="Q196" s="38"/>
      <c r="R196" s="38"/>
      <c r="S196" s="38"/>
      <c r="T196" s="38"/>
      <c r="U196" s="38"/>
      <c r="V196" s="38"/>
      <c r="W196" s="38"/>
      <c r="X196" s="38"/>
      <c r="Y196" s="34"/>
      <c r="Z196" s="34"/>
    </row>
    <row r="197" ht="15.75" customHeight="1">
      <c r="A197" s="64"/>
      <c r="B197" s="151" t="s">
        <v>207</v>
      </c>
      <c r="C197" s="136">
        <v>1.0</v>
      </c>
      <c r="D197" s="77">
        <v>0.0</v>
      </c>
      <c r="E197" s="77">
        <v>0.0</v>
      </c>
      <c r="F197" s="77">
        <f t="shared" si="21"/>
        <v>0</v>
      </c>
      <c r="G197" s="60" t="s">
        <v>208</v>
      </c>
      <c r="H197" s="60"/>
      <c r="I197" s="60"/>
      <c r="J197" s="60"/>
      <c r="K197" s="60"/>
      <c r="L197" s="60"/>
      <c r="M197" s="60"/>
      <c r="N197" s="60"/>
      <c r="O197" s="60"/>
      <c r="P197" s="38"/>
      <c r="Q197" s="38"/>
      <c r="R197" s="38"/>
      <c r="S197" s="38"/>
      <c r="T197" s="38"/>
      <c r="U197" s="38"/>
      <c r="V197" s="38"/>
      <c r="W197" s="38"/>
      <c r="X197" s="38"/>
      <c r="Y197" s="34"/>
      <c r="Z197" s="34"/>
    </row>
    <row r="198" ht="15.75" customHeight="1">
      <c r="A198" s="64"/>
      <c r="B198" s="60" t="s">
        <v>209</v>
      </c>
      <c r="C198" s="136">
        <v>1.0</v>
      </c>
      <c r="D198" s="88">
        <v>0.0</v>
      </c>
      <c r="E198" s="77">
        <v>0.0</v>
      </c>
      <c r="F198" s="77">
        <f t="shared" si="21"/>
        <v>0</v>
      </c>
      <c r="G198" s="142"/>
      <c r="H198" s="60"/>
      <c r="I198" s="60"/>
      <c r="J198" s="60"/>
      <c r="K198" s="60"/>
      <c r="L198" s="60"/>
      <c r="M198" s="60"/>
      <c r="N198" s="60"/>
      <c r="O198" s="60"/>
      <c r="P198" s="38"/>
      <c r="Q198" s="38"/>
      <c r="R198" s="38"/>
      <c r="S198" s="38"/>
      <c r="T198" s="38"/>
      <c r="U198" s="38"/>
      <c r="V198" s="38"/>
      <c r="W198" s="38"/>
      <c r="X198" s="38"/>
      <c r="Y198" s="34"/>
      <c r="Z198" s="34"/>
    </row>
    <row r="199" ht="111.0" customHeight="1">
      <c r="A199" s="64"/>
      <c r="B199" s="60" t="s">
        <v>210</v>
      </c>
      <c r="C199" s="136">
        <v>1.0</v>
      </c>
      <c r="D199" s="88">
        <v>0.0</v>
      </c>
      <c r="E199" s="77">
        <v>0.0</v>
      </c>
      <c r="F199" s="77">
        <f t="shared" si="21"/>
        <v>0</v>
      </c>
      <c r="G199" s="76" t="s">
        <v>211</v>
      </c>
      <c r="H199" s="60"/>
      <c r="I199" s="60"/>
      <c r="J199" s="60"/>
      <c r="K199" s="60"/>
      <c r="L199" s="60"/>
      <c r="M199" s="60"/>
      <c r="N199" s="60"/>
      <c r="O199" s="60"/>
      <c r="P199" s="38"/>
      <c r="Q199" s="38"/>
      <c r="R199" s="38"/>
      <c r="S199" s="38"/>
      <c r="T199" s="38"/>
      <c r="U199" s="38"/>
      <c r="V199" s="38"/>
      <c r="W199" s="38"/>
      <c r="X199" s="38"/>
      <c r="Y199" s="34"/>
      <c r="Z199" s="34"/>
    </row>
    <row r="200" ht="15.75" customHeight="1">
      <c r="A200" s="64"/>
      <c r="B200" s="60" t="s">
        <v>213</v>
      </c>
      <c r="C200" s="136">
        <v>2.0</v>
      </c>
      <c r="D200" s="77">
        <v>0.0</v>
      </c>
      <c r="E200" s="77">
        <v>0.0</v>
      </c>
      <c r="F200" s="77">
        <f t="shared" si="21"/>
        <v>0</v>
      </c>
      <c r="G200" s="60" t="s">
        <v>214</v>
      </c>
      <c r="H200" s="60"/>
      <c r="I200" s="60"/>
      <c r="J200" s="60"/>
      <c r="K200" s="60"/>
      <c r="L200" s="60"/>
      <c r="M200" s="60"/>
      <c r="N200" s="60"/>
      <c r="O200" s="60"/>
      <c r="P200" s="38"/>
      <c r="Q200" s="38"/>
      <c r="R200" s="38"/>
      <c r="S200" s="38"/>
      <c r="T200" s="38"/>
      <c r="U200" s="38"/>
      <c r="V200" s="38"/>
      <c r="W200" s="38"/>
      <c r="X200" s="38"/>
      <c r="Y200" s="34"/>
      <c r="Z200" s="34"/>
    </row>
    <row r="201" ht="15.75" customHeight="1">
      <c r="A201" s="64"/>
      <c r="B201" s="65" t="s">
        <v>233</v>
      </c>
      <c r="C201" s="152">
        <v>2.0</v>
      </c>
      <c r="D201" s="153">
        <v>0.0</v>
      </c>
      <c r="E201" s="153">
        <v>0.0</v>
      </c>
      <c r="F201" s="77">
        <f t="shared" si="21"/>
        <v>0</v>
      </c>
      <c r="G201" s="154" t="s">
        <v>216</v>
      </c>
      <c r="H201" s="60"/>
      <c r="I201" s="60"/>
      <c r="J201" s="60"/>
      <c r="K201" s="60"/>
      <c r="L201" s="60"/>
      <c r="M201" s="60"/>
      <c r="N201" s="60"/>
      <c r="O201" s="60"/>
      <c r="P201" s="38"/>
      <c r="Q201" s="38"/>
      <c r="R201" s="38"/>
      <c r="S201" s="38"/>
      <c r="T201" s="38"/>
      <c r="U201" s="38"/>
      <c r="V201" s="38"/>
      <c r="W201" s="38"/>
      <c r="X201" s="38"/>
      <c r="Y201" s="34"/>
      <c r="Z201" s="34"/>
    </row>
    <row r="202" ht="73.5" customHeight="1">
      <c r="A202" s="64"/>
      <c r="B202" s="65" t="s">
        <v>217</v>
      </c>
      <c r="C202" s="152">
        <v>1.0</v>
      </c>
      <c r="D202" s="153">
        <v>0.0</v>
      </c>
      <c r="E202" s="153">
        <v>0.0</v>
      </c>
      <c r="F202" s="77">
        <f t="shared" si="21"/>
        <v>0</v>
      </c>
      <c r="G202" s="154" t="s">
        <v>234</v>
      </c>
      <c r="H202" s="60"/>
      <c r="I202" s="60"/>
      <c r="J202" s="60"/>
      <c r="K202" s="60"/>
      <c r="L202" s="60"/>
      <c r="M202" s="60"/>
      <c r="N202" s="60"/>
      <c r="O202" s="60"/>
      <c r="P202" s="38"/>
      <c r="Q202" s="38"/>
      <c r="R202" s="38"/>
      <c r="S202" s="38"/>
      <c r="T202" s="38"/>
      <c r="U202" s="38"/>
      <c r="V202" s="38"/>
      <c r="W202" s="38"/>
      <c r="X202" s="38"/>
      <c r="Y202" s="34"/>
      <c r="Z202" s="34"/>
    </row>
    <row r="203" ht="15.75" customHeight="1">
      <c r="A203" s="64"/>
      <c r="B203" s="143" t="s">
        <v>219</v>
      </c>
      <c r="C203" s="136">
        <v>1.0</v>
      </c>
      <c r="D203" s="77">
        <v>0.0</v>
      </c>
      <c r="E203" s="77">
        <v>0.0</v>
      </c>
      <c r="F203" s="77">
        <f t="shared" si="21"/>
        <v>0</v>
      </c>
      <c r="G203" s="34"/>
      <c r="H203" s="60"/>
      <c r="I203" s="60"/>
      <c r="J203" s="60"/>
      <c r="K203" s="60"/>
      <c r="L203" s="60"/>
      <c r="M203" s="60"/>
      <c r="N203" s="60"/>
      <c r="O203" s="60"/>
      <c r="P203" s="38"/>
      <c r="Q203" s="38"/>
      <c r="R203" s="38"/>
      <c r="S203" s="38"/>
      <c r="T203" s="38"/>
      <c r="U203" s="38"/>
      <c r="V203" s="38"/>
      <c r="W203" s="38"/>
      <c r="X203" s="38"/>
      <c r="Y203" s="34"/>
      <c r="Z203" s="34"/>
    </row>
    <row r="204" ht="15.75" customHeight="1">
      <c r="A204" s="64"/>
      <c r="B204" s="65" t="s">
        <v>235</v>
      </c>
      <c r="C204" s="136">
        <v>1.0</v>
      </c>
      <c r="D204" s="88">
        <v>0.0</v>
      </c>
      <c r="E204" s="77">
        <v>0.0</v>
      </c>
      <c r="F204" s="77">
        <f t="shared" si="21"/>
        <v>0</v>
      </c>
      <c r="G204" s="60" t="s">
        <v>236</v>
      </c>
      <c r="H204" s="60"/>
      <c r="I204" s="60"/>
      <c r="J204" s="60"/>
      <c r="K204" s="60"/>
      <c r="L204" s="60"/>
      <c r="M204" s="60"/>
      <c r="N204" s="60"/>
      <c r="O204" s="60"/>
      <c r="P204" s="38"/>
      <c r="Q204" s="38"/>
      <c r="R204" s="38"/>
      <c r="S204" s="38"/>
      <c r="T204" s="38"/>
      <c r="U204" s="38"/>
      <c r="V204" s="38"/>
      <c r="W204" s="38"/>
      <c r="X204" s="38"/>
      <c r="Y204" s="34"/>
      <c r="Z204" s="34"/>
    </row>
    <row r="205" ht="15.75" customHeight="1">
      <c r="A205" s="64"/>
      <c r="B205" s="65" t="s">
        <v>237</v>
      </c>
      <c r="C205" s="136">
        <v>1.0</v>
      </c>
      <c r="D205" s="88">
        <v>0.0</v>
      </c>
      <c r="E205" s="77">
        <v>0.0</v>
      </c>
      <c r="F205" s="77">
        <f t="shared" si="21"/>
        <v>0</v>
      </c>
      <c r="G205" s="60" t="s">
        <v>238</v>
      </c>
      <c r="H205" s="60"/>
      <c r="I205" s="60"/>
      <c r="J205" s="60"/>
      <c r="K205" s="60"/>
      <c r="L205" s="60"/>
      <c r="M205" s="60"/>
      <c r="N205" s="60"/>
      <c r="O205" s="60"/>
      <c r="P205" s="38"/>
      <c r="Q205" s="38"/>
      <c r="R205" s="38"/>
      <c r="S205" s="38"/>
      <c r="T205" s="38"/>
      <c r="U205" s="38"/>
      <c r="V205" s="38"/>
      <c r="W205" s="38"/>
      <c r="X205" s="38"/>
      <c r="Y205" s="34"/>
      <c r="Z205" s="34"/>
    </row>
    <row r="206" ht="15.75" customHeight="1">
      <c r="A206" s="64"/>
      <c r="B206" s="139" t="s">
        <v>239</v>
      </c>
      <c r="C206" s="136">
        <v>0.0</v>
      </c>
      <c r="D206" s="77">
        <v>0.0</v>
      </c>
      <c r="E206" s="77">
        <v>0.0</v>
      </c>
      <c r="F206" s="77">
        <f t="shared" si="21"/>
        <v>0</v>
      </c>
      <c r="G206" s="139" t="s">
        <v>226</v>
      </c>
      <c r="H206" s="60"/>
      <c r="I206" s="60"/>
      <c r="J206" s="60"/>
      <c r="K206" s="60"/>
      <c r="L206" s="60"/>
      <c r="M206" s="60"/>
      <c r="N206" s="60"/>
      <c r="O206" s="60"/>
      <c r="P206" s="38"/>
      <c r="Q206" s="38"/>
      <c r="R206" s="38"/>
      <c r="S206" s="38"/>
      <c r="T206" s="38"/>
      <c r="U206" s="38"/>
      <c r="V206" s="38"/>
      <c r="W206" s="38"/>
      <c r="X206" s="38"/>
      <c r="Y206" s="34"/>
      <c r="Z206" s="34"/>
    </row>
    <row r="207" ht="15.75" customHeight="1">
      <c r="A207" s="68"/>
      <c r="B207" s="139" t="s">
        <v>240</v>
      </c>
      <c r="C207" s="136">
        <v>0.0</v>
      </c>
      <c r="D207" s="77">
        <v>0.0</v>
      </c>
      <c r="E207" s="77">
        <v>0.0</v>
      </c>
      <c r="F207" s="77">
        <f t="shared" si="21"/>
        <v>0</v>
      </c>
      <c r="G207" s="139" t="s">
        <v>226</v>
      </c>
      <c r="H207" s="60"/>
      <c r="I207" s="60"/>
      <c r="J207" s="60"/>
      <c r="K207" s="60"/>
      <c r="L207" s="60"/>
      <c r="M207" s="60"/>
      <c r="N207" s="60"/>
      <c r="O207" s="60"/>
      <c r="P207" s="38"/>
      <c r="Q207" s="38"/>
      <c r="R207" s="38"/>
      <c r="S207" s="38"/>
      <c r="T207" s="38"/>
      <c r="U207" s="38"/>
      <c r="V207" s="38"/>
      <c r="W207" s="38"/>
      <c r="X207" s="38"/>
      <c r="Y207" s="34"/>
      <c r="Z207" s="34"/>
    </row>
    <row r="208" ht="15.75" customHeight="1">
      <c r="A208" s="41" t="s">
        <v>43</v>
      </c>
      <c r="B208" s="46"/>
      <c r="C208" s="144"/>
      <c r="D208" s="37"/>
      <c r="E208" s="37"/>
      <c r="F208" s="37"/>
      <c r="G208" s="38"/>
      <c r="H208" s="38"/>
      <c r="I208" s="38"/>
      <c r="J208" s="38"/>
      <c r="K208" s="38"/>
      <c r="L208" s="38"/>
      <c r="M208" s="38"/>
      <c r="N208" s="38"/>
      <c r="O208" s="38"/>
      <c r="P208" s="38"/>
      <c r="Q208" s="38"/>
      <c r="R208" s="38"/>
      <c r="S208" s="38"/>
      <c r="T208" s="38"/>
      <c r="U208" s="38"/>
      <c r="V208" s="38"/>
      <c r="W208" s="38"/>
      <c r="X208" s="38"/>
      <c r="Y208" s="34"/>
      <c r="Z208" s="34"/>
    </row>
    <row r="209" ht="15.75" customHeight="1">
      <c r="A209" s="70" t="s">
        <v>82</v>
      </c>
      <c r="B209" s="145"/>
      <c r="C209" s="146">
        <f t="shared" ref="C209:F209" si="22">SUM(C191:C207)</f>
        <v>26</v>
      </c>
      <c r="D209" s="147">
        <f t="shared" si="22"/>
        <v>0</v>
      </c>
      <c r="E209" s="147">
        <f t="shared" si="22"/>
        <v>0</v>
      </c>
      <c r="F209" s="155">
        <f t="shared" si="22"/>
        <v>0</v>
      </c>
      <c r="G209" s="156"/>
      <c r="H209" s="149"/>
      <c r="I209" s="149"/>
      <c r="J209" s="149"/>
      <c r="K209" s="149"/>
      <c r="L209" s="149"/>
      <c r="M209" s="149"/>
      <c r="N209" s="149"/>
      <c r="O209" s="149"/>
      <c r="P209" s="38"/>
      <c r="Q209" s="38"/>
      <c r="R209" s="38"/>
      <c r="S209" s="38"/>
      <c r="T209" s="38"/>
      <c r="U209" s="38"/>
      <c r="V209" s="38"/>
      <c r="W209" s="38"/>
      <c r="X209" s="38"/>
      <c r="Y209" s="34"/>
      <c r="Z209" s="34"/>
    </row>
    <row r="210" ht="15.75" customHeight="1">
      <c r="A210" s="38"/>
      <c r="B210" s="40"/>
      <c r="C210" s="36"/>
      <c r="D210" s="37"/>
      <c r="E210" s="37"/>
      <c r="F210" s="37"/>
      <c r="G210" s="38"/>
      <c r="H210" s="38"/>
      <c r="I210" s="38"/>
      <c r="J210" s="38"/>
      <c r="K210" s="38"/>
      <c r="L210" s="38"/>
      <c r="M210" s="38"/>
      <c r="N210" s="38"/>
      <c r="O210" s="38"/>
      <c r="P210" s="38"/>
      <c r="Q210" s="38"/>
      <c r="R210" s="38"/>
      <c r="S210" s="38"/>
      <c r="T210" s="38"/>
      <c r="U210" s="38"/>
      <c r="V210" s="38"/>
      <c r="W210" s="38"/>
      <c r="X210" s="38"/>
      <c r="Y210" s="34"/>
      <c r="Z210" s="34"/>
    </row>
    <row r="211" ht="15.75" customHeight="1">
      <c r="A211" s="133" t="s">
        <v>241</v>
      </c>
      <c r="B211" s="157"/>
      <c r="C211" s="134" t="s">
        <v>46</v>
      </c>
      <c r="D211" s="134" t="s">
        <v>21</v>
      </c>
      <c r="E211" s="134" t="s">
        <v>22</v>
      </c>
      <c r="F211" s="134" t="s">
        <v>23</v>
      </c>
      <c r="G211" s="135" t="s">
        <v>24</v>
      </c>
      <c r="H211" s="133" t="s">
        <v>84</v>
      </c>
      <c r="I211" s="133" t="s">
        <v>26</v>
      </c>
      <c r="J211" s="133" t="s">
        <v>85</v>
      </c>
      <c r="K211" s="133" t="s">
        <v>26</v>
      </c>
      <c r="L211" s="133" t="s">
        <v>28</v>
      </c>
      <c r="M211" s="135" t="s">
        <v>29</v>
      </c>
      <c r="N211" s="133" t="s">
        <v>30</v>
      </c>
      <c r="O211" s="133" t="s">
        <v>31</v>
      </c>
      <c r="P211" s="38"/>
      <c r="Q211" s="38"/>
      <c r="R211" s="38"/>
      <c r="S211" s="38"/>
      <c r="T211" s="38"/>
      <c r="U211" s="38"/>
      <c r="V211" s="38"/>
      <c r="W211" s="38"/>
      <c r="X211" s="38"/>
      <c r="Y211" s="34"/>
      <c r="Z211" s="34"/>
    </row>
    <row r="212" ht="111.0" customHeight="1">
      <c r="A212" s="76"/>
      <c r="B212" s="60" t="s">
        <v>242</v>
      </c>
      <c r="C212" s="136">
        <v>3.0</v>
      </c>
      <c r="D212" s="88">
        <v>0.0</v>
      </c>
      <c r="E212" s="77">
        <v>0.0</v>
      </c>
      <c r="F212" s="77">
        <f t="shared" ref="F212:F223" si="23">SUM(D212:E212)</f>
        <v>0</v>
      </c>
      <c r="G212" s="60" t="s">
        <v>243</v>
      </c>
      <c r="H212" s="60"/>
      <c r="I212" s="60"/>
      <c r="J212" s="60"/>
      <c r="K212" s="60"/>
      <c r="L212" s="60"/>
      <c r="M212" s="60"/>
      <c r="N212" s="60"/>
      <c r="O212" s="60"/>
      <c r="P212" s="38"/>
      <c r="Q212" s="38"/>
      <c r="R212" s="38"/>
      <c r="S212" s="38"/>
      <c r="T212" s="38"/>
      <c r="U212" s="38"/>
      <c r="V212" s="38"/>
      <c r="W212" s="38"/>
      <c r="X212" s="38"/>
      <c r="Y212" s="34"/>
      <c r="Z212" s="34"/>
    </row>
    <row r="213" ht="15.75" customHeight="1">
      <c r="A213" s="64"/>
      <c r="B213" s="60" t="s">
        <v>244</v>
      </c>
      <c r="C213" s="136">
        <v>3.0</v>
      </c>
      <c r="D213" s="77">
        <v>0.0</v>
      </c>
      <c r="E213" s="77">
        <v>0.0</v>
      </c>
      <c r="F213" s="77">
        <f t="shared" si="23"/>
        <v>0</v>
      </c>
      <c r="G213" s="158" t="s">
        <v>245</v>
      </c>
      <c r="H213" s="60"/>
      <c r="I213" s="60"/>
      <c r="J213" s="60"/>
      <c r="K213" s="60"/>
      <c r="L213" s="60"/>
      <c r="M213" s="60"/>
      <c r="N213" s="60"/>
      <c r="O213" s="60"/>
      <c r="P213" s="38"/>
      <c r="Q213" s="38"/>
      <c r="R213" s="38"/>
      <c r="S213" s="38"/>
      <c r="T213" s="38"/>
      <c r="U213" s="38"/>
      <c r="V213" s="38"/>
      <c r="W213" s="38"/>
      <c r="X213" s="38"/>
      <c r="Y213" s="34"/>
      <c r="Z213" s="34"/>
    </row>
    <row r="214" ht="15.75" customHeight="1">
      <c r="A214" s="64"/>
      <c r="B214" s="60" t="s">
        <v>199</v>
      </c>
      <c r="C214" s="136">
        <v>3.0</v>
      </c>
      <c r="D214" s="77">
        <v>0.0</v>
      </c>
      <c r="E214" s="77">
        <v>0.0</v>
      </c>
      <c r="F214" s="77">
        <f t="shared" si="23"/>
        <v>0</v>
      </c>
      <c r="G214" s="60"/>
      <c r="H214" s="60"/>
      <c r="I214" s="60"/>
      <c r="J214" s="60"/>
      <c r="K214" s="60"/>
      <c r="L214" s="60"/>
      <c r="M214" s="60"/>
      <c r="N214" s="60"/>
      <c r="O214" s="60"/>
      <c r="P214" s="38"/>
      <c r="Q214" s="38"/>
      <c r="R214" s="38"/>
      <c r="S214" s="38"/>
      <c r="T214" s="38"/>
      <c r="U214" s="38"/>
      <c r="V214" s="38"/>
      <c r="W214" s="38"/>
      <c r="X214" s="38"/>
      <c r="Y214" s="34"/>
      <c r="Z214" s="34"/>
    </row>
    <row r="215" ht="15.75" customHeight="1">
      <c r="A215" s="64"/>
      <c r="B215" s="65" t="s">
        <v>246</v>
      </c>
      <c r="C215" s="136">
        <v>2.0</v>
      </c>
      <c r="D215" s="77">
        <v>0.0</v>
      </c>
      <c r="E215" s="77">
        <v>0.0</v>
      </c>
      <c r="F215" s="77">
        <f t="shared" si="23"/>
        <v>0</v>
      </c>
      <c r="G215" s="60" t="s">
        <v>247</v>
      </c>
      <c r="H215" s="60"/>
      <c r="I215" s="60"/>
      <c r="J215" s="60"/>
      <c r="K215" s="60"/>
      <c r="L215" s="60"/>
      <c r="M215" s="60"/>
      <c r="N215" s="60"/>
      <c r="O215" s="60"/>
      <c r="P215" s="38"/>
      <c r="Q215" s="38"/>
      <c r="R215" s="38"/>
      <c r="S215" s="38"/>
      <c r="T215" s="38"/>
      <c r="U215" s="38"/>
      <c r="V215" s="38"/>
      <c r="W215" s="38"/>
      <c r="X215" s="38"/>
      <c r="Y215" s="34"/>
      <c r="Z215" s="34"/>
    </row>
    <row r="216" ht="15.75" customHeight="1">
      <c r="A216" s="64"/>
      <c r="B216" s="60" t="s">
        <v>248</v>
      </c>
      <c r="C216" s="136">
        <v>2.0</v>
      </c>
      <c r="D216" s="77">
        <v>0.0</v>
      </c>
      <c r="E216" s="77">
        <v>0.0</v>
      </c>
      <c r="F216" s="77">
        <f t="shared" si="23"/>
        <v>0</v>
      </c>
      <c r="G216" s="60"/>
      <c r="H216" s="60"/>
      <c r="I216" s="60"/>
      <c r="J216" s="60"/>
      <c r="K216" s="60"/>
      <c r="L216" s="60"/>
      <c r="M216" s="60"/>
      <c r="N216" s="60"/>
      <c r="O216" s="60"/>
      <c r="P216" s="38"/>
      <c r="Q216" s="38"/>
      <c r="R216" s="38"/>
      <c r="S216" s="38"/>
      <c r="T216" s="38"/>
      <c r="U216" s="38"/>
      <c r="V216" s="38"/>
      <c r="W216" s="38"/>
      <c r="X216" s="38"/>
      <c r="Y216" s="34"/>
      <c r="Z216" s="34"/>
    </row>
    <row r="217" ht="15.75" customHeight="1">
      <c r="A217" s="64"/>
      <c r="B217" s="60" t="s">
        <v>249</v>
      </c>
      <c r="C217" s="136">
        <v>1.0</v>
      </c>
      <c r="D217" s="77">
        <v>0.0</v>
      </c>
      <c r="E217" s="77">
        <v>0.0</v>
      </c>
      <c r="F217" s="77">
        <f t="shared" si="23"/>
        <v>0</v>
      </c>
      <c r="G217" s="60"/>
      <c r="H217" s="60"/>
      <c r="I217" s="60"/>
      <c r="J217" s="60"/>
      <c r="K217" s="60"/>
      <c r="L217" s="60"/>
      <c r="M217" s="60"/>
      <c r="N217" s="60"/>
      <c r="O217" s="60"/>
      <c r="P217" s="38"/>
      <c r="Q217" s="38"/>
      <c r="R217" s="38"/>
      <c r="S217" s="38"/>
      <c r="T217" s="38"/>
      <c r="U217" s="38"/>
      <c r="V217" s="38"/>
      <c r="W217" s="38"/>
      <c r="X217" s="38"/>
      <c r="Y217" s="34"/>
      <c r="Z217" s="34"/>
    </row>
    <row r="218" ht="94.5" customHeight="1">
      <c r="A218" s="64"/>
      <c r="B218" s="60" t="s">
        <v>210</v>
      </c>
      <c r="C218" s="136">
        <v>1.0</v>
      </c>
      <c r="D218" s="77">
        <v>0.0</v>
      </c>
      <c r="E218" s="77">
        <v>0.0</v>
      </c>
      <c r="F218" s="77">
        <f t="shared" si="23"/>
        <v>0</v>
      </c>
      <c r="G218" s="60" t="s">
        <v>250</v>
      </c>
      <c r="H218" s="60"/>
      <c r="I218" s="60"/>
      <c r="J218" s="60"/>
      <c r="K218" s="60"/>
      <c r="L218" s="60"/>
      <c r="M218" s="60"/>
      <c r="N218" s="60"/>
      <c r="O218" s="60"/>
      <c r="P218" s="38"/>
      <c r="Q218" s="38"/>
      <c r="R218" s="38"/>
      <c r="S218" s="38"/>
      <c r="T218" s="38"/>
      <c r="U218" s="38"/>
      <c r="V218" s="38"/>
      <c r="W218" s="38"/>
      <c r="X218" s="38"/>
      <c r="Y218" s="34"/>
      <c r="Z218" s="34"/>
    </row>
    <row r="219" ht="15.75" customHeight="1">
      <c r="A219" s="64"/>
      <c r="B219" s="65" t="s">
        <v>251</v>
      </c>
      <c r="C219" s="136">
        <v>2.0</v>
      </c>
      <c r="D219" s="77">
        <v>0.0</v>
      </c>
      <c r="E219" s="77">
        <v>0.0</v>
      </c>
      <c r="F219" s="77">
        <f t="shared" si="23"/>
        <v>0</v>
      </c>
      <c r="G219" s="87" t="s">
        <v>216</v>
      </c>
      <c r="H219" s="60"/>
      <c r="I219" s="60"/>
      <c r="J219" s="60"/>
      <c r="K219" s="60"/>
      <c r="L219" s="60"/>
      <c r="M219" s="60"/>
      <c r="N219" s="60"/>
      <c r="O219" s="60"/>
      <c r="P219" s="38"/>
      <c r="Q219" s="38"/>
      <c r="R219" s="38"/>
      <c r="S219" s="38"/>
      <c r="T219" s="38"/>
      <c r="U219" s="38"/>
      <c r="V219" s="38"/>
      <c r="W219" s="38"/>
      <c r="X219" s="38"/>
      <c r="Y219" s="34"/>
      <c r="Z219" s="34"/>
    </row>
    <row r="220" ht="15.75" customHeight="1">
      <c r="A220" s="64"/>
      <c r="B220" s="60" t="s">
        <v>252</v>
      </c>
      <c r="C220" s="136">
        <v>1.0</v>
      </c>
      <c r="D220" s="77">
        <v>0.0</v>
      </c>
      <c r="E220" s="77">
        <v>0.0</v>
      </c>
      <c r="F220" s="77">
        <f t="shared" si="23"/>
        <v>0</v>
      </c>
      <c r="G220" s="60" t="s">
        <v>236</v>
      </c>
      <c r="H220" s="60"/>
      <c r="I220" s="60"/>
      <c r="J220" s="60"/>
      <c r="K220" s="60"/>
      <c r="L220" s="60"/>
      <c r="M220" s="60"/>
      <c r="N220" s="60"/>
      <c r="O220" s="60"/>
      <c r="P220" s="38"/>
      <c r="Q220" s="38"/>
      <c r="R220" s="38"/>
      <c r="S220" s="38"/>
      <c r="T220" s="38"/>
      <c r="U220" s="38"/>
      <c r="V220" s="38"/>
      <c r="W220" s="38"/>
      <c r="X220" s="38"/>
      <c r="Y220" s="34"/>
      <c r="Z220" s="34"/>
    </row>
    <row r="221" ht="15.75" customHeight="1">
      <c r="A221" s="64"/>
      <c r="B221" s="60" t="s">
        <v>253</v>
      </c>
      <c r="C221" s="136">
        <v>1.0</v>
      </c>
      <c r="D221" s="77">
        <v>0.0</v>
      </c>
      <c r="E221" s="77">
        <v>0.0</v>
      </c>
      <c r="F221" s="77">
        <f t="shared" si="23"/>
        <v>0</v>
      </c>
      <c r="G221" s="60"/>
      <c r="H221" s="60"/>
      <c r="I221" s="60"/>
      <c r="J221" s="60"/>
      <c r="K221" s="60"/>
      <c r="L221" s="60"/>
      <c r="M221" s="60"/>
      <c r="N221" s="60"/>
      <c r="O221" s="60"/>
      <c r="P221" s="38"/>
      <c r="Q221" s="38"/>
      <c r="R221" s="38"/>
      <c r="S221" s="38"/>
      <c r="T221" s="38"/>
      <c r="U221" s="38"/>
      <c r="V221" s="38"/>
      <c r="W221" s="38"/>
      <c r="X221" s="38"/>
      <c r="Y221" s="34"/>
      <c r="Z221" s="34"/>
    </row>
    <row r="222" ht="15.75" customHeight="1">
      <c r="A222" s="64"/>
      <c r="B222" s="60" t="s">
        <v>254</v>
      </c>
      <c r="C222" s="136">
        <v>1.0</v>
      </c>
      <c r="D222" s="77">
        <v>0.0</v>
      </c>
      <c r="E222" s="77">
        <v>0.0</v>
      </c>
      <c r="F222" s="77">
        <f t="shared" si="23"/>
        <v>0</v>
      </c>
      <c r="G222" s="60" t="s">
        <v>255</v>
      </c>
      <c r="H222" s="60"/>
      <c r="I222" s="60"/>
      <c r="J222" s="60"/>
      <c r="K222" s="60"/>
      <c r="L222" s="60"/>
      <c r="M222" s="60"/>
      <c r="N222" s="60"/>
      <c r="O222" s="60"/>
      <c r="P222" s="38"/>
      <c r="Q222" s="38"/>
      <c r="R222" s="38"/>
      <c r="S222" s="38"/>
      <c r="T222" s="38"/>
      <c r="U222" s="38"/>
      <c r="V222" s="38"/>
      <c r="W222" s="38"/>
      <c r="X222" s="38"/>
      <c r="Y222" s="34"/>
      <c r="Z222" s="34"/>
    </row>
    <row r="223" ht="177.75" customHeight="1">
      <c r="A223" s="68"/>
      <c r="B223" s="91" t="s">
        <v>256</v>
      </c>
      <c r="C223" s="136">
        <v>1.0</v>
      </c>
      <c r="D223" s="88">
        <v>0.0</v>
      </c>
      <c r="E223" s="77">
        <v>0.0</v>
      </c>
      <c r="F223" s="77">
        <f t="shared" si="23"/>
        <v>0</v>
      </c>
      <c r="G223" s="60" t="s">
        <v>257</v>
      </c>
      <c r="H223" s="60"/>
      <c r="I223" s="60"/>
      <c r="J223" s="60"/>
      <c r="K223" s="60"/>
      <c r="L223" s="60"/>
      <c r="M223" s="60"/>
      <c r="N223" s="60"/>
      <c r="O223" s="60"/>
      <c r="P223" s="38"/>
      <c r="Q223" s="38"/>
      <c r="R223" s="38"/>
      <c r="S223" s="38"/>
      <c r="T223" s="38"/>
      <c r="U223" s="38"/>
      <c r="V223" s="38"/>
      <c r="W223" s="38"/>
      <c r="X223" s="38"/>
      <c r="Y223" s="34"/>
      <c r="Z223" s="34"/>
    </row>
    <row r="224" ht="15.75" customHeight="1">
      <c r="A224" s="38" t="s">
        <v>43</v>
      </c>
      <c r="B224" s="46"/>
      <c r="C224" s="146"/>
      <c r="D224" s="37"/>
      <c r="E224" s="37"/>
      <c r="F224" s="37"/>
      <c r="G224" s="38"/>
      <c r="H224" s="38"/>
      <c r="I224" s="38"/>
      <c r="J224" s="38"/>
      <c r="K224" s="38"/>
      <c r="L224" s="38"/>
      <c r="M224" s="38"/>
      <c r="N224" s="38"/>
      <c r="O224" s="38"/>
      <c r="P224" s="38"/>
      <c r="Q224" s="38"/>
      <c r="R224" s="38"/>
      <c r="S224" s="38"/>
      <c r="T224" s="38"/>
      <c r="U224" s="38"/>
      <c r="V224" s="38"/>
      <c r="W224" s="38"/>
      <c r="X224" s="38"/>
      <c r="Y224" s="34"/>
      <c r="Z224" s="34"/>
    </row>
    <row r="225" ht="15.75" customHeight="1">
      <c r="A225" s="70" t="s">
        <v>82</v>
      </c>
      <c r="B225" s="145"/>
      <c r="C225" s="146">
        <f t="shared" ref="C225:F225" si="24">SUM(C212:C223)</f>
        <v>21</v>
      </c>
      <c r="D225" s="147">
        <f t="shared" si="24"/>
        <v>0</v>
      </c>
      <c r="E225" s="147">
        <f t="shared" si="24"/>
        <v>0</v>
      </c>
      <c r="F225" s="147">
        <f t="shared" si="24"/>
        <v>0</v>
      </c>
      <c r="G225" s="159"/>
      <c r="H225" s="160"/>
      <c r="I225" s="160"/>
      <c r="J225" s="160"/>
      <c r="K225" s="160"/>
      <c r="L225" s="160"/>
      <c r="M225" s="160"/>
      <c r="N225" s="160"/>
      <c r="O225" s="160"/>
      <c r="P225" s="38"/>
      <c r="Q225" s="38"/>
      <c r="R225" s="38"/>
      <c r="S225" s="38"/>
      <c r="T225" s="38"/>
      <c r="U225" s="38"/>
      <c r="V225" s="38"/>
      <c r="W225" s="38"/>
      <c r="X225" s="38"/>
      <c r="Y225" s="34"/>
      <c r="Z225" s="34"/>
    </row>
    <row r="226" ht="15.75" customHeight="1">
      <c r="A226" s="70"/>
      <c r="B226" s="46"/>
      <c r="C226" s="36"/>
      <c r="D226" s="36"/>
      <c r="E226" s="36"/>
      <c r="F226" s="36"/>
      <c r="G226" s="41"/>
      <c r="H226" s="39"/>
      <c r="I226" s="39"/>
      <c r="J226" s="39"/>
      <c r="K226" s="39"/>
      <c r="L226" s="39"/>
      <c r="M226" s="39"/>
      <c r="N226" s="39"/>
      <c r="O226" s="39"/>
      <c r="P226" s="38"/>
      <c r="Q226" s="38"/>
      <c r="R226" s="38"/>
      <c r="S226" s="38"/>
      <c r="T226" s="38"/>
      <c r="U226" s="38"/>
      <c r="V226" s="38"/>
      <c r="W226" s="38"/>
      <c r="X226" s="38"/>
      <c r="Y226" s="34"/>
      <c r="Z226" s="34"/>
    </row>
    <row r="227" ht="15.75" customHeight="1">
      <c r="A227" s="105" t="s">
        <v>258</v>
      </c>
      <c r="B227" s="145"/>
      <c r="C227" s="146">
        <f t="shared" ref="C227:F227" si="25">SUM(C225+C209+C188)</f>
        <v>74</v>
      </c>
      <c r="D227" s="147">
        <f t="shared" si="25"/>
        <v>0</v>
      </c>
      <c r="E227" s="147">
        <f t="shared" si="25"/>
        <v>0</v>
      </c>
      <c r="F227" s="147">
        <f t="shared" si="25"/>
        <v>0</v>
      </c>
      <c r="G227" s="161"/>
      <c r="H227" s="160"/>
      <c r="I227" s="160"/>
      <c r="J227" s="160"/>
      <c r="K227" s="160"/>
      <c r="L227" s="160"/>
      <c r="M227" s="160"/>
      <c r="N227" s="160"/>
      <c r="O227" s="160"/>
      <c r="P227" s="38"/>
      <c r="Q227" s="38"/>
      <c r="R227" s="38"/>
      <c r="S227" s="38"/>
      <c r="T227" s="38"/>
      <c r="U227" s="38"/>
      <c r="V227" s="38"/>
      <c r="W227" s="38"/>
      <c r="X227" s="38"/>
      <c r="Y227" s="34"/>
      <c r="Z227" s="34"/>
    </row>
    <row r="228" ht="15.75" customHeight="1">
      <c r="A228" s="41"/>
      <c r="B228" s="46"/>
      <c r="C228" s="36"/>
      <c r="D228" s="37"/>
      <c r="E228" s="37"/>
      <c r="F228" s="37"/>
      <c r="G228" s="38"/>
      <c r="H228" s="38"/>
      <c r="I228" s="38"/>
      <c r="J228" s="38"/>
      <c r="K228" s="38"/>
      <c r="L228" s="38"/>
      <c r="M228" s="38"/>
      <c r="N228" s="38"/>
      <c r="O228" s="38"/>
      <c r="P228" s="38"/>
      <c r="Q228" s="38"/>
      <c r="R228" s="38"/>
      <c r="S228" s="38"/>
      <c r="T228" s="38"/>
      <c r="U228" s="38"/>
      <c r="V228" s="38"/>
      <c r="W228" s="38"/>
      <c r="X228" s="38"/>
      <c r="Y228" s="34"/>
      <c r="Z228" s="34"/>
    </row>
    <row r="229" ht="15.75" customHeight="1">
      <c r="A229" s="162" t="s">
        <v>259</v>
      </c>
      <c r="B229" s="162"/>
      <c r="C229" s="163" t="s">
        <v>46</v>
      </c>
      <c r="D229" s="163" t="s">
        <v>21</v>
      </c>
      <c r="E229" s="163" t="s">
        <v>22</v>
      </c>
      <c r="F229" s="163" t="s">
        <v>23</v>
      </c>
      <c r="G229" s="162" t="s">
        <v>24</v>
      </c>
      <c r="H229" s="162" t="s">
        <v>84</v>
      </c>
      <c r="I229" s="162" t="s">
        <v>26</v>
      </c>
      <c r="J229" s="162" t="s">
        <v>85</v>
      </c>
      <c r="K229" s="162" t="s">
        <v>26</v>
      </c>
      <c r="L229" s="162" t="s">
        <v>28</v>
      </c>
      <c r="M229" s="164" t="s">
        <v>29</v>
      </c>
      <c r="N229" s="162" t="s">
        <v>30</v>
      </c>
      <c r="O229" s="162" t="s">
        <v>31</v>
      </c>
      <c r="P229" s="38"/>
      <c r="Q229" s="38"/>
      <c r="R229" s="38"/>
      <c r="S229" s="38"/>
      <c r="T229" s="38"/>
      <c r="U229" s="38"/>
      <c r="V229" s="38"/>
      <c r="W229" s="38"/>
      <c r="X229" s="38"/>
      <c r="Y229" s="34"/>
      <c r="Z229" s="34"/>
    </row>
    <row r="230" ht="15.75" customHeight="1">
      <c r="A230" s="38"/>
      <c r="B230" s="40"/>
      <c r="C230" s="36"/>
      <c r="D230" s="37"/>
      <c r="E230" s="37"/>
      <c r="F230" s="37"/>
      <c r="G230" s="38"/>
      <c r="H230" s="38"/>
      <c r="I230" s="38"/>
      <c r="J230" s="38"/>
      <c r="K230" s="38"/>
      <c r="L230" s="38"/>
      <c r="M230" s="38"/>
      <c r="N230" s="38"/>
      <c r="O230" s="38"/>
      <c r="P230" s="38"/>
      <c r="Q230" s="38"/>
      <c r="R230" s="38"/>
      <c r="S230" s="38"/>
      <c r="T230" s="38"/>
      <c r="U230" s="38"/>
      <c r="V230" s="38"/>
      <c r="W230" s="38"/>
      <c r="X230" s="38"/>
      <c r="Y230" s="34"/>
      <c r="Z230" s="34"/>
    </row>
    <row r="231" ht="15.75" customHeight="1">
      <c r="A231" s="162" t="s">
        <v>260</v>
      </c>
      <c r="B231" s="58"/>
      <c r="C231" s="36"/>
      <c r="D231" s="37"/>
      <c r="E231" s="37"/>
      <c r="F231" s="37"/>
      <c r="G231" s="38"/>
      <c r="H231" s="38"/>
      <c r="I231" s="38"/>
      <c r="J231" s="38"/>
      <c r="K231" s="38"/>
      <c r="L231" s="38"/>
      <c r="M231" s="38"/>
      <c r="N231" s="38"/>
      <c r="O231" s="38"/>
      <c r="P231" s="38"/>
      <c r="Q231" s="38"/>
      <c r="R231" s="38"/>
      <c r="S231" s="38"/>
      <c r="T231" s="38"/>
      <c r="U231" s="38"/>
      <c r="V231" s="38"/>
      <c r="W231" s="38"/>
      <c r="X231" s="38"/>
      <c r="Y231" s="34"/>
      <c r="Z231" s="34"/>
    </row>
    <row r="232" ht="15.75" customHeight="1">
      <c r="A232" s="76" t="s">
        <v>261</v>
      </c>
      <c r="B232" s="65" t="s">
        <v>262</v>
      </c>
      <c r="C232" s="165">
        <v>1.0</v>
      </c>
      <c r="D232" s="88">
        <v>0.0</v>
      </c>
      <c r="E232" s="77">
        <v>0.0</v>
      </c>
      <c r="F232" s="77">
        <f t="shared" ref="F232:F237" si="26">SUM(D232:E232)</f>
        <v>0</v>
      </c>
      <c r="G232" s="60" t="s">
        <v>263</v>
      </c>
      <c r="H232" s="150"/>
      <c r="I232" s="150"/>
      <c r="J232" s="150"/>
      <c r="K232" s="150"/>
      <c r="L232" s="150"/>
      <c r="M232" s="150"/>
      <c r="N232" s="150"/>
      <c r="O232" s="150"/>
      <c r="P232" s="166"/>
      <c r="Q232" s="166"/>
      <c r="R232" s="166"/>
      <c r="S232" s="166"/>
      <c r="T232" s="166"/>
      <c r="U232" s="166"/>
      <c r="V232" s="166"/>
      <c r="W232" s="166"/>
      <c r="X232" s="166"/>
      <c r="Y232" s="34"/>
      <c r="Z232" s="34"/>
    </row>
    <row r="233" ht="15.75" customHeight="1">
      <c r="A233" s="64"/>
      <c r="B233" s="65" t="s">
        <v>264</v>
      </c>
      <c r="C233" s="165">
        <v>1.0</v>
      </c>
      <c r="D233" s="88">
        <v>0.0</v>
      </c>
      <c r="E233" s="77">
        <v>0.0</v>
      </c>
      <c r="F233" s="77">
        <f t="shared" si="26"/>
        <v>0</v>
      </c>
      <c r="G233" s="60" t="s">
        <v>265</v>
      </c>
      <c r="H233" s="150"/>
      <c r="I233" s="150"/>
      <c r="J233" s="150"/>
      <c r="K233" s="150"/>
      <c r="L233" s="150"/>
      <c r="M233" s="150"/>
      <c r="N233" s="150"/>
      <c r="O233" s="150"/>
      <c r="P233" s="166"/>
      <c r="Q233" s="166"/>
      <c r="R233" s="166"/>
      <c r="S233" s="166"/>
      <c r="T233" s="166"/>
      <c r="U233" s="166"/>
      <c r="V233" s="166"/>
      <c r="W233" s="166"/>
      <c r="X233" s="166"/>
      <c r="Y233" s="34"/>
      <c r="Z233" s="34"/>
    </row>
    <row r="234" ht="66.75" customHeight="1">
      <c r="A234" s="64"/>
      <c r="B234" s="65" t="s">
        <v>266</v>
      </c>
      <c r="C234" s="165">
        <v>1.0</v>
      </c>
      <c r="D234" s="88">
        <v>0.0</v>
      </c>
      <c r="E234" s="77">
        <v>0.0</v>
      </c>
      <c r="F234" s="77">
        <f t="shared" si="26"/>
        <v>0</v>
      </c>
      <c r="G234" s="60"/>
      <c r="H234" s="150"/>
      <c r="I234" s="150"/>
      <c r="J234" s="150"/>
      <c r="K234" s="150"/>
      <c r="L234" s="150"/>
      <c r="M234" s="150"/>
      <c r="N234" s="150"/>
      <c r="O234" s="150"/>
      <c r="P234" s="166"/>
      <c r="Q234" s="166"/>
      <c r="R234" s="166"/>
      <c r="S234" s="166"/>
      <c r="T234" s="166"/>
      <c r="U234" s="166"/>
      <c r="V234" s="166"/>
      <c r="W234" s="166"/>
      <c r="X234" s="166"/>
      <c r="Y234" s="34"/>
      <c r="Z234" s="34"/>
    </row>
    <row r="235" ht="15.75" customHeight="1">
      <c r="A235" s="64"/>
      <c r="B235" s="65" t="s">
        <v>267</v>
      </c>
      <c r="C235" s="165">
        <v>1.0</v>
      </c>
      <c r="D235" s="88">
        <v>0.0</v>
      </c>
      <c r="E235" s="77">
        <v>0.0</v>
      </c>
      <c r="F235" s="77">
        <f t="shared" si="26"/>
        <v>0</v>
      </c>
      <c r="G235" s="91" t="s">
        <v>268</v>
      </c>
      <c r="H235" s="150"/>
      <c r="I235" s="150"/>
      <c r="J235" s="150"/>
      <c r="K235" s="150"/>
      <c r="L235" s="150"/>
      <c r="M235" s="150"/>
      <c r="N235" s="150"/>
      <c r="O235" s="150"/>
      <c r="P235" s="166"/>
      <c r="Q235" s="166"/>
      <c r="R235" s="166"/>
      <c r="S235" s="166"/>
      <c r="T235" s="166"/>
      <c r="U235" s="166"/>
      <c r="V235" s="166"/>
      <c r="W235" s="166"/>
      <c r="X235" s="166"/>
      <c r="Y235" s="34"/>
      <c r="Z235" s="34"/>
    </row>
    <row r="236" ht="149.25" customHeight="1">
      <c r="A236" s="64"/>
      <c r="B236" s="65" t="s">
        <v>269</v>
      </c>
      <c r="C236" s="165">
        <v>1.0</v>
      </c>
      <c r="D236" s="88">
        <v>0.0</v>
      </c>
      <c r="E236" s="77">
        <v>0.0</v>
      </c>
      <c r="F236" s="77">
        <f t="shared" si="26"/>
        <v>0</v>
      </c>
      <c r="G236" s="60" t="s">
        <v>270</v>
      </c>
      <c r="H236" s="150"/>
      <c r="I236" s="150"/>
      <c r="J236" s="150"/>
      <c r="K236" s="150"/>
      <c r="L236" s="150"/>
      <c r="M236" s="150"/>
      <c r="N236" s="150"/>
      <c r="O236" s="150"/>
      <c r="P236" s="166"/>
      <c r="Q236" s="166"/>
      <c r="R236" s="166"/>
      <c r="S236" s="166"/>
      <c r="T236" s="166"/>
      <c r="U236" s="166"/>
      <c r="V236" s="166"/>
      <c r="W236" s="166"/>
      <c r="X236" s="166"/>
      <c r="Y236" s="34"/>
      <c r="Z236" s="34"/>
    </row>
    <row r="237" ht="15.75" customHeight="1">
      <c r="A237" s="64"/>
      <c r="B237" s="60" t="s">
        <v>271</v>
      </c>
      <c r="C237" s="165">
        <v>1.0</v>
      </c>
      <c r="D237" s="88">
        <v>0.0</v>
      </c>
      <c r="E237" s="77">
        <v>0.0</v>
      </c>
      <c r="F237" s="77">
        <f t="shared" si="26"/>
        <v>0</v>
      </c>
      <c r="G237" s="60" t="s">
        <v>272</v>
      </c>
      <c r="H237" s="150"/>
      <c r="I237" s="150"/>
      <c r="J237" s="150"/>
      <c r="K237" s="150"/>
      <c r="L237" s="150"/>
      <c r="M237" s="150"/>
      <c r="N237" s="150"/>
      <c r="O237" s="150"/>
      <c r="P237" s="166"/>
      <c r="Q237" s="166"/>
      <c r="R237" s="166"/>
      <c r="S237" s="166"/>
      <c r="T237" s="166"/>
      <c r="U237" s="166"/>
      <c r="V237" s="166"/>
      <c r="W237" s="166"/>
      <c r="X237" s="166"/>
      <c r="Y237" s="34"/>
      <c r="Z237" s="34"/>
    </row>
    <row r="238" ht="15.75" customHeight="1">
      <c r="A238" s="167"/>
      <c r="B238" s="46"/>
      <c r="C238" s="168"/>
      <c r="D238" s="37"/>
      <c r="E238" s="37"/>
      <c r="F238" s="37"/>
      <c r="G238" s="38"/>
      <c r="H238" s="38"/>
      <c r="I238" s="38"/>
      <c r="J238" s="38"/>
      <c r="K238" s="38"/>
      <c r="L238" s="38"/>
      <c r="M238" s="38"/>
      <c r="N238" s="38"/>
      <c r="O238" s="38"/>
      <c r="P238" s="38"/>
      <c r="Q238" s="38"/>
      <c r="R238" s="38"/>
      <c r="S238" s="38"/>
      <c r="T238" s="38"/>
      <c r="U238" s="38"/>
      <c r="V238" s="38"/>
      <c r="W238" s="38"/>
      <c r="X238" s="38"/>
      <c r="Y238" s="34"/>
      <c r="Z238" s="34"/>
    </row>
    <row r="239" ht="15.75" customHeight="1">
      <c r="A239" s="70" t="s">
        <v>82</v>
      </c>
      <c r="B239" s="169"/>
      <c r="C239" s="168">
        <f t="shared" ref="C239:F239" si="27">SUM(C232:C237)</f>
        <v>6</v>
      </c>
      <c r="D239" s="170">
        <f t="shared" si="27"/>
        <v>0</v>
      </c>
      <c r="E239" s="170">
        <f t="shared" si="27"/>
        <v>0</v>
      </c>
      <c r="F239" s="170">
        <f t="shared" si="27"/>
        <v>0</v>
      </c>
      <c r="G239" s="171"/>
      <c r="H239" s="172"/>
      <c r="I239" s="172"/>
      <c r="J239" s="172"/>
      <c r="K239" s="172"/>
      <c r="L239" s="172"/>
      <c r="M239" s="172"/>
      <c r="N239" s="172"/>
      <c r="O239" s="172"/>
      <c r="P239" s="38"/>
      <c r="Q239" s="38"/>
      <c r="R239" s="38"/>
      <c r="S239" s="38"/>
      <c r="T239" s="38"/>
      <c r="U239" s="38"/>
      <c r="V239" s="38"/>
      <c r="W239" s="38"/>
      <c r="X239" s="38"/>
      <c r="Y239" s="34"/>
      <c r="Z239" s="34"/>
    </row>
    <row r="240" ht="15.75" customHeight="1">
      <c r="A240" s="38"/>
      <c r="B240" s="40"/>
      <c r="C240" s="36"/>
      <c r="D240" s="37"/>
      <c r="E240" s="37"/>
      <c r="F240" s="37"/>
      <c r="G240" s="38"/>
      <c r="H240" s="38"/>
      <c r="I240" s="38"/>
      <c r="J240" s="38"/>
      <c r="K240" s="38"/>
      <c r="L240" s="38"/>
      <c r="M240" s="38"/>
      <c r="N240" s="38"/>
      <c r="O240" s="38"/>
      <c r="P240" s="38"/>
      <c r="Q240" s="38"/>
      <c r="R240" s="38"/>
      <c r="S240" s="38"/>
      <c r="T240" s="38"/>
      <c r="U240" s="38"/>
      <c r="V240" s="38"/>
      <c r="W240" s="38"/>
      <c r="X240" s="38"/>
      <c r="Y240" s="34"/>
      <c r="Z240" s="34"/>
    </row>
    <row r="241" ht="15.75" customHeight="1">
      <c r="A241" s="162" t="s">
        <v>273</v>
      </c>
      <c r="B241" s="162"/>
      <c r="C241" s="163" t="s">
        <v>46</v>
      </c>
      <c r="D241" s="163" t="s">
        <v>21</v>
      </c>
      <c r="E241" s="163" t="s">
        <v>22</v>
      </c>
      <c r="F241" s="163" t="s">
        <v>23</v>
      </c>
      <c r="G241" s="162" t="s">
        <v>24</v>
      </c>
      <c r="H241" s="162" t="s">
        <v>84</v>
      </c>
      <c r="I241" s="162" t="s">
        <v>26</v>
      </c>
      <c r="J241" s="162" t="s">
        <v>85</v>
      </c>
      <c r="K241" s="162" t="s">
        <v>26</v>
      </c>
      <c r="L241" s="162" t="s">
        <v>28</v>
      </c>
      <c r="M241" s="164" t="s">
        <v>29</v>
      </c>
      <c r="N241" s="162" t="s">
        <v>30</v>
      </c>
      <c r="O241" s="162" t="s">
        <v>31</v>
      </c>
      <c r="P241" s="38"/>
      <c r="Q241" s="38"/>
      <c r="R241" s="38"/>
      <c r="S241" s="38"/>
      <c r="T241" s="38"/>
      <c r="U241" s="38"/>
      <c r="V241" s="38"/>
      <c r="W241" s="38"/>
      <c r="X241" s="38"/>
      <c r="Y241" s="34"/>
      <c r="Z241" s="34"/>
    </row>
    <row r="242" ht="15.75" customHeight="1">
      <c r="A242" s="76" t="s">
        <v>274</v>
      </c>
      <c r="B242" s="173" t="s">
        <v>275</v>
      </c>
      <c r="C242" s="165">
        <v>1.0</v>
      </c>
      <c r="D242" s="88">
        <v>0.0</v>
      </c>
      <c r="E242" s="77">
        <v>0.0</v>
      </c>
      <c r="F242" s="77">
        <f t="shared" ref="F242:F246" si="28">SUM(D242:E242)</f>
        <v>0</v>
      </c>
      <c r="G242" s="173" t="s">
        <v>276</v>
      </c>
      <c r="H242" s="60"/>
      <c r="I242" s="60"/>
      <c r="J242" s="60"/>
      <c r="K242" s="60"/>
      <c r="L242" s="60"/>
      <c r="M242" s="60"/>
      <c r="N242" s="60"/>
      <c r="O242" s="60"/>
      <c r="P242" s="38"/>
      <c r="Q242" s="38"/>
      <c r="R242" s="38"/>
      <c r="S242" s="38"/>
      <c r="T242" s="38"/>
      <c r="U242" s="38"/>
      <c r="V242" s="38"/>
      <c r="W242" s="38"/>
      <c r="X242" s="38"/>
      <c r="Y242" s="34"/>
      <c r="Z242" s="34"/>
    </row>
    <row r="243" ht="15.75" customHeight="1">
      <c r="A243" s="64"/>
      <c r="B243" s="173" t="s">
        <v>277</v>
      </c>
      <c r="C243" s="165">
        <v>1.0</v>
      </c>
      <c r="D243" s="88">
        <v>0.0</v>
      </c>
      <c r="E243" s="77">
        <v>0.0</v>
      </c>
      <c r="F243" s="77">
        <f t="shared" si="28"/>
        <v>0</v>
      </c>
      <c r="G243" s="173" t="s">
        <v>278</v>
      </c>
      <c r="H243" s="60"/>
      <c r="I243" s="60"/>
      <c r="J243" s="60"/>
      <c r="K243" s="60"/>
      <c r="L243" s="60"/>
      <c r="M243" s="60"/>
      <c r="N243" s="60"/>
      <c r="O243" s="60"/>
      <c r="P243" s="38"/>
      <c r="Q243" s="38"/>
      <c r="R243" s="38"/>
      <c r="S243" s="38"/>
      <c r="T243" s="38"/>
      <c r="U243" s="38"/>
      <c r="V243" s="38"/>
      <c r="W243" s="38"/>
      <c r="X243" s="38"/>
      <c r="Y243" s="34"/>
      <c r="Z243" s="34"/>
    </row>
    <row r="244" ht="15.75" customHeight="1">
      <c r="A244" s="64"/>
      <c r="B244" s="173" t="s">
        <v>279</v>
      </c>
      <c r="C244" s="165">
        <v>1.0</v>
      </c>
      <c r="D244" s="88">
        <v>0.0</v>
      </c>
      <c r="E244" s="77">
        <v>0.0</v>
      </c>
      <c r="F244" s="77">
        <f t="shared" si="28"/>
        <v>0</v>
      </c>
      <c r="G244" s="173" t="s">
        <v>280</v>
      </c>
      <c r="H244" s="60"/>
      <c r="I244" s="60"/>
      <c r="J244" s="60"/>
      <c r="K244" s="60"/>
      <c r="L244" s="60"/>
      <c r="M244" s="60"/>
      <c r="N244" s="60"/>
      <c r="O244" s="60"/>
      <c r="P244" s="38"/>
      <c r="Q244" s="38"/>
      <c r="R244" s="38"/>
      <c r="S244" s="38"/>
      <c r="T244" s="38"/>
      <c r="U244" s="38"/>
      <c r="V244" s="38"/>
      <c r="W244" s="38"/>
      <c r="X244" s="38"/>
      <c r="Y244" s="34"/>
      <c r="Z244" s="34"/>
    </row>
    <row r="245" ht="15.75" customHeight="1">
      <c r="A245" s="64"/>
      <c r="B245" s="173" t="s">
        <v>281</v>
      </c>
      <c r="C245" s="165">
        <v>1.0</v>
      </c>
      <c r="D245" s="88">
        <v>0.0</v>
      </c>
      <c r="E245" s="77">
        <v>0.0</v>
      </c>
      <c r="F245" s="77">
        <f t="shared" si="28"/>
        <v>0</v>
      </c>
      <c r="G245" s="174" t="s">
        <v>282</v>
      </c>
      <c r="H245" s="60"/>
      <c r="I245" s="60"/>
      <c r="J245" s="60"/>
      <c r="K245" s="60"/>
      <c r="L245" s="60"/>
      <c r="M245" s="60"/>
      <c r="N245" s="60"/>
      <c r="O245" s="60"/>
      <c r="P245" s="38"/>
      <c r="Q245" s="38"/>
      <c r="R245" s="38"/>
      <c r="S245" s="38"/>
      <c r="T245" s="38"/>
      <c r="U245" s="38"/>
      <c r="V245" s="38"/>
      <c r="W245" s="38"/>
      <c r="X245" s="38"/>
      <c r="Y245" s="34"/>
      <c r="Z245" s="34"/>
    </row>
    <row r="246" ht="15.75" customHeight="1">
      <c r="A246" s="68"/>
      <c r="B246" s="91" t="s">
        <v>283</v>
      </c>
      <c r="C246" s="165">
        <v>1.0</v>
      </c>
      <c r="D246" s="88">
        <v>0.0</v>
      </c>
      <c r="E246" s="77">
        <v>0.0</v>
      </c>
      <c r="F246" s="77">
        <f t="shared" si="28"/>
        <v>0</v>
      </c>
      <c r="G246" s="173" t="s">
        <v>284</v>
      </c>
      <c r="H246" s="150"/>
      <c r="I246" s="150"/>
      <c r="J246" s="150"/>
      <c r="K246" s="150"/>
      <c r="L246" s="150"/>
      <c r="M246" s="150"/>
      <c r="N246" s="150"/>
      <c r="O246" s="150"/>
      <c r="P246" s="38"/>
      <c r="Q246" s="38"/>
      <c r="R246" s="38"/>
      <c r="S246" s="38"/>
      <c r="T246" s="38"/>
      <c r="U246" s="38"/>
      <c r="V246" s="38"/>
      <c r="W246" s="38"/>
      <c r="X246" s="38"/>
      <c r="Y246" s="34"/>
      <c r="Z246" s="34"/>
    </row>
    <row r="247" ht="15.75" customHeight="1">
      <c r="A247" s="38"/>
      <c r="B247" s="40"/>
      <c r="C247" s="36"/>
      <c r="D247" s="175" t="s">
        <v>43</v>
      </c>
      <c r="E247" s="37"/>
      <c r="F247" s="37"/>
      <c r="G247" s="38"/>
      <c r="H247" s="38"/>
      <c r="I247" s="38"/>
      <c r="J247" s="38"/>
      <c r="K247" s="38"/>
      <c r="L247" s="38"/>
      <c r="M247" s="38"/>
      <c r="N247" s="38"/>
      <c r="O247" s="38"/>
      <c r="P247" s="38"/>
      <c r="Q247" s="38"/>
      <c r="R247" s="38"/>
      <c r="S247" s="38"/>
      <c r="T247" s="38"/>
      <c r="U247" s="38"/>
      <c r="V247" s="38"/>
      <c r="W247" s="38"/>
      <c r="X247" s="38"/>
      <c r="Y247" s="34"/>
      <c r="Z247" s="34"/>
    </row>
    <row r="248" ht="15.75" customHeight="1">
      <c r="A248" s="70" t="s">
        <v>82</v>
      </c>
      <c r="B248" s="169"/>
      <c r="C248" s="168">
        <f>SUM(C242:C246)</f>
        <v>5</v>
      </c>
      <c r="D248" s="170">
        <f>SUM(D241:D247)</f>
        <v>0</v>
      </c>
      <c r="E248" s="170">
        <f t="shared" ref="E248:F248" si="29">SUM(E241:E246)</f>
        <v>0</v>
      </c>
      <c r="F248" s="170">
        <f t="shared" si="29"/>
        <v>0</v>
      </c>
      <c r="G248" s="176"/>
      <c r="H248" s="172"/>
      <c r="I248" s="172"/>
      <c r="J248" s="172"/>
      <c r="K248" s="172"/>
      <c r="L248" s="172"/>
      <c r="M248" s="172"/>
      <c r="N248" s="172"/>
      <c r="O248" s="172"/>
      <c r="P248" s="38"/>
      <c r="Q248" s="38"/>
      <c r="R248" s="38"/>
      <c r="S248" s="38"/>
      <c r="T248" s="38"/>
      <c r="U248" s="38"/>
      <c r="V248" s="38"/>
      <c r="W248" s="38"/>
      <c r="X248" s="38"/>
      <c r="Y248" s="34"/>
      <c r="Z248" s="34"/>
    </row>
    <row r="249" ht="15.75" customHeight="1">
      <c r="A249" s="38"/>
      <c r="B249" s="40"/>
      <c r="C249" s="36"/>
      <c r="D249" s="37"/>
      <c r="E249" s="37"/>
      <c r="F249" s="37"/>
      <c r="G249" s="38"/>
      <c r="H249" s="38"/>
      <c r="I249" s="38"/>
      <c r="J249" s="38"/>
      <c r="K249" s="38"/>
      <c r="L249" s="38"/>
      <c r="M249" s="38"/>
      <c r="N249" s="38"/>
      <c r="O249" s="38"/>
      <c r="P249" s="38"/>
      <c r="Q249" s="38"/>
      <c r="R249" s="38"/>
      <c r="S249" s="38"/>
      <c r="T249" s="38"/>
      <c r="U249" s="38"/>
      <c r="V249" s="38"/>
      <c r="W249" s="38"/>
      <c r="X249" s="38"/>
      <c r="Y249" s="34"/>
      <c r="Z249" s="34"/>
    </row>
    <row r="250" ht="15.75" customHeight="1">
      <c r="A250" s="162" t="s">
        <v>285</v>
      </c>
      <c r="B250" s="162"/>
      <c r="C250" s="163" t="s">
        <v>46</v>
      </c>
      <c r="D250" s="163" t="s">
        <v>21</v>
      </c>
      <c r="E250" s="163" t="s">
        <v>22</v>
      </c>
      <c r="F250" s="163" t="s">
        <v>23</v>
      </c>
      <c r="G250" s="162" t="s">
        <v>24</v>
      </c>
      <c r="H250" s="162" t="s">
        <v>84</v>
      </c>
      <c r="I250" s="162" t="s">
        <v>26</v>
      </c>
      <c r="J250" s="162" t="s">
        <v>85</v>
      </c>
      <c r="K250" s="162" t="s">
        <v>26</v>
      </c>
      <c r="L250" s="162" t="s">
        <v>28</v>
      </c>
      <c r="M250" s="164" t="s">
        <v>29</v>
      </c>
      <c r="N250" s="162" t="s">
        <v>30</v>
      </c>
      <c r="O250" s="162" t="s">
        <v>31</v>
      </c>
      <c r="P250" s="38"/>
      <c r="Q250" s="38"/>
      <c r="R250" s="38"/>
      <c r="S250" s="38"/>
      <c r="T250" s="38"/>
      <c r="U250" s="38"/>
      <c r="V250" s="38"/>
      <c r="W250" s="38"/>
      <c r="X250" s="38"/>
      <c r="Y250" s="34"/>
      <c r="Z250" s="34"/>
    </row>
    <row r="251" ht="15.75" customHeight="1">
      <c r="A251" s="76"/>
      <c r="B251" s="65" t="s">
        <v>286</v>
      </c>
      <c r="C251" s="165">
        <v>1.0</v>
      </c>
      <c r="D251" s="88">
        <v>0.0</v>
      </c>
      <c r="E251" s="77">
        <v>0.0</v>
      </c>
      <c r="F251" s="77">
        <f t="shared" ref="F251:F254" si="30">SUM(D251:E251)</f>
        <v>0</v>
      </c>
      <c r="G251" s="66" t="s">
        <v>287</v>
      </c>
      <c r="H251" s="60"/>
      <c r="I251" s="60"/>
      <c r="J251" s="60"/>
      <c r="K251" s="60"/>
      <c r="L251" s="60"/>
      <c r="M251" s="60"/>
      <c r="N251" s="60"/>
      <c r="O251" s="60"/>
      <c r="P251" s="38"/>
      <c r="Q251" s="38"/>
      <c r="R251" s="38"/>
      <c r="S251" s="38"/>
      <c r="T251" s="38"/>
      <c r="U251" s="38"/>
      <c r="V251" s="38"/>
      <c r="W251" s="38"/>
      <c r="X251" s="38"/>
      <c r="Y251" s="34"/>
      <c r="Z251" s="34"/>
    </row>
    <row r="252" ht="15.75" customHeight="1">
      <c r="A252" s="64"/>
      <c r="B252" s="60" t="s">
        <v>288</v>
      </c>
      <c r="C252" s="165">
        <v>1.0</v>
      </c>
      <c r="D252" s="88">
        <v>0.0</v>
      </c>
      <c r="E252" s="77">
        <v>0.0</v>
      </c>
      <c r="F252" s="77">
        <f t="shared" si="30"/>
        <v>0</v>
      </c>
      <c r="G252" s="60" t="s">
        <v>289</v>
      </c>
      <c r="H252" s="60"/>
      <c r="I252" s="60"/>
      <c r="J252" s="60"/>
      <c r="K252" s="60"/>
      <c r="L252" s="60"/>
      <c r="M252" s="60"/>
      <c r="N252" s="60"/>
      <c r="O252" s="60"/>
      <c r="P252" s="38"/>
      <c r="Q252" s="38"/>
      <c r="R252" s="38"/>
      <c r="S252" s="38"/>
      <c r="T252" s="38"/>
      <c r="U252" s="38"/>
      <c r="V252" s="38"/>
      <c r="W252" s="38"/>
      <c r="X252" s="38"/>
      <c r="Y252" s="34"/>
      <c r="Z252" s="34"/>
    </row>
    <row r="253" ht="33.0" customHeight="1">
      <c r="A253" s="64"/>
      <c r="B253" s="60" t="s">
        <v>290</v>
      </c>
      <c r="C253" s="165">
        <v>1.0</v>
      </c>
      <c r="D253" s="88">
        <v>0.0</v>
      </c>
      <c r="E253" s="77">
        <v>0.0</v>
      </c>
      <c r="F253" s="77">
        <f t="shared" si="30"/>
        <v>0</v>
      </c>
      <c r="G253" s="60" t="s">
        <v>291</v>
      </c>
      <c r="H253" s="60"/>
      <c r="I253" s="60"/>
      <c r="J253" s="60"/>
      <c r="K253" s="60"/>
      <c r="L253" s="60"/>
      <c r="M253" s="60"/>
      <c r="N253" s="60"/>
      <c r="O253" s="60"/>
      <c r="P253" s="38"/>
      <c r="Q253" s="38"/>
      <c r="R253" s="38"/>
      <c r="S253" s="38"/>
      <c r="T253" s="38"/>
      <c r="U253" s="38"/>
      <c r="V253" s="38"/>
      <c r="W253" s="38"/>
      <c r="X253" s="38"/>
      <c r="Y253" s="34"/>
      <c r="Z253" s="34"/>
    </row>
    <row r="254" ht="15.75" customHeight="1">
      <c r="A254" s="68"/>
      <c r="B254" s="60" t="s">
        <v>292</v>
      </c>
      <c r="C254" s="165">
        <v>1.0</v>
      </c>
      <c r="D254" s="88">
        <v>0.0</v>
      </c>
      <c r="E254" s="77">
        <v>0.0</v>
      </c>
      <c r="F254" s="77">
        <f t="shared" si="30"/>
        <v>0</v>
      </c>
      <c r="G254" s="60"/>
      <c r="H254" s="150"/>
      <c r="I254" s="150"/>
      <c r="J254" s="150"/>
      <c r="K254" s="150"/>
      <c r="L254" s="150"/>
      <c r="M254" s="150"/>
      <c r="N254" s="150"/>
      <c r="O254" s="150"/>
      <c r="P254" s="38"/>
      <c r="Q254" s="38"/>
      <c r="R254" s="38"/>
      <c r="S254" s="38"/>
      <c r="T254" s="38"/>
      <c r="U254" s="38"/>
      <c r="V254" s="38"/>
      <c r="W254" s="38"/>
      <c r="X254" s="38"/>
      <c r="Y254" s="34"/>
      <c r="Z254" s="34"/>
    </row>
    <row r="255" ht="15.75" customHeight="1">
      <c r="A255" s="41" t="s">
        <v>43</v>
      </c>
      <c r="B255" s="46"/>
      <c r="C255" s="168"/>
      <c r="D255" s="37"/>
      <c r="E255" s="37"/>
      <c r="F255" s="37"/>
      <c r="G255" s="38"/>
      <c r="H255" s="38"/>
      <c r="I255" s="38"/>
      <c r="J255" s="38"/>
      <c r="K255" s="38"/>
      <c r="L255" s="38"/>
      <c r="M255" s="38"/>
      <c r="N255" s="38"/>
      <c r="O255" s="38"/>
      <c r="P255" s="38"/>
      <c r="Q255" s="38"/>
      <c r="R255" s="38"/>
      <c r="S255" s="38"/>
      <c r="T255" s="38"/>
      <c r="U255" s="38"/>
      <c r="V255" s="38"/>
      <c r="W255" s="38"/>
      <c r="X255" s="38"/>
      <c r="Y255" s="34"/>
      <c r="Z255" s="34"/>
    </row>
    <row r="256" ht="15.75" customHeight="1">
      <c r="A256" s="70" t="s">
        <v>82</v>
      </c>
      <c r="B256" s="169"/>
      <c r="C256" s="168">
        <f t="shared" ref="C256:F256" si="31">SUM(C251:C254)</f>
        <v>4</v>
      </c>
      <c r="D256" s="170">
        <f t="shared" si="31"/>
        <v>0</v>
      </c>
      <c r="E256" s="170">
        <f t="shared" si="31"/>
        <v>0</v>
      </c>
      <c r="F256" s="170">
        <f t="shared" si="31"/>
        <v>0</v>
      </c>
      <c r="G256" s="176"/>
      <c r="H256" s="172"/>
      <c r="I256" s="172"/>
      <c r="J256" s="172"/>
      <c r="K256" s="172"/>
      <c r="L256" s="172"/>
      <c r="M256" s="172"/>
      <c r="N256" s="172"/>
      <c r="O256" s="172"/>
      <c r="P256" s="38"/>
      <c r="Q256" s="38"/>
      <c r="R256" s="38"/>
      <c r="S256" s="38"/>
      <c r="T256" s="38"/>
      <c r="U256" s="38"/>
      <c r="V256" s="38"/>
      <c r="W256" s="38"/>
      <c r="X256" s="38"/>
      <c r="Y256" s="34"/>
      <c r="Z256" s="34"/>
    </row>
    <row r="257" ht="15.75" customHeight="1">
      <c r="A257" s="38"/>
      <c r="B257" s="40"/>
      <c r="C257" s="36"/>
      <c r="D257" s="37"/>
      <c r="E257" s="37"/>
      <c r="F257" s="37"/>
      <c r="G257" s="38"/>
      <c r="H257" s="38"/>
      <c r="I257" s="38"/>
      <c r="J257" s="38"/>
      <c r="K257" s="38"/>
      <c r="L257" s="38"/>
      <c r="M257" s="38"/>
      <c r="N257" s="38"/>
      <c r="O257" s="38"/>
      <c r="P257" s="38"/>
      <c r="Q257" s="38"/>
      <c r="R257" s="38"/>
      <c r="S257" s="38"/>
      <c r="T257" s="38"/>
      <c r="U257" s="38"/>
      <c r="V257" s="38"/>
      <c r="W257" s="38"/>
      <c r="X257" s="38"/>
      <c r="Y257" s="34"/>
      <c r="Z257" s="34"/>
    </row>
    <row r="258" ht="15.75" customHeight="1">
      <c r="A258" s="162" t="s">
        <v>293</v>
      </c>
      <c r="B258" s="177" t="s">
        <v>294</v>
      </c>
      <c r="C258" s="163" t="s">
        <v>46</v>
      </c>
      <c r="D258" s="163" t="s">
        <v>21</v>
      </c>
      <c r="E258" s="163" t="s">
        <v>22</v>
      </c>
      <c r="F258" s="163" t="s">
        <v>23</v>
      </c>
      <c r="G258" s="162" t="s">
        <v>24</v>
      </c>
      <c r="H258" s="162" t="s">
        <v>84</v>
      </c>
      <c r="I258" s="162" t="s">
        <v>26</v>
      </c>
      <c r="J258" s="162" t="s">
        <v>85</v>
      </c>
      <c r="K258" s="162" t="s">
        <v>26</v>
      </c>
      <c r="L258" s="162" t="s">
        <v>28</v>
      </c>
      <c r="M258" s="164" t="s">
        <v>29</v>
      </c>
      <c r="N258" s="162" t="s">
        <v>30</v>
      </c>
      <c r="O258" s="162" t="s">
        <v>31</v>
      </c>
      <c r="P258" s="37"/>
      <c r="Q258" s="37"/>
      <c r="R258" s="37"/>
      <c r="S258" s="37"/>
      <c r="T258" s="37"/>
      <c r="U258" s="37"/>
      <c r="V258" s="37"/>
      <c r="W258" s="37"/>
      <c r="X258" s="37"/>
      <c r="Y258" s="34"/>
      <c r="Z258" s="34"/>
    </row>
    <row r="259" ht="15.75" customHeight="1">
      <c r="A259" s="76" t="s">
        <v>295</v>
      </c>
      <c r="B259" s="60" t="s">
        <v>296</v>
      </c>
      <c r="C259" s="165">
        <v>1.0</v>
      </c>
      <c r="D259" s="88">
        <v>0.0</v>
      </c>
      <c r="E259" s="77">
        <v>0.0</v>
      </c>
      <c r="F259" s="77">
        <f t="shared" ref="F259:F270" si="32">SUM(D259:E259)</f>
        <v>0</v>
      </c>
      <c r="G259" s="65" t="s">
        <v>297</v>
      </c>
      <c r="H259" s="60"/>
      <c r="I259" s="60"/>
      <c r="J259" s="60"/>
      <c r="K259" s="60"/>
      <c r="L259" s="60"/>
      <c r="M259" s="60"/>
      <c r="N259" s="60"/>
      <c r="O259" s="60"/>
      <c r="P259" s="38"/>
      <c r="Q259" s="38"/>
      <c r="R259" s="38"/>
      <c r="S259" s="38"/>
      <c r="T259" s="38"/>
      <c r="U259" s="38"/>
      <c r="V259" s="38"/>
      <c r="W259" s="38"/>
      <c r="X259" s="38"/>
      <c r="Y259" s="34"/>
      <c r="Z259" s="34"/>
    </row>
    <row r="260" ht="15.75" customHeight="1">
      <c r="A260" s="64"/>
      <c r="B260" s="60" t="s">
        <v>298</v>
      </c>
      <c r="C260" s="165">
        <v>1.0</v>
      </c>
      <c r="D260" s="88">
        <v>0.0</v>
      </c>
      <c r="E260" s="77">
        <v>0.0</v>
      </c>
      <c r="F260" s="77">
        <f t="shared" si="32"/>
        <v>0</v>
      </c>
      <c r="G260" s="65" t="s">
        <v>297</v>
      </c>
      <c r="H260" s="60"/>
      <c r="I260" s="60"/>
      <c r="J260" s="60"/>
      <c r="K260" s="60"/>
      <c r="L260" s="60"/>
      <c r="M260" s="60"/>
      <c r="N260" s="60"/>
      <c r="O260" s="60"/>
      <c r="P260" s="38"/>
      <c r="Q260" s="38"/>
      <c r="R260" s="38"/>
      <c r="S260" s="38"/>
      <c r="T260" s="38"/>
      <c r="U260" s="38"/>
      <c r="V260" s="38"/>
      <c r="W260" s="38"/>
      <c r="X260" s="38"/>
      <c r="Y260" s="34"/>
      <c r="Z260" s="34"/>
    </row>
    <row r="261" ht="15.75" customHeight="1">
      <c r="A261" s="68"/>
      <c r="B261" s="60" t="s">
        <v>299</v>
      </c>
      <c r="C261" s="165">
        <v>1.0</v>
      </c>
      <c r="D261" s="88">
        <v>0.0</v>
      </c>
      <c r="E261" s="77">
        <v>0.0</v>
      </c>
      <c r="F261" s="77">
        <f t="shared" si="32"/>
        <v>0</v>
      </c>
      <c r="G261" s="65" t="s">
        <v>297</v>
      </c>
      <c r="H261" s="60"/>
      <c r="I261" s="60"/>
      <c r="J261" s="60"/>
      <c r="K261" s="60"/>
      <c r="L261" s="60"/>
      <c r="M261" s="60"/>
      <c r="N261" s="60"/>
      <c r="O261" s="60"/>
      <c r="P261" s="38"/>
      <c r="Q261" s="38"/>
      <c r="R261" s="38"/>
      <c r="S261" s="38"/>
      <c r="T261" s="38"/>
      <c r="U261" s="38"/>
      <c r="V261" s="38"/>
      <c r="W261" s="38"/>
      <c r="X261" s="38"/>
      <c r="Y261" s="34"/>
      <c r="Z261" s="34"/>
    </row>
    <row r="262" ht="15.75" customHeight="1">
      <c r="A262" s="178" t="s">
        <v>300</v>
      </c>
      <c r="B262" s="60" t="s">
        <v>296</v>
      </c>
      <c r="C262" s="165">
        <v>1.0</v>
      </c>
      <c r="D262" s="88">
        <v>0.0</v>
      </c>
      <c r="E262" s="77">
        <v>0.0</v>
      </c>
      <c r="F262" s="77">
        <f t="shared" si="32"/>
        <v>0</v>
      </c>
      <c r="G262" s="65" t="s">
        <v>297</v>
      </c>
      <c r="H262" s="60"/>
      <c r="I262" s="60"/>
      <c r="J262" s="60"/>
      <c r="K262" s="60"/>
      <c r="L262" s="60"/>
      <c r="M262" s="60"/>
      <c r="N262" s="60"/>
      <c r="O262" s="60"/>
      <c r="P262" s="38"/>
      <c r="Q262" s="38"/>
      <c r="R262" s="38"/>
      <c r="S262" s="38"/>
      <c r="T262" s="38"/>
      <c r="U262" s="38"/>
      <c r="V262" s="38"/>
      <c r="W262" s="38"/>
      <c r="X262" s="38"/>
      <c r="Y262" s="34"/>
      <c r="Z262" s="34"/>
    </row>
    <row r="263" ht="15.75" customHeight="1">
      <c r="A263" s="64"/>
      <c r="B263" s="60" t="s">
        <v>298</v>
      </c>
      <c r="C263" s="165">
        <v>1.0</v>
      </c>
      <c r="D263" s="88">
        <v>0.0</v>
      </c>
      <c r="E263" s="77">
        <v>0.0</v>
      </c>
      <c r="F263" s="77">
        <f t="shared" si="32"/>
        <v>0</v>
      </c>
      <c r="G263" s="65" t="s">
        <v>297</v>
      </c>
      <c r="H263" s="60"/>
      <c r="I263" s="60"/>
      <c r="J263" s="60"/>
      <c r="K263" s="60"/>
      <c r="L263" s="60"/>
      <c r="M263" s="60"/>
      <c r="N263" s="60"/>
      <c r="O263" s="60"/>
      <c r="P263" s="38"/>
      <c r="Q263" s="38"/>
      <c r="R263" s="38"/>
      <c r="S263" s="38"/>
      <c r="T263" s="38"/>
      <c r="U263" s="38"/>
      <c r="V263" s="38"/>
      <c r="W263" s="38"/>
      <c r="X263" s="38"/>
      <c r="Y263" s="34"/>
      <c r="Z263" s="34"/>
    </row>
    <row r="264" ht="15.75" customHeight="1">
      <c r="A264" s="68"/>
      <c r="B264" s="60" t="s">
        <v>299</v>
      </c>
      <c r="C264" s="165">
        <v>1.0</v>
      </c>
      <c r="D264" s="88">
        <v>0.0</v>
      </c>
      <c r="E264" s="77">
        <v>0.0</v>
      </c>
      <c r="F264" s="77">
        <f t="shared" si="32"/>
        <v>0</v>
      </c>
      <c r="G264" s="65" t="s">
        <v>297</v>
      </c>
      <c r="H264" s="60"/>
      <c r="I264" s="60"/>
      <c r="J264" s="60"/>
      <c r="K264" s="60"/>
      <c r="L264" s="60"/>
      <c r="M264" s="60"/>
      <c r="N264" s="60"/>
      <c r="O264" s="60"/>
      <c r="P264" s="38"/>
      <c r="Q264" s="38"/>
      <c r="R264" s="38"/>
      <c r="S264" s="38"/>
      <c r="T264" s="38"/>
      <c r="U264" s="38"/>
      <c r="V264" s="38"/>
      <c r="W264" s="38"/>
      <c r="X264" s="38"/>
      <c r="Y264" s="34"/>
      <c r="Z264" s="34"/>
    </row>
    <row r="265" ht="15.75" customHeight="1">
      <c r="A265" s="76" t="s">
        <v>301</v>
      </c>
      <c r="B265" s="60" t="s">
        <v>296</v>
      </c>
      <c r="C265" s="165">
        <v>2.0</v>
      </c>
      <c r="D265" s="88">
        <v>0.0</v>
      </c>
      <c r="E265" s="77">
        <v>0.0</v>
      </c>
      <c r="F265" s="77">
        <f t="shared" si="32"/>
        <v>0</v>
      </c>
      <c r="G265" s="60" t="s">
        <v>302</v>
      </c>
      <c r="H265" s="60"/>
      <c r="I265" s="60"/>
      <c r="J265" s="60"/>
      <c r="K265" s="60"/>
      <c r="L265" s="60"/>
      <c r="M265" s="60"/>
      <c r="N265" s="60"/>
      <c r="O265" s="60"/>
      <c r="P265" s="38"/>
      <c r="Q265" s="38"/>
      <c r="R265" s="38"/>
      <c r="S265" s="38"/>
      <c r="T265" s="38"/>
      <c r="U265" s="38"/>
      <c r="V265" s="38"/>
      <c r="W265" s="38"/>
      <c r="X265" s="38"/>
      <c r="Y265" s="34"/>
      <c r="Z265" s="34"/>
    </row>
    <row r="266" ht="15.75" customHeight="1">
      <c r="A266" s="64"/>
      <c r="B266" s="60" t="s">
        <v>298</v>
      </c>
      <c r="C266" s="165">
        <v>2.0</v>
      </c>
      <c r="D266" s="88">
        <v>0.0</v>
      </c>
      <c r="E266" s="77">
        <v>0.0</v>
      </c>
      <c r="F266" s="77">
        <f t="shared" si="32"/>
        <v>0</v>
      </c>
      <c r="G266" s="60" t="s">
        <v>303</v>
      </c>
      <c r="H266" s="60"/>
      <c r="I266" s="60"/>
      <c r="J266" s="60"/>
      <c r="K266" s="60"/>
      <c r="L266" s="60"/>
      <c r="M266" s="60"/>
      <c r="N266" s="60"/>
      <c r="O266" s="60"/>
      <c r="P266" s="38"/>
      <c r="Q266" s="38"/>
      <c r="R266" s="38"/>
      <c r="S266" s="38"/>
      <c r="T266" s="38"/>
      <c r="U266" s="38"/>
      <c r="V266" s="38"/>
      <c r="W266" s="38"/>
      <c r="X266" s="38"/>
      <c r="Y266" s="34"/>
      <c r="Z266" s="34"/>
    </row>
    <row r="267" ht="15.75" customHeight="1">
      <c r="A267" s="68"/>
      <c r="B267" s="60" t="s">
        <v>299</v>
      </c>
      <c r="C267" s="165">
        <v>2.0</v>
      </c>
      <c r="D267" s="88">
        <v>0.0</v>
      </c>
      <c r="E267" s="77">
        <v>0.0</v>
      </c>
      <c r="F267" s="77">
        <f t="shared" si="32"/>
        <v>0</v>
      </c>
      <c r="G267" s="60"/>
      <c r="H267" s="60"/>
      <c r="I267" s="60"/>
      <c r="J267" s="60"/>
      <c r="K267" s="60"/>
      <c r="L267" s="60"/>
      <c r="M267" s="60"/>
      <c r="N267" s="60"/>
      <c r="O267" s="60"/>
      <c r="P267" s="38"/>
      <c r="Q267" s="38"/>
      <c r="R267" s="38"/>
      <c r="S267" s="38"/>
      <c r="T267" s="38"/>
      <c r="U267" s="38"/>
      <c r="V267" s="38"/>
      <c r="W267" s="38"/>
      <c r="X267" s="38"/>
      <c r="Y267" s="34"/>
      <c r="Z267" s="34"/>
    </row>
    <row r="268" ht="15.75" customHeight="1">
      <c r="A268" s="179" t="s">
        <v>304</v>
      </c>
      <c r="B268" s="80" t="s">
        <v>296</v>
      </c>
      <c r="C268" s="165">
        <v>2.0</v>
      </c>
      <c r="D268" s="88">
        <v>0.0</v>
      </c>
      <c r="E268" s="77">
        <v>0.0</v>
      </c>
      <c r="F268" s="77">
        <f t="shared" si="32"/>
        <v>0</v>
      </c>
      <c r="G268" s="80" t="s">
        <v>305</v>
      </c>
      <c r="H268" s="80"/>
      <c r="I268" s="80"/>
      <c r="J268" s="80"/>
      <c r="K268" s="80"/>
      <c r="L268" s="80"/>
      <c r="M268" s="80"/>
      <c r="N268" s="80"/>
      <c r="O268" s="80"/>
      <c r="P268" s="180"/>
      <c r="Q268" s="181"/>
      <c r="R268" s="181"/>
      <c r="S268" s="181"/>
      <c r="T268" s="181"/>
      <c r="U268" s="181"/>
      <c r="V268" s="181"/>
      <c r="W268" s="181"/>
      <c r="X268" s="181"/>
      <c r="Y268" s="34"/>
      <c r="Z268" s="34"/>
    </row>
    <row r="269" ht="15.75" customHeight="1">
      <c r="A269" s="64"/>
      <c r="B269" s="80" t="s">
        <v>298</v>
      </c>
      <c r="C269" s="165">
        <v>2.0</v>
      </c>
      <c r="D269" s="88">
        <v>0.0</v>
      </c>
      <c r="E269" s="77">
        <v>0.0</v>
      </c>
      <c r="F269" s="77">
        <f t="shared" si="32"/>
        <v>0</v>
      </c>
      <c r="G269" s="182"/>
      <c r="H269" s="150"/>
      <c r="I269" s="150"/>
      <c r="J269" s="150"/>
      <c r="K269" s="150"/>
      <c r="L269" s="150"/>
      <c r="M269" s="150"/>
      <c r="N269" s="150"/>
      <c r="O269" s="150"/>
      <c r="P269" s="180"/>
      <c r="Q269" s="181"/>
      <c r="R269" s="181"/>
      <c r="S269" s="181"/>
      <c r="T269" s="181"/>
      <c r="U269" s="181"/>
      <c r="V269" s="181"/>
      <c r="W269" s="181"/>
      <c r="X269" s="181"/>
      <c r="Y269" s="34"/>
      <c r="Z269" s="34"/>
    </row>
    <row r="270" ht="15.75" customHeight="1">
      <c r="A270" s="68"/>
      <c r="B270" s="80" t="s">
        <v>299</v>
      </c>
      <c r="C270" s="165">
        <v>2.0</v>
      </c>
      <c r="D270" s="88">
        <v>0.0</v>
      </c>
      <c r="E270" s="77">
        <v>0.0</v>
      </c>
      <c r="F270" s="77">
        <f t="shared" si="32"/>
        <v>0</v>
      </c>
      <c r="G270" s="80"/>
      <c r="H270" s="60"/>
      <c r="I270" s="60"/>
      <c r="J270" s="60"/>
      <c r="K270" s="60"/>
      <c r="L270" s="60"/>
      <c r="M270" s="60"/>
      <c r="N270" s="60"/>
      <c r="O270" s="60"/>
      <c r="P270" s="180"/>
      <c r="Q270" s="181"/>
      <c r="R270" s="181"/>
      <c r="S270" s="181"/>
      <c r="T270" s="181"/>
      <c r="U270" s="181"/>
      <c r="V270" s="181"/>
      <c r="W270" s="181"/>
      <c r="X270" s="181"/>
      <c r="Y270" s="34"/>
      <c r="Z270" s="34"/>
    </row>
    <row r="271" ht="15.75" customHeight="1">
      <c r="A271" s="41" t="s">
        <v>43</v>
      </c>
      <c r="B271" s="46"/>
      <c r="C271" s="168"/>
      <c r="D271" s="175" t="s">
        <v>43</v>
      </c>
      <c r="E271" s="37"/>
      <c r="F271" s="37"/>
      <c r="G271" s="38"/>
      <c r="H271" s="41"/>
      <c r="I271" s="41"/>
      <c r="J271" s="41"/>
      <c r="K271" s="41"/>
      <c r="L271" s="41"/>
      <c r="M271" s="41"/>
      <c r="N271" s="41"/>
      <c r="O271" s="41"/>
      <c r="P271" s="38"/>
      <c r="Q271" s="38"/>
      <c r="R271" s="38"/>
      <c r="S271" s="38"/>
      <c r="T271" s="38"/>
      <c r="U271" s="38"/>
      <c r="V271" s="38"/>
      <c r="W271" s="38"/>
      <c r="X271" s="38"/>
      <c r="Y271" s="34"/>
      <c r="Z271" s="34"/>
    </row>
    <row r="272" ht="15.75" customHeight="1">
      <c r="A272" s="70" t="s">
        <v>82</v>
      </c>
      <c r="B272" s="169"/>
      <c r="C272" s="168">
        <f>SUM(C259:C270)</f>
        <v>18</v>
      </c>
      <c r="D272" s="170">
        <f>SUM(D259:D271)</f>
        <v>0</v>
      </c>
      <c r="E272" s="170">
        <f t="shared" ref="E272:F272" si="33">SUM(E259:E270)</f>
        <v>0</v>
      </c>
      <c r="F272" s="170">
        <f t="shared" si="33"/>
        <v>0</v>
      </c>
      <c r="G272" s="176"/>
      <c r="H272" s="172"/>
      <c r="I272" s="172"/>
      <c r="J272" s="172"/>
      <c r="K272" s="172"/>
      <c r="L272" s="172"/>
      <c r="M272" s="172"/>
      <c r="N272" s="172"/>
      <c r="O272" s="172"/>
      <c r="P272" s="38"/>
      <c r="Q272" s="38"/>
      <c r="R272" s="38"/>
      <c r="S272" s="38"/>
      <c r="T272" s="38"/>
      <c r="U272" s="38"/>
      <c r="V272" s="38"/>
      <c r="W272" s="38"/>
      <c r="X272" s="38"/>
      <c r="Y272" s="34"/>
      <c r="Z272" s="34"/>
    </row>
    <row r="273" ht="15.75" customHeight="1">
      <c r="A273" s="38"/>
      <c r="B273" s="40"/>
      <c r="C273" s="36"/>
      <c r="D273" s="37"/>
      <c r="E273" s="37"/>
      <c r="F273" s="37"/>
      <c r="G273" s="38"/>
      <c r="H273" s="38"/>
      <c r="I273" s="38"/>
      <c r="J273" s="38"/>
      <c r="K273" s="38"/>
      <c r="L273" s="38"/>
      <c r="M273" s="38"/>
      <c r="N273" s="38"/>
      <c r="O273" s="38"/>
      <c r="P273" s="38"/>
      <c r="Q273" s="38"/>
      <c r="R273" s="38"/>
      <c r="S273" s="38"/>
      <c r="T273" s="38"/>
      <c r="U273" s="38"/>
      <c r="V273" s="38"/>
      <c r="W273" s="38"/>
      <c r="X273" s="38"/>
      <c r="Y273" s="34"/>
      <c r="Z273" s="34"/>
    </row>
    <row r="274" ht="15.75" customHeight="1">
      <c r="A274" s="162" t="s">
        <v>306</v>
      </c>
      <c r="B274" s="162"/>
      <c r="C274" s="163" t="s">
        <v>46</v>
      </c>
      <c r="D274" s="163" t="s">
        <v>21</v>
      </c>
      <c r="E274" s="163" t="s">
        <v>22</v>
      </c>
      <c r="F274" s="163" t="s">
        <v>23</v>
      </c>
      <c r="G274" s="162" t="s">
        <v>24</v>
      </c>
      <c r="H274" s="162" t="s">
        <v>84</v>
      </c>
      <c r="I274" s="162" t="s">
        <v>26</v>
      </c>
      <c r="J274" s="162" t="s">
        <v>85</v>
      </c>
      <c r="K274" s="162" t="s">
        <v>26</v>
      </c>
      <c r="L274" s="162" t="s">
        <v>28</v>
      </c>
      <c r="M274" s="164" t="s">
        <v>29</v>
      </c>
      <c r="N274" s="162" t="s">
        <v>30</v>
      </c>
      <c r="O274" s="162" t="s">
        <v>31</v>
      </c>
      <c r="P274" s="38"/>
      <c r="Q274" s="38"/>
      <c r="R274" s="38"/>
      <c r="S274" s="38"/>
      <c r="T274" s="38"/>
      <c r="U274" s="38"/>
      <c r="V274" s="38"/>
      <c r="W274" s="38"/>
      <c r="X274" s="38"/>
      <c r="Y274" s="34"/>
      <c r="Z274" s="34"/>
    </row>
    <row r="275" ht="15.75" customHeight="1">
      <c r="A275" s="76"/>
      <c r="B275" s="60" t="s">
        <v>307</v>
      </c>
      <c r="C275" s="165">
        <v>1.0</v>
      </c>
      <c r="D275" s="88">
        <v>0.0</v>
      </c>
      <c r="E275" s="77">
        <v>0.0</v>
      </c>
      <c r="F275" s="77">
        <f t="shared" ref="F275:F277" si="34">SUM(D275:E275)</f>
        <v>0</v>
      </c>
      <c r="G275" s="65" t="s">
        <v>308</v>
      </c>
      <c r="H275" s="60"/>
      <c r="I275" s="60"/>
      <c r="J275" s="60"/>
      <c r="K275" s="60"/>
      <c r="L275" s="60"/>
      <c r="M275" s="60"/>
      <c r="N275" s="60"/>
      <c r="O275" s="60"/>
      <c r="P275" s="38"/>
      <c r="Q275" s="38"/>
      <c r="R275" s="38"/>
      <c r="S275" s="38"/>
      <c r="T275" s="38"/>
      <c r="U275" s="38"/>
      <c r="V275" s="38"/>
      <c r="W275" s="38"/>
      <c r="X275" s="38"/>
      <c r="Y275" s="34"/>
      <c r="Z275" s="34"/>
    </row>
    <row r="276" ht="15.75" customHeight="1">
      <c r="A276" s="64"/>
      <c r="B276" s="60" t="s">
        <v>309</v>
      </c>
      <c r="C276" s="165">
        <v>1.0</v>
      </c>
      <c r="D276" s="88">
        <v>0.0</v>
      </c>
      <c r="E276" s="77">
        <v>0.0</v>
      </c>
      <c r="F276" s="77">
        <f t="shared" si="34"/>
        <v>0</v>
      </c>
      <c r="G276" s="60" t="s">
        <v>310</v>
      </c>
      <c r="H276" s="60"/>
      <c r="I276" s="60"/>
      <c r="J276" s="60"/>
      <c r="K276" s="60"/>
      <c r="L276" s="60"/>
      <c r="M276" s="60"/>
      <c r="N276" s="60"/>
      <c r="O276" s="60"/>
      <c r="P276" s="38"/>
      <c r="Q276" s="38"/>
      <c r="R276" s="38"/>
      <c r="S276" s="38"/>
      <c r="T276" s="38"/>
      <c r="U276" s="38"/>
      <c r="V276" s="38"/>
      <c r="W276" s="38"/>
      <c r="X276" s="38"/>
      <c r="Y276" s="34"/>
      <c r="Z276" s="34"/>
    </row>
    <row r="277" ht="15.75" customHeight="1">
      <c r="A277" s="68"/>
      <c r="B277" s="60" t="s">
        <v>311</v>
      </c>
      <c r="C277" s="165">
        <v>1.0</v>
      </c>
      <c r="D277" s="88">
        <v>0.0</v>
      </c>
      <c r="E277" s="77">
        <v>0.0</v>
      </c>
      <c r="F277" s="77">
        <f t="shared" si="34"/>
        <v>0</v>
      </c>
      <c r="G277" s="60" t="s">
        <v>312</v>
      </c>
      <c r="H277" s="60"/>
      <c r="I277" s="60"/>
      <c r="J277" s="60"/>
      <c r="K277" s="60"/>
      <c r="L277" s="60"/>
      <c r="M277" s="60"/>
      <c r="N277" s="60"/>
      <c r="O277" s="60"/>
      <c r="P277" s="38"/>
      <c r="Q277" s="38"/>
      <c r="R277" s="38"/>
      <c r="S277" s="38"/>
      <c r="T277" s="38"/>
      <c r="U277" s="38"/>
      <c r="V277" s="38"/>
      <c r="W277" s="38"/>
      <c r="X277" s="38"/>
      <c r="Y277" s="34"/>
      <c r="Z277" s="34"/>
    </row>
    <row r="278" ht="15.75" customHeight="1">
      <c r="A278" s="167"/>
      <c r="B278" s="40"/>
      <c r="C278" s="183"/>
      <c r="D278" s="37"/>
      <c r="E278" s="37"/>
      <c r="F278" s="37"/>
      <c r="G278" s="38"/>
      <c r="H278" s="38"/>
      <c r="I278" s="38"/>
      <c r="J278" s="38"/>
      <c r="K278" s="38"/>
      <c r="L278" s="38"/>
      <c r="M278" s="38"/>
      <c r="N278" s="38"/>
      <c r="O278" s="38"/>
      <c r="P278" s="38"/>
      <c r="Q278" s="38"/>
      <c r="R278" s="38"/>
      <c r="S278" s="38"/>
      <c r="T278" s="38"/>
      <c r="U278" s="38"/>
      <c r="V278" s="38"/>
      <c r="W278" s="38"/>
      <c r="X278" s="38"/>
      <c r="Y278" s="34"/>
      <c r="Z278" s="34"/>
    </row>
    <row r="279" ht="15.75" customHeight="1">
      <c r="A279" s="70" t="s">
        <v>82</v>
      </c>
      <c r="B279" s="169"/>
      <c r="C279" s="168">
        <f t="shared" ref="C279:F279" si="35">SUM(C275:C277)</f>
        <v>3</v>
      </c>
      <c r="D279" s="170">
        <f t="shared" si="35"/>
        <v>0</v>
      </c>
      <c r="E279" s="170">
        <f t="shared" si="35"/>
        <v>0</v>
      </c>
      <c r="F279" s="170">
        <f t="shared" si="35"/>
        <v>0</v>
      </c>
      <c r="G279" s="176"/>
      <c r="H279" s="184"/>
      <c r="I279" s="184"/>
      <c r="J279" s="184"/>
      <c r="K279" s="184"/>
      <c r="L279" s="184"/>
      <c r="M279" s="184"/>
      <c r="N279" s="184"/>
      <c r="O279" s="184"/>
      <c r="P279" s="38"/>
      <c r="Q279" s="38"/>
      <c r="R279" s="38"/>
      <c r="S279" s="38"/>
      <c r="T279" s="38"/>
      <c r="U279" s="38"/>
      <c r="V279" s="38"/>
      <c r="W279" s="38"/>
      <c r="X279" s="38"/>
      <c r="Y279" s="34"/>
      <c r="Z279" s="34"/>
    </row>
    <row r="280" ht="15.75" customHeight="1">
      <c r="A280" s="185"/>
      <c r="B280" s="40"/>
      <c r="C280" s="36"/>
      <c r="D280" s="37"/>
      <c r="E280" s="37"/>
      <c r="F280" s="37"/>
      <c r="G280" s="38"/>
      <c r="H280" s="38"/>
      <c r="I280" s="38"/>
      <c r="J280" s="38"/>
      <c r="K280" s="38"/>
      <c r="L280" s="38"/>
      <c r="M280" s="38"/>
      <c r="N280" s="38"/>
      <c r="O280" s="38"/>
      <c r="P280" s="38"/>
      <c r="Q280" s="38"/>
      <c r="R280" s="38"/>
      <c r="S280" s="38"/>
      <c r="T280" s="38"/>
      <c r="U280" s="38"/>
      <c r="V280" s="38"/>
      <c r="W280" s="38"/>
      <c r="X280" s="38"/>
      <c r="Y280" s="34"/>
      <c r="Z280" s="34"/>
    </row>
    <row r="281" ht="15.75" customHeight="1">
      <c r="A281" s="186" t="s">
        <v>313</v>
      </c>
      <c r="B281" s="162"/>
      <c r="C281" s="163" t="s">
        <v>46</v>
      </c>
      <c r="D281" s="163" t="s">
        <v>21</v>
      </c>
      <c r="E281" s="163" t="s">
        <v>22</v>
      </c>
      <c r="F281" s="163" t="s">
        <v>23</v>
      </c>
      <c r="G281" s="162" t="s">
        <v>24</v>
      </c>
      <c r="H281" s="162" t="s">
        <v>84</v>
      </c>
      <c r="I281" s="162" t="s">
        <v>26</v>
      </c>
      <c r="J281" s="162" t="s">
        <v>85</v>
      </c>
      <c r="K281" s="162" t="s">
        <v>26</v>
      </c>
      <c r="L281" s="162" t="s">
        <v>28</v>
      </c>
      <c r="M281" s="164" t="s">
        <v>29</v>
      </c>
      <c r="N281" s="162" t="s">
        <v>30</v>
      </c>
      <c r="O281" s="162" t="s">
        <v>31</v>
      </c>
      <c r="P281" s="38"/>
      <c r="Q281" s="38"/>
      <c r="R281" s="38"/>
      <c r="S281" s="38"/>
      <c r="T281" s="38"/>
      <c r="U281" s="38"/>
      <c r="V281" s="38"/>
      <c r="W281" s="38"/>
      <c r="X281" s="38"/>
      <c r="Y281" s="34"/>
      <c r="Z281" s="34"/>
    </row>
    <row r="282" ht="15.75" customHeight="1">
      <c r="A282" s="60" t="s">
        <v>314</v>
      </c>
      <c r="B282" s="65" t="s">
        <v>315</v>
      </c>
      <c r="C282" s="165">
        <v>1.0</v>
      </c>
      <c r="D282" s="88">
        <v>0.0</v>
      </c>
      <c r="E282" s="77">
        <v>0.0</v>
      </c>
      <c r="F282" s="77">
        <f t="shared" ref="F282:F287" si="36">SUM(D282:E282)</f>
        <v>0</v>
      </c>
      <c r="G282" s="139" t="s">
        <v>316</v>
      </c>
      <c r="H282" s="60"/>
      <c r="I282" s="60"/>
      <c r="J282" s="60"/>
      <c r="K282" s="60"/>
      <c r="L282" s="60"/>
      <c r="M282" s="60"/>
      <c r="N282" s="60"/>
      <c r="O282" s="60"/>
      <c r="P282" s="38"/>
      <c r="Q282" s="38"/>
      <c r="R282" s="38"/>
      <c r="S282" s="38"/>
      <c r="T282" s="38"/>
      <c r="U282" s="38"/>
      <c r="V282" s="38"/>
      <c r="W282" s="38"/>
      <c r="X282" s="38"/>
      <c r="Y282" s="34"/>
      <c r="Z282" s="34"/>
    </row>
    <row r="283" ht="15.75" customHeight="1">
      <c r="A283" s="76" t="s">
        <v>317</v>
      </c>
      <c r="B283" s="65" t="s">
        <v>315</v>
      </c>
      <c r="C283" s="165">
        <v>1.0</v>
      </c>
      <c r="D283" s="88">
        <v>0.0</v>
      </c>
      <c r="E283" s="77">
        <v>0.0</v>
      </c>
      <c r="F283" s="77">
        <f t="shared" si="36"/>
        <v>0</v>
      </c>
      <c r="G283" s="65" t="s">
        <v>318</v>
      </c>
      <c r="H283" s="60"/>
      <c r="I283" s="60"/>
      <c r="J283" s="60"/>
      <c r="K283" s="60"/>
      <c r="L283" s="60"/>
      <c r="M283" s="60"/>
      <c r="N283" s="60"/>
      <c r="O283" s="60"/>
      <c r="P283" s="38"/>
      <c r="Q283" s="38"/>
      <c r="R283" s="38"/>
      <c r="S283" s="38"/>
      <c r="T283" s="38"/>
      <c r="U283" s="38"/>
      <c r="V283" s="38"/>
      <c r="W283" s="38"/>
      <c r="X283" s="38"/>
      <c r="Y283" s="34"/>
      <c r="Z283" s="34"/>
    </row>
    <row r="284" ht="117.75" customHeight="1">
      <c r="A284" s="64"/>
      <c r="B284" s="60" t="s">
        <v>319</v>
      </c>
      <c r="C284" s="165">
        <v>1.0</v>
      </c>
      <c r="D284" s="88">
        <v>0.0</v>
      </c>
      <c r="E284" s="77">
        <v>0.0</v>
      </c>
      <c r="F284" s="77">
        <f t="shared" si="36"/>
        <v>0</v>
      </c>
      <c r="G284" s="65" t="s">
        <v>320</v>
      </c>
      <c r="H284" s="60"/>
      <c r="I284" s="60"/>
      <c r="J284" s="60"/>
      <c r="K284" s="60"/>
      <c r="L284" s="60"/>
      <c r="M284" s="60"/>
      <c r="N284" s="60"/>
      <c r="O284" s="60"/>
      <c r="P284" s="38"/>
      <c r="Q284" s="38"/>
      <c r="R284" s="38"/>
      <c r="S284" s="38"/>
      <c r="T284" s="38"/>
      <c r="U284" s="38"/>
      <c r="V284" s="38"/>
      <c r="W284" s="38"/>
      <c r="X284" s="38"/>
      <c r="Y284" s="34"/>
      <c r="Z284" s="34"/>
    </row>
    <row r="285" ht="15.75" customHeight="1">
      <c r="A285" s="64"/>
      <c r="B285" s="60" t="s">
        <v>321</v>
      </c>
      <c r="C285" s="165">
        <v>1.0</v>
      </c>
      <c r="D285" s="88">
        <v>0.0</v>
      </c>
      <c r="E285" s="77">
        <v>0.0</v>
      </c>
      <c r="F285" s="77">
        <f t="shared" si="36"/>
        <v>0</v>
      </c>
      <c r="G285" s="65" t="s">
        <v>322</v>
      </c>
      <c r="H285" s="60"/>
      <c r="I285" s="60"/>
      <c r="J285" s="60"/>
      <c r="K285" s="60"/>
      <c r="L285" s="60"/>
      <c r="M285" s="60"/>
      <c r="N285" s="60"/>
      <c r="O285" s="60"/>
      <c r="P285" s="38"/>
      <c r="Q285" s="38"/>
      <c r="R285" s="38"/>
      <c r="S285" s="38"/>
      <c r="T285" s="38"/>
      <c r="U285" s="38"/>
      <c r="V285" s="38"/>
      <c r="W285" s="38"/>
      <c r="X285" s="38"/>
      <c r="Y285" s="34"/>
      <c r="Z285" s="34"/>
    </row>
    <row r="286" ht="15.75" customHeight="1">
      <c r="A286" s="64"/>
      <c r="B286" s="60" t="s">
        <v>323</v>
      </c>
      <c r="C286" s="165">
        <v>1.0</v>
      </c>
      <c r="D286" s="88">
        <v>0.0</v>
      </c>
      <c r="E286" s="77">
        <v>0.0</v>
      </c>
      <c r="F286" s="77">
        <f t="shared" si="36"/>
        <v>0</v>
      </c>
      <c r="G286" s="65" t="s">
        <v>324</v>
      </c>
      <c r="H286" s="60"/>
      <c r="I286" s="60"/>
      <c r="J286" s="60"/>
      <c r="K286" s="60"/>
      <c r="L286" s="60"/>
      <c r="M286" s="60"/>
      <c r="N286" s="60"/>
      <c r="O286" s="60"/>
      <c r="P286" s="38"/>
      <c r="Q286" s="38"/>
      <c r="R286" s="38"/>
      <c r="S286" s="38"/>
      <c r="T286" s="38"/>
      <c r="U286" s="38"/>
      <c r="V286" s="38"/>
      <c r="W286" s="38"/>
      <c r="X286" s="38"/>
      <c r="Y286" s="34"/>
      <c r="Z286" s="34"/>
    </row>
    <row r="287" ht="15.75" customHeight="1">
      <c r="A287" s="68"/>
      <c r="B287" s="60" t="s">
        <v>325</v>
      </c>
      <c r="C287" s="165">
        <v>1.0</v>
      </c>
      <c r="D287" s="88">
        <v>0.0</v>
      </c>
      <c r="E287" s="77">
        <v>0.0</v>
      </c>
      <c r="F287" s="77">
        <f t="shared" si="36"/>
        <v>0</v>
      </c>
      <c r="G287" s="60" t="s">
        <v>326</v>
      </c>
      <c r="H287" s="60"/>
      <c r="I287" s="60"/>
      <c r="J287" s="60"/>
      <c r="K287" s="60"/>
      <c r="L287" s="60"/>
      <c r="M287" s="60"/>
      <c r="N287" s="60"/>
      <c r="O287" s="60"/>
      <c r="P287" s="38"/>
      <c r="Q287" s="38"/>
      <c r="R287" s="38"/>
      <c r="S287" s="38"/>
      <c r="T287" s="38"/>
      <c r="U287" s="38"/>
      <c r="V287" s="38"/>
      <c r="W287" s="38"/>
      <c r="X287" s="38"/>
      <c r="Y287" s="34"/>
      <c r="Z287" s="34"/>
    </row>
    <row r="288" ht="15.75" customHeight="1">
      <c r="A288" s="38" t="s">
        <v>43</v>
      </c>
      <c r="B288" s="40"/>
      <c r="C288" s="183"/>
      <c r="D288" s="37"/>
      <c r="E288" s="37"/>
      <c r="F288" s="37"/>
      <c r="G288" s="38"/>
      <c r="H288" s="38"/>
      <c r="I288" s="38"/>
      <c r="J288" s="38"/>
      <c r="K288" s="38"/>
      <c r="L288" s="38"/>
      <c r="M288" s="38"/>
      <c r="N288" s="38"/>
      <c r="O288" s="38"/>
      <c r="P288" s="38"/>
      <c r="Q288" s="38"/>
      <c r="R288" s="38"/>
      <c r="S288" s="38"/>
      <c r="T288" s="38"/>
      <c r="U288" s="38"/>
      <c r="V288" s="38"/>
      <c r="W288" s="38"/>
      <c r="X288" s="38"/>
      <c r="Y288" s="34"/>
      <c r="Z288" s="34"/>
    </row>
    <row r="289" ht="15.75" customHeight="1">
      <c r="A289" s="70" t="s">
        <v>82</v>
      </c>
      <c r="B289" s="187"/>
      <c r="C289" s="168">
        <f t="shared" ref="C289:F289" si="37">SUM(C282:C287)</f>
        <v>6</v>
      </c>
      <c r="D289" s="170">
        <f t="shared" si="37"/>
        <v>0</v>
      </c>
      <c r="E289" s="170">
        <f t="shared" si="37"/>
        <v>0</v>
      </c>
      <c r="F289" s="188">
        <f t="shared" si="37"/>
        <v>0</v>
      </c>
      <c r="G289" s="172"/>
      <c r="H289" s="184"/>
      <c r="I289" s="184"/>
      <c r="J289" s="184"/>
      <c r="K289" s="184"/>
      <c r="L289" s="184"/>
      <c r="M289" s="184"/>
      <c r="N289" s="184"/>
      <c r="O289" s="184"/>
      <c r="P289" s="38"/>
      <c r="Q289" s="38"/>
      <c r="R289" s="38"/>
      <c r="S289" s="38"/>
      <c r="T289" s="38"/>
      <c r="U289" s="38"/>
      <c r="V289" s="38"/>
      <c r="W289" s="38"/>
      <c r="X289" s="38"/>
      <c r="Y289" s="34"/>
      <c r="Z289" s="34"/>
    </row>
    <row r="290" ht="15.75" customHeight="1">
      <c r="A290" s="70"/>
      <c r="B290" s="40"/>
      <c r="C290" s="36"/>
      <c r="D290" s="36"/>
      <c r="E290" s="36"/>
      <c r="F290" s="36"/>
      <c r="G290" s="41"/>
      <c r="H290" s="38"/>
      <c r="I290" s="38"/>
      <c r="J290" s="38"/>
      <c r="K290" s="38"/>
      <c r="L290" s="38"/>
      <c r="M290" s="38"/>
      <c r="N290" s="38"/>
      <c r="O290" s="38"/>
      <c r="P290" s="38"/>
      <c r="Q290" s="38"/>
      <c r="R290" s="38"/>
      <c r="S290" s="38"/>
      <c r="T290" s="38"/>
      <c r="U290" s="38"/>
      <c r="V290" s="38"/>
      <c r="W290" s="38"/>
      <c r="X290" s="38"/>
      <c r="Y290" s="34"/>
      <c r="Z290" s="34"/>
    </row>
    <row r="291" ht="15.75" customHeight="1">
      <c r="A291" s="105" t="s">
        <v>327</v>
      </c>
      <c r="B291" s="187"/>
      <c r="C291" s="168">
        <f t="shared" ref="C291:F291" si="38">SUM(C289+C279+C272+C256+C239+C248)</f>
        <v>42</v>
      </c>
      <c r="D291" s="170">
        <f t="shared" si="38"/>
        <v>0</v>
      </c>
      <c r="E291" s="170">
        <f t="shared" si="38"/>
        <v>0</v>
      </c>
      <c r="F291" s="188">
        <f t="shared" si="38"/>
        <v>0</v>
      </c>
      <c r="G291" s="172"/>
      <c r="H291" s="189"/>
      <c r="I291" s="189"/>
      <c r="J291" s="189"/>
      <c r="K291" s="189"/>
      <c r="L291" s="189"/>
      <c r="M291" s="189"/>
      <c r="N291" s="189"/>
      <c r="O291" s="189"/>
      <c r="P291" s="38"/>
      <c r="Q291" s="38"/>
      <c r="R291" s="38"/>
      <c r="S291" s="38"/>
      <c r="T291" s="38"/>
      <c r="U291" s="38"/>
      <c r="V291" s="38"/>
      <c r="W291" s="38"/>
      <c r="X291" s="38"/>
      <c r="Y291" s="34"/>
      <c r="Z291" s="34"/>
    </row>
    <row r="292" ht="15.75" customHeight="1">
      <c r="A292" s="41"/>
      <c r="B292" s="46"/>
      <c r="C292" s="36"/>
      <c r="D292" s="37"/>
      <c r="E292" s="37"/>
      <c r="F292" s="37"/>
      <c r="G292" s="38"/>
      <c r="H292" s="38"/>
      <c r="I292" s="38"/>
      <c r="J292" s="38"/>
      <c r="K292" s="38"/>
      <c r="L292" s="38"/>
      <c r="M292" s="38"/>
      <c r="N292" s="38"/>
      <c r="O292" s="38"/>
      <c r="P292" s="38"/>
      <c r="Q292" s="38"/>
      <c r="R292" s="38"/>
      <c r="S292" s="38"/>
      <c r="T292" s="38"/>
      <c r="U292" s="38"/>
      <c r="V292" s="38"/>
      <c r="W292" s="38"/>
      <c r="X292" s="38"/>
      <c r="Y292" s="34"/>
      <c r="Z292" s="34"/>
    </row>
    <row r="293" ht="222.0" customHeight="1">
      <c r="A293" s="190" t="s">
        <v>328</v>
      </c>
      <c r="B293" s="191"/>
      <c r="C293" s="192" t="s">
        <v>46</v>
      </c>
      <c r="D293" s="192" t="s">
        <v>21</v>
      </c>
      <c r="E293" s="192" t="s">
        <v>22</v>
      </c>
      <c r="F293" s="192" t="s">
        <v>23</v>
      </c>
      <c r="G293" s="191" t="s">
        <v>24</v>
      </c>
      <c r="H293" s="191" t="s">
        <v>84</v>
      </c>
      <c r="I293" s="191" t="s">
        <v>26</v>
      </c>
      <c r="J293" s="191" t="s">
        <v>85</v>
      </c>
      <c r="K293" s="191" t="s">
        <v>26</v>
      </c>
      <c r="L293" s="191" t="s">
        <v>28</v>
      </c>
      <c r="M293" s="193" t="s">
        <v>29</v>
      </c>
      <c r="N293" s="191" t="s">
        <v>30</v>
      </c>
      <c r="O293" s="191" t="s">
        <v>31</v>
      </c>
      <c r="P293" s="38"/>
      <c r="Q293" s="38"/>
      <c r="R293" s="38"/>
      <c r="S293" s="38"/>
      <c r="T293" s="38"/>
      <c r="U293" s="38"/>
      <c r="V293" s="38"/>
      <c r="W293" s="38"/>
      <c r="X293" s="38"/>
      <c r="Y293" s="34"/>
      <c r="Z293" s="34"/>
    </row>
    <row r="294" ht="15.75" customHeight="1">
      <c r="A294" s="194"/>
      <c r="B294" s="195"/>
      <c r="C294" s="196"/>
      <c r="D294" s="197"/>
      <c r="E294" s="197"/>
      <c r="F294" s="198"/>
      <c r="G294" s="199"/>
      <c r="H294" s="39"/>
      <c r="I294" s="39"/>
      <c r="J294" s="39"/>
      <c r="K294" s="39"/>
      <c r="L294" s="39"/>
      <c r="M294" s="39"/>
      <c r="N294" s="39"/>
      <c r="O294" s="39"/>
      <c r="P294" s="200"/>
      <c r="Q294" s="33"/>
      <c r="R294" s="33"/>
      <c r="S294" s="33"/>
      <c r="T294" s="33"/>
      <c r="U294" s="33"/>
      <c r="V294" s="33"/>
      <c r="W294" s="33"/>
      <c r="X294" s="33"/>
      <c r="Y294" s="34"/>
      <c r="Z294" s="34"/>
    </row>
    <row r="295" ht="15.75" customHeight="1">
      <c r="A295" s="191" t="s">
        <v>329</v>
      </c>
      <c r="B295" s="40"/>
      <c r="C295" s="36"/>
      <c r="D295" s="37"/>
      <c r="E295" s="37"/>
      <c r="F295" s="37"/>
      <c r="G295" s="38"/>
      <c r="H295" s="38"/>
      <c r="I295" s="38"/>
      <c r="J295" s="38"/>
      <c r="K295" s="38"/>
      <c r="L295" s="38"/>
      <c r="M295" s="38"/>
      <c r="N295" s="38"/>
      <c r="O295" s="38"/>
      <c r="P295" s="38"/>
      <c r="Q295" s="38"/>
      <c r="R295" s="38"/>
      <c r="S295" s="38"/>
      <c r="T295" s="38"/>
      <c r="U295" s="38"/>
      <c r="V295" s="38"/>
      <c r="W295" s="38"/>
      <c r="X295" s="38"/>
      <c r="Y295" s="34"/>
      <c r="Z295" s="34"/>
    </row>
    <row r="296" ht="15.75" customHeight="1">
      <c r="A296" s="201"/>
      <c r="B296" s="202" t="s">
        <v>330</v>
      </c>
      <c r="C296" s="203">
        <v>1.0</v>
      </c>
      <c r="D296" s="88">
        <v>0.0</v>
      </c>
      <c r="E296" s="77">
        <v>0.0</v>
      </c>
      <c r="F296" s="77">
        <f t="shared" ref="F296:F298" si="39">SUM(D296:E296)</f>
        <v>0</v>
      </c>
      <c r="G296" s="67" t="s">
        <v>331</v>
      </c>
      <c r="H296" s="78"/>
      <c r="I296" s="78"/>
      <c r="J296" s="78"/>
      <c r="K296" s="78"/>
      <c r="L296" s="78"/>
      <c r="M296" s="78"/>
      <c r="N296" s="78"/>
      <c r="O296" s="78"/>
      <c r="P296" s="79"/>
      <c r="Q296" s="79"/>
      <c r="R296" s="79"/>
      <c r="S296" s="79"/>
      <c r="T296" s="79"/>
      <c r="U296" s="79"/>
      <c r="V296" s="79"/>
      <c r="W296" s="79"/>
      <c r="X296" s="79"/>
      <c r="Y296" s="34"/>
      <c r="Z296" s="34"/>
    </row>
    <row r="297" ht="75.0" customHeight="1">
      <c r="A297" s="64"/>
      <c r="B297" s="204" t="s">
        <v>332</v>
      </c>
      <c r="C297" s="203">
        <v>1.0</v>
      </c>
      <c r="D297" s="77">
        <v>0.0</v>
      </c>
      <c r="E297" s="77">
        <v>0.0</v>
      </c>
      <c r="F297" s="77">
        <f t="shared" si="39"/>
        <v>0</v>
      </c>
      <c r="G297" s="205" t="s">
        <v>333</v>
      </c>
      <c r="H297" s="78"/>
      <c r="I297" s="78"/>
      <c r="J297" s="78"/>
      <c r="K297" s="78"/>
      <c r="L297" s="78"/>
      <c r="M297" s="78"/>
      <c r="N297" s="78"/>
      <c r="O297" s="78"/>
      <c r="P297" s="79"/>
      <c r="Q297" s="79"/>
      <c r="R297" s="79"/>
      <c r="S297" s="79"/>
      <c r="T297" s="79"/>
      <c r="U297" s="79"/>
      <c r="V297" s="79"/>
      <c r="W297" s="79"/>
      <c r="X297" s="79"/>
      <c r="Y297" s="34"/>
      <c r="Z297" s="34"/>
    </row>
    <row r="298" ht="15.75" customHeight="1">
      <c r="A298" s="68"/>
      <c r="B298" s="202" t="s">
        <v>334</v>
      </c>
      <c r="C298" s="206">
        <v>1.0</v>
      </c>
      <c r="D298" s="77">
        <v>0.0</v>
      </c>
      <c r="E298" s="77">
        <v>0.0</v>
      </c>
      <c r="F298" s="77">
        <f t="shared" si="39"/>
        <v>0</v>
      </c>
      <c r="G298" s="207" t="s">
        <v>335</v>
      </c>
      <c r="H298" s="208"/>
      <c r="I298" s="208"/>
      <c r="J298" s="208"/>
      <c r="K298" s="208"/>
      <c r="L298" s="208"/>
      <c r="M298" s="208"/>
      <c r="N298" s="208"/>
      <c r="O298" s="208"/>
      <c r="P298" s="209"/>
      <c r="Q298" s="209"/>
      <c r="R298" s="209"/>
      <c r="S298" s="209"/>
      <c r="T298" s="209"/>
      <c r="U298" s="209"/>
      <c r="V298" s="209"/>
      <c r="W298" s="209"/>
      <c r="X298" s="209"/>
      <c r="Y298" s="34"/>
      <c r="Z298" s="34"/>
    </row>
    <row r="299" ht="15.75" customHeight="1">
      <c r="A299" s="210" t="s">
        <v>336</v>
      </c>
      <c r="B299" s="46"/>
      <c r="C299" s="36" t="s">
        <v>43</v>
      </c>
      <c r="D299" s="37"/>
      <c r="E299" s="37"/>
      <c r="F299" s="37"/>
      <c r="G299" s="38"/>
      <c r="H299" s="60"/>
      <c r="I299" s="60"/>
      <c r="J299" s="60"/>
      <c r="K299" s="60"/>
      <c r="L299" s="60"/>
      <c r="M299" s="60"/>
      <c r="N299" s="60"/>
      <c r="O299" s="60"/>
      <c r="P299" s="38"/>
      <c r="Q299" s="38"/>
      <c r="R299" s="38"/>
      <c r="S299" s="38"/>
      <c r="T299" s="38"/>
      <c r="U299" s="38"/>
      <c r="V299" s="38"/>
      <c r="W299" s="38"/>
      <c r="X299" s="38"/>
      <c r="Y299" s="34"/>
      <c r="Z299" s="34"/>
    </row>
    <row r="300" ht="15.75" customHeight="1">
      <c r="A300" s="211" t="s">
        <v>337</v>
      </c>
      <c r="B300" s="76" t="s">
        <v>338</v>
      </c>
      <c r="C300" s="203">
        <v>1.0</v>
      </c>
      <c r="D300" s="77">
        <v>0.0</v>
      </c>
      <c r="E300" s="77">
        <v>0.0</v>
      </c>
      <c r="F300" s="77">
        <f t="shared" ref="F300:F309" si="40">SUM(D300:E300)</f>
        <v>0</v>
      </c>
      <c r="G300" s="65" t="s">
        <v>339</v>
      </c>
      <c r="H300" s="60"/>
      <c r="I300" s="60"/>
      <c r="J300" s="60"/>
      <c r="K300" s="60"/>
      <c r="L300" s="60"/>
      <c r="M300" s="60"/>
      <c r="N300" s="60"/>
      <c r="O300" s="60"/>
      <c r="P300" s="38"/>
      <c r="Q300" s="38"/>
      <c r="R300" s="38"/>
      <c r="S300" s="38"/>
      <c r="T300" s="38"/>
      <c r="U300" s="38"/>
      <c r="V300" s="38"/>
      <c r="W300" s="38"/>
      <c r="X300" s="38"/>
      <c r="Y300" s="34"/>
      <c r="Z300" s="34"/>
    </row>
    <row r="301" ht="15.75" customHeight="1">
      <c r="A301" s="64"/>
      <c r="B301" s="60" t="s">
        <v>340</v>
      </c>
      <c r="C301" s="203">
        <v>1.0</v>
      </c>
      <c r="D301" s="77">
        <v>0.0</v>
      </c>
      <c r="E301" s="77">
        <v>0.0</v>
      </c>
      <c r="F301" s="77">
        <f t="shared" si="40"/>
        <v>0</v>
      </c>
      <c r="G301" s="60"/>
      <c r="H301" s="60"/>
      <c r="I301" s="60"/>
      <c r="J301" s="60"/>
      <c r="K301" s="60"/>
      <c r="L301" s="60"/>
      <c r="M301" s="60"/>
      <c r="N301" s="60"/>
      <c r="O301" s="60"/>
      <c r="P301" s="38"/>
      <c r="Q301" s="38"/>
      <c r="R301" s="38"/>
      <c r="S301" s="38"/>
      <c r="T301" s="38"/>
      <c r="U301" s="38"/>
      <c r="V301" s="38"/>
      <c r="W301" s="38"/>
      <c r="X301" s="38"/>
      <c r="Y301" s="34"/>
      <c r="Z301" s="34"/>
    </row>
    <row r="302" ht="15.75" customHeight="1">
      <c r="A302" s="64"/>
      <c r="B302" s="60" t="s">
        <v>341</v>
      </c>
      <c r="C302" s="203">
        <v>1.0</v>
      </c>
      <c r="D302" s="77">
        <v>0.0</v>
      </c>
      <c r="E302" s="77">
        <v>0.0</v>
      </c>
      <c r="F302" s="77">
        <f t="shared" si="40"/>
        <v>0</v>
      </c>
      <c r="G302" s="38" t="s">
        <v>342</v>
      </c>
      <c r="H302" s="60"/>
      <c r="I302" s="60"/>
      <c r="J302" s="60"/>
      <c r="K302" s="60"/>
      <c r="L302" s="60"/>
      <c r="M302" s="60"/>
      <c r="N302" s="60"/>
      <c r="O302" s="60"/>
      <c r="P302" s="38"/>
      <c r="Q302" s="38"/>
      <c r="R302" s="38"/>
      <c r="S302" s="38"/>
      <c r="T302" s="38"/>
      <c r="U302" s="38"/>
      <c r="V302" s="38"/>
      <c r="W302" s="38"/>
      <c r="X302" s="38"/>
      <c r="Y302" s="34"/>
      <c r="Z302" s="34"/>
    </row>
    <row r="303" ht="15.75" customHeight="1">
      <c r="A303" s="64"/>
      <c r="B303" s="60" t="s">
        <v>343</v>
      </c>
      <c r="C303" s="203">
        <v>1.0</v>
      </c>
      <c r="D303" s="77">
        <v>0.0</v>
      </c>
      <c r="E303" s="77">
        <v>0.0</v>
      </c>
      <c r="F303" s="77">
        <f t="shared" si="40"/>
        <v>0</v>
      </c>
      <c r="G303" s="65" t="s">
        <v>344</v>
      </c>
      <c r="H303" s="60"/>
      <c r="I303" s="60"/>
      <c r="J303" s="60"/>
      <c r="K303" s="60"/>
      <c r="L303" s="60"/>
      <c r="M303" s="60"/>
      <c r="N303" s="60"/>
      <c r="O303" s="60"/>
      <c r="P303" s="38"/>
      <c r="Q303" s="38"/>
      <c r="R303" s="38"/>
      <c r="S303" s="38"/>
      <c r="T303" s="38"/>
      <c r="U303" s="38"/>
      <c r="V303" s="38"/>
      <c r="W303" s="38"/>
      <c r="X303" s="38"/>
      <c r="Y303" s="34"/>
      <c r="Z303" s="34"/>
    </row>
    <row r="304" ht="15.75" customHeight="1">
      <c r="A304" s="64"/>
      <c r="B304" s="60" t="s">
        <v>345</v>
      </c>
      <c r="C304" s="203">
        <v>1.0</v>
      </c>
      <c r="D304" s="77">
        <v>0.0</v>
      </c>
      <c r="E304" s="77">
        <v>0.0</v>
      </c>
      <c r="F304" s="77">
        <f t="shared" si="40"/>
        <v>0</v>
      </c>
      <c r="G304" s="65" t="s">
        <v>346</v>
      </c>
      <c r="H304" s="60"/>
      <c r="I304" s="60"/>
      <c r="J304" s="60"/>
      <c r="K304" s="60"/>
      <c r="L304" s="60"/>
      <c r="M304" s="60"/>
      <c r="N304" s="60"/>
      <c r="O304" s="60"/>
      <c r="P304" s="38"/>
      <c r="Q304" s="38"/>
      <c r="R304" s="38"/>
      <c r="S304" s="38"/>
      <c r="T304" s="38"/>
      <c r="U304" s="38"/>
      <c r="V304" s="38"/>
      <c r="W304" s="38"/>
      <c r="X304" s="38"/>
      <c r="Y304" s="34"/>
      <c r="Z304" s="34"/>
    </row>
    <row r="305" ht="15.75" customHeight="1">
      <c r="A305" s="64"/>
      <c r="B305" s="60" t="s">
        <v>347</v>
      </c>
      <c r="C305" s="212">
        <v>1.0</v>
      </c>
      <c r="D305" s="77">
        <v>0.0</v>
      </c>
      <c r="E305" s="77">
        <v>0.0</v>
      </c>
      <c r="F305" s="77">
        <f t="shared" si="40"/>
        <v>0</v>
      </c>
      <c r="G305" s="60" t="s">
        <v>348</v>
      </c>
      <c r="H305" s="60"/>
      <c r="I305" s="60"/>
      <c r="J305" s="60"/>
      <c r="K305" s="60"/>
      <c r="L305" s="60"/>
      <c r="M305" s="60"/>
      <c r="N305" s="60"/>
      <c r="O305" s="60"/>
      <c r="P305" s="38"/>
      <c r="Q305" s="38"/>
      <c r="R305" s="38"/>
      <c r="S305" s="38"/>
      <c r="T305" s="38"/>
      <c r="U305" s="38"/>
      <c r="V305" s="38"/>
      <c r="W305" s="38"/>
      <c r="X305" s="38"/>
      <c r="Y305" s="34"/>
      <c r="Z305" s="34"/>
    </row>
    <row r="306" ht="15.75" customHeight="1">
      <c r="A306" s="64"/>
      <c r="B306" s="139" t="s">
        <v>349</v>
      </c>
      <c r="C306" s="203">
        <v>1.0</v>
      </c>
      <c r="D306" s="88">
        <v>0.0</v>
      </c>
      <c r="E306" s="77">
        <v>0.0</v>
      </c>
      <c r="F306" s="77">
        <f t="shared" si="40"/>
        <v>0</v>
      </c>
      <c r="G306" s="60" t="s">
        <v>350</v>
      </c>
      <c r="H306" s="60"/>
      <c r="I306" s="60"/>
      <c r="J306" s="60"/>
      <c r="K306" s="60"/>
      <c r="L306" s="60"/>
      <c r="M306" s="60"/>
      <c r="N306" s="60"/>
      <c r="O306" s="60"/>
      <c r="P306" s="38"/>
      <c r="Q306" s="38"/>
      <c r="R306" s="38"/>
      <c r="S306" s="38"/>
      <c r="T306" s="38"/>
      <c r="U306" s="38"/>
      <c r="V306" s="38"/>
      <c r="W306" s="38"/>
      <c r="X306" s="38"/>
      <c r="Y306" s="34"/>
      <c r="Z306" s="34"/>
    </row>
    <row r="307" ht="15.75" customHeight="1">
      <c r="A307" s="64"/>
      <c r="B307" s="139" t="s">
        <v>351</v>
      </c>
      <c r="C307" s="203">
        <v>1.0</v>
      </c>
      <c r="D307" s="77">
        <v>0.0</v>
      </c>
      <c r="E307" s="77">
        <v>0.0</v>
      </c>
      <c r="F307" s="77">
        <f t="shared" si="40"/>
        <v>0</v>
      </c>
      <c r="G307" s="139"/>
      <c r="H307" s="60"/>
      <c r="I307" s="60"/>
      <c r="J307" s="60"/>
      <c r="K307" s="60"/>
      <c r="L307" s="60"/>
      <c r="M307" s="60"/>
      <c r="N307" s="60"/>
      <c r="O307" s="60"/>
      <c r="P307" s="38"/>
      <c r="Q307" s="38"/>
      <c r="R307" s="38"/>
      <c r="S307" s="38"/>
      <c r="T307" s="38"/>
      <c r="U307" s="38"/>
      <c r="V307" s="38"/>
      <c r="W307" s="38"/>
      <c r="X307" s="38"/>
      <c r="Y307" s="34"/>
      <c r="Z307" s="34"/>
    </row>
    <row r="308" ht="15.75" customHeight="1">
      <c r="A308" s="64"/>
      <c r="B308" s="139" t="s">
        <v>352</v>
      </c>
      <c r="C308" s="203">
        <v>1.0</v>
      </c>
      <c r="D308" s="77">
        <v>0.0</v>
      </c>
      <c r="E308" s="77">
        <v>0.0</v>
      </c>
      <c r="F308" s="77">
        <f t="shared" si="40"/>
        <v>0</v>
      </c>
      <c r="G308" s="139"/>
      <c r="H308" s="60"/>
      <c r="I308" s="60"/>
      <c r="J308" s="60"/>
      <c r="K308" s="60"/>
      <c r="L308" s="60"/>
      <c r="M308" s="60"/>
      <c r="N308" s="60"/>
      <c r="O308" s="60"/>
      <c r="P308" s="38"/>
      <c r="Q308" s="38"/>
      <c r="R308" s="38"/>
      <c r="S308" s="38"/>
      <c r="T308" s="38"/>
      <c r="U308" s="38"/>
      <c r="V308" s="38"/>
      <c r="W308" s="38"/>
      <c r="X308" s="38"/>
      <c r="Y308" s="34"/>
      <c r="Z308" s="34"/>
    </row>
    <row r="309" ht="15.75" customHeight="1">
      <c r="A309" s="68"/>
      <c r="B309" s="60" t="s">
        <v>353</v>
      </c>
      <c r="C309" s="203">
        <v>2.0</v>
      </c>
      <c r="D309" s="77">
        <v>0.0</v>
      </c>
      <c r="E309" s="77">
        <v>0.0</v>
      </c>
      <c r="F309" s="77">
        <f t="shared" si="40"/>
        <v>0</v>
      </c>
      <c r="G309" s="139" t="s">
        <v>354</v>
      </c>
      <c r="H309" s="60"/>
      <c r="I309" s="60"/>
      <c r="J309" s="60"/>
      <c r="K309" s="60"/>
      <c r="L309" s="60"/>
      <c r="M309" s="60"/>
      <c r="N309" s="60"/>
      <c r="O309" s="60"/>
      <c r="P309" s="38"/>
      <c r="Q309" s="38"/>
      <c r="R309" s="38"/>
      <c r="S309" s="38"/>
      <c r="T309" s="38"/>
      <c r="U309" s="38"/>
      <c r="V309" s="38"/>
      <c r="W309" s="38"/>
      <c r="X309" s="38"/>
      <c r="Y309" s="34"/>
      <c r="Z309" s="34"/>
    </row>
    <row r="310" ht="15.75" customHeight="1">
      <c r="A310" s="210" t="s">
        <v>355</v>
      </c>
      <c r="B310" s="60"/>
      <c r="C310" s="213"/>
      <c r="D310" s="214"/>
      <c r="E310" s="214"/>
      <c r="F310" s="214"/>
      <c r="G310" s="215"/>
      <c r="H310" s="60"/>
      <c r="I310" s="60"/>
      <c r="J310" s="60"/>
      <c r="K310" s="60"/>
      <c r="L310" s="60"/>
      <c r="M310" s="60"/>
      <c r="N310" s="60"/>
      <c r="O310" s="60"/>
      <c r="P310" s="38"/>
      <c r="Q310" s="38"/>
      <c r="R310" s="38"/>
      <c r="S310" s="38"/>
      <c r="T310" s="38"/>
      <c r="U310" s="38"/>
      <c r="V310" s="38"/>
      <c r="W310" s="38"/>
      <c r="X310" s="38"/>
      <c r="Y310" s="34"/>
      <c r="Z310" s="34"/>
    </row>
    <row r="311" ht="15.75" customHeight="1">
      <c r="A311" s="123"/>
      <c r="B311" s="154" t="s">
        <v>356</v>
      </c>
      <c r="C311" s="203">
        <v>1.0</v>
      </c>
      <c r="D311" s="77">
        <v>0.0</v>
      </c>
      <c r="E311" s="77">
        <v>0.0</v>
      </c>
      <c r="F311" s="77">
        <f t="shared" ref="F311:F320" si="41">SUM(D311:E311)</f>
        <v>0</v>
      </c>
      <c r="G311" s="65" t="s">
        <v>357</v>
      </c>
      <c r="H311" s="60"/>
      <c r="I311" s="60"/>
      <c r="J311" s="60"/>
      <c r="K311" s="60"/>
      <c r="L311" s="60"/>
      <c r="M311" s="60"/>
      <c r="N311" s="60"/>
      <c r="O311" s="60"/>
      <c r="P311" s="38"/>
      <c r="Q311" s="38"/>
      <c r="R311" s="38"/>
      <c r="S311" s="38"/>
      <c r="T311" s="38"/>
      <c r="U311" s="38"/>
      <c r="V311" s="38"/>
      <c r="W311" s="38"/>
      <c r="X311" s="38"/>
      <c r="Y311" s="34"/>
      <c r="Z311" s="34"/>
    </row>
    <row r="312" ht="15.75" customHeight="1">
      <c r="A312" s="64"/>
      <c r="B312" s="60" t="s">
        <v>358</v>
      </c>
      <c r="C312" s="203">
        <v>1.0</v>
      </c>
      <c r="D312" s="77">
        <v>0.0</v>
      </c>
      <c r="E312" s="77">
        <v>0.0</v>
      </c>
      <c r="F312" s="77">
        <f t="shared" si="41"/>
        <v>0</v>
      </c>
      <c r="G312" s="60"/>
      <c r="H312" s="60"/>
      <c r="I312" s="60"/>
      <c r="J312" s="60"/>
      <c r="K312" s="60"/>
      <c r="L312" s="60"/>
      <c r="M312" s="60"/>
      <c r="N312" s="60"/>
      <c r="O312" s="60"/>
      <c r="P312" s="38"/>
      <c r="Q312" s="38"/>
      <c r="R312" s="38"/>
      <c r="S312" s="38"/>
      <c r="T312" s="38"/>
      <c r="U312" s="38"/>
      <c r="V312" s="38"/>
      <c r="W312" s="38"/>
      <c r="X312" s="38"/>
      <c r="Y312" s="34"/>
      <c r="Z312" s="34"/>
    </row>
    <row r="313" ht="15.75" customHeight="1">
      <c r="A313" s="64"/>
      <c r="B313" s="60" t="s">
        <v>359</v>
      </c>
      <c r="C313" s="203">
        <v>1.0</v>
      </c>
      <c r="D313" s="77">
        <v>0.0</v>
      </c>
      <c r="E313" s="77">
        <v>0.0</v>
      </c>
      <c r="F313" s="77">
        <f t="shared" si="41"/>
        <v>0</v>
      </c>
      <c r="G313" s="60"/>
      <c r="H313" s="60"/>
      <c r="I313" s="60"/>
      <c r="J313" s="60"/>
      <c r="K313" s="60"/>
      <c r="L313" s="60"/>
      <c r="M313" s="60"/>
      <c r="N313" s="60"/>
      <c r="O313" s="60"/>
      <c r="P313" s="38"/>
      <c r="Q313" s="38"/>
      <c r="R313" s="38"/>
      <c r="S313" s="38"/>
      <c r="T313" s="38"/>
      <c r="U313" s="38"/>
      <c r="V313" s="38"/>
      <c r="W313" s="38"/>
      <c r="X313" s="38"/>
      <c r="Y313" s="34"/>
      <c r="Z313" s="34"/>
    </row>
    <row r="314" ht="15.75" customHeight="1">
      <c r="A314" s="64"/>
      <c r="B314" s="216" t="s">
        <v>360</v>
      </c>
      <c r="C314" s="203">
        <v>1.0</v>
      </c>
      <c r="D314" s="77">
        <v>0.0</v>
      </c>
      <c r="E314" s="77">
        <v>0.0</v>
      </c>
      <c r="F314" s="77">
        <f t="shared" si="41"/>
        <v>0</v>
      </c>
      <c r="G314" s="65" t="s">
        <v>361</v>
      </c>
      <c r="H314" s="60"/>
      <c r="I314" s="60"/>
      <c r="J314" s="60"/>
      <c r="K314" s="60"/>
      <c r="L314" s="60"/>
      <c r="M314" s="60"/>
      <c r="N314" s="60"/>
      <c r="O314" s="60"/>
      <c r="P314" s="38"/>
      <c r="Q314" s="38"/>
      <c r="R314" s="38"/>
      <c r="S314" s="38"/>
      <c r="T314" s="38"/>
      <c r="U314" s="38"/>
      <c r="V314" s="38"/>
      <c r="W314" s="38"/>
      <c r="X314" s="38"/>
      <c r="Y314" s="34"/>
      <c r="Z314" s="34"/>
    </row>
    <row r="315" ht="15.75" customHeight="1">
      <c r="A315" s="64"/>
      <c r="B315" s="65" t="s">
        <v>362</v>
      </c>
      <c r="C315" s="203">
        <v>1.0</v>
      </c>
      <c r="D315" s="77">
        <v>0.0</v>
      </c>
      <c r="E315" s="77">
        <v>0.0</v>
      </c>
      <c r="F315" s="77">
        <f t="shared" si="41"/>
        <v>0</v>
      </c>
      <c r="G315" s="217" t="s">
        <v>363</v>
      </c>
      <c r="H315" s="60"/>
      <c r="I315" s="60"/>
      <c r="J315" s="60"/>
      <c r="K315" s="60"/>
      <c r="L315" s="60"/>
      <c r="M315" s="60"/>
      <c r="N315" s="60"/>
      <c r="O315" s="60"/>
      <c r="P315" s="38"/>
      <c r="Q315" s="38"/>
      <c r="R315" s="38"/>
      <c r="S315" s="38"/>
      <c r="T315" s="38"/>
      <c r="U315" s="38"/>
      <c r="V315" s="38"/>
      <c r="W315" s="38"/>
      <c r="X315" s="38"/>
      <c r="Y315" s="34"/>
      <c r="Z315" s="34"/>
    </row>
    <row r="316" ht="15.75" customHeight="1">
      <c r="A316" s="64"/>
      <c r="B316" s="65" t="s">
        <v>364</v>
      </c>
      <c r="C316" s="203">
        <v>1.0</v>
      </c>
      <c r="D316" s="77">
        <v>0.0</v>
      </c>
      <c r="E316" s="77">
        <v>0.0</v>
      </c>
      <c r="F316" s="77">
        <f t="shared" si="41"/>
        <v>0</v>
      </c>
      <c r="G316" s="60"/>
      <c r="H316" s="60"/>
      <c r="I316" s="60"/>
      <c r="J316" s="60"/>
      <c r="K316" s="60"/>
      <c r="L316" s="60"/>
      <c r="M316" s="60"/>
      <c r="N316" s="60"/>
      <c r="O316" s="60"/>
      <c r="P316" s="38"/>
      <c r="Q316" s="38"/>
      <c r="R316" s="38"/>
      <c r="S316" s="38"/>
      <c r="T316" s="38"/>
      <c r="U316" s="38"/>
      <c r="V316" s="38"/>
      <c r="W316" s="38"/>
      <c r="X316" s="38"/>
      <c r="Y316" s="34"/>
      <c r="Z316" s="34"/>
    </row>
    <row r="317" ht="15.75" customHeight="1">
      <c r="A317" s="64"/>
      <c r="B317" s="60" t="s">
        <v>365</v>
      </c>
      <c r="C317" s="203">
        <v>1.0</v>
      </c>
      <c r="D317" s="77">
        <v>0.0</v>
      </c>
      <c r="E317" s="77">
        <v>0.0</v>
      </c>
      <c r="F317" s="77">
        <f t="shared" si="41"/>
        <v>0</v>
      </c>
      <c r="G317" s="60"/>
      <c r="H317" s="60"/>
      <c r="I317" s="60"/>
      <c r="J317" s="60"/>
      <c r="K317" s="60"/>
      <c r="L317" s="60"/>
      <c r="M317" s="60"/>
      <c r="N317" s="60"/>
      <c r="O317" s="60"/>
      <c r="P317" s="38"/>
      <c r="Q317" s="38"/>
      <c r="R317" s="38"/>
      <c r="S317" s="38"/>
      <c r="T317" s="38"/>
      <c r="U317" s="38"/>
      <c r="V317" s="38"/>
      <c r="W317" s="38"/>
      <c r="X317" s="38"/>
      <c r="Y317" s="34"/>
      <c r="Z317" s="34"/>
    </row>
    <row r="318" ht="15.75" customHeight="1">
      <c r="A318" s="64"/>
      <c r="B318" s="40" t="s">
        <v>366</v>
      </c>
      <c r="C318" s="203">
        <v>2.0</v>
      </c>
      <c r="D318" s="77">
        <v>0.0</v>
      </c>
      <c r="E318" s="77">
        <v>0.0</v>
      </c>
      <c r="F318" s="77">
        <f t="shared" si="41"/>
        <v>0</v>
      </c>
      <c r="G318" s="60"/>
      <c r="H318" s="60"/>
      <c r="I318" s="60"/>
      <c r="J318" s="60"/>
      <c r="K318" s="60"/>
      <c r="L318" s="60"/>
      <c r="M318" s="60"/>
      <c r="N318" s="60"/>
      <c r="O318" s="60"/>
      <c r="P318" s="38"/>
      <c r="Q318" s="38"/>
      <c r="R318" s="38"/>
      <c r="S318" s="38"/>
      <c r="T318" s="38"/>
      <c r="U318" s="38"/>
      <c r="V318" s="38"/>
      <c r="W318" s="38"/>
      <c r="X318" s="38"/>
      <c r="Y318" s="34"/>
      <c r="Z318" s="34"/>
    </row>
    <row r="319" ht="15.75" customHeight="1">
      <c r="A319" s="64"/>
      <c r="B319" s="60" t="s">
        <v>367</v>
      </c>
      <c r="C319" s="203">
        <v>2.0</v>
      </c>
      <c r="D319" s="77">
        <v>0.0</v>
      </c>
      <c r="E319" s="77">
        <v>0.0</v>
      </c>
      <c r="F319" s="77">
        <f t="shared" si="41"/>
        <v>0</v>
      </c>
      <c r="G319" s="60"/>
      <c r="H319" s="60"/>
      <c r="I319" s="60"/>
      <c r="J319" s="60"/>
      <c r="K319" s="60"/>
      <c r="L319" s="60"/>
      <c r="M319" s="60"/>
      <c r="N319" s="60"/>
      <c r="O319" s="60"/>
      <c r="P319" s="38"/>
      <c r="Q319" s="38"/>
      <c r="R319" s="38"/>
      <c r="S319" s="38"/>
      <c r="T319" s="38"/>
      <c r="U319" s="38"/>
      <c r="V319" s="38"/>
      <c r="W319" s="38"/>
      <c r="X319" s="38"/>
      <c r="Y319" s="34"/>
      <c r="Z319" s="34"/>
    </row>
    <row r="320" ht="15.75" customHeight="1">
      <c r="A320" s="68"/>
      <c r="B320" s="60" t="s">
        <v>368</v>
      </c>
      <c r="C320" s="203">
        <v>1.0</v>
      </c>
      <c r="D320" s="77">
        <v>0.0</v>
      </c>
      <c r="E320" s="77">
        <v>0.0</v>
      </c>
      <c r="F320" s="77">
        <f t="shared" si="41"/>
        <v>0</v>
      </c>
      <c r="G320" s="60" t="s">
        <v>369</v>
      </c>
      <c r="H320" s="60"/>
      <c r="I320" s="60"/>
      <c r="J320" s="60"/>
      <c r="K320" s="60"/>
      <c r="L320" s="60"/>
      <c r="M320" s="60"/>
      <c r="N320" s="60"/>
      <c r="O320" s="60"/>
      <c r="P320" s="38"/>
      <c r="Q320" s="38"/>
      <c r="R320" s="38"/>
      <c r="S320" s="38"/>
      <c r="T320" s="38"/>
      <c r="U320" s="38"/>
      <c r="V320" s="38"/>
      <c r="W320" s="38"/>
      <c r="X320" s="38"/>
      <c r="Y320" s="34"/>
      <c r="Z320" s="34"/>
    </row>
    <row r="321" ht="15.75" customHeight="1">
      <c r="A321" s="210" t="s">
        <v>370</v>
      </c>
      <c r="B321" s="60"/>
      <c r="C321" s="213"/>
      <c r="D321" s="214"/>
      <c r="E321" s="214"/>
      <c r="F321" s="214"/>
      <c r="G321" s="215"/>
      <c r="H321" s="60"/>
      <c r="I321" s="60"/>
      <c r="J321" s="60"/>
      <c r="K321" s="60"/>
      <c r="L321" s="60"/>
      <c r="M321" s="60"/>
      <c r="N321" s="60"/>
      <c r="O321" s="60"/>
      <c r="P321" s="38"/>
      <c r="Q321" s="38"/>
      <c r="R321" s="38"/>
      <c r="S321" s="38"/>
      <c r="T321" s="38"/>
      <c r="U321" s="38"/>
      <c r="V321" s="38"/>
      <c r="W321" s="38"/>
      <c r="X321" s="38"/>
      <c r="Y321" s="34"/>
      <c r="Z321" s="34"/>
    </row>
    <row r="322" ht="15.75" customHeight="1">
      <c r="A322" s="76"/>
      <c r="B322" s="60" t="s">
        <v>371</v>
      </c>
      <c r="C322" s="203">
        <v>1.0</v>
      </c>
      <c r="D322" s="77">
        <v>0.0</v>
      </c>
      <c r="E322" s="77">
        <v>0.0</v>
      </c>
      <c r="F322" s="77">
        <f t="shared" ref="F322:F325" si="42">SUM(D322:E322)</f>
        <v>0</v>
      </c>
      <c r="G322" s="60" t="s">
        <v>372</v>
      </c>
      <c r="H322" s="60"/>
      <c r="I322" s="60"/>
      <c r="J322" s="60"/>
      <c r="K322" s="60"/>
      <c r="L322" s="60"/>
      <c r="M322" s="60"/>
      <c r="N322" s="60"/>
      <c r="O322" s="60"/>
      <c r="P322" s="38"/>
      <c r="Q322" s="38"/>
      <c r="R322" s="38"/>
      <c r="S322" s="38"/>
      <c r="T322" s="38"/>
      <c r="U322" s="38"/>
      <c r="V322" s="38"/>
      <c r="W322" s="38"/>
      <c r="X322" s="38"/>
      <c r="Y322" s="34"/>
      <c r="Z322" s="34"/>
    </row>
    <row r="323" ht="129.75" customHeight="1">
      <c r="A323" s="64"/>
      <c r="B323" s="60" t="s">
        <v>373</v>
      </c>
      <c r="C323" s="203">
        <v>1.0</v>
      </c>
      <c r="D323" s="88">
        <v>0.0</v>
      </c>
      <c r="E323" s="77">
        <v>0.0</v>
      </c>
      <c r="F323" s="77">
        <f t="shared" si="42"/>
        <v>0</v>
      </c>
      <c r="G323" s="139" t="s">
        <v>374</v>
      </c>
      <c r="H323" s="60"/>
      <c r="I323" s="60"/>
      <c r="J323" s="60"/>
      <c r="K323" s="60"/>
      <c r="L323" s="60"/>
      <c r="M323" s="60"/>
      <c r="N323" s="60"/>
      <c r="O323" s="60"/>
      <c r="P323" s="38"/>
      <c r="Q323" s="38"/>
      <c r="R323" s="38"/>
      <c r="S323" s="38"/>
      <c r="T323" s="38"/>
      <c r="U323" s="38"/>
      <c r="V323" s="38"/>
      <c r="W323" s="38"/>
      <c r="X323" s="38"/>
      <c r="Y323" s="34"/>
      <c r="Z323" s="34"/>
    </row>
    <row r="324" ht="51.0" customHeight="1">
      <c r="A324" s="64"/>
      <c r="B324" s="60" t="s">
        <v>375</v>
      </c>
      <c r="C324" s="203">
        <v>1.0</v>
      </c>
      <c r="D324" s="77">
        <v>0.0</v>
      </c>
      <c r="E324" s="77">
        <v>0.0</v>
      </c>
      <c r="F324" s="77">
        <f t="shared" si="42"/>
        <v>0</v>
      </c>
      <c r="G324" s="60"/>
      <c r="H324" s="60"/>
      <c r="I324" s="60"/>
      <c r="J324" s="60"/>
      <c r="K324" s="60"/>
      <c r="L324" s="60"/>
      <c r="M324" s="60"/>
      <c r="N324" s="60"/>
      <c r="O324" s="60"/>
      <c r="P324" s="38"/>
      <c r="Q324" s="38"/>
      <c r="R324" s="38"/>
      <c r="S324" s="38"/>
      <c r="T324" s="38"/>
      <c r="U324" s="38"/>
      <c r="V324" s="38"/>
      <c r="W324" s="38"/>
      <c r="X324" s="38"/>
      <c r="Y324" s="34"/>
      <c r="Z324" s="34"/>
    </row>
    <row r="325" ht="15.75" customHeight="1">
      <c r="A325" s="68"/>
      <c r="B325" s="60" t="s">
        <v>376</v>
      </c>
      <c r="C325" s="203">
        <v>1.0</v>
      </c>
      <c r="D325" s="77">
        <v>0.0</v>
      </c>
      <c r="E325" s="77">
        <v>0.0</v>
      </c>
      <c r="F325" s="77">
        <f t="shared" si="42"/>
        <v>0</v>
      </c>
      <c r="G325" s="60"/>
      <c r="H325" s="60"/>
      <c r="I325" s="60"/>
      <c r="J325" s="60"/>
      <c r="K325" s="60"/>
      <c r="L325" s="60"/>
      <c r="M325" s="60"/>
      <c r="N325" s="60"/>
      <c r="O325" s="60"/>
      <c r="P325" s="38"/>
      <c r="Q325" s="38"/>
      <c r="R325" s="38"/>
      <c r="S325" s="38"/>
      <c r="T325" s="38"/>
      <c r="U325" s="38"/>
      <c r="V325" s="38"/>
      <c r="W325" s="38"/>
      <c r="X325" s="38"/>
      <c r="Y325" s="34"/>
      <c r="Z325" s="34"/>
    </row>
    <row r="326" ht="15.75" customHeight="1">
      <c r="A326" s="70"/>
      <c r="B326" s="46"/>
      <c r="C326" s="218"/>
      <c r="D326" s="37"/>
      <c r="E326" s="37"/>
      <c r="F326" s="37"/>
      <c r="G326" s="38"/>
      <c r="H326" s="38"/>
      <c r="I326" s="38"/>
      <c r="J326" s="38"/>
      <c r="K326" s="38"/>
      <c r="L326" s="38"/>
      <c r="M326" s="38"/>
      <c r="N326" s="38"/>
      <c r="O326" s="38"/>
      <c r="P326" s="38"/>
      <c r="Q326" s="38"/>
      <c r="R326" s="38"/>
      <c r="S326" s="38"/>
      <c r="T326" s="38"/>
      <c r="U326" s="38"/>
      <c r="V326" s="38"/>
      <c r="W326" s="38"/>
      <c r="X326" s="38"/>
      <c r="Y326" s="34"/>
      <c r="Z326" s="34"/>
    </row>
    <row r="327" ht="15.75" customHeight="1">
      <c r="A327" s="70" t="s">
        <v>82</v>
      </c>
      <c r="B327" s="219"/>
      <c r="C327" s="218">
        <f t="shared" ref="C327:F327" si="43">SUM(C296:C325)</f>
        <v>30</v>
      </c>
      <c r="D327" s="220">
        <f t="shared" si="43"/>
        <v>0</v>
      </c>
      <c r="E327" s="220">
        <f t="shared" si="43"/>
        <v>0</v>
      </c>
      <c r="F327" s="221">
        <f t="shared" si="43"/>
        <v>0</v>
      </c>
      <c r="G327" s="222"/>
      <c r="H327" s="223"/>
      <c r="I327" s="223"/>
      <c r="J327" s="223"/>
      <c r="K327" s="223"/>
      <c r="L327" s="223"/>
      <c r="M327" s="223"/>
      <c r="N327" s="223"/>
      <c r="O327" s="223"/>
      <c r="P327" s="38"/>
      <c r="Q327" s="38"/>
      <c r="R327" s="38"/>
      <c r="S327" s="38"/>
      <c r="T327" s="38"/>
      <c r="U327" s="38"/>
      <c r="V327" s="38"/>
      <c r="W327" s="38"/>
      <c r="X327" s="38"/>
      <c r="Y327" s="34"/>
      <c r="Z327" s="34"/>
    </row>
    <row r="328" ht="15.75" customHeight="1">
      <c r="A328" s="70"/>
      <c r="B328" s="46"/>
      <c r="C328" s="36"/>
      <c r="D328" s="36"/>
      <c r="E328" s="36"/>
      <c r="F328" s="36"/>
      <c r="G328" s="41"/>
      <c r="H328" s="38"/>
      <c r="I328" s="38"/>
      <c r="J328" s="38"/>
      <c r="K328" s="38"/>
      <c r="L328" s="38"/>
      <c r="M328" s="38"/>
      <c r="N328" s="38"/>
      <c r="O328" s="38"/>
      <c r="P328" s="38"/>
      <c r="Q328" s="38"/>
      <c r="R328" s="38"/>
      <c r="S328" s="38"/>
      <c r="T328" s="38"/>
      <c r="U328" s="38"/>
      <c r="V328" s="38"/>
      <c r="W328" s="38"/>
      <c r="X328" s="38"/>
      <c r="Y328" s="34"/>
      <c r="Z328" s="34"/>
    </row>
    <row r="329" ht="15.75" customHeight="1">
      <c r="A329" s="191" t="s">
        <v>377</v>
      </c>
      <c r="B329" s="191"/>
      <c r="C329" s="192" t="s">
        <v>46</v>
      </c>
      <c r="D329" s="192" t="s">
        <v>21</v>
      </c>
      <c r="E329" s="192" t="s">
        <v>22</v>
      </c>
      <c r="F329" s="192" t="s">
        <v>23</v>
      </c>
      <c r="G329" s="191" t="s">
        <v>24</v>
      </c>
      <c r="H329" s="191" t="s">
        <v>84</v>
      </c>
      <c r="I329" s="191" t="s">
        <v>26</v>
      </c>
      <c r="J329" s="191" t="s">
        <v>85</v>
      </c>
      <c r="K329" s="191" t="s">
        <v>26</v>
      </c>
      <c r="L329" s="191" t="s">
        <v>28</v>
      </c>
      <c r="M329" s="193" t="s">
        <v>29</v>
      </c>
      <c r="N329" s="191" t="s">
        <v>30</v>
      </c>
      <c r="O329" s="191" t="s">
        <v>31</v>
      </c>
      <c r="P329" s="38"/>
      <c r="Q329" s="38"/>
      <c r="R329" s="38"/>
      <c r="S329" s="38"/>
      <c r="T329" s="38"/>
      <c r="U329" s="38"/>
      <c r="V329" s="38"/>
      <c r="W329" s="38"/>
      <c r="X329" s="38"/>
      <c r="Y329" s="34"/>
      <c r="Z329" s="34"/>
    </row>
    <row r="330" ht="15.75" customHeight="1">
      <c r="A330" s="210" t="s">
        <v>378</v>
      </c>
      <c r="B330" s="87"/>
      <c r="C330" s="224"/>
      <c r="D330" s="225"/>
      <c r="E330" s="225"/>
      <c r="F330" s="225"/>
      <c r="G330" s="38"/>
      <c r="H330" s="38"/>
      <c r="I330" s="38"/>
      <c r="J330" s="38"/>
      <c r="K330" s="38"/>
      <c r="L330" s="38"/>
      <c r="M330" s="38"/>
      <c r="N330" s="38"/>
      <c r="O330" s="38"/>
      <c r="P330" s="38"/>
      <c r="Q330" s="38"/>
      <c r="R330" s="38"/>
      <c r="S330" s="38"/>
      <c r="T330" s="38"/>
      <c r="U330" s="38"/>
      <c r="V330" s="38"/>
      <c r="W330" s="38"/>
      <c r="X330" s="38"/>
      <c r="Y330" s="34"/>
      <c r="Z330" s="34"/>
    </row>
    <row r="331" ht="15.75" customHeight="1">
      <c r="A331" s="226"/>
      <c r="B331" s="80" t="s">
        <v>379</v>
      </c>
      <c r="C331" s="227">
        <v>1.0</v>
      </c>
      <c r="D331" s="88">
        <v>0.0</v>
      </c>
      <c r="E331" s="77">
        <v>0.0</v>
      </c>
      <c r="F331" s="77">
        <f t="shared" ref="F331:F335" si="44">SUM(D331:E331)</f>
        <v>0</v>
      </c>
      <c r="G331" s="139" t="s">
        <v>380</v>
      </c>
      <c r="H331" s="60"/>
      <c r="I331" s="60"/>
      <c r="J331" s="60"/>
      <c r="K331" s="60"/>
      <c r="L331" s="60"/>
      <c r="M331" s="60"/>
      <c r="N331" s="60"/>
      <c r="O331" s="60"/>
      <c r="P331" s="38"/>
      <c r="Q331" s="38"/>
      <c r="R331" s="38"/>
      <c r="S331" s="38"/>
      <c r="T331" s="38"/>
      <c r="U331" s="38"/>
      <c r="V331" s="38"/>
      <c r="W331" s="38"/>
      <c r="X331" s="38"/>
      <c r="Y331" s="34"/>
      <c r="Z331" s="34"/>
    </row>
    <row r="332" ht="15.75" customHeight="1">
      <c r="A332" s="228"/>
      <c r="B332" s="80" t="s">
        <v>381</v>
      </c>
      <c r="C332" s="227">
        <v>1.0</v>
      </c>
      <c r="D332" s="77">
        <v>0.0</v>
      </c>
      <c r="E332" s="77">
        <v>0.0</v>
      </c>
      <c r="F332" s="77">
        <f t="shared" si="44"/>
        <v>0</v>
      </c>
      <c r="G332" s="60"/>
      <c r="H332" s="60"/>
      <c r="I332" s="60"/>
      <c r="J332" s="60"/>
      <c r="K332" s="60"/>
      <c r="L332" s="60"/>
      <c r="M332" s="60"/>
      <c r="N332" s="60"/>
      <c r="O332" s="60"/>
      <c r="P332" s="38"/>
      <c r="Q332" s="38"/>
      <c r="R332" s="38"/>
      <c r="S332" s="38"/>
      <c r="T332" s="38"/>
      <c r="U332" s="38"/>
      <c r="V332" s="38"/>
      <c r="W332" s="38"/>
      <c r="X332" s="38"/>
      <c r="Y332" s="34"/>
      <c r="Z332" s="34"/>
    </row>
    <row r="333" ht="15.75" customHeight="1">
      <c r="A333" s="228"/>
      <c r="B333" s="60" t="s">
        <v>382</v>
      </c>
      <c r="C333" s="227">
        <v>1.0</v>
      </c>
      <c r="D333" s="88">
        <v>0.0</v>
      </c>
      <c r="E333" s="77">
        <v>0.0</v>
      </c>
      <c r="F333" s="77">
        <f t="shared" si="44"/>
        <v>0</v>
      </c>
      <c r="G333" s="229"/>
      <c r="H333" s="60"/>
      <c r="I333" s="60"/>
      <c r="J333" s="60"/>
      <c r="K333" s="60"/>
      <c r="L333" s="60"/>
      <c r="M333" s="60"/>
      <c r="N333" s="60"/>
      <c r="O333" s="60"/>
      <c r="P333" s="38"/>
      <c r="Q333" s="38"/>
      <c r="R333" s="38"/>
      <c r="S333" s="38"/>
      <c r="T333" s="38"/>
      <c r="U333" s="38"/>
      <c r="V333" s="38"/>
      <c r="W333" s="38"/>
      <c r="X333" s="38"/>
      <c r="Y333" s="34"/>
      <c r="Z333" s="34"/>
    </row>
    <row r="334" ht="15.75" customHeight="1">
      <c r="A334" s="228"/>
      <c r="B334" s="60" t="s">
        <v>383</v>
      </c>
      <c r="C334" s="227">
        <v>1.0</v>
      </c>
      <c r="D334" s="77">
        <v>0.0</v>
      </c>
      <c r="E334" s="77">
        <v>0.0</v>
      </c>
      <c r="F334" s="77">
        <f t="shared" si="44"/>
        <v>0</v>
      </c>
      <c r="G334" s="229"/>
      <c r="H334" s="60"/>
      <c r="I334" s="60"/>
      <c r="J334" s="60"/>
      <c r="K334" s="60"/>
      <c r="L334" s="60"/>
      <c r="M334" s="60"/>
      <c r="N334" s="60"/>
      <c r="O334" s="60"/>
      <c r="P334" s="38"/>
      <c r="Q334" s="38"/>
      <c r="R334" s="38"/>
      <c r="S334" s="38"/>
      <c r="T334" s="38"/>
      <c r="U334" s="38"/>
      <c r="V334" s="38"/>
      <c r="W334" s="38"/>
      <c r="X334" s="38"/>
      <c r="Y334" s="34"/>
      <c r="Z334" s="34"/>
    </row>
    <row r="335" ht="15.75" customHeight="1">
      <c r="A335" s="230"/>
      <c r="B335" s="65" t="s">
        <v>384</v>
      </c>
      <c r="C335" s="231">
        <v>1.0</v>
      </c>
      <c r="D335" s="77">
        <v>0.0</v>
      </c>
      <c r="E335" s="77">
        <v>0.0</v>
      </c>
      <c r="F335" s="77">
        <f t="shared" si="44"/>
        <v>0</v>
      </c>
      <c r="G335" s="65" t="s">
        <v>385</v>
      </c>
      <c r="H335" s="60"/>
      <c r="I335" s="60"/>
      <c r="J335" s="60"/>
      <c r="K335" s="60"/>
      <c r="L335" s="60"/>
      <c r="M335" s="60"/>
      <c r="N335" s="60"/>
      <c r="O335" s="60"/>
      <c r="P335" s="38"/>
      <c r="Q335" s="38"/>
      <c r="R335" s="38"/>
      <c r="S335" s="38"/>
      <c r="T335" s="38"/>
      <c r="U335" s="38"/>
      <c r="V335" s="38"/>
      <c r="W335" s="38"/>
      <c r="X335" s="38"/>
      <c r="Y335" s="34"/>
      <c r="Z335" s="34"/>
    </row>
    <row r="336" ht="15.75" customHeight="1">
      <c r="A336" s="210" t="s">
        <v>386</v>
      </c>
      <c r="B336" s="60"/>
      <c r="C336" s="213"/>
      <c r="D336" s="214"/>
      <c r="E336" s="214"/>
      <c r="F336" s="214"/>
      <c r="G336" s="232"/>
      <c r="H336" s="60"/>
      <c r="I336" s="60"/>
      <c r="J336" s="60"/>
      <c r="K336" s="60"/>
      <c r="L336" s="60"/>
      <c r="M336" s="60"/>
      <c r="N336" s="60"/>
      <c r="O336" s="60"/>
      <c r="P336" s="38"/>
      <c r="Q336" s="38"/>
      <c r="R336" s="38"/>
      <c r="S336" s="38"/>
      <c r="T336" s="38"/>
      <c r="U336" s="38"/>
      <c r="V336" s="38"/>
      <c r="W336" s="38"/>
      <c r="X336" s="38"/>
      <c r="Y336" s="34"/>
      <c r="Z336" s="34"/>
    </row>
    <row r="337" ht="15.75" customHeight="1">
      <c r="A337" s="76"/>
      <c r="B337" s="80" t="s">
        <v>387</v>
      </c>
      <c r="C337" s="233">
        <v>1.0</v>
      </c>
      <c r="D337" s="77">
        <v>0.0</v>
      </c>
      <c r="E337" s="77">
        <v>0.0</v>
      </c>
      <c r="F337" s="77">
        <f t="shared" ref="F337:F339" si="45">SUM(D337:E337)</f>
        <v>0</v>
      </c>
      <c r="G337" s="234"/>
      <c r="H337" s="60"/>
      <c r="I337" s="60"/>
      <c r="J337" s="60"/>
      <c r="K337" s="60"/>
      <c r="L337" s="60"/>
      <c r="M337" s="60"/>
      <c r="N337" s="60"/>
      <c r="O337" s="60"/>
      <c r="P337" s="38"/>
      <c r="Q337" s="38"/>
      <c r="R337" s="38"/>
      <c r="S337" s="38"/>
      <c r="T337" s="38"/>
      <c r="U337" s="38"/>
      <c r="V337" s="38"/>
      <c r="W337" s="38"/>
      <c r="X337" s="38"/>
      <c r="Y337" s="34"/>
      <c r="Z337" s="34"/>
    </row>
    <row r="338" ht="15.75" customHeight="1">
      <c r="A338" s="64"/>
      <c r="B338" s="80" t="s">
        <v>388</v>
      </c>
      <c r="C338" s="227">
        <v>1.0</v>
      </c>
      <c r="D338" s="77">
        <v>0.0</v>
      </c>
      <c r="E338" s="77">
        <v>0.0</v>
      </c>
      <c r="F338" s="77">
        <f t="shared" si="45"/>
        <v>0</v>
      </c>
      <c r="G338" s="60"/>
      <c r="H338" s="60"/>
      <c r="I338" s="60"/>
      <c r="J338" s="60"/>
      <c r="K338" s="60"/>
      <c r="L338" s="60"/>
      <c r="M338" s="60"/>
      <c r="N338" s="60"/>
      <c r="O338" s="60"/>
      <c r="P338" s="38"/>
      <c r="Q338" s="38"/>
      <c r="R338" s="38"/>
      <c r="S338" s="38"/>
      <c r="T338" s="38"/>
      <c r="U338" s="38"/>
      <c r="V338" s="38"/>
      <c r="W338" s="38"/>
      <c r="X338" s="38"/>
      <c r="Y338" s="34"/>
      <c r="Z338" s="34"/>
    </row>
    <row r="339" ht="15.75" customHeight="1">
      <c r="A339" s="68"/>
      <c r="B339" s="216" t="s">
        <v>389</v>
      </c>
      <c r="C339" s="227">
        <v>1.0</v>
      </c>
      <c r="D339" s="88">
        <v>0.0</v>
      </c>
      <c r="E339" s="77">
        <v>0.0</v>
      </c>
      <c r="F339" s="77">
        <f t="shared" si="45"/>
        <v>0</v>
      </c>
      <c r="G339" s="60" t="s">
        <v>390</v>
      </c>
      <c r="H339" s="60"/>
      <c r="I339" s="60"/>
      <c r="J339" s="60"/>
      <c r="K339" s="60"/>
      <c r="L339" s="60"/>
      <c r="M339" s="60"/>
      <c r="N339" s="60"/>
      <c r="O339" s="60"/>
      <c r="P339" s="38"/>
      <c r="Q339" s="38"/>
      <c r="R339" s="38"/>
      <c r="S339" s="38"/>
      <c r="T339" s="38"/>
      <c r="U339" s="38"/>
      <c r="V339" s="38"/>
      <c r="W339" s="38"/>
      <c r="X339" s="38"/>
      <c r="Y339" s="34"/>
      <c r="Z339" s="34"/>
    </row>
    <row r="340" ht="15.75" customHeight="1">
      <c r="A340" s="70"/>
      <c r="B340" s="46"/>
      <c r="C340" s="218"/>
      <c r="D340" s="36"/>
      <c r="E340" s="36"/>
      <c r="F340" s="36"/>
      <c r="G340" s="41"/>
      <c r="H340" s="38"/>
      <c r="I340" s="38"/>
      <c r="J340" s="38"/>
      <c r="K340" s="38"/>
      <c r="L340" s="38"/>
      <c r="M340" s="38"/>
      <c r="N340" s="38"/>
      <c r="O340" s="38"/>
      <c r="P340" s="38"/>
      <c r="Q340" s="38"/>
      <c r="R340" s="38"/>
      <c r="S340" s="38"/>
      <c r="T340" s="38"/>
      <c r="U340" s="38"/>
      <c r="V340" s="38"/>
      <c r="W340" s="38"/>
      <c r="X340" s="38"/>
      <c r="Y340" s="34"/>
      <c r="Z340" s="34"/>
    </row>
    <row r="341" ht="15.75" customHeight="1">
      <c r="A341" s="70" t="s">
        <v>82</v>
      </c>
      <c r="B341" s="219"/>
      <c r="C341" s="218">
        <f t="shared" ref="C341:F341" si="46">SUM(C331:C339)</f>
        <v>8</v>
      </c>
      <c r="D341" s="220">
        <f t="shared" si="46"/>
        <v>0</v>
      </c>
      <c r="E341" s="220">
        <f t="shared" si="46"/>
        <v>0</v>
      </c>
      <c r="F341" s="221">
        <f t="shared" si="46"/>
        <v>0</v>
      </c>
      <c r="G341" s="222"/>
      <c r="H341" s="223"/>
      <c r="I341" s="223"/>
      <c r="J341" s="223"/>
      <c r="K341" s="223"/>
      <c r="L341" s="223"/>
      <c r="M341" s="223"/>
      <c r="N341" s="223"/>
      <c r="O341" s="223"/>
      <c r="P341" s="38"/>
      <c r="Q341" s="38"/>
      <c r="R341" s="38"/>
      <c r="S341" s="38"/>
      <c r="T341" s="38"/>
      <c r="U341" s="38"/>
      <c r="V341" s="38"/>
      <c r="W341" s="38"/>
      <c r="X341" s="38"/>
      <c r="Y341" s="34"/>
      <c r="Z341" s="34"/>
    </row>
    <row r="342" ht="15.75" customHeight="1">
      <c r="A342" s="38"/>
      <c r="B342" s="40"/>
      <c r="C342" s="36"/>
      <c r="D342" s="37"/>
      <c r="E342" s="37"/>
      <c r="F342" s="37"/>
      <c r="G342" s="38"/>
      <c r="H342" s="38"/>
      <c r="I342" s="38"/>
      <c r="J342" s="38"/>
      <c r="K342" s="38"/>
      <c r="L342" s="38"/>
      <c r="M342" s="38"/>
      <c r="N342" s="38"/>
      <c r="O342" s="38"/>
      <c r="P342" s="38"/>
      <c r="Q342" s="38"/>
      <c r="R342" s="38"/>
      <c r="S342" s="38"/>
      <c r="T342" s="38"/>
      <c r="U342" s="38"/>
      <c r="V342" s="38"/>
      <c r="W342" s="38"/>
      <c r="X342" s="38"/>
      <c r="Y342" s="34"/>
      <c r="Z342" s="34"/>
    </row>
    <row r="343" ht="15.75" customHeight="1">
      <c r="A343" s="235" t="s">
        <v>391</v>
      </c>
      <c r="B343" s="191"/>
      <c r="C343" s="192" t="s">
        <v>46</v>
      </c>
      <c r="D343" s="192" t="s">
        <v>21</v>
      </c>
      <c r="E343" s="192" t="s">
        <v>22</v>
      </c>
      <c r="F343" s="192" t="s">
        <v>23</v>
      </c>
      <c r="G343" s="191" t="s">
        <v>24</v>
      </c>
      <c r="H343" s="191" t="s">
        <v>84</v>
      </c>
      <c r="I343" s="191" t="s">
        <v>26</v>
      </c>
      <c r="J343" s="191" t="s">
        <v>85</v>
      </c>
      <c r="K343" s="191" t="s">
        <v>26</v>
      </c>
      <c r="L343" s="191" t="s">
        <v>28</v>
      </c>
      <c r="M343" s="193" t="s">
        <v>29</v>
      </c>
      <c r="N343" s="191" t="s">
        <v>30</v>
      </c>
      <c r="O343" s="191" t="s">
        <v>31</v>
      </c>
      <c r="P343" s="38"/>
      <c r="Q343" s="38"/>
      <c r="R343" s="38"/>
      <c r="S343" s="38"/>
      <c r="T343" s="38"/>
      <c r="U343" s="38"/>
      <c r="V343" s="38"/>
      <c r="W343" s="38"/>
      <c r="X343" s="38"/>
      <c r="Y343" s="34"/>
      <c r="Z343" s="34"/>
    </row>
    <row r="344" ht="157.5" customHeight="1">
      <c r="A344" s="40"/>
      <c r="B344" s="40" t="s">
        <v>392</v>
      </c>
      <c r="C344" s="203">
        <v>1.0</v>
      </c>
      <c r="D344" s="77">
        <v>0.0</v>
      </c>
      <c r="E344" s="77">
        <v>0.0</v>
      </c>
      <c r="F344" s="77">
        <f t="shared" ref="F344:F352" si="47">SUM(D344:E344)</f>
        <v>0</v>
      </c>
      <c r="G344" s="236" t="s">
        <v>393</v>
      </c>
      <c r="H344" s="60"/>
      <c r="I344" s="60"/>
      <c r="J344" s="60"/>
      <c r="K344" s="60"/>
      <c r="L344" s="60"/>
      <c r="M344" s="60"/>
      <c r="N344" s="60"/>
      <c r="O344" s="60"/>
      <c r="P344" s="38"/>
      <c r="Q344" s="38"/>
      <c r="R344" s="38"/>
      <c r="S344" s="38"/>
      <c r="T344" s="38"/>
      <c r="U344" s="38"/>
      <c r="V344" s="38"/>
      <c r="W344" s="38"/>
      <c r="X344" s="38"/>
      <c r="Y344" s="34"/>
      <c r="Z344" s="34"/>
    </row>
    <row r="345" ht="15.75" customHeight="1">
      <c r="A345" s="64"/>
      <c r="B345" s="60" t="s">
        <v>394</v>
      </c>
      <c r="C345" s="203">
        <v>1.0</v>
      </c>
      <c r="D345" s="77">
        <v>0.0</v>
      </c>
      <c r="E345" s="77">
        <v>0.0</v>
      </c>
      <c r="F345" s="77">
        <f t="shared" si="47"/>
        <v>0</v>
      </c>
      <c r="G345" s="60" t="s">
        <v>395</v>
      </c>
      <c r="H345" s="60"/>
      <c r="I345" s="60"/>
      <c r="J345" s="60"/>
      <c r="K345" s="60"/>
      <c r="L345" s="60"/>
      <c r="M345" s="60"/>
      <c r="N345" s="60"/>
      <c r="O345" s="60"/>
      <c r="P345" s="38"/>
      <c r="Q345" s="38"/>
      <c r="R345" s="38"/>
      <c r="S345" s="38"/>
      <c r="T345" s="38"/>
      <c r="U345" s="38"/>
      <c r="V345" s="38"/>
      <c r="W345" s="38"/>
      <c r="X345" s="38"/>
      <c r="Y345" s="34"/>
      <c r="Z345" s="34"/>
    </row>
    <row r="346" ht="15.75" customHeight="1">
      <c r="A346" s="64"/>
      <c r="B346" s="40" t="s">
        <v>396</v>
      </c>
      <c r="C346" s="203">
        <v>1.0</v>
      </c>
      <c r="D346" s="77">
        <v>0.0</v>
      </c>
      <c r="E346" s="77">
        <v>0.0</v>
      </c>
      <c r="F346" s="77">
        <f t="shared" si="47"/>
        <v>0</v>
      </c>
      <c r="G346" s="60" t="s">
        <v>397</v>
      </c>
      <c r="H346" s="60"/>
      <c r="I346" s="60"/>
      <c r="J346" s="60"/>
      <c r="K346" s="60"/>
      <c r="L346" s="60"/>
      <c r="M346" s="60"/>
      <c r="N346" s="60"/>
      <c r="O346" s="60"/>
      <c r="P346" s="38"/>
      <c r="Q346" s="38"/>
      <c r="R346" s="38"/>
      <c r="S346" s="38"/>
      <c r="T346" s="38"/>
      <c r="U346" s="38"/>
      <c r="V346" s="38"/>
      <c r="W346" s="38"/>
      <c r="X346" s="38"/>
      <c r="Y346" s="34"/>
      <c r="Z346" s="34"/>
    </row>
    <row r="347" ht="15.75" customHeight="1">
      <c r="A347" s="64"/>
      <c r="B347" s="60" t="s">
        <v>398</v>
      </c>
      <c r="C347" s="237">
        <v>1.0</v>
      </c>
      <c r="D347" s="77">
        <v>0.0</v>
      </c>
      <c r="E347" s="77">
        <v>0.0</v>
      </c>
      <c r="F347" s="77">
        <f t="shared" si="47"/>
        <v>0</v>
      </c>
      <c r="G347" s="60" t="s">
        <v>399</v>
      </c>
      <c r="H347" s="60"/>
      <c r="I347" s="60"/>
      <c r="J347" s="60"/>
      <c r="K347" s="60"/>
      <c r="L347" s="60"/>
      <c r="M347" s="60"/>
      <c r="N347" s="60"/>
      <c r="O347" s="60"/>
      <c r="P347" s="38"/>
      <c r="Q347" s="38"/>
      <c r="R347" s="38"/>
      <c r="S347" s="38"/>
      <c r="T347" s="38"/>
      <c r="U347" s="38"/>
      <c r="V347" s="38"/>
      <c r="W347" s="38"/>
      <c r="X347" s="38"/>
      <c r="Y347" s="34"/>
      <c r="Z347" s="34"/>
    </row>
    <row r="348" ht="15.75" customHeight="1">
      <c r="A348" s="64"/>
      <c r="B348" s="60" t="s">
        <v>400</v>
      </c>
      <c r="C348" s="237">
        <v>1.0</v>
      </c>
      <c r="D348" s="77">
        <v>0.0</v>
      </c>
      <c r="E348" s="77">
        <v>0.0</v>
      </c>
      <c r="F348" s="77">
        <f t="shared" si="47"/>
        <v>0</v>
      </c>
      <c r="G348" s="238" t="s">
        <v>401</v>
      </c>
      <c r="H348" s="60"/>
      <c r="I348" s="60"/>
      <c r="J348" s="60"/>
      <c r="K348" s="60"/>
      <c r="L348" s="60"/>
      <c r="M348" s="60"/>
      <c r="N348" s="60"/>
      <c r="O348" s="60"/>
      <c r="P348" s="38"/>
      <c r="Q348" s="38"/>
      <c r="R348" s="38"/>
      <c r="S348" s="38"/>
      <c r="T348" s="38"/>
      <c r="U348" s="38"/>
      <c r="V348" s="38"/>
      <c r="W348" s="38"/>
      <c r="X348" s="38"/>
      <c r="Y348" s="34"/>
      <c r="Z348" s="34"/>
    </row>
    <row r="349" ht="15.75" customHeight="1">
      <c r="A349" s="64"/>
      <c r="B349" s="87" t="s">
        <v>402</v>
      </c>
      <c r="C349" s="203">
        <v>1.0</v>
      </c>
      <c r="D349" s="77">
        <v>0.0</v>
      </c>
      <c r="E349" s="77">
        <v>0.0</v>
      </c>
      <c r="F349" s="77">
        <f t="shared" si="47"/>
        <v>0</v>
      </c>
      <c r="G349" s="139" t="s">
        <v>403</v>
      </c>
      <c r="H349" s="60"/>
      <c r="I349" s="60"/>
      <c r="J349" s="60"/>
      <c r="K349" s="60"/>
      <c r="L349" s="60"/>
      <c r="M349" s="60"/>
      <c r="N349" s="60"/>
      <c r="O349" s="60"/>
      <c r="P349" s="38"/>
      <c r="Q349" s="38"/>
      <c r="R349" s="38"/>
      <c r="S349" s="38"/>
      <c r="T349" s="38"/>
      <c r="U349" s="38"/>
      <c r="V349" s="38"/>
      <c r="W349" s="38"/>
      <c r="X349" s="38"/>
      <c r="Y349" s="34"/>
      <c r="Z349" s="34"/>
    </row>
    <row r="350" ht="15.75" customHeight="1">
      <c r="A350" s="64"/>
      <c r="B350" s="87" t="s">
        <v>404</v>
      </c>
      <c r="C350" s="203">
        <v>1.0</v>
      </c>
      <c r="D350" s="77">
        <v>0.0</v>
      </c>
      <c r="E350" s="77">
        <v>0.0</v>
      </c>
      <c r="F350" s="77">
        <f t="shared" si="47"/>
        <v>0</v>
      </c>
      <c r="G350" s="60"/>
      <c r="H350" s="60"/>
      <c r="I350" s="60"/>
      <c r="J350" s="60"/>
      <c r="K350" s="60"/>
      <c r="L350" s="60"/>
      <c r="M350" s="60"/>
      <c r="N350" s="60"/>
      <c r="O350" s="60"/>
      <c r="P350" s="38"/>
      <c r="Q350" s="38"/>
      <c r="R350" s="38"/>
      <c r="S350" s="38"/>
      <c r="T350" s="38"/>
      <c r="U350" s="38"/>
      <c r="V350" s="38"/>
      <c r="W350" s="38"/>
      <c r="X350" s="38"/>
      <c r="Y350" s="34"/>
      <c r="Z350" s="34"/>
    </row>
    <row r="351" ht="15.75" customHeight="1">
      <c r="A351" s="64"/>
      <c r="B351" s="87" t="s">
        <v>405</v>
      </c>
      <c r="C351" s="203">
        <v>1.0</v>
      </c>
      <c r="D351" s="77">
        <v>0.0</v>
      </c>
      <c r="E351" s="77">
        <v>0.0</v>
      </c>
      <c r="F351" s="77">
        <f t="shared" si="47"/>
        <v>0</v>
      </c>
      <c r="G351" s="238" t="s">
        <v>406</v>
      </c>
      <c r="H351" s="60"/>
      <c r="I351" s="60"/>
      <c r="J351" s="60"/>
      <c r="K351" s="60"/>
      <c r="L351" s="60"/>
      <c r="M351" s="60"/>
      <c r="N351" s="60"/>
      <c r="O351" s="60"/>
      <c r="P351" s="38"/>
      <c r="Q351" s="38"/>
      <c r="R351" s="38"/>
      <c r="S351" s="38"/>
      <c r="T351" s="38"/>
      <c r="U351" s="38"/>
      <c r="V351" s="38"/>
      <c r="W351" s="38"/>
      <c r="X351" s="38"/>
      <c r="Y351" s="34"/>
      <c r="Z351" s="34"/>
    </row>
    <row r="352" ht="15.75" customHeight="1">
      <c r="A352" s="68"/>
      <c r="B352" s="87" t="s">
        <v>407</v>
      </c>
      <c r="C352" s="203">
        <v>1.0</v>
      </c>
      <c r="D352" s="88">
        <v>0.0</v>
      </c>
      <c r="E352" s="77">
        <v>0.0</v>
      </c>
      <c r="F352" s="77">
        <f t="shared" si="47"/>
        <v>0</v>
      </c>
      <c r="G352" s="80" t="s">
        <v>408</v>
      </c>
      <c r="H352" s="60"/>
      <c r="I352" s="60"/>
      <c r="J352" s="60"/>
      <c r="K352" s="60"/>
      <c r="L352" s="60"/>
      <c r="M352" s="60"/>
      <c r="N352" s="60"/>
      <c r="O352" s="60"/>
      <c r="P352" s="38"/>
      <c r="Q352" s="38"/>
      <c r="R352" s="38"/>
      <c r="S352" s="38"/>
      <c r="T352" s="38"/>
      <c r="U352" s="38"/>
      <c r="V352" s="38"/>
      <c r="W352" s="38"/>
      <c r="X352" s="38"/>
      <c r="Y352" s="34"/>
      <c r="Z352" s="34"/>
    </row>
    <row r="353" ht="15.75" customHeight="1">
      <c r="A353" s="38"/>
      <c r="B353" s="40"/>
      <c r="C353" s="218"/>
      <c r="D353" s="37"/>
      <c r="E353" s="37"/>
      <c r="F353" s="37"/>
      <c r="G353" s="38"/>
      <c r="H353" s="38"/>
      <c r="I353" s="38"/>
      <c r="J353" s="38"/>
      <c r="K353" s="38"/>
      <c r="L353" s="38"/>
      <c r="M353" s="38"/>
      <c r="N353" s="38"/>
      <c r="O353" s="38"/>
      <c r="P353" s="38"/>
      <c r="Q353" s="38"/>
      <c r="R353" s="38"/>
      <c r="S353" s="38"/>
      <c r="T353" s="38"/>
      <c r="U353" s="38"/>
      <c r="V353" s="38"/>
      <c r="W353" s="38"/>
      <c r="X353" s="38"/>
      <c r="Y353" s="34"/>
      <c r="Z353" s="34"/>
    </row>
    <row r="354" ht="15.75" customHeight="1">
      <c r="A354" s="70" t="s">
        <v>82</v>
      </c>
      <c r="B354" s="239"/>
      <c r="C354" s="240">
        <f t="shared" ref="C354:F354" si="48">SUM(C344:C352)</f>
        <v>9</v>
      </c>
      <c r="D354" s="241">
        <f t="shared" si="48"/>
        <v>0</v>
      </c>
      <c r="E354" s="241">
        <f t="shared" si="48"/>
        <v>0</v>
      </c>
      <c r="F354" s="242">
        <f t="shared" si="48"/>
        <v>0</v>
      </c>
      <c r="G354" s="243"/>
      <c r="H354" s="223"/>
      <c r="I354" s="223"/>
      <c r="J354" s="223"/>
      <c r="K354" s="223"/>
      <c r="L354" s="223"/>
      <c r="M354" s="223"/>
      <c r="N354" s="223"/>
      <c r="O354" s="223"/>
      <c r="P354" s="38"/>
      <c r="Q354" s="38"/>
      <c r="R354" s="38"/>
      <c r="S354" s="38"/>
      <c r="T354" s="38"/>
      <c r="U354" s="38"/>
      <c r="V354" s="38"/>
      <c r="W354" s="38"/>
      <c r="X354" s="38"/>
      <c r="Y354" s="34"/>
      <c r="Z354" s="34"/>
    </row>
    <row r="355" ht="15.75" customHeight="1">
      <c r="A355" s="38"/>
      <c r="B355" s="244"/>
      <c r="C355" s="36"/>
      <c r="D355" s="37"/>
      <c r="E355" s="37"/>
      <c r="F355" s="37"/>
      <c r="G355" s="38"/>
      <c r="H355" s="38"/>
      <c r="I355" s="38"/>
      <c r="J355" s="38"/>
      <c r="K355" s="38"/>
      <c r="L355" s="38"/>
      <c r="M355" s="38"/>
      <c r="N355" s="38"/>
      <c r="O355" s="38"/>
      <c r="P355" s="38"/>
      <c r="Q355" s="38"/>
      <c r="R355" s="38"/>
      <c r="S355" s="38"/>
      <c r="T355" s="38"/>
      <c r="U355" s="38"/>
      <c r="V355" s="38"/>
      <c r="W355" s="38"/>
      <c r="X355" s="38"/>
      <c r="Y355" s="34"/>
      <c r="Z355" s="34"/>
    </row>
    <row r="356" ht="15.75" customHeight="1">
      <c r="A356" s="245" t="s">
        <v>409</v>
      </c>
      <c r="B356" s="191"/>
      <c r="C356" s="192" t="s">
        <v>46</v>
      </c>
      <c r="D356" s="192" t="s">
        <v>21</v>
      </c>
      <c r="E356" s="192" t="s">
        <v>22</v>
      </c>
      <c r="F356" s="192" t="s">
        <v>23</v>
      </c>
      <c r="G356" s="191" t="s">
        <v>24</v>
      </c>
      <c r="H356" s="191" t="s">
        <v>84</v>
      </c>
      <c r="I356" s="191" t="s">
        <v>26</v>
      </c>
      <c r="J356" s="191" t="s">
        <v>85</v>
      </c>
      <c r="K356" s="191" t="s">
        <v>26</v>
      </c>
      <c r="L356" s="191" t="s">
        <v>28</v>
      </c>
      <c r="M356" s="193" t="s">
        <v>29</v>
      </c>
      <c r="N356" s="191" t="s">
        <v>30</v>
      </c>
      <c r="O356" s="191" t="s">
        <v>31</v>
      </c>
      <c r="P356" s="38"/>
      <c r="Q356" s="38"/>
      <c r="R356" s="38"/>
      <c r="S356" s="38"/>
      <c r="T356" s="38"/>
      <c r="U356" s="38"/>
      <c r="V356" s="38"/>
      <c r="W356" s="38"/>
      <c r="X356" s="38"/>
      <c r="Y356" s="34"/>
      <c r="Z356" s="34"/>
    </row>
    <row r="357" ht="15.75" customHeight="1">
      <c r="A357" s="76"/>
      <c r="B357" s="87" t="s">
        <v>410</v>
      </c>
      <c r="C357" s="203">
        <v>1.0</v>
      </c>
      <c r="D357" s="77">
        <v>0.0</v>
      </c>
      <c r="E357" s="77">
        <v>0.0</v>
      </c>
      <c r="F357" s="77">
        <f t="shared" ref="F357:F369" si="49">SUM(D357:E357)</f>
        <v>0</v>
      </c>
      <c r="G357" s="91" t="s">
        <v>411</v>
      </c>
      <c r="H357" s="60"/>
      <c r="I357" s="60"/>
      <c r="J357" s="60"/>
      <c r="K357" s="60"/>
      <c r="L357" s="60"/>
      <c r="M357" s="60"/>
      <c r="N357" s="60"/>
      <c r="O357" s="60"/>
      <c r="P357" s="38"/>
      <c r="Q357" s="38"/>
      <c r="R357" s="38"/>
      <c r="S357" s="38"/>
      <c r="T357" s="38"/>
      <c r="U357" s="38"/>
      <c r="V357" s="38"/>
      <c r="W357" s="38"/>
      <c r="X357" s="38"/>
      <c r="Y357" s="34"/>
      <c r="Z357" s="34"/>
    </row>
    <row r="358" ht="15.75" customHeight="1">
      <c r="A358" s="64"/>
      <c r="B358" s="87" t="s">
        <v>412</v>
      </c>
      <c r="C358" s="233">
        <v>2.0</v>
      </c>
      <c r="D358" s="88">
        <v>0.0</v>
      </c>
      <c r="E358" s="77">
        <v>0.0</v>
      </c>
      <c r="F358" s="77">
        <f t="shared" si="49"/>
        <v>0</v>
      </c>
      <c r="G358" s="139" t="s">
        <v>413</v>
      </c>
      <c r="H358" s="60"/>
      <c r="I358" s="60"/>
      <c r="J358" s="60"/>
      <c r="K358" s="60"/>
      <c r="L358" s="60"/>
      <c r="M358" s="60"/>
      <c r="N358" s="60"/>
      <c r="O358" s="60"/>
      <c r="P358" s="38"/>
      <c r="Q358" s="38"/>
      <c r="R358" s="38"/>
      <c r="S358" s="38"/>
      <c r="T358" s="38"/>
      <c r="U358" s="38"/>
      <c r="V358" s="38"/>
      <c r="W358" s="38"/>
      <c r="X358" s="38"/>
      <c r="Y358" s="34"/>
      <c r="Z358" s="34"/>
    </row>
    <row r="359" ht="15.75" customHeight="1">
      <c r="A359" s="64"/>
      <c r="B359" s="60" t="s">
        <v>414</v>
      </c>
      <c r="C359" s="203">
        <v>1.0</v>
      </c>
      <c r="D359" s="77">
        <v>0.0</v>
      </c>
      <c r="E359" s="77">
        <v>0.0</v>
      </c>
      <c r="F359" s="77">
        <f t="shared" si="49"/>
        <v>0</v>
      </c>
      <c r="G359" s="92" t="s">
        <v>415</v>
      </c>
      <c r="H359" s="60"/>
      <c r="I359" s="60"/>
      <c r="J359" s="60"/>
      <c r="K359" s="60"/>
      <c r="L359" s="60"/>
      <c r="M359" s="60"/>
      <c r="N359" s="60"/>
      <c r="O359" s="60"/>
      <c r="P359" s="38"/>
      <c r="Q359" s="38"/>
      <c r="R359" s="38"/>
      <c r="S359" s="38"/>
      <c r="T359" s="38"/>
      <c r="U359" s="38"/>
      <c r="V359" s="38"/>
      <c r="W359" s="38"/>
      <c r="X359" s="38"/>
      <c r="Y359" s="34"/>
      <c r="Z359" s="34"/>
    </row>
    <row r="360" ht="15.75" customHeight="1">
      <c r="A360" s="64"/>
      <c r="B360" s="60" t="s">
        <v>416</v>
      </c>
      <c r="C360" s="203">
        <v>1.0</v>
      </c>
      <c r="D360" s="77">
        <v>0.0</v>
      </c>
      <c r="E360" s="77">
        <v>0.0</v>
      </c>
      <c r="F360" s="77">
        <f t="shared" si="49"/>
        <v>0</v>
      </c>
      <c r="G360" s="92" t="s">
        <v>417</v>
      </c>
      <c r="H360" s="60"/>
      <c r="I360" s="60"/>
      <c r="J360" s="60"/>
      <c r="K360" s="60"/>
      <c r="L360" s="60"/>
      <c r="M360" s="60"/>
      <c r="N360" s="60"/>
      <c r="O360" s="60"/>
      <c r="P360" s="38"/>
      <c r="Q360" s="38"/>
      <c r="R360" s="38"/>
      <c r="S360" s="38"/>
      <c r="T360" s="38"/>
      <c r="U360" s="38"/>
      <c r="V360" s="38"/>
      <c r="W360" s="38"/>
      <c r="X360" s="38"/>
      <c r="Y360" s="34"/>
      <c r="Z360" s="34"/>
    </row>
    <row r="361" ht="15.75" customHeight="1">
      <c r="A361" s="64"/>
      <c r="B361" s="87" t="s">
        <v>418</v>
      </c>
      <c r="C361" s="203">
        <v>1.0</v>
      </c>
      <c r="D361" s="77">
        <v>0.0</v>
      </c>
      <c r="E361" s="77">
        <v>0.0</v>
      </c>
      <c r="F361" s="77">
        <f t="shared" si="49"/>
        <v>0</v>
      </c>
      <c r="G361" s="92" t="s">
        <v>419</v>
      </c>
      <c r="H361" s="60"/>
      <c r="I361" s="60"/>
      <c r="J361" s="60"/>
      <c r="K361" s="60"/>
      <c r="L361" s="60"/>
      <c r="M361" s="60"/>
      <c r="N361" s="60"/>
      <c r="O361" s="60"/>
      <c r="P361" s="38"/>
      <c r="Q361" s="38"/>
      <c r="R361" s="38"/>
      <c r="S361" s="38"/>
      <c r="T361" s="38"/>
      <c r="U361" s="38"/>
      <c r="V361" s="38"/>
      <c r="W361" s="38"/>
      <c r="X361" s="38"/>
      <c r="Y361" s="34"/>
      <c r="Z361" s="34"/>
    </row>
    <row r="362" ht="15.75" customHeight="1">
      <c r="A362" s="64"/>
      <c r="B362" s="87" t="s">
        <v>420</v>
      </c>
      <c r="C362" s="203">
        <v>1.0</v>
      </c>
      <c r="D362" s="77">
        <v>0.0</v>
      </c>
      <c r="E362" s="77">
        <v>0.0</v>
      </c>
      <c r="F362" s="77">
        <f t="shared" si="49"/>
        <v>0</v>
      </c>
      <c r="G362" s="60" t="s">
        <v>421</v>
      </c>
      <c r="H362" s="60"/>
      <c r="I362" s="60"/>
      <c r="J362" s="60"/>
      <c r="K362" s="60"/>
      <c r="L362" s="60"/>
      <c r="M362" s="60"/>
      <c r="N362" s="60"/>
      <c r="O362" s="60"/>
      <c r="P362" s="38"/>
      <c r="Q362" s="38"/>
      <c r="R362" s="38"/>
      <c r="S362" s="38"/>
      <c r="T362" s="38"/>
      <c r="U362" s="38"/>
      <c r="V362" s="38"/>
      <c r="W362" s="38"/>
      <c r="X362" s="38"/>
      <c r="Y362" s="34"/>
      <c r="Z362" s="34"/>
    </row>
    <row r="363" ht="15.75" customHeight="1">
      <c r="A363" s="64"/>
      <c r="B363" s="60" t="s">
        <v>422</v>
      </c>
      <c r="C363" s="203">
        <v>1.0</v>
      </c>
      <c r="D363" s="77">
        <v>0.0</v>
      </c>
      <c r="E363" s="77">
        <v>0.0</v>
      </c>
      <c r="F363" s="77">
        <f t="shared" si="49"/>
        <v>0</v>
      </c>
      <c r="G363" s="60" t="s">
        <v>423</v>
      </c>
      <c r="H363" s="60"/>
      <c r="I363" s="60"/>
      <c r="J363" s="60"/>
      <c r="K363" s="60"/>
      <c r="L363" s="60"/>
      <c r="M363" s="60"/>
      <c r="N363" s="60"/>
      <c r="O363" s="60"/>
      <c r="P363" s="38"/>
      <c r="Q363" s="38"/>
      <c r="R363" s="38"/>
      <c r="S363" s="38"/>
      <c r="T363" s="38"/>
      <c r="U363" s="38"/>
      <c r="V363" s="38"/>
      <c r="W363" s="38"/>
      <c r="X363" s="38"/>
      <c r="Y363" s="34"/>
      <c r="Z363" s="34"/>
    </row>
    <row r="364" ht="15.75" customHeight="1">
      <c r="A364" s="64"/>
      <c r="B364" s="60" t="s">
        <v>424</v>
      </c>
      <c r="C364" s="203">
        <v>1.0</v>
      </c>
      <c r="D364" s="77">
        <v>0.0</v>
      </c>
      <c r="E364" s="77">
        <v>0.0</v>
      </c>
      <c r="F364" s="77">
        <f t="shared" si="49"/>
        <v>0</v>
      </c>
      <c r="G364" s="139" t="s">
        <v>425</v>
      </c>
      <c r="H364" s="60"/>
      <c r="I364" s="60"/>
      <c r="J364" s="60"/>
      <c r="K364" s="60"/>
      <c r="L364" s="60"/>
      <c r="M364" s="60"/>
      <c r="N364" s="60"/>
      <c r="O364" s="60"/>
      <c r="P364" s="38"/>
      <c r="Q364" s="38"/>
      <c r="R364" s="38"/>
      <c r="S364" s="38"/>
      <c r="T364" s="38"/>
      <c r="U364" s="38"/>
      <c r="V364" s="38"/>
      <c r="W364" s="38"/>
      <c r="X364" s="38"/>
      <c r="Y364" s="34"/>
      <c r="Z364" s="34"/>
    </row>
    <row r="365" ht="15.75" customHeight="1">
      <c r="A365" s="64"/>
      <c r="B365" s="87" t="s">
        <v>426</v>
      </c>
      <c r="C365" s="203">
        <v>1.0</v>
      </c>
      <c r="D365" s="77">
        <v>0.0</v>
      </c>
      <c r="E365" s="77">
        <v>0.0</v>
      </c>
      <c r="F365" s="77">
        <f t="shared" si="49"/>
        <v>0</v>
      </c>
      <c r="G365" s="65" t="s">
        <v>427</v>
      </c>
      <c r="H365" s="60"/>
      <c r="I365" s="60"/>
      <c r="J365" s="60"/>
      <c r="K365" s="60"/>
      <c r="L365" s="60"/>
      <c r="M365" s="60"/>
      <c r="N365" s="60"/>
      <c r="O365" s="60"/>
      <c r="P365" s="38"/>
      <c r="Q365" s="38"/>
      <c r="R365" s="38"/>
      <c r="S365" s="38"/>
      <c r="T365" s="38"/>
      <c r="U365" s="38"/>
      <c r="V365" s="38"/>
      <c r="W365" s="38"/>
      <c r="X365" s="38"/>
      <c r="Y365" s="34"/>
      <c r="Z365" s="34"/>
    </row>
    <row r="366" ht="15.75" customHeight="1">
      <c r="A366" s="64"/>
      <c r="B366" s="87" t="s">
        <v>428</v>
      </c>
      <c r="C366" s="203">
        <v>1.0</v>
      </c>
      <c r="D366" s="77">
        <v>0.0</v>
      </c>
      <c r="E366" s="77">
        <v>0.0</v>
      </c>
      <c r="F366" s="77">
        <f t="shared" si="49"/>
        <v>0</v>
      </c>
      <c r="G366" s="60"/>
      <c r="H366" s="60"/>
      <c r="I366" s="60"/>
      <c r="J366" s="60"/>
      <c r="K366" s="60"/>
      <c r="L366" s="60"/>
      <c r="M366" s="60"/>
      <c r="N366" s="60"/>
      <c r="O366" s="60"/>
      <c r="P366" s="38"/>
      <c r="Q366" s="38"/>
      <c r="R366" s="38"/>
      <c r="S366" s="38"/>
      <c r="T366" s="38"/>
      <c r="U366" s="38"/>
      <c r="V366" s="38"/>
      <c r="W366" s="38"/>
      <c r="X366" s="38"/>
      <c r="Y366" s="34"/>
      <c r="Z366" s="34"/>
    </row>
    <row r="367" ht="15.75" customHeight="1">
      <c r="A367" s="64"/>
      <c r="B367" s="60" t="s">
        <v>429</v>
      </c>
      <c r="C367" s="203">
        <v>1.0</v>
      </c>
      <c r="D367" s="77">
        <v>0.0</v>
      </c>
      <c r="E367" s="77">
        <v>0.0</v>
      </c>
      <c r="F367" s="77">
        <f t="shared" si="49"/>
        <v>0</v>
      </c>
      <c r="G367" s="246" t="s">
        <v>430</v>
      </c>
      <c r="H367" s="60"/>
      <c r="I367" s="60"/>
      <c r="J367" s="60"/>
      <c r="K367" s="60"/>
      <c r="L367" s="60"/>
      <c r="M367" s="60"/>
      <c r="N367" s="60"/>
      <c r="O367" s="60"/>
      <c r="P367" s="38"/>
      <c r="Q367" s="38"/>
      <c r="R367" s="38"/>
      <c r="S367" s="38"/>
      <c r="T367" s="38"/>
      <c r="U367" s="38"/>
      <c r="V367" s="38"/>
      <c r="W367" s="38"/>
      <c r="X367" s="38"/>
      <c r="Y367" s="34"/>
      <c r="Z367" s="34"/>
    </row>
    <row r="368" ht="15.75" customHeight="1">
      <c r="A368" s="68"/>
      <c r="B368" s="60" t="s">
        <v>431</v>
      </c>
      <c r="C368" s="203">
        <v>1.0</v>
      </c>
      <c r="D368" s="77">
        <v>0.0</v>
      </c>
      <c r="E368" s="77">
        <v>0.0</v>
      </c>
      <c r="F368" s="77">
        <f t="shared" si="49"/>
        <v>0</v>
      </c>
      <c r="G368" s="67" t="s">
        <v>432</v>
      </c>
      <c r="H368" s="60"/>
      <c r="I368" s="60"/>
      <c r="J368" s="60"/>
      <c r="K368" s="60"/>
      <c r="L368" s="60"/>
      <c r="M368" s="60"/>
      <c r="N368" s="60"/>
      <c r="O368" s="60"/>
      <c r="P368" s="38"/>
      <c r="Q368" s="38"/>
      <c r="R368" s="38"/>
      <c r="S368" s="38"/>
      <c r="T368" s="38"/>
      <c r="U368" s="38"/>
      <c r="V368" s="38"/>
      <c r="W368" s="38"/>
      <c r="X368" s="38"/>
      <c r="Y368" s="34"/>
      <c r="Z368" s="34"/>
    </row>
    <row r="369" ht="15.75" customHeight="1">
      <c r="A369" s="70"/>
      <c r="B369" s="82" t="s">
        <v>433</v>
      </c>
      <c r="C369" s="203">
        <v>1.0</v>
      </c>
      <c r="D369" s="77">
        <v>0.0</v>
      </c>
      <c r="E369" s="77">
        <v>0.0</v>
      </c>
      <c r="F369" s="77">
        <f t="shared" si="49"/>
        <v>0</v>
      </c>
      <c r="G369" s="236" t="s">
        <v>434</v>
      </c>
      <c r="H369" s="60"/>
      <c r="I369" s="60"/>
      <c r="J369" s="60"/>
      <c r="K369" s="60"/>
      <c r="L369" s="60"/>
      <c r="M369" s="60"/>
      <c r="N369" s="60"/>
      <c r="O369" s="60"/>
      <c r="P369" s="38"/>
      <c r="Q369" s="38"/>
      <c r="R369" s="38"/>
      <c r="S369" s="38"/>
      <c r="T369" s="38"/>
      <c r="U369" s="38"/>
      <c r="V369" s="38"/>
      <c r="W369" s="38"/>
      <c r="X369" s="38"/>
      <c r="Y369" s="34"/>
      <c r="Z369" s="34"/>
    </row>
    <row r="370" ht="15.75" customHeight="1">
      <c r="A370" s="70" t="s">
        <v>82</v>
      </c>
      <c r="B370" s="247"/>
      <c r="C370" s="240">
        <f t="shared" ref="C370:F370" si="50">SUM(C357:C369)</f>
        <v>14</v>
      </c>
      <c r="D370" s="241">
        <f t="shared" si="50"/>
        <v>0</v>
      </c>
      <c r="E370" s="241">
        <f t="shared" si="50"/>
        <v>0</v>
      </c>
      <c r="F370" s="242">
        <f t="shared" si="50"/>
        <v>0</v>
      </c>
      <c r="G370" s="243"/>
      <c r="H370" s="248"/>
      <c r="I370" s="223"/>
      <c r="J370" s="223"/>
      <c r="K370" s="223"/>
      <c r="L370" s="223"/>
      <c r="M370" s="223"/>
      <c r="N370" s="223"/>
      <c r="O370" s="223"/>
      <c r="P370" s="38"/>
      <c r="Q370" s="38"/>
      <c r="R370" s="38"/>
      <c r="S370" s="38"/>
      <c r="T370" s="38"/>
      <c r="U370" s="38"/>
      <c r="V370" s="38"/>
      <c r="W370" s="38"/>
      <c r="X370" s="38"/>
      <c r="Y370" s="34"/>
      <c r="Z370" s="34"/>
    </row>
    <row r="371" ht="15.75" customHeight="1">
      <c r="A371" s="70"/>
      <c r="B371" s="249"/>
      <c r="C371" s="36"/>
      <c r="D371" s="37"/>
      <c r="E371" s="37"/>
      <c r="F371" s="37"/>
      <c r="G371" s="38"/>
      <c r="H371" s="38"/>
      <c r="I371" s="38"/>
      <c r="J371" s="38"/>
      <c r="K371" s="38"/>
      <c r="L371" s="38"/>
      <c r="M371" s="38"/>
      <c r="N371" s="38"/>
      <c r="O371" s="38"/>
      <c r="P371" s="38"/>
      <c r="Q371" s="38"/>
      <c r="R371" s="38"/>
      <c r="S371" s="38"/>
      <c r="T371" s="38"/>
      <c r="U371" s="38"/>
      <c r="V371" s="38"/>
      <c r="W371" s="38"/>
      <c r="X371" s="38"/>
      <c r="Y371" s="34"/>
      <c r="Z371" s="34"/>
    </row>
    <row r="372" ht="15.75" customHeight="1">
      <c r="A372" s="250" t="s">
        <v>435</v>
      </c>
      <c r="B372" s="191"/>
      <c r="C372" s="192" t="s">
        <v>46</v>
      </c>
      <c r="D372" s="192" t="s">
        <v>21</v>
      </c>
      <c r="E372" s="192" t="s">
        <v>22</v>
      </c>
      <c r="F372" s="192" t="s">
        <v>23</v>
      </c>
      <c r="G372" s="191" t="s">
        <v>24</v>
      </c>
      <c r="H372" s="191" t="s">
        <v>84</v>
      </c>
      <c r="I372" s="191" t="s">
        <v>26</v>
      </c>
      <c r="J372" s="191" t="s">
        <v>85</v>
      </c>
      <c r="K372" s="191" t="s">
        <v>26</v>
      </c>
      <c r="L372" s="191" t="s">
        <v>28</v>
      </c>
      <c r="M372" s="193" t="s">
        <v>29</v>
      </c>
      <c r="N372" s="191" t="s">
        <v>30</v>
      </c>
      <c r="O372" s="191" t="s">
        <v>31</v>
      </c>
      <c r="P372" s="38"/>
      <c r="Q372" s="38"/>
      <c r="R372" s="38"/>
      <c r="S372" s="38"/>
      <c r="T372" s="38"/>
      <c r="U372" s="38"/>
      <c r="V372" s="38"/>
      <c r="W372" s="38"/>
      <c r="X372" s="38"/>
      <c r="Y372" s="34"/>
      <c r="Z372" s="34"/>
    </row>
    <row r="373" ht="15.75" customHeight="1">
      <c r="A373" s="251"/>
      <c r="B373" s="66" t="s">
        <v>436</v>
      </c>
      <c r="C373" s="203">
        <v>1.0</v>
      </c>
      <c r="D373" s="77">
        <v>0.0</v>
      </c>
      <c r="E373" s="77">
        <v>0.0</v>
      </c>
      <c r="F373" s="77">
        <f t="shared" ref="F373:F379" si="51">SUM(D373:E373)</f>
        <v>0</v>
      </c>
      <c r="G373" s="234"/>
      <c r="H373" s="60"/>
      <c r="I373" s="60"/>
      <c r="J373" s="60"/>
      <c r="K373" s="60"/>
      <c r="L373" s="60"/>
      <c r="M373" s="60"/>
      <c r="N373" s="60"/>
      <c r="O373" s="60"/>
      <c r="P373" s="38"/>
      <c r="Q373" s="38"/>
      <c r="R373" s="38"/>
      <c r="S373" s="38"/>
      <c r="T373" s="38"/>
      <c r="U373" s="38"/>
      <c r="V373" s="38"/>
      <c r="W373" s="38"/>
      <c r="X373" s="38"/>
      <c r="Y373" s="34"/>
      <c r="Z373" s="34"/>
    </row>
    <row r="374" ht="15.75" customHeight="1">
      <c r="A374" s="64"/>
      <c r="B374" s="66" t="s">
        <v>437</v>
      </c>
      <c r="C374" s="203">
        <v>1.0</v>
      </c>
      <c r="D374" s="77">
        <v>0.0</v>
      </c>
      <c r="E374" s="77">
        <v>0.0</v>
      </c>
      <c r="F374" s="77">
        <f t="shared" si="51"/>
        <v>0</v>
      </c>
      <c r="G374" s="65" t="s">
        <v>438</v>
      </c>
      <c r="H374" s="60"/>
      <c r="I374" s="60"/>
      <c r="J374" s="60"/>
      <c r="K374" s="60"/>
      <c r="L374" s="60"/>
      <c r="M374" s="60"/>
      <c r="N374" s="60"/>
      <c r="O374" s="60"/>
      <c r="P374" s="38"/>
      <c r="Q374" s="38"/>
      <c r="R374" s="38"/>
      <c r="S374" s="38"/>
      <c r="T374" s="38"/>
      <c r="U374" s="38"/>
      <c r="V374" s="38"/>
      <c r="W374" s="38"/>
      <c r="X374" s="38"/>
      <c r="Y374" s="34"/>
      <c r="Z374" s="34"/>
    </row>
    <row r="375" ht="15.75" customHeight="1">
      <c r="A375" s="64"/>
      <c r="B375" s="60" t="s">
        <v>439</v>
      </c>
      <c r="C375" s="203">
        <v>1.0</v>
      </c>
      <c r="D375" s="77">
        <v>0.0</v>
      </c>
      <c r="E375" s="77">
        <v>0.0</v>
      </c>
      <c r="F375" s="77">
        <f t="shared" si="51"/>
        <v>0</v>
      </c>
      <c r="G375" s="65" t="s">
        <v>440</v>
      </c>
      <c r="H375" s="60"/>
      <c r="I375" s="60"/>
      <c r="J375" s="60"/>
      <c r="K375" s="60"/>
      <c r="L375" s="60"/>
      <c r="M375" s="60"/>
      <c r="N375" s="60"/>
      <c r="O375" s="60"/>
      <c r="P375" s="38"/>
      <c r="Q375" s="38"/>
      <c r="R375" s="38"/>
      <c r="S375" s="38"/>
      <c r="T375" s="38"/>
      <c r="U375" s="38"/>
      <c r="V375" s="38"/>
      <c r="W375" s="38"/>
      <c r="X375" s="38"/>
      <c r="Y375" s="34"/>
      <c r="Z375" s="34"/>
    </row>
    <row r="376" ht="15.75" customHeight="1">
      <c r="A376" s="64"/>
      <c r="B376" s="87" t="s">
        <v>441</v>
      </c>
      <c r="C376" s="203">
        <v>1.0</v>
      </c>
      <c r="D376" s="77">
        <v>0.0</v>
      </c>
      <c r="E376" s="77">
        <v>0.0</v>
      </c>
      <c r="F376" s="77">
        <f t="shared" si="51"/>
        <v>0</v>
      </c>
      <c r="G376" s="60"/>
      <c r="H376" s="60"/>
      <c r="I376" s="60"/>
      <c r="J376" s="60"/>
      <c r="K376" s="60"/>
      <c r="L376" s="60"/>
      <c r="M376" s="60"/>
      <c r="N376" s="60"/>
      <c r="O376" s="60"/>
      <c r="P376" s="38"/>
      <c r="Q376" s="38"/>
      <c r="R376" s="38"/>
      <c r="S376" s="38"/>
      <c r="T376" s="38"/>
      <c r="U376" s="38"/>
      <c r="V376" s="38"/>
      <c r="W376" s="38"/>
      <c r="X376" s="38"/>
      <c r="Y376" s="34"/>
      <c r="Z376" s="34"/>
    </row>
    <row r="377" ht="15.75" customHeight="1">
      <c r="A377" s="64"/>
      <c r="B377" s="87" t="s">
        <v>442</v>
      </c>
      <c r="C377" s="203">
        <v>2.0</v>
      </c>
      <c r="D377" s="77">
        <v>0.0</v>
      </c>
      <c r="E377" s="77">
        <v>0.0</v>
      </c>
      <c r="F377" s="77">
        <f t="shared" si="51"/>
        <v>0</v>
      </c>
      <c r="G377" s="139" t="s">
        <v>443</v>
      </c>
      <c r="H377" s="60"/>
      <c r="I377" s="60"/>
      <c r="J377" s="60"/>
      <c r="K377" s="60"/>
      <c r="L377" s="60"/>
      <c r="M377" s="60"/>
      <c r="N377" s="60"/>
      <c r="O377" s="60"/>
      <c r="P377" s="38"/>
      <c r="Q377" s="38"/>
      <c r="R377" s="38"/>
      <c r="S377" s="38"/>
      <c r="T377" s="38"/>
      <c r="U377" s="38"/>
      <c r="V377" s="38"/>
      <c r="W377" s="38"/>
      <c r="X377" s="38"/>
      <c r="Y377" s="34"/>
      <c r="Z377" s="34"/>
    </row>
    <row r="378" ht="15.75" customHeight="1">
      <c r="A378" s="64"/>
      <c r="B378" s="87" t="s">
        <v>444</v>
      </c>
      <c r="C378" s="203">
        <v>2.0</v>
      </c>
      <c r="D378" s="77">
        <v>0.0</v>
      </c>
      <c r="E378" s="77">
        <v>0.0</v>
      </c>
      <c r="F378" s="77">
        <f t="shared" si="51"/>
        <v>0</v>
      </c>
      <c r="G378" s="139" t="s">
        <v>443</v>
      </c>
      <c r="H378" s="60"/>
      <c r="I378" s="60"/>
      <c r="J378" s="60"/>
      <c r="K378" s="60"/>
      <c r="L378" s="60"/>
      <c r="M378" s="60"/>
      <c r="N378" s="60"/>
      <c r="O378" s="60"/>
      <c r="P378" s="38"/>
      <c r="Q378" s="38"/>
      <c r="R378" s="38"/>
      <c r="S378" s="38"/>
      <c r="T378" s="38"/>
      <c r="U378" s="38"/>
      <c r="V378" s="38"/>
      <c r="W378" s="38"/>
      <c r="X378" s="38"/>
      <c r="Y378" s="34"/>
      <c r="Z378" s="34"/>
    </row>
    <row r="379" ht="15.75" customHeight="1">
      <c r="A379" s="68"/>
      <c r="B379" s="60" t="s">
        <v>445</v>
      </c>
      <c r="C379" s="203">
        <v>1.0</v>
      </c>
      <c r="D379" s="77">
        <v>0.0</v>
      </c>
      <c r="E379" s="77">
        <v>0.0</v>
      </c>
      <c r="F379" s="77">
        <f t="shared" si="51"/>
        <v>0</v>
      </c>
      <c r="G379" s="66" t="s">
        <v>446</v>
      </c>
      <c r="H379" s="60"/>
      <c r="I379" s="60"/>
      <c r="J379" s="60"/>
      <c r="K379" s="60"/>
      <c r="L379" s="60"/>
      <c r="M379" s="60"/>
      <c r="N379" s="60"/>
      <c r="O379" s="60"/>
      <c r="P379" s="38"/>
      <c r="Q379" s="38"/>
      <c r="R379" s="38"/>
      <c r="S379" s="38"/>
      <c r="T379" s="38"/>
      <c r="U379" s="38"/>
      <c r="V379" s="38"/>
      <c r="W379" s="38"/>
      <c r="X379" s="38"/>
      <c r="Y379" s="34"/>
      <c r="Z379" s="34"/>
    </row>
    <row r="380" ht="15.75" customHeight="1">
      <c r="A380" s="142"/>
      <c r="B380" s="252"/>
      <c r="C380" s="218"/>
      <c r="D380" s="37"/>
      <c r="E380" s="37"/>
      <c r="F380" s="37"/>
      <c r="G380" s="38"/>
      <c r="H380" s="38"/>
      <c r="I380" s="38"/>
      <c r="J380" s="38"/>
      <c r="K380" s="38"/>
      <c r="L380" s="38"/>
      <c r="M380" s="38"/>
      <c r="N380" s="38"/>
      <c r="O380" s="38"/>
      <c r="P380" s="38"/>
      <c r="Q380" s="38"/>
      <c r="R380" s="38"/>
      <c r="S380" s="38"/>
      <c r="T380" s="38"/>
      <c r="U380" s="38"/>
      <c r="V380" s="38"/>
      <c r="W380" s="38"/>
      <c r="X380" s="38"/>
      <c r="Y380" s="34"/>
      <c r="Z380" s="34"/>
    </row>
    <row r="381" ht="15.75" customHeight="1">
      <c r="A381" s="70" t="s">
        <v>82</v>
      </c>
      <c r="B381" s="239"/>
      <c r="C381" s="240">
        <f t="shared" ref="C381:F381" si="52">SUM(C373:C379)</f>
        <v>9</v>
      </c>
      <c r="D381" s="241">
        <f t="shared" si="52"/>
        <v>0</v>
      </c>
      <c r="E381" s="241">
        <f t="shared" si="52"/>
        <v>0</v>
      </c>
      <c r="F381" s="242">
        <f t="shared" si="52"/>
        <v>0</v>
      </c>
      <c r="G381" s="243"/>
      <c r="H381" s="223"/>
      <c r="I381" s="223"/>
      <c r="J381" s="223"/>
      <c r="K381" s="223"/>
      <c r="L381" s="223"/>
      <c r="M381" s="223"/>
      <c r="N381" s="223"/>
      <c r="O381" s="223"/>
      <c r="P381" s="38"/>
      <c r="Q381" s="38"/>
      <c r="R381" s="38"/>
      <c r="S381" s="38"/>
      <c r="T381" s="38"/>
      <c r="U381" s="38"/>
      <c r="V381" s="38"/>
      <c r="W381" s="38"/>
      <c r="X381" s="38"/>
      <c r="Y381" s="34"/>
      <c r="Z381" s="34"/>
    </row>
    <row r="382" ht="15.75" customHeight="1">
      <c r="A382" s="142"/>
      <c r="B382" s="252"/>
      <c r="C382" s="36"/>
      <c r="D382" s="37"/>
      <c r="E382" s="37"/>
      <c r="F382" s="37"/>
      <c r="G382" s="38"/>
      <c r="H382" s="38"/>
      <c r="I382" s="38"/>
      <c r="J382" s="38"/>
      <c r="K382" s="38"/>
      <c r="L382" s="38"/>
      <c r="M382" s="38"/>
      <c r="N382" s="38"/>
      <c r="O382" s="38"/>
      <c r="P382" s="38"/>
      <c r="Q382" s="38"/>
      <c r="R382" s="38"/>
      <c r="S382" s="38"/>
      <c r="T382" s="38"/>
      <c r="U382" s="38"/>
      <c r="V382" s="38"/>
      <c r="W382" s="38"/>
      <c r="X382" s="38"/>
      <c r="Y382" s="34"/>
      <c r="Z382" s="34"/>
    </row>
    <row r="383" ht="15.75" customHeight="1">
      <c r="A383" s="253" t="s">
        <v>447</v>
      </c>
      <c r="B383" s="191"/>
      <c r="C383" s="192" t="s">
        <v>46</v>
      </c>
      <c r="D383" s="192" t="s">
        <v>21</v>
      </c>
      <c r="E383" s="192" t="s">
        <v>22</v>
      </c>
      <c r="F383" s="192" t="s">
        <v>23</v>
      </c>
      <c r="G383" s="191" t="s">
        <v>24</v>
      </c>
      <c r="H383" s="191" t="s">
        <v>84</v>
      </c>
      <c r="I383" s="191" t="s">
        <v>26</v>
      </c>
      <c r="J383" s="191" t="s">
        <v>85</v>
      </c>
      <c r="K383" s="191" t="s">
        <v>26</v>
      </c>
      <c r="L383" s="191" t="s">
        <v>28</v>
      </c>
      <c r="M383" s="193" t="s">
        <v>29</v>
      </c>
      <c r="N383" s="191" t="s">
        <v>30</v>
      </c>
      <c r="O383" s="191" t="s">
        <v>31</v>
      </c>
      <c r="P383" s="38"/>
      <c r="Q383" s="38"/>
      <c r="R383" s="38"/>
      <c r="S383" s="38"/>
      <c r="T383" s="38"/>
      <c r="U383" s="38"/>
      <c r="V383" s="38"/>
      <c r="W383" s="38"/>
      <c r="X383" s="38"/>
      <c r="Y383" s="34"/>
      <c r="Z383" s="34"/>
    </row>
    <row r="384" ht="15.75" customHeight="1">
      <c r="A384" s="210" t="s">
        <v>448</v>
      </c>
      <c r="B384" s="58"/>
      <c r="C384" s="37"/>
      <c r="D384" s="36"/>
      <c r="E384" s="37"/>
      <c r="F384" s="37"/>
      <c r="G384" s="38"/>
      <c r="H384" s="38"/>
      <c r="I384" s="38"/>
      <c r="J384" s="38"/>
      <c r="K384" s="38"/>
      <c r="L384" s="38"/>
      <c r="M384" s="38"/>
      <c r="N384" s="38"/>
      <c r="O384" s="38"/>
      <c r="P384" s="38"/>
      <c r="Q384" s="38"/>
      <c r="R384" s="38"/>
      <c r="S384" s="38"/>
      <c r="T384" s="38"/>
      <c r="U384" s="38"/>
      <c r="V384" s="38"/>
      <c r="W384" s="38"/>
      <c r="X384" s="38"/>
      <c r="Y384" s="34"/>
      <c r="Z384" s="34"/>
    </row>
    <row r="385" ht="15.75" customHeight="1">
      <c r="A385" s="123"/>
      <c r="B385" s="150" t="s">
        <v>449</v>
      </c>
      <c r="C385" s="203">
        <v>1.0</v>
      </c>
      <c r="D385" s="77">
        <v>0.0</v>
      </c>
      <c r="E385" s="77">
        <v>0.0</v>
      </c>
      <c r="F385" s="77">
        <f t="shared" ref="F385:F393" si="53">SUM(D385:E385)</f>
        <v>0</v>
      </c>
      <c r="G385" s="82" t="s">
        <v>450</v>
      </c>
      <c r="H385" s="60"/>
      <c r="I385" s="60"/>
      <c r="J385" s="60"/>
      <c r="K385" s="60"/>
      <c r="L385" s="60"/>
      <c r="M385" s="60"/>
      <c r="N385" s="60"/>
      <c r="O385" s="60"/>
      <c r="P385" s="38"/>
      <c r="Q385" s="38"/>
      <c r="R385" s="38"/>
      <c r="S385" s="38"/>
      <c r="T385" s="38"/>
      <c r="U385" s="38"/>
      <c r="V385" s="38"/>
      <c r="W385" s="38"/>
      <c r="X385" s="38"/>
      <c r="Y385" s="34"/>
      <c r="Z385" s="34"/>
    </row>
    <row r="386" ht="15.75" customHeight="1">
      <c r="A386" s="64"/>
      <c r="B386" s="150" t="s">
        <v>451</v>
      </c>
      <c r="C386" s="203">
        <v>1.0</v>
      </c>
      <c r="D386" s="77">
        <v>0.0</v>
      </c>
      <c r="E386" s="77">
        <v>0.0</v>
      </c>
      <c r="F386" s="77">
        <f t="shared" si="53"/>
        <v>0</v>
      </c>
      <c r="G386" s="139" t="s">
        <v>452</v>
      </c>
      <c r="H386" s="60"/>
      <c r="I386" s="60"/>
      <c r="J386" s="60"/>
      <c r="K386" s="60"/>
      <c r="L386" s="60"/>
      <c r="M386" s="60"/>
      <c r="N386" s="60"/>
      <c r="O386" s="60"/>
      <c r="P386" s="38"/>
      <c r="Q386" s="38"/>
      <c r="R386" s="38"/>
      <c r="S386" s="38"/>
      <c r="T386" s="38"/>
      <c r="U386" s="38"/>
      <c r="V386" s="38"/>
      <c r="W386" s="38"/>
      <c r="X386" s="38"/>
      <c r="Y386" s="34"/>
      <c r="Z386" s="34"/>
    </row>
    <row r="387" ht="15.75" customHeight="1">
      <c r="A387" s="64"/>
      <c r="B387" s="150" t="s">
        <v>453</v>
      </c>
      <c r="C387" s="203">
        <v>1.0</v>
      </c>
      <c r="D387" s="77">
        <v>0.0</v>
      </c>
      <c r="E387" s="77">
        <v>0.0</v>
      </c>
      <c r="F387" s="77">
        <f t="shared" si="53"/>
        <v>0</v>
      </c>
      <c r="G387" s="66" t="s">
        <v>454</v>
      </c>
      <c r="H387" s="60"/>
      <c r="I387" s="60"/>
      <c r="J387" s="60"/>
      <c r="K387" s="60"/>
      <c r="L387" s="60"/>
      <c r="M387" s="60"/>
      <c r="N387" s="60"/>
      <c r="O387" s="60"/>
      <c r="P387" s="38"/>
      <c r="Q387" s="38"/>
      <c r="R387" s="38"/>
      <c r="S387" s="38"/>
      <c r="T387" s="38"/>
      <c r="U387" s="38"/>
      <c r="V387" s="38"/>
      <c r="W387" s="38"/>
      <c r="X387" s="38"/>
      <c r="Y387" s="34"/>
      <c r="Z387" s="34"/>
    </row>
    <row r="388" ht="15.75" customHeight="1">
      <c r="A388" s="64"/>
      <c r="B388" s="254" t="s">
        <v>455</v>
      </c>
      <c r="C388" s="203">
        <v>1.0</v>
      </c>
      <c r="D388" s="77">
        <v>0.0</v>
      </c>
      <c r="E388" s="77">
        <v>0.0</v>
      </c>
      <c r="F388" s="77">
        <f t="shared" si="53"/>
        <v>0</v>
      </c>
      <c r="G388" s="139" t="s">
        <v>456</v>
      </c>
      <c r="H388" s="60"/>
      <c r="I388" s="60"/>
      <c r="J388" s="60"/>
      <c r="K388" s="60"/>
      <c r="L388" s="60"/>
      <c r="M388" s="60"/>
      <c r="N388" s="60"/>
      <c r="O388" s="60"/>
      <c r="P388" s="38"/>
      <c r="Q388" s="38"/>
      <c r="R388" s="38"/>
      <c r="S388" s="38"/>
      <c r="T388" s="38"/>
      <c r="U388" s="38"/>
      <c r="V388" s="38"/>
      <c r="W388" s="38"/>
      <c r="X388" s="38"/>
      <c r="Y388" s="34"/>
      <c r="Z388" s="34"/>
    </row>
    <row r="389" ht="411.0" customHeight="1">
      <c r="A389" s="64"/>
      <c r="B389" s="154" t="s">
        <v>457</v>
      </c>
      <c r="C389" s="203">
        <v>1.0</v>
      </c>
      <c r="D389" s="77">
        <v>0.0</v>
      </c>
      <c r="E389" s="77">
        <v>0.0</v>
      </c>
      <c r="F389" s="77">
        <f t="shared" si="53"/>
        <v>0</v>
      </c>
      <c r="G389" s="82" t="s">
        <v>458</v>
      </c>
      <c r="H389" s="60"/>
      <c r="I389" s="60"/>
      <c r="J389" s="60"/>
      <c r="K389" s="60"/>
      <c r="L389" s="60"/>
      <c r="M389" s="60"/>
      <c r="N389" s="60"/>
      <c r="O389" s="60"/>
      <c r="P389" s="38"/>
      <c r="Q389" s="38"/>
      <c r="R389" s="38"/>
      <c r="S389" s="38"/>
      <c r="T389" s="38"/>
      <c r="U389" s="38"/>
      <c r="V389" s="38"/>
      <c r="W389" s="38"/>
      <c r="X389" s="38"/>
      <c r="Y389" s="34"/>
      <c r="Z389" s="34"/>
    </row>
    <row r="390" ht="15.75" customHeight="1">
      <c r="A390" s="64"/>
      <c r="B390" s="143" t="s">
        <v>459</v>
      </c>
      <c r="C390" s="203">
        <v>1.0</v>
      </c>
      <c r="D390" s="77">
        <v>0.0</v>
      </c>
      <c r="E390" s="77">
        <v>0.0</v>
      </c>
      <c r="F390" s="77">
        <f t="shared" si="53"/>
        <v>0</v>
      </c>
      <c r="G390" s="131" t="s">
        <v>460</v>
      </c>
      <c r="H390" s="60"/>
      <c r="I390" s="60"/>
      <c r="J390" s="60"/>
      <c r="K390" s="60"/>
      <c r="L390" s="60"/>
      <c r="M390" s="60"/>
      <c r="N390" s="60"/>
      <c r="O390" s="60"/>
      <c r="P390" s="38"/>
      <c r="Q390" s="38"/>
      <c r="R390" s="38"/>
      <c r="S390" s="38"/>
      <c r="T390" s="38"/>
      <c r="U390" s="38"/>
      <c r="V390" s="38"/>
      <c r="W390" s="38"/>
      <c r="X390" s="38"/>
      <c r="Y390" s="34"/>
      <c r="Z390" s="34"/>
    </row>
    <row r="391" ht="15.75" customHeight="1">
      <c r="A391" s="64"/>
      <c r="B391" s="60" t="s">
        <v>461</v>
      </c>
      <c r="C391" s="203">
        <v>1.0</v>
      </c>
      <c r="D391" s="77">
        <v>0.0</v>
      </c>
      <c r="E391" s="77">
        <v>0.0</v>
      </c>
      <c r="F391" s="77">
        <f t="shared" si="53"/>
        <v>0</v>
      </c>
      <c r="G391" s="91" t="s">
        <v>462</v>
      </c>
      <c r="H391" s="60"/>
      <c r="I391" s="60"/>
      <c r="J391" s="60"/>
      <c r="K391" s="60"/>
      <c r="L391" s="60"/>
      <c r="M391" s="60"/>
      <c r="N391" s="60"/>
      <c r="O391" s="60"/>
      <c r="P391" s="38"/>
      <c r="Q391" s="38"/>
      <c r="R391" s="38"/>
      <c r="S391" s="38"/>
      <c r="T391" s="38"/>
      <c r="U391" s="38"/>
      <c r="V391" s="38"/>
      <c r="W391" s="38"/>
      <c r="X391" s="38"/>
      <c r="Y391" s="34"/>
      <c r="Z391" s="34"/>
    </row>
    <row r="392" ht="15.75" customHeight="1">
      <c r="A392" s="64"/>
      <c r="B392" s="60" t="s">
        <v>463</v>
      </c>
      <c r="C392" s="203">
        <v>1.0</v>
      </c>
      <c r="D392" s="77">
        <v>0.0</v>
      </c>
      <c r="E392" s="77">
        <v>0.0</v>
      </c>
      <c r="F392" s="77">
        <f t="shared" si="53"/>
        <v>0</v>
      </c>
      <c r="G392" s="65" t="s">
        <v>464</v>
      </c>
      <c r="H392" s="60"/>
      <c r="I392" s="60"/>
      <c r="J392" s="60"/>
      <c r="K392" s="60"/>
      <c r="L392" s="60"/>
      <c r="M392" s="60"/>
      <c r="N392" s="60"/>
      <c r="O392" s="60"/>
      <c r="P392" s="38"/>
      <c r="Q392" s="38"/>
      <c r="R392" s="38"/>
      <c r="S392" s="38"/>
      <c r="T392" s="38"/>
      <c r="U392" s="38"/>
      <c r="V392" s="38"/>
      <c r="W392" s="38"/>
      <c r="X392" s="38"/>
      <c r="Y392" s="34"/>
      <c r="Z392" s="34"/>
    </row>
    <row r="393" ht="15.75" customHeight="1">
      <c r="A393" s="68"/>
      <c r="B393" s="87" t="s">
        <v>465</v>
      </c>
      <c r="C393" s="203">
        <v>1.0</v>
      </c>
      <c r="D393" s="77">
        <v>0.0</v>
      </c>
      <c r="E393" s="77">
        <v>0.0</v>
      </c>
      <c r="F393" s="77">
        <f t="shared" si="53"/>
        <v>0</v>
      </c>
      <c r="G393" s="255" t="s">
        <v>466</v>
      </c>
      <c r="H393" s="60"/>
      <c r="I393" s="60"/>
      <c r="J393" s="60"/>
      <c r="K393" s="60"/>
      <c r="L393" s="60"/>
      <c r="M393" s="60"/>
      <c r="N393" s="60"/>
      <c r="O393" s="60"/>
      <c r="P393" s="38"/>
      <c r="Q393" s="38"/>
      <c r="R393" s="38"/>
      <c r="S393" s="38"/>
      <c r="T393" s="38"/>
      <c r="U393" s="38"/>
      <c r="V393" s="38"/>
      <c r="W393" s="38"/>
      <c r="X393" s="38"/>
      <c r="Y393" s="34"/>
      <c r="Z393" s="34"/>
    </row>
    <row r="394" ht="15.75" customHeight="1">
      <c r="A394" s="256" t="s">
        <v>467</v>
      </c>
      <c r="B394" s="257"/>
      <c r="C394" s="258"/>
      <c r="D394" s="259"/>
      <c r="E394" s="259"/>
      <c r="F394" s="259"/>
      <c r="G394" s="260"/>
      <c r="H394" s="60"/>
      <c r="I394" s="60"/>
      <c r="J394" s="60"/>
      <c r="K394" s="60"/>
      <c r="L394" s="60"/>
      <c r="M394" s="60"/>
      <c r="N394" s="60"/>
      <c r="O394" s="60"/>
      <c r="P394" s="38"/>
      <c r="Q394" s="38"/>
      <c r="R394" s="38"/>
      <c r="S394" s="38"/>
      <c r="T394" s="38"/>
      <c r="U394" s="38"/>
      <c r="V394" s="38"/>
      <c r="W394" s="38"/>
      <c r="X394" s="38"/>
      <c r="Y394" s="34"/>
      <c r="Z394" s="34"/>
    </row>
    <row r="395" ht="15.75" customHeight="1">
      <c r="A395" s="40"/>
      <c r="B395" s="87" t="s">
        <v>468</v>
      </c>
      <c r="C395" s="203">
        <v>1.0</v>
      </c>
      <c r="D395" s="77">
        <v>0.0</v>
      </c>
      <c r="E395" s="77">
        <v>0.0</v>
      </c>
      <c r="F395" s="77">
        <f t="shared" ref="F395:F397" si="54">SUM(D395:E395)</f>
        <v>0</v>
      </c>
      <c r="G395" s="60"/>
      <c r="H395" s="60"/>
      <c r="I395" s="60"/>
      <c r="J395" s="60"/>
      <c r="K395" s="60"/>
      <c r="L395" s="60"/>
      <c r="M395" s="60"/>
      <c r="N395" s="60"/>
      <c r="O395" s="60"/>
      <c r="P395" s="38"/>
      <c r="Q395" s="38"/>
      <c r="R395" s="38"/>
      <c r="S395" s="38"/>
      <c r="T395" s="38"/>
      <c r="U395" s="38"/>
      <c r="V395" s="38"/>
      <c r="W395" s="38"/>
      <c r="X395" s="38"/>
      <c r="Y395" s="34"/>
      <c r="Z395" s="34"/>
    </row>
    <row r="396" ht="15.75" customHeight="1">
      <c r="A396" s="64"/>
      <c r="B396" s="154" t="s">
        <v>469</v>
      </c>
      <c r="C396" s="203">
        <v>2.0</v>
      </c>
      <c r="D396" s="77">
        <v>0.0</v>
      </c>
      <c r="E396" s="77">
        <v>0.0</v>
      </c>
      <c r="F396" s="77">
        <f t="shared" si="54"/>
        <v>0</v>
      </c>
      <c r="G396" s="261" t="s">
        <v>470</v>
      </c>
      <c r="H396" s="60"/>
      <c r="I396" s="60"/>
      <c r="J396" s="60"/>
      <c r="K396" s="60"/>
      <c r="L396" s="60"/>
      <c r="M396" s="60"/>
      <c r="N396" s="60"/>
      <c r="O396" s="60"/>
      <c r="P396" s="38"/>
      <c r="Q396" s="38"/>
      <c r="R396" s="38"/>
      <c r="S396" s="38"/>
      <c r="T396" s="38"/>
      <c r="U396" s="38"/>
      <c r="V396" s="38"/>
      <c r="W396" s="38"/>
      <c r="X396" s="38"/>
      <c r="Y396" s="34"/>
      <c r="Z396" s="34"/>
    </row>
    <row r="397" ht="15.75" customHeight="1">
      <c r="A397" s="68"/>
      <c r="B397" s="154" t="s">
        <v>471</v>
      </c>
      <c r="C397" s="203">
        <v>2.0</v>
      </c>
      <c r="D397" s="77">
        <v>0.0</v>
      </c>
      <c r="E397" s="77">
        <v>0.0</v>
      </c>
      <c r="F397" s="77">
        <f t="shared" si="54"/>
        <v>0</v>
      </c>
      <c r="G397" s="91" t="s">
        <v>472</v>
      </c>
      <c r="H397" s="60"/>
      <c r="I397" s="60"/>
      <c r="J397" s="60"/>
      <c r="K397" s="60"/>
      <c r="L397" s="60"/>
      <c r="M397" s="60"/>
      <c r="N397" s="60"/>
      <c r="O397" s="60"/>
      <c r="P397" s="38"/>
      <c r="Q397" s="38"/>
      <c r="R397" s="38"/>
      <c r="S397" s="38"/>
      <c r="T397" s="38"/>
      <c r="U397" s="38"/>
      <c r="V397" s="38"/>
      <c r="W397" s="38"/>
      <c r="X397" s="38"/>
      <c r="Y397" s="34"/>
      <c r="Z397" s="34"/>
    </row>
    <row r="398" ht="15.75" customHeight="1">
      <c r="A398" s="210" t="s">
        <v>473</v>
      </c>
      <c r="B398" s="257"/>
      <c r="C398" s="258"/>
      <c r="D398" s="259"/>
      <c r="E398" s="259"/>
      <c r="F398" s="77"/>
      <c r="G398" s="215"/>
      <c r="H398" s="60"/>
      <c r="I398" s="60"/>
      <c r="J398" s="60"/>
      <c r="K398" s="60"/>
      <c r="L398" s="60"/>
      <c r="M398" s="60"/>
      <c r="N398" s="60"/>
      <c r="O398" s="60"/>
      <c r="P398" s="38"/>
      <c r="Q398" s="38"/>
      <c r="R398" s="38"/>
      <c r="S398" s="38"/>
      <c r="T398" s="38"/>
      <c r="U398" s="38"/>
      <c r="V398" s="38"/>
      <c r="W398" s="38"/>
      <c r="X398" s="38"/>
      <c r="Y398" s="34"/>
      <c r="Z398" s="34"/>
    </row>
    <row r="399" ht="225.0" customHeight="1">
      <c r="A399" s="40"/>
      <c r="B399" s="87" t="s">
        <v>474</v>
      </c>
      <c r="C399" s="203">
        <v>2.0</v>
      </c>
      <c r="D399" s="77">
        <v>0.0</v>
      </c>
      <c r="E399" s="77">
        <v>0.0</v>
      </c>
      <c r="F399" s="77">
        <f t="shared" ref="F399:F403" si="55">SUM(D399:E399)</f>
        <v>0</v>
      </c>
      <c r="G399" s="262" t="s">
        <v>475</v>
      </c>
      <c r="H399" s="60"/>
      <c r="I399" s="60"/>
      <c r="J399" s="60"/>
      <c r="K399" s="60"/>
      <c r="L399" s="60"/>
      <c r="M399" s="60"/>
      <c r="N399" s="60"/>
      <c r="O399" s="60"/>
      <c r="P399" s="38"/>
      <c r="Q399" s="38"/>
      <c r="R399" s="38"/>
      <c r="S399" s="38"/>
      <c r="T399" s="38"/>
      <c r="U399" s="38"/>
      <c r="V399" s="38"/>
      <c r="W399" s="38"/>
      <c r="X399" s="38"/>
      <c r="Y399" s="34"/>
      <c r="Z399" s="34"/>
    </row>
    <row r="400" ht="15.75" customHeight="1">
      <c r="A400" s="64"/>
      <c r="B400" s="87" t="s">
        <v>476</v>
      </c>
      <c r="C400" s="203">
        <v>1.0</v>
      </c>
      <c r="D400" s="77">
        <v>0.0</v>
      </c>
      <c r="E400" s="77">
        <v>0.0</v>
      </c>
      <c r="F400" s="77">
        <f t="shared" si="55"/>
        <v>0</v>
      </c>
      <c r="G400" s="263" t="s">
        <v>477</v>
      </c>
      <c r="H400" s="60"/>
      <c r="I400" s="60"/>
      <c r="J400" s="60"/>
      <c r="K400" s="60"/>
      <c r="L400" s="60"/>
      <c r="M400" s="60"/>
      <c r="N400" s="60"/>
      <c r="O400" s="60"/>
      <c r="P400" s="38"/>
      <c r="Q400" s="38"/>
      <c r="R400" s="38"/>
      <c r="S400" s="38"/>
      <c r="T400" s="38"/>
      <c r="U400" s="38"/>
      <c r="V400" s="38"/>
      <c r="W400" s="38"/>
      <c r="X400" s="38"/>
      <c r="Y400" s="34"/>
      <c r="Z400" s="34"/>
    </row>
    <row r="401" ht="15.75" customHeight="1">
      <c r="A401" s="68"/>
      <c r="B401" s="87" t="s">
        <v>478</v>
      </c>
      <c r="C401" s="203">
        <v>2.0</v>
      </c>
      <c r="D401" s="264">
        <v>0.0</v>
      </c>
      <c r="E401" s="264">
        <v>0.0</v>
      </c>
      <c r="F401" s="77">
        <f t="shared" si="55"/>
        <v>0</v>
      </c>
      <c r="G401" s="265" t="s">
        <v>479</v>
      </c>
      <c r="H401" s="60"/>
      <c r="I401" s="60"/>
      <c r="J401" s="60"/>
      <c r="K401" s="60"/>
      <c r="L401" s="60"/>
      <c r="M401" s="60"/>
      <c r="N401" s="60"/>
      <c r="O401" s="60"/>
      <c r="P401" s="38"/>
      <c r="Q401" s="38"/>
      <c r="R401" s="38"/>
      <c r="S401" s="38"/>
      <c r="T401" s="38"/>
      <c r="U401" s="38"/>
      <c r="V401" s="38"/>
      <c r="W401" s="38"/>
      <c r="X401" s="38"/>
      <c r="Y401" s="34"/>
      <c r="Z401" s="34"/>
    </row>
    <row r="402" ht="432.0" customHeight="1">
      <c r="A402" s="70"/>
      <c r="B402" s="266" t="s">
        <v>480</v>
      </c>
      <c r="C402" s="267">
        <v>0.0</v>
      </c>
      <c r="D402" s="268">
        <v>0.0</v>
      </c>
      <c r="E402" s="268">
        <v>0.0</v>
      </c>
      <c r="F402" s="77">
        <f t="shared" si="55"/>
        <v>0</v>
      </c>
      <c r="G402" s="236" t="s">
        <v>481</v>
      </c>
      <c r="H402" s="60"/>
      <c r="I402" s="60"/>
      <c r="J402" s="60"/>
      <c r="K402" s="60"/>
      <c r="L402" s="60"/>
      <c r="M402" s="60"/>
      <c r="N402" s="60"/>
      <c r="O402" s="60"/>
      <c r="P402" s="38"/>
      <c r="Q402" s="38"/>
      <c r="R402" s="38"/>
      <c r="S402" s="38"/>
      <c r="T402" s="38"/>
      <c r="U402" s="38"/>
      <c r="V402" s="38"/>
      <c r="W402" s="38"/>
      <c r="X402" s="38"/>
      <c r="Y402" s="34"/>
      <c r="Z402" s="34"/>
    </row>
    <row r="403" ht="106.5" customHeight="1">
      <c r="A403" s="70"/>
      <c r="B403" s="139" t="s">
        <v>482</v>
      </c>
      <c r="C403" s="203">
        <v>1.0</v>
      </c>
      <c r="D403" s="77">
        <v>0.0</v>
      </c>
      <c r="E403" s="77">
        <v>0.0</v>
      </c>
      <c r="F403" s="77">
        <f t="shared" si="55"/>
        <v>0</v>
      </c>
      <c r="G403" s="82" t="s">
        <v>483</v>
      </c>
      <c r="H403" s="60"/>
      <c r="I403" s="60"/>
      <c r="J403" s="60"/>
      <c r="K403" s="60"/>
      <c r="L403" s="60"/>
      <c r="M403" s="60"/>
      <c r="N403" s="60"/>
      <c r="O403" s="60"/>
      <c r="P403" s="38"/>
      <c r="Q403" s="38"/>
      <c r="R403" s="38"/>
      <c r="S403" s="38"/>
      <c r="T403" s="38"/>
      <c r="U403" s="38"/>
      <c r="V403" s="38"/>
      <c r="W403" s="38"/>
      <c r="X403" s="38"/>
      <c r="Y403" s="34"/>
      <c r="Z403" s="34"/>
    </row>
    <row r="404" ht="15.75" customHeight="1">
      <c r="A404" s="70" t="s">
        <v>82</v>
      </c>
      <c r="B404" s="247"/>
      <c r="C404" s="269">
        <f t="shared" ref="C404:F404" si="56">SUM(C385:C403)</f>
        <v>20</v>
      </c>
      <c r="D404" s="270">
        <f t="shared" si="56"/>
        <v>0</v>
      </c>
      <c r="E404" s="270">
        <f t="shared" si="56"/>
        <v>0</v>
      </c>
      <c r="F404" s="270">
        <f t="shared" si="56"/>
        <v>0</v>
      </c>
      <c r="G404" s="271"/>
      <c r="H404" s="272"/>
      <c r="I404" s="272"/>
      <c r="J404" s="272"/>
      <c r="K404" s="272"/>
      <c r="L404" s="272"/>
      <c r="M404" s="272"/>
      <c r="N404" s="272"/>
      <c r="O404" s="272"/>
      <c r="P404" s="38"/>
      <c r="Q404" s="38"/>
      <c r="R404" s="38"/>
      <c r="S404" s="38"/>
      <c r="T404" s="38"/>
      <c r="U404" s="38"/>
      <c r="V404" s="38"/>
      <c r="W404" s="38"/>
      <c r="X404" s="38"/>
      <c r="Y404" s="34"/>
      <c r="Z404" s="34"/>
    </row>
    <row r="405" ht="15.75" customHeight="1">
      <c r="A405" s="70"/>
      <c r="B405" s="46"/>
      <c r="C405" s="36"/>
      <c r="D405" s="36"/>
      <c r="E405" s="36"/>
      <c r="F405" s="36"/>
      <c r="G405" s="41"/>
      <c r="H405" s="38"/>
      <c r="I405" s="38"/>
      <c r="J405" s="38"/>
      <c r="K405" s="38"/>
      <c r="L405" s="38"/>
      <c r="M405" s="38"/>
      <c r="N405" s="38"/>
      <c r="O405" s="38"/>
      <c r="P405" s="38"/>
      <c r="Q405" s="38"/>
      <c r="R405" s="38"/>
      <c r="S405" s="38"/>
      <c r="T405" s="38"/>
      <c r="U405" s="38"/>
      <c r="V405" s="38"/>
      <c r="W405" s="38"/>
      <c r="X405" s="38"/>
      <c r="Y405" s="34"/>
      <c r="Z405" s="34"/>
    </row>
    <row r="406" ht="15.75" customHeight="1">
      <c r="A406" s="105" t="s">
        <v>484</v>
      </c>
      <c r="B406" s="219"/>
      <c r="C406" s="218">
        <f t="shared" ref="C406:F406" si="57">SUM(C327+C341+C354+C370+C381+C404)</f>
        <v>90</v>
      </c>
      <c r="D406" s="220">
        <f t="shared" si="57"/>
        <v>0</v>
      </c>
      <c r="E406" s="220">
        <f t="shared" si="57"/>
        <v>0</v>
      </c>
      <c r="F406" s="220">
        <f t="shared" si="57"/>
        <v>0</v>
      </c>
      <c r="G406" s="273"/>
      <c r="H406" s="272"/>
      <c r="I406" s="272"/>
      <c r="J406" s="272"/>
      <c r="K406" s="272"/>
      <c r="L406" s="272"/>
      <c r="M406" s="272"/>
      <c r="N406" s="272"/>
      <c r="O406" s="272"/>
      <c r="P406" s="38"/>
      <c r="Q406" s="38"/>
      <c r="R406" s="38"/>
      <c r="S406" s="38"/>
      <c r="T406" s="38"/>
      <c r="U406" s="38"/>
      <c r="V406" s="38"/>
      <c r="W406" s="38"/>
      <c r="X406" s="38"/>
      <c r="Y406" s="34"/>
      <c r="Z406" s="34"/>
    </row>
    <row r="407" ht="15.75" customHeight="1">
      <c r="A407" s="38"/>
      <c r="B407" s="40"/>
      <c r="C407" s="36"/>
      <c r="D407" s="37"/>
      <c r="E407" s="37"/>
      <c r="F407" s="37"/>
      <c r="G407" s="38"/>
      <c r="H407" s="38"/>
      <c r="I407" s="38"/>
      <c r="J407" s="38"/>
      <c r="K407" s="38"/>
      <c r="L407" s="38"/>
      <c r="M407" s="38"/>
      <c r="N407" s="38"/>
      <c r="O407" s="38"/>
      <c r="P407" s="38"/>
      <c r="Q407" s="38"/>
      <c r="R407" s="38"/>
      <c r="S407" s="38"/>
      <c r="T407" s="38"/>
      <c r="U407" s="38"/>
      <c r="V407" s="38"/>
      <c r="W407" s="38"/>
      <c r="X407" s="38"/>
      <c r="Y407" s="34"/>
      <c r="Z407" s="34"/>
    </row>
    <row r="408" ht="15.75" customHeight="1">
      <c r="A408" s="274" t="s">
        <v>485</v>
      </c>
      <c r="B408" s="275"/>
      <c r="C408" s="276">
        <f t="shared" ref="C408:F408" si="58">SUM(C406+C291+C227+C163+C135)</f>
        <v>250</v>
      </c>
      <c r="D408" s="277">
        <f t="shared" si="58"/>
        <v>0</v>
      </c>
      <c r="E408" s="277">
        <f t="shared" si="58"/>
        <v>0</v>
      </c>
      <c r="F408" s="277">
        <f t="shared" si="58"/>
        <v>0</v>
      </c>
      <c r="G408" s="274"/>
      <c r="H408" s="278"/>
      <c r="I408" s="278"/>
      <c r="J408" s="278"/>
      <c r="K408" s="278"/>
      <c r="L408" s="278"/>
      <c r="M408" s="278"/>
      <c r="N408" s="278"/>
      <c r="O408" s="278"/>
      <c r="P408" s="38"/>
      <c r="Q408" s="38"/>
      <c r="R408" s="38"/>
      <c r="S408" s="38"/>
      <c r="T408" s="38"/>
      <c r="U408" s="38"/>
      <c r="V408" s="38"/>
      <c r="W408" s="38"/>
      <c r="X408" s="38"/>
      <c r="Y408" s="34"/>
      <c r="Z408" s="34"/>
    </row>
    <row r="409" ht="15.75" customHeight="1">
      <c r="A409" s="38"/>
      <c r="B409" s="40"/>
      <c r="C409" s="36"/>
      <c r="D409" s="37"/>
      <c r="E409" s="37"/>
      <c r="F409" s="37"/>
      <c r="G409" s="38"/>
      <c r="H409" s="38"/>
      <c r="I409" s="38"/>
      <c r="J409" s="38"/>
      <c r="K409" s="38"/>
      <c r="L409" s="38"/>
      <c r="M409" s="38"/>
      <c r="N409" s="38"/>
      <c r="O409" s="38"/>
      <c r="P409" s="38"/>
      <c r="Q409" s="38"/>
      <c r="R409" s="38"/>
      <c r="S409" s="38"/>
      <c r="T409" s="38"/>
      <c r="U409" s="38"/>
      <c r="V409" s="38"/>
      <c r="W409" s="38"/>
      <c r="X409" s="38"/>
      <c r="Y409" s="34"/>
      <c r="Z409" s="34"/>
    </row>
    <row r="410" ht="15.75" customHeight="1">
      <c r="A410" s="38"/>
      <c r="B410" s="40"/>
      <c r="C410" s="36"/>
      <c r="D410" s="37"/>
      <c r="E410" s="37"/>
      <c r="F410" s="37"/>
      <c r="G410" s="38"/>
      <c r="H410" s="38"/>
      <c r="I410" s="38"/>
      <c r="J410" s="38"/>
      <c r="K410" s="38"/>
      <c r="L410" s="38"/>
      <c r="M410" s="38"/>
      <c r="N410" s="38"/>
      <c r="O410" s="38"/>
      <c r="P410" s="38"/>
      <c r="Q410" s="38"/>
      <c r="R410" s="38"/>
      <c r="S410" s="38"/>
      <c r="T410" s="38"/>
      <c r="U410" s="38"/>
      <c r="V410" s="38"/>
      <c r="W410" s="38"/>
      <c r="X410" s="38"/>
      <c r="Y410" s="34"/>
      <c r="Z410" s="34"/>
    </row>
    <row r="411" ht="15.75" customHeight="1">
      <c r="A411" s="38"/>
      <c r="B411" s="40"/>
      <c r="C411" s="36"/>
      <c r="D411" s="37"/>
      <c r="E411" s="37"/>
      <c r="F411" s="37"/>
      <c r="G411" s="38"/>
      <c r="H411" s="38"/>
      <c r="I411" s="38"/>
      <c r="J411" s="38"/>
      <c r="K411" s="38"/>
      <c r="L411" s="38"/>
      <c r="M411" s="38"/>
      <c r="N411" s="38"/>
      <c r="O411" s="38"/>
      <c r="P411" s="38"/>
      <c r="Q411" s="38"/>
      <c r="R411" s="38"/>
      <c r="S411" s="38"/>
      <c r="T411" s="38"/>
      <c r="U411" s="38"/>
      <c r="V411" s="38"/>
      <c r="W411" s="38"/>
      <c r="X411" s="38"/>
      <c r="Y411" s="34"/>
      <c r="Z411" s="34"/>
    </row>
    <row r="412" ht="15.75" customHeight="1">
      <c r="A412" s="38"/>
      <c r="B412" s="38"/>
      <c r="C412" s="36"/>
      <c r="D412" s="37"/>
      <c r="E412" s="37"/>
      <c r="F412" s="37"/>
      <c r="G412" s="38"/>
      <c r="H412" s="38"/>
      <c r="I412" s="38"/>
      <c r="J412" s="38"/>
      <c r="K412" s="38"/>
      <c r="L412" s="38"/>
      <c r="M412" s="38"/>
      <c r="N412" s="38"/>
      <c r="O412" s="38"/>
      <c r="P412" s="38"/>
      <c r="Q412" s="38"/>
      <c r="R412" s="38"/>
      <c r="S412" s="38"/>
      <c r="T412" s="38"/>
      <c r="U412" s="38"/>
      <c r="V412" s="38"/>
      <c r="W412" s="38"/>
      <c r="X412" s="38"/>
      <c r="Y412" s="34"/>
      <c r="Z412" s="34"/>
    </row>
    <row r="413" ht="15.75" customHeight="1">
      <c r="A413" s="38"/>
      <c r="B413" s="38"/>
      <c r="C413" s="36"/>
      <c r="D413" s="37"/>
      <c r="E413" s="37"/>
      <c r="F413" s="37"/>
      <c r="G413" s="38"/>
      <c r="H413" s="38"/>
      <c r="I413" s="38"/>
      <c r="J413" s="38"/>
      <c r="K413" s="38"/>
      <c r="L413" s="38"/>
      <c r="M413" s="38"/>
      <c r="N413" s="38"/>
      <c r="O413" s="38"/>
      <c r="P413" s="38"/>
      <c r="Q413" s="38"/>
      <c r="R413" s="38"/>
      <c r="S413" s="38"/>
      <c r="T413" s="38"/>
      <c r="U413" s="38"/>
      <c r="V413" s="38"/>
      <c r="W413" s="38"/>
      <c r="X413" s="38"/>
      <c r="Y413" s="34"/>
      <c r="Z413" s="34"/>
    </row>
    <row r="414" ht="15.75" customHeight="1">
      <c r="A414" s="38"/>
      <c r="B414" s="38"/>
      <c r="C414" s="36"/>
      <c r="D414" s="37"/>
      <c r="E414" s="37"/>
      <c r="F414" s="37"/>
      <c r="G414" s="38"/>
      <c r="H414" s="38"/>
      <c r="I414" s="38"/>
      <c r="J414" s="38"/>
      <c r="K414" s="38"/>
      <c r="L414" s="38"/>
      <c r="M414" s="38"/>
      <c r="N414" s="38"/>
      <c r="O414" s="38"/>
      <c r="P414" s="38"/>
      <c r="Q414" s="38"/>
      <c r="R414" s="38"/>
      <c r="S414" s="38"/>
      <c r="T414" s="38"/>
      <c r="U414" s="38"/>
      <c r="V414" s="38"/>
      <c r="W414" s="38"/>
      <c r="X414" s="38"/>
      <c r="Y414" s="34"/>
      <c r="Z414" s="34"/>
    </row>
    <row r="415" ht="4.5" customHeight="1">
      <c r="A415" s="38"/>
      <c r="B415" s="38"/>
      <c r="C415" s="36"/>
      <c r="D415" s="37"/>
      <c r="E415" s="37"/>
      <c r="F415" s="37"/>
      <c r="G415" s="38"/>
      <c r="H415" s="38"/>
      <c r="I415" s="38"/>
      <c r="J415" s="38"/>
      <c r="K415" s="38"/>
      <c r="L415" s="38"/>
      <c r="M415" s="38"/>
      <c r="N415" s="38"/>
      <c r="O415" s="38"/>
      <c r="P415" s="38"/>
      <c r="Q415" s="38"/>
      <c r="R415" s="38"/>
      <c r="S415" s="38"/>
      <c r="T415" s="38"/>
      <c r="U415" s="38"/>
      <c r="V415" s="38"/>
      <c r="W415" s="38"/>
      <c r="X415" s="38"/>
      <c r="Y415" s="34"/>
      <c r="Z415" s="34"/>
    </row>
    <row r="416" ht="15.75" customHeight="1">
      <c r="A416" s="279"/>
      <c r="B416" s="38"/>
      <c r="C416" s="279"/>
      <c r="D416" s="37"/>
      <c r="E416" s="37"/>
      <c r="F416" s="37"/>
      <c r="G416" s="38"/>
      <c r="H416" s="38"/>
      <c r="I416" s="38"/>
      <c r="J416" s="38"/>
      <c r="K416" s="38"/>
      <c r="L416" s="38"/>
      <c r="M416" s="38"/>
      <c r="N416" s="38"/>
      <c r="O416" s="38"/>
      <c r="P416" s="38"/>
      <c r="Q416" s="38"/>
      <c r="R416" s="38"/>
      <c r="S416" s="38"/>
      <c r="T416" s="38"/>
      <c r="U416" s="38"/>
      <c r="V416" s="38"/>
      <c r="W416" s="38"/>
      <c r="X416" s="38"/>
      <c r="Y416" s="34"/>
      <c r="Z416" s="34"/>
    </row>
    <row r="417" ht="15.75" customHeight="1">
      <c r="A417" s="38"/>
      <c r="B417" s="38"/>
      <c r="C417" s="36"/>
      <c r="D417" s="37"/>
      <c r="E417" s="37"/>
      <c r="F417" s="37"/>
      <c r="G417" s="38"/>
      <c r="H417" s="38"/>
      <c r="I417" s="38"/>
      <c r="J417" s="38"/>
      <c r="K417" s="38"/>
      <c r="L417" s="38"/>
      <c r="M417" s="38"/>
      <c r="N417" s="38"/>
      <c r="O417" s="38"/>
      <c r="P417" s="38"/>
      <c r="Q417" s="38"/>
      <c r="R417" s="38"/>
      <c r="S417" s="38"/>
      <c r="T417" s="38"/>
      <c r="U417" s="38"/>
      <c r="V417" s="38"/>
      <c r="W417" s="38"/>
      <c r="X417" s="38"/>
      <c r="Y417" s="34"/>
      <c r="Z417" s="34"/>
    </row>
    <row r="418" ht="1.5" customHeight="1">
      <c r="A418" s="38"/>
      <c r="B418" s="38"/>
      <c r="C418" s="36"/>
      <c r="D418" s="37"/>
      <c r="E418" s="37"/>
      <c r="F418" s="37"/>
      <c r="G418" s="38"/>
      <c r="H418" s="38"/>
      <c r="I418" s="38"/>
      <c r="J418" s="38"/>
      <c r="K418" s="38"/>
      <c r="L418" s="38"/>
      <c r="M418" s="38"/>
      <c r="N418" s="38"/>
      <c r="O418" s="38"/>
      <c r="P418" s="38"/>
      <c r="Q418" s="38"/>
      <c r="R418" s="38"/>
      <c r="S418" s="38"/>
      <c r="T418" s="38"/>
      <c r="U418" s="38"/>
      <c r="V418" s="38"/>
      <c r="W418" s="38"/>
      <c r="X418" s="38"/>
      <c r="Y418" s="34"/>
      <c r="Z418" s="34"/>
    </row>
    <row r="419" ht="1.5" customHeight="1">
      <c r="A419" s="38"/>
      <c r="B419" s="38"/>
      <c r="C419" s="36"/>
      <c r="D419" s="37"/>
      <c r="E419" s="37"/>
      <c r="F419" s="37"/>
      <c r="G419" s="38"/>
      <c r="H419" s="38"/>
      <c r="I419" s="38"/>
      <c r="J419" s="38"/>
      <c r="K419" s="38"/>
      <c r="L419" s="38"/>
      <c r="M419" s="38"/>
      <c r="N419" s="38"/>
      <c r="O419" s="38"/>
      <c r="P419" s="38"/>
      <c r="Q419" s="38"/>
      <c r="R419" s="38"/>
      <c r="S419" s="38"/>
      <c r="T419" s="38"/>
      <c r="U419" s="38"/>
      <c r="V419" s="38"/>
      <c r="W419" s="38"/>
      <c r="X419" s="38"/>
      <c r="Y419" s="34"/>
      <c r="Z419" s="34"/>
    </row>
    <row r="420">
      <c r="A420" s="38"/>
      <c r="B420" s="38"/>
      <c r="C420" s="36"/>
      <c r="D420" s="37"/>
      <c r="E420" s="37"/>
      <c r="F420" s="37"/>
      <c r="G420" s="38"/>
      <c r="H420" s="38"/>
      <c r="I420" s="38"/>
      <c r="J420" s="38"/>
      <c r="K420" s="38"/>
      <c r="L420" s="38"/>
      <c r="M420" s="38"/>
      <c r="N420" s="38"/>
      <c r="O420" s="38"/>
      <c r="P420" s="38"/>
      <c r="Q420" s="38"/>
      <c r="R420" s="38"/>
      <c r="S420" s="38"/>
      <c r="T420" s="38"/>
      <c r="U420" s="38"/>
      <c r="V420" s="38"/>
      <c r="W420" s="38"/>
      <c r="X420" s="38"/>
      <c r="Y420" s="34"/>
      <c r="Z420" s="34"/>
    </row>
    <row r="421" ht="28.5" hidden="1" customHeight="1">
      <c r="A421" s="79"/>
      <c r="B421" s="280" t="s">
        <v>486</v>
      </c>
      <c r="C421" s="79"/>
      <c r="D421" s="79"/>
      <c r="E421" s="79"/>
      <c r="F421" s="79"/>
      <c r="G421" s="79"/>
      <c r="H421" s="38"/>
      <c r="I421" s="38"/>
      <c r="J421" s="38"/>
      <c r="K421" s="38"/>
      <c r="L421" s="38"/>
      <c r="M421" s="38"/>
      <c r="N421" s="38"/>
      <c r="O421" s="38"/>
      <c r="P421" s="38"/>
      <c r="Q421" s="38"/>
      <c r="R421" s="38"/>
      <c r="S421" s="38"/>
      <c r="T421" s="38"/>
      <c r="U421" s="38"/>
      <c r="V421" s="38"/>
      <c r="W421" s="38"/>
      <c r="X421" s="38"/>
      <c r="Y421" s="34"/>
      <c r="Z421" s="34"/>
    </row>
    <row r="422" ht="15.75" hidden="1" customHeight="1">
      <c r="A422" s="281">
        <v>0.0</v>
      </c>
      <c r="B422" s="281">
        <v>0.0</v>
      </c>
      <c r="C422" s="281">
        <v>0.0</v>
      </c>
      <c r="D422" s="282">
        <v>0.0</v>
      </c>
      <c r="E422" s="282">
        <v>0.0</v>
      </c>
      <c r="F422" s="77">
        <f t="shared" ref="F422:F423" si="59">SUM(D422:E422)</f>
        <v>0</v>
      </c>
      <c r="G422" s="281">
        <v>0.0</v>
      </c>
      <c r="H422" s="38">
        <v>0.0</v>
      </c>
      <c r="I422" s="38"/>
      <c r="J422" s="38"/>
      <c r="K422" s="38"/>
      <c r="L422" s="38"/>
      <c r="M422" s="38"/>
      <c r="N422" s="38"/>
      <c r="O422" s="38"/>
      <c r="P422" s="38"/>
      <c r="Q422" s="38"/>
      <c r="R422" s="38"/>
      <c r="S422" s="38"/>
      <c r="T422" s="38"/>
      <c r="U422" s="38"/>
      <c r="V422" s="38"/>
      <c r="W422" s="38"/>
      <c r="X422" s="38"/>
      <c r="Y422" s="34"/>
      <c r="Z422" s="34"/>
    </row>
    <row r="423" ht="15.75" hidden="1" customHeight="1">
      <c r="A423" s="281">
        <v>0.25</v>
      </c>
      <c r="B423" s="281">
        <v>0.5</v>
      </c>
      <c r="C423" s="281">
        <v>1.0</v>
      </c>
      <c r="D423" s="281">
        <v>2.0</v>
      </c>
      <c r="E423" s="281">
        <v>3.0</v>
      </c>
      <c r="F423" s="77">
        <f t="shared" si="59"/>
        <v>5</v>
      </c>
      <c r="G423" s="281">
        <v>5.0</v>
      </c>
      <c r="H423" s="38">
        <v>0.0</v>
      </c>
      <c r="I423" s="38"/>
      <c r="J423" s="38"/>
      <c r="K423" s="38"/>
      <c r="L423" s="38"/>
      <c r="M423" s="38"/>
      <c r="N423" s="38"/>
      <c r="O423" s="38"/>
      <c r="P423" s="38"/>
      <c r="Q423" s="38"/>
      <c r="R423" s="38"/>
      <c r="S423" s="38"/>
      <c r="T423" s="38"/>
      <c r="U423" s="38"/>
      <c r="V423" s="38"/>
      <c r="W423" s="38"/>
      <c r="X423" s="38"/>
      <c r="Y423" s="34"/>
      <c r="Z423" s="34"/>
    </row>
    <row r="424" ht="15.75" customHeight="1">
      <c r="A424" s="38"/>
      <c r="B424" s="38"/>
      <c r="C424" s="36"/>
      <c r="D424" s="37"/>
      <c r="E424" s="37"/>
      <c r="F424" s="37"/>
      <c r="G424" s="38"/>
      <c r="H424" s="38"/>
      <c r="I424" s="38"/>
      <c r="J424" s="38"/>
      <c r="K424" s="38"/>
      <c r="L424" s="38"/>
      <c r="M424" s="38"/>
      <c r="N424" s="38"/>
      <c r="O424" s="38"/>
      <c r="P424" s="38"/>
      <c r="Q424" s="38"/>
      <c r="R424" s="38"/>
      <c r="S424" s="38"/>
      <c r="T424" s="38"/>
      <c r="U424" s="38"/>
      <c r="V424" s="38"/>
      <c r="W424" s="38"/>
      <c r="X424" s="38"/>
      <c r="Y424" s="34"/>
      <c r="Z424" s="34"/>
    </row>
    <row r="425" ht="15.75" customHeight="1">
      <c r="A425" s="38"/>
      <c r="B425" s="38"/>
      <c r="C425" s="36"/>
      <c r="D425" s="37"/>
      <c r="E425" s="37"/>
      <c r="F425" s="37"/>
      <c r="G425" s="38"/>
      <c r="H425" s="38"/>
      <c r="I425" s="38"/>
      <c r="J425" s="38"/>
      <c r="K425" s="38"/>
      <c r="L425" s="38"/>
      <c r="M425" s="38"/>
      <c r="N425" s="38"/>
      <c r="O425" s="38"/>
      <c r="P425" s="38"/>
      <c r="Q425" s="38"/>
      <c r="R425" s="38"/>
      <c r="S425" s="38"/>
      <c r="T425" s="38"/>
      <c r="U425" s="38"/>
      <c r="V425" s="38"/>
      <c r="W425" s="38"/>
      <c r="X425" s="38"/>
      <c r="Y425" s="34"/>
      <c r="Z425" s="34"/>
    </row>
    <row r="426" ht="15.75" customHeight="1">
      <c r="A426" s="38"/>
      <c r="B426" s="38"/>
      <c r="C426" s="36"/>
      <c r="D426" s="37"/>
      <c r="E426" s="37"/>
      <c r="F426" s="37"/>
      <c r="G426" s="38"/>
      <c r="H426" s="38"/>
      <c r="I426" s="38"/>
      <c r="J426" s="38"/>
      <c r="K426" s="38"/>
      <c r="L426" s="38"/>
      <c r="M426" s="38"/>
      <c r="N426" s="38"/>
      <c r="O426" s="38"/>
      <c r="P426" s="38"/>
      <c r="Q426" s="38"/>
      <c r="R426" s="38"/>
      <c r="S426" s="38"/>
      <c r="T426" s="38"/>
      <c r="U426" s="38"/>
      <c r="V426" s="38"/>
      <c r="W426" s="38"/>
      <c r="X426" s="38"/>
      <c r="Y426" s="34"/>
      <c r="Z426" s="34"/>
    </row>
    <row r="427" ht="15.75" customHeight="1">
      <c r="A427" s="38"/>
      <c r="B427" s="38"/>
      <c r="C427" s="36"/>
      <c r="D427" s="37"/>
      <c r="E427" s="37"/>
      <c r="F427" s="37"/>
      <c r="G427" s="38"/>
      <c r="H427" s="38"/>
      <c r="I427" s="38"/>
      <c r="J427" s="38"/>
      <c r="K427" s="38"/>
      <c r="L427" s="38"/>
      <c r="M427" s="38"/>
      <c r="N427" s="38"/>
      <c r="O427" s="38"/>
      <c r="P427" s="38"/>
      <c r="Q427" s="38"/>
      <c r="R427" s="38"/>
      <c r="S427" s="38"/>
      <c r="T427" s="38"/>
      <c r="U427" s="38"/>
      <c r="V427" s="38"/>
      <c r="W427" s="38"/>
      <c r="X427" s="38"/>
      <c r="Y427" s="34"/>
      <c r="Z427" s="34"/>
    </row>
    <row r="428" ht="15.75" customHeight="1">
      <c r="A428" s="38"/>
      <c r="B428" s="38"/>
      <c r="C428" s="36"/>
      <c r="D428" s="37"/>
      <c r="E428" s="37"/>
      <c r="F428" s="37"/>
      <c r="G428" s="38"/>
      <c r="H428" s="38"/>
      <c r="I428" s="38"/>
      <c r="J428" s="38"/>
      <c r="K428" s="38"/>
      <c r="L428" s="38"/>
      <c r="M428" s="38"/>
      <c r="N428" s="38"/>
      <c r="O428" s="38"/>
      <c r="P428" s="38"/>
      <c r="Q428" s="38"/>
      <c r="R428" s="38"/>
      <c r="S428" s="38"/>
      <c r="T428" s="38"/>
      <c r="U428" s="38"/>
      <c r="V428" s="38"/>
      <c r="W428" s="38"/>
      <c r="X428" s="38"/>
      <c r="Y428" s="34"/>
      <c r="Z428" s="34"/>
    </row>
    <row r="429" ht="15.75" customHeight="1">
      <c r="A429" s="38"/>
      <c r="B429" s="38"/>
      <c r="C429" s="36"/>
      <c r="D429" s="37"/>
      <c r="E429" s="37"/>
      <c r="F429" s="37"/>
      <c r="G429" s="38"/>
      <c r="H429" s="38"/>
      <c r="I429" s="38"/>
      <c r="J429" s="38"/>
      <c r="K429" s="38"/>
      <c r="L429" s="38"/>
      <c r="M429" s="38"/>
      <c r="N429" s="38"/>
      <c r="O429" s="38"/>
      <c r="P429" s="38"/>
      <c r="Q429" s="38"/>
      <c r="R429" s="38"/>
      <c r="S429" s="38"/>
      <c r="T429" s="38"/>
      <c r="U429" s="38"/>
      <c r="V429" s="38"/>
      <c r="W429" s="38"/>
      <c r="X429" s="38"/>
      <c r="Y429" s="34"/>
      <c r="Z429" s="34"/>
    </row>
    <row r="430" ht="15.75" customHeight="1">
      <c r="A430" s="38"/>
      <c r="B430" s="38"/>
      <c r="C430" s="36"/>
      <c r="D430" s="37"/>
      <c r="E430" s="37"/>
      <c r="F430" s="37"/>
      <c r="G430" s="38"/>
      <c r="H430" s="38"/>
      <c r="I430" s="38"/>
      <c r="J430" s="38"/>
      <c r="K430" s="38"/>
      <c r="L430" s="38"/>
      <c r="M430" s="38"/>
      <c r="N430" s="38"/>
      <c r="O430" s="38"/>
      <c r="P430" s="38"/>
      <c r="Q430" s="38"/>
      <c r="R430" s="38"/>
      <c r="S430" s="38"/>
      <c r="T430" s="38"/>
      <c r="U430" s="38"/>
      <c r="V430" s="38"/>
      <c r="W430" s="38"/>
      <c r="X430" s="38"/>
      <c r="Y430" s="34"/>
      <c r="Z430" s="34"/>
    </row>
    <row r="431" ht="15.75" customHeight="1">
      <c r="A431" s="38"/>
      <c r="B431" s="38"/>
      <c r="C431" s="36"/>
      <c r="D431" s="37"/>
      <c r="E431" s="37"/>
      <c r="F431" s="37"/>
      <c r="G431" s="38"/>
      <c r="H431" s="38"/>
      <c r="I431" s="38"/>
      <c r="J431" s="38"/>
      <c r="K431" s="38"/>
      <c r="L431" s="38"/>
      <c r="M431" s="38"/>
      <c r="N431" s="38"/>
      <c r="O431" s="38"/>
      <c r="P431" s="38"/>
      <c r="Q431" s="38"/>
      <c r="R431" s="38"/>
      <c r="S431" s="38"/>
      <c r="T431" s="38"/>
      <c r="U431" s="38"/>
      <c r="V431" s="38"/>
      <c r="W431" s="38"/>
      <c r="X431" s="38"/>
      <c r="Y431" s="34"/>
      <c r="Z431" s="34"/>
    </row>
    <row r="432" ht="15.75" customHeight="1">
      <c r="A432" s="38"/>
      <c r="B432" s="38"/>
      <c r="C432" s="36"/>
      <c r="D432" s="37"/>
      <c r="E432" s="37"/>
      <c r="F432" s="37"/>
      <c r="G432" s="38"/>
      <c r="H432" s="38"/>
      <c r="I432" s="38"/>
      <c r="J432" s="38"/>
      <c r="K432" s="38"/>
      <c r="L432" s="38"/>
      <c r="M432" s="38"/>
      <c r="N432" s="38"/>
      <c r="O432" s="38"/>
      <c r="P432" s="38"/>
      <c r="Q432" s="38"/>
      <c r="R432" s="38"/>
      <c r="S432" s="38"/>
      <c r="T432" s="38"/>
      <c r="U432" s="38"/>
      <c r="V432" s="38"/>
      <c r="W432" s="38"/>
      <c r="X432" s="38"/>
      <c r="Y432" s="34"/>
      <c r="Z432" s="34"/>
    </row>
    <row r="433" ht="15.75" customHeight="1">
      <c r="A433" s="38"/>
      <c r="B433" s="38"/>
      <c r="C433" s="36"/>
      <c r="D433" s="37"/>
      <c r="E433" s="37"/>
      <c r="F433" s="37"/>
      <c r="G433" s="38"/>
      <c r="H433" s="38"/>
      <c r="I433" s="38"/>
      <c r="J433" s="38"/>
      <c r="K433" s="38"/>
      <c r="L433" s="38"/>
      <c r="M433" s="38"/>
      <c r="N433" s="38"/>
      <c r="O433" s="38"/>
      <c r="P433" s="38"/>
      <c r="Q433" s="38"/>
      <c r="R433" s="38"/>
      <c r="S433" s="38"/>
      <c r="T433" s="38"/>
      <c r="U433" s="38"/>
      <c r="V433" s="38"/>
      <c r="W433" s="38"/>
      <c r="X433" s="38"/>
      <c r="Y433" s="34"/>
      <c r="Z433" s="34"/>
    </row>
    <row r="434" ht="15.75" customHeight="1">
      <c r="A434" s="38"/>
      <c r="B434" s="38"/>
      <c r="C434" s="36"/>
      <c r="D434" s="37"/>
      <c r="E434" s="37"/>
      <c r="F434" s="37"/>
      <c r="G434" s="38"/>
      <c r="H434" s="38"/>
      <c r="I434" s="38"/>
      <c r="J434" s="38"/>
      <c r="K434" s="38"/>
      <c r="L434" s="38"/>
      <c r="M434" s="38"/>
      <c r="N434" s="38"/>
      <c r="O434" s="38"/>
      <c r="P434" s="38"/>
      <c r="Q434" s="38"/>
      <c r="R434" s="38"/>
      <c r="S434" s="38"/>
      <c r="T434" s="38"/>
      <c r="U434" s="38"/>
      <c r="V434" s="38"/>
      <c r="W434" s="38"/>
      <c r="X434" s="38"/>
      <c r="Y434" s="34"/>
      <c r="Z434" s="34"/>
    </row>
    <row r="435" ht="15.75" customHeight="1">
      <c r="A435" s="38"/>
      <c r="B435" s="38"/>
      <c r="C435" s="36"/>
      <c r="D435" s="37"/>
      <c r="E435" s="37"/>
      <c r="F435" s="37"/>
      <c r="G435" s="38"/>
      <c r="H435" s="38"/>
      <c r="I435" s="38"/>
      <c r="J435" s="38"/>
      <c r="K435" s="38"/>
      <c r="L435" s="38"/>
      <c r="M435" s="38"/>
      <c r="N435" s="38"/>
      <c r="O435" s="38"/>
      <c r="P435" s="38"/>
      <c r="Q435" s="38"/>
      <c r="R435" s="38"/>
      <c r="S435" s="38"/>
      <c r="T435" s="38"/>
      <c r="U435" s="38"/>
      <c r="V435" s="38"/>
      <c r="W435" s="38"/>
      <c r="X435" s="38"/>
      <c r="Y435" s="34"/>
      <c r="Z435" s="34"/>
    </row>
    <row r="436" ht="15.75" customHeight="1">
      <c r="A436" s="38"/>
      <c r="B436" s="38"/>
      <c r="C436" s="36"/>
      <c r="D436" s="37"/>
      <c r="E436" s="37"/>
      <c r="F436" s="37"/>
      <c r="G436" s="38"/>
      <c r="H436" s="38"/>
      <c r="I436" s="38"/>
      <c r="J436" s="38"/>
      <c r="K436" s="38"/>
      <c r="L436" s="38"/>
      <c r="M436" s="38"/>
      <c r="N436" s="38"/>
      <c r="O436" s="38"/>
      <c r="P436" s="38"/>
      <c r="Q436" s="38"/>
      <c r="R436" s="38"/>
      <c r="S436" s="38"/>
      <c r="T436" s="38"/>
      <c r="U436" s="38"/>
      <c r="V436" s="38"/>
      <c r="W436" s="38"/>
      <c r="X436" s="38"/>
      <c r="Y436" s="34"/>
      <c r="Z436" s="34"/>
    </row>
    <row r="437" ht="15.75" customHeight="1">
      <c r="A437" s="38"/>
      <c r="B437" s="38"/>
      <c r="C437" s="36"/>
      <c r="D437" s="37"/>
      <c r="E437" s="37"/>
      <c r="F437" s="37"/>
      <c r="G437" s="38"/>
      <c r="H437" s="38"/>
      <c r="I437" s="38"/>
      <c r="J437" s="38"/>
      <c r="K437" s="38"/>
      <c r="L437" s="38"/>
      <c r="M437" s="38"/>
      <c r="N437" s="38"/>
      <c r="O437" s="38"/>
      <c r="P437" s="38"/>
      <c r="Q437" s="38"/>
      <c r="R437" s="38"/>
      <c r="S437" s="38"/>
      <c r="T437" s="38"/>
      <c r="U437" s="38"/>
      <c r="V437" s="38"/>
      <c r="W437" s="38"/>
      <c r="X437" s="38"/>
      <c r="Y437" s="34"/>
      <c r="Z437" s="34"/>
    </row>
    <row r="438" ht="15.75" customHeight="1">
      <c r="A438" s="38"/>
      <c r="B438" s="38"/>
      <c r="C438" s="36"/>
      <c r="D438" s="37"/>
      <c r="E438" s="37"/>
      <c r="F438" s="37"/>
      <c r="G438" s="38"/>
      <c r="H438" s="38"/>
      <c r="I438" s="38"/>
      <c r="J438" s="38"/>
      <c r="K438" s="38"/>
      <c r="L438" s="38"/>
      <c r="M438" s="38"/>
      <c r="N438" s="38"/>
      <c r="O438" s="38"/>
      <c r="P438" s="38"/>
      <c r="Q438" s="38"/>
      <c r="R438" s="38"/>
      <c r="S438" s="38"/>
      <c r="T438" s="38"/>
      <c r="U438" s="38"/>
      <c r="V438" s="38"/>
      <c r="W438" s="38"/>
      <c r="X438" s="38"/>
      <c r="Y438" s="34"/>
      <c r="Z438" s="34"/>
    </row>
    <row r="439" ht="15.75" customHeight="1">
      <c r="A439" s="38"/>
      <c r="B439" s="38"/>
      <c r="C439" s="36"/>
      <c r="D439" s="37"/>
      <c r="E439" s="37"/>
      <c r="F439" s="37"/>
      <c r="G439" s="38"/>
      <c r="H439" s="38"/>
      <c r="I439" s="38"/>
      <c r="J439" s="38"/>
      <c r="K439" s="38"/>
      <c r="L439" s="38"/>
      <c r="M439" s="38"/>
      <c r="N439" s="38"/>
      <c r="O439" s="38"/>
      <c r="P439" s="38"/>
      <c r="Q439" s="38"/>
      <c r="R439" s="38"/>
      <c r="S439" s="38"/>
      <c r="T439" s="38"/>
      <c r="U439" s="38"/>
      <c r="V439" s="38"/>
      <c r="W439" s="38"/>
      <c r="X439" s="38"/>
      <c r="Y439" s="34"/>
      <c r="Z439" s="34"/>
    </row>
    <row r="440" ht="15.75" customHeight="1">
      <c r="A440" s="38"/>
      <c r="B440" s="38"/>
      <c r="C440" s="36"/>
      <c r="D440" s="37"/>
      <c r="E440" s="37"/>
      <c r="F440" s="37"/>
      <c r="G440" s="38"/>
      <c r="H440" s="38"/>
      <c r="I440" s="38"/>
      <c r="J440" s="38"/>
      <c r="K440" s="38"/>
      <c r="L440" s="38"/>
      <c r="M440" s="38"/>
      <c r="N440" s="38"/>
      <c r="O440" s="38"/>
      <c r="P440" s="38"/>
      <c r="Q440" s="38"/>
      <c r="R440" s="38"/>
      <c r="S440" s="38"/>
      <c r="T440" s="38"/>
      <c r="U440" s="38"/>
      <c r="V440" s="38"/>
      <c r="W440" s="38"/>
      <c r="X440" s="38"/>
      <c r="Y440" s="34"/>
      <c r="Z440" s="34"/>
    </row>
    <row r="441" ht="15.75" customHeight="1">
      <c r="A441" s="38"/>
      <c r="B441" s="38"/>
      <c r="C441" s="36"/>
      <c r="D441" s="37"/>
      <c r="E441" s="37"/>
      <c r="F441" s="37"/>
      <c r="G441" s="38"/>
      <c r="H441" s="38"/>
      <c r="I441" s="38"/>
      <c r="J441" s="38"/>
      <c r="K441" s="38"/>
      <c r="L441" s="38"/>
      <c r="M441" s="38"/>
      <c r="N441" s="38"/>
      <c r="O441" s="38"/>
      <c r="P441" s="38"/>
      <c r="Q441" s="38"/>
      <c r="R441" s="38"/>
      <c r="S441" s="38"/>
      <c r="T441" s="38"/>
      <c r="U441" s="38"/>
      <c r="V441" s="38"/>
      <c r="W441" s="38"/>
      <c r="X441" s="38"/>
      <c r="Y441" s="34"/>
      <c r="Z441" s="34"/>
    </row>
    <row r="442" ht="15.75" customHeight="1">
      <c r="A442" s="38"/>
      <c r="B442" s="38"/>
      <c r="C442" s="36"/>
      <c r="D442" s="37"/>
      <c r="E442" s="37"/>
      <c r="F442" s="37"/>
      <c r="G442" s="38"/>
      <c r="H442" s="38"/>
      <c r="I442" s="38"/>
      <c r="J442" s="38"/>
      <c r="K442" s="38"/>
      <c r="L442" s="38"/>
      <c r="M442" s="38"/>
      <c r="N442" s="38"/>
      <c r="O442" s="38"/>
      <c r="P442" s="38"/>
      <c r="Q442" s="38"/>
      <c r="R442" s="38"/>
      <c r="S442" s="38"/>
      <c r="T442" s="38"/>
      <c r="U442" s="38"/>
      <c r="V442" s="38"/>
      <c r="W442" s="38"/>
      <c r="X442" s="38"/>
      <c r="Y442" s="34"/>
      <c r="Z442" s="34"/>
    </row>
    <row r="443" ht="15.75" customHeight="1">
      <c r="A443" s="38"/>
      <c r="B443" s="38"/>
      <c r="C443" s="36"/>
      <c r="D443" s="37"/>
      <c r="E443" s="37"/>
      <c r="F443" s="37"/>
      <c r="G443" s="38"/>
      <c r="H443" s="38"/>
      <c r="I443" s="38"/>
      <c r="J443" s="38"/>
      <c r="K443" s="38"/>
      <c r="L443" s="38"/>
      <c r="M443" s="38"/>
      <c r="N443" s="38"/>
      <c r="O443" s="38"/>
      <c r="P443" s="38"/>
      <c r="Q443" s="38"/>
      <c r="R443" s="38"/>
      <c r="S443" s="38"/>
      <c r="T443" s="38"/>
      <c r="U443" s="38"/>
      <c r="V443" s="38"/>
      <c r="W443" s="38"/>
      <c r="X443" s="38"/>
      <c r="Y443" s="34"/>
      <c r="Z443" s="34"/>
    </row>
    <row r="444" ht="15.75" hidden="1" customHeight="1">
      <c r="A444" s="38"/>
      <c r="B444" s="40"/>
      <c r="C444" s="36"/>
      <c r="D444" s="37"/>
      <c r="E444" s="37"/>
      <c r="F444" s="37"/>
      <c r="G444" s="38"/>
      <c r="H444" s="38"/>
      <c r="I444" s="38"/>
      <c r="J444" s="38"/>
      <c r="K444" s="38"/>
      <c r="L444" s="38"/>
      <c r="M444" s="38"/>
      <c r="N444" s="38"/>
      <c r="O444" s="38"/>
      <c r="P444" s="38"/>
      <c r="Q444" s="38"/>
      <c r="R444" s="38"/>
      <c r="S444" s="38"/>
      <c r="T444" s="38"/>
      <c r="U444" s="38"/>
      <c r="V444" s="38"/>
      <c r="W444" s="38"/>
      <c r="X444" s="38"/>
      <c r="Y444" s="34"/>
      <c r="Z444" s="34"/>
    </row>
    <row r="445" ht="15.75" hidden="1" customHeight="1">
      <c r="A445" s="38"/>
      <c r="B445" s="40"/>
      <c r="C445" s="36"/>
      <c r="D445" s="37"/>
      <c r="E445" s="37"/>
      <c r="F445" s="37"/>
      <c r="G445" s="38"/>
      <c r="H445" s="38"/>
      <c r="I445" s="38"/>
      <c r="J445" s="38"/>
      <c r="K445" s="38"/>
      <c r="L445" s="38"/>
      <c r="M445" s="38"/>
      <c r="N445" s="38"/>
      <c r="O445" s="38"/>
      <c r="P445" s="38"/>
      <c r="Q445" s="38"/>
      <c r="R445" s="38"/>
      <c r="S445" s="38"/>
      <c r="T445" s="38"/>
      <c r="U445" s="38"/>
      <c r="V445" s="38"/>
      <c r="W445" s="38"/>
      <c r="X445" s="38"/>
      <c r="Y445" s="34"/>
      <c r="Z445" s="34"/>
    </row>
    <row r="446" ht="15.75" hidden="1" customHeight="1">
      <c r="A446" s="38"/>
      <c r="B446" s="40"/>
      <c r="C446" s="36"/>
      <c r="D446" s="37"/>
      <c r="E446" s="37"/>
      <c r="F446" s="37"/>
      <c r="G446" s="38"/>
      <c r="H446" s="38"/>
      <c r="I446" s="38"/>
      <c r="J446" s="38"/>
      <c r="K446" s="38"/>
      <c r="L446" s="38"/>
      <c r="M446" s="38"/>
      <c r="N446" s="38"/>
      <c r="O446" s="38"/>
      <c r="P446" s="38"/>
      <c r="Q446" s="38"/>
      <c r="R446" s="38"/>
      <c r="S446" s="38"/>
      <c r="T446" s="38"/>
      <c r="U446" s="38"/>
      <c r="V446" s="38"/>
      <c r="W446" s="38"/>
      <c r="X446" s="38"/>
      <c r="Y446" s="34"/>
      <c r="Z446" s="34"/>
    </row>
    <row r="447" ht="15.75" hidden="1" customHeight="1">
      <c r="A447" s="38"/>
      <c r="B447" s="40"/>
      <c r="C447" s="36"/>
      <c r="D447" s="37"/>
      <c r="E447" s="37"/>
      <c r="F447" s="37"/>
      <c r="G447" s="38"/>
      <c r="H447" s="38"/>
      <c r="I447" s="38"/>
      <c r="J447" s="38"/>
      <c r="K447" s="38"/>
      <c r="L447" s="38"/>
      <c r="M447" s="38"/>
      <c r="N447" s="38"/>
      <c r="O447" s="38"/>
      <c r="P447" s="38"/>
      <c r="Q447" s="38"/>
      <c r="R447" s="38"/>
      <c r="S447" s="38"/>
      <c r="T447" s="38"/>
      <c r="U447" s="38"/>
      <c r="V447" s="38"/>
      <c r="W447" s="38"/>
      <c r="X447" s="38"/>
      <c r="Y447" s="34"/>
      <c r="Z447" s="34"/>
    </row>
    <row r="448" ht="15.75" hidden="1" customHeight="1">
      <c r="A448" s="38"/>
      <c r="B448" s="40"/>
      <c r="C448" s="36"/>
      <c r="D448" s="37"/>
      <c r="E448" s="37"/>
      <c r="F448" s="37"/>
      <c r="G448" s="38"/>
      <c r="H448" s="38"/>
      <c r="I448" s="38"/>
      <c r="J448" s="38"/>
      <c r="K448" s="38"/>
      <c r="L448" s="38"/>
      <c r="M448" s="38"/>
      <c r="N448" s="38"/>
      <c r="O448" s="38"/>
      <c r="P448" s="38"/>
      <c r="Q448" s="38"/>
      <c r="R448" s="38"/>
      <c r="S448" s="38"/>
      <c r="T448" s="38"/>
      <c r="U448" s="38"/>
      <c r="V448" s="38"/>
      <c r="W448" s="38"/>
      <c r="X448" s="38"/>
      <c r="Y448" s="34"/>
      <c r="Z448" s="34"/>
    </row>
    <row r="449" ht="15.75" hidden="1" customHeight="1">
      <c r="A449" s="38"/>
      <c r="B449" s="40"/>
      <c r="C449" s="36"/>
      <c r="D449" s="37"/>
      <c r="E449" s="37"/>
      <c r="F449" s="37"/>
      <c r="G449" s="38"/>
      <c r="H449" s="38"/>
      <c r="I449" s="38"/>
      <c r="J449" s="38"/>
      <c r="K449" s="38"/>
      <c r="L449" s="38"/>
      <c r="M449" s="38"/>
      <c r="N449" s="38"/>
      <c r="O449" s="38"/>
      <c r="P449" s="38"/>
      <c r="Q449" s="38"/>
      <c r="R449" s="38"/>
      <c r="S449" s="38"/>
      <c r="T449" s="38"/>
      <c r="U449" s="38"/>
      <c r="V449" s="38"/>
      <c r="W449" s="38"/>
      <c r="X449" s="38"/>
      <c r="Y449" s="34"/>
      <c r="Z449" s="34"/>
    </row>
    <row r="450" ht="15.75" hidden="1" customHeight="1">
      <c r="A450" s="38"/>
      <c r="B450" s="40"/>
      <c r="C450" s="36"/>
      <c r="D450" s="37"/>
      <c r="E450" s="37"/>
      <c r="F450" s="37"/>
      <c r="G450" s="38"/>
      <c r="H450" s="38"/>
      <c r="I450" s="38"/>
      <c r="J450" s="38"/>
      <c r="K450" s="38"/>
      <c r="L450" s="38"/>
      <c r="M450" s="38"/>
      <c r="N450" s="38"/>
      <c r="O450" s="38"/>
      <c r="P450" s="38"/>
      <c r="Q450" s="38"/>
      <c r="R450" s="38"/>
      <c r="S450" s="38"/>
      <c r="T450" s="38"/>
      <c r="U450" s="38"/>
      <c r="V450" s="38"/>
      <c r="W450" s="38"/>
      <c r="X450" s="38"/>
      <c r="Y450" s="34"/>
      <c r="Z450" s="34"/>
    </row>
    <row r="451" ht="15.75" hidden="1" customHeight="1">
      <c r="A451" s="38"/>
      <c r="B451" s="40"/>
      <c r="C451" s="36"/>
      <c r="D451" s="37"/>
      <c r="E451" s="37"/>
      <c r="F451" s="37"/>
      <c r="G451" s="38"/>
      <c r="H451" s="38"/>
      <c r="I451" s="38"/>
      <c r="J451" s="38"/>
      <c r="K451" s="38"/>
      <c r="L451" s="38"/>
      <c r="M451" s="38"/>
      <c r="N451" s="38"/>
      <c r="O451" s="38"/>
      <c r="P451" s="38"/>
      <c r="Q451" s="38"/>
      <c r="R451" s="38"/>
      <c r="S451" s="38"/>
      <c r="T451" s="38"/>
      <c r="U451" s="38"/>
      <c r="V451" s="38"/>
      <c r="W451" s="38"/>
      <c r="X451" s="38"/>
      <c r="Y451" s="34"/>
      <c r="Z451" s="34"/>
    </row>
    <row r="452" ht="15.75" hidden="1" customHeight="1">
      <c r="A452" s="38"/>
      <c r="B452" s="40"/>
      <c r="C452" s="36"/>
      <c r="D452" s="37"/>
      <c r="E452" s="37"/>
      <c r="F452" s="37"/>
      <c r="G452" s="38"/>
      <c r="H452" s="38"/>
      <c r="I452" s="38"/>
      <c r="J452" s="38"/>
      <c r="K452" s="38"/>
      <c r="L452" s="38"/>
      <c r="M452" s="38"/>
      <c r="N452" s="38"/>
      <c r="O452" s="38"/>
      <c r="P452" s="38"/>
      <c r="Q452" s="38"/>
      <c r="R452" s="38"/>
      <c r="S452" s="38"/>
      <c r="T452" s="38"/>
      <c r="U452" s="38"/>
      <c r="V452" s="38"/>
      <c r="W452" s="38"/>
      <c r="X452" s="38"/>
      <c r="Y452" s="34"/>
      <c r="Z452" s="34"/>
    </row>
    <row r="453" ht="15.75" hidden="1" customHeight="1">
      <c r="A453" s="38"/>
      <c r="B453" s="40"/>
      <c r="C453" s="36"/>
      <c r="D453" s="37"/>
      <c r="E453" s="37"/>
      <c r="F453" s="37"/>
      <c r="G453" s="38"/>
      <c r="H453" s="38"/>
      <c r="I453" s="38"/>
      <c r="J453" s="38"/>
      <c r="K453" s="38"/>
      <c r="L453" s="38"/>
      <c r="M453" s="38"/>
      <c r="N453" s="38"/>
      <c r="O453" s="38"/>
      <c r="P453" s="38"/>
      <c r="Q453" s="38"/>
      <c r="R453" s="38"/>
      <c r="S453" s="38"/>
      <c r="T453" s="38"/>
      <c r="U453" s="38"/>
      <c r="V453" s="38"/>
      <c r="W453" s="38"/>
      <c r="X453" s="38"/>
      <c r="Y453" s="34"/>
      <c r="Z453" s="34"/>
    </row>
    <row r="454" ht="15.75" hidden="1" customHeight="1">
      <c r="A454" s="38"/>
      <c r="B454" s="40"/>
      <c r="C454" s="36"/>
      <c r="D454" s="37"/>
      <c r="E454" s="37"/>
      <c r="F454" s="37"/>
      <c r="G454" s="38"/>
      <c r="H454" s="38"/>
      <c r="I454" s="38"/>
      <c r="J454" s="38"/>
      <c r="K454" s="38"/>
      <c r="L454" s="38"/>
      <c r="M454" s="38"/>
      <c r="N454" s="38"/>
      <c r="O454" s="38"/>
      <c r="P454" s="38"/>
      <c r="Q454" s="38"/>
      <c r="R454" s="38"/>
      <c r="S454" s="38"/>
      <c r="T454" s="38"/>
      <c r="U454" s="38"/>
      <c r="V454" s="38"/>
      <c r="W454" s="38"/>
      <c r="X454" s="38"/>
      <c r="Y454" s="34"/>
      <c r="Z454" s="34"/>
    </row>
    <row r="455" ht="15.75" hidden="1" customHeight="1">
      <c r="A455" s="38"/>
      <c r="B455" s="40"/>
      <c r="C455" s="36"/>
      <c r="D455" s="37"/>
      <c r="E455" s="37"/>
      <c r="F455" s="37"/>
      <c r="G455" s="38"/>
      <c r="H455" s="38"/>
      <c r="I455" s="38"/>
      <c r="J455" s="38"/>
      <c r="K455" s="38"/>
      <c r="L455" s="38"/>
      <c r="M455" s="38"/>
      <c r="N455" s="38"/>
      <c r="O455" s="38"/>
      <c r="P455" s="38"/>
      <c r="Q455" s="38"/>
      <c r="R455" s="38"/>
      <c r="S455" s="38"/>
      <c r="T455" s="38"/>
      <c r="U455" s="38"/>
      <c r="V455" s="38"/>
      <c r="W455" s="38"/>
      <c r="X455" s="38"/>
      <c r="Y455" s="34"/>
      <c r="Z455" s="34"/>
    </row>
    <row r="456" ht="15.75" hidden="1" customHeight="1">
      <c r="A456" s="38"/>
      <c r="B456" s="40"/>
      <c r="C456" s="36"/>
      <c r="D456" s="37"/>
      <c r="E456" s="37"/>
      <c r="F456" s="37"/>
      <c r="G456" s="38"/>
      <c r="H456" s="38"/>
      <c r="I456" s="38"/>
      <c r="J456" s="38"/>
      <c r="K456" s="38"/>
      <c r="L456" s="38"/>
      <c r="M456" s="38"/>
      <c r="N456" s="38"/>
      <c r="O456" s="38"/>
      <c r="P456" s="38"/>
      <c r="Q456" s="38"/>
      <c r="R456" s="38"/>
      <c r="S456" s="38"/>
      <c r="T456" s="38"/>
      <c r="U456" s="38"/>
      <c r="V456" s="38"/>
      <c r="W456" s="38"/>
      <c r="X456" s="38"/>
      <c r="Y456" s="34"/>
      <c r="Z456" s="34"/>
    </row>
    <row r="457" ht="15.75" hidden="1" customHeight="1">
      <c r="A457" s="38"/>
      <c r="B457" s="40"/>
      <c r="C457" s="36"/>
      <c r="D457" s="37"/>
      <c r="E457" s="37"/>
      <c r="F457" s="37"/>
      <c r="G457" s="38"/>
      <c r="H457" s="38"/>
      <c r="I457" s="38"/>
      <c r="J457" s="38"/>
      <c r="K457" s="38"/>
      <c r="L457" s="38"/>
      <c r="M457" s="38"/>
      <c r="N457" s="38"/>
      <c r="O457" s="38"/>
      <c r="P457" s="38"/>
      <c r="Q457" s="38"/>
      <c r="R457" s="38"/>
      <c r="S457" s="38"/>
      <c r="T457" s="38"/>
      <c r="U457" s="38"/>
      <c r="V457" s="38"/>
      <c r="W457" s="38"/>
      <c r="X457" s="38"/>
      <c r="Y457" s="34"/>
      <c r="Z457" s="34"/>
    </row>
    <row r="458" ht="15.75" hidden="1" customHeight="1">
      <c r="A458" s="38"/>
      <c r="B458" s="40"/>
      <c r="C458" s="36"/>
      <c r="D458" s="37"/>
      <c r="E458" s="37"/>
      <c r="F458" s="37"/>
      <c r="G458" s="38"/>
      <c r="H458" s="38"/>
      <c r="I458" s="38"/>
      <c r="J458" s="38"/>
      <c r="K458" s="38"/>
      <c r="L458" s="38"/>
      <c r="M458" s="38"/>
      <c r="N458" s="38"/>
      <c r="O458" s="38"/>
      <c r="P458" s="38"/>
      <c r="Q458" s="38"/>
      <c r="R458" s="38"/>
      <c r="S458" s="38"/>
      <c r="T458" s="38"/>
      <c r="U458" s="38"/>
      <c r="V458" s="38"/>
      <c r="W458" s="38"/>
      <c r="X458" s="38"/>
      <c r="Y458" s="34"/>
      <c r="Z458" s="34"/>
    </row>
    <row r="459" ht="15.75" hidden="1" customHeight="1">
      <c r="A459" s="38"/>
      <c r="B459" s="40"/>
      <c r="C459" s="36"/>
      <c r="D459" s="37"/>
      <c r="E459" s="37"/>
      <c r="F459" s="37"/>
      <c r="G459" s="38"/>
      <c r="H459" s="38"/>
      <c r="I459" s="38"/>
      <c r="J459" s="38"/>
      <c r="K459" s="38"/>
      <c r="L459" s="38"/>
      <c r="M459" s="38"/>
      <c r="N459" s="38"/>
      <c r="O459" s="38"/>
      <c r="P459" s="38"/>
      <c r="Q459" s="38"/>
      <c r="R459" s="38"/>
      <c r="S459" s="38"/>
      <c r="T459" s="38"/>
      <c r="U459" s="38"/>
      <c r="V459" s="38"/>
      <c r="W459" s="38"/>
      <c r="X459" s="38"/>
      <c r="Y459" s="34"/>
      <c r="Z459" s="34"/>
    </row>
    <row r="460" ht="15.75" hidden="1" customHeight="1">
      <c r="A460" s="38"/>
      <c r="B460" s="40"/>
      <c r="C460" s="36"/>
      <c r="D460" s="37"/>
      <c r="E460" s="37"/>
      <c r="F460" s="37"/>
      <c r="G460" s="38"/>
      <c r="H460" s="38"/>
      <c r="I460" s="38"/>
      <c r="J460" s="38"/>
      <c r="K460" s="38"/>
      <c r="L460" s="38"/>
      <c r="M460" s="38"/>
      <c r="N460" s="38"/>
      <c r="O460" s="38"/>
      <c r="P460" s="38"/>
      <c r="Q460" s="38"/>
      <c r="R460" s="38"/>
      <c r="S460" s="38"/>
      <c r="T460" s="38"/>
      <c r="U460" s="38"/>
      <c r="V460" s="38"/>
      <c r="W460" s="38"/>
      <c r="X460" s="38"/>
      <c r="Y460" s="34"/>
      <c r="Z460" s="34"/>
    </row>
    <row r="461" ht="15.75" hidden="1" customHeight="1">
      <c r="A461" s="38"/>
      <c r="B461" s="40"/>
      <c r="C461" s="36"/>
      <c r="D461" s="37"/>
      <c r="E461" s="37"/>
      <c r="F461" s="37"/>
      <c r="G461" s="38"/>
      <c r="H461" s="38"/>
      <c r="I461" s="38"/>
      <c r="J461" s="38"/>
      <c r="K461" s="38"/>
      <c r="L461" s="38"/>
      <c r="M461" s="38"/>
      <c r="N461" s="38"/>
      <c r="O461" s="38"/>
      <c r="P461" s="38"/>
      <c r="Q461" s="38"/>
      <c r="R461" s="38"/>
      <c r="S461" s="38"/>
      <c r="T461" s="38"/>
      <c r="U461" s="38"/>
      <c r="V461" s="38"/>
      <c r="W461" s="38"/>
      <c r="X461" s="38"/>
      <c r="Y461" s="34"/>
      <c r="Z461" s="34"/>
    </row>
    <row r="462" ht="15.75" hidden="1" customHeight="1">
      <c r="A462" s="38"/>
      <c r="B462" s="40"/>
      <c r="C462" s="36"/>
      <c r="D462" s="37"/>
      <c r="E462" s="37"/>
      <c r="F462" s="37"/>
      <c r="G462" s="38"/>
      <c r="H462" s="38"/>
      <c r="I462" s="38"/>
      <c r="J462" s="38"/>
      <c r="K462" s="38"/>
      <c r="L462" s="38"/>
      <c r="M462" s="38"/>
      <c r="N462" s="38"/>
      <c r="O462" s="38"/>
      <c r="P462" s="38"/>
      <c r="Q462" s="38"/>
      <c r="R462" s="38"/>
      <c r="S462" s="38"/>
      <c r="T462" s="38"/>
      <c r="U462" s="38"/>
      <c r="V462" s="38"/>
      <c r="W462" s="38"/>
      <c r="X462" s="38"/>
      <c r="Y462" s="34"/>
      <c r="Z462" s="34"/>
    </row>
    <row r="463" ht="15.75" hidden="1" customHeight="1">
      <c r="A463" s="38"/>
      <c r="B463" s="40"/>
      <c r="C463" s="36"/>
      <c r="D463" s="37"/>
      <c r="E463" s="37"/>
      <c r="F463" s="37"/>
      <c r="G463" s="38"/>
      <c r="H463" s="38"/>
      <c r="I463" s="38"/>
      <c r="J463" s="38"/>
      <c r="K463" s="38"/>
      <c r="L463" s="38"/>
      <c r="M463" s="38"/>
      <c r="N463" s="38"/>
      <c r="O463" s="38"/>
      <c r="P463" s="38"/>
      <c r="Q463" s="38"/>
      <c r="R463" s="38"/>
      <c r="S463" s="38"/>
      <c r="T463" s="38"/>
      <c r="U463" s="38"/>
      <c r="V463" s="38"/>
      <c r="W463" s="38"/>
      <c r="X463" s="38"/>
      <c r="Y463" s="34"/>
      <c r="Z463" s="34"/>
    </row>
    <row r="464" ht="15.75" hidden="1" customHeight="1">
      <c r="A464" s="38"/>
      <c r="B464" s="40"/>
      <c r="C464" s="36"/>
      <c r="D464" s="37"/>
      <c r="E464" s="37"/>
      <c r="F464" s="37"/>
      <c r="G464" s="38"/>
      <c r="H464" s="38"/>
      <c r="I464" s="38"/>
      <c r="J464" s="38"/>
      <c r="K464" s="38"/>
      <c r="L464" s="38"/>
      <c r="M464" s="38"/>
      <c r="N464" s="38"/>
      <c r="O464" s="38"/>
      <c r="P464" s="38"/>
      <c r="Q464" s="38"/>
      <c r="R464" s="38"/>
      <c r="S464" s="38"/>
      <c r="T464" s="38"/>
      <c r="U464" s="38"/>
      <c r="V464" s="38"/>
      <c r="W464" s="38"/>
      <c r="X464" s="38"/>
      <c r="Y464" s="34"/>
      <c r="Z464" s="34"/>
    </row>
    <row r="465" ht="15.75" hidden="1" customHeight="1">
      <c r="A465" s="38"/>
      <c r="B465" s="40"/>
      <c r="C465" s="36"/>
      <c r="D465" s="37"/>
      <c r="E465" s="37"/>
      <c r="F465" s="37"/>
      <c r="G465" s="38"/>
      <c r="H465" s="38"/>
      <c r="I465" s="38"/>
      <c r="J465" s="38"/>
      <c r="K465" s="38"/>
      <c r="L465" s="38"/>
      <c r="M465" s="38"/>
      <c r="N465" s="38"/>
      <c r="O465" s="38"/>
      <c r="P465" s="38"/>
      <c r="Q465" s="38"/>
      <c r="R465" s="38"/>
      <c r="S465" s="38"/>
      <c r="T465" s="38"/>
      <c r="U465" s="38"/>
      <c r="V465" s="38"/>
      <c r="W465" s="38"/>
      <c r="X465" s="38"/>
      <c r="Y465" s="34"/>
      <c r="Z465" s="34"/>
    </row>
    <row r="466" ht="15.75" hidden="1" customHeight="1">
      <c r="A466" s="38"/>
      <c r="B466" s="40"/>
      <c r="C466" s="36"/>
      <c r="D466" s="37"/>
      <c r="E466" s="37"/>
      <c r="F466" s="37"/>
      <c r="G466" s="38"/>
      <c r="H466" s="38"/>
      <c r="I466" s="38"/>
      <c r="J466" s="38"/>
      <c r="K466" s="38"/>
      <c r="L466" s="38"/>
      <c r="M466" s="38"/>
      <c r="N466" s="38"/>
      <c r="O466" s="38"/>
      <c r="P466" s="38"/>
      <c r="Q466" s="38"/>
      <c r="R466" s="38"/>
      <c r="S466" s="38"/>
      <c r="T466" s="38"/>
      <c r="U466" s="38"/>
      <c r="V466" s="38"/>
      <c r="W466" s="38"/>
      <c r="X466" s="38"/>
      <c r="Y466" s="34"/>
      <c r="Z466" s="34"/>
    </row>
    <row r="467" ht="15.75" hidden="1" customHeight="1">
      <c r="A467" s="38"/>
      <c r="B467" s="40"/>
      <c r="C467" s="36"/>
      <c r="D467" s="37"/>
      <c r="E467" s="37"/>
      <c r="F467" s="37"/>
      <c r="G467" s="38"/>
      <c r="H467" s="38"/>
      <c r="I467" s="38"/>
      <c r="J467" s="38"/>
      <c r="K467" s="38"/>
      <c r="L467" s="38"/>
      <c r="M467" s="38"/>
      <c r="N467" s="38"/>
      <c r="O467" s="38"/>
      <c r="P467" s="38"/>
      <c r="Q467" s="38"/>
      <c r="R467" s="38"/>
      <c r="S467" s="38"/>
      <c r="T467" s="38"/>
      <c r="U467" s="38"/>
      <c r="V467" s="38"/>
      <c r="W467" s="38"/>
      <c r="X467" s="38"/>
      <c r="Y467" s="34"/>
      <c r="Z467" s="34"/>
    </row>
    <row r="468" ht="15.75" hidden="1" customHeight="1">
      <c r="A468" s="38"/>
      <c r="B468" s="40"/>
      <c r="C468" s="36"/>
      <c r="D468" s="37"/>
      <c r="E468" s="37"/>
      <c r="F468" s="37"/>
      <c r="G468" s="38"/>
      <c r="H468" s="38"/>
      <c r="I468" s="38"/>
      <c r="J468" s="38"/>
      <c r="K468" s="38"/>
      <c r="L468" s="38"/>
      <c r="M468" s="38"/>
      <c r="N468" s="38"/>
      <c r="O468" s="38"/>
      <c r="P468" s="38"/>
      <c r="Q468" s="38"/>
      <c r="R468" s="38"/>
      <c r="S468" s="38"/>
      <c r="T468" s="38"/>
      <c r="U468" s="38"/>
      <c r="V468" s="38"/>
      <c r="W468" s="38"/>
      <c r="X468" s="38"/>
      <c r="Y468" s="34"/>
      <c r="Z468" s="34"/>
    </row>
    <row r="469" ht="15.75" hidden="1" customHeight="1">
      <c r="A469" s="38"/>
      <c r="B469" s="40"/>
      <c r="C469" s="36"/>
      <c r="D469" s="37"/>
      <c r="E469" s="37"/>
      <c r="F469" s="37"/>
      <c r="G469" s="38"/>
      <c r="H469" s="38"/>
      <c r="I469" s="38"/>
      <c r="J469" s="38"/>
      <c r="K469" s="38"/>
      <c r="L469" s="38"/>
      <c r="M469" s="38"/>
      <c r="N469" s="38"/>
      <c r="O469" s="38"/>
      <c r="P469" s="38"/>
      <c r="Q469" s="38"/>
      <c r="R469" s="38"/>
      <c r="S469" s="38"/>
      <c r="T469" s="38"/>
      <c r="U469" s="38"/>
      <c r="V469" s="38"/>
      <c r="W469" s="38"/>
      <c r="X469" s="38"/>
      <c r="Y469" s="34"/>
      <c r="Z469" s="34"/>
    </row>
    <row r="470" ht="15.75" hidden="1" customHeight="1">
      <c r="A470" s="38"/>
      <c r="B470" s="40"/>
      <c r="C470" s="36"/>
      <c r="D470" s="37"/>
      <c r="E470" s="37"/>
      <c r="F470" s="37"/>
      <c r="G470" s="38"/>
      <c r="H470" s="38"/>
      <c r="I470" s="38"/>
      <c r="J470" s="38"/>
      <c r="K470" s="38"/>
      <c r="L470" s="38"/>
      <c r="M470" s="38"/>
      <c r="N470" s="38"/>
      <c r="O470" s="38"/>
      <c r="P470" s="38"/>
      <c r="Q470" s="38"/>
      <c r="R470" s="38"/>
      <c r="S470" s="38"/>
      <c r="T470" s="38"/>
      <c r="U470" s="38"/>
      <c r="V470" s="38"/>
      <c r="W470" s="38"/>
      <c r="X470" s="38"/>
      <c r="Y470" s="34"/>
      <c r="Z470" s="34"/>
    </row>
    <row r="471" ht="15.75" hidden="1" customHeight="1">
      <c r="A471" s="38"/>
      <c r="B471" s="40"/>
      <c r="C471" s="36"/>
      <c r="D471" s="37"/>
      <c r="E471" s="37"/>
      <c r="F471" s="37"/>
      <c r="G471" s="38"/>
      <c r="H471" s="38"/>
      <c r="I471" s="38"/>
      <c r="J471" s="38"/>
      <c r="K471" s="38"/>
      <c r="L471" s="38"/>
      <c r="M471" s="38"/>
      <c r="N471" s="38"/>
      <c r="O471" s="38"/>
      <c r="P471" s="38"/>
      <c r="Q471" s="38"/>
      <c r="R471" s="38"/>
      <c r="S471" s="38"/>
      <c r="T471" s="38"/>
      <c r="U471" s="38"/>
      <c r="V471" s="38"/>
      <c r="W471" s="38"/>
      <c r="X471" s="38"/>
      <c r="Y471" s="34"/>
      <c r="Z471" s="34"/>
    </row>
    <row r="472" ht="15.75" hidden="1" customHeight="1">
      <c r="A472" s="38"/>
      <c r="B472" s="40"/>
      <c r="C472" s="36"/>
      <c r="D472" s="37"/>
      <c r="E472" s="37"/>
      <c r="F472" s="37"/>
      <c r="G472" s="38"/>
      <c r="H472" s="38"/>
      <c r="I472" s="38"/>
      <c r="J472" s="38"/>
      <c r="K472" s="38"/>
      <c r="L472" s="38"/>
      <c r="M472" s="38"/>
      <c r="N472" s="38"/>
      <c r="O472" s="38"/>
      <c r="P472" s="38"/>
      <c r="Q472" s="38"/>
      <c r="R472" s="38"/>
      <c r="S472" s="38"/>
      <c r="T472" s="38"/>
      <c r="U472" s="38"/>
      <c r="V472" s="38"/>
      <c r="W472" s="38"/>
      <c r="X472" s="38"/>
      <c r="Y472" s="34"/>
      <c r="Z472" s="34"/>
    </row>
    <row r="473" ht="15.75" hidden="1" customHeight="1">
      <c r="A473" s="38"/>
      <c r="B473" s="40"/>
      <c r="C473" s="36"/>
      <c r="D473" s="37"/>
      <c r="E473" s="37"/>
      <c r="F473" s="37"/>
      <c r="G473" s="38"/>
      <c r="H473" s="38"/>
      <c r="I473" s="38"/>
      <c r="J473" s="38"/>
      <c r="K473" s="38"/>
      <c r="L473" s="38"/>
      <c r="M473" s="38"/>
      <c r="N473" s="38"/>
      <c r="O473" s="38"/>
      <c r="P473" s="38"/>
      <c r="Q473" s="38"/>
      <c r="R473" s="38"/>
      <c r="S473" s="38"/>
      <c r="T473" s="38"/>
      <c r="U473" s="38"/>
      <c r="V473" s="38"/>
      <c r="W473" s="38"/>
      <c r="X473" s="38"/>
      <c r="Y473" s="34"/>
      <c r="Z473" s="34"/>
    </row>
    <row r="474" ht="15.75" hidden="1" customHeight="1">
      <c r="A474" s="38"/>
      <c r="B474" s="40"/>
      <c r="C474" s="36"/>
      <c r="D474" s="37"/>
      <c r="E474" s="37"/>
      <c r="F474" s="37"/>
      <c r="G474" s="38"/>
      <c r="H474" s="38"/>
      <c r="I474" s="38"/>
      <c r="J474" s="38"/>
      <c r="K474" s="38"/>
      <c r="L474" s="38"/>
      <c r="M474" s="38"/>
      <c r="N474" s="38"/>
      <c r="O474" s="38"/>
      <c r="P474" s="38"/>
      <c r="Q474" s="38"/>
      <c r="R474" s="38"/>
      <c r="S474" s="38"/>
      <c r="T474" s="38"/>
      <c r="U474" s="38"/>
      <c r="V474" s="38"/>
      <c r="W474" s="38"/>
      <c r="X474" s="38"/>
      <c r="Y474" s="34"/>
      <c r="Z474" s="34"/>
    </row>
    <row r="475" ht="15.75" hidden="1" customHeight="1">
      <c r="A475" s="38"/>
      <c r="B475" s="40"/>
      <c r="C475" s="36"/>
      <c r="D475" s="37"/>
      <c r="E475" s="37"/>
      <c r="F475" s="37"/>
      <c r="G475" s="38"/>
      <c r="H475" s="38"/>
      <c r="I475" s="38"/>
      <c r="J475" s="38"/>
      <c r="K475" s="38"/>
      <c r="L475" s="38"/>
      <c r="M475" s="38"/>
      <c r="N475" s="38"/>
      <c r="O475" s="38"/>
      <c r="P475" s="38"/>
      <c r="Q475" s="38"/>
      <c r="R475" s="38"/>
      <c r="S475" s="38"/>
      <c r="T475" s="38"/>
      <c r="U475" s="38"/>
      <c r="V475" s="38"/>
      <c r="W475" s="38"/>
      <c r="X475" s="38"/>
      <c r="Y475" s="34"/>
      <c r="Z475" s="34"/>
    </row>
    <row r="476" ht="15.75" hidden="1" customHeight="1">
      <c r="A476" s="38"/>
      <c r="B476" s="40"/>
      <c r="C476" s="36"/>
      <c r="D476" s="37"/>
      <c r="E476" s="37"/>
      <c r="F476" s="37"/>
      <c r="G476" s="38"/>
      <c r="H476" s="38"/>
      <c r="I476" s="38"/>
      <c r="J476" s="38"/>
      <c r="K476" s="38"/>
      <c r="L476" s="38"/>
      <c r="M476" s="38"/>
      <c r="N476" s="38"/>
      <c r="O476" s="38"/>
      <c r="P476" s="38"/>
      <c r="Q476" s="38"/>
      <c r="R476" s="38"/>
      <c r="S476" s="38"/>
      <c r="T476" s="38"/>
      <c r="U476" s="38"/>
      <c r="V476" s="38"/>
      <c r="W476" s="38"/>
      <c r="X476" s="38"/>
      <c r="Y476" s="34"/>
      <c r="Z476" s="34"/>
    </row>
    <row r="477" ht="15.75" hidden="1" customHeight="1">
      <c r="A477" s="38"/>
      <c r="B477" s="40"/>
      <c r="C477" s="36"/>
      <c r="D477" s="37"/>
      <c r="E477" s="37"/>
      <c r="F477" s="37"/>
      <c r="G477" s="38"/>
      <c r="H477" s="38"/>
      <c r="I477" s="38"/>
      <c r="J477" s="38"/>
      <c r="K477" s="38"/>
      <c r="L477" s="38"/>
      <c r="M477" s="38"/>
      <c r="N477" s="38"/>
      <c r="O477" s="38"/>
      <c r="P477" s="38"/>
      <c r="Q477" s="38"/>
      <c r="R477" s="38"/>
      <c r="S477" s="38"/>
      <c r="T477" s="38"/>
      <c r="U477" s="38"/>
      <c r="V477" s="38"/>
      <c r="W477" s="38"/>
      <c r="X477" s="38"/>
      <c r="Y477" s="34"/>
      <c r="Z477" s="34"/>
    </row>
    <row r="478" ht="15.75" hidden="1" customHeight="1">
      <c r="A478" s="38"/>
      <c r="B478" s="40"/>
      <c r="C478" s="36"/>
      <c r="D478" s="37"/>
      <c r="E478" s="37"/>
      <c r="F478" s="37"/>
      <c r="G478" s="38"/>
      <c r="H478" s="38"/>
      <c r="I478" s="38"/>
      <c r="J478" s="38"/>
      <c r="K478" s="38"/>
      <c r="L478" s="38"/>
      <c r="M478" s="38"/>
      <c r="N478" s="38"/>
      <c r="O478" s="38"/>
      <c r="P478" s="38"/>
      <c r="Q478" s="38"/>
      <c r="R478" s="38"/>
      <c r="S478" s="38"/>
      <c r="T478" s="38"/>
      <c r="U478" s="38"/>
      <c r="V478" s="38"/>
      <c r="W478" s="38"/>
      <c r="X478" s="38"/>
      <c r="Y478" s="34"/>
      <c r="Z478" s="34"/>
    </row>
    <row r="479" ht="15.75" hidden="1" customHeight="1">
      <c r="A479" s="38"/>
      <c r="B479" s="40"/>
      <c r="C479" s="36"/>
      <c r="D479" s="37"/>
      <c r="E479" s="37"/>
      <c r="F479" s="37"/>
      <c r="G479" s="38"/>
      <c r="H479" s="38"/>
      <c r="I479" s="38"/>
      <c r="J479" s="38"/>
      <c r="K479" s="38"/>
      <c r="L479" s="38"/>
      <c r="M479" s="38"/>
      <c r="N479" s="38"/>
      <c r="O479" s="38"/>
      <c r="P479" s="38"/>
      <c r="Q479" s="38"/>
      <c r="R479" s="38"/>
      <c r="S479" s="38"/>
      <c r="T479" s="38"/>
      <c r="U479" s="38"/>
      <c r="V479" s="38"/>
      <c r="W479" s="38"/>
      <c r="X479" s="38"/>
      <c r="Y479" s="34"/>
      <c r="Z479" s="34"/>
    </row>
    <row r="480" ht="15.75" hidden="1" customHeight="1">
      <c r="A480" s="38"/>
      <c r="B480" s="40"/>
      <c r="C480" s="36"/>
      <c r="D480" s="37"/>
      <c r="E480" s="37"/>
      <c r="F480" s="37"/>
      <c r="G480" s="38"/>
      <c r="H480" s="38"/>
      <c r="I480" s="38"/>
      <c r="J480" s="38"/>
      <c r="K480" s="38"/>
      <c r="L480" s="38"/>
      <c r="M480" s="38"/>
      <c r="N480" s="38"/>
      <c r="O480" s="38"/>
      <c r="P480" s="38"/>
      <c r="Q480" s="38"/>
      <c r="R480" s="38"/>
      <c r="S480" s="38"/>
      <c r="T480" s="38"/>
      <c r="U480" s="38"/>
      <c r="V480" s="38"/>
      <c r="W480" s="38"/>
      <c r="X480" s="38"/>
      <c r="Y480" s="34"/>
      <c r="Z480" s="34"/>
    </row>
    <row r="481" ht="15.75" hidden="1" customHeight="1">
      <c r="A481" s="38"/>
      <c r="B481" s="40"/>
      <c r="C481" s="36"/>
      <c r="D481" s="37"/>
      <c r="E481" s="37"/>
      <c r="F481" s="37"/>
      <c r="G481" s="38"/>
      <c r="H481" s="38"/>
      <c r="I481" s="38"/>
      <c r="J481" s="38"/>
      <c r="K481" s="38"/>
      <c r="L481" s="38"/>
      <c r="M481" s="38"/>
      <c r="N481" s="38"/>
      <c r="O481" s="38"/>
      <c r="P481" s="38"/>
      <c r="Q481" s="38"/>
      <c r="R481" s="38"/>
      <c r="S481" s="38"/>
      <c r="T481" s="38"/>
      <c r="U481" s="38"/>
      <c r="V481" s="38"/>
      <c r="W481" s="38"/>
      <c r="X481" s="38"/>
      <c r="Y481" s="34"/>
      <c r="Z481" s="34"/>
    </row>
    <row r="482" ht="15.75" hidden="1" customHeight="1">
      <c r="A482" s="38"/>
      <c r="B482" s="40"/>
      <c r="C482" s="36"/>
      <c r="D482" s="37"/>
      <c r="E482" s="37"/>
      <c r="F482" s="37"/>
      <c r="G482" s="38"/>
      <c r="H482" s="38"/>
      <c r="I482" s="38"/>
      <c r="J482" s="38"/>
      <c r="K482" s="38"/>
      <c r="L482" s="38"/>
      <c r="M482" s="38"/>
      <c r="N482" s="38"/>
      <c r="O482" s="38"/>
      <c r="P482" s="38"/>
      <c r="Q482" s="38"/>
      <c r="R482" s="38"/>
      <c r="S482" s="38"/>
      <c r="T482" s="38"/>
      <c r="U482" s="38"/>
      <c r="V482" s="38"/>
      <c r="W482" s="38"/>
      <c r="X482" s="38"/>
      <c r="Y482" s="34"/>
      <c r="Z482" s="34"/>
    </row>
    <row r="483" ht="15.75" hidden="1" customHeight="1">
      <c r="A483" s="38"/>
      <c r="B483" s="40"/>
      <c r="C483" s="36"/>
      <c r="D483" s="37"/>
      <c r="E483" s="37"/>
      <c r="F483" s="37"/>
      <c r="G483" s="38"/>
      <c r="H483" s="38"/>
      <c r="I483" s="38"/>
      <c r="J483" s="38"/>
      <c r="K483" s="38"/>
      <c r="L483" s="38"/>
      <c r="M483" s="38"/>
      <c r="N483" s="38"/>
      <c r="O483" s="38"/>
      <c r="P483" s="38"/>
      <c r="Q483" s="38"/>
      <c r="R483" s="38"/>
      <c r="S483" s="38"/>
      <c r="T483" s="38"/>
      <c r="U483" s="38"/>
      <c r="V483" s="38"/>
      <c r="W483" s="38"/>
      <c r="X483" s="38"/>
      <c r="Y483" s="34"/>
      <c r="Z483" s="34"/>
    </row>
    <row r="484" ht="15.75" hidden="1" customHeight="1">
      <c r="A484" s="38"/>
      <c r="B484" s="40"/>
      <c r="C484" s="36"/>
      <c r="D484" s="37"/>
      <c r="E484" s="37"/>
      <c r="F484" s="37"/>
      <c r="G484" s="38"/>
      <c r="H484" s="38"/>
      <c r="I484" s="38"/>
      <c r="J484" s="38"/>
      <c r="K484" s="38"/>
      <c r="L484" s="38"/>
      <c r="M484" s="38"/>
      <c r="N484" s="38"/>
      <c r="O484" s="38"/>
      <c r="P484" s="38"/>
      <c r="Q484" s="38"/>
      <c r="R484" s="38"/>
      <c r="S484" s="38"/>
      <c r="T484" s="38"/>
      <c r="U484" s="38"/>
      <c r="V484" s="38"/>
      <c r="W484" s="38"/>
      <c r="X484" s="38"/>
      <c r="Y484" s="34"/>
      <c r="Z484" s="34"/>
    </row>
    <row r="485" ht="15.75" hidden="1" customHeight="1">
      <c r="A485" s="38"/>
      <c r="B485" s="40"/>
      <c r="C485" s="36"/>
      <c r="D485" s="37"/>
      <c r="E485" s="37"/>
      <c r="F485" s="37"/>
      <c r="G485" s="38"/>
      <c r="H485" s="38"/>
      <c r="I485" s="38"/>
      <c r="J485" s="38"/>
      <c r="K485" s="38"/>
      <c r="L485" s="38"/>
      <c r="M485" s="38"/>
      <c r="N485" s="38"/>
      <c r="O485" s="38"/>
      <c r="P485" s="38"/>
      <c r="Q485" s="38"/>
      <c r="R485" s="38"/>
      <c r="S485" s="38"/>
      <c r="T485" s="38"/>
      <c r="U485" s="38"/>
      <c r="V485" s="38"/>
      <c r="W485" s="38"/>
      <c r="X485" s="38"/>
      <c r="Y485" s="34"/>
      <c r="Z485" s="34"/>
    </row>
    <row r="486" ht="15.75" hidden="1" customHeight="1">
      <c r="A486" s="38"/>
      <c r="B486" s="40"/>
      <c r="C486" s="36"/>
      <c r="D486" s="37"/>
      <c r="E486" s="37"/>
      <c r="F486" s="37"/>
      <c r="G486" s="38"/>
      <c r="H486" s="38"/>
      <c r="I486" s="38"/>
      <c r="J486" s="38"/>
      <c r="K486" s="38"/>
      <c r="L486" s="38"/>
      <c r="M486" s="38"/>
      <c r="N486" s="38"/>
      <c r="O486" s="38"/>
      <c r="P486" s="38"/>
      <c r="Q486" s="38"/>
      <c r="R486" s="38"/>
      <c r="S486" s="38"/>
      <c r="T486" s="38"/>
      <c r="U486" s="38"/>
      <c r="V486" s="38"/>
      <c r="W486" s="38"/>
      <c r="X486" s="38"/>
      <c r="Y486" s="34"/>
      <c r="Z486" s="34"/>
    </row>
    <row r="487" ht="15.75" hidden="1" customHeight="1">
      <c r="A487" s="38"/>
      <c r="B487" s="40"/>
      <c r="C487" s="36"/>
      <c r="D487" s="37"/>
      <c r="E487" s="37"/>
      <c r="F487" s="37"/>
      <c r="G487" s="38"/>
      <c r="H487" s="38"/>
      <c r="I487" s="38"/>
      <c r="J487" s="38"/>
      <c r="K487" s="38"/>
      <c r="L487" s="38"/>
      <c r="M487" s="38"/>
      <c r="N487" s="38"/>
      <c r="O487" s="38"/>
      <c r="P487" s="38"/>
      <c r="Q487" s="38"/>
      <c r="R487" s="38"/>
      <c r="S487" s="38"/>
      <c r="T487" s="38"/>
      <c r="U487" s="38"/>
      <c r="V487" s="38"/>
      <c r="W487" s="38"/>
      <c r="X487" s="38"/>
      <c r="Y487" s="34"/>
      <c r="Z487" s="34"/>
    </row>
    <row r="488" ht="15.75" hidden="1" customHeight="1">
      <c r="A488" s="38"/>
      <c r="B488" s="40"/>
      <c r="C488" s="36"/>
      <c r="D488" s="37"/>
      <c r="E488" s="37"/>
      <c r="F488" s="37"/>
      <c r="G488" s="38"/>
      <c r="H488" s="38"/>
      <c r="I488" s="38"/>
      <c r="J488" s="38"/>
      <c r="K488" s="38"/>
      <c r="L488" s="38"/>
      <c r="M488" s="38"/>
      <c r="N488" s="38"/>
      <c r="O488" s="38"/>
      <c r="P488" s="38"/>
      <c r="Q488" s="38"/>
      <c r="R488" s="38"/>
      <c r="S488" s="38"/>
      <c r="T488" s="38"/>
      <c r="U488" s="38"/>
      <c r="V488" s="38"/>
      <c r="W488" s="38"/>
      <c r="X488" s="38"/>
      <c r="Y488" s="34"/>
      <c r="Z488" s="34"/>
    </row>
    <row r="489" ht="15.75" hidden="1" customHeight="1">
      <c r="A489" s="38"/>
      <c r="B489" s="40"/>
      <c r="C489" s="36"/>
      <c r="D489" s="37"/>
      <c r="E489" s="37"/>
      <c r="F489" s="37"/>
      <c r="G489" s="38"/>
      <c r="H489" s="38"/>
      <c r="I489" s="38"/>
      <c r="J489" s="38"/>
      <c r="K489" s="38"/>
      <c r="L489" s="38"/>
      <c r="M489" s="38"/>
      <c r="N489" s="38"/>
      <c r="O489" s="38"/>
      <c r="P489" s="38"/>
      <c r="Q489" s="38"/>
      <c r="R489" s="38"/>
      <c r="S489" s="38"/>
      <c r="T489" s="38"/>
      <c r="U489" s="38"/>
      <c r="V489" s="38"/>
      <c r="W489" s="38"/>
      <c r="X489" s="38"/>
      <c r="Y489" s="34"/>
      <c r="Z489" s="34"/>
    </row>
    <row r="490" ht="15.75" hidden="1" customHeight="1">
      <c r="A490" s="38"/>
      <c r="B490" s="40"/>
      <c r="C490" s="36"/>
      <c r="D490" s="37"/>
      <c r="E490" s="37"/>
      <c r="F490" s="37"/>
      <c r="G490" s="38"/>
      <c r="H490" s="38"/>
      <c r="I490" s="38"/>
      <c r="J490" s="38"/>
      <c r="K490" s="38"/>
      <c r="L490" s="38"/>
      <c r="M490" s="38"/>
      <c r="N490" s="38"/>
      <c r="O490" s="38"/>
      <c r="P490" s="38"/>
      <c r="Q490" s="38"/>
      <c r="R490" s="38"/>
      <c r="S490" s="38"/>
      <c r="T490" s="38"/>
      <c r="U490" s="38"/>
      <c r="V490" s="38"/>
      <c r="W490" s="38"/>
      <c r="X490" s="38"/>
      <c r="Y490" s="34"/>
      <c r="Z490" s="34"/>
    </row>
    <row r="491" ht="15.75" hidden="1" customHeight="1">
      <c r="A491" s="38"/>
      <c r="B491" s="40"/>
      <c r="C491" s="36"/>
      <c r="D491" s="37"/>
      <c r="E491" s="37"/>
      <c r="F491" s="37"/>
      <c r="G491" s="38"/>
      <c r="H491" s="38"/>
      <c r="I491" s="38"/>
      <c r="J491" s="38"/>
      <c r="K491" s="38"/>
      <c r="L491" s="38"/>
      <c r="M491" s="38"/>
      <c r="N491" s="38"/>
      <c r="O491" s="38"/>
      <c r="P491" s="38"/>
      <c r="Q491" s="38"/>
      <c r="R491" s="38"/>
      <c r="S491" s="38"/>
      <c r="T491" s="38"/>
      <c r="U491" s="38"/>
      <c r="V491" s="38"/>
      <c r="W491" s="38"/>
      <c r="X491" s="38"/>
      <c r="Y491" s="34"/>
      <c r="Z491" s="34"/>
    </row>
    <row r="492" ht="15.75" hidden="1" customHeight="1">
      <c r="A492" s="38"/>
      <c r="B492" s="40"/>
      <c r="C492" s="36"/>
      <c r="D492" s="37"/>
      <c r="E492" s="37"/>
      <c r="F492" s="37"/>
      <c r="G492" s="38"/>
      <c r="H492" s="38"/>
      <c r="I492" s="38"/>
      <c r="J492" s="38"/>
      <c r="K492" s="38"/>
      <c r="L492" s="38"/>
      <c r="M492" s="38"/>
      <c r="N492" s="38"/>
      <c r="O492" s="38"/>
      <c r="P492" s="38"/>
      <c r="Q492" s="38"/>
      <c r="R492" s="38"/>
      <c r="S492" s="38"/>
      <c r="T492" s="38"/>
      <c r="U492" s="38"/>
      <c r="V492" s="38"/>
      <c r="W492" s="38"/>
      <c r="X492" s="38"/>
      <c r="Y492" s="34"/>
      <c r="Z492" s="34"/>
    </row>
    <row r="493" ht="15.75" hidden="1" customHeight="1">
      <c r="A493" s="38"/>
      <c r="B493" s="40"/>
      <c r="C493" s="36"/>
      <c r="D493" s="37"/>
      <c r="E493" s="37"/>
      <c r="F493" s="37"/>
      <c r="G493" s="38"/>
      <c r="H493" s="38"/>
      <c r="I493" s="38"/>
      <c r="J493" s="38"/>
      <c r="K493" s="38"/>
      <c r="L493" s="38"/>
      <c r="M493" s="38"/>
      <c r="N493" s="38"/>
      <c r="O493" s="38"/>
      <c r="P493" s="38"/>
      <c r="Q493" s="38"/>
      <c r="R493" s="38"/>
      <c r="S493" s="38"/>
      <c r="T493" s="38"/>
      <c r="U493" s="38"/>
      <c r="V493" s="38"/>
      <c r="W493" s="38"/>
      <c r="X493" s="38"/>
      <c r="Y493" s="34"/>
      <c r="Z493" s="34"/>
    </row>
    <row r="494" ht="15.75" hidden="1" customHeight="1">
      <c r="A494" s="38"/>
      <c r="B494" s="40"/>
      <c r="C494" s="36"/>
      <c r="D494" s="37"/>
      <c r="E494" s="37"/>
      <c r="F494" s="37"/>
      <c r="G494" s="38"/>
      <c r="H494" s="38"/>
      <c r="I494" s="38"/>
      <c r="J494" s="38"/>
      <c r="K494" s="38"/>
      <c r="L494" s="38"/>
      <c r="M494" s="38"/>
      <c r="N494" s="38"/>
      <c r="O494" s="38"/>
      <c r="P494" s="38"/>
      <c r="Q494" s="38"/>
      <c r="R494" s="38"/>
      <c r="S494" s="38"/>
      <c r="T494" s="38"/>
      <c r="U494" s="38"/>
      <c r="V494" s="38"/>
      <c r="W494" s="38"/>
      <c r="X494" s="38"/>
      <c r="Y494" s="34"/>
      <c r="Z494" s="34"/>
    </row>
    <row r="495" ht="15.75" hidden="1" customHeight="1">
      <c r="A495" s="38"/>
      <c r="B495" s="40"/>
      <c r="C495" s="36"/>
      <c r="D495" s="37"/>
      <c r="E495" s="37"/>
      <c r="F495" s="37"/>
      <c r="G495" s="38"/>
      <c r="H495" s="38"/>
      <c r="I495" s="38"/>
      <c r="J495" s="38"/>
      <c r="K495" s="38"/>
      <c r="L495" s="38"/>
      <c r="M495" s="38"/>
      <c r="N495" s="38"/>
      <c r="O495" s="38"/>
      <c r="P495" s="38"/>
      <c r="Q495" s="38"/>
      <c r="R495" s="38"/>
      <c r="S495" s="38"/>
      <c r="T495" s="38"/>
      <c r="U495" s="38"/>
      <c r="V495" s="38"/>
      <c r="W495" s="38"/>
      <c r="X495" s="38"/>
      <c r="Y495" s="34"/>
      <c r="Z495" s="34"/>
    </row>
    <row r="496" ht="15.75" hidden="1" customHeight="1">
      <c r="A496" s="38"/>
      <c r="B496" s="40"/>
      <c r="C496" s="36"/>
      <c r="D496" s="37"/>
      <c r="E496" s="37"/>
      <c r="F496" s="37"/>
      <c r="G496" s="38"/>
      <c r="H496" s="38"/>
      <c r="I496" s="38"/>
      <c r="J496" s="38"/>
      <c r="K496" s="38"/>
      <c r="L496" s="38"/>
      <c r="M496" s="38"/>
      <c r="N496" s="38"/>
      <c r="O496" s="38"/>
      <c r="P496" s="38"/>
      <c r="Q496" s="38"/>
      <c r="R496" s="38"/>
      <c r="S496" s="38"/>
      <c r="T496" s="38"/>
      <c r="U496" s="38"/>
      <c r="V496" s="38"/>
      <c r="W496" s="38"/>
      <c r="X496" s="38"/>
      <c r="Y496" s="34"/>
      <c r="Z496" s="34"/>
    </row>
    <row r="497" ht="15.75" hidden="1" customHeight="1">
      <c r="A497" s="38"/>
      <c r="B497" s="40"/>
      <c r="C497" s="36"/>
      <c r="D497" s="37"/>
      <c r="E497" s="37"/>
      <c r="F497" s="37"/>
      <c r="G497" s="38"/>
      <c r="H497" s="38"/>
      <c r="I497" s="38"/>
      <c r="J497" s="38"/>
      <c r="K497" s="38"/>
      <c r="L497" s="38"/>
      <c r="M497" s="38"/>
      <c r="N497" s="38"/>
      <c r="O497" s="38"/>
      <c r="P497" s="38"/>
      <c r="Q497" s="38"/>
      <c r="R497" s="38"/>
      <c r="S497" s="38"/>
      <c r="T497" s="38"/>
      <c r="U497" s="38"/>
      <c r="V497" s="38"/>
      <c r="W497" s="38"/>
      <c r="X497" s="38"/>
      <c r="Y497" s="34"/>
      <c r="Z497" s="34"/>
    </row>
    <row r="498" ht="15.75" hidden="1" customHeight="1">
      <c r="A498" s="38"/>
      <c r="B498" s="40"/>
      <c r="C498" s="36"/>
      <c r="D498" s="37"/>
      <c r="E498" s="37"/>
      <c r="F498" s="37"/>
      <c r="G498" s="38"/>
      <c r="H498" s="38"/>
      <c r="I498" s="38"/>
      <c r="J498" s="38"/>
      <c r="K498" s="38"/>
      <c r="L498" s="38"/>
      <c r="M498" s="38"/>
      <c r="N498" s="38"/>
      <c r="O498" s="38"/>
      <c r="P498" s="38"/>
      <c r="Q498" s="38"/>
      <c r="R498" s="38"/>
      <c r="S498" s="38"/>
      <c r="T498" s="38"/>
      <c r="U498" s="38"/>
      <c r="V498" s="38"/>
      <c r="W498" s="38"/>
      <c r="X498" s="38"/>
      <c r="Y498" s="34"/>
      <c r="Z498" s="34"/>
    </row>
    <row r="499" ht="15.75" hidden="1" customHeight="1">
      <c r="A499" s="38"/>
      <c r="B499" s="40"/>
      <c r="C499" s="36"/>
      <c r="D499" s="37"/>
      <c r="E499" s="37"/>
      <c r="F499" s="37"/>
      <c r="G499" s="38"/>
      <c r="H499" s="38"/>
      <c r="I499" s="38"/>
      <c r="J499" s="38"/>
      <c r="K499" s="38"/>
      <c r="L499" s="38"/>
      <c r="M499" s="38"/>
      <c r="N499" s="38"/>
      <c r="O499" s="38"/>
      <c r="P499" s="38"/>
      <c r="Q499" s="38"/>
      <c r="R499" s="38"/>
      <c r="S499" s="38"/>
      <c r="T499" s="38"/>
      <c r="U499" s="38"/>
      <c r="V499" s="38"/>
      <c r="W499" s="38"/>
      <c r="X499" s="38"/>
      <c r="Y499" s="34"/>
      <c r="Z499" s="34"/>
    </row>
    <row r="500" ht="15.75" hidden="1" customHeight="1">
      <c r="A500" s="38"/>
      <c r="B500" s="40"/>
      <c r="C500" s="36"/>
      <c r="D500" s="37"/>
      <c r="E500" s="37"/>
      <c r="F500" s="37"/>
      <c r="G500" s="38"/>
      <c r="H500" s="38"/>
      <c r="I500" s="38"/>
      <c r="J500" s="38"/>
      <c r="K500" s="38"/>
      <c r="L500" s="38"/>
      <c r="M500" s="38"/>
      <c r="N500" s="38"/>
      <c r="O500" s="38"/>
      <c r="P500" s="38"/>
      <c r="Q500" s="38"/>
      <c r="R500" s="38"/>
      <c r="S500" s="38"/>
      <c r="T500" s="38"/>
      <c r="U500" s="38"/>
      <c r="V500" s="38"/>
      <c r="W500" s="38"/>
      <c r="X500" s="38"/>
      <c r="Y500" s="34"/>
      <c r="Z500" s="34"/>
    </row>
    <row r="501" ht="15.75" hidden="1" customHeight="1">
      <c r="A501" s="38"/>
      <c r="B501" s="40"/>
      <c r="C501" s="36"/>
      <c r="D501" s="37"/>
      <c r="E501" s="37"/>
      <c r="F501" s="37"/>
      <c r="G501" s="38"/>
      <c r="H501" s="38"/>
      <c r="I501" s="38"/>
      <c r="J501" s="38"/>
      <c r="K501" s="38"/>
      <c r="L501" s="38"/>
      <c r="M501" s="38"/>
      <c r="N501" s="38"/>
      <c r="O501" s="38"/>
      <c r="P501" s="38"/>
      <c r="Q501" s="38"/>
      <c r="R501" s="38"/>
      <c r="S501" s="38"/>
      <c r="T501" s="38"/>
      <c r="U501" s="38"/>
      <c r="V501" s="38"/>
      <c r="W501" s="38"/>
      <c r="X501" s="38"/>
      <c r="Y501" s="34"/>
      <c r="Z501" s="34"/>
    </row>
    <row r="502" ht="15.75" hidden="1" customHeight="1">
      <c r="A502" s="38"/>
      <c r="B502" s="40"/>
      <c r="C502" s="36"/>
      <c r="D502" s="37"/>
      <c r="E502" s="37"/>
      <c r="F502" s="37"/>
      <c r="G502" s="38"/>
      <c r="H502" s="38"/>
      <c r="I502" s="38"/>
      <c r="J502" s="38"/>
      <c r="K502" s="38"/>
      <c r="L502" s="38"/>
      <c r="M502" s="38"/>
      <c r="N502" s="38"/>
      <c r="O502" s="38"/>
      <c r="P502" s="38"/>
      <c r="Q502" s="38"/>
      <c r="R502" s="38"/>
      <c r="S502" s="38"/>
      <c r="T502" s="38"/>
      <c r="U502" s="38"/>
      <c r="V502" s="38"/>
      <c r="W502" s="38"/>
      <c r="X502" s="38"/>
      <c r="Y502" s="34"/>
      <c r="Z502" s="34"/>
    </row>
    <row r="503" ht="15.75" hidden="1" customHeight="1">
      <c r="A503" s="38"/>
      <c r="B503" s="40"/>
      <c r="C503" s="36"/>
      <c r="D503" s="37"/>
      <c r="E503" s="37"/>
      <c r="F503" s="37"/>
      <c r="G503" s="38"/>
      <c r="H503" s="38"/>
      <c r="I503" s="38"/>
      <c r="J503" s="38"/>
      <c r="K503" s="38"/>
      <c r="L503" s="38"/>
      <c r="M503" s="38"/>
      <c r="N503" s="38"/>
      <c r="O503" s="38"/>
      <c r="P503" s="38"/>
      <c r="Q503" s="38"/>
      <c r="R503" s="38"/>
      <c r="S503" s="38"/>
      <c r="T503" s="38"/>
      <c r="U503" s="38"/>
      <c r="V503" s="38"/>
      <c r="W503" s="38"/>
      <c r="X503" s="38"/>
      <c r="Y503" s="34"/>
      <c r="Z503" s="34"/>
    </row>
    <row r="504" ht="15.75" hidden="1" customHeight="1">
      <c r="A504" s="38"/>
      <c r="B504" s="40"/>
      <c r="C504" s="36"/>
      <c r="D504" s="37"/>
      <c r="E504" s="37"/>
      <c r="F504" s="37"/>
      <c r="G504" s="38"/>
      <c r="H504" s="38"/>
      <c r="I504" s="38"/>
      <c r="J504" s="38"/>
      <c r="K504" s="38"/>
      <c r="L504" s="38"/>
      <c r="M504" s="38"/>
      <c r="N504" s="38"/>
      <c r="O504" s="38"/>
      <c r="P504" s="38"/>
      <c r="Q504" s="38"/>
      <c r="R504" s="38"/>
      <c r="S504" s="38"/>
      <c r="T504" s="38"/>
      <c r="U504" s="38"/>
      <c r="V504" s="38"/>
      <c r="W504" s="38"/>
      <c r="X504" s="38"/>
      <c r="Y504" s="34"/>
      <c r="Z504" s="34"/>
    </row>
    <row r="505" ht="15.75" hidden="1" customHeight="1">
      <c r="A505" s="38"/>
      <c r="B505" s="40"/>
      <c r="C505" s="36"/>
      <c r="D505" s="37"/>
      <c r="E505" s="37"/>
      <c r="F505" s="37"/>
      <c r="G505" s="38"/>
      <c r="H505" s="38"/>
      <c r="I505" s="38"/>
      <c r="J505" s="38"/>
      <c r="K505" s="38"/>
      <c r="L505" s="38"/>
      <c r="M505" s="38"/>
      <c r="N505" s="38"/>
      <c r="O505" s="38"/>
      <c r="P505" s="38"/>
      <c r="Q505" s="38"/>
      <c r="R505" s="38"/>
      <c r="S505" s="38"/>
      <c r="T505" s="38"/>
      <c r="U505" s="38"/>
      <c r="V505" s="38"/>
      <c r="W505" s="38"/>
      <c r="X505" s="38"/>
      <c r="Y505" s="34"/>
      <c r="Z505" s="34"/>
    </row>
    <row r="506" ht="15.75" hidden="1" customHeight="1">
      <c r="A506" s="38"/>
      <c r="B506" s="40"/>
      <c r="C506" s="36"/>
      <c r="D506" s="37"/>
      <c r="E506" s="37"/>
      <c r="F506" s="37"/>
      <c r="G506" s="38"/>
      <c r="H506" s="38"/>
      <c r="I506" s="38"/>
      <c r="J506" s="38"/>
      <c r="K506" s="38"/>
      <c r="L506" s="38"/>
      <c r="M506" s="38"/>
      <c r="N506" s="38"/>
      <c r="O506" s="38"/>
      <c r="P506" s="38"/>
      <c r="Q506" s="38"/>
      <c r="R506" s="38"/>
      <c r="S506" s="38"/>
      <c r="T506" s="38"/>
      <c r="U506" s="38"/>
      <c r="V506" s="38"/>
      <c r="W506" s="38"/>
      <c r="X506" s="38"/>
      <c r="Y506" s="34"/>
      <c r="Z506" s="34"/>
    </row>
    <row r="507" ht="15.75" hidden="1" customHeight="1">
      <c r="A507" s="38"/>
      <c r="B507" s="40"/>
      <c r="C507" s="36"/>
      <c r="D507" s="37"/>
      <c r="E507" s="37"/>
      <c r="F507" s="37"/>
      <c r="G507" s="38"/>
      <c r="H507" s="38"/>
      <c r="I507" s="38"/>
      <c r="J507" s="38"/>
      <c r="K507" s="38"/>
      <c r="L507" s="38"/>
      <c r="M507" s="38"/>
      <c r="N507" s="38"/>
      <c r="O507" s="38"/>
      <c r="P507" s="38"/>
      <c r="Q507" s="38"/>
      <c r="R507" s="38"/>
      <c r="S507" s="38"/>
      <c r="T507" s="38"/>
      <c r="U507" s="38"/>
      <c r="V507" s="38"/>
      <c r="W507" s="38"/>
      <c r="X507" s="38"/>
      <c r="Y507" s="34"/>
      <c r="Z507" s="34"/>
    </row>
    <row r="508" ht="15.75" hidden="1" customHeight="1">
      <c r="A508" s="38"/>
      <c r="B508" s="40"/>
      <c r="C508" s="36"/>
      <c r="D508" s="37"/>
      <c r="E508" s="37"/>
      <c r="F508" s="37"/>
      <c r="G508" s="38"/>
      <c r="H508" s="38"/>
      <c r="I508" s="38"/>
      <c r="J508" s="38"/>
      <c r="K508" s="38"/>
      <c r="L508" s="38"/>
      <c r="M508" s="38"/>
      <c r="N508" s="38"/>
      <c r="O508" s="38"/>
      <c r="P508" s="38"/>
      <c r="Q508" s="38"/>
      <c r="R508" s="38"/>
      <c r="S508" s="38"/>
      <c r="T508" s="38"/>
      <c r="U508" s="38"/>
      <c r="V508" s="38"/>
      <c r="W508" s="38"/>
      <c r="X508" s="38"/>
      <c r="Y508" s="34"/>
      <c r="Z508" s="34"/>
    </row>
    <row r="509" ht="15.75" hidden="1" customHeight="1">
      <c r="A509" s="38"/>
      <c r="B509" s="40"/>
      <c r="C509" s="36"/>
      <c r="D509" s="37"/>
      <c r="E509" s="37"/>
      <c r="F509" s="37"/>
      <c r="G509" s="38"/>
      <c r="H509" s="38"/>
      <c r="I509" s="38"/>
      <c r="J509" s="38"/>
      <c r="K509" s="38"/>
      <c r="L509" s="38"/>
      <c r="M509" s="38"/>
      <c r="N509" s="38"/>
      <c r="O509" s="38"/>
      <c r="P509" s="38"/>
      <c r="Q509" s="38"/>
      <c r="R509" s="38"/>
      <c r="S509" s="38"/>
      <c r="T509" s="38"/>
      <c r="U509" s="38"/>
      <c r="V509" s="38"/>
      <c r="W509" s="38"/>
      <c r="X509" s="38"/>
      <c r="Y509" s="34"/>
      <c r="Z509" s="34"/>
    </row>
    <row r="510" ht="15.75" hidden="1" customHeight="1">
      <c r="A510" s="38"/>
      <c r="B510" s="40"/>
      <c r="C510" s="36"/>
      <c r="D510" s="37"/>
      <c r="E510" s="37"/>
      <c r="F510" s="37"/>
      <c r="G510" s="38"/>
      <c r="H510" s="38"/>
      <c r="I510" s="38"/>
      <c r="J510" s="38"/>
      <c r="K510" s="38"/>
      <c r="L510" s="38"/>
      <c r="M510" s="38"/>
      <c r="N510" s="38"/>
      <c r="O510" s="38"/>
      <c r="P510" s="38"/>
      <c r="Q510" s="38"/>
      <c r="R510" s="38"/>
      <c r="S510" s="38"/>
      <c r="T510" s="38"/>
      <c r="U510" s="38"/>
      <c r="V510" s="38"/>
      <c r="W510" s="38"/>
      <c r="X510" s="38"/>
      <c r="Y510" s="34"/>
      <c r="Z510" s="34"/>
    </row>
    <row r="511" ht="15.75" hidden="1" customHeight="1">
      <c r="A511" s="38"/>
      <c r="B511" s="40"/>
      <c r="C511" s="36"/>
      <c r="D511" s="37"/>
      <c r="E511" s="37"/>
      <c r="F511" s="37"/>
      <c r="G511" s="38"/>
      <c r="H511" s="38"/>
      <c r="I511" s="38"/>
      <c r="J511" s="38"/>
      <c r="K511" s="38"/>
      <c r="L511" s="38"/>
      <c r="M511" s="38"/>
      <c r="N511" s="38"/>
      <c r="O511" s="38"/>
      <c r="P511" s="38"/>
      <c r="Q511" s="38"/>
      <c r="R511" s="38"/>
      <c r="S511" s="38"/>
      <c r="T511" s="38"/>
      <c r="U511" s="38"/>
      <c r="V511" s="38"/>
      <c r="W511" s="38"/>
      <c r="X511" s="38"/>
      <c r="Y511" s="34"/>
      <c r="Z511" s="34"/>
    </row>
    <row r="512" ht="15.75" hidden="1" customHeight="1">
      <c r="A512" s="38"/>
      <c r="B512" s="40"/>
      <c r="C512" s="36"/>
      <c r="D512" s="37"/>
      <c r="E512" s="37"/>
      <c r="F512" s="37"/>
      <c r="G512" s="38"/>
      <c r="H512" s="38"/>
      <c r="I512" s="38"/>
      <c r="J512" s="38"/>
      <c r="K512" s="38"/>
      <c r="L512" s="38"/>
      <c r="M512" s="38"/>
      <c r="N512" s="38"/>
      <c r="O512" s="38"/>
      <c r="P512" s="38"/>
      <c r="Q512" s="38"/>
      <c r="R512" s="38"/>
      <c r="S512" s="38"/>
      <c r="T512" s="38"/>
      <c r="U512" s="38"/>
      <c r="V512" s="38"/>
      <c r="W512" s="38"/>
      <c r="X512" s="38"/>
      <c r="Y512" s="34"/>
      <c r="Z512" s="34"/>
    </row>
    <row r="513" ht="15.75" hidden="1" customHeight="1">
      <c r="A513" s="38"/>
      <c r="B513" s="40"/>
      <c r="C513" s="36"/>
      <c r="D513" s="37"/>
      <c r="E513" s="37"/>
      <c r="F513" s="37"/>
      <c r="G513" s="38"/>
      <c r="H513" s="38"/>
      <c r="I513" s="38"/>
      <c r="J513" s="38"/>
      <c r="K513" s="38"/>
      <c r="L513" s="38"/>
      <c r="M513" s="38"/>
      <c r="N513" s="38"/>
      <c r="O513" s="38"/>
      <c r="P513" s="38"/>
      <c r="Q513" s="38"/>
      <c r="R513" s="38"/>
      <c r="S513" s="38"/>
      <c r="T513" s="38"/>
      <c r="U513" s="38"/>
      <c r="V513" s="38"/>
      <c r="W513" s="38"/>
      <c r="X513" s="38"/>
      <c r="Y513" s="34"/>
      <c r="Z513" s="34"/>
    </row>
    <row r="514" ht="15.75" hidden="1" customHeight="1">
      <c r="A514" s="38"/>
      <c r="B514" s="40"/>
      <c r="C514" s="36"/>
      <c r="D514" s="37"/>
      <c r="E514" s="37"/>
      <c r="F514" s="37"/>
      <c r="G514" s="38"/>
      <c r="H514" s="38"/>
      <c r="I514" s="38"/>
      <c r="J514" s="38"/>
      <c r="K514" s="38"/>
      <c r="L514" s="38"/>
      <c r="M514" s="38"/>
      <c r="N514" s="38"/>
      <c r="O514" s="38"/>
      <c r="P514" s="38"/>
      <c r="Q514" s="38"/>
      <c r="R514" s="38"/>
      <c r="S514" s="38"/>
      <c r="T514" s="38"/>
      <c r="U514" s="38"/>
      <c r="V514" s="38"/>
      <c r="W514" s="38"/>
      <c r="X514" s="38"/>
      <c r="Y514" s="34"/>
      <c r="Z514" s="34"/>
    </row>
    <row r="515" ht="15.75" hidden="1" customHeight="1">
      <c r="A515" s="38"/>
      <c r="B515" s="40"/>
      <c r="C515" s="36"/>
      <c r="D515" s="37"/>
      <c r="E515" s="37"/>
      <c r="F515" s="37"/>
      <c r="G515" s="38"/>
      <c r="H515" s="38"/>
      <c r="I515" s="38"/>
      <c r="J515" s="38"/>
      <c r="K515" s="38"/>
      <c r="L515" s="38"/>
      <c r="M515" s="38"/>
      <c r="N515" s="38"/>
      <c r="O515" s="38"/>
      <c r="P515" s="38"/>
      <c r="Q515" s="38"/>
      <c r="R515" s="38"/>
      <c r="S515" s="38"/>
      <c r="T515" s="38"/>
      <c r="U515" s="38"/>
      <c r="V515" s="38"/>
      <c r="W515" s="38"/>
      <c r="X515" s="38"/>
      <c r="Y515" s="34"/>
      <c r="Z515" s="34"/>
    </row>
    <row r="516" ht="15.75" hidden="1" customHeight="1">
      <c r="A516" s="38"/>
      <c r="B516" s="40"/>
      <c r="C516" s="36"/>
      <c r="D516" s="37"/>
      <c r="E516" s="37"/>
      <c r="F516" s="37"/>
      <c r="G516" s="38"/>
      <c r="H516" s="38"/>
      <c r="I516" s="38"/>
      <c r="J516" s="38"/>
      <c r="K516" s="38"/>
      <c r="L516" s="38"/>
      <c r="M516" s="38"/>
      <c r="N516" s="38"/>
      <c r="O516" s="38"/>
      <c r="P516" s="38"/>
      <c r="Q516" s="38"/>
      <c r="R516" s="38"/>
      <c r="S516" s="38"/>
      <c r="T516" s="38"/>
      <c r="U516" s="38"/>
      <c r="V516" s="38"/>
      <c r="W516" s="38"/>
      <c r="X516" s="38"/>
      <c r="Y516" s="34"/>
      <c r="Z516" s="34"/>
    </row>
    <row r="517" ht="15.75" hidden="1" customHeight="1">
      <c r="A517" s="38"/>
      <c r="B517" s="40"/>
      <c r="C517" s="36"/>
      <c r="D517" s="37"/>
      <c r="E517" s="37"/>
      <c r="F517" s="37"/>
      <c r="G517" s="38"/>
      <c r="H517" s="38"/>
      <c r="I517" s="38"/>
      <c r="J517" s="38"/>
      <c r="K517" s="38"/>
      <c r="L517" s="38"/>
      <c r="M517" s="38"/>
      <c r="N517" s="38"/>
      <c r="O517" s="38"/>
      <c r="P517" s="38"/>
      <c r="Q517" s="38"/>
      <c r="R517" s="38"/>
      <c r="S517" s="38"/>
      <c r="T517" s="38"/>
      <c r="U517" s="38"/>
      <c r="V517" s="38"/>
      <c r="W517" s="38"/>
      <c r="X517" s="38"/>
      <c r="Y517" s="34"/>
      <c r="Z517" s="34"/>
    </row>
    <row r="518" ht="15.75" hidden="1" customHeight="1">
      <c r="A518" s="38"/>
      <c r="B518" s="40"/>
      <c r="C518" s="36"/>
      <c r="D518" s="37"/>
      <c r="E518" s="37"/>
      <c r="F518" s="37"/>
      <c r="G518" s="38"/>
      <c r="H518" s="38"/>
      <c r="I518" s="38"/>
      <c r="J518" s="38"/>
      <c r="K518" s="38"/>
      <c r="L518" s="38"/>
      <c r="M518" s="38"/>
      <c r="N518" s="38"/>
      <c r="O518" s="38"/>
      <c r="P518" s="38"/>
      <c r="Q518" s="38"/>
      <c r="R518" s="38"/>
      <c r="S518" s="38"/>
      <c r="T518" s="38"/>
      <c r="U518" s="38"/>
      <c r="V518" s="38"/>
      <c r="W518" s="38"/>
      <c r="X518" s="38"/>
      <c r="Y518" s="34"/>
      <c r="Z518" s="34"/>
    </row>
    <row r="519" ht="15.75" hidden="1" customHeight="1">
      <c r="A519" s="38"/>
      <c r="B519" s="40"/>
      <c r="C519" s="36"/>
      <c r="D519" s="37"/>
      <c r="E519" s="37"/>
      <c r="F519" s="37"/>
      <c r="G519" s="38"/>
      <c r="H519" s="38"/>
      <c r="I519" s="38"/>
      <c r="J519" s="38"/>
      <c r="K519" s="38"/>
      <c r="L519" s="38"/>
      <c r="M519" s="38"/>
      <c r="N519" s="38"/>
      <c r="O519" s="38"/>
      <c r="P519" s="38"/>
      <c r="Q519" s="38"/>
      <c r="R519" s="38"/>
      <c r="S519" s="38"/>
      <c r="T519" s="38"/>
      <c r="U519" s="38"/>
      <c r="V519" s="38"/>
      <c r="W519" s="38"/>
      <c r="X519" s="38"/>
      <c r="Y519" s="34"/>
      <c r="Z519" s="34"/>
    </row>
    <row r="520" ht="15.75" hidden="1" customHeight="1">
      <c r="A520" s="38"/>
      <c r="B520" s="40"/>
      <c r="C520" s="36"/>
      <c r="D520" s="37"/>
      <c r="E520" s="37"/>
      <c r="F520" s="37"/>
      <c r="G520" s="38"/>
      <c r="H520" s="38"/>
      <c r="I520" s="38"/>
      <c r="J520" s="38"/>
      <c r="K520" s="38"/>
      <c r="L520" s="38"/>
      <c r="M520" s="38"/>
      <c r="N520" s="38"/>
      <c r="O520" s="38"/>
      <c r="P520" s="38"/>
      <c r="Q520" s="38"/>
      <c r="R520" s="38"/>
      <c r="S520" s="38"/>
      <c r="T520" s="38"/>
      <c r="U520" s="38"/>
      <c r="V520" s="38"/>
      <c r="W520" s="38"/>
      <c r="X520" s="38"/>
      <c r="Y520" s="34"/>
      <c r="Z520" s="34"/>
    </row>
    <row r="521" ht="15.75" hidden="1" customHeight="1">
      <c r="A521" s="38"/>
      <c r="B521" s="40"/>
      <c r="C521" s="36"/>
      <c r="D521" s="37"/>
      <c r="E521" s="37"/>
      <c r="F521" s="37"/>
      <c r="G521" s="38"/>
      <c r="H521" s="38"/>
      <c r="I521" s="38"/>
      <c r="J521" s="38"/>
      <c r="K521" s="38"/>
      <c r="L521" s="38"/>
      <c r="M521" s="38"/>
      <c r="N521" s="38"/>
      <c r="O521" s="38"/>
      <c r="P521" s="38"/>
      <c r="Q521" s="38"/>
      <c r="R521" s="38"/>
      <c r="S521" s="38"/>
      <c r="T521" s="38"/>
      <c r="U521" s="38"/>
      <c r="V521" s="38"/>
      <c r="W521" s="38"/>
      <c r="X521" s="38"/>
      <c r="Y521" s="34"/>
      <c r="Z521" s="34"/>
    </row>
    <row r="522" ht="15.75" hidden="1" customHeight="1">
      <c r="A522" s="38"/>
      <c r="B522" s="40"/>
      <c r="C522" s="36"/>
      <c r="D522" s="37"/>
      <c r="E522" s="37"/>
      <c r="F522" s="37"/>
      <c r="G522" s="38"/>
      <c r="H522" s="38"/>
      <c r="I522" s="38"/>
      <c r="J522" s="38"/>
      <c r="K522" s="38"/>
      <c r="L522" s="38"/>
      <c r="M522" s="38"/>
      <c r="N522" s="38"/>
      <c r="O522" s="38"/>
      <c r="P522" s="38"/>
      <c r="Q522" s="38"/>
      <c r="R522" s="38"/>
      <c r="S522" s="38"/>
      <c r="T522" s="38"/>
      <c r="U522" s="38"/>
      <c r="V522" s="38"/>
      <c r="W522" s="38"/>
      <c r="X522" s="38"/>
      <c r="Y522" s="34"/>
      <c r="Z522" s="34"/>
    </row>
    <row r="523" ht="15.75" hidden="1" customHeight="1">
      <c r="A523" s="38"/>
      <c r="B523" s="40"/>
      <c r="C523" s="36"/>
      <c r="D523" s="37"/>
      <c r="E523" s="37"/>
      <c r="F523" s="37"/>
      <c r="G523" s="38"/>
      <c r="H523" s="38"/>
      <c r="I523" s="38"/>
      <c r="J523" s="38"/>
      <c r="K523" s="38"/>
      <c r="L523" s="38"/>
      <c r="M523" s="38"/>
      <c r="N523" s="38"/>
      <c r="O523" s="38"/>
      <c r="P523" s="38"/>
      <c r="Q523" s="38"/>
      <c r="R523" s="38"/>
      <c r="S523" s="38"/>
      <c r="T523" s="38"/>
      <c r="U523" s="38"/>
      <c r="V523" s="38"/>
      <c r="W523" s="38"/>
      <c r="X523" s="38"/>
      <c r="Y523" s="34"/>
      <c r="Z523" s="34"/>
    </row>
    <row r="524" ht="15.75" hidden="1" customHeight="1">
      <c r="A524" s="38"/>
      <c r="B524" s="40"/>
      <c r="C524" s="36"/>
      <c r="D524" s="37"/>
      <c r="E524" s="37"/>
      <c r="F524" s="37"/>
      <c r="G524" s="38"/>
      <c r="H524" s="38"/>
      <c r="I524" s="38"/>
      <c r="J524" s="38"/>
      <c r="K524" s="38"/>
      <c r="L524" s="38"/>
      <c r="M524" s="38"/>
      <c r="N524" s="38"/>
      <c r="O524" s="38"/>
      <c r="P524" s="38"/>
      <c r="Q524" s="38"/>
      <c r="R524" s="38"/>
      <c r="S524" s="38"/>
      <c r="T524" s="38"/>
      <c r="U524" s="38"/>
      <c r="V524" s="38"/>
      <c r="W524" s="38"/>
      <c r="X524" s="38"/>
      <c r="Y524" s="34"/>
      <c r="Z524" s="34"/>
    </row>
    <row r="525" ht="15.75" hidden="1" customHeight="1">
      <c r="A525" s="38"/>
      <c r="B525" s="40"/>
      <c r="C525" s="36"/>
      <c r="D525" s="37"/>
      <c r="E525" s="37"/>
      <c r="F525" s="37"/>
      <c r="G525" s="38"/>
      <c r="H525" s="38"/>
      <c r="I525" s="38"/>
      <c r="J525" s="38"/>
      <c r="K525" s="38"/>
      <c r="L525" s="38"/>
      <c r="M525" s="38"/>
      <c r="N525" s="38"/>
      <c r="O525" s="38"/>
      <c r="P525" s="38"/>
      <c r="Q525" s="38"/>
      <c r="R525" s="38"/>
      <c r="S525" s="38"/>
      <c r="T525" s="38"/>
      <c r="U525" s="38"/>
      <c r="V525" s="38"/>
      <c r="W525" s="38"/>
      <c r="X525" s="38"/>
      <c r="Y525" s="34"/>
      <c r="Z525" s="34"/>
    </row>
    <row r="526" ht="15.75" hidden="1" customHeight="1">
      <c r="A526" s="38"/>
      <c r="B526" s="40"/>
      <c r="C526" s="36"/>
      <c r="D526" s="37"/>
      <c r="E526" s="37"/>
      <c r="F526" s="37"/>
      <c r="G526" s="38"/>
      <c r="H526" s="38"/>
      <c r="I526" s="38"/>
      <c r="J526" s="38"/>
      <c r="K526" s="38"/>
      <c r="L526" s="38"/>
      <c r="M526" s="38"/>
      <c r="N526" s="38"/>
      <c r="O526" s="38"/>
      <c r="P526" s="38"/>
      <c r="Q526" s="38"/>
      <c r="R526" s="38"/>
      <c r="S526" s="38"/>
      <c r="T526" s="38"/>
      <c r="U526" s="38"/>
      <c r="V526" s="38"/>
      <c r="W526" s="38"/>
      <c r="X526" s="38"/>
      <c r="Y526" s="34"/>
      <c r="Z526" s="34"/>
    </row>
    <row r="527" ht="15.75" hidden="1" customHeight="1">
      <c r="A527" s="38"/>
      <c r="B527" s="40"/>
      <c r="C527" s="36"/>
      <c r="D527" s="37"/>
      <c r="E527" s="37"/>
      <c r="F527" s="37"/>
      <c r="G527" s="38"/>
      <c r="H527" s="38"/>
      <c r="I527" s="38"/>
      <c r="J527" s="38"/>
      <c r="K527" s="38"/>
      <c r="L527" s="38"/>
      <c r="M527" s="38"/>
      <c r="N527" s="38"/>
      <c r="O527" s="38"/>
      <c r="P527" s="38"/>
      <c r="Q527" s="38"/>
      <c r="R527" s="38"/>
      <c r="S527" s="38"/>
      <c r="T527" s="38"/>
      <c r="U527" s="38"/>
      <c r="V527" s="38"/>
      <c r="W527" s="38"/>
      <c r="X527" s="38"/>
      <c r="Y527" s="34"/>
      <c r="Z527" s="34"/>
    </row>
    <row r="528" ht="15.75" hidden="1" customHeight="1">
      <c r="A528" s="38"/>
      <c r="B528" s="40"/>
      <c r="C528" s="36"/>
      <c r="D528" s="37"/>
      <c r="E528" s="37"/>
      <c r="F528" s="37"/>
      <c r="G528" s="38"/>
      <c r="H528" s="38"/>
      <c r="I528" s="38"/>
      <c r="J528" s="38"/>
      <c r="K528" s="38"/>
      <c r="L528" s="38"/>
      <c r="M528" s="38"/>
      <c r="N528" s="38"/>
      <c r="O528" s="38"/>
      <c r="P528" s="38"/>
      <c r="Q528" s="38"/>
      <c r="R528" s="38"/>
      <c r="S528" s="38"/>
      <c r="T528" s="38"/>
      <c r="U528" s="38"/>
      <c r="V528" s="38"/>
      <c r="W528" s="38"/>
      <c r="X528" s="38"/>
      <c r="Y528" s="34"/>
      <c r="Z528" s="34"/>
    </row>
    <row r="529" ht="15.75" hidden="1" customHeight="1">
      <c r="A529" s="38"/>
      <c r="B529" s="40"/>
      <c r="C529" s="36"/>
      <c r="D529" s="37"/>
      <c r="E529" s="37"/>
      <c r="F529" s="37"/>
      <c r="G529" s="38"/>
      <c r="H529" s="38"/>
      <c r="I529" s="38"/>
      <c r="J529" s="38"/>
      <c r="K529" s="38"/>
      <c r="L529" s="38"/>
      <c r="M529" s="38"/>
      <c r="N529" s="38"/>
      <c r="O529" s="38"/>
      <c r="P529" s="38"/>
      <c r="Q529" s="38"/>
      <c r="R529" s="38"/>
      <c r="S529" s="38"/>
      <c r="T529" s="38"/>
      <c r="U529" s="38"/>
      <c r="V529" s="38"/>
      <c r="W529" s="38"/>
      <c r="X529" s="38"/>
      <c r="Y529" s="34"/>
      <c r="Z529" s="34"/>
    </row>
    <row r="530" ht="15.75" hidden="1" customHeight="1">
      <c r="A530" s="38"/>
      <c r="B530" s="40"/>
      <c r="C530" s="36"/>
      <c r="D530" s="37"/>
      <c r="E530" s="37"/>
      <c r="F530" s="37"/>
      <c r="G530" s="38"/>
      <c r="H530" s="38"/>
      <c r="I530" s="38"/>
      <c r="J530" s="38"/>
      <c r="K530" s="38"/>
      <c r="L530" s="38"/>
      <c r="M530" s="38"/>
      <c r="N530" s="38"/>
      <c r="O530" s="38"/>
      <c r="P530" s="38"/>
      <c r="Q530" s="38"/>
      <c r="R530" s="38"/>
      <c r="S530" s="38"/>
      <c r="T530" s="38"/>
      <c r="U530" s="38"/>
      <c r="V530" s="38"/>
      <c r="W530" s="38"/>
      <c r="X530" s="38"/>
      <c r="Y530" s="34"/>
      <c r="Z530" s="34"/>
    </row>
    <row r="531" ht="15.75" hidden="1" customHeight="1">
      <c r="A531" s="38"/>
      <c r="B531" s="40"/>
      <c r="C531" s="36"/>
      <c r="D531" s="37"/>
      <c r="E531" s="37"/>
      <c r="F531" s="37"/>
      <c r="G531" s="38"/>
      <c r="H531" s="38"/>
      <c r="I531" s="38"/>
      <c r="J531" s="38"/>
      <c r="K531" s="38"/>
      <c r="L531" s="38"/>
      <c r="M531" s="38"/>
      <c r="N531" s="38"/>
      <c r="O531" s="38"/>
      <c r="P531" s="38"/>
      <c r="Q531" s="38"/>
      <c r="R531" s="38"/>
      <c r="S531" s="38"/>
      <c r="T531" s="38"/>
      <c r="U531" s="38"/>
      <c r="V531" s="38"/>
      <c r="W531" s="38"/>
      <c r="X531" s="38"/>
      <c r="Y531" s="34"/>
      <c r="Z531" s="34"/>
    </row>
    <row r="532" ht="15.75" hidden="1" customHeight="1">
      <c r="A532" s="38"/>
      <c r="B532" s="40"/>
      <c r="C532" s="36"/>
      <c r="D532" s="37"/>
      <c r="E532" s="37"/>
      <c r="F532" s="37"/>
      <c r="G532" s="38"/>
      <c r="H532" s="38"/>
      <c r="I532" s="38"/>
      <c r="J532" s="38"/>
      <c r="K532" s="38"/>
      <c r="L532" s="38"/>
      <c r="M532" s="38"/>
      <c r="N532" s="38"/>
      <c r="O532" s="38"/>
      <c r="P532" s="38"/>
      <c r="Q532" s="38"/>
      <c r="R532" s="38"/>
      <c r="S532" s="38"/>
      <c r="T532" s="38"/>
      <c r="U532" s="38"/>
      <c r="V532" s="38"/>
      <c r="W532" s="38"/>
      <c r="X532" s="38"/>
      <c r="Y532" s="34"/>
      <c r="Z532" s="34"/>
    </row>
    <row r="533" ht="15.75" hidden="1" customHeight="1">
      <c r="A533" s="38"/>
      <c r="B533" s="40"/>
      <c r="C533" s="36"/>
      <c r="D533" s="37"/>
      <c r="E533" s="37"/>
      <c r="F533" s="37"/>
      <c r="G533" s="38"/>
      <c r="H533" s="38"/>
      <c r="I533" s="38"/>
      <c r="J533" s="38"/>
      <c r="K533" s="38"/>
      <c r="L533" s="38"/>
      <c r="M533" s="38"/>
      <c r="N533" s="38"/>
      <c r="O533" s="38"/>
      <c r="P533" s="38"/>
      <c r="Q533" s="38"/>
      <c r="R533" s="38"/>
      <c r="S533" s="38"/>
      <c r="T533" s="38"/>
      <c r="U533" s="38"/>
      <c r="V533" s="38"/>
      <c r="W533" s="38"/>
      <c r="X533" s="38"/>
      <c r="Y533" s="34"/>
      <c r="Z533" s="34"/>
    </row>
    <row r="534" ht="15.75" hidden="1" customHeight="1">
      <c r="A534" s="38"/>
      <c r="B534" s="40"/>
      <c r="C534" s="36"/>
      <c r="D534" s="37"/>
      <c r="E534" s="37"/>
      <c r="F534" s="37"/>
      <c r="G534" s="38"/>
      <c r="H534" s="38"/>
      <c r="I534" s="38"/>
      <c r="J534" s="38"/>
      <c r="K534" s="38"/>
      <c r="L534" s="38"/>
      <c r="M534" s="38"/>
      <c r="N534" s="38"/>
      <c r="O534" s="38"/>
      <c r="P534" s="38"/>
      <c r="Q534" s="38"/>
      <c r="R534" s="38"/>
      <c r="S534" s="38"/>
      <c r="T534" s="38"/>
      <c r="U534" s="38"/>
      <c r="V534" s="38"/>
      <c r="W534" s="38"/>
      <c r="X534" s="38"/>
      <c r="Y534" s="34"/>
      <c r="Z534" s="34"/>
    </row>
    <row r="535" ht="15.75" hidden="1" customHeight="1">
      <c r="A535" s="38"/>
      <c r="B535" s="40"/>
      <c r="C535" s="36"/>
      <c r="D535" s="37"/>
      <c r="E535" s="37"/>
      <c r="F535" s="37"/>
      <c r="G535" s="38"/>
      <c r="H535" s="38"/>
      <c r="I535" s="38"/>
      <c r="J535" s="38"/>
      <c r="K535" s="38"/>
      <c r="L535" s="38"/>
      <c r="M535" s="38"/>
      <c r="N535" s="38"/>
      <c r="O535" s="38"/>
      <c r="P535" s="38"/>
      <c r="Q535" s="38"/>
      <c r="R535" s="38"/>
      <c r="S535" s="38"/>
      <c r="T535" s="38"/>
      <c r="U535" s="38"/>
      <c r="V535" s="38"/>
      <c r="W535" s="38"/>
      <c r="X535" s="38"/>
      <c r="Y535" s="34"/>
      <c r="Z535" s="34"/>
    </row>
    <row r="536" ht="15.75" hidden="1" customHeight="1">
      <c r="A536" s="38"/>
      <c r="B536" s="40"/>
      <c r="C536" s="36"/>
      <c r="D536" s="37"/>
      <c r="E536" s="37"/>
      <c r="F536" s="37"/>
      <c r="G536" s="38"/>
      <c r="H536" s="38"/>
      <c r="I536" s="38"/>
      <c r="J536" s="38"/>
      <c r="K536" s="38"/>
      <c r="L536" s="38"/>
      <c r="M536" s="38"/>
      <c r="N536" s="38"/>
      <c r="O536" s="38"/>
      <c r="P536" s="38"/>
      <c r="Q536" s="38"/>
      <c r="R536" s="38"/>
      <c r="S536" s="38"/>
      <c r="T536" s="38"/>
      <c r="U536" s="38"/>
      <c r="V536" s="38"/>
      <c r="W536" s="38"/>
      <c r="X536" s="38"/>
      <c r="Y536" s="34"/>
      <c r="Z536" s="34"/>
    </row>
    <row r="537" ht="15.75" hidden="1" customHeight="1">
      <c r="A537" s="38"/>
      <c r="B537" s="40"/>
      <c r="C537" s="36"/>
      <c r="D537" s="37"/>
      <c r="E537" s="37"/>
      <c r="F537" s="37"/>
      <c r="G537" s="38"/>
      <c r="H537" s="38"/>
      <c r="I537" s="38"/>
      <c r="J537" s="38"/>
      <c r="K537" s="38"/>
      <c r="L537" s="38"/>
      <c r="M537" s="38"/>
      <c r="N537" s="38"/>
      <c r="O537" s="38"/>
      <c r="P537" s="38"/>
      <c r="Q537" s="38"/>
      <c r="R537" s="38"/>
      <c r="S537" s="38"/>
      <c r="T537" s="38"/>
      <c r="U537" s="38"/>
      <c r="V537" s="38"/>
      <c r="W537" s="38"/>
      <c r="X537" s="38"/>
      <c r="Y537" s="34"/>
      <c r="Z537" s="34"/>
    </row>
    <row r="538" ht="15.75" hidden="1" customHeight="1">
      <c r="A538" s="38"/>
      <c r="B538" s="40"/>
      <c r="C538" s="36"/>
      <c r="D538" s="37"/>
      <c r="E538" s="37"/>
      <c r="F538" s="37"/>
      <c r="G538" s="38"/>
      <c r="H538" s="38"/>
      <c r="I538" s="38"/>
      <c r="J538" s="38"/>
      <c r="K538" s="38"/>
      <c r="L538" s="38"/>
      <c r="M538" s="38"/>
      <c r="N538" s="38"/>
      <c r="O538" s="38"/>
      <c r="P538" s="38"/>
      <c r="Q538" s="38"/>
      <c r="R538" s="38"/>
      <c r="S538" s="38"/>
      <c r="T538" s="38"/>
      <c r="U538" s="38"/>
      <c r="V538" s="38"/>
      <c r="W538" s="38"/>
      <c r="X538" s="38"/>
      <c r="Y538" s="34"/>
      <c r="Z538" s="34"/>
    </row>
    <row r="539" ht="15.75" hidden="1" customHeight="1">
      <c r="A539" s="38"/>
      <c r="B539" s="40"/>
      <c r="C539" s="36"/>
      <c r="D539" s="37"/>
      <c r="E539" s="37"/>
      <c r="F539" s="37"/>
      <c r="G539" s="38"/>
      <c r="H539" s="38"/>
      <c r="I539" s="38"/>
      <c r="J539" s="38"/>
      <c r="K539" s="38"/>
      <c r="L539" s="38"/>
      <c r="M539" s="38"/>
      <c r="N539" s="38"/>
      <c r="O539" s="38"/>
      <c r="P539" s="38"/>
      <c r="Q539" s="38"/>
      <c r="R539" s="38"/>
      <c r="S539" s="38"/>
      <c r="T539" s="38"/>
      <c r="U539" s="38"/>
      <c r="V539" s="38"/>
      <c r="W539" s="38"/>
      <c r="X539" s="38"/>
      <c r="Y539" s="34"/>
      <c r="Z539" s="34"/>
    </row>
    <row r="540" ht="15.75" hidden="1" customHeight="1">
      <c r="A540" s="38"/>
      <c r="B540" s="40"/>
      <c r="C540" s="36"/>
      <c r="D540" s="37"/>
      <c r="E540" s="37"/>
      <c r="F540" s="37"/>
      <c r="G540" s="38"/>
      <c r="H540" s="38"/>
      <c r="I540" s="38"/>
      <c r="J540" s="38"/>
      <c r="K540" s="38"/>
      <c r="L540" s="38"/>
      <c r="M540" s="38"/>
      <c r="N540" s="38"/>
      <c r="O540" s="38"/>
      <c r="P540" s="38"/>
      <c r="Q540" s="38"/>
      <c r="R540" s="38"/>
      <c r="S540" s="38"/>
      <c r="T540" s="38"/>
      <c r="U540" s="38"/>
      <c r="V540" s="38"/>
      <c r="W540" s="38"/>
      <c r="X540" s="38"/>
      <c r="Y540" s="34"/>
      <c r="Z540" s="34"/>
    </row>
    <row r="541" ht="15.75" hidden="1" customHeight="1">
      <c r="A541" s="38"/>
      <c r="B541" s="40"/>
      <c r="C541" s="36"/>
      <c r="D541" s="37"/>
      <c r="E541" s="37"/>
      <c r="F541" s="37"/>
      <c r="G541" s="38"/>
      <c r="H541" s="38"/>
      <c r="I541" s="38"/>
      <c r="J541" s="38"/>
      <c r="K541" s="38"/>
      <c r="L541" s="38"/>
      <c r="M541" s="38"/>
      <c r="N541" s="38"/>
      <c r="O541" s="38"/>
      <c r="P541" s="38"/>
      <c r="Q541" s="38"/>
      <c r="R541" s="38"/>
      <c r="S541" s="38"/>
      <c r="T541" s="38"/>
      <c r="U541" s="38"/>
      <c r="V541" s="38"/>
      <c r="W541" s="38"/>
      <c r="X541" s="38"/>
      <c r="Y541" s="34"/>
      <c r="Z541" s="34"/>
    </row>
    <row r="542" ht="15.75" hidden="1" customHeight="1">
      <c r="A542" s="38"/>
      <c r="B542" s="40"/>
      <c r="C542" s="36"/>
      <c r="D542" s="37"/>
      <c r="E542" s="37"/>
      <c r="F542" s="37"/>
      <c r="G542" s="38"/>
      <c r="H542" s="38"/>
      <c r="I542" s="38"/>
      <c r="J542" s="38"/>
      <c r="K542" s="38"/>
      <c r="L542" s="38"/>
      <c r="M542" s="38"/>
      <c r="N542" s="38"/>
      <c r="O542" s="38"/>
      <c r="P542" s="38"/>
      <c r="Q542" s="38"/>
      <c r="R542" s="38"/>
      <c r="S542" s="38"/>
      <c r="T542" s="38"/>
      <c r="U542" s="38"/>
      <c r="V542" s="38"/>
      <c r="W542" s="38"/>
      <c r="X542" s="38"/>
      <c r="Y542" s="34"/>
      <c r="Z542" s="34"/>
    </row>
    <row r="543" ht="15.75" hidden="1" customHeight="1">
      <c r="A543" s="38"/>
      <c r="B543" s="40"/>
      <c r="C543" s="36"/>
      <c r="D543" s="37"/>
      <c r="E543" s="37"/>
      <c r="F543" s="37"/>
      <c r="G543" s="38"/>
      <c r="H543" s="38"/>
      <c r="I543" s="38"/>
      <c r="J543" s="38"/>
      <c r="K543" s="38"/>
      <c r="L543" s="38"/>
      <c r="M543" s="38"/>
      <c r="N543" s="38"/>
      <c r="O543" s="38"/>
      <c r="P543" s="38"/>
      <c r="Q543" s="38"/>
      <c r="R543" s="38"/>
      <c r="S543" s="38"/>
      <c r="T543" s="38"/>
      <c r="U543" s="38"/>
      <c r="V543" s="38"/>
      <c r="W543" s="38"/>
      <c r="X543" s="38"/>
      <c r="Y543" s="34"/>
      <c r="Z543" s="34"/>
    </row>
    <row r="544" ht="15.75" hidden="1" customHeight="1">
      <c r="A544" s="38"/>
      <c r="B544" s="40"/>
      <c r="C544" s="36"/>
      <c r="D544" s="37"/>
      <c r="E544" s="37"/>
      <c r="F544" s="37"/>
      <c r="G544" s="38"/>
      <c r="H544" s="38"/>
      <c r="I544" s="38"/>
      <c r="J544" s="38"/>
      <c r="K544" s="38"/>
      <c r="L544" s="38"/>
      <c r="M544" s="38"/>
      <c r="N544" s="38"/>
      <c r="O544" s="38"/>
      <c r="P544" s="38"/>
      <c r="Q544" s="38"/>
      <c r="R544" s="38"/>
      <c r="S544" s="38"/>
      <c r="T544" s="38"/>
      <c r="U544" s="38"/>
      <c r="V544" s="38"/>
      <c r="W544" s="38"/>
      <c r="X544" s="38"/>
      <c r="Y544" s="34"/>
      <c r="Z544" s="34"/>
    </row>
    <row r="545" ht="15.75" hidden="1" customHeight="1">
      <c r="A545" s="38"/>
      <c r="B545" s="40"/>
      <c r="C545" s="36"/>
      <c r="D545" s="37"/>
      <c r="E545" s="37"/>
      <c r="F545" s="37"/>
      <c r="G545" s="38"/>
      <c r="H545" s="38"/>
      <c r="I545" s="38"/>
      <c r="J545" s="38"/>
      <c r="K545" s="38"/>
      <c r="L545" s="38"/>
      <c r="M545" s="38"/>
      <c r="N545" s="38"/>
      <c r="O545" s="38"/>
      <c r="P545" s="38"/>
      <c r="Q545" s="38"/>
      <c r="R545" s="38"/>
      <c r="S545" s="38"/>
      <c r="T545" s="38"/>
      <c r="U545" s="38"/>
      <c r="V545" s="38"/>
      <c r="W545" s="38"/>
      <c r="X545" s="38"/>
      <c r="Y545" s="34"/>
      <c r="Z545" s="34"/>
    </row>
    <row r="546" ht="15.75" hidden="1" customHeight="1">
      <c r="A546" s="38"/>
      <c r="B546" s="40"/>
      <c r="C546" s="36"/>
      <c r="D546" s="37"/>
      <c r="E546" s="37"/>
      <c r="F546" s="37"/>
      <c r="G546" s="38"/>
      <c r="H546" s="38"/>
      <c r="I546" s="38"/>
      <c r="J546" s="38"/>
      <c r="K546" s="38"/>
      <c r="L546" s="38"/>
      <c r="M546" s="38"/>
      <c r="N546" s="38"/>
      <c r="O546" s="38"/>
      <c r="P546" s="38"/>
      <c r="Q546" s="38"/>
      <c r="R546" s="38"/>
      <c r="S546" s="38"/>
      <c r="T546" s="38"/>
      <c r="U546" s="38"/>
      <c r="V546" s="38"/>
      <c r="W546" s="38"/>
      <c r="X546" s="38"/>
      <c r="Y546" s="34"/>
      <c r="Z546" s="34"/>
    </row>
    <row r="547" ht="15.75" hidden="1" customHeight="1">
      <c r="A547" s="38"/>
      <c r="B547" s="40"/>
      <c r="C547" s="36"/>
      <c r="D547" s="37"/>
      <c r="E547" s="37"/>
      <c r="F547" s="37"/>
      <c r="G547" s="38"/>
      <c r="H547" s="38"/>
      <c r="I547" s="38"/>
      <c r="J547" s="38"/>
      <c r="K547" s="38"/>
      <c r="L547" s="38"/>
      <c r="M547" s="38"/>
      <c r="N547" s="38"/>
      <c r="O547" s="38"/>
      <c r="P547" s="38"/>
      <c r="Q547" s="38"/>
      <c r="R547" s="38"/>
      <c r="S547" s="38"/>
      <c r="T547" s="38"/>
      <c r="U547" s="38"/>
      <c r="V547" s="38"/>
      <c r="W547" s="38"/>
      <c r="X547" s="38"/>
      <c r="Y547" s="34"/>
      <c r="Z547" s="34"/>
    </row>
    <row r="548" ht="15.75" hidden="1" customHeight="1">
      <c r="A548" s="38"/>
      <c r="B548" s="40"/>
      <c r="C548" s="36"/>
      <c r="D548" s="37"/>
      <c r="E548" s="37"/>
      <c r="F548" s="37"/>
      <c r="G548" s="38"/>
      <c r="H548" s="38"/>
      <c r="I548" s="38"/>
      <c r="J548" s="38"/>
      <c r="K548" s="38"/>
      <c r="L548" s="38"/>
      <c r="M548" s="38"/>
      <c r="N548" s="38"/>
      <c r="O548" s="38"/>
      <c r="P548" s="38"/>
      <c r="Q548" s="38"/>
      <c r="R548" s="38"/>
      <c r="S548" s="38"/>
      <c r="T548" s="38"/>
      <c r="U548" s="38"/>
      <c r="V548" s="38"/>
      <c r="W548" s="38"/>
      <c r="X548" s="38"/>
      <c r="Y548" s="34"/>
      <c r="Z548" s="34"/>
    </row>
    <row r="549" ht="15.75" hidden="1" customHeight="1">
      <c r="A549" s="38"/>
      <c r="B549" s="40"/>
      <c r="C549" s="36"/>
      <c r="D549" s="37"/>
      <c r="E549" s="37"/>
      <c r="F549" s="37"/>
      <c r="G549" s="38"/>
      <c r="H549" s="38"/>
      <c r="I549" s="38"/>
      <c r="J549" s="38"/>
      <c r="K549" s="38"/>
      <c r="L549" s="38"/>
      <c r="M549" s="38"/>
      <c r="N549" s="38"/>
      <c r="O549" s="38"/>
      <c r="P549" s="38"/>
      <c r="Q549" s="38"/>
      <c r="R549" s="38"/>
      <c r="S549" s="38"/>
      <c r="T549" s="38"/>
      <c r="U549" s="38"/>
      <c r="V549" s="38"/>
      <c r="W549" s="38"/>
      <c r="X549" s="38"/>
      <c r="Y549" s="34"/>
      <c r="Z549" s="34"/>
    </row>
    <row r="550" ht="15.75" hidden="1" customHeight="1">
      <c r="A550" s="38"/>
      <c r="B550" s="40"/>
      <c r="C550" s="36"/>
      <c r="D550" s="37"/>
      <c r="E550" s="37"/>
      <c r="F550" s="37"/>
      <c r="G550" s="38"/>
      <c r="H550" s="38"/>
      <c r="I550" s="38"/>
      <c r="J550" s="38"/>
      <c r="K550" s="38"/>
      <c r="L550" s="38"/>
      <c r="M550" s="38"/>
      <c r="N550" s="38"/>
      <c r="O550" s="38"/>
      <c r="P550" s="38"/>
      <c r="Q550" s="38"/>
      <c r="R550" s="38"/>
      <c r="S550" s="38"/>
      <c r="T550" s="38"/>
      <c r="U550" s="38"/>
      <c r="V550" s="38"/>
      <c r="W550" s="38"/>
      <c r="X550" s="38"/>
      <c r="Y550" s="34"/>
      <c r="Z550" s="34"/>
    </row>
    <row r="551" ht="15.75" hidden="1" customHeight="1">
      <c r="A551" s="38"/>
      <c r="B551" s="40"/>
      <c r="C551" s="36"/>
      <c r="D551" s="37"/>
      <c r="E551" s="37"/>
      <c r="F551" s="37"/>
      <c r="G551" s="38"/>
      <c r="H551" s="38"/>
      <c r="I551" s="38"/>
      <c r="J551" s="38"/>
      <c r="K551" s="38"/>
      <c r="L551" s="38"/>
      <c r="M551" s="38"/>
      <c r="N551" s="38"/>
      <c r="O551" s="38"/>
      <c r="P551" s="38"/>
      <c r="Q551" s="38"/>
      <c r="R551" s="38"/>
      <c r="S551" s="38"/>
      <c r="T551" s="38"/>
      <c r="U551" s="38"/>
      <c r="V551" s="38"/>
      <c r="W551" s="38"/>
      <c r="X551" s="38"/>
      <c r="Y551" s="34"/>
      <c r="Z551" s="34"/>
    </row>
    <row r="552" ht="15.75" hidden="1" customHeight="1">
      <c r="A552" s="38"/>
      <c r="B552" s="40"/>
      <c r="C552" s="36"/>
      <c r="D552" s="37"/>
      <c r="E552" s="37"/>
      <c r="F552" s="37"/>
      <c r="G552" s="38"/>
      <c r="H552" s="38"/>
      <c r="I552" s="38"/>
      <c r="J552" s="38"/>
      <c r="K552" s="38"/>
      <c r="L552" s="38"/>
      <c r="M552" s="38"/>
      <c r="N552" s="38"/>
      <c r="O552" s="38"/>
      <c r="P552" s="38"/>
      <c r="Q552" s="38"/>
      <c r="R552" s="38"/>
      <c r="S552" s="38"/>
      <c r="T552" s="38"/>
      <c r="U552" s="38"/>
      <c r="V552" s="38"/>
      <c r="W552" s="38"/>
      <c r="X552" s="38"/>
      <c r="Y552" s="34"/>
      <c r="Z552" s="34"/>
    </row>
    <row r="553" ht="15.75" hidden="1" customHeight="1">
      <c r="A553" s="38"/>
      <c r="B553" s="40"/>
      <c r="C553" s="36"/>
      <c r="D553" s="37"/>
      <c r="E553" s="37"/>
      <c r="F553" s="37"/>
      <c r="G553" s="38"/>
      <c r="H553" s="38"/>
      <c r="I553" s="38"/>
      <c r="J553" s="38"/>
      <c r="K553" s="38"/>
      <c r="L553" s="38"/>
      <c r="M553" s="38"/>
      <c r="N553" s="38"/>
      <c r="O553" s="38"/>
      <c r="P553" s="38"/>
      <c r="Q553" s="38"/>
      <c r="R553" s="38"/>
      <c r="S553" s="38"/>
      <c r="T553" s="38"/>
      <c r="U553" s="38"/>
      <c r="V553" s="38"/>
      <c r="W553" s="38"/>
      <c r="X553" s="38"/>
      <c r="Y553" s="34"/>
      <c r="Z553" s="34"/>
    </row>
    <row r="554" ht="15.75" hidden="1" customHeight="1">
      <c r="A554" s="38"/>
      <c r="B554" s="40"/>
      <c r="C554" s="36"/>
      <c r="D554" s="37"/>
      <c r="E554" s="37"/>
      <c r="F554" s="37"/>
      <c r="G554" s="38"/>
      <c r="H554" s="38"/>
      <c r="I554" s="38"/>
      <c r="J554" s="38"/>
      <c r="K554" s="38"/>
      <c r="L554" s="38"/>
      <c r="M554" s="38"/>
      <c r="N554" s="38"/>
      <c r="O554" s="38"/>
      <c r="P554" s="38"/>
      <c r="Q554" s="38"/>
      <c r="R554" s="38"/>
      <c r="S554" s="38"/>
      <c r="T554" s="38"/>
      <c r="U554" s="38"/>
      <c r="V554" s="38"/>
      <c r="W554" s="38"/>
      <c r="X554" s="38"/>
      <c r="Y554" s="34"/>
      <c r="Z554" s="34"/>
    </row>
    <row r="555" ht="15.75" hidden="1" customHeight="1">
      <c r="A555" s="38"/>
      <c r="B555" s="40"/>
      <c r="C555" s="36"/>
      <c r="D555" s="37"/>
      <c r="E555" s="37"/>
      <c r="F555" s="37"/>
      <c r="G555" s="38"/>
      <c r="H555" s="38"/>
      <c r="I555" s="38"/>
      <c r="J555" s="38"/>
      <c r="K555" s="38"/>
      <c r="L555" s="38"/>
      <c r="M555" s="38"/>
      <c r="N555" s="38"/>
      <c r="O555" s="38"/>
      <c r="P555" s="38"/>
      <c r="Q555" s="38"/>
      <c r="R555" s="38"/>
      <c r="S555" s="38"/>
      <c r="T555" s="38"/>
      <c r="U555" s="38"/>
      <c r="V555" s="38"/>
      <c r="W555" s="38"/>
      <c r="X555" s="38"/>
      <c r="Y555" s="34"/>
      <c r="Z555" s="34"/>
    </row>
    <row r="556" ht="15.75" hidden="1" customHeight="1">
      <c r="A556" s="38"/>
      <c r="B556" s="40"/>
      <c r="C556" s="36"/>
      <c r="D556" s="37"/>
      <c r="E556" s="37"/>
      <c r="F556" s="37"/>
      <c r="G556" s="38"/>
      <c r="H556" s="38"/>
      <c r="I556" s="38"/>
      <c r="J556" s="38"/>
      <c r="K556" s="38"/>
      <c r="L556" s="38"/>
      <c r="M556" s="38"/>
      <c r="N556" s="38"/>
      <c r="O556" s="38"/>
      <c r="P556" s="38"/>
      <c r="Q556" s="38"/>
      <c r="R556" s="38"/>
      <c r="S556" s="38"/>
      <c r="T556" s="38"/>
      <c r="U556" s="38"/>
      <c r="V556" s="38"/>
      <c r="W556" s="38"/>
      <c r="X556" s="38"/>
      <c r="Y556" s="34"/>
      <c r="Z556" s="34"/>
    </row>
    <row r="557" ht="15.75" hidden="1" customHeight="1">
      <c r="A557" s="38"/>
      <c r="B557" s="40"/>
      <c r="C557" s="36"/>
      <c r="D557" s="37"/>
      <c r="E557" s="37"/>
      <c r="F557" s="37"/>
      <c r="G557" s="38"/>
      <c r="H557" s="38"/>
      <c r="I557" s="38"/>
      <c r="J557" s="38"/>
      <c r="K557" s="38"/>
      <c r="L557" s="38"/>
      <c r="M557" s="38"/>
      <c r="N557" s="38"/>
      <c r="O557" s="38"/>
      <c r="P557" s="38"/>
      <c r="Q557" s="38"/>
      <c r="R557" s="38"/>
      <c r="S557" s="38"/>
      <c r="T557" s="38"/>
      <c r="U557" s="38"/>
      <c r="V557" s="38"/>
      <c r="W557" s="38"/>
      <c r="X557" s="38"/>
      <c r="Y557" s="34"/>
      <c r="Z557" s="34"/>
    </row>
    <row r="558" ht="15.75" hidden="1" customHeight="1">
      <c r="A558" s="38"/>
      <c r="B558" s="40"/>
      <c r="C558" s="36"/>
      <c r="D558" s="37"/>
      <c r="E558" s="37"/>
      <c r="F558" s="37"/>
      <c r="G558" s="38"/>
      <c r="H558" s="38"/>
      <c r="I558" s="38"/>
      <c r="J558" s="38"/>
      <c r="K558" s="38"/>
      <c r="L558" s="38"/>
      <c r="M558" s="38"/>
      <c r="N558" s="38"/>
      <c r="O558" s="38"/>
      <c r="P558" s="38"/>
      <c r="Q558" s="38"/>
      <c r="R558" s="38"/>
      <c r="S558" s="38"/>
      <c r="T558" s="38"/>
      <c r="U558" s="38"/>
      <c r="V558" s="38"/>
      <c r="W558" s="38"/>
      <c r="X558" s="38"/>
      <c r="Y558" s="34"/>
      <c r="Z558" s="34"/>
    </row>
    <row r="559" ht="15.75" hidden="1" customHeight="1">
      <c r="A559" s="38"/>
      <c r="B559" s="40"/>
      <c r="C559" s="36"/>
      <c r="D559" s="37"/>
      <c r="E559" s="37"/>
      <c r="F559" s="37"/>
      <c r="G559" s="38"/>
      <c r="H559" s="38"/>
      <c r="I559" s="38"/>
      <c r="J559" s="38"/>
      <c r="K559" s="38"/>
      <c r="L559" s="38"/>
      <c r="M559" s="38"/>
      <c r="N559" s="38"/>
      <c r="O559" s="38"/>
      <c r="P559" s="38"/>
      <c r="Q559" s="38"/>
      <c r="R559" s="38"/>
      <c r="S559" s="38"/>
      <c r="T559" s="38"/>
      <c r="U559" s="38"/>
      <c r="V559" s="38"/>
      <c r="W559" s="38"/>
      <c r="X559" s="38"/>
      <c r="Y559" s="34"/>
      <c r="Z559" s="34"/>
    </row>
    <row r="560" ht="15.75" hidden="1" customHeight="1">
      <c r="A560" s="38"/>
      <c r="B560" s="40"/>
      <c r="C560" s="36"/>
      <c r="D560" s="37"/>
      <c r="E560" s="37"/>
      <c r="F560" s="37"/>
      <c r="G560" s="38"/>
      <c r="H560" s="38"/>
      <c r="I560" s="38"/>
      <c r="J560" s="38"/>
      <c r="K560" s="38"/>
      <c r="L560" s="38"/>
      <c r="M560" s="38"/>
      <c r="N560" s="38"/>
      <c r="O560" s="38"/>
      <c r="P560" s="38"/>
      <c r="Q560" s="38"/>
      <c r="R560" s="38"/>
      <c r="S560" s="38"/>
      <c r="T560" s="38"/>
      <c r="U560" s="38"/>
      <c r="V560" s="38"/>
      <c r="W560" s="38"/>
      <c r="X560" s="38"/>
      <c r="Y560" s="34"/>
      <c r="Z560" s="34"/>
    </row>
    <row r="561" ht="15.75" hidden="1" customHeight="1">
      <c r="A561" s="38"/>
      <c r="B561" s="40"/>
      <c r="C561" s="36"/>
      <c r="D561" s="37"/>
      <c r="E561" s="37"/>
      <c r="F561" s="37"/>
      <c r="G561" s="38"/>
      <c r="H561" s="38"/>
      <c r="I561" s="38"/>
      <c r="J561" s="38"/>
      <c r="K561" s="38"/>
      <c r="L561" s="38"/>
      <c r="M561" s="38"/>
      <c r="N561" s="38"/>
      <c r="O561" s="38"/>
      <c r="P561" s="38"/>
      <c r="Q561" s="38"/>
      <c r="R561" s="38"/>
      <c r="S561" s="38"/>
      <c r="T561" s="38"/>
      <c r="U561" s="38"/>
      <c r="V561" s="38"/>
      <c r="W561" s="38"/>
      <c r="X561" s="38"/>
      <c r="Y561" s="34"/>
      <c r="Z561" s="34"/>
    </row>
    <row r="562" ht="15.75" hidden="1" customHeight="1">
      <c r="A562" s="38"/>
      <c r="B562" s="40"/>
      <c r="C562" s="36"/>
      <c r="D562" s="37"/>
      <c r="E562" s="37"/>
      <c r="F562" s="37"/>
      <c r="G562" s="38"/>
      <c r="H562" s="38"/>
      <c r="I562" s="38"/>
      <c r="J562" s="38"/>
      <c r="K562" s="38"/>
      <c r="L562" s="38"/>
      <c r="M562" s="38"/>
      <c r="N562" s="38"/>
      <c r="O562" s="38"/>
      <c r="P562" s="38"/>
      <c r="Q562" s="38"/>
      <c r="R562" s="38"/>
      <c r="S562" s="38"/>
      <c r="T562" s="38"/>
      <c r="U562" s="38"/>
      <c r="V562" s="38"/>
      <c r="W562" s="38"/>
      <c r="X562" s="38"/>
      <c r="Y562" s="34"/>
      <c r="Z562" s="34"/>
    </row>
    <row r="563" ht="15.75" hidden="1" customHeight="1">
      <c r="A563" s="38"/>
      <c r="B563" s="40"/>
      <c r="C563" s="36"/>
      <c r="D563" s="37"/>
      <c r="E563" s="37"/>
      <c r="F563" s="37"/>
      <c r="G563" s="38"/>
      <c r="H563" s="38"/>
      <c r="I563" s="38"/>
      <c r="J563" s="38"/>
      <c r="K563" s="38"/>
      <c r="L563" s="38"/>
      <c r="M563" s="38"/>
      <c r="N563" s="38"/>
      <c r="O563" s="38"/>
      <c r="P563" s="38"/>
      <c r="Q563" s="38"/>
      <c r="R563" s="38"/>
      <c r="S563" s="38"/>
      <c r="T563" s="38"/>
      <c r="U563" s="38"/>
      <c r="V563" s="38"/>
      <c r="W563" s="38"/>
      <c r="X563" s="38"/>
      <c r="Y563" s="34"/>
      <c r="Z563" s="34"/>
    </row>
    <row r="564" ht="15.75" hidden="1" customHeight="1">
      <c r="A564" s="38"/>
      <c r="B564" s="40"/>
      <c r="C564" s="36"/>
      <c r="D564" s="37"/>
      <c r="E564" s="37"/>
      <c r="F564" s="37"/>
      <c r="G564" s="38"/>
      <c r="H564" s="38"/>
      <c r="I564" s="38"/>
      <c r="J564" s="38"/>
      <c r="K564" s="38"/>
      <c r="L564" s="38"/>
      <c r="M564" s="38"/>
      <c r="N564" s="38"/>
      <c r="O564" s="38"/>
      <c r="P564" s="38"/>
      <c r="Q564" s="38"/>
      <c r="R564" s="38"/>
      <c r="S564" s="38"/>
      <c r="T564" s="38"/>
      <c r="U564" s="38"/>
      <c r="V564" s="38"/>
      <c r="W564" s="38"/>
      <c r="X564" s="38"/>
      <c r="Y564" s="34"/>
      <c r="Z564" s="34"/>
    </row>
    <row r="565" ht="15.75" hidden="1" customHeight="1">
      <c r="A565" s="38"/>
      <c r="B565" s="40"/>
      <c r="C565" s="36"/>
      <c r="D565" s="37"/>
      <c r="E565" s="37"/>
      <c r="F565" s="37"/>
      <c r="G565" s="38"/>
      <c r="H565" s="38"/>
      <c r="I565" s="38"/>
      <c r="J565" s="38"/>
      <c r="K565" s="38"/>
      <c r="L565" s="38"/>
      <c r="M565" s="38"/>
      <c r="N565" s="38"/>
      <c r="O565" s="38"/>
      <c r="P565" s="38"/>
      <c r="Q565" s="38"/>
      <c r="R565" s="38"/>
      <c r="S565" s="38"/>
      <c r="T565" s="38"/>
      <c r="U565" s="38"/>
      <c r="V565" s="38"/>
      <c r="W565" s="38"/>
      <c r="X565" s="38"/>
      <c r="Y565" s="34"/>
      <c r="Z565" s="34"/>
    </row>
    <row r="566" ht="15.75" hidden="1" customHeight="1">
      <c r="A566" s="38"/>
      <c r="B566" s="40"/>
      <c r="C566" s="36"/>
      <c r="D566" s="37"/>
      <c r="E566" s="37"/>
      <c r="F566" s="37"/>
      <c r="G566" s="38"/>
      <c r="H566" s="38"/>
      <c r="I566" s="38"/>
      <c r="J566" s="38"/>
      <c r="K566" s="38"/>
      <c r="L566" s="38"/>
      <c r="M566" s="38"/>
      <c r="N566" s="38"/>
      <c r="O566" s="38"/>
      <c r="P566" s="38"/>
      <c r="Q566" s="38"/>
      <c r="R566" s="38"/>
      <c r="S566" s="38"/>
      <c r="T566" s="38"/>
      <c r="U566" s="38"/>
      <c r="V566" s="38"/>
      <c r="W566" s="38"/>
      <c r="X566" s="38"/>
      <c r="Y566" s="34"/>
      <c r="Z566" s="34"/>
    </row>
    <row r="567" ht="15.75" hidden="1" customHeight="1">
      <c r="A567" s="38"/>
      <c r="B567" s="40"/>
      <c r="C567" s="36"/>
      <c r="D567" s="37"/>
      <c r="E567" s="37"/>
      <c r="F567" s="37"/>
      <c r="G567" s="38"/>
      <c r="H567" s="38"/>
      <c r="I567" s="38"/>
      <c r="J567" s="38"/>
      <c r="K567" s="38"/>
      <c r="L567" s="38"/>
      <c r="M567" s="38"/>
      <c r="N567" s="38"/>
      <c r="O567" s="38"/>
      <c r="P567" s="38"/>
      <c r="Q567" s="38"/>
      <c r="R567" s="38"/>
      <c r="S567" s="38"/>
      <c r="T567" s="38"/>
      <c r="U567" s="38"/>
      <c r="V567" s="38"/>
      <c r="W567" s="38"/>
      <c r="X567" s="38"/>
      <c r="Y567" s="34"/>
      <c r="Z567" s="34"/>
    </row>
    <row r="568" ht="15.75" hidden="1" customHeight="1">
      <c r="A568" s="38"/>
      <c r="B568" s="40"/>
      <c r="C568" s="36"/>
      <c r="D568" s="37"/>
      <c r="E568" s="37"/>
      <c r="F568" s="37"/>
      <c r="G568" s="38"/>
      <c r="H568" s="38"/>
      <c r="I568" s="38"/>
      <c r="J568" s="38"/>
      <c r="K568" s="38"/>
      <c r="L568" s="38"/>
      <c r="M568" s="38"/>
      <c r="N568" s="38"/>
      <c r="O568" s="38"/>
      <c r="P568" s="38"/>
      <c r="Q568" s="38"/>
      <c r="R568" s="38"/>
      <c r="S568" s="38"/>
      <c r="T568" s="38"/>
      <c r="U568" s="38"/>
      <c r="V568" s="38"/>
      <c r="W568" s="38"/>
      <c r="X568" s="38"/>
      <c r="Y568" s="34"/>
      <c r="Z568" s="34"/>
    </row>
    <row r="569" ht="15.75" hidden="1" customHeight="1">
      <c r="A569" s="38"/>
      <c r="B569" s="40"/>
      <c r="C569" s="36"/>
      <c r="D569" s="37"/>
      <c r="E569" s="37"/>
      <c r="F569" s="37"/>
      <c r="G569" s="38"/>
      <c r="H569" s="38"/>
      <c r="I569" s="38"/>
      <c r="J569" s="38"/>
      <c r="K569" s="38"/>
      <c r="L569" s="38"/>
      <c r="M569" s="38"/>
      <c r="N569" s="38"/>
      <c r="O569" s="38"/>
      <c r="P569" s="38"/>
      <c r="Q569" s="38"/>
      <c r="R569" s="38"/>
      <c r="S569" s="38"/>
      <c r="T569" s="38"/>
      <c r="U569" s="38"/>
      <c r="V569" s="38"/>
      <c r="W569" s="38"/>
      <c r="X569" s="38"/>
      <c r="Y569" s="34"/>
      <c r="Z569" s="34"/>
    </row>
    <row r="570" ht="15.75" hidden="1" customHeight="1">
      <c r="A570" s="38"/>
      <c r="B570" s="40"/>
      <c r="C570" s="36"/>
      <c r="D570" s="37"/>
      <c r="E570" s="37"/>
      <c r="F570" s="37"/>
      <c r="G570" s="38"/>
      <c r="H570" s="38"/>
      <c r="I570" s="38"/>
      <c r="J570" s="38"/>
      <c r="K570" s="38"/>
      <c r="L570" s="38"/>
      <c r="M570" s="38"/>
      <c r="N570" s="38"/>
      <c r="O570" s="38"/>
      <c r="P570" s="38"/>
      <c r="Q570" s="38"/>
      <c r="R570" s="38"/>
      <c r="S570" s="38"/>
      <c r="T570" s="38"/>
      <c r="U570" s="38"/>
      <c r="V570" s="38"/>
      <c r="W570" s="38"/>
      <c r="X570" s="38"/>
      <c r="Y570" s="34"/>
      <c r="Z570" s="34"/>
    </row>
    <row r="571" ht="15.75" hidden="1" customHeight="1">
      <c r="A571" s="38"/>
      <c r="B571" s="40"/>
      <c r="C571" s="36"/>
      <c r="D571" s="37"/>
      <c r="E571" s="37"/>
      <c r="F571" s="37"/>
      <c r="G571" s="38"/>
      <c r="H571" s="38"/>
      <c r="I571" s="38"/>
      <c r="J571" s="38"/>
      <c r="K571" s="38"/>
      <c r="L571" s="38"/>
      <c r="M571" s="38"/>
      <c r="N571" s="38"/>
      <c r="O571" s="38"/>
      <c r="P571" s="38"/>
      <c r="Q571" s="38"/>
      <c r="R571" s="38"/>
      <c r="S571" s="38"/>
      <c r="T571" s="38"/>
      <c r="U571" s="38"/>
      <c r="V571" s="38"/>
      <c r="W571" s="38"/>
      <c r="X571" s="38"/>
      <c r="Y571" s="34"/>
      <c r="Z571" s="34"/>
    </row>
    <row r="572" ht="15.75" hidden="1" customHeight="1">
      <c r="A572" s="38"/>
      <c r="B572" s="40"/>
      <c r="C572" s="36"/>
      <c r="D572" s="37"/>
      <c r="E572" s="37"/>
      <c r="F572" s="37"/>
      <c r="G572" s="38"/>
      <c r="H572" s="38"/>
      <c r="I572" s="38"/>
      <c r="J572" s="38"/>
      <c r="K572" s="38"/>
      <c r="L572" s="38"/>
      <c r="M572" s="38"/>
      <c r="N572" s="38"/>
      <c r="O572" s="38"/>
      <c r="P572" s="38"/>
      <c r="Q572" s="38"/>
      <c r="R572" s="38"/>
      <c r="S572" s="38"/>
      <c r="T572" s="38"/>
      <c r="U572" s="38"/>
      <c r="V572" s="38"/>
      <c r="W572" s="38"/>
      <c r="X572" s="38"/>
      <c r="Y572" s="34"/>
      <c r="Z572" s="34"/>
    </row>
    <row r="573" ht="15.75" hidden="1" customHeight="1">
      <c r="A573" s="38"/>
      <c r="B573" s="40"/>
      <c r="C573" s="36"/>
      <c r="D573" s="37"/>
      <c r="E573" s="37"/>
      <c r="F573" s="37"/>
      <c r="G573" s="38"/>
      <c r="H573" s="38"/>
      <c r="I573" s="38"/>
      <c r="J573" s="38"/>
      <c r="K573" s="38"/>
      <c r="L573" s="38"/>
      <c r="M573" s="38"/>
      <c r="N573" s="38"/>
      <c r="O573" s="38"/>
      <c r="P573" s="38"/>
      <c r="Q573" s="38"/>
      <c r="R573" s="38"/>
      <c r="S573" s="38"/>
      <c r="T573" s="38"/>
      <c r="U573" s="38"/>
      <c r="V573" s="38"/>
      <c r="W573" s="38"/>
      <c r="X573" s="38"/>
      <c r="Y573" s="34"/>
      <c r="Z573" s="34"/>
    </row>
    <row r="574" ht="15.75" hidden="1" customHeight="1">
      <c r="A574" s="38"/>
      <c r="B574" s="40"/>
      <c r="C574" s="36"/>
      <c r="D574" s="37"/>
      <c r="E574" s="37"/>
      <c r="F574" s="37"/>
      <c r="G574" s="38"/>
      <c r="H574" s="38"/>
      <c r="I574" s="38"/>
      <c r="J574" s="38"/>
      <c r="K574" s="38"/>
      <c r="L574" s="38"/>
      <c r="M574" s="38"/>
      <c r="N574" s="38"/>
      <c r="O574" s="38"/>
      <c r="P574" s="38"/>
      <c r="Q574" s="38"/>
      <c r="R574" s="38"/>
      <c r="S574" s="38"/>
      <c r="T574" s="38"/>
      <c r="U574" s="38"/>
      <c r="V574" s="38"/>
      <c r="W574" s="38"/>
      <c r="X574" s="38"/>
      <c r="Y574" s="34"/>
      <c r="Z574" s="34"/>
    </row>
    <row r="575" ht="15.75" hidden="1" customHeight="1">
      <c r="A575" s="38"/>
      <c r="B575" s="40"/>
      <c r="C575" s="36"/>
      <c r="D575" s="37"/>
      <c r="E575" s="37"/>
      <c r="F575" s="37"/>
      <c r="G575" s="38"/>
      <c r="H575" s="38"/>
      <c r="I575" s="38"/>
      <c r="J575" s="38"/>
      <c r="K575" s="38"/>
      <c r="L575" s="38"/>
      <c r="M575" s="38"/>
      <c r="N575" s="38"/>
      <c r="O575" s="38"/>
      <c r="P575" s="38"/>
      <c r="Q575" s="38"/>
      <c r="R575" s="38"/>
      <c r="S575" s="38"/>
      <c r="T575" s="38"/>
      <c r="U575" s="38"/>
      <c r="V575" s="38"/>
      <c r="W575" s="38"/>
      <c r="X575" s="38"/>
      <c r="Y575" s="34"/>
      <c r="Z575" s="34"/>
    </row>
    <row r="576" ht="15.75" hidden="1" customHeight="1">
      <c r="A576" s="38"/>
      <c r="B576" s="40"/>
      <c r="C576" s="36"/>
      <c r="D576" s="37"/>
      <c r="E576" s="37"/>
      <c r="F576" s="37"/>
      <c r="G576" s="38"/>
      <c r="H576" s="38"/>
      <c r="I576" s="38"/>
      <c r="J576" s="38"/>
      <c r="K576" s="38"/>
      <c r="L576" s="38"/>
      <c r="M576" s="38"/>
      <c r="N576" s="38"/>
      <c r="O576" s="38"/>
      <c r="P576" s="38"/>
      <c r="Q576" s="38"/>
      <c r="R576" s="38"/>
      <c r="S576" s="38"/>
      <c r="T576" s="38"/>
      <c r="U576" s="38"/>
      <c r="V576" s="38"/>
      <c r="W576" s="38"/>
      <c r="X576" s="38"/>
      <c r="Y576" s="34"/>
      <c r="Z576" s="34"/>
    </row>
    <row r="577" ht="15.75" hidden="1" customHeight="1">
      <c r="A577" s="38"/>
      <c r="B577" s="40"/>
      <c r="C577" s="36"/>
      <c r="D577" s="37"/>
      <c r="E577" s="37"/>
      <c r="F577" s="37"/>
      <c r="G577" s="38"/>
      <c r="H577" s="38"/>
      <c r="I577" s="38"/>
      <c r="J577" s="38"/>
      <c r="K577" s="38"/>
      <c r="L577" s="38"/>
      <c r="M577" s="38"/>
      <c r="N577" s="38"/>
      <c r="O577" s="38"/>
      <c r="P577" s="38"/>
      <c r="Q577" s="38"/>
      <c r="R577" s="38"/>
      <c r="S577" s="38"/>
      <c r="T577" s="38"/>
      <c r="U577" s="38"/>
      <c r="V577" s="38"/>
      <c r="W577" s="38"/>
      <c r="X577" s="38"/>
      <c r="Y577" s="34"/>
      <c r="Z577" s="34"/>
    </row>
    <row r="578" ht="15.75" hidden="1" customHeight="1">
      <c r="A578" s="38"/>
      <c r="B578" s="40"/>
      <c r="C578" s="36"/>
      <c r="D578" s="37"/>
      <c r="E578" s="37"/>
      <c r="F578" s="37"/>
      <c r="G578" s="38"/>
      <c r="H578" s="38"/>
      <c r="I578" s="38"/>
      <c r="J578" s="38"/>
      <c r="K578" s="38"/>
      <c r="L578" s="38"/>
      <c r="M578" s="38"/>
      <c r="N578" s="38"/>
      <c r="O578" s="38"/>
      <c r="P578" s="38"/>
      <c r="Q578" s="38"/>
      <c r="R578" s="38"/>
      <c r="S578" s="38"/>
      <c r="T578" s="38"/>
      <c r="U578" s="38"/>
      <c r="V578" s="38"/>
      <c r="W578" s="38"/>
      <c r="X578" s="38"/>
      <c r="Y578" s="34"/>
      <c r="Z578" s="34"/>
    </row>
    <row r="579" ht="15.75" hidden="1" customHeight="1">
      <c r="A579" s="38"/>
      <c r="B579" s="40"/>
      <c r="C579" s="36"/>
      <c r="D579" s="37"/>
      <c r="E579" s="37"/>
      <c r="F579" s="37"/>
      <c r="G579" s="38"/>
      <c r="H579" s="38"/>
      <c r="I579" s="38"/>
      <c r="J579" s="38"/>
      <c r="K579" s="38"/>
      <c r="L579" s="38"/>
      <c r="M579" s="38"/>
      <c r="N579" s="38"/>
      <c r="O579" s="38"/>
      <c r="P579" s="38"/>
      <c r="Q579" s="38"/>
      <c r="R579" s="38"/>
      <c r="S579" s="38"/>
      <c r="T579" s="38"/>
      <c r="U579" s="38"/>
      <c r="V579" s="38"/>
      <c r="W579" s="38"/>
      <c r="X579" s="38"/>
      <c r="Y579" s="34"/>
      <c r="Z579" s="34"/>
    </row>
    <row r="580" ht="15.75" hidden="1" customHeight="1">
      <c r="A580" s="38"/>
      <c r="B580" s="40"/>
      <c r="C580" s="36"/>
      <c r="D580" s="37"/>
      <c r="E580" s="37"/>
      <c r="F580" s="37"/>
      <c r="G580" s="38"/>
      <c r="H580" s="38"/>
      <c r="I580" s="38"/>
      <c r="J580" s="38"/>
      <c r="K580" s="38"/>
      <c r="L580" s="38"/>
      <c r="M580" s="38"/>
      <c r="N580" s="38"/>
      <c r="O580" s="38"/>
      <c r="P580" s="38"/>
      <c r="Q580" s="38"/>
      <c r="R580" s="38"/>
      <c r="S580" s="38"/>
      <c r="T580" s="38"/>
      <c r="U580" s="38"/>
      <c r="V580" s="38"/>
      <c r="W580" s="38"/>
      <c r="X580" s="38"/>
      <c r="Y580" s="34"/>
      <c r="Z580" s="34"/>
    </row>
    <row r="581" ht="15.75" hidden="1" customHeight="1">
      <c r="A581" s="38"/>
      <c r="B581" s="40"/>
      <c r="C581" s="36"/>
      <c r="D581" s="37"/>
      <c r="E581" s="37"/>
      <c r="F581" s="37"/>
      <c r="G581" s="38"/>
      <c r="H581" s="38"/>
      <c r="I581" s="38"/>
      <c r="J581" s="38"/>
      <c r="K581" s="38"/>
      <c r="L581" s="38"/>
      <c r="M581" s="38"/>
      <c r="N581" s="38"/>
      <c r="O581" s="38"/>
      <c r="P581" s="38"/>
      <c r="Q581" s="38"/>
      <c r="R581" s="38"/>
      <c r="S581" s="38"/>
      <c r="T581" s="38"/>
      <c r="U581" s="38"/>
      <c r="V581" s="38"/>
      <c r="W581" s="38"/>
      <c r="X581" s="38"/>
      <c r="Y581" s="34"/>
      <c r="Z581" s="34"/>
    </row>
    <row r="582" ht="15.75" hidden="1" customHeight="1">
      <c r="A582" s="38"/>
      <c r="B582" s="40"/>
      <c r="C582" s="36"/>
      <c r="D582" s="37"/>
      <c r="E582" s="37"/>
      <c r="F582" s="37"/>
      <c r="G582" s="38"/>
      <c r="H582" s="38"/>
      <c r="I582" s="38"/>
      <c r="J582" s="38"/>
      <c r="K582" s="38"/>
      <c r="L582" s="38"/>
      <c r="M582" s="38"/>
      <c r="N582" s="38"/>
      <c r="O582" s="38"/>
      <c r="P582" s="38"/>
      <c r="Q582" s="38"/>
      <c r="R582" s="38"/>
      <c r="S582" s="38"/>
      <c r="T582" s="38"/>
      <c r="U582" s="38"/>
      <c r="V582" s="38"/>
      <c r="W582" s="38"/>
      <c r="X582" s="38"/>
      <c r="Y582" s="34"/>
      <c r="Z582" s="34"/>
    </row>
    <row r="583" ht="15.75" hidden="1" customHeight="1">
      <c r="A583" s="38"/>
      <c r="B583" s="40"/>
      <c r="C583" s="36"/>
      <c r="D583" s="37"/>
      <c r="E583" s="37"/>
      <c r="F583" s="37"/>
      <c r="G583" s="38"/>
      <c r="H583" s="38"/>
      <c r="I583" s="38"/>
      <c r="J583" s="38"/>
      <c r="K583" s="38"/>
      <c r="L583" s="38"/>
      <c r="M583" s="38"/>
      <c r="N583" s="38"/>
      <c r="O583" s="38"/>
      <c r="P583" s="38"/>
      <c r="Q583" s="38"/>
      <c r="R583" s="38"/>
      <c r="S583" s="38"/>
      <c r="T583" s="38"/>
      <c r="U583" s="38"/>
      <c r="V583" s="38"/>
      <c r="W583" s="38"/>
      <c r="X583" s="38"/>
      <c r="Y583" s="34"/>
      <c r="Z583" s="34"/>
    </row>
    <row r="584" ht="15.75" hidden="1" customHeight="1">
      <c r="A584" s="38"/>
      <c r="B584" s="40"/>
      <c r="C584" s="36"/>
      <c r="D584" s="37"/>
      <c r="E584" s="37"/>
      <c r="F584" s="37"/>
      <c r="G584" s="38"/>
      <c r="H584" s="38"/>
      <c r="I584" s="38"/>
      <c r="J584" s="38"/>
      <c r="K584" s="38"/>
      <c r="L584" s="38"/>
      <c r="M584" s="38"/>
      <c r="N584" s="38"/>
      <c r="O584" s="38"/>
      <c r="P584" s="38"/>
      <c r="Q584" s="38"/>
      <c r="R584" s="38"/>
      <c r="S584" s="38"/>
      <c r="T584" s="38"/>
      <c r="U584" s="38"/>
      <c r="V584" s="38"/>
      <c r="W584" s="38"/>
      <c r="X584" s="38"/>
      <c r="Y584" s="34"/>
      <c r="Z584" s="34"/>
    </row>
    <row r="585" ht="15.75" hidden="1" customHeight="1">
      <c r="A585" s="38"/>
      <c r="B585" s="40"/>
      <c r="C585" s="36"/>
      <c r="D585" s="37"/>
      <c r="E585" s="37"/>
      <c r="F585" s="37"/>
      <c r="G585" s="38"/>
      <c r="H585" s="38"/>
      <c r="I585" s="38"/>
      <c r="J585" s="38"/>
      <c r="K585" s="38"/>
      <c r="L585" s="38"/>
      <c r="M585" s="38"/>
      <c r="N585" s="38"/>
      <c r="O585" s="38"/>
      <c r="P585" s="38"/>
      <c r="Q585" s="38"/>
      <c r="R585" s="38"/>
      <c r="S585" s="38"/>
      <c r="T585" s="38"/>
      <c r="U585" s="38"/>
      <c r="V585" s="38"/>
      <c r="W585" s="38"/>
      <c r="X585" s="38"/>
      <c r="Y585" s="34"/>
      <c r="Z585" s="34"/>
    </row>
    <row r="586" ht="15.75" hidden="1" customHeight="1">
      <c r="A586" s="38"/>
      <c r="B586" s="40"/>
      <c r="C586" s="36"/>
      <c r="D586" s="37"/>
      <c r="E586" s="37"/>
      <c r="F586" s="37"/>
      <c r="G586" s="38"/>
      <c r="H586" s="38"/>
      <c r="I586" s="38"/>
      <c r="J586" s="38"/>
      <c r="K586" s="38"/>
      <c r="L586" s="38"/>
      <c r="M586" s="38"/>
      <c r="N586" s="38"/>
      <c r="O586" s="38"/>
      <c r="P586" s="38"/>
      <c r="Q586" s="38"/>
      <c r="R586" s="38"/>
      <c r="S586" s="38"/>
      <c r="T586" s="38"/>
      <c r="U586" s="38"/>
      <c r="V586" s="38"/>
      <c r="W586" s="38"/>
      <c r="X586" s="38"/>
      <c r="Y586" s="34"/>
      <c r="Z586" s="34"/>
    </row>
    <row r="587" ht="15.75" hidden="1" customHeight="1">
      <c r="A587" s="38"/>
      <c r="B587" s="40"/>
      <c r="C587" s="36"/>
      <c r="D587" s="37"/>
      <c r="E587" s="37"/>
      <c r="F587" s="37"/>
      <c r="G587" s="38"/>
      <c r="H587" s="38"/>
      <c r="I587" s="38"/>
      <c r="J587" s="38"/>
      <c r="K587" s="38"/>
      <c r="L587" s="38"/>
      <c r="M587" s="38"/>
      <c r="N587" s="38"/>
      <c r="O587" s="38"/>
      <c r="P587" s="38"/>
      <c r="Q587" s="38"/>
      <c r="R587" s="38"/>
      <c r="S587" s="38"/>
      <c r="T587" s="38"/>
      <c r="U587" s="38"/>
      <c r="V587" s="38"/>
      <c r="W587" s="38"/>
      <c r="X587" s="38"/>
      <c r="Y587" s="34"/>
      <c r="Z587" s="34"/>
    </row>
    <row r="588" ht="15.75" hidden="1" customHeight="1">
      <c r="A588" s="38"/>
      <c r="B588" s="40"/>
      <c r="C588" s="36"/>
      <c r="D588" s="37"/>
      <c r="E588" s="37"/>
      <c r="F588" s="37"/>
      <c r="G588" s="38"/>
      <c r="H588" s="38"/>
      <c r="I588" s="38"/>
      <c r="J588" s="38"/>
      <c r="K588" s="38"/>
      <c r="L588" s="38"/>
      <c r="M588" s="38"/>
      <c r="N588" s="38"/>
      <c r="O588" s="38"/>
      <c r="P588" s="38"/>
      <c r="Q588" s="38"/>
      <c r="R588" s="38"/>
      <c r="S588" s="38"/>
      <c r="T588" s="38"/>
      <c r="U588" s="38"/>
      <c r="V588" s="38"/>
      <c r="W588" s="38"/>
      <c r="X588" s="38"/>
      <c r="Y588" s="34"/>
      <c r="Z588" s="34"/>
    </row>
    <row r="589" ht="15.75" hidden="1" customHeight="1">
      <c r="A589" s="38"/>
      <c r="B589" s="40"/>
      <c r="C589" s="36"/>
      <c r="D589" s="37"/>
      <c r="E589" s="37"/>
      <c r="F589" s="37"/>
      <c r="G589" s="38"/>
      <c r="H589" s="38"/>
      <c r="I589" s="38"/>
      <c r="J589" s="38"/>
      <c r="K589" s="38"/>
      <c r="L589" s="38"/>
      <c r="M589" s="38"/>
      <c r="N589" s="38"/>
      <c r="O589" s="38"/>
      <c r="P589" s="38"/>
      <c r="Q589" s="38"/>
      <c r="R589" s="38"/>
      <c r="S589" s="38"/>
      <c r="T589" s="38"/>
      <c r="U589" s="38"/>
      <c r="V589" s="38"/>
      <c r="W589" s="38"/>
      <c r="X589" s="38"/>
      <c r="Y589" s="34"/>
      <c r="Z589" s="34"/>
    </row>
    <row r="590" ht="15.75" hidden="1" customHeight="1">
      <c r="A590" s="38"/>
      <c r="B590" s="40"/>
      <c r="C590" s="36"/>
      <c r="D590" s="37"/>
      <c r="E590" s="37"/>
      <c r="F590" s="37"/>
      <c r="G590" s="38"/>
      <c r="H590" s="38"/>
      <c r="I590" s="38"/>
      <c r="J590" s="38"/>
      <c r="K590" s="38"/>
      <c r="L590" s="38"/>
      <c r="M590" s="38"/>
      <c r="N590" s="38"/>
      <c r="O590" s="38"/>
      <c r="P590" s="38"/>
      <c r="Q590" s="38"/>
      <c r="R590" s="38"/>
      <c r="S590" s="38"/>
      <c r="T590" s="38"/>
      <c r="U590" s="38"/>
      <c r="V590" s="38"/>
      <c r="W590" s="38"/>
      <c r="X590" s="38"/>
      <c r="Y590" s="34"/>
      <c r="Z590" s="34"/>
    </row>
    <row r="591" ht="15.75" hidden="1" customHeight="1">
      <c r="A591" s="38"/>
      <c r="B591" s="40"/>
      <c r="C591" s="36"/>
      <c r="D591" s="37"/>
      <c r="E591" s="37"/>
      <c r="F591" s="37"/>
      <c r="G591" s="38"/>
      <c r="H591" s="38"/>
      <c r="I591" s="38"/>
      <c r="J591" s="38"/>
      <c r="K591" s="38"/>
      <c r="L591" s="38"/>
      <c r="M591" s="38"/>
      <c r="N591" s="38"/>
      <c r="O591" s="38"/>
      <c r="P591" s="38"/>
      <c r="Q591" s="38"/>
      <c r="R591" s="38"/>
      <c r="S591" s="38"/>
      <c r="T591" s="38"/>
      <c r="U591" s="38"/>
      <c r="V591" s="38"/>
      <c r="W591" s="38"/>
      <c r="X591" s="38"/>
      <c r="Y591" s="34"/>
      <c r="Z591" s="34"/>
    </row>
    <row r="592" ht="15.75" hidden="1" customHeight="1">
      <c r="A592" s="38"/>
      <c r="B592" s="40"/>
      <c r="C592" s="36"/>
      <c r="D592" s="37"/>
      <c r="E592" s="37"/>
      <c r="F592" s="37"/>
      <c r="G592" s="38"/>
      <c r="H592" s="38"/>
      <c r="I592" s="38"/>
      <c r="J592" s="38"/>
      <c r="K592" s="38"/>
      <c r="L592" s="38"/>
      <c r="M592" s="38"/>
      <c r="N592" s="38"/>
      <c r="O592" s="38"/>
      <c r="P592" s="38"/>
      <c r="Q592" s="38"/>
      <c r="R592" s="38"/>
      <c r="S592" s="38"/>
      <c r="T592" s="38"/>
      <c r="U592" s="38"/>
      <c r="V592" s="38"/>
      <c r="W592" s="38"/>
      <c r="X592" s="38"/>
      <c r="Y592" s="34"/>
      <c r="Z592" s="34"/>
    </row>
    <row r="593" ht="15.75" hidden="1" customHeight="1">
      <c r="A593" s="38"/>
      <c r="B593" s="40"/>
      <c r="C593" s="36"/>
      <c r="D593" s="37"/>
      <c r="E593" s="37"/>
      <c r="F593" s="37"/>
      <c r="G593" s="38"/>
      <c r="H593" s="38"/>
      <c r="I593" s="38"/>
      <c r="J593" s="38"/>
      <c r="K593" s="38"/>
      <c r="L593" s="38"/>
      <c r="M593" s="38"/>
      <c r="N593" s="38"/>
      <c r="O593" s="38"/>
      <c r="P593" s="38"/>
      <c r="Q593" s="38"/>
      <c r="R593" s="38"/>
      <c r="S593" s="38"/>
      <c r="T593" s="38"/>
      <c r="U593" s="38"/>
      <c r="V593" s="38"/>
      <c r="W593" s="38"/>
      <c r="X593" s="38"/>
      <c r="Y593" s="34"/>
      <c r="Z593" s="34"/>
    </row>
    <row r="594" ht="15.75" hidden="1" customHeight="1">
      <c r="A594" s="38"/>
      <c r="B594" s="40"/>
      <c r="C594" s="36"/>
      <c r="D594" s="37"/>
      <c r="E594" s="37"/>
      <c r="F594" s="37"/>
      <c r="G594" s="38"/>
      <c r="H594" s="38"/>
      <c r="I594" s="38"/>
      <c r="J594" s="38"/>
      <c r="K594" s="38"/>
      <c r="L594" s="38"/>
      <c r="M594" s="38"/>
      <c r="N594" s="38"/>
      <c r="O594" s="38"/>
      <c r="P594" s="38"/>
      <c r="Q594" s="38"/>
      <c r="R594" s="38"/>
      <c r="S594" s="38"/>
      <c r="T594" s="38"/>
      <c r="U594" s="38"/>
      <c r="V594" s="38"/>
      <c r="W594" s="38"/>
      <c r="X594" s="38"/>
      <c r="Y594" s="34"/>
      <c r="Z594" s="34"/>
    </row>
    <row r="595" ht="15.75" hidden="1" customHeight="1">
      <c r="A595" s="38"/>
      <c r="B595" s="40"/>
      <c r="C595" s="36"/>
      <c r="D595" s="37"/>
      <c r="E595" s="37"/>
      <c r="F595" s="37"/>
      <c r="G595" s="38"/>
      <c r="H595" s="38"/>
      <c r="I595" s="38"/>
      <c r="J595" s="38"/>
      <c r="K595" s="38"/>
      <c r="L595" s="38"/>
      <c r="M595" s="38"/>
      <c r="N595" s="38"/>
      <c r="O595" s="38"/>
      <c r="P595" s="38"/>
      <c r="Q595" s="38"/>
      <c r="R595" s="38"/>
      <c r="S595" s="38"/>
      <c r="T595" s="38"/>
      <c r="U595" s="38"/>
      <c r="V595" s="38"/>
      <c r="W595" s="38"/>
      <c r="X595" s="38"/>
      <c r="Y595" s="34"/>
      <c r="Z595" s="34"/>
    </row>
    <row r="596" ht="15.75" hidden="1" customHeight="1">
      <c r="A596" s="38"/>
      <c r="B596" s="40"/>
      <c r="C596" s="36"/>
      <c r="D596" s="37"/>
      <c r="E596" s="37"/>
      <c r="F596" s="37"/>
      <c r="G596" s="38"/>
      <c r="H596" s="38"/>
      <c r="I596" s="38"/>
      <c r="J596" s="38"/>
      <c r="K596" s="38"/>
      <c r="L596" s="38"/>
      <c r="M596" s="38"/>
      <c r="N596" s="38"/>
      <c r="O596" s="38"/>
      <c r="P596" s="38"/>
      <c r="Q596" s="38"/>
      <c r="R596" s="38"/>
      <c r="S596" s="38"/>
      <c r="T596" s="38"/>
      <c r="U596" s="38"/>
      <c r="V596" s="38"/>
      <c r="W596" s="38"/>
      <c r="X596" s="38"/>
      <c r="Y596" s="34"/>
      <c r="Z596" s="34"/>
    </row>
    <row r="597" ht="15.75" hidden="1" customHeight="1">
      <c r="A597" s="38"/>
      <c r="B597" s="40"/>
      <c r="C597" s="36"/>
      <c r="D597" s="37"/>
      <c r="E597" s="37"/>
      <c r="F597" s="37"/>
      <c r="G597" s="38"/>
      <c r="H597" s="38"/>
      <c r="I597" s="38"/>
      <c r="J597" s="38"/>
      <c r="K597" s="38"/>
      <c r="L597" s="38"/>
      <c r="M597" s="38"/>
      <c r="N597" s="38"/>
      <c r="O597" s="38"/>
      <c r="P597" s="38"/>
      <c r="Q597" s="38"/>
      <c r="R597" s="38"/>
      <c r="S597" s="38"/>
      <c r="T597" s="38"/>
      <c r="U597" s="38"/>
      <c r="V597" s="38"/>
      <c r="W597" s="38"/>
      <c r="X597" s="38"/>
      <c r="Y597" s="34"/>
      <c r="Z597" s="34"/>
    </row>
    <row r="598" ht="15.75" hidden="1" customHeight="1">
      <c r="A598" s="38"/>
      <c r="B598" s="40"/>
      <c r="C598" s="36"/>
      <c r="D598" s="37"/>
      <c r="E598" s="37"/>
      <c r="F598" s="37"/>
      <c r="G598" s="38"/>
      <c r="H598" s="38"/>
      <c r="I598" s="38"/>
      <c r="J598" s="38"/>
      <c r="K598" s="38"/>
      <c r="L598" s="38"/>
      <c r="M598" s="38"/>
      <c r="N598" s="38"/>
      <c r="O598" s="38"/>
      <c r="P598" s="38"/>
      <c r="Q598" s="38"/>
      <c r="R598" s="38"/>
      <c r="S598" s="38"/>
      <c r="T598" s="38"/>
      <c r="U598" s="38"/>
      <c r="V598" s="38"/>
      <c r="W598" s="38"/>
      <c r="X598" s="38"/>
      <c r="Y598" s="34"/>
      <c r="Z598" s="34"/>
    </row>
    <row r="599" ht="15.75" hidden="1" customHeight="1">
      <c r="A599" s="38"/>
      <c r="B599" s="40"/>
      <c r="C599" s="36"/>
      <c r="D599" s="37"/>
      <c r="E599" s="37"/>
      <c r="F599" s="37"/>
      <c r="G599" s="38"/>
      <c r="H599" s="38"/>
      <c r="I599" s="38"/>
      <c r="J599" s="38"/>
      <c r="K599" s="38"/>
      <c r="L599" s="38"/>
      <c r="M599" s="38"/>
      <c r="N599" s="38"/>
      <c r="O599" s="38"/>
      <c r="P599" s="38"/>
      <c r="Q599" s="38"/>
      <c r="R599" s="38"/>
      <c r="S599" s="38"/>
      <c r="T599" s="38"/>
      <c r="U599" s="38"/>
      <c r="V599" s="38"/>
      <c r="W599" s="38"/>
      <c r="X599" s="38"/>
      <c r="Y599" s="34"/>
      <c r="Z599" s="34"/>
    </row>
    <row r="600" ht="15.75" hidden="1" customHeight="1">
      <c r="A600" s="38"/>
      <c r="B600" s="40"/>
      <c r="C600" s="36"/>
      <c r="D600" s="37"/>
      <c r="E600" s="37"/>
      <c r="F600" s="37"/>
      <c r="G600" s="38"/>
      <c r="H600" s="38"/>
      <c r="I600" s="38"/>
      <c r="J600" s="38"/>
      <c r="K600" s="38"/>
      <c r="L600" s="38"/>
      <c r="M600" s="38"/>
      <c r="N600" s="38"/>
      <c r="O600" s="38"/>
      <c r="P600" s="38"/>
      <c r="Q600" s="38"/>
      <c r="R600" s="38"/>
      <c r="S600" s="38"/>
      <c r="T600" s="38"/>
      <c r="U600" s="38"/>
      <c r="V600" s="38"/>
      <c r="W600" s="38"/>
      <c r="X600" s="38"/>
      <c r="Y600" s="34"/>
      <c r="Z600" s="34"/>
    </row>
    <row r="601" ht="15.75" hidden="1" customHeight="1">
      <c r="A601" s="38"/>
      <c r="B601" s="40"/>
      <c r="C601" s="36"/>
      <c r="D601" s="37"/>
      <c r="E601" s="37"/>
      <c r="F601" s="37"/>
      <c r="G601" s="38"/>
      <c r="H601" s="38"/>
      <c r="I601" s="38"/>
      <c r="J601" s="38"/>
      <c r="K601" s="38"/>
      <c r="L601" s="38"/>
      <c r="M601" s="38"/>
      <c r="N601" s="38"/>
      <c r="O601" s="38"/>
      <c r="P601" s="38"/>
      <c r="Q601" s="38"/>
      <c r="R601" s="38"/>
      <c r="S601" s="38"/>
      <c r="T601" s="38"/>
      <c r="U601" s="38"/>
      <c r="V601" s="38"/>
      <c r="W601" s="38"/>
      <c r="X601" s="38"/>
      <c r="Y601" s="34"/>
      <c r="Z601" s="34"/>
    </row>
    <row r="602" ht="15.75" hidden="1" customHeight="1">
      <c r="A602" s="38"/>
      <c r="B602" s="40"/>
      <c r="C602" s="36"/>
      <c r="D602" s="37"/>
      <c r="E602" s="37"/>
      <c r="F602" s="37"/>
      <c r="G602" s="38"/>
      <c r="H602" s="38"/>
      <c r="I602" s="38"/>
      <c r="J602" s="38"/>
      <c r="K602" s="38"/>
      <c r="L602" s="38"/>
      <c r="M602" s="38"/>
      <c r="N602" s="38"/>
      <c r="O602" s="38"/>
      <c r="P602" s="38"/>
      <c r="Q602" s="38"/>
      <c r="R602" s="38"/>
      <c r="S602" s="38"/>
      <c r="T602" s="38"/>
      <c r="U602" s="38"/>
      <c r="V602" s="38"/>
      <c r="W602" s="38"/>
      <c r="X602" s="38"/>
      <c r="Y602" s="34"/>
      <c r="Z602" s="34"/>
    </row>
    <row r="603" ht="15.75" hidden="1" customHeight="1">
      <c r="A603" s="38"/>
      <c r="B603" s="40"/>
      <c r="C603" s="36"/>
      <c r="D603" s="37"/>
      <c r="E603" s="37"/>
      <c r="F603" s="37"/>
      <c r="G603" s="38"/>
      <c r="H603" s="38"/>
      <c r="I603" s="38"/>
      <c r="J603" s="38"/>
      <c r="K603" s="38"/>
      <c r="L603" s="38"/>
      <c r="M603" s="38"/>
      <c r="N603" s="38"/>
      <c r="O603" s="38"/>
      <c r="P603" s="38"/>
      <c r="Q603" s="38"/>
      <c r="R603" s="38"/>
      <c r="S603" s="38"/>
      <c r="T603" s="38"/>
      <c r="U603" s="38"/>
      <c r="V603" s="38"/>
      <c r="W603" s="38"/>
      <c r="X603" s="38"/>
      <c r="Y603" s="34"/>
      <c r="Z603" s="34"/>
    </row>
    <row r="604" ht="15.75" hidden="1" customHeight="1">
      <c r="A604" s="38"/>
      <c r="B604" s="40"/>
      <c r="C604" s="36"/>
      <c r="D604" s="37"/>
      <c r="E604" s="37"/>
      <c r="F604" s="37"/>
      <c r="G604" s="38"/>
      <c r="H604" s="38"/>
      <c r="I604" s="38"/>
      <c r="J604" s="38"/>
      <c r="K604" s="38"/>
      <c r="L604" s="38"/>
      <c r="M604" s="38"/>
      <c r="N604" s="38"/>
      <c r="O604" s="38"/>
      <c r="P604" s="38"/>
      <c r="Q604" s="38"/>
      <c r="R604" s="38"/>
      <c r="S604" s="38"/>
      <c r="T604" s="38"/>
      <c r="U604" s="38"/>
      <c r="V604" s="38"/>
      <c r="W604" s="38"/>
      <c r="X604" s="38"/>
      <c r="Y604" s="34"/>
      <c r="Z604" s="34"/>
    </row>
    <row r="605" ht="15.75" hidden="1" customHeight="1">
      <c r="A605" s="38"/>
      <c r="B605" s="40"/>
      <c r="C605" s="36"/>
      <c r="D605" s="37"/>
      <c r="E605" s="37"/>
      <c r="F605" s="37"/>
      <c r="G605" s="38"/>
      <c r="H605" s="38"/>
      <c r="I605" s="38"/>
      <c r="J605" s="38"/>
      <c r="K605" s="38"/>
      <c r="L605" s="38"/>
      <c r="M605" s="38"/>
      <c r="N605" s="38"/>
      <c r="O605" s="38"/>
      <c r="P605" s="38"/>
      <c r="Q605" s="38"/>
      <c r="R605" s="38"/>
      <c r="S605" s="38"/>
      <c r="T605" s="38"/>
      <c r="U605" s="38"/>
      <c r="V605" s="38"/>
      <c r="W605" s="38"/>
      <c r="X605" s="38"/>
      <c r="Y605" s="34"/>
      <c r="Z605" s="34"/>
    </row>
    <row r="606" ht="15.75" hidden="1" customHeight="1">
      <c r="A606" s="38"/>
      <c r="B606" s="40"/>
      <c r="C606" s="36"/>
      <c r="D606" s="37"/>
      <c r="E606" s="37"/>
      <c r="F606" s="37"/>
      <c r="G606" s="38"/>
      <c r="H606" s="38"/>
      <c r="I606" s="38"/>
      <c r="J606" s="38"/>
      <c r="K606" s="38"/>
      <c r="L606" s="38"/>
      <c r="M606" s="38"/>
      <c r="N606" s="38"/>
      <c r="O606" s="38"/>
      <c r="P606" s="38"/>
      <c r="Q606" s="38"/>
      <c r="R606" s="38"/>
      <c r="S606" s="38"/>
      <c r="T606" s="38"/>
      <c r="U606" s="38"/>
      <c r="V606" s="38"/>
      <c r="W606" s="38"/>
      <c r="X606" s="38"/>
      <c r="Y606" s="34"/>
      <c r="Z606" s="34"/>
    </row>
    <row r="607" ht="15.75" hidden="1" customHeight="1">
      <c r="A607" s="38"/>
      <c r="B607" s="40"/>
      <c r="C607" s="36"/>
      <c r="D607" s="37"/>
      <c r="E607" s="37"/>
      <c r="F607" s="37"/>
      <c r="G607" s="38"/>
      <c r="H607" s="38"/>
      <c r="I607" s="38"/>
      <c r="J607" s="38"/>
      <c r="K607" s="38"/>
      <c r="L607" s="38"/>
      <c r="M607" s="38"/>
      <c r="N607" s="38"/>
      <c r="O607" s="38"/>
      <c r="P607" s="38"/>
      <c r="Q607" s="38"/>
      <c r="R607" s="38"/>
      <c r="S607" s="38"/>
      <c r="T607" s="38"/>
      <c r="U607" s="38"/>
      <c r="V607" s="38"/>
      <c r="W607" s="38"/>
      <c r="X607" s="38"/>
      <c r="Y607" s="34"/>
      <c r="Z607" s="34"/>
    </row>
    <row r="608" ht="15.75" hidden="1" customHeight="1">
      <c r="A608" s="38"/>
      <c r="B608" s="40"/>
      <c r="C608" s="36"/>
      <c r="D608" s="37"/>
      <c r="E608" s="37"/>
      <c r="F608" s="37"/>
      <c r="G608" s="38"/>
      <c r="H608" s="38"/>
      <c r="I608" s="38"/>
      <c r="J608" s="38"/>
      <c r="K608" s="38"/>
      <c r="L608" s="38"/>
      <c r="M608" s="38"/>
      <c r="N608" s="38"/>
      <c r="O608" s="38"/>
      <c r="P608" s="38"/>
      <c r="Q608" s="38"/>
      <c r="R608" s="38"/>
      <c r="S608" s="38"/>
      <c r="T608" s="38"/>
      <c r="U608" s="38"/>
      <c r="V608" s="38"/>
      <c r="W608" s="38"/>
      <c r="X608" s="38"/>
      <c r="Y608" s="34"/>
      <c r="Z608" s="34"/>
    </row>
    <row r="609" ht="15.75" hidden="1" customHeight="1">
      <c r="A609" s="38"/>
      <c r="B609" s="40"/>
      <c r="C609" s="36"/>
      <c r="D609" s="37"/>
      <c r="E609" s="37"/>
      <c r="F609" s="37"/>
      <c r="G609" s="38"/>
      <c r="H609" s="38"/>
      <c r="I609" s="38"/>
      <c r="J609" s="38"/>
      <c r="K609" s="38"/>
      <c r="L609" s="38"/>
      <c r="M609" s="38"/>
      <c r="N609" s="38"/>
      <c r="O609" s="38"/>
      <c r="P609" s="38"/>
      <c r="Q609" s="38"/>
      <c r="R609" s="38"/>
      <c r="S609" s="38"/>
      <c r="T609" s="38"/>
      <c r="U609" s="38"/>
      <c r="V609" s="38"/>
      <c r="W609" s="38"/>
      <c r="X609" s="38"/>
      <c r="Y609" s="34"/>
      <c r="Z609" s="34"/>
    </row>
    <row r="610" ht="15.75" hidden="1" customHeight="1">
      <c r="A610" s="38"/>
      <c r="B610" s="40"/>
      <c r="C610" s="36"/>
      <c r="D610" s="37"/>
      <c r="E610" s="37"/>
      <c r="F610" s="37"/>
      <c r="G610" s="38"/>
      <c r="H610" s="38"/>
      <c r="I610" s="38"/>
      <c r="J610" s="38"/>
      <c r="K610" s="38"/>
      <c r="L610" s="38"/>
      <c r="M610" s="38"/>
      <c r="N610" s="38"/>
      <c r="O610" s="38"/>
      <c r="P610" s="38"/>
      <c r="Q610" s="38"/>
      <c r="R610" s="38"/>
      <c r="S610" s="38"/>
      <c r="T610" s="38"/>
      <c r="U610" s="38"/>
      <c r="V610" s="38"/>
      <c r="W610" s="38"/>
      <c r="X610" s="38"/>
      <c r="Y610" s="34"/>
      <c r="Z610" s="34"/>
    </row>
    <row r="611" ht="15.75" hidden="1" customHeight="1">
      <c r="A611" s="38"/>
      <c r="B611" s="40"/>
      <c r="C611" s="36"/>
      <c r="D611" s="37"/>
      <c r="E611" s="37"/>
      <c r="F611" s="37"/>
      <c r="G611" s="38"/>
      <c r="H611" s="38"/>
      <c r="I611" s="38"/>
      <c r="J611" s="38"/>
      <c r="K611" s="38"/>
      <c r="L611" s="38"/>
      <c r="M611" s="38"/>
      <c r="N611" s="38"/>
      <c r="O611" s="38"/>
      <c r="P611" s="38"/>
      <c r="Q611" s="38"/>
      <c r="R611" s="38"/>
      <c r="S611" s="38"/>
      <c r="T611" s="38"/>
      <c r="U611" s="38"/>
      <c r="V611" s="38"/>
      <c r="W611" s="38"/>
      <c r="X611" s="38"/>
      <c r="Y611" s="34"/>
      <c r="Z611" s="34"/>
    </row>
    <row r="612" ht="15.75" hidden="1" customHeight="1">
      <c r="A612" s="38"/>
      <c r="B612" s="40"/>
      <c r="C612" s="36"/>
      <c r="D612" s="37"/>
      <c r="E612" s="37"/>
      <c r="F612" s="37"/>
      <c r="G612" s="38"/>
      <c r="H612" s="38"/>
      <c r="I612" s="38"/>
      <c r="J612" s="38"/>
      <c r="K612" s="38"/>
      <c r="L612" s="38"/>
      <c r="M612" s="38"/>
      <c r="N612" s="38"/>
      <c r="O612" s="38"/>
      <c r="P612" s="38"/>
      <c r="Q612" s="38"/>
      <c r="R612" s="38"/>
      <c r="S612" s="38"/>
      <c r="T612" s="38"/>
      <c r="U612" s="38"/>
      <c r="V612" s="38"/>
      <c r="W612" s="38"/>
      <c r="X612" s="38"/>
      <c r="Y612" s="34"/>
      <c r="Z612" s="34"/>
    </row>
    <row r="613" ht="15.75" hidden="1" customHeight="1">
      <c r="A613" s="38"/>
      <c r="B613" s="40"/>
      <c r="C613" s="36"/>
      <c r="D613" s="37"/>
      <c r="E613" s="37"/>
      <c r="F613" s="37"/>
      <c r="G613" s="38"/>
      <c r="H613" s="38"/>
      <c r="I613" s="38"/>
      <c r="J613" s="38"/>
      <c r="K613" s="38"/>
      <c r="L613" s="38"/>
      <c r="M613" s="38"/>
      <c r="N613" s="38"/>
      <c r="O613" s="38"/>
      <c r="P613" s="38"/>
      <c r="Q613" s="38"/>
      <c r="R613" s="38"/>
      <c r="S613" s="38"/>
      <c r="T613" s="38"/>
      <c r="U613" s="38"/>
      <c r="V613" s="38"/>
      <c r="W613" s="38"/>
      <c r="X613" s="38"/>
      <c r="Y613" s="34"/>
      <c r="Z613" s="34"/>
    </row>
    <row r="614" ht="15.75" hidden="1" customHeight="1">
      <c r="A614" s="38"/>
      <c r="B614" s="40"/>
      <c r="C614" s="36"/>
      <c r="D614" s="37"/>
      <c r="E614" s="37"/>
      <c r="F614" s="37"/>
      <c r="G614" s="38"/>
      <c r="H614" s="38"/>
      <c r="I614" s="38"/>
      <c r="J614" s="38"/>
      <c r="K614" s="38"/>
      <c r="L614" s="38"/>
      <c r="M614" s="38"/>
      <c r="N614" s="38"/>
      <c r="O614" s="38"/>
      <c r="P614" s="38"/>
      <c r="Q614" s="38"/>
      <c r="R614" s="38"/>
      <c r="S614" s="38"/>
      <c r="T614" s="38"/>
      <c r="U614" s="38"/>
      <c r="V614" s="38"/>
      <c r="W614" s="38"/>
      <c r="X614" s="38"/>
      <c r="Y614" s="34"/>
      <c r="Z614" s="34"/>
    </row>
    <row r="615" ht="15.75" hidden="1" customHeight="1">
      <c r="A615" s="38"/>
      <c r="B615" s="40"/>
      <c r="C615" s="36"/>
      <c r="D615" s="37"/>
      <c r="E615" s="37"/>
      <c r="F615" s="37"/>
      <c r="G615" s="38"/>
      <c r="H615" s="38"/>
      <c r="I615" s="38"/>
      <c r="J615" s="38"/>
      <c r="K615" s="38"/>
      <c r="L615" s="38"/>
      <c r="M615" s="38"/>
      <c r="N615" s="38"/>
      <c r="O615" s="38"/>
      <c r="P615" s="38"/>
      <c r="Q615" s="38"/>
      <c r="R615" s="38"/>
      <c r="S615" s="38"/>
      <c r="T615" s="38"/>
      <c r="U615" s="38"/>
      <c r="V615" s="38"/>
      <c r="W615" s="38"/>
      <c r="X615" s="38"/>
      <c r="Y615" s="34"/>
      <c r="Z615" s="34"/>
    </row>
    <row r="616" ht="15.75" hidden="1" customHeight="1">
      <c r="A616" s="38"/>
      <c r="B616" s="40"/>
      <c r="C616" s="36"/>
      <c r="D616" s="37"/>
      <c r="E616" s="37"/>
      <c r="F616" s="37"/>
      <c r="G616" s="38"/>
      <c r="H616" s="38"/>
      <c r="I616" s="38"/>
      <c r="J616" s="38"/>
      <c r="K616" s="38"/>
      <c r="L616" s="38"/>
      <c r="M616" s="38"/>
      <c r="N616" s="38"/>
      <c r="O616" s="38"/>
      <c r="P616" s="38"/>
      <c r="Q616" s="38"/>
      <c r="R616" s="38"/>
      <c r="S616" s="38"/>
      <c r="T616" s="38"/>
      <c r="U616" s="38"/>
      <c r="V616" s="38"/>
      <c r="W616" s="38"/>
      <c r="X616" s="38"/>
      <c r="Y616" s="34"/>
      <c r="Z616" s="34"/>
    </row>
    <row r="617" ht="15.75" hidden="1" customHeight="1">
      <c r="A617" s="38"/>
      <c r="B617" s="40"/>
      <c r="C617" s="36"/>
      <c r="D617" s="37"/>
      <c r="E617" s="37"/>
      <c r="F617" s="37"/>
      <c r="G617" s="38"/>
      <c r="H617" s="38"/>
      <c r="I617" s="38"/>
      <c r="J617" s="38"/>
      <c r="K617" s="38"/>
      <c r="L617" s="38"/>
      <c r="M617" s="38"/>
      <c r="N617" s="38"/>
      <c r="O617" s="38"/>
      <c r="P617" s="38"/>
      <c r="Q617" s="38"/>
      <c r="R617" s="38"/>
      <c r="S617" s="38"/>
      <c r="T617" s="38"/>
      <c r="U617" s="38"/>
      <c r="V617" s="38"/>
      <c r="W617" s="38"/>
      <c r="X617" s="38"/>
      <c r="Y617" s="34"/>
      <c r="Z617" s="34"/>
    </row>
    <row r="618" ht="15.75" hidden="1" customHeight="1">
      <c r="A618" s="38"/>
      <c r="B618" s="40"/>
      <c r="C618" s="36"/>
      <c r="D618" s="37"/>
      <c r="E618" s="37"/>
      <c r="F618" s="37"/>
      <c r="G618" s="38"/>
      <c r="H618" s="38"/>
      <c r="I618" s="38"/>
      <c r="J618" s="38"/>
      <c r="K618" s="38"/>
      <c r="L618" s="38"/>
      <c r="M618" s="38"/>
      <c r="N618" s="38"/>
      <c r="O618" s="38"/>
      <c r="P618" s="38"/>
      <c r="Q618" s="38"/>
      <c r="R618" s="38"/>
      <c r="S618" s="38"/>
      <c r="T618" s="38"/>
      <c r="U618" s="38"/>
      <c r="V618" s="38"/>
      <c r="W618" s="38"/>
      <c r="X618" s="38"/>
      <c r="Y618" s="34"/>
      <c r="Z618" s="34"/>
    </row>
    <row r="619" ht="15.75" hidden="1" customHeight="1">
      <c r="A619" s="38"/>
      <c r="B619" s="40"/>
      <c r="C619" s="36"/>
      <c r="D619" s="37"/>
      <c r="E619" s="37"/>
      <c r="F619" s="37"/>
      <c r="G619" s="38"/>
      <c r="H619" s="38"/>
      <c r="I619" s="38"/>
      <c r="J619" s="38"/>
      <c r="K619" s="38"/>
      <c r="L619" s="38"/>
      <c r="M619" s="38"/>
      <c r="N619" s="38"/>
      <c r="O619" s="38"/>
      <c r="P619" s="38"/>
      <c r="Q619" s="38"/>
      <c r="R619" s="38"/>
      <c r="S619" s="38"/>
      <c r="T619" s="38"/>
      <c r="U619" s="38"/>
      <c r="V619" s="38"/>
      <c r="W619" s="38"/>
      <c r="X619" s="38"/>
      <c r="Y619" s="34"/>
      <c r="Z619" s="34"/>
    </row>
    <row r="620" ht="15.75" hidden="1" customHeight="1">
      <c r="A620" s="38"/>
      <c r="B620" s="40"/>
      <c r="C620" s="36"/>
      <c r="D620" s="37"/>
      <c r="E620" s="37"/>
      <c r="F620" s="37"/>
      <c r="G620" s="38"/>
      <c r="H620" s="38"/>
      <c r="I620" s="38"/>
      <c r="J620" s="38"/>
      <c r="K620" s="38"/>
      <c r="L620" s="38"/>
      <c r="M620" s="38"/>
      <c r="N620" s="38"/>
      <c r="O620" s="38"/>
      <c r="P620" s="38"/>
      <c r="Q620" s="38"/>
      <c r="R620" s="38"/>
      <c r="S620" s="38"/>
      <c r="T620" s="38"/>
      <c r="U620" s="38"/>
      <c r="V620" s="38"/>
      <c r="W620" s="38"/>
      <c r="X620" s="38"/>
      <c r="Y620" s="34"/>
      <c r="Z620" s="34"/>
    </row>
    <row r="621" ht="15.75" hidden="1" customHeight="1">
      <c r="A621" s="38"/>
      <c r="B621" s="40"/>
      <c r="C621" s="36"/>
      <c r="D621" s="37"/>
      <c r="E621" s="37"/>
      <c r="F621" s="37"/>
      <c r="G621" s="38"/>
      <c r="H621" s="38"/>
      <c r="I621" s="38"/>
      <c r="J621" s="38"/>
      <c r="K621" s="38"/>
      <c r="L621" s="38"/>
      <c r="M621" s="38"/>
      <c r="N621" s="38"/>
      <c r="O621" s="38"/>
      <c r="P621" s="38"/>
      <c r="Q621" s="38"/>
      <c r="R621" s="38"/>
      <c r="S621" s="38"/>
      <c r="T621" s="38"/>
      <c r="U621" s="38"/>
      <c r="V621" s="38"/>
      <c r="W621" s="38"/>
      <c r="X621" s="38"/>
      <c r="Y621" s="34"/>
      <c r="Z621" s="34"/>
    </row>
    <row r="622" ht="15.75" hidden="1" customHeight="1">
      <c r="A622" s="38"/>
      <c r="B622" s="40"/>
      <c r="C622" s="36"/>
      <c r="D622" s="37"/>
      <c r="E622" s="37"/>
      <c r="F622" s="37"/>
      <c r="G622" s="38"/>
      <c r="H622" s="38"/>
      <c r="I622" s="38"/>
      <c r="J622" s="38"/>
      <c r="K622" s="38"/>
      <c r="L622" s="38"/>
      <c r="M622" s="38"/>
      <c r="N622" s="38"/>
      <c r="O622" s="38"/>
      <c r="P622" s="38"/>
      <c r="Q622" s="38"/>
      <c r="R622" s="38"/>
      <c r="S622" s="38"/>
      <c r="T622" s="38"/>
      <c r="U622" s="38"/>
      <c r="V622" s="38"/>
      <c r="W622" s="38"/>
      <c r="X622" s="38"/>
      <c r="Y622" s="34"/>
      <c r="Z622" s="34"/>
    </row>
    <row r="623" ht="15.75" hidden="1" customHeight="1">
      <c r="A623" s="38"/>
      <c r="B623" s="40"/>
      <c r="C623" s="36"/>
      <c r="D623" s="37"/>
      <c r="E623" s="37"/>
      <c r="F623" s="37"/>
      <c r="G623" s="38"/>
      <c r="H623" s="38"/>
      <c r="I623" s="38"/>
      <c r="J623" s="38"/>
      <c r="K623" s="38"/>
      <c r="L623" s="38"/>
      <c r="M623" s="38"/>
      <c r="N623" s="38"/>
      <c r="O623" s="38"/>
      <c r="P623" s="38"/>
      <c r="Q623" s="38"/>
      <c r="R623" s="38"/>
      <c r="S623" s="38"/>
      <c r="T623" s="38"/>
      <c r="U623" s="38"/>
      <c r="V623" s="38"/>
      <c r="W623" s="38"/>
      <c r="X623" s="38"/>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ht="15.75" customHeight="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sheetData>
  <mergeCells count="39">
    <mergeCell ref="A2:B2"/>
    <mergeCell ref="A9:A10"/>
    <mergeCell ref="B9:B10"/>
    <mergeCell ref="A12:A13"/>
    <mergeCell ref="B12:B13"/>
    <mergeCell ref="A15:A16"/>
    <mergeCell ref="B15:B16"/>
    <mergeCell ref="A26:A27"/>
    <mergeCell ref="B26:B27"/>
    <mergeCell ref="A32:A51"/>
    <mergeCell ref="A56:A84"/>
    <mergeCell ref="A89:A118"/>
    <mergeCell ref="A123:A126"/>
    <mergeCell ref="A145:A147"/>
    <mergeCell ref="A156:A159"/>
    <mergeCell ref="A168:A186"/>
    <mergeCell ref="A191:A207"/>
    <mergeCell ref="A212:A223"/>
    <mergeCell ref="A232:A237"/>
    <mergeCell ref="A242:A246"/>
    <mergeCell ref="A251:A254"/>
    <mergeCell ref="A259:A261"/>
    <mergeCell ref="A262:A264"/>
    <mergeCell ref="A265:A267"/>
    <mergeCell ref="A268:A270"/>
    <mergeCell ref="A275:A277"/>
    <mergeCell ref="A283:A287"/>
    <mergeCell ref="A296:A298"/>
    <mergeCell ref="A373:A379"/>
    <mergeCell ref="A385:A393"/>
    <mergeCell ref="A395:A397"/>
    <mergeCell ref="A399:A401"/>
    <mergeCell ref="A300:A309"/>
    <mergeCell ref="A311:A320"/>
    <mergeCell ref="A322:A325"/>
    <mergeCell ref="A331:A335"/>
    <mergeCell ref="A337:A339"/>
    <mergeCell ref="A344:A352"/>
    <mergeCell ref="A357:A368"/>
  </mergeCells>
  <conditionalFormatting sqref="D32:F51 F81">
    <cfRule type="notContainsBlanks" dxfId="0" priority="1">
      <formula>LEN(TRIM(D32))&gt;0</formula>
    </cfRule>
  </conditionalFormatting>
  <dataValidations>
    <dataValidation type="list" allowBlank="1" showErrorMessage="1" sqref="D185:F186 D206:F207 F402">
      <formula1>$H$422:$H$423</formula1>
    </dataValidation>
    <dataValidation type="custom" allowBlank="1" showDropDown="1" sqref="J212:J223">
      <formula1>REGEXMATCH(J32,"[-a-zA-Z0-9@:%._\+~#=]{1,256}\.[a-zA-Z0-9()]{1,6}\b([-a-zA-Z0-9()@:%_\+.~#?&amp;//=]*)")</formula1>
    </dataValidation>
    <dataValidation type="custom" allowBlank="1" showDropDown="1" sqref="H402:H403">
      <formula1>REGEXMATCH(H48,"[-a-zA-Z0-9@:%._\+~#=]{1,256}\.[a-zA-Z0-9()]{1,6}\b([-a-zA-Z0-9()@:%_\+.~#?&amp;//=]*)")</formula1>
    </dataValidation>
    <dataValidation type="list" allowBlank="1" showErrorMessage="1" sqref="D32:F51 D56:F81">
      <formula1>$A$422:$A$423</formula1>
    </dataValidation>
    <dataValidation type="custom" allowBlank="1" showDropDown="1" sqref="J140">
      <formula1>REGEXMATCH(J32,"[-a-zA-Z0-9@:%._\+~#=]{1,256}\.[a-zA-Z0-9()]{1,6}\b([-a-zA-Z0-9()@:%_\+.~#?&amp;//=]*)")</formula1>
    </dataValidation>
    <dataValidation type="custom" allowBlank="1" showDropDown="1" sqref="J156:J159">
      <formula1>REGEXMATCH(J32,"[-a-zA-Z0-9@:%._\+~#=]{1,256}\.[a-zA-Z0-9()]{1,6}\b([-a-zA-Z0-9()@:%_\+.~#?&amp;//=]*)")</formula1>
    </dataValidation>
    <dataValidation type="custom" allowBlank="1" showDropDown="1" sqref="J32:J51">
      <formula1>REGEXMATCH(J32,"[-a-zA-Z0-9@:%._\+~#=]{1,256}\.[a-zA-Z0-9()]{1,6}\b([-a-zA-Z0-9()@:%_\+.~#?&amp;//=]*)")</formula1>
    </dataValidation>
    <dataValidation type="custom" allowBlank="1" showDropDown="1" sqref="J152">
      <formula1>REGEXMATCH(J32,"[-a-zA-Z0-9@:%._\+~#=]{1,256}\.[a-zA-Z0-9()]{1,6}\b([-a-zA-Z0-9()@:%_\+.~#?&amp;//=]*)")</formula1>
    </dataValidation>
    <dataValidation type="list" allowBlank="1" showErrorMessage="1" sqref="D402">
      <formula1>$H$422:$H$423</formula1>
    </dataValidation>
    <dataValidation type="custom" allowBlank="1" showDropDown="1" sqref="H357:H369">
      <formula1>REGEXMATCH(H32,"[-a-zA-Z0-9@:%._\+~#=]{1,256}\.[a-zA-Z0-9()]{1,6}\b([-a-zA-Z0-9()@:%_\+.~#?&amp;//=]*)")=REGEXMATCH(H32,"[-a-zA-Z0-9@:%._\+~#=]{1,256}\.[a-zA-Z0-9()]{1,6}\b([-a-zA-Z0-9()@:%_\+.~#?&amp;//=]*)")</formula1>
    </dataValidation>
    <dataValidation type="custom" allowBlank="1" showDropDown="1" sqref="J357:J368">
      <formula1>REGEXMATCH(J32,"[-a-zA-Z0-9@:%._\+~#=]{1,256}\.[a-zA-Z0-9()]{1,6}\b([-a-zA-Z0-9()@:%_\+.~#?&amp;//=]*)")</formula1>
    </dataValidation>
    <dataValidation type="custom" allowBlank="1" showDropDown="1" sqref="J131">
      <formula1>REGEXMATCH(J32,"[-a-zA-Z0-9@:%._\+~#=]{1,256}\.[a-zA-Z0-9()]{1,6}\b([-a-zA-Z0-9()@:%_\+.~#?&amp;//=]*)")</formula1>
    </dataValidation>
    <dataValidation type="list" allowBlank="1" showErrorMessage="1" sqref="D157:F157 D159:F159 D171:F171 D174:F174 D179:F180 D194:F196 D200:F201 D215:F216 D219:F219 E265:F270 D309:F309 D318:F319 D358:F358 D377:F378 D396:F397 D399:F399 D401:F401">
      <formula1>$D$422:$D$423</formula1>
    </dataValidation>
    <dataValidation type="custom" allowBlank="1" showDropDown="1" sqref="H344:H352 J344:J352">
      <formula1>REGEXMATCH(H32,"[-a-zA-Z0-9@:%._\+~#=]{1,256}\.[a-zA-Z0-9()]{1,6}\b([-a-zA-Z0-9()@:%_\+.~#?&amp;//=]*)")</formula1>
    </dataValidation>
    <dataValidation type="custom" allowBlank="1" showDropDown="1" sqref="H282:H287 J282:J287">
      <formula1>REGEXMATCH(H32,"[-a-zA-Z0-9@:%._\+~#=]{1,256}\.[a-zA-Z0-9()]{1,6}\b([-a-zA-Z0-9()@:%_\+.~#?&amp;//=]*)")</formula1>
    </dataValidation>
    <dataValidation type="custom" allowBlank="1" showDropDown="1" sqref="H251:H254 J251:J254">
      <formula1>REGEXMATCH(H32,"[-a-zA-Z0-9@:%._\+~#=]{1,256}\.[a-zA-Z0-9()]{1,6}\b([-a-zA-Z0-9()@:%_\+.~#?&amp;//=]*)")</formula1>
    </dataValidation>
    <dataValidation type="list" allowBlank="1" showErrorMessage="1" sqref="D353:F353">
      <formula1>#REF!</formula1>
    </dataValidation>
    <dataValidation type="custom" allowBlank="1" showDropDown="1" sqref="H373:H379 J373:J379">
      <formula1>REGEXMATCH(H32,"[-a-zA-Z0-9@:%._\+~#=]{1,256}\.[a-zA-Z0-9()]{1,6}\b([-a-zA-Z0-9()@:%_\+.~#?&amp;//=]*)")</formula1>
    </dataValidation>
    <dataValidation type="custom" allowBlank="1" showDropDown="1" showInputMessage="1" prompt="Please provide a valid link to justify scoring" sqref="H140">
      <formula1>REGEXMATCH(H32,"[-a-zA-Z0-9@:%._\+~#=]{1,256}\.[a-zA-Z0-9()]{1,6}\b([-a-zA-Z0-9()@:%_\+.~#?&amp;//=]*)")</formula1>
    </dataValidation>
    <dataValidation type="custom" allowBlank="1" showDropDown="1" showInputMessage="1" prompt="Please provide a valid link to justify scoring" sqref="H156:H159">
      <formula1>REGEXMATCH(H32,"[-a-zA-Z0-9@:%._\+~#=]{1,256}\.[a-zA-Z0-9()]{1,6}\b([-a-zA-Z0-9()@:%_\+.~#?&amp;//=]*)")</formula1>
    </dataValidation>
    <dataValidation type="custom" allowBlank="1" showDropDown="1" sqref="H296:H325 J296:J325">
      <formula1>REGEXMATCH(H32,"[-a-zA-Z0-9@:%._\+~#=]{1,256}\.[a-zA-Z0-9()]{1,6}\b([-a-zA-Z0-9()@:%_\+.~#?&amp;//=]*)")</formula1>
    </dataValidation>
    <dataValidation type="custom" allowBlank="1" showDropDown="1" sqref="J123:J126">
      <formula1>REGEXMATCH(J32,"[-a-zA-Z0-9@:%._\+~#=]{1,256}\.[a-zA-Z0-9()]{1,6}\b([-a-zA-Z0-9()@:%_\+.~#?&amp;//=]*)")</formula1>
    </dataValidation>
    <dataValidation type="custom" allowBlank="1" showDropDown="1" showInputMessage="1" prompt="Please provide a valid link to justify scoring" sqref="H152">
      <formula1>REGEXMATCH(H32,"[-a-zA-Z0-9@:%._\+~#=]{1,256}\.[a-zA-Z0-9()]{1,6}\b([-a-zA-Z0-9()@:%_\+.~#?&amp;//=]*)")</formula1>
    </dataValidation>
    <dataValidation type="custom" allowBlank="1" showDropDown="1" sqref="J191:J207">
      <formula1>REGEXMATCH(J32,"[-a-zA-Z0-9@:%._\+~#=]{1,256}\.[a-zA-Z0-9()]{1,6}\b([-a-zA-Z0-9()@:%_\+.~#?&amp;//=]*)")</formula1>
    </dataValidation>
    <dataValidation type="custom" allowBlank="1" showDropDown="1" showInputMessage="1" prompt="Please provide a valid link to justify scoring" sqref="H145:H147">
      <formula1>REGEXMATCH(H32,"[-a-zA-Z0-9@:%._\+~#=]{1,256}\.[a-zA-Z0-9()]{1,6}\b([-a-zA-Z0-9()@:%_\+.~#?&amp;//=]*)")</formula1>
    </dataValidation>
    <dataValidation type="list" allowBlank="1" showErrorMessage="1" sqref="D126:E126">
      <formula1>$C$422:$C$423</formula1>
    </dataValidation>
    <dataValidation type="custom" allowBlank="1" showDropDown="1" showInputMessage="1" prompt="Please provide a valid link to justify scoring" sqref="H232:H237">
      <formula1>REGEXMATCH(H32,"[-a-zA-Z0-9@:%._\+~#=]{1,256}\.[a-zA-Z0-9()]{1,6}\b([-a-zA-Z0-9()@:%_\+.~#?&amp;//=]*)")</formula1>
    </dataValidation>
    <dataValidation type="custom" allowBlank="1" showDropDown="1" showInputMessage="1" prompt="Please provide a valid link to justify scoring" sqref="H242:H246">
      <formula1>REGEXMATCH(H32,"[-a-zA-Z0-9@:%._\+~#=]{1,256}\.[a-zA-Z0-9()]{1,6}\b([-a-zA-Z0-9()@:%_\+.~#?&amp;//=]*)")</formula1>
    </dataValidation>
    <dataValidation type="custom" allowBlank="1" showDropDown="1" showInputMessage="1" prompt="Please provide a valid link to justify scoring" sqref="H32:H51 H56:H84 H89:H118">
      <formula1>REGEXMATCH(H32,"[-a-zA-Z0-9@:%._\+~#=]{1,256}\.[a-zA-Z0-9()]{1,6}\b([-a-zA-Z0-9()@:%_\+.~#?&amp;//=]*)")</formula1>
    </dataValidation>
    <dataValidation type="custom" allowBlank="1" showDropDown="1" showInputMessage="1" prompt="Please provide a valid link to justify scoring" sqref="H168:H186">
      <formula1>REGEXMATCH(H32,"[-a-zA-Z0-9@:%._\+~#=]{1,256}\.[a-zA-Z0-9()]{1,6}\b([-a-zA-Z0-9()@:%_\+.~#?&amp;//=]*)")</formula1>
    </dataValidation>
    <dataValidation type="custom" allowBlank="1" showDropDown="1" sqref="J168:J186">
      <formula1>REGEXMATCH(J32,"[-a-zA-Z0-9@:%._\+~#=]{1,256}\.[a-zA-Z0-9()]{1,6}\b([-a-zA-Z0-9()@:%_\+.~#?&amp;//=]*)")</formula1>
    </dataValidation>
    <dataValidation type="custom" allowBlank="1" showDropDown="1" sqref="J56:J84">
      <formula1>REGEXMATCH(J32,"[-a-zA-Z0-9@:%._\+~#=]{1,256}\.[a-zA-Z0-9()]{1,6}\b([-a-zA-Z0-9()@:%_\+.~#?&amp;//=]*)")</formula1>
    </dataValidation>
    <dataValidation type="custom" allowBlank="1" showDropDown="1" sqref="J89:J118">
      <formula1>REGEXMATCH(J32,"[-a-zA-Z0-9@:%._\+~#=]{1,256}\.[a-zA-Z0-9()]{1,6}\b([-a-zA-Z0-9()@:%_\+.~#?&amp;//=]*)")</formula1>
    </dataValidation>
    <dataValidation type="list" allowBlank="1" showErrorMessage="1" sqref="D82:F82 D89:F118 D123:F124">
      <formula1>$B$422:$B$423</formula1>
    </dataValidation>
    <dataValidation type="list" allowBlank="1" showErrorMessage="1" sqref="D83:F84 D125:F125 F126 D131:F131 D140:F140 D145:F147 D152:F152 D156:F156 D158:F158 D172:F173 D175:F178 D181:F184 D197:F199 D202:F205 D217:F218 D220:F223 D232:F237 D242:F246 D251:F254 D259:F264 D265:D270 D275:F277 D282:F287 D296:F298 D300:F308 D311:F317 D320:F320 D322:F325 D331:F335 D337:F339 D344:F352 D357:F357 D359:F369 D373:F376 D379:F379 D385:F393 D395:F395 D400:F400 E402 D403:F403 F423">
      <formula1>$C$422:$C$423</formula1>
    </dataValidation>
    <dataValidation type="custom" allowBlank="1" showDropDown="1" showInputMessage="1" prompt="Please provide a valid link to justify scoring" sqref="H123:H126">
      <formula1>REGEXMATCH(H32,"[-a-zA-Z0-9@:%._\+~#=]{1,256}\.[a-zA-Z0-9()]{1,6}\b([-a-zA-Z0-9()@:%_\+.~#?&amp;//=]*)")</formula1>
    </dataValidation>
    <dataValidation type="custom" allowBlank="1" showDropDown="1" sqref="J232:J237">
      <formula1>REGEXMATCH(J32,"[-a-zA-Z0-9@:%._\+~#=]{1,256}\.[a-zA-Z0-9()]{1,6}\b([-a-zA-Z0-9()@:%_\+.~#?&amp;//=]*)")</formula1>
    </dataValidation>
    <dataValidation type="custom" allowBlank="1" showDropDown="1" sqref="H275:H277 J275:J277">
      <formula1>REGEXMATCH(H32,"[-a-zA-Z0-9@:%._\+~#=]{1,256}\.[a-zA-Z0-9()]{1,6}\b([-a-zA-Z0-9()@:%_\+.~#?&amp;//=]*)")</formula1>
    </dataValidation>
    <dataValidation type="custom" allowBlank="1" showDropDown="1" sqref="H385:H401 J385:J401">
      <formula1>REGEXMATCH(H32,"[-a-zA-Z0-9@:%._\+~#=]{1,256}\.[a-zA-Z0-9()]{1,6}\b([-a-zA-Z0-9()@:%_\+.~#?&amp;//=]*)")</formula1>
    </dataValidation>
    <dataValidation type="custom" allowBlank="1" showDropDown="1" showInputMessage="1" prompt="Please provide a valid link to justify scoring" sqref="H212:H223">
      <formula1>REGEXMATCH(H32,"[-a-zA-Z0-9@:%._\+~#=]{1,256}\.[a-zA-Z0-9()]{1,6}\b([-a-zA-Z0-9()@:%_\+.~#?&amp;//=]*)")</formula1>
    </dataValidation>
    <dataValidation type="custom" allowBlank="1" showDropDown="1" sqref="J242:J246">
      <formula1>REGEXMATCH(J32,"[-a-zA-Z0-9@:%._\+~#=]{1,256}\.[a-zA-Z0-9()]{1,6}\b([-a-zA-Z0-9()@:%_\+.~#?&amp;//=]*)")</formula1>
    </dataValidation>
    <dataValidation type="custom" allowBlank="1" showDropDown="1" sqref="J145:J147">
      <formula1>REGEXMATCH(J32,"[-a-zA-Z0-9@:%._\+~#=]{1,256}\.[a-zA-Z0-9()]{1,6}\b([-a-zA-Z0-9()@:%_\+.~#?&amp;//=]*)")</formula1>
    </dataValidation>
    <dataValidation type="list" allowBlank="1" showErrorMessage="1" sqref="D168:F170 D191:F193 D212:F214">
      <formula1>$E$422:$E$423</formula1>
    </dataValidation>
    <dataValidation type="custom" allowBlank="1" showDropDown="1" showInputMessage="1" prompt="Please provide a valid link to justify scoring" sqref="H191:H207">
      <formula1>REGEXMATCH(H32,"[-a-zA-Z0-9@:%._\+~#=]{1,256}\.[a-zA-Z0-9()]{1,6}\b([-a-zA-Z0-9()@:%_\+.~#?&amp;//=]*)")</formula1>
    </dataValidation>
    <dataValidation type="custom" allowBlank="1" showDropDown="1" sqref="H331:H339 J331:J339">
      <formula1>REGEXMATCH(H32,"[-a-zA-Z0-9@:%._\+~#=]{1,256}\.[a-zA-Z0-9()]{1,6}\b([-a-zA-Z0-9()@:%_\+.~#?&amp;//=]*)")</formula1>
    </dataValidation>
    <dataValidation type="custom" allowBlank="1" showDropDown="1" sqref="H259:H270 J259:J270">
      <formula1>REGEXMATCH(H32,"[-a-zA-Z0-9@:%._\+~#=]{1,256}\.[a-zA-Z0-9()]{1,6}\b([-a-zA-Z0-9()@:%_\+.~#?&amp;//=]*)")</formula1>
    </dataValidation>
    <dataValidation type="custom" allowBlank="1" showDropDown="1" sqref="J369">
      <formula1>REGEXMATCH(J32,"[-a-zA-Z0-9@:%._\+~#=]{1,256}\.[a-zA-Z0-9()]{1,6}\b([-a-zA-Z0-9()@:%_\+.~#?&amp;//=]*)")</formula1>
    </dataValidation>
    <dataValidation type="custom" allowBlank="1" showDropDown="1" showInputMessage="1" prompt="Please provide a valid link to justify scoring" sqref="H131">
      <formula1>REGEXMATCH(H32,"[-a-zA-Z0-9@:%._\+~#=]{1,256}\.[a-zA-Z0-9()]{1,6}\b([-a-zA-Z0-9()@:%_\+.~#?&amp;//=]*)")</formula1>
    </dataValidation>
  </dataValidations>
  <hyperlinks>
    <hyperlink r:id="rId1" ref="G48"/>
    <hyperlink r:id="rId2" ref="G68"/>
    <hyperlink r:id="rId3" ref="G98"/>
    <hyperlink r:id="rId4" ref="G107"/>
    <hyperlink r:id="rId5" ref="G152"/>
    <hyperlink r:id="rId6" ref="G159"/>
    <hyperlink r:id="rId7" ref="G173"/>
    <hyperlink r:id="rId8" ref="G296"/>
    <hyperlink r:id="rId9" ref="G297"/>
    <hyperlink r:id="rId10" ref="A300"/>
    <hyperlink r:id="rId11" ref="G315"/>
    <hyperlink r:id="rId12" location="gid=0" ref="G344"/>
    <hyperlink r:id="rId13" ref="G368"/>
    <hyperlink r:id="rId14" ref="G369"/>
    <hyperlink r:id="rId15" ref="G390"/>
    <hyperlink r:id="rId16" ref="G396"/>
    <hyperlink r:id="rId17" ref="G402"/>
  </hyperlinks>
  <printOptions/>
  <pageMargins bottom="1.0" footer="0.0" header="0.0" left="0.75" right="0.75" top="1.0"/>
  <pageSetup paperSize="9" orientation="portrait"/>
  <drawing r:id="rId18"/>
</worksheet>
</file>