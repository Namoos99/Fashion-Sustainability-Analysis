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-2023" sheetId="1" r:id="rId4"/>
    <sheet state="visible" name="2018-2023" sheetId="2" r:id="rId5"/>
    <sheet state="visible" name="2019-2023" sheetId="3" r:id="rId6"/>
    <sheet state="visible" name="2020-2023" sheetId="4" r:id="rId7"/>
    <sheet state="visible" name="2021-2023" sheetId="5" r:id="rId8"/>
    <sheet state="visible" name="2022-2023" sheetId="6" r:id="rId9"/>
    <sheet state="hidden" name="S1 Totals" sheetId="7" r:id="rId10"/>
    <sheet state="hidden" name="S2 Totals" sheetId="8" r:id="rId11"/>
    <sheet state="hidden" name="S3 Totals" sheetId="9" r:id="rId12"/>
    <sheet state="hidden" name="S4 Totals" sheetId="10" r:id="rId13"/>
    <sheet state="hidden" name="S5 Totals" sheetId="11" r:id="rId14"/>
  </sheets>
  <definedNames>
    <definedName hidden="1" localSheetId="0" name="_xlnm._FilterDatabase">'2017-2023'!$A$1:$U$426</definedName>
    <definedName hidden="1" localSheetId="1" name="_xlnm._FilterDatabase">'2018-2023'!$A$1:$R$285</definedName>
    <definedName hidden="1" localSheetId="2" name="_xlnm._FilterDatabase">'2019-2023'!$A$1:$O$245</definedName>
    <definedName hidden="1" localSheetId="3" name="_xlnm._FilterDatabase">'2020-2023'!$A$1:$L$248</definedName>
    <definedName hidden="1" localSheetId="4" name="_xlnm._FilterDatabase">'2021-2023'!$A$1:$H$248</definedName>
    <definedName hidden="1" localSheetId="5" name="_xlnm._FilterDatabase">'2022-2023'!$A$1:$Z$249</definedName>
  </definedNames>
  <calcPr/>
</workbook>
</file>

<file path=xl/sharedStrings.xml><?xml version="1.0" encoding="utf-8"?>
<sst xmlns="http://schemas.openxmlformats.org/spreadsheetml/2006/main" count="2554" uniqueCount="359">
  <si>
    <t>Brand Name
Note: 90 brands included in the Index since 2017</t>
  </si>
  <si>
    <t>2023 FINAL SCORE</t>
  </si>
  <si>
    <t>2023 FINAL PERCENTAGE</t>
  </si>
  <si>
    <t>2022 FINAL SCORE</t>
  </si>
  <si>
    <t>2022 FINAL PERCENTAGE</t>
  </si>
  <si>
    <t>% change in score 2022-2023</t>
  </si>
  <si>
    <t>2021 Final scores</t>
  </si>
  <si>
    <t>2021 FINAL PERCENTAGES</t>
  </si>
  <si>
    <t>% change in score 2021-2023</t>
  </si>
  <si>
    <t>2020 Final scores</t>
  </si>
  <si>
    <t>2020 FINAL PERCENTAGES</t>
  </si>
  <si>
    <t>% change in score 2020-2023</t>
  </si>
  <si>
    <t>2019 Final scores</t>
  </si>
  <si>
    <t>2019 FINAL PERCENTAGES</t>
  </si>
  <si>
    <t>% change in score 2019-2023</t>
  </si>
  <si>
    <t>2018 Final scores</t>
  </si>
  <si>
    <t>2018 FINAL PERCENTAGES</t>
  </si>
  <si>
    <t>% change in score 2018-2023</t>
  </si>
  <si>
    <t xml:space="preserve">2017 Final scores </t>
  </si>
  <si>
    <t>% change in score 2017-2023</t>
  </si>
  <si>
    <t>Abercrombie &amp; Fitch</t>
  </si>
  <si>
    <t>Marks &amp; Spencer</t>
  </si>
  <si>
    <t>Mexx</t>
  </si>
  <si>
    <t>Amazon</t>
  </si>
  <si>
    <t>American Eagle</t>
  </si>
  <si>
    <t>Anthropologie</t>
  </si>
  <si>
    <t>Armani</t>
  </si>
  <si>
    <t>Aeropostale</t>
  </si>
  <si>
    <t>ASICS</t>
  </si>
  <si>
    <t>ASOS</t>
  </si>
  <si>
    <t>TJ Maxx</t>
  </si>
  <si>
    <t>Bershka</t>
  </si>
  <si>
    <t>Bottega Veneta</t>
  </si>
  <si>
    <t>Burberry</t>
  </si>
  <si>
    <t>Lands' End</t>
  </si>
  <si>
    <t>C&amp;A</t>
  </si>
  <si>
    <t>Calvin Klein</t>
  </si>
  <si>
    <t>Calzedonia</t>
  </si>
  <si>
    <t>Champion</t>
  </si>
  <si>
    <t>Chanel</t>
  </si>
  <si>
    <t>Costco</t>
  </si>
  <si>
    <t>COACH</t>
  </si>
  <si>
    <t>Columbia Sportswear</t>
  </si>
  <si>
    <t>Converse</t>
  </si>
  <si>
    <t>Ross Dress for Less</t>
  </si>
  <si>
    <t>Dillard's</t>
  </si>
  <si>
    <t>Dior</t>
  </si>
  <si>
    <t>Ermenegildo Zegna</t>
  </si>
  <si>
    <t>Esprit</t>
  </si>
  <si>
    <t>Triumph</t>
  </si>
  <si>
    <t>Heilan Home</t>
  </si>
  <si>
    <t>Gildan</t>
  </si>
  <si>
    <t>Gucci</t>
  </si>
  <si>
    <t>GUESS</t>
  </si>
  <si>
    <t>H&amp;M</t>
  </si>
  <si>
    <t>Hanes</t>
  </si>
  <si>
    <t>Walmart</t>
  </si>
  <si>
    <t>Banana Republic</t>
  </si>
  <si>
    <t>Hudson's Bay</t>
  </si>
  <si>
    <t>Hugo Boss</t>
  </si>
  <si>
    <t>Jack &amp; Jones</t>
  </si>
  <si>
    <t>Jordan</t>
  </si>
  <si>
    <t>Reebok</t>
  </si>
  <si>
    <t>Lacoste</t>
  </si>
  <si>
    <t>Gap</t>
  </si>
  <si>
    <t>Levi Strauss &amp; Co</t>
  </si>
  <si>
    <t>Old Navy</t>
  </si>
  <si>
    <t>Louis Vuitton</t>
  </si>
  <si>
    <t>Lululemon</t>
  </si>
  <si>
    <t>Macy's</t>
  </si>
  <si>
    <t>Mango</t>
  </si>
  <si>
    <t>Express</t>
  </si>
  <si>
    <t>Massimo Dutti</t>
  </si>
  <si>
    <t>Matalan</t>
  </si>
  <si>
    <t>Kohl's</t>
  </si>
  <si>
    <t>Asda</t>
  </si>
  <si>
    <t>Miu Miu</t>
  </si>
  <si>
    <t>New Balance</t>
  </si>
  <si>
    <t>New Look</t>
  </si>
  <si>
    <t>Next</t>
  </si>
  <si>
    <t>Nike</t>
  </si>
  <si>
    <t>Target</t>
  </si>
  <si>
    <t>Nordstrom</t>
  </si>
  <si>
    <t>Prada</t>
  </si>
  <si>
    <t>Primark</t>
  </si>
  <si>
    <t>Pull&amp;Bear</t>
  </si>
  <si>
    <t>Puma</t>
  </si>
  <si>
    <t>Ralph Lauren</t>
  </si>
  <si>
    <t>LL Bean</t>
  </si>
  <si>
    <t>Adidas</t>
  </si>
  <si>
    <t>Russell Athletic</t>
  </si>
  <si>
    <t>s.Oliver</t>
  </si>
  <si>
    <t>SAINT LAURENT</t>
  </si>
  <si>
    <t>Saks Fifth Avenue</t>
  </si>
  <si>
    <t>Chico's</t>
  </si>
  <si>
    <t>Tesco</t>
  </si>
  <si>
    <t>The North Face</t>
  </si>
  <si>
    <t>Timberland</t>
  </si>
  <si>
    <t>Hermès</t>
  </si>
  <si>
    <t>Tommy Hilfiger</t>
  </si>
  <si>
    <t>Michael Kors</t>
  </si>
  <si>
    <t>Under Armour</t>
  </si>
  <si>
    <t>Uniqlo</t>
  </si>
  <si>
    <t>United Colors of Benetton</t>
  </si>
  <si>
    <t>Urban Outfitters</t>
  </si>
  <si>
    <t>Victoria's Secret</t>
  </si>
  <si>
    <t>Burlington</t>
  </si>
  <si>
    <t>Wrangler</t>
  </si>
  <si>
    <t>Zalando</t>
  </si>
  <si>
    <t>Zara</t>
  </si>
  <si>
    <t>Brand Name
Note: 136 brands included in the Index the since 2018</t>
  </si>
  <si>
    <t>2022 FINAL PERCENTAGES</t>
  </si>
  <si>
    <t>% change 2022-223</t>
  </si>
  <si>
    <t>ANTA</t>
  </si>
  <si>
    <t>Bloomingdale's</t>
  </si>
  <si>
    <t>Bonprix</t>
  </si>
  <si>
    <t>Buckle</t>
  </si>
  <si>
    <t>Carolina Herrera</t>
  </si>
  <si>
    <t>Cortefiel</t>
  </si>
  <si>
    <t>Decathlon</t>
  </si>
  <si>
    <t>Desigual</t>
  </si>
  <si>
    <t>Dick's Sporting Goods</t>
  </si>
  <si>
    <t>Diesel</t>
  </si>
  <si>
    <t>Dolce &amp; Gabbana</t>
  </si>
  <si>
    <t>Dressmann</t>
  </si>
  <si>
    <t>El Corte Inglés</t>
  </si>
  <si>
    <t>Falabella</t>
  </si>
  <si>
    <t>Fendi</t>
  </si>
  <si>
    <t>Foot Locker</t>
  </si>
  <si>
    <t>G-Star RAW</t>
  </si>
  <si>
    <t>JD Sports</t>
  </si>
  <si>
    <t>Joe Fresh</t>
  </si>
  <si>
    <t>John Lewis</t>
  </si>
  <si>
    <t>Kate Spade</t>
  </si>
  <si>
    <t>KiK</t>
  </si>
  <si>
    <t>Lidl</t>
  </si>
  <si>
    <t>Lindex</t>
  </si>
  <si>
    <t>Longchamp</t>
  </si>
  <si>
    <t>Marc Jacobs</t>
  </si>
  <si>
    <t>Max Mara</t>
  </si>
  <si>
    <t>Monoprix</t>
  </si>
  <si>
    <t>New Yorker</t>
  </si>
  <si>
    <t>Nine West</t>
  </si>
  <si>
    <t>OVS</t>
  </si>
  <si>
    <t>Sainsbury's</t>
  </si>
  <si>
    <t>Salvatore Ferragamo</t>
  </si>
  <si>
    <t>Sandro</t>
  </si>
  <si>
    <t>Sports Direct</t>
  </si>
  <si>
    <t>Stradivarius</t>
  </si>
  <si>
    <t>Superdry</t>
  </si>
  <si>
    <t>Takko</t>
  </si>
  <si>
    <t>Tchibo</t>
  </si>
  <si>
    <t>Tory Burch</t>
  </si>
  <si>
    <t>Valentino</t>
  </si>
  <si>
    <t>Van Heusen</t>
  </si>
  <si>
    <t>Vans</t>
  </si>
  <si>
    <t>Vero Moda</t>
  </si>
  <si>
    <t>Versace</t>
  </si>
  <si>
    <t>Youngor</t>
  </si>
  <si>
    <t>Brand Name
Note: 184 brands included in the Index since 2019</t>
  </si>
  <si>
    <t>% change 2022-2023</t>
  </si>
  <si>
    <t>ALDI Nord</t>
  </si>
  <si>
    <t>ALDI SOUTH</t>
  </si>
  <si>
    <t>ALDO</t>
  </si>
  <si>
    <t>BCBGMAXAZRIA</t>
  </si>
  <si>
    <t>Beanpole</t>
  </si>
  <si>
    <t>boohoo</t>
  </si>
  <si>
    <t>Brunello Cucinelli</t>
  </si>
  <si>
    <t>CAROLL</t>
  </si>
  <si>
    <t>Carrefour</t>
  </si>
  <si>
    <t>CELINE</t>
  </si>
  <si>
    <t>Clarks</t>
  </si>
  <si>
    <t>DSW</t>
  </si>
  <si>
    <t>Eddie Bauer</t>
  </si>
  <si>
    <t>Famous Footwear</t>
  </si>
  <si>
    <t>Fanatics</t>
  </si>
  <si>
    <t>Fossil</t>
  </si>
  <si>
    <t>Furla</t>
  </si>
  <si>
    <t>Intimissimi</t>
  </si>
  <si>
    <t>Ito-Yokado</t>
  </si>
  <si>
    <t>K-Way</t>
  </si>
  <si>
    <t>Li-Ning</t>
  </si>
  <si>
    <t>Mammut</t>
  </si>
  <si>
    <t>Marni</t>
  </si>
  <si>
    <t>Merrell</t>
  </si>
  <si>
    <t>Metersbonwe</t>
  </si>
  <si>
    <t>Mizuno</t>
  </si>
  <si>
    <t>Moncler</t>
  </si>
  <si>
    <t>MRP</t>
  </si>
  <si>
    <t>Muji</t>
  </si>
  <si>
    <t>Patagonia</t>
  </si>
  <si>
    <t>Pimkie</t>
  </si>
  <si>
    <t>Prisma</t>
  </si>
  <si>
    <t>REVOLVE</t>
  </si>
  <si>
    <t>River Island</t>
  </si>
  <si>
    <t>Skechers</t>
  </si>
  <si>
    <t>Speedo</t>
  </si>
  <si>
    <t>Steve Madden</t>
  </si>
  <si>
    <t>Ted Baker</t>
  </si>
  <si>
    <t>Tezenis</t>
  </si>
  <si>
    <t>Tod's</t>
  </si>
  <si>
    <t>Tom Ford</t>
  </si>
  <si>
    <t>Tom Tailor</t>
  </si>
  <si>
    <t>Tommy Bahama</t>
  </si>
  <si>
    <t>TOPVALU COLLECTION</t>
  </si>
  <si>
    <t>UGG</t>
  </si>
  <si>
    <t>Very</t>
  </si>
  <si>
    <t>Brand Name
Note: 232 brands included in the Index since 2020</t>
  </si>
  <si>
    <t>2022 FINAL SCORES</t>
  </si>
  <si>
    <t>% change in 2022-2023</t>
  </si>
  <si>
    <t>Aritzia</t>
  </si>
  <si>
    <t>Balenciaga</t>
  </si>
  <si>
    <t>Bally</t>
  </si>
  <si>
    <t>Belle</t>
  </si>
  <si>
    <t>Big Bazaar - ffb</t>
  </si>
  <si>
    <t>Big W</t>
  </si>
  <si>
    <t>Billabong</t>
  </si>
  <si>
    <t>Bosideng</t>
  </si>
  <si>
    <t>Brooks Sport</t>
  </si>
  <si>
    <t>Canada Goose</t>
  </si>
  <si>
    <t>Carhartt</t>
  </si>
  <si>
    <t>celio</t>
  </si>
  <si>
    <t>Chloé</t>
  </si>
  <si>
    <t>Cotton On</t>
  </si>
  <si>
    <t>Disney</t>
  </si>
  <si>
    <t>DKNY</t>
  </si>
  <si>
    <t>Dr. Martens</t>
  </si>
  <si>
    <t>Fashion Nova</t>
  </si>
  <si>
    <t>Fila</t>
  </si>
  <si>
    <t>Fjällräven</t>
  </si>
  <si>
    <t>Foschini</t>
  </si>
  <si>
    <t>Free people</t>
  </si>
  <si>
    <t>Gerry Weber</t>
  </si>
  <si>
    <t>Helly Hansen</t>
  </si>
  <si>
    <t>HEMA</t>
  </si>
  <si>
    <t>Hollister Co.</t>
  </si>
  <si>
    <t>Jil Sander</t>
  </si>
  <si>
    <t>Jockey</t>
  </si>
  <si>
    <t>Kathmandu</t>
  </si>
  <si>
    <t>Kaufland</t>
  </si>
  <si>
    <t>Kmart</t>
  </si>
  <si>
    <t>Kmart Australia</t>
  </si>
  <si>
    <t>KOOVS</t>
  </si>
  <si>
    <t>La Redoute</t>
  </si>
  <si>
    <t>Morrisons</t>
  </si>
  <si>
    <t>Otto</t>
  </si>
  <si>
    <t>Pepe Jeans</t>
  </si>
  <si>
    <t>PrettyLittleThing</t>
  </si>
  <si>
    <t>Quiksilver</t>
  </si>
  <si>
    <t>REI</t>
  </si>
  <si>
    <t>Reliance Trends</t>
  </si>
  <si>
    <t>Reserved</t>
  </si>
  <si>
    <t>Roxy</t>
  </si>
  <si>
    <t>Target Australia</t>
  </si>
  <si>
    <t>The Children's Place</t>
  </si>
  <si>
    <t>The Warehouse</t>
  </si>
  <si>
    <t>Truworths</t>
  </si>
  <si>
    <t>United Arrows</t>
  </si>
  <si>
    <t>Woolworths South Africa</t>
  </si>
  <si>
    <t>Zeeman</t>
  </si>
  <si>
    <t>Brand Name
Note: 243 brands included in the Index since 2021</t>
  </si>
  <si>
    <t>% change in score 2020-2021</t>
  </si>
  <si>
    <t>AJIO</t>
  </si>
  <si>
    <t>Carter's</t>
  </si>
  <si>
    <t>Deichmann</t>
  </si>
  <si>
    <t>Fruit of the Loom</t>
  </si>
  <si>
    <t>GU</t>
  </si>
  <si>
    <t>Kiabi</t>
  </si>
  <si>
    <t>LC Waikiki</t>
  </si>
  <si>
    <t>Paris</t>
  </si>
  <si>
    <t>Semir</t>
  </si>
  <si>
    <t>SHEIN</t>
  </si>
  <si>
    <t>Splash</t>
  </si>
  <si>
    <t>Brand Name
Note: 247 brands included in the Index since 2021</t>
  </si>
  <si>
    <t>Free People</t>
  </si>
  <si>
    <t>Jack Wolfskin</t>
  </si>
  <si>
    <t xml:space="preserve">Max </t>
  </si>
  <si>
    <t>Romwe</t>
  </si>
  <si>
    <t>Shimamura</t>
  </si>
  <si>
    <t>Brand Name</t>
  </si>
  <si>
    <t>2022 Final scores - SECTION 1</t>
  </si>
  <si>
    <t>2022 FINAL PERCENTAGES -  SECTION 1</t>
  </si>
  <si>
    <t>2021 Final scores - SECTION 1</t>
  </si>
  <si>
    <t>2021 FINAL PERCENTAGES -  SECTION 1</t>
  </si>
  <si>
    <t>% change in score 2021-2022</t>
  </si>
  <si>
    <t>2020 Final scores - SECTION 1</t>
  </si>
  <si>
    <t>2020 FINAL PERCENTAGES -  SECTION 1</t>
  </si>
  <si>
    <t>% change in score 2020-2022</t>
  </si>
  <si>
    <t>2019 Final scores - SECTION 1</t>
  </si>
  <si>
    <t>2019 FINAL PERCENTAGES -  SECTION 1</t>
  </si>
  <si>
    <t>% change in score 2019-2022</t>
  </si>
  <si>
    <t>2018 Final scores - SECTION 1</t>
  </si>
  <si>
    <t>2018 FINAL PERCENTAGES -  SECTION 1</t>
  </si>
  <si>
    <t>% change in score 2018-2022</t>
  </si>
  <si>
    <t>2017 Final scores  - SECTION 1</t>
  </si>
  <si>
    <t>2017 FINAL PERCENTAGES - SECTION 1</t>
  </si>
  <si>
    <t>% change in score 2017-2022</t>
  </si>
  <si>
    <r>
      <rPr>
        <rFont val="Calibri, Arial"/>
        <b/>
        <color rgb="FF000000"/>
        <sz val="12.0"/>
      </rPr>
      <t xml:space="preserve">Brooks </t>
    </r>
    <r>
      <rPr>
        <rFont val="Calibri, Arial"/>
        <b/>
        <color rgb="FF000000"/>
        <sz val="12.0"/>
      </rPr>
      <t>Sports</t>
    </r>
  </si>
  <si>
    <t>Cole Haan</t>
  </si>
  <si>
    <t>Elie Tahari</t>
  </si>
  <si>
    <t>Justfab</t>
  </si>
  <si>
    <t>Please note brands have been listed only in alphabetised order</t>
  </si>
  <si>
    <t>Please note 2017, 2018, 2019 and 2020 scores have been copied from last year's report and entered here manually for comparison purposes</t>
  </si>
  <si>
    <t>Please note the brands in green are new for 2021 and were not reviewed and scored in the 2017, 2018, 2019 or 2020 report</t>
  </si>
  <si>
    <t>2022 Final scores - SECTION 2</t>
  </si>
  <si>
    <t>2022 FINAL PERCENTAGES -  SECTION 2</t>
  </si>
  <si>
    <t>2021 Final scores - SECTION 2</t>
  </si>
  <si>
    <t>2021 FINAL PERCENTAGES -  SECTION 2</t>
  </si>
  <si>
    <t>2020 Final scores - SECTION 2</t>
  </si>
  <si>
    <t>2020 FINAL PERCENTAGES -  SECTION 2</t>
  </si>
  <si>
    <t>2019 Final scores - SECTION 2</t>
  </si>
  <si>
    <t>2019 FINAL PERCENTAGES -  SECTION 2</t>
  </si>
  <si>
    <t>% change in score 2019-2020</t>
  </si>
  <si>
    <t>2018 Final scores - SECTION 2</t>
  </si>
  <si>
    <t>2018 FINAL PERCENTAGES -  SECTION 2</t>
  </si>
  <si>
    <t>% change in score 2018-2020</t>
  </si>
  <si>
    <t>2017 Final scores  - SECTION 2</t>
  </si>
  <si>
    <t>2017 FINAL PERCENTAGES - SECTION 2</t>
  </si>
  <si>
    <t>% change in score 2017-2020</t>
  </si>
  <si>
    <r>
      <rPr>
        <rFont val="Calibri, Arial"/>
        <b/>
        <color rgb="FF000000"/>
        <sz val="12.0"/>
      </rPr>
      <t xml:space="preserve">Brooks </t>
    </r>
    <r>
      <rPr>
        <rFont val="Calibri, Arial"/>
        <b/>
        <color rgb="FF000000"/>
        <sz val="12.0"/>
      </rPr>
      <t>Sports</t>
    </r>
  </si>
  <si>
    <t>2022 Final scores - SECTION 3</t>
  </si>
  <si>
    <t>2022 FINAL PERCENTAGES -  SECTION 3</t>
  </si>
  <si>
    <t>2021 Final scores - SECTION 3</t>
  </si>
  <si>
    <t>2021 FINAL PERCENTAGES -  SECTION 3</t>
  </si>
  <si>
    <t>2020 Final scores - SECTION 3</t>
  </si>
  <si>
    <t>2020 FINAL PERCENTAGES -  SECTION 3</t>
  </si>
  <si>
    <t>2019 Final scores - SECTION 3</t>
  </si>
  <si>
    <t>2019 FINAL PERCENTAGES -  SECTION 3</t>
  </si>
  <si>
    <t>2018 Final scores - SECTION 3</t>
  </si>
  <si>
    <t>2018 FINAL PERCENTAGES -  SECTION 3</t>
  </si>
  <si>
    <t>2017 Final scores  - SECTION 3</t>
  </si>
  <si>
    <t>2017 FINAL PERCENTAGES - SECTION 3</t>
  </si>
  <si>
    <t>Percentage of brands in the Index, which have been targeted by the Transparency Pledge</t>
  </si>
  <si>
    <r>
      <rPr>
        <rFont val="Calibri, Arial"/>
        <b/>
        <color rgb="FF000000"/>
        <sz val="12.0"/>
      </rPr>
      <t xml:space="preserve">Brooks </t>
    </r>
    <r>
      <rPr>
        <rFont val="Calibri, Arial"/>
        <b/>
        <color rgb="FF000000"/>
        <sz val="12.0"/>
      </rPr>
      <t>Sports</t>
    </r>
  </si>
  <si>
    <t>Dillards</t>
  </si>
  <si>
    <t>2022 Final scores - SECTION 4</t>
  </si>
  <si>
    <t>2022 FINAL PERCENTAGES -  SECTION 4</t>
  </si>
  <si>
    <t>2021 Final scores - SECTION 4</t>
  </si>
  <si>
    <t>2021 FINAL PERCENTAGES -  SECTION 4</t>
  </si>
  <si>
    <t>2020 Final scores - SECTION 4</t>
  </si>
  <si>
    <t>2020 FINAL PERCENTAGES -  SECTION 4</t>
  </si>
  <si>
    <t>2019 Final scores - SECTION 4</t>
  </si>
  <si>
    <t>2019 FINAL PERCENTAGES -  SECTION 4</t>
  </si>
  <si>
    <t>2018 Final scores - SECTION 4</t>
  </si>
  <si>
    <t>2018 FINAL PERCENTAGES -  SECTION 4</t>
  </si>
  <si>
    <t>2017 Final scores  - SECTION 4</t>
  </si>
  <si>
    <t>2017 FINAL PERCENTAGES - SECTION 4</t>
  </si>
  <si>
    <t>2022 Final scores - SECTION 5</t>
  </si>
  <si>
    <t>2022 FINAL PERCENTAGES -  SECTION 5</t>
  </si>
  <si>
    <t>2021 Final scores - SECTION 5</t>
  </si>
  <si>
    <t>2021 FINAL PERCENTAGES -  SECTION 5</t>
  </si>
  <si>
    <t>2020 Final scores - SECTION 5</t>
  </si>
  <si>
    <t>2020 FINAL PERCENTAGES -  SECTION 5</t>
  </si>
  <si>
    <t>2019 Final scores - SECTION 5</t>
  </si>
  <si>
    <t>2019 FINAL PERCENTAGES -  SECTION 5</t>
  </si>
  <si>
    <t>2018 Final scores - SECTION 5</t>
  </si>
  <si>
    <t>2018 FINAL PERCENTAGES -  SECTION 5</t>
  </si>
  <si>
    <t>2017 Final scores  - SECTION 5</t>
  </si>
  <si>
    <t>2017 FINAL PERCENTAGES - SECTION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</si>
</sst>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Arial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Inconsolata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Arial"/>
    </font>
    <font>
      <sz val="9.0"/>
      <color rgb="FF000000"/>
      <name val="&quot;Google Sans Mono&quot;"/>
    </font>
    <font>
      <b/>
      <sz val="12.0"/>
      <color theme="1"/>
      <name val="Arial"/>
      <scheme val="minor"/>
    </font>
    <font>
      <sz val="12.0"/>
      <color rgb="FF000000"/>
      <name val="Inconsolata"/>
    </font>
    <font>
      <b/>
      <sz val="11.0"/>
      <color rgb="FF222222"/>
      <name val="Calibri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4FF7F9"/>
        <bgColor rgb="FF4FF7F9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DE8"/>
        <bgColor rgb="FFB6DDE8"/>
      </patternFill>
    </fill>
    <fill>
      <patternFill patternType="solid">
        <fgColor rgb="FFE6B8AF"/>
        <bgColor rgb="FFE6B8AF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9CC2E5"/>
        <bgColor rgb="FF9CC2E5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shrinkToFit="0" wrapText="1"/>
    </xf>
    <xf borderId="0" fillId="4" fontId="1" numFmtId="0" xfId="0" applyAlignment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5" fontId="1" numFmtId="10" xfId="0" applyAlignment="1" applyBorder="1" applyFont="1" applyNumberFormat="1">
      <alignment shrinkToFit="0" wrapText="1"/>
    </xf>
    <xf borderId="1" fillId="6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shrinkToFit="0" wrapText="1"/>
    </xf>
    <xf borderId="1" fillId="8" fontId="1" numFmtId="9" xfId="0" applyAlignment="1" applyBorder="1" applyFill="1" applyFont="1" applyNumberFormat="1">
      <alignment shrinkToFit="0" wrapText="1"/>
    </xf>
    <xf borderId="0" fillId="0" fontId="2" numFmtId="0" xfId="0" applyFont="1"/>
    <xf borderId="2" fillId="9" fontId="3" numFmtId="0" xfId="0" applyAlignment="1" applyBorder="1" applyFill="1" applyFont="1">
      <alignment shrinkToFit="0" vertical="bottom" wrapText="0"/>
    </xf>
    <xf borderId="1" fillId="10" fontId="4" numFmtId="0" xfId="0" applyBorder="1" applyFill="1" applyFont="1"/>
    <xf borderId="1" fillId="0" fontId="5" numFmtId="10" xfId="0" applyBorder="1" applyFont="1" applyNumberFormat="1"/>
    <xf borderId="1" fillId="10" fontId="6" numFmtId="10" xfId="0" applyAlignment="1" applyBorder="1" applyFont="1" applyNumberFormat="1">
      <alignment shrinkToFit="0" vertical="bottom" wrapText="1"/>
    </xf>
    <xf borderId="1" fillId="10" fontId="7" numFmtId="10" xfId="0" applyBorder="1" applyFont="1" applyNumberFormat="1"/>
    <xf borderId="1" fillId="10" fontId="7" numFmtId="0" xfId="0" applyBorder="1" applyFont="1"/>
    <xf borderId="1" fillId="0" fontId="8" numFmtId="10" xfId="0" applyAlignment="1" applyBorder="1" applyFont="1" applyNumberFormat="1">
      <alignment vertical="bottom"/>
    </xf>
    <xf borderId="3" fillId="9" fontId="3" numFmtId="0" xfId="0" applyAlignment="1" applyBorder="1" applyFont="1">
      <alignment shrinkToFit="0" vertical="bottom" wrapText="0"/>
    </xf>
    <xf borderId="3" fillId="9" fontId="3" numFmtId="0" xfId="0" applyAlignment="1" applyBorder="1" applyFont="1">
      <alignment vertical="bottom"/>
    </xf>
    <xf borderId="4" fillId="9" fontId="3" numFmtId="0" xfId="0" applyAlignment="1" applyBorder="1" applyFont="1">
      <alignment shrinkToFit="0" vertical="bottom" wrapText="0"/>
    </xf>
    <xf borderId="4" fillId="9" fontId="3" numFmtId="0" xfId="0" applyAlignment="1" applyBorder="1" applyFont="1">
      <alignment vertical="bottom"/>
    </xf>
    <xf borderId="3" fillId="9" fontId="3" numFmtId="0" xfId="0" applyAlignment="1" applyBorder="1" applyFont="1">
      <alignment readingOrder="0" vertical="bottom"/>
    </xf>
    <xf borderId="3" fillId="9" fontId="3" numFmtId="0" xfId="0" applyAlignment="1" applyBorder="1" applyFont="1">
      <alignment vertical="bottom"/>
    </xf>
    <xf borderId="4" fillId="9" fontId="3" numFmtId="0" xfId="0" applyAlignment="1" applyBorder="1" applyFont="1">
      <alignment shrinkToFit="0" vertical="bottom" wrapText="0"/>
    </xf>
    <xf borderId="5" fillId="10" fontId="9" numFmtId="0" xfId="0" applyAlignment="1" applyBorder="1" applyFont="1">
      <alignment shrinkToFit="0" vertical="bottom" wrapText="1"/>
    </xf>
    <xf borderId="5" fillId="11" fontId="3" numFmtId="2" xfId="0" applyAlignment="1" applyBorder="1" applyFill="1" applyFont="1" applyNumberFormat="1">
      <alignment vertical="bottom"/>
    </xf>
    <xf borderId="5" fillId="11" fontId="3" numFmtId="10" xfId="0" applyAlignment="1" applyBorder="1" applyFont="1" applyNumberFormat="1">
      <alignment vertical="bottom"/>
    </xf>
    <xf borderId="5" fillId="3" fontId="1" numFmtId="10" xfId="0" applyAlignment="1" applyBorder="1" applyFont="1" applyNumberFormat="1">
      <alignment vertical="bottom"/>
    </xf>
    <xf borderId="5" fillId="5" fontId="1" numFmtId="10" xfId="0" applyAlignment="1" applyBorder="1" applyFont="1" applyNumberFormat="1">
      <alignment vertical="bottom"/>
    </xf>
    <xf borderId="5" fillId="6" fontId="1" numFmtId="10" xfId="0" applyAlignment="1" applyBorder="1" applyFont="1" applyNumberFormat="1">
      <alignment vertical="bottom"/>
    </xf>
    <xf borderId="5" fillId="12" fontId="1" numFmtId="10" xfId="0" applyAlignment="1" applyBorder="1" applyFill="1" applyFont="1" applyNumberFormat="1">
      <alignment shrinkToFit="0" wrapText="1"/>
    </xf>
    <xf borderId="5" fillId="3" fontId="10" numFmtId="10" xfId="0" applyAlignment="1" applyBorder="1" applyFont="1" applyNumberFormat="1">
      <alignment horizontal="center" vertical="bottom"/>
    </xf>
    <xf borderId="0" fillId="0" fontId="9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Font="1" applyNumberFormat="1"/>
    <xf borderId="0" fillId="0" fontId="2" numFmtId="2" xfId="0" applyAlignment="1" applyFont="1" applyNumberFormat="1">
      <alignment vertical="bottom"/>
    </xf>
    <xf borderId="0" fillId="0" fontId="2" numFmtId="2" xfId="0" applyFont="1" applyNumberFormat="1"/>
    <xf borderId="6" fillId="9" fontId="3" numFmtId="0" xfId="0" applyAlignment="1" applyBorder="1" applyFont="1">
      <alignment shrinkToFit="0" vertical="bottom" wrapText="0"/>
    </xf>
    <xf borderId="1" fillId="10" fontId="11" numFmtId="0" xfId="0" applyBorder="1" applyFont="1"/>
    <xf borderId="7" fillId="9" fontId="3" numFmtId="0" xfId="0" applyAlignment="1" applyBorder="1" applyFont="1">
      <alignment shrinkToFit="0" vertical="bottom" wrapText="0"/>
    </xf>
    <xf borderId="5" fillId="11" fontId="3" numFmtId="0" xfId="0" applyAlignment="1" applyBorder="1" applyFont="1">
      <alignment shrinkToFit="0" vertical="bottom" wrapText="1"/>
    </xf>
    <xf borderId="5" fillId="2" fontId="3" numFmtId="2" xfId="0" applyAlignment="1" applyBorder="1" applyFont="1" applyNumberFormat="1">
      <alignment vertical="bottom"/>
    </xf>
    <xf borderId="5" fillId="2" fontId="3" numFmtId="10" xfId="0" applyAlignment="1" applyBorder="1" applyFont="1" applyNumberFormat="1">
      <alignment vertical="bottom"/>
    </xf>
    <xf borderId="5" fillId="3" fontId="3" numFmtId="2" xfId="0" applyAlignment="1" applyBorder="1" applyFont="1" applyNumberFormat="1">
      <alignment vertical="bottom"/>
    </xf>
    <xf borderId="5" fillId="3" fontId="3" numFmtId="10" xfId="0" applyAlignment="1" applyBorder="1" applyFont="1" applyNumberFormat="1">
      <alignment vertical="bottom"/>
    </xf>
    <xf borderId="5" fillId="13" fontId="3" numFmtId="2" xfId="0" applyAlignment="1" applyBorder="1" applyFill="1" applyFont="1" applyNumberFormat="1">
      <alignment vertical="bottom"/>
    </xf>
    <xf borderId="5" fillId="13" fontId="3" numFmtId="10" xfId="0" applyAlignment="1" applyBorder="1" applyFont="1" applyNumberFormat="1">
      <alignment vertical="bottom"/>
    </xf>
    <xf borderId="5" fillId="14" fontId="3" numFmtId="2" xfId="0" applyAlignment="1" applyBorder="1" applyFill="1" applyFont="1" applyNumberFormat="1">
      <alignment vertical="bottom"/>
    </xf>
    <xf borderId="5" fillId="14" fontId="1" numFmtId="10" xfId="0" applyAlignment="1" applyBorder="1" applyFont="1" applyNumberFormat="1">
      <alignment vertical="bottom"/>
    </xf>
    <xf borderId="5" fillId="6" fontId="3" numFmtId="2" xfId="0" applyAlignment="1" applyBorder="1" applyFont="1" applyNumberFormat="1">
      <alignment vertical="bottom"/>
    </xf>
    <xf borderId="5" fillId="7" fontId="3" numFmtId="2" xfId="0" applyAlignment="1" applyBorder="1" applyFont="1" applyNumberFormat="1">
      <alignment vertical="bottom"/>
    </xf>
    <xf borderId="5" fillId="7" fontId="3" numFmtId="10" xfId="0" applyAlignment="1" applyBorder="1" applyFont="1" applyNumberFormat="1">
      <alignment vertical="bottom"/>
    </xf>
    <xf borderId="0" fillId="0" fontId="3" numFmtId="0" xfId="0" applyAlignment="1" applyFont="1">
      <alignment shrinkToFit="0" vertical="bottom" wrapText="1"/>
    </xf>
    <xf borderId="1" fillId="3" fontId="1" numFmtId="0" xfId="0" applyAlignment="1" applyBorder="1" applyFont="1">
      <alignment shrinkToFit="0" wrapText="1"/>
    </xf>
    <xf borderId="0" fillId="3" fontId="1" numFmtId="0" xfId="0" applyAlignment="1" applyFont="1">
      <alignment shrinkToFit="0" wrapText="1"/>
    </xf>
    <xf borderId="1" fillId="0" fontId="3" numFmtId="10" xfId="0" applyAlignment="1" applyBorder="1" applyFont="1" applyNumberFormat="1">
      <alignment shrinkToFit="0" vertical="bottom" wrapText="0"/>
    </xf>
    <xf borderId="5" fillId="2" fontId="2" numFmtId="0" xfId="0" applyBorder="1" applyFont="1"/>
    <xf borderId="0" fillId="2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1" fillId="14" fontId="1" numFmtId="0" xfId="0" applyAlignment="1" applyBorder="1" applyFont="1">
      <alignment shrinkToFit="0" wrapText="1"/>
    </xf>
    <xf borderId="6" fillId="9" fontId="3" numFmtId="10" xfId="0" applyAlignment="1" applyBorder="1" applyFont="1" applyNumberFormat="1">
      <alignment shrinkToFit="0" vertical="bottom" wrapText="0"/>
    </xf>
    <xf borderId="3" fillId="9" fontId="10" numFmtId="0" xfId="0" applyAlignment="1" applyBorder="1" applyFont="1">
      <alignment readingOrder="0" vertical="bottom"/>
    </xf>
    <xf borderId="3" fillId="11" fontId="3" numFmtId="0" xfId="0" applyAlignment="1" applyBorder="1" applyFont="1">
      <alignment vertical="bottom"/>
    </xf>
    <xf borderId="0" fillId="3" fontId="12" numFmtId="0" xfId="0" applyFont="1"/>
    <xf borderId="1" fillId="3" fontId="3" numFmtId="10" xfId="0" applyAlignment="1" applyBorder="1" applyFont="1" applyNumberFormat="1">
      <alignment vertical="bottom"/>
    </xf>
    <xf borderId="1" fillId="3" fontId="3" numFmtId="2" xfId="0" applyAlignment="1" applyBorder="1" applyFont="1" applyNumberFormat="1">
      <alignment vertical="bottom"/>
    </xf>
    <xf borderId="1" fillId="13" fontId="3" numFmtId="2" xfId="0" applyAlignment="1" applyBorder="1" applyFont="1" applyNumberFormat="1">
      <alignment vertical="bottom"/>
    </xf>
    <xf borderId="1" fillId="13" fontId="3" numFmtId="10" xfId="0" applyAlignment="1" applyBorder="1" applyFont="1" applyNumberFormat="1">
      <alignment vertical="bottom"/>
    </xf>
    <xf borderId="1" fillId="3" fontId="1" numFmtId="10" xfId="0" applyAlignment="1" applyBorder="1" applyFont="1" applyNumberFormat="1">
      <alignment vertical="bottom"/>
    </xf>
    <xf borderId="1" fillId="14" fontId="3" numFmtId="2" xfId="0" applyAlignment="1" applyBorder="1" applyFont="1" applyNumberFormat="1">
      <alignment vertical="bottom"/>
    </xf>
    <xf borderId="1" fillId="14" fontId="1" numFmtId="10" xfId="0" applyAlignment="1" applyBorder="1" applyFont="1" applyNumberFormat="1">
      <alignment vertical="bottom"/>
    </xf>
    <xf borderId="0" fillId="3" fontId="12" numFmtId="10" xfId="0" applyFont="1" applyNumberFormat="1"/>
    <xf borderId="0" fillId="15" fontId="3" numFmtId="0" xfId="0" applyAlignment="1" applyFill="1" applyFont="1">
      <alignment vertical="bottom"/>
    </xf>
    <xf borderId="0" fillId="15" fontId="13" numFmtId="0" xfId="0" applyFont="1"/>
    <xf borderId="0" fillId="15" fontId="6" numFmtId="10" xfId="0" applyAlignment="1" applyFont="1" applyNumberFormat="1">
      <alignment shrinkToFit="0" vertical="bottom" wrapText="1"/>
    </xf>
    <xf borderId="0" fillId="15" fontId="7" numFmtId="0" xfId="0" applyFont="1"/>
    <xf borderId="0" fillId="15" fontId="8" numFmtId="10" xfId="0" applyAlignment="1" applyFont="1" applyNumberFormat="1">
      <alignment vertical="bottom"/>
    </xf>
    <xf borderId="0" fillId="15" fontId="12" numFmtId="0" xfId="0" applyFont="1"/>
    <xf borderId="0" fillId="15" fontId="5" numFmtId="0" xfId="0" applyFont="1"/>
    <xf borderId="0" fillId="10" fontId="2" numFmtId="0" xfId="0" applyAlignment="1" applyFont="1">
      <alignment vertical="bottom"/>
    </xf>
    <xf borderId="1" fillId="15" fontId="7" numFmtId="0" xfId="0" applyBorder="1" applyFont="1"/>
    <xf borderId="1" fillId="15" fontId="6" numFmtId="10" xfId="0" applyAlignment="1" applyBorder="1" applyFont="1" applyNumberFormat="1">
      <alignment shrinkToFit="0" vertical="bottom" wrapText="1"/>
    </xf>
    <xf borderId="1" fillId="15" fontId="5" numFmtId="10" xfId="0" applyBorder="1" applyFont="1" applyNumberFormat="1"/>
    <xf borderId="3" fillId="9" fontId="14" numFmtId="0" xfId="0" applyAlignment="1" applyBorder="1" applyFont="1">
      <alignment vertical="bottom"/>
    </xf>
    <xf borderId="7" fillId="9" fontId="3" numFmtId="0" xfId="0" applyAlignment="1" applyBorder="1" applyFont="1">
      <alignment shrinkToFit="0" vertical="bottom" wrapText="0"/>
    </xf>
    <xf borderId="7" fillId="9" fontId="3" numFmtId="0" xfId="0" applyAlignment="1" applyBorder="1" applyFont="1">
      <alignment readingOrder="0" shrinkToFit="0" vertical="bottom" wrapText="0"/>
    </xf>
    <xf borderId="1" fillId="9" fontId="3" numFmtId="0" xfId="0" applyAlignment="1" applyBorder="1" applyFont="1">
      <alignment vertical="bottom"/>
    </xf>
    <xf borderId="1" fillId="3" fontId="3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3" fillId="2" fontId="1" numFmtId="0" xfId="0" applyAlignment="1" applyBorder="1" applyFont="1">
      <alignment readingOrder="0" shrinkToFit="0" wrapText="1"/>
    </xf>
    <xf borderId="0" fillId="11" fontId="3" numFmtId="0" xfId="0" applyAlignment="1" applyFont="1">
      <alignment vertical="bottom"/>
    </xf>
    <xf borderId="0" fillId="0" fontId="5" numFmtId="10" xfId="0" applyFont="1" applyNumberFormat="1"/>
    <xf borderId="0" fillId="10" fontId="4" numFmtId="0" xfId="0" applyFont="1"/>
    <xf borderId="8" fillId="11" fontId="3" numFmtId="0" xfId="0" applyAlignment="1" applyBorder="1" applyFont="1">
      <alignment vertical="bottom"/>
    </xf>
    <xf borderId="3" fillId="11" fontId="14" numFmtId="0" xfId="0" applyAlignment="1" applyBorder="1" applyFont="1">
      <alignment vertical="bottom"/>
    </xf>
    <xf borderId="3" fillId="11" fontId="3" numFmtId="0" xfId="0" applyAlignment="1" applyBorder="1" applyFont="1">
      <alignment readingOrder="0" vertical="bottom"/>
    </xf>
    <xf borderId="3" fillId="3" fontId="3" numFmtId="0" xfId="0" applyAlignment="1" applyBorder="1" applyFont="1">
      <alignment vertical="bottom"/>
    </xf>
    <xf borderId="3" fillId="11" fontId="10" numFmtId="0" xfId="0" applyAlignment="1" applyBorder="1" applyFont="1">
      <alignment readingOrder="0" vertical="bottom"/>
    </xf>
    <xf borderId="3" fillId="16" fontId="3" numFmtId="0" xfId="0" applyAlignment="1" applyBorder="1" applyFill="1" applyFont="1">
      <alignment vertical="bottom"/>
    </xf>
    <xf borderId="0" fillId="3" fontId="5" numFmtId="10" xfId="0" applyFont="1" applyNumberFormat="1"/>
    <xf borderId="1" fillId="2" fontId="1" numFmtId="0" xfId="0" applyAlignment="1" applyBorder="1" applyFont="1">
      <alignment shrinkToFit="0" wrapText="1"/>
    </xf>
    <xf borderId="1" fillId="14" fontId="1" numFmtId="10" xfId="0" applyAlignment="1" applyBorder="1" applyFont="1" applyNumberFormat="1">
      <alignment shrinkToFit="0" wrapText="1"/>
    </xf>
    <xf borderId="1" fillId="12" fontId="1" numFmtId="0" xfId="0" applyAlignment="1" applyBorder="1" applyFont="1">
      <alignment shrinkToFit="0" wrapText="1"/>
    </xf>
    <xf borderId="1" fillId="11" fontId="3" numFmtId="0" xfId="0" applyAlignment="1" applyBorder="1" applyFont="1">
      <alignment shrinkToFit="0" vertical="bottom" wrapText="1"/>
    </xf>
    <xf borderId="1" fillId="0" fontId="15" numFmtId="10" xfId="0" applyAlignment="1" applyBorder="1" applyFont="1" applyNumberFormat="1">
      <alignment vertical="bottom"/>
    </xf>
    <xf borderId="1" fillId="0" fontId="15" numFmtId="10" xfId="0" applyBorder="1" applyFont="1" applyNumberFormat="1"/>
    <xf borderId="1" fillId="0" fontId="7" numFmtId="10" xfId="0" applyAlignment="1" applyBorder="1" applyFont="1" applyNumberFormat="1">
      <alignment vertical="bottom"/>
    </xf>
    <xf borderId="1" fillId="11" fontId="14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vertical="bottom"/>
    </xf>
    <xf borderId="1" fillId="0" fontId="15" numFmtId="0" xfId="0" applyBorder="1" applyFont="1"/>
    <xf borderId="1" fillId="11" fontId="3" numFmtId="0" xfId="0" applyAlignment="1" applyBorder="1" applyFont="1">
      <alignment shrinkToFit="0" vertical="bottom" wrapText="1"/>
    </xf>
    <xf borderId="1" fillId="11" fontId="3" numFmtId="0" xfId="0" applyAlignment="1" applyBorder="1" applyFont="1">
      <alignment shrinkToFit="0" vertical="bottom" wrapText="1"/>
    </xf>
    <xf borderId="1" fillId="11" fontId="3" numFmtId="0" xfId="0" applyAlignment="1" applyBorder="1" applyFont="1">
      <alignment readingOrder="0" shrinkToFit="0" vertical="bottom" wrapText="1"/>
    </xf>
    <xf borderId="1" fillId="17" fontId="3" numFmtId="0" xfId="0" applyAlignment="1" applyBorder="1" applyFill="1" applyFont="1">
      <alignment shrinkToFit="0" vertical="bottom" wrapText="1"/>
    </xf>
    <xf borderId="1" fillId="18" fontId="3" numFmtId="0" xfId="0" applyAlignment="1" applyBorder="1" applyFill="1" applyFont="1">
      <alignment shrinkToFit="0" vertical="bottom" wrapText="1"/>
    </xf>
    <xf borderId="1" fillId="17" fontId="3" numFmtId="0" xfId="0" applyAlignment="1" applyBorder="1" applyFont="1">
      <alignment shrinkToFit="0" vertical="bottom" wrapText="1"/>
    </xf>
    <xf borderId="0" fillId="3" fontId="16" numFmtId="0" xfId="0" applyAlignment="1" applyFont="1">
      <alignment shrinkToFit="0" wrapText="1"/>
    </xf>
    <xf borderId="1" fillId="3" fontId="17" numFmtId="0" xfId="0" applyBorder="1" applyFont="1"/>
    <xf borderId="0" fillId="0" fontId="2" numFmtId="0" xfId="0" applyAlignment="1" applyFont="1">
      <alignment shrinkToFit="0" vertical="bottom" wrapText="1"/>
    </xf>
    <xf borderId="1" fillId="0" fontId="2" numFmtId="10" xfId="0" applyAlignment="1" applyBorder="1" applyFont="1" applyNumberFormat="1">
      <alignment shrinkToFit="0" vertical="bottom" wrapText="1"/>
    </xf>
    <xf borderId="1" fillId="0" fontId="2" numFmtId="10" xfId="0" applyAlignment="1" applyBorder="1" applyFont="1" applyNumberFormat="1">
      <alignment vertical="bottom"/>
    </xf>
    <xf borderId="0" fillId="2" fontId="1" numFmtId="0" xfId="0" applyAlignment="1" applyFont="1">
      <alignment shrinkToFit="0" wrapText="1"/>
    </xf>
    <xf borderId="1" fillId="4" fontId="1" numFmtId="0" xfId="0" applyAlignment="1" applyBorder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1" fillId="11" fontId="3" numFmtId="0" xfId="0" applyAlignment="1" applyBorder="1" applyFont="1">
      <alignment vertical="bottom"/>
    </xf>
    <xf borderId="1" fillId="10" fontId="15" numFmtId="10" xfId="0" applyAlignment="1" applyBorder="1" applyFont="1" applyNumberFormat="1">
      <alignment vertical="bottom"/>
    </xf>
    <xf borderId="1" fillId="11" fontId="14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vertical="bottom"/>
    </xf>
    <xf borderId="1" fillId="11" fontId="3" numFmtId="0" xfId="0" applyAlignment="1" applyBorder="1" applyFont="1">
      <alignment readingOrder="0" vertical="bottom"/>
    </xf>
    <xf borderId="1" fillId="17" fontId="3" numFmtId="0" xfId="0" applyAlignment="1" applyBorder="1" applyFont="1">
      <alignment vertical="bottom"/>
    </xf>
    <xf borderId="1" fillId="18" fontId="3" numFmtId="0" xfId="0" applyAlignment="1" applyBorder="1" applyFont="1">
      <alignment vertical="bottom"/>
    </xf>
    <xf borderId="1" fillId="17" fontId="3" numFmtId="0" xfId="0" applyAlignment="1" applyBorder="1" applyFont="1">
      <alignment vertical="bottom"/>
    </xf>
    <xf borderId="1" fillId="14" fontId="1" numFmtId="0" xfId="0" applyAlignment="1" applyBorder="1" applyFont="1">
      <alignment horizontal="center" shrinkToFit="0" wrapText="1"/>
    </xf>
    <xf borderId="1" fillId="6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ont="1">
      <alignment horizontal="center" shrinkToFit="0" wrapText="1"/>
    </xf>
    <xf borderId="1" fillId="12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10" fontId="15" numFmtId="9" xfId="0" applyAlignment="1" applyBorder="1" applyFont="1" applyNumberFormat="1">
      <alignment vertical="bottom"/>
    </xf>
    <xf borderId="1" fillId="0" fontId="7" numFmtId="0" xfId="0" applyAlignment="1" applyBorder="1" applyFont="1">
      <alignment vertical="bottom"/>
    </xf>
    <xf borderId="1" fillId="19" fontId="1" numFmtId="0" xfId="0" applyAlignment="1" applyBorder="1" applyFill="1" applyFont="1">
      <alignment shrinkToFit="0" wrapText="1"/>
    </xf>
    <xf borderId="1" fillId="10" fontId="15" numFmtId="10" xfId="0" applyAlignment="1" applyBorder="1" applyFont="1" applyNumberFormat="1">
      <alignment shrinkToFit="0" vertical="bottom" wrapText="1"/>
    </xf>
    <xf borderId="1" fillId="10" fontId="7" numFmtId="10" xfId="0" applyAlignment="1" applyBorder="1" applyFont="1" applyNumberFormat="1">
      <alignment vertical="bottom"/>
    </xf>
    <xf borderId="1" fillId="11" fontId="10" numFmtId="0" xfId="0" applyAlignment="1" applyBorder="1" applyFont="1">
      <alignment readingOrder="0" vertical="bottom"/>
    </xf>
    <xf borderId="1" fillId="3" fontId="18" numFmtId="10" xfId="0" applyAlignment="1" applyBorder="1" applyFont="1" applyNumberFormat="1">
      <alignment vertical="bottom"/>
    </xf>
    <xf borderId="1" fillId="19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1" fillId="11" fontId="14" numFmtId="0" xfId="0" applyAlignment="1" applyBorder="1" applyFont="1">
      <alignment readingOrder="0" vertical="bottom"/>
    </xf>
    <xf borderId="0" fillId="2" fontId="9" numFmtId="0" xfId="0" applyFont="1"/>
    <xf borderId="1" fillId="3" fontId="19" numFmtId="0" xfId="0" applyAlignment="1" applyBorder="1" applyFont="1">
      <alignment horizontal="right" vertical="bottom"/>
    </xf>
    <xf borderId="1" fillId="3" fontId="19" numFmtId="10" xfId="0" applyAlignment="1" applyBorder="1" applyFont="1" applyNumberFormat="1">
      <alignment horizontal="right" vertical="bottom"/>
    </xf>
    <xf borderId="1" fillId="3" fontId="19" numFmtId="0" xfId="0" applyAlignment="1" applyBorder="1" applyFont="1">
      <alignment shrinkToFit="0" wrapText="1"/>
    </xf>
    <xf borderId="1" fillId="0" fontId="10" numFmtId="0" xfId="0" applyAlignment="1" applyBorder="1" applyFont="1">
      <alignment horizontal="right" vertical="bottom"/>
    </xf>
    <xf borderId="1" fillId="0" fontId="10" numFmtId="10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5" t="s">
        <v>9</v>
      </c>
      <c r="K1" s="6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8" t="s">
        <v>15</v>
      </c>
      <c r="Q1" s="8" t="s">
        <v>16</v>
      </c>
      <c r="R1" s="2" t="s">
        <v>17</v>
      </c>
      <c r="S1" s="9" t="s">
        <v>18</v>
      </c>
      <c r="T1" s="9">
        <v>20.17</v>
      </c>
      <c r="U1" s="2" t="s">
        <v>19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>
      <c r="A2" s="11" t="s">
        <v>20</v>
      </c>
      <c r="B2" s="12">
        <f>IFERROR(__xludf.DUMMYFUNCTION("VLOOKUP(A2,IMPORTRANGE(""1EmrnCz2gLVTx5Cbj0e5tfuHPhTtmru8KTGuQvh7STl0/edit#gid=2147150001"",""Whole Data Set!$A$2:$NQ$253""),381,FALSE)"),83.25)</f>
        <v>83.25</v>
      </c>
      <c r="C2" s="13">
        <f t="shared" ref="C2:C91" si="1">B2/250</f>
        <v>0.333</v>
      </c>
      <c r="D2" s="12">
        <f>IFERROR(__xludf.DUMMYFUNCTION("VLOOKUP(A2,IMPORTRANGE(""1aFCnJY1qhIj8-JckJhDJ18aqmVo17tofpQmOjcYa3u8/edit#gid=948248086"",""Whole Data Set!$A$2:$NG$253""),371,FALSE)"),46.75)</f>
        <v>46.75</v>
      </c>
      <c r="E2" s="13">
        <f t="shared" ref="E2:E91" si="2">D2/250</f>
        <v>0.187</v>
      </c>
      <c r="F2" s="13">
        <f t="shared" ref="F2:F92" si="3">C2-E2</f>
        <v>0.146</v>
      </c>
      <c r="G2" s="12">
        <f>IFERROR(__xludf.DUMMYFUNCTION("VLOOKUP(A2,IMPORTRANGE(""1QZ5UxyNCwadreQAXnQ7oCoH982DjIA-QnZdO7ZoqkC0/edit#gid=0"",""2017-2021!$A$2:$O$250""),2,FALSE)"),49.75)</f>
        <v>49.75</v>
      </c>
      <c r="H2" s="14">
        <f t="shared" ref="H2:H91" si="4">G2/250</f>
        <v>0.199</v>
      </c>
      <c r="I2" s="15">
        <f t="shared" ref="I2:I92" si="5">C2-H2</f>
        <v>0.134</v>
      </c>
      <c r="J2" s="16">
        <f>IFERROR(__xludf.DUMMYFUNCTION("VLOOKUP(A2,IMPORTRANGE(""1QZ5UxyNCwadreQAXnQ7oCoH982DjIA-QnZdO7ZoqkC0/edit#gid=0"",""2017-2021!$A$2:$O$250""),4,FALSE)"),62.0)</f>
        <v>62</v>
      </c>
      <c r="K2" s="17">
        <f t="shared" ref="K2:K91" si="6">J2/250</f>
        <v>0.248</v>
      </c>
      <c r="L2" s="17">
        <f t="shared" ref="L2:L92" si="7">C2-K2</f>
        <v>0.085</v>
      </c>
      <c r="M2" s="16">
        <f>IFERROR(__xludf.DUMMYFUNCTION("VLOOKUP(A2,IMPORTRANGE(""1QZ5UxyNCwadreQAXnQ7oCoH982DjIA-QnZdO7ZoqkC0/edit#gid=0"",""2017-2021!$A$2:$O$250""),7,FALSE)"),51.0)</f>
        <v>51</v>
      </c>
      <c r="N2" s="17">
        <f t="shared" ref="N2:N91" si="8">M2/250</f>
        <v>0.204</v>
      </c>
      <c r="O2" s="17">
        <f t="shared" ref="O2:O92" si="9">C2-N2</f>
        <v>0.129</v>
      </c>
      <c r="P2" s="16">
        <f>IFERROR(__xludf.DUMMYFUNCTION("VLOOKUP(A2,IMPORTRANGE(""1QZ5UxyNCwadreQAXnQ7oCoH982DjIA-QnZdO7ZoqkC0/edit#gid=0"",""2017-2021!$A$2:$O$250""),10,FALSE)"),36.0)</f>
        <v>36</v>
      </c>
      <c r="Q2" s="17">
        <f t="shared" ref="Q2:Q91" si="10">P2/250</f>
        <v>0.144</v>
      </c>
      <c r="R2" s="17">
        <f t="shared" ref="R2:R92" si="11">C2-Q2</f>
        <v>0.189</v>
      </c>
      <c r="S2" s="16">
        <f>IFERROR(__xludf.DUMMYFUNCTION("VLOOKUP(A2,IMPORTRANGE(""1QZ5UxyNCwadreQAXnQ7oCoH982DjIA-QnZdO7ZoqkC0/edit#gid=0"",""2017-2021!$A$2:$O$250""),13,FALSE)"),24.0)</f>
        <v>24</v>
      </c>
      <c r="T2" s="17">
        <f t="shared" ref="T2:T91" si="12">S2/250</f>
        <v>0.096</v>
      </c>
      <c r="U2" s="17">
        <f t="shared" ref="U2:U92" si="13">C2-T2</f>
        <v>0.237</v>
      </c>
    </row>
    <row r="3">
      <c r="A3" s="18" t="s">
        <v>21</v>
      </c>
      <c r="B3" s="12">
        <f>IFERROR(__xludf.DUMMYFUNCTION("VLOOKUP(A3,IMPORTRANGE(""1EmrnCz2gLVTx5Cbj0e5tfuHPhTtmru8KTGuQvh7STl0/edit#gid=2147150001"",""Whole Data Set!$A$2:$NQ$253""),381,FALSE)"),95.25)</f>
        <v>95.25</v>
      </c>
      <c r="C3" s="13">
        <f t="shared" si="1"/>
        <v>0.381</v>
      </c>
      <c r="D3" s="12">
        <f>IFERROR(__xludf.DUMMYFUNCTION("VLOOKUP(A3,IMPORTRANGE(""1aFCnJY1qhIj8-JckJhDJ18aqmVo17tofpQmOjcYa3u8/edit#gid=948248086"",""Whole Data Set!$A$2:$NG$253""),371,FALSE)"),108.75)</f>
        <v>108.75</v>
      </c>
      <c r="E3" s="13">
        <f t="shared" si="2"/>
        <v>0.435</v>
      </c>
      <c r="F3" s="13">
        <f t="shared" si="3"/>
        <v>-0.054</v>
      </c>
      <c r="G3" s="12">
        <f>IFERROR(__xludf.DUMMYFUNCTION("VLOOKUP(A3,IMPORTRANGE(""1QZ5UxyNCwadreQAXnQ7oCoH982DjIA-QnZdO7ZoqkC0/edit#gid=0"",""2017-2021!$A$2:$O$250""),2,FALSE)"),120.25)</f>
        <v>120.25</v>
      </c>
      <c r="H3" s="14">
        <f t="shared" si="4"/>
        <v>0.481</v>
      </c>
      <c r="I3" s="15">
        <f t="shared" si="5"/>
        <v>-0.1</v>
      </c>
      <c r="J3" s="16">
        <f>IFERROR(__xludf.DUMMYFUNCTION("VLOOKUP(A3,IMPORTRANGE(""1QZ5UxyNCwadreQAXnQ7oCoH982DjIA-QnZdO7ZoqkC0/edit#gid=0"",""2017-2021!$A$2:$O$250""),4,FALSE)"),149.0)</f>
        <v>149</v>
      </c>
      <c r="K3" s="17">
        <f t="shared" si="6"/>
        <v>0.596</v>
      </c>
      <c r="L3" s="17">
        <f t="shared" si="7"/>
        <v>-0.215</v>
      </c>
      <c r="M3" s="16">
        <f>IFERROR(__xludf.DUMMYFUNCTION("VLOOKUP(A3,IMPORTRANGE(""1QZ5UxyNCwadreQAXnQ7oCoH982DjIA-QnZdO7ZoqkC0/edit#gid=0"",""2017-2021!$A$2:$O$250""),7,FALSE)"),140.5)</f>
        <v>140.5</v>
      </c>
      <c r="N3" s="17">
        <f t="shared" si="8"/>
        <v>0.562</v>
      </c>
      <c r="O3" s="17">
        <f t="shared" si="9"/>
        <v>-0.181</v>
      </c>
      <c r="P3" s="16">
        <f>IFERROR(__xludf.DUMMYFUNCTION("VLOOKUP(A3,IMPORTRANGE(""1QZ5UxyNCwadreQAXnQ7oCoH982DjIA-QnZdO7ZoqkC0/edit#gid=0"",""2017-2021!$A$2:$O$250""),10,FALSE)"),128.5)</f>
        <v>128.5</v>
      </c>
      <c r="Q3" s="17">
        <f t="shared" si="10"/>
        <v>0.514</v>
      </c>
      <c r="R3" s="17">
        <f t="shared" si="11"/>
        <v>-0.133</v>
      </c>
      <c r="S3" s="16">
        <f>IFERROR(__xludf.DUMMYFUNCTION("VLOOKUP(A3,IMPORTRANGE(""1QZ5UxyNCwadreQAXnQ7oCoH982DjIA-QnZdO7ZoqkC0/edit#gid=0"",""2017-2021!$A$2:$O$250""),13,FALSE)"),120.0)</f>
        <v>120</v>
      </c>
      <c r="T3" s="17">
        <f t="shared" si="12"/>
        <v>0.48</v>
      </c>
      <c r="U3" s="17">
        <f t="shared" si="13"/>
        <v>-0.099</v>
      </c>
    </row>
    <row r="4">
      <c r="A4" s="19" t="s">
        <v>22</v>
      </c>
      <c r="B4" s="12">
        <f>IFERROR(__xludf.DUMMYFUNCTION("VLOOKUP(A4,IMPORTRANGE(""1EmrnCz2gLVTx5Cbj0e5tfuHPhTtmru8KTGuQvh7STl0/edit#gid=2147150001"",""Whole Data Set!$A$2:$NQ$253""),381,FALSE)"),0.0)</f>
        <v>0</v>
      </c>
      <c r="C4" s="13">
        <f t="shared" si="1"/>
        <v>0</v>
      </c>
      <c r="D4" s="12">
        <f>IFERROR(__xludf.DUMMYFUNCTION("VLOOKUP(A4,IMPORTRANGE(""1aFCnJY1qhIj8-JckJhDJ18aqmVo17tofpQmOjcYa3u8/edit#gid=948248086"",""Whole Data Set!$A$2:$NG$253""),371,FALSE)"),0.0)</f>
        <v>0</v>
      </c>
      <c r="E4" s="13">
        <f t="shared" si="2"/>
        <v>0</v>
      </c>
      <c r="F4" s="13">
        <f t="shared" si="3"/>
        <v>0</v>
      </c>
      <c r="G4" s="12">
        <f>IFERROR(__xludf.DUMMYFUNCTION("VLOOKUP(A4,IMPORTRANGE(""1QZ5UxyNCwadreQAXnQ7oCoH982DjIA-QnZdO7ZoqkC0/edit#gid=0"",""2017-2021!$A$2:$O$250""),2,FALSE)"),0.0)</f>
        <v>0</v>
      </c>
      <c r="H4" s="14">
        <f t="shared" si="4"/>
        <v>0</v>
      </c>
      <c r="I4" s="15">
        <f t="shared" si="5"/>
        <v>0</v>
      </c>
      <c r="J4" s="16">
        <f>IFERROR(__xludf.DUMMYFUNCTION("VLOOKUP(A4,IMPORTRANGE(""1QZ5UxyNCwadreQAXnQ7oCoH982DjIA-QnZdO7ZoqkC0/edit#gid=0"",""2017-2021!$A$2:$O$250""),4,FALSE)"),0.0)</f>
        <v>0</v>
      </c>
      <c r="K4" s="17">
        <f t="shared" si="6"/>
        <v>0</v>
      </c>
      <c r="L4" s="17">
        <f t="shared" si="7"/>
        <v>0</v>
      </c>
      <c r="M4" s="16">
        <f>IFERROR(__xludf.DUMMYFUNCTION("VLOOKUP(A4,IMPORTRANGE(""1QZ5UxyNCwadreQAXnQ7oCoH982DjIA-QnZdO7ZoqkC0/edit#gid=0"",""2017-2021!$A$2:$O$250""),7,FALSE)"),0.0)</f>
        <v>0</v>
      </c>
      <c r="N4" s="17">
        <f t="shared" si="8"/>
        <v>0</v>
      </c>
      <c r="O4" s="17">
        <f t="shared" si="9"/>
        <v>0</v>
      </c>
      <c r="P4" s="16">
        <f>IFERROR(__xludf.DUMMYFUNCTION("VLOOKUP(A4,IMPORTRANGE(""1QZ5UxyNCwadreQAXnQ7oCoH982DjIA-QnZdO7ZoqkC0/edit#gid=0"",""2017-2021!$A$2:$O$250""),10,FALSE)"),0.0)</f>
        <v>0</v>
      </c>
      <c r="Q4" s="17">
        <f t="shared" si="10"/>
        <v>0</v>
      </c>
      <c r="R4" s="17">
        <f t="shared" si="11"/>
        <v>0</v>
      </c>
      <c r="S4" s="16">
        <f>IFERROR(__xludf.DUMMYFUNCTION("VLOOKUP(A4,IMPORTRANGE(""1QZ5UxyNCwadreQAXnQ7oCoH982DjIA-QnZdO7ZoqkC0/edit#gid=0"",""2017-2021!$A$2:$O$250""),13,FALSE)"),15.5)</f>
        <v>15.5</v>
      </c>
      <c r="T4" s="17">
        <f t="shared" si="12"/>
        <v>0.062</v>
      </c>
      <c r="U4" s="17">
        <f t="shared" si="13"/>
        <v>-0.062</v>
      </c>
    </row>
    <row r="5">
      <c r="A5" s="19" t="s">
        <v>23</v>
      </c>
      <c r="B5" s="12">
        <f>IFERROR(__xludf.DUMMYFUNCTION("VLOOKUP(A5,IMPORTRANGE(""1EmrnCz2gLVTx5Cbj0e5tfuHPhTtmru8KTGuQvh7STl0/edit#gid=2147150001"",""Whole Data Set!$A$2:$NQ$253""),381,FALSE)"),64.25)</f>
        <v>64.25</v>
      </c>
      <c r="C5" s="13">
        <f t="shared" si="1"/>
        <v>0.257</v>
      </c>
      <c r="D5" s="12">
        <f>IFERROR(__xludf.DUMMYFUNCTION("VLOOKUP(A5,IMPORTRANGE(""1aFCnJY1qhIj8-JckJhDJ18aqmVo17tofpQmOjcYa3u8/edit#gid=948248086"",""Whole Data Set!$A$2:$NG$253""),371,FALSE)"),77.25)</f>
        <v>77.25</v>
      </c>
      <c r="E5" s="13">
        <f t="shared" si="2"/>
        <v>0.309</v>
      </c>
      <c r="F5" s="13">
        <f t="shared" si="3"/>
        <v>-0.052</v>
      </c>
      <c r="G5" s="12">
        <f>IFERROR(__xludf.DUMMYFUNCTION("VLOOKUP(A5,IMPORTRANGE(""1QZ5UxyNCwadreQAXnQ7oCoH982DjIA-QnZdO7ZoqkC0/edit#gid=0"",""2017-2021!$A$2:$O$250""),2,FALSE)"),68.25)</f>
        <v>68.25</v>
      </c>
      <c r="H5" s="14">
        <f t="shared" si="4"/>
        <v>0.273</v>
      </c>
      <c r="I5" s="15">
        <f t="shared" si="5"/>
        <v>-0.016</v>
      </c>
      <c r="J5" s="16">
        <f>IFERROR(__xludf.DUMMYFUNCTION("VLOOKUP(A5,IMPORTRANGE(""1QZ5UxyNCwadreQAXnQ7oCoH982DjIA-QnZdO7ZoqkC0/edit#gid=0"",""2017-2021!$A$2:$O$250""),4,FALSE)"),63.5)</f>
        <v>63.5</v>
      </c>
      <c r="K5" s="17">
        <f t="shared" si="6"/>
        <v>0.254</v>
      </c>
      <c r="L5" s="17">
        <f t="shared" si="7"/>
        <v>0.003</v>
      </c>
      <c r="M5" s="16">
        <f>IFERROR(__xludf.DUMMYFUNCTION("VLOOKUP(A5,IMPORTRANGE(""1QZ5UxyNCwadreQAXnQ7oCoH982DjIA-QnZdO7ZoqkC0/edit#gid=0"",""2017-2021!$A$2:$O$250""),7,FALSE)"),34.0)</f>
        <v>34</v>
      </c>
      <c r="N5" s="17">
        <f t="shared" si="8"/>
        <v>0.136</v>
      </c>
      <c r="O5" s="17">
        <f t="shared" si="9"/>
        <v>0.121</v>
      </c>
      <c r="P5" s="16">
        <f>IFERROR(__xludf.DUMMYFUNCTION("VLOOKUP(A5,IMPORTRANGE(""1QZ5UxyNCwadreQAXnQ7oCoH982DjIA-QnZdO7ZoqkC0/edit#gid=0"",""2017-2021!$A$2:$O$250""),10,FALSE)"),26.0)</f>
        <v>26</v>
      </c>
      <c r="Q5" s="17">
        <f t="shared" si="10"/>
        <v>0.104</v>
      </c>
      <c r="R5" s="17">
        <f t="shared" si="11"/>
        <v>0.153</v>
      </c>
      <c r="S5" s="16">
        <f>IFERROR(__xludf.DUMMYFUNCTION("VLOOKUP(A5,IMPORTRANGE(""1QZ5UxyNCwadreQAXnQ7oCoH982DjIA-QnZdO7ZoqkC0/edit#gid=0"",""2017-2021!$A$2:$O$250""),13,FALSE)"),22.5)</f>
        <v>22.5</v>
      </c>
      <c r="T5" s="17">
        <f t="shared" si="12"/>
        <v>0.09</v>
      </c>
      <c r="U5" s="17">
        <f t="shared" si="13"/>
        <v>0.167</v>
      </c>
    </row>
    <row r="6">
      <c r="A6" s="20" t="s">
        <v>24</v>
      </c>
      <c r="B6" s="12">
        <f>IFERROR(__xludf.DUMMYFUNCTION("VLOOKUP(A6,IMPORTRANGE(""1EmrnCz2gLVTx5Cbj0e5tfuHPhTtmru8KTGuQvh7STl0/edit#gid=2147150001"",""Whole Data Set!$A$2:$NQ$253""),381,FALSE)"),53.5)</f>
        <v>53.5</v>
      </c>
      <c r="C6" s="13">
        <f t="shared" si="1"/>
        <v>0.214</v>
      </c>
      <c r="D6" s="12">
        <f>IFERROR(__xludf.DUMMYFUNCTION("VLOOKUP(A6,IMPORTRANGE(""1aFCnJY1qhIj8-JckJhDJ18aqmVo17tofpQmOjcYa3u8/edit#gid=948248086"",""Whole Data Set!$A$2:$NG$253""),371,FALSE)"),45.75)</f>
        <v>45.75</v>
      </c>
      <c r="E6" s="13">
        <f t="shared" si="2"/>
        <v>0.183</v>
      </c>
      <c r="F6" s="13">
        <f t="shared" si="3"/>
        <v>0.031</v>
      </c>
      <c r="G6" s="12">
        <f>IFERROR(__xludf.DUMMYFUNCTION("VLOOKUP(A6,IMPORTRANGE(""1QZ5UxyNCwadreQAXnQ7oCoH982DjIA-QnZdO7ZoqkC0/edit#gid=0"",""2017-2021!$A$2:$O$250""),2,FALSE)"),38.75)</f>
        <v>38.75</v>
      </c>
      <c r="H6" s="14">
        <f t="shared" si="4"/>
        <v>0.155</v>
      </c>
      <c r="I6" s="15">
        <f t="shared" si="5"/>
        <v>0.059</v>
      </c>
      <c r="J6" s="16">
        <f>IFERROR(__xludf.DUMMYFUNCTION("VLOOKUP(A6,IMPORTRANGE(""1QZ5UxyNCwadreQAXnQ7oCoH982DjIA-QnZdO7ZoqkC0/edit#gid=0"",""2017-2021!$A$2:$O$250""),4,FALSE)"),43.0)</f>
        <v>43</v>
      </c>
      <c r="K6" s="17">
        <f t="shared" si="6"/>
        <v>0.172</v>
      </c>
      <c r="L6" s="17">
        <f t="shared" si="7"/>
        <v>0.042</v>
      </c>
      <c r="M6" s="16">
        <f>IFERROR(__xludf.DUMMYFUNCTION("VLOOKUP(A6,IMPORTRANGE(""1QZ5UxyNCwadreQAXnQ7oCoH982DjIA-QnZdO7ZoqkC0/edit#gid=0"",""2017-2021!$A$2:$O$250""),7,FALSE)"),34.5)</f>
        <v>34.5</v>
      </c>
      <c r="N6" s="17">
        <f t="shared" si="8"/>
        <v>0.138</v>
      </c>
      <c r="O6" s="17">
        <f t="shared" si="9"/>
        <v>0.076</v>
      </c>
      <c r="P6" s="16">
        <f>IFERROR(__xludf.DUMMYFUNCTION("VLOOKUP(A6,IMPORTRANGE(""1QZ5UxyNCwadreQAXnQ7oCoH982DjIA-QnZdO7ZoqkC0/edit#gid=0"",""2017-2021!$A$2:$O$250""),10,FALSE)"),36.5)</f>
        <v>36.5</v>
      </c>
      <c r="Q6" s="17">
        <f t="shared" si="10"/>
        <v>0.146</v>
      </c>
      <c r="R6" s="17">
        <f t="shared" si="11"/>
        <v>0.068</v>
      </c>
      <c r="S6" s="16">
        <f>IFERROR(__xludf.DUMMYFUNCTION("VLOOKUP(A6,IMPORTRANGE(""1QZ5UxyNCwadreQAXnQ7oCoH982DjIA-QnZdO7ZoqkC0/edit#gid=0"",""2017-2021!$A$2:$O$250""),13,FALSE)"),24.5)</f>
        <v>24.5</v>
      </c>
      <c r="T6" s="17">
        <f t="shared" si="12"/>
        <v>0.098</v>
      </c>
      <c r="U6" s="17">
        <f t="shared" si="13"/>
        <v>0.116</v>
      </c>
    </row>
    <row r="7">
      <c r="A7" s="19" t="s">
        <v>25</v>
      </c>
      <c r="B7" s="12">
        <f>IFERROR(__xludf.DUMMYFUNCTION("VLOOKUP(A7,IMPORTRANGE(""1EmrnCz2gLVTx5Cbj0e5tfuHPhTtmru8KTGuQvh7STl0/edit#gid=2147150001"",""Whole Data Set!$A$2:$NQ$253""),381,FALSE)"),32.5)</f>
        <v>32.5</v>
      </c>
      <c r="C7" s="13">
        <f t="shared" si="1"/>
        <v>0.13</v>
      </c>
      <c r="D7" s="12">
        <f>IFERROR(__xludf.DUMMYFUNCTION("VLOOKUP(A7,IMPORTRANGE(""1aFCnJY1qhIj8-JckJhDJ18aqmVo17tofpQmOjcYa3u8/edit#gid=948248086"",""Whole Data Set!$A$2:$NG$253""),371,FALSE)"),34.75)</f>
        <v>34.75</v>
      </c>
      <c r="E7" s="13">
        <f t="shared" si="2"/>
        <v>0.139</v>
      </c>
      <c r="F7" s="13">
        <f t="shared" si="3"/>
        <v>-0.009</v>
      </c>
      <c r="G7" s="12">
        <f>IFERROR(__xludf.DUMMYFUNCTION("VLOOKUP(A7,IMPORTRANGE(""1QZ5UxyNCwadreQAXnQ7oCoH982DjIA-QnZdO7ZoqkC0/edit#gid=0"",""2017-2021!$A$2:$O$250""),2,FALSE)"),39.25)</f>
        <v>39.25</v>
      </c>
      <c r="H7" s="14">
        <f t="shared" si="4"/>
        <v>0.157</v>
      </c>
      <c r="I7" s="15">
        <f t="shared" si="5"/>
        <v>-0.027</v>
      </c>
      <c r="J7" s="16">
        <f>IFERROR(__xludf.DUMMYFUNCTION("VLOOKUP(A7,IMPORTRANGE(""1QZ5UxyNCwadreQAXnQ7oCoH982DjIA-QnZdO7ZoqkC0/edit#gid=0"",""2017-2021!$A$2:$O$250""),4,FALSE)"),50.5)</f>
        <v>50.5</v>
      </c>
      <c r="K7" s="17">
        <f t="shared" si="6"/>
        <v>0.202</v>
      </c>
      <c r="L7" s="17">
        <f t="shared" si="7"/>
        <v>-0.072</v>
      </c>
      <c r="M7" s="16">
        <f>IFERROR(__xludf.DUMMYFUNCTION("VLOOKUP(A7,IMPORTRANGE(""1QZ5UxyNCwadreQAXnQ7oCoH982DjIA-QnZdO7ZoqkC0/edit#gid=0"",""2017-2021!$A$2:$O$250""),7,FALSE)"),13.5)</f>
        <v>13.5</v>
      </c>
      <c r="N7" s="17">
        <f t="shared" si="8"/>
        <v>0.054</v>
      </c>
      <c r="O7" s="17">
        <f t="shared" si="9"/>
        <v>0.076</v>
      </c>
      <c r="P7" s="16">
        <f>IFERROR(__xludf.DUMMYFUNCTION("VLOOKUP(A7,IMPORTRANGE(""1QZ5UxyNCwadreQAXnQ7oCoH982DjIA-QnZdO7ZoqkC0/edit#gid=0"",""2017-2021!$A$2:$O$250""),10,FALSE)"),14.5)</f>
        <v>14.5</v>
      </c>
      <c r="Q7" s="17">
        <f t="shared" si="10"/>
        <v>0.058</v>
      </c>
      <c r="R7" s="17">
        <f t="shared" si="11"/>
        <v>0.072</v>
      </c>
      <c r="S7" s="16">
        <f>IFERROR(__xludf.DUMMYFUNCTION("VLOOKUP(A7,IMPORTRANGE(""1QZ5UxyNCwadreQAXnQ7oCoH982DjIA-QnZdO7ZoqkC0/edit#gid=0"",""2017-2021!$A$2:$O$250""),13,FALSE)"),16.5)</f>
        <v>16.5</v>
      </c>
      <c r="T7" s="17">
        <f t="shared" si="12"/>
        <v>0.066</v>
      </c>
      <c r="U7" s="17">
        <f t="shared" si="13"/>
        <v>0.064</v>
      </c>
    </row>
    <row r="8">
      <c r="A8" s="19" t="s">
        <v>26</v>
      </c>
      <c r="B8" s="12">
        <f>IFERROR(__xludf.DUMMYFUNCTION("VLOOKUP(A8,IMPORTRANGE(""1EmrnCz2gLVTx5Cbj0e5tfuHPhTtmru8KTGuQvh7STl0/edit#gid=2147150001"",""Whole Data Set!$A$2:$NQ$253""),381,FALSE)"),95.75)</f>
        <v>95.75</v>
      </c>
      <c r="C8" s="13">
        <f t="shared" si="1"/>
        <v>0.383</v>
      </c>
      <c r="D8" s="12">
        <f>IFERROR(__xludf.DUMMYFUNCTION("VLOOKUP(A8,IMPORTRANGE(""1aFCnJY1qhIj8-JckJhDJ18aqmVo17tofpQmOjcYa3u8/edit#gid=948248086"",""Whole Data Set!$A$2:$NG$253""),371,FALSE)"),48.5)</f>
        <v>48.5</v>
      </c>
      <c r="E8" s="13">
        <f t="shared" si="2"/>
        <v>0.194</v>
      </c>
      <c r="F8" s="13">
        <f t="shared" si="3"/>
        <v>0.189</v>
      </c>
      <c r="G8" s="12">
        <f>IFERROR(__xludf.DUMMYFUNCTION("VLOOKUP(A8,IMPORTRANGE(""1QZ5UxyNCwadreQAXnQ7oCoH982DjIA-QnZdO7ZoqkC0/edit#gid=0"",""2017-2021!$A$2:$O$250""),2,FALSE)"),34.75)</f>
        <v>34.75</v>
      </c>
      <c r="H8" s="14">
        <f t="shared" si="4"/>
        <v>0.139</v>
      </c>
      <c r="I8" s="15">
        <f t="shared" si="5"/>
        <v>0.244</v>
      </c>
      <c r="J8" s="16">
        <f>IFERROR(__xludf.DUMMYFUNCTION("VLOOKUP(A8,IMPORTRANGE(""1QZ5UxyNCwadreQAXnQ7oCoH982DjIA-QnZdO7ZoqkC0/edit#gid=0"",""2017-2021!$A$2:$O$250""),4,FALSE)"),22.0)</f>
        <v>22</v>
      </c>
      <c r="K8" s="17">
        <f t="shared" si="6"/>
        <v>0.088</v>
      </c>
      <c r="L8" s="17">
        <f t="shared" si="7"/>
        <v>0.295</v>
      </c>
      <c r="M8" s="16">
        <f>IFERROR(__xludf.DUMMYFUNCTION("VLOOKUP(A8,IMPORTRANGE(""1QZ5UxyNCwadreQAXnQ7oCoH982DjIA-QnZdO7ZoqkC0/edit#gid=0"",""2017-2021!$A$2:$O$250""),7,FALSE)"),18.0)</f>
        <v>18</v>
      </c>
      <c r="N8" s="17">
        <f t="shared" si="8"/>
        <v>0.072</v>
      </c>
      <c r="O8" s="17">
        <f t="shared" si="9"/>
        <v>0.311</v>
      </c>
      <c r="P8" s="16">
        <f>IFERROR(__xludf.DUMMYFUNCTION("VLOOKUP(A8,IMPORTRANGE(""1QZ5UxyNCwadreQAXnQ7oCoH982DjIA-QnZdO7ZoqkC0/edit#gid=0"",""2017-2021!$A$2:$O$250""),10,FALSE)"),20.5)</f>
        <v>20.5</v>
      </c>
      <c r="Q8" s="17">
        <f t="shared" si="10"/>
        <v>0.082</v>
      </c>
      <c r="R8" s="17">
        <f t="shared" si="11"/>
        <v>0.301</v>
      </c>
      <c r="S8" s="16">
        <f>IFERROR(__xludf.DUMMYFUNCTION("VLOOKUP(A8,IMPORTRANGE(""1QZ5UxyNCwadreQAXnQ7oCoH982DjIA-QnZdO7ZoqkC0/edit#gid=0"",""2017-2021!$A$2:$O$250""),13,FALSE)"),20.5)</f>
        <v>20.5</v>
      </c>
      <c r="T8" s="17">
        <f t="shared" si="12"/>
        <v>0.082</v>
      </c>
      <c r="U8" s="17">
        <f t="shared" si="13"/>
        <v>0.301</v>
      </c>
    </row>
    <row r="9">
      <c r="A9" s="19" t="s">
        <v>27</v>
      </c>
      <c r="B9" s="12">
        <f>IFERROR(__xludf.DUMMYFUNCTION("VLOOKUP(A9,IMPORTRANGE(""1EmrnCz2gLVTx5Cbj0e5tfuHPhTtmru8KTGuQvh7STl0/edit#gid=2147150001"",""Whole Data Set!$A$2:$NQ$253""),381,FALSE)"),7.5)</f>
        <v>7.5</v>
      </c>
      <c r="C9" s="13">
        <f t="shared" si="1"/>
        <v>0.03</v>
      </c>
      <c r="D9" s="12">
        <f>IFERROR(__xludf.DUMMYFUNCTION("VLOOKUP(A9,IMPORTRANGE(""1aFCnJY1qhIj8-JckJhDJ18aqmVo17tofpQmOjcYa3u8/edit#gid=948248086"",""Whole Data Set!$A$2:$NG$253""),371,FALSE)"),6.5)</f>
        <v>6.5</v>
      </c>
      <c r="E9" s="13">
        <f t="shared" si="2"/>
        <v>0.026</v>
      </c>
      <c r="F9" s="13">
        <f t="shared" si="3"/>
        <v>0.004</v>
      </c>
      <c r="G9" s="12">
        <f>IFERROR(__xludf.DUMMYFUNCTION("VLOOKUP(A9,IMPORTRANGE(""1QZ5UxyNCwadreQAXnQ7oCoH982DjIA-QnZdO7ZoqkC0/edit#gid=0"",""2017-2021!$A$2:$O$250""),2,FALSE)"),8.5)</f>
        <v>8.5</v>
      </c>
      <c r="H9" s="14">
        <f t="shared" si="4"/>
        <v>0.034</v>
      </c>
      <c r="I9" s="15">
        <f t="shared" si="5"/>
        <v>-0.004</v>
      </c>
      <c r="J9" s="16">
        <f>IFERROR(__xludf.DUMMYFUNCTION("VLOOKUP(A9,IMPORTRANGE(""1QZ5UxyNCwadreQAXnQ7oCoH982DjIA-QnZdO7ZoqkC0/edit#gid=0"",""2017-2021!$A$2:$O$250""),4,FALSE)"),10.0)</f>
        <v>10</v>
      </c>
      <c r="K9" s="17">
        <f t="shared" si="6"/>
        <v>0.04</v>
      </c>
      <c r="L9" s="17">
        <f t="shared" si="7"/>
        <v>-0.01</v>
      </c>
      <c r="M9" s="16">
        <f>IFERROR(__xludf.DUMMYFUNCTION("VLOOKUP(A9,IMPORTRANGE(""1QZ5UxyNCwadreQAXnQ7oCoH982DjIA-QnZdO7ZoqkC0/edit#gid=0"",""2017-2021!$A$2:$O$250""),7,FALSE)"),10.5)</f>
        <v>10.5</v>
      </c>
      <c r="N9" s="17">
        <f t="shared" si="8"/>
        <v>0.042</v>
      </c>
      <c r="O9" s="17">
        <f t="shared" si="9"/>
        <v>-0.012</v>
      </c>
      <c r="P9" s="16">
        <f>IFERROR(__xludf.DUMMYFUNCTION("VLOOKUP(A9,IMPORTRANGE(""1QZ5UxyNCwadreQAXnQ7oCoH982DjIA-QnZdO7ZoqkC0/edit#gid=0"",""2017-2021!$A$2:$O$250""),10,FALSE)"),13.5)</f>
        <v>13.5</v>
      </c>
      <c r="Q9" s="17">
        <f t="shared" si="10"/>
        <v>0.054</v>
      </c>
      <c r="R9" s="17">
        <f t="shared" si="11"/>
        <v>-0.024</v>
      </c>
      <c r="S9" s="16">
        <f>IFERROR(__xludf.DUMMYFUNCTION("VLOOKUP(A9,IMPORTRANGE(""1QZ5UxyNCwadreQAXnQ7oCoH982DjIA-QnZdO7ZoqkC0/edit#gid=0"",""2017-2021!$A$2:$O$250""),13,FALSE)"),17.5)</f>
        <v>17.5</v>
      </c>
      <c r="T9" s="17">
        <f t="shared" si="12"/>
        <v>0.07</v>
      </c>
      <c r="U9" s="17">
        <f t="shared" si="13"/>
        <v>-0.04</v>
      </c>
    </row>
    <row r="10">
      <c r="A10" s="19" t="s">
        <v>28</v>
      </c>
      <c r="B10" s="12">
        <f>IFERROR(__xludf.DUMMYFUNCTION("VLOOKUP(A10,IMPORTRANGE(""1EmrnCz2gLVTx5Cbj0e5tfuHPhTtmru8KTGuQvh7STl0/edit#gid=2147150001"",""Whole Data Set!$A$2:$NQ$253""),381,FALSE)"),113.25)</f>
        <v>113.25</v>
      </c>
      <c r="C10" s="13">
        <f t="shared" si="1"/>
        <v>0.453</v>
      </c>
      <c r="D10" s="12">
        <f>IFERROR(__xludf.DUMMYFUNCTION("VLOOKUP(A10,IMPORTRANGE(""1aFCnJY1qhIj8-JckJhDJ18aqmVo17tofpQmOjcYa3u8/edit#gid=948248086"",""Whole Data Set!$A$2:$NG$253""),371,FALSE)"),110.25)</f>
        <v>110.25</v>
      </c>
      <c r="E10" s="13">
        <f t="shared" si="2"/>
        <v>0.441</v>
      </c>
      <c r="F10" s="13">
        <f t="shared" si="3"/>
        <v>0.012</v>
      </c>
      <c r="G10" s="12">
        <f>IFERROR(__xludf.DUMMYFUNCTION("VLOOKUP(A10,IMPORTRANGE(""1QZ5UxyNCwadreQAXnQ7oCoH982DjIA-QnZdO7ZoqkC0/edit#gid=0"",""2017-2021!$A$2:$O$250""),2,FALSE)"),122.25)</f>
        <v>122.25</v>
      </c>
      <c r="H10" s="14">
        <f t="shared" si="4"/>
        <v>0.489</v>
      </c>
      <c r="I10" s="15">
        <f t="shared" si="5"/>
        <v>-0.036</v>
      </c>
      <c r="J10" s="16">
        <f>IFERROR(__xludf.DUMMYFUNCTION("VLOOKUP(A10,IMPORTRANGE(""1QZ5UxyNCwadreQAXnQ7oCoH982DjIA-QnZdO7ZoqkC0/edit#gid=0"",""2017-2021!$A$2:$O$250""),4,FALSE)"),114.5)</f>
        <v>114.5</v>
      </c>
      <c r="K10" s="17">
        <f t="shared" si="6"/>
        <v>0.458</v>
      </c>
      <c r="L10" s="17">
        <f t="shared" si="7"/>
        <v>-0.005</v>
      </c>
      <c r="M10" s="16">
        <f>IFERROR(__xludf.DUMMYFUNCTION("VLOOKUP(A10,IMPORTRANGE(""1QZ5UxyNCwadreQAXnQ7oCoH982DjIA-QnZdO7ZoqkC0/edit#gid=0"",""2017-2021!$A$2:$O$250""),7,FALSE)"),76.0)</f>
        <v>76</v>
      </c>
      <c r="N10" s="17">
        <f t="shared" si="8"/>
        <v>0.304</v>
      </c>
      <c r="O10" s="17">
        <f t="shared" si="9"/>
        <v>0.149</v>
      </c>
      <c r="P10" s="16">
        <f>IFERROR(__xludf.DUMMYFUNCTION("VLOOKUP(A10,IMPORTRANGE(""1QZ5UxyNCwadreQAXnQ7oCoH982DjIA-QnZdO7ZoqkC0/edit#gid=0"",""2017-2021!$A$2:$O$250""),10,FALSE)"),66.0)</f>
        <v>66</v>
      </c>
      <c r="Q10" s="17">
        <f t="shared" si="10"/>
        <v>0.264</v>
      </c>
      <c r="R10" s="17">
        <f t="shared" si="11"/>
        <v>0.189</v>
      </c>
      <c r="S10" s="16">
        <f>IFERROR(__xludf.DUMMYFUNCTION("VLOOKUP(A10,IMPORTRANGE(""1QZ5UxyNCwadreQAXnQ7oCoH982DjIA-QnZdO7ZoqkC0/edit#gid=0"",""2017-2021!$A$2:$O$250""),13,FALSE)"),49.0)</f>
        <v>49</v>
      </c>
      <c r="T10" s="17">
        <f t="shared" si="12"/>
        <v>0.196</v>
      </c>
      <c r="U10" s="17">
        <f t="shared" si="13"/>
        <v>0.257</v>
      </c>
    </row>
    <row r="11">
      <c r="A11" s="19" t="s">
        <v>29</v>
      </c>
      <c r="B11" s="12">
        <f>IFERROR(__xludf.DUMMYFUNCTION("VLOOKUP(A11,IMPORTRANGE(""1EmrnCz2gLVTx5Cbj0e5tfuHPhTtmru8KTGuQvh7STl0/edit#gid=2147150001"",""Whole Data Set!$A$2:$NQ$253""),381,FALSE)"),125.0)</f>
        <v>125</v>
      </c>
      <c r="C11" s="13">
        <f t="shared" si="1"/>
        <v>0.5</v>
      </c>
      <c r="D11" s="12">
        <f>IFERROR(__xludf.DUMMYFUNCTION("VLOOKUP(A11,IMPORTRANGE(""1aFCnJY1qhIj8-JckJhDJ18aqmVo17tofpQmOjcYa3u8/edit#gid=948248086"",""Whole Data Set!$A$2:$NG$253""),371,FALSE)"),126.5)</f>
        <v>126.5</v>
      </c>
      <c r="E11" s="13">
        <f t="shared" si="2"/>
        <v>0.506</v>
      </c>
      <c r="F11" s="13">
        <f t="shared" si="3"/>
        <v>-0.006</v>
      </c>
      <c r="G11" s="12">
        <f>IFERROR(__xludf.DUMMYFUNCTION("VLOOKUP(A11,IMPORTRANGE(""1QZ5UxyNCwadreQAXnQ7oCoH982DjIA-QnZdO7ZoqkC0/edit#gid=0"",""2017-2021!$A$2:$O$250""),2,FALSE)"),118.25)</f>
        <v>118.25</v>
      </c>
      <c r="H11" s="14">
        <f t="shared" si="4"/>
        <v>0.473</v>
      </c>
      <c r="I11" s="15">
        <f t="shared" si="5"/>
        <v>0.027</v>
      </c>
      <c r="J11" s="16">
        <f>IFERROR(__xludf.DUMMYFUNCTION("VLOOKUP(A11,IMPORTRANGE(""1QZ5UxyNCwadreQAXnQ7oCoH982DjIA-QnZdO7ZoqkC0/edit#gid=0"",""2017-2021!$A$2:$O$250""),4,FALSE)"),137.0)</f>
        <v>137</v>
      </c>
      <c r="K11" s="17">
        <f t="shared" si="6"/>
        <v>0.548</v>
      </c>
      <c r="L11" s="17">
        <f t="shared" si="7"/>
        <v>-0.048</v>
      </c>
      <c r="M11" s="16">
        <f>IFERROR(__xludf.DUMMYFUNCTION("VLOOKUP(A11,IMPORTRANGE(""1QZ5UxyNCwadreQAXnQ7oCoH982DjIA-QnZdO7ZoqkC0/edit#gid=0"",""2017-2021!$A$2:$O$250""),7,FALSE)"),147.0)</f>
        <v>147</v>
      </c>
      <c r="N11" s="17">
        <f t="shared" si="8"/>
        <v>0.588</v>
      </c>
      <c r="O11" s="17">
        <f t="shared" si="9"/>
        <v>-0.088</v>
      </c>
      <c r="P11" s="16">
        <f>IFERROR(__xludf.DUMMYFUNCTION("VLOOKUP(A11,IMPORTRANGE(""1QZ5UxyNCwadreQAXnQ7oCoH982DjIA-QnZdO7ZoqkC0/edit#gid=0"",""2017-2021!$A$2:$O$250""),10,FALSE)"),125.5)</f>
        <v>125.5</v>
      </c>
      <c r="Q11" s="17">
        <f t="shared" si="10"/>
        <v>0.502</v>
      </c>
      <c r="R11" s="17">
        <f t="shared" si="11"/>
        <v>-0.002</v>
      </c>
      <c r="S11" s="16">
        <f>IFERROR(__xludf.DUMMYFUNCTION("VLOOKUP(A11,IMPORTRANGE(""1QZ5UxyNCwadreQAXnQ7oCoH982DjIA-QnZdO7ZoqkC0/edit#gid=0"",""2017-2021!$A$2:$O$250""),13,FALSE)"),81.5)</f>
        <v>81.5</v>
      </c>
      <c r="T11" s="17">
        <f t="shared" si="12"/>
        <v>0.326</v>
      </c>
      <c r="U11" s="17">
        <f t="shared" si="13"/>
        <v>0.174</v>
      </c>
    </row>
    <row r="12">
      <c r="A12" s="21" t="s">
        <v>30</v>
      </c>
      <c r="B12" s="12">
        <f>IFERROR(__xludf.DUMMYFUNCTION("VLOOKUP(A12,IMPORTRANGE(""1EmrnCz2gLVTx5Cbj0e5tfuHPhTtmru8KTGuQvh7STl0/edit#gid=2147150001"",""Whole Data Set!$A$2:$NQ$253""),381,FALSE)"),32.75)</f>
        <v>32.75</v>
      </c>
      <c r="C12" s="13">
        <f t="shared" si="1"/>
        <v>0.131</v>
      </c>
      <c r="D12" s="12">
        <f>IFERROR(__xludf.DUMMYFUNCTION("VLOOKUP(A12,IMPORTRANGE(""1aFCnJY1qhIj8-JckJhDJ18aqmVo17tofpQmOjcYa3u8/edit#gid=948248086"",""Whole Data Set!$A$2:$NG$253""),371,FALSE)"),31.75)</f>
        <v>31.75</v>
      </c>
      <c r="E12" s="13">
        <f t="shared" si="2"/>
        <v>0.127</v>
      </c>
      <c r="F12" s="13">
        <f t="shared" si="3"/>
        <v>0.004</v>
      </c>
      <c r="G12" s="12">
        <f>IFERROR(__xludf.DUMMYFUNCTION("VLOOKUP(A12,IMPORTRANGE(""1QZ5UxyNCwadreQAXnQ7oCoH982DjIA-QnZdO7ZoqkC0/edit#gid=0"",""2017-2021!$A$2:$O$250""),2,FALSE)"),32.5)</f>
        <v>32.5</v>
      </c>
      <c r="H12" s="14">
        <f t="shared" si="4"/>
        <v>0.13</v>
      </c>
      <c r="I12" s="15">
        <f t="shared" si="5"/>
        <v>0.001</v>
      </c>
      <c r="J12" s="16">
        <f>IFERROR(__xludf.DUMMYFUNCTION("VLOOKUP(A12,IMPORTRANGE(""1QZ5UxyNCwadreQAXnQ7oCoH982DjIA-QnZdO7ZoqkC0/edit#gid=0"",""2017-2021!$A$2:$O$250""),4,FALSE)"),38.0)</f>
        <v>38</v>
      </c>
      <c r="K12" s="17">
        <f t="shared" si="6"/>
        <v>0.152</v>
      </c>
      <c r="L12" s="17">
        <f t="shared" si="7"/>
        <v>-0.021</v>
      </c>
      <c r="M12" s="16">
        <f>IFERROR(__xludf.DUMMYFUNCTION("VLOOKUP(A12,IMPORTRANGE(""1QZ5UxyNCwadreQAXnQ7oCoH982DjIA-QnZdO7ZoqkC0/edit#gid=0"",""2017-2021!$A$2:$O$250""),7,FALSE)"),37.5)</f>
        <v>37.5</v>
      </c>
      <c r="N12" s="17">
        <f t="shared" si="8"/>
        <v>0.15</v>
      </c>
      <c r="O12" s="17">
        <f t="shared" si="9"/>
        <v>-0.019</v>
      </c>
      <c r="P12" s="16">
        <f>IFERROR(__xludf.DUMMYFUNCTION("VLOOKUP(A12,IMPORTRANGE(""1QZ5UxyNCwadreQAXnQ7oCoH982DjIA-QnZdO7ZoqkC0/edit#gid=0"",""2017-2021!$A$2:$O$250""),10,FALSE)"),44.0)</f>
        <v>44</v>
      </c>
      <c r="Q12" s="17">
        <f t="shared" si="10"/>
        <v>0.176</v>
      </c>
      <c r="R12" s="17">
        <f t="shared" si="11"/>
        <v>-0.045</v>
      </c>
      <c r="S12" s="16">
        <f>IFERROR(__xludf.DUMMYFUNCTION("VLOOKUP(A12,IMPORTRANGE(""1QZ5UxyNCwadreQAXnQ7oCoH982DjIA-QnZdO7ZoqkC0/edit#gid=0"",""2017-2021!$A$2:$O$250""),13,FALSE)"),42.5)</f>
        <v>42.5</v>
      </c>
      <c r="T12" s="17">
        <f t="shared" si="12"/>
        <v>0.17</v>
      </c>
      <c r="U12" s="17">
        <f t="shared" si="13"/>
        <v>-0.039</v>
      </c>
    </row>
    <row r="13">
      <c r="A13" s="19" t="s">
        <v>31</v>
      </c>
      <c r="B13" s="12">
        <f>IFERROR(__xludf.DUMMYFUNCTION("VLOOKUP(A13,IMPORTRANGE(""1EmrnCz2gLVTx5Cbj0e5tfuHPhTtmru8KTGuQvh7STl0/edit#gid=2147150001"",""Whole Data Set!$A$2:$NQ$253""),381,FALSE)"),124.5)</f>
        <v>124.5</v>
      </c>
      <c r="C13" s="13">
        <f t="shared" si="1"/>
        <v>0.498</v>
      </c>
      <c r="D13" s="12">
        <f>IFERROR(__xludf.DUMMYFUNCTION("VLOOKUP(A13,IMPORTRANGE(""1aFCnJY1qhIj8-JckJhDJ18aqmVo17tofpQmOjcYa3u8/edit#gid=948248086"",""Whole Data Set!$A$2:$NG$253""),371,FALSE)"),107.75)</f>
        <v>107.75</v>
      </c>
      <c r="E13" s="13">
        <f t="shared" si="2"/>
        <v>0.431</v>
      </c>
      <c r="F13" s="13">
        <f t="shared" si="3"/>
        <v>0.067</v>
      </c>
      <c r="G13" s="12">
        <f>IFERROR(__xludf.DUMMYFUNCTION("VLOOKUP(A13,IMPORTRANGE(""1QZ5UxyNCwadreQAXnQ7oCoH982DjIA-QnZdO7ZoqkC0/edit#gid=0"",""2017-2021!$A$2:$O$250""),2,FALSE)"),89.5)</f>
        <v>89.5</v>
      </c>
      <c r="H13" s="14">
        <f t="shared" si="4"/>
        <v>0.358</v>
      </c>
      <c r="I13" s="15">
        <f t="shared" si="5"/>
        <v>0.14</v>
      </c>
      <c r="J13" s="16">
        <f>IFERROR(__xludf.DUMMYFUNCTION("VLOOKUP(A13,IMPORTRANGE(""1QZ5UxyNCwadreQAXnQ7oCoH982DjIA-QnZdO7ZoqkC0/edit#gid=0"",""2017-2021!$A$2:$O$250""),4,FALSE)"),110.5)</f>
        <v>110.5</v>
      </c>
      <c r="K13" s="17">
        <f t="shared" si="6"/>
        <v>0.442</v>
      </c>
      <c r="L13" s="17">
        <f t="shared" si="7"/>
        <v>0.056</v>
      </c>
      <c r="M13" s="16">
        <f>IFERROR(__xludf.DUMMYFUNCTION("VLOOKUP(A13,IMPORTRANGE(""1QZ5UxyNCwadreQAXnQ7oCoH982DjIA-QnZdO7ZoqkC0/edit#gid=0"",""2017-2021!$A$2:$O$250""),7,FALSE)"),114.0)</f>
        <v>114</v>
      </c>
      <c r="N13" s="17">
        <f t="shared" si="8"/>
        <v>0.456</v>
      </c>
      <c r="O13" s="17">
        <f t="shared" si="9"/>
        <v>0.042</v>
      </c>
      <c r="P13" s="16">
        <f>IFERROR(__xludf.DUMMYFUNCTION("VLOOKUP(A13,IMPORTRANGE(""1QZ5UxyNCwadreQAXnQ7oCoH982DjIA-QnZdO7ZoqkC0/edit#gid=0"",""2017-2021!$A$2:$O$250""),10,FALSE)"),105.0)</f>
        <v>105</v>
      </c>
      <c r="Q13" s="17">
        <f t="shared" si="10"/>
        <v>0.42</v>
      </c>
      <c r="R13" s="17">
        <f t="shared" si="11"/>
        <v>0.078</v>
      </c>
      <c r="S13" s="16">
        <f>IFERROR(__xludf.DUMMYFUNCTION("VLOOKUP(A13,IMPORTRANGE(""1QZ5UxyNCwadreQAXnQ7oCoH982DjIA-QnZdO7ZoqkC0/edit#gid=0"",""2017-2021!$A$2:$O$250""),13,FALSE)"),91.0)</f>
        <v>91</v>
      </c>
      <c r="T13" s="17">
        <f t="shared" si="12"/>
        <v>0.364</v>
      </c>
      <c r="U13" s="17">
        <f t="shared" si="13"/>
        <v>0.134</v>
      </c>
    </row>
    <row r="14">
      <c r="A14" s="20" t="s">
        <v>32</v>
      </c>
      <c r="B14" s="12">
        <f>IFERROR(__xludf.DUMMYFUNCTION("VLOOKUP(A14,IMPORTRANGE(""1EmrnCz2gLVTx5Cbj0e5tfuHPhTtmru8KTGuQvh7STl0/edit#gid=2147150001"",""Whole Data Set!$A$2:$NQ$253""),381,FALSE)"),126.25)</f>
        <v>126.25</v>
      </c>
      <c r="C14" s="13">
        <f t="shared" si="1"/>
        <v>0.505</v>
      </c>
      <c r="D14" s="12">
        <f>IFERROR(__xludf.DUMMYFUNCTION("VLOOKUP(A14,IMPORTRANGE(""1aFCnJY1qhIj8-JckJhDJ18aqmVo17tofpQmOjcYa3u8/edit#gid=948248086"",""Whole Data Set!$A$2:$NG$253""),371,FALSE)"),115.5)</f>
        <v>115.5</v>
      </c>
      <c r="E14" s="13">
        <f t="shared" si="2"/>
        <v>0.462</v>
      </c>
      <c r="F14" s="13">
        <f t="shared" si="3"/>
        <v>0.043</v>
      </c>
      <c r="G14" s="12">
        <f>IFERROR(__xludf.DUMMYFUNCTION("VLOOKUP(A14,IMPORTRANGE(""1QZ5UxyNCwadreQAXnQ7oCoH982DjIA-QnZdO7ZoqkC0/edit#gid=0"",""2017-2021!$A$2:$O$250""),2,FALSE)"),106.0)</f>
        <v>106</v>
      </c>
      <c r="H14" s="14">
        <f t="shared" si="4"/>
        <v>0.424</v>
      </c>
      <c r="I14" s="15">
        <f t="shared" si="5"/>
        <v>0.081</v>
      </c>
      <c r="J14" s="16">
        <f>IFERROR(__xludf.DUMMYFUNCTION("VLOOKUP(A14,IMPORTRANGE(""1QZ5UxyNCwadreQAXnQ7oCoH982DjIA-QnZdO7ZoqkC0/edit#gid=0"",""2017-2021!$A$2:$O$250""),4,FALSE)"),116.0)</f>
        <v>116</v>
      </c>
      <c r="K14" s="17">
        <f t="shared" si="6"/>
        <v>0.464</v>
      </c>
      <c r="L14" s="17">
        <f t="shared" si="7"/>
        <v>0.041</v>
      </c>
      <c r="M14" s="16">
        <f>IFERROR(__xludf.DUMMYFUNCTION("VLOOKUP(A14,IMPORTRANGE(""1QZ5UxyNCwadreQAXnQ7oCoH982DjIA-QnZdO7ZoqkC0/edit#gid=0"",""2017-2021!$A$2:$O$250""),7,FALSE)"),98.0)</f>
        <v>98</v>
      </c>
      <c r="N14" s="17">
        <f t="shared" si="8"/>
        <v>0.392</v>
      </c>
      <c r="O14" s="17">
        <f t="shared" si="9"/>
        <v>0.113</v>
      </c>
      <c r="P14" s="16">
        <f>IFERROR(__xludf.DUMMYFUNCTION("VLOOKUP(A14,IMPORTRANGE(""1QZ5UxyNCwadreQAXnQ7oCoH982DjIA-QnZdO7ZoqkC0/edit#gid=0"",""2017-2021!$A$2:$O$250""),10,FALSE)"),91.0)</f>
        <v>91</v>
      </c>
      <c r="Q14" s="17">
        <f t="shared" si="10"/>
        <v>0.364</v>
      </c>
      <c r="R14" s="17">
        <f t="shared" si="11"/>
        <v>0.141</v>
      </c>
      <c r="S14" s="16">
        <f>IFERROR(__xludf.DUMMYFUNCTION("VLOOKUP(A14,IMPORTRANGE(""1QZ5UxyNCwadreQAXnQ7oCoH982DjIA-QnZdO7ZoqkC0/edit#gid=0"",""2017-2021!$A$2:$O$250""),13,FALSE)"),70.0)</f>
        <v>70</v>
      </c>
      <c r="T14" s="17">
        <f t="shared" si="12"/>
        <v>0.28</v>
      </c>
      <c r="U14" s="17">
        <f t="shared" si="13"/>
        <v>0.225</v>
      </c>
    </row>
    <row r="15">
      <c r="A15" s="19" t="s">
        <v>33</v>
      </c>
      <c r="B15" s="12">
        <f>IFERROR(__xludf.DUMMYFUNCTION("VLOOKUP(A15,IMPORTRANGE(""1EmrnCz2gLVTx5Cbj0e5tfuHPhTtmru8KTGuQvh7STl0/edit#gid=2147150001"",""Whole Data Set!$A$2:$NQ$253""),381,FALSE)"),95.75)</f>
        <v>95.75</v>
      </c>
      <c r="C15" s="13">
        <f t="shared" si="1"/>
        <v>0.383</v>
      </c>
      <c r="D15" s="12">
        <f>IFERROR(__xludf.DUMMYFUNCTION("VLOOKUP(A15,IMPORTRANGE(""1aFCnJY1qhIj8-JckJhDJ18aqmVo17tofpQmOjcYa3u8/edit#gid=948248086"",""Whole Data Set!$A$2:$NG$253""),371,FALSE)"),98.75)</f>
        <v>98.75</v>
      </c>
      <c r="E15" s="13">
        <f t="shared" si="2"/>
        <v>0.395</v>
      </c>
      <c r="F15" s="13">
        <f t="shared" si="3"/>
        <v>-0.012</v>
      </c>
      <c r="G15" s="12">
        <f>IFERROR(__xludf.DUMMYFUNCTION("VLOOKUP(A15,IMPORTRANGE(""1QZ5UxyNCwadreQAXnQ7oCoH982DjIA-QnZdO7ZoqkC0/edit#gid=0"",""2017-2021!$A$2:$O$250""),2,FALSE)"),84.5)</f>
        <v>84.5</v>
      </c>
      <c r="H15" s="14">
        <f t="shared" si="4"/>
        <v>0.338</v>
      </c>
      <c r="I15" s="15">
        <f t="shared" si="5"/>
        <v>0.045</v>
      </c>
      <c r="J15" s="16">
        <f>IFERROR(__xludf.DUMMYFUNCTION("VLOOKUP(A15,IMPORTRANGE(""1QZ5UxyNCwadreQAXnQ7oCoH982DjIA-QnZdO7ZoqkC0/edit#gid=0"",""2017-2021!$A$2:$O$250""),4,FALSE)"),90.0)</f>
        <v>90</v>
      </c>
      <c r="K15" s="17">
        <f t="shared" si="6"/>
        <v>0.36</v>
      </c>
      <c r="L15" s="17">
        <f t="shared" si="7"/>
        <v>0.023</v>
      </c>
      <c r="M15" s="16">
        <f>IFERROR(__xludf.DUMMYFUNCTION("VLOOKUP(A15,IMPORTRANGE(""1QZ5UxyNCwadreQAXnQ7oCoH982DjIA-QnZdO7ZoqkC0/edit#gid=0"",""2017-2021!$A$2:$O$250""),7,FALSE)"),83.0)</f>
        <v>83</v>
      </c>
      <c r="N15" s="17">
        <f t="shared" si="8"/>
        <v>0.332</v>
      </c>
      <c r="O15" s="17">
        <f t="shared" si="9"/>
        <v>0.051</v>
      </c>
      <c r="P15" s="16">
        <f>IFERROR(__xludf.DUMMYFUNCTION("VLOOKUP(A15,IMPORTRANGE(""1QZ5UxyNCwadreQAXnQ7oCoH982DjIA-QnZdO7ZoqkC0/edit#gid=0"",""2017-2021!$A$2:$O$250""),10,FALSE)"),81.5)</f>
        <v>81.5</v>
      </c>
      <c r="Q15" s="17">
        <f t="shared" si="10"/>
        <v>0.326</v>
      </c>
      <c r="R15" s="17">
        <f t="shared" si="11"/>
        <v>0.057</v>
      </c>
      <c r="S15" s="16">
        <f>IFERROR(__xludf.DUMMYFUNCTION("VLOOKUP(A15,IMPORTRANGE(""1QZ5UxyNCwadreQAXnQ7oCoH982DjIA-QnZdO7ZoqkC0/edit#gid=0"",""2017-2021!$A$2:$O$250""),13,FALSE)"),63.0)</f>
        <v>63</v>
      </c>
      <c r="T15" s="17">
        <f t="shared" si="12"/>
        <v>0.252</v>
      </c>
      <c r="U15" s="17">
        <f t="shared" si="13"/>
        <v>0.131</v>
      </c>
    </row>
    <row r="16">
      <c r="A16" s="19" t="s">
        <v>34</v>
      </c>
      <c r="B16" s="12">
        <f>IFERROR(__xludf.DUMMYFUNCTION("VLOOKUP(A16,IMPORTRANGE(""1EmrnCz2gLVTx5Cbj0e5tfuHPhTtmru8KTGuQvh7STl0/edit#gid=2147150001"",""Whole Data Set!$A$2:$NQ$253""),381,FALSE)"),31.0)</f>
        <v>31</v>
      </c>
      <c r="C16" s="13">
        <f t="shared" si="1"/>
        <v>0.124</v>
      </c>
      <c r="D16" s="12">
        <f>IFERROR(__xludf.DUMMYFUNCTION("VLOOKUP(A16,IMPORTRANGE(""1aFCnJY1qhIj8-JckJhDJ18aqmVo17tofpQmOjcYa3u8/edit#gid=948248086"",""Whole Data Set!$A$2:$NG$253""),371,FALSE)"),32.5)</f>
        <v>32.5</v>
      </c>
      <c r="E16" s="13">
        <f t="shared" si="2"/>
        <v>0.13</v>
      </c>
      <c r="F16" s="13">
        <f t="shared" si="3"/>
        <v>-0.006</v>
      </c>
      <c r="G16" s="12">
        <f>IFERROR(__xludf.DUMMYFUNCTION("VLOOKUP(A16,IMPORTRANGE(""1QZ5UxyNCwadreQAXnQ7oCoH982DjIA-QnZdO7ZoqkC0/edit#gid=0"",""2017-2021!$A$2:$O$250""),2,FALSE)"),36.0)</f>
        <v>36</v>
      </c>
      <c r="H16" s="14">
        <f t="shared" si="4"/>
        <v>0.144</v>
      </c>
      <c r="I16" s="15">
        <f t="shared" si="5"/>
        <v>-0.02</v>
      </c>
      <c r="J16" s="16">
        <f>IFERROR(__xludf.DUMMYFUNCTION("VLOOKUP(A16,IMPORTRANGE(""1QZ5UxyNCwadreQAXnQ7oCoH982DjIA-QnZdO7ZoqkC0/edit#gid=0"",""2017-2021!$A$2:$O$250""),4,FALSE)"),46.5)</f>
        <v>46.5</v>
      </c>
      <c r="K16" s="17">
        <f t="shared" si="6"/>
        <v>0.186</v>
      </c>
      <c r="L16" s="17">
        <f t="shared" si="7"/>
        <v>-0.062</v>
      </c>
      <c r="M16" s="16">
        <f>IFERROR(__xludf.DUMMYFUNCTION("VLOOKUP(A16,IMPORTRANGE(""1QZ5UxyNCwadreQAXnQ7oCoH982DjIA-QnZdO7ZoqkC0/edit#gid=0"",""2017-2021!$A$2:$O$250""),7,FALSE)"),46.0)</f>
        <v>46</v>
      </c>
      <c r="N16" s="17">
        <f t="shared" si="8"/>
        <v>0.184</v>
      </c>
      <c r="O16" s="17">
        <f t="shared" si="9"/>
        <v>-0.06</v>
      </c>
      <c r="P16" s="16">
        <f>IFERROR(__xludf.DUMMYFUNCTION("VLOOKUP(A16,IMPORTRANGE(""1QZ5UxyNCwadreQAXnQ7oCoH982DjIA-QnZdO7ZoqkC0/edit#gid=0"",""2017-2021!$A$2:$O$250""),10,FALSE)"),51.5)</f>
        <v>51.5</v>
      </c>
      <c r="Q16" s="17">
        <f t="shared" si="10"/>
        <v>0.206</v>
      </c>
      <c r="R16" s="17">
        <f t="shared" si="11"/>
        <v>-0.082</v>
      </c>
      <c r="S16" s="16">
        <f>IFERROR(__xludf.DUMMYFUNCTION("VLOOKUP(A16,IMPORTRANGE(""1QZ5UxyNCwadreQAXnQ7oCoH982DjIA-QnZdO7ZoqkC0/edit#gid=0"",""2017-2021!$A$2:$O$250""),13,FALSE)"),40.5)</f>
        <v>40.5</v>
      </c>
      <c r="T16" s="17">
        <f t="shared" si="12"/>
        <v>0.162</v>
      </c>
      <c r="U16" s="17">
        <f t="shared" si="13"/>
        <v>-0.038</v>
      </c>
    </row>
    <row r="17">
      <c r="A17" s="19" t="s">
        <v>35</v>
      </c>
      <c r="B17" s="12">
        <f>IFERROR(__xludf.DUMMYFUNCTION("VLOOKUP(A17,IMPORTRANGE(""1EmrnCz2gLVTx5Cbj0e5tfuHPhTtmru8KTGuQvh7STl0/edit#gid=2147150001"",""Whole Data Set!$A$2:$NQ$253""),381,FALSE)"),169.0)</f>
        <v>169</v>
      </c>
      <c r="C17" s="13">
        <f t="shared" si="1"/>
        <v>0.676</v>
      </c>
      <c r="D17" s="12">
        <f>IFERROR(__xludf.DUMMYFUNCTION("VLOOKUP(A17,IMPORTRANGE(""1aFCnJY1qhIj8-JckJhDJ18aqmVo17tofpQmOjcYa3u8/edit#gid=948248086"",""Whole Data Set!$A$2:$NG$253""),371,FALSE)"),147.75)</f>
        <v>147.75</v>
      </c>
      <c r="E17" s="13">
        <f t="shared" si="2"/>
        <v>0.591</v>
      </c>
      <c r="F17" s="13">
        <f t="shared" si="3"/>
        <v>0.085</v>
      </c>
      <c r="G17" s="12">
        <f>IFERROR(__xludf.DUMMYFUNCTION("VLOOKUP(A17,IMPORTRANGE(""1QZ5UxyNCwadreQAXnQ7oCoH982DjIA-QnZdO7ZoqkC0/edit#gid=0"",""2017-2021!$A$2:$O$250""),2,FALSE)"),162.75)</f>
        <v>162.75</v>
      </c>
      <c r="H17" s="14">
        <f t="shared" si="4"/>
        <v>0.651</v>
      </c>
      <c r="I17" s="15">
        <f t="shared" si="5"/>
        <v>0.025</v>
      </c>
      <c r="J17" s="16">
        <f>IFERROR(__xludf.DUMMYFUNCTION("VLOOKUP(A17,IMPORTRANGE(""1QZ5UxyNCwadreQAXnQ7oCoH982DjIA-QnZdO7ZoqkC0/edit#gid=0"",""2017-2021!$A$2:$O$250""),4,FALSE)"),174.5)</f>
        <v>174.5</v>
      </c>
      <c r="K17" s="17">
        <f t="shared" si="6"/>
        <v>0.698</v>
      </c>
      <c r="L17" s="17">
        <f t="shared" si="7"/>
        <v>-0.022</v>
      </c>
      <c r="M17" s="16">
        <f>IFERROR(__xludf.DUMMYFUNCTION("VLOOKUP(A17,IMPORTRANGE(""1QZ5UxyNCwadreQAXnQ7oCoH982DjIA-QnZdO7ZoqkC0/edit#gid=0"",""2017-2021!$A$2:$O$250""),7,FALSE)"),150.5)</f>
        <v>150.5</v>
      </c>
      <c r="N17" s="17">
        <f t="shared" si="8"/>
        <v>0.602</v>
      </c>
      <c r="O17" s="17">
        <f t="shared" si="9"/>
        <v>0.074</v>
      </c>
      <c r="P17" s="16">
        <f>IFERROR(__xludf.DUMMYFUNCTION("VLOOKUP(A17,IMPORTRANGE(""1QZ5UxyNCwadreQAXnQ7oCoH982DjIA-QnZdO7ZoqkC0/edit#gid=0"",""2017-2021!$A$2:$O$250""),10,FALSE)"),133.0)</f>
        <v>133</v>
      </c>
      <c r="Q17" s="17">
        <f t="shared" si="10"/>
        <v>0.532</v>
      </c>
      <c r="R17" s="17">
        <f t="shared" si="11"/>
        <v>0.144</v>
      </c>
      <c r="S17" s="16">
        <f>IFERROR(__xludf.DUMMYFUNCTION("VLOOKUP(A17,IMPORTRANGE(""1QZ5UxyNCwadreQAXnQ7oCoH982DjIA-QnZdO7ZoqkC0/edit#gid=0"",""2017-2021!$A$2:$O$250""),13,FALSE)"),86.0)</f>
        <v>86</v>
      </c>
      <c r="T17" s="17">
        <f t="shared" si="12"/>
        <v>0.344</v>
      </c>
      <c r="U17" s="17">
        <f t="shared" si="13"/>
        <v>0.332</v>
      </c>
    </row>
    <row r="18">
      <c r="A18" s="19" t="s">
        <v>36</v>
      </c>
      <c r="B18" s="12">
        <f>IFERROR(__xludf.DUMMYFUNCTION("VLOOKUP(A18,IMPORTRANGE(""1EmrnCz2gLVTx5Cbj0e5tfuHPhTtmru8KTGuQvh7STl0/edit#gid=2147150001"",""Whole Data Set!$A$2:$NQ$253""),381,FALSE)"),120.25)</f>
        <v>120.25</v>
      </c>
      <c r="C18" s="13">
        <f t="shared" si="1"/>
        <v>0.481</v>
      </c>
      <c r="D18" s="12">
        <f>IFERROR(__xludf.DUMMYFUNCTION("VLOOKUP(A18,IMPORTRANGE(""1aFCnJY1qhIj8-JckJhDJ18aqmVo17tofpQmOjcYa3u8/edit#gid=948248086"",""Whole Data Set!$A$2:$NG$253""),371,FALSE)"),140.75)</f>
        <v>140.75</v>
      </c>
      <c r="E18" s="13">
        <f t="shared" si="2"/>
        <v>0.563</v>
      </c>
      <c r="F18" s="13">
        <f t="shared" si="3"/>
        <v>-0.082</v>
      </c>
      <c r="G18" s="12">
        <f>IFERROR(__xludf.DUMMYFUNCTION("VLOOKUP(A18,IMPORTRANGE(""1QZ5UxyNCwadreQAXnQ7oCoH982DjIA-QnZdO7ZoqkC0/edit#gid=0"",""2017-2021!$A$2:$O$250""),2,FALSE)"),147.5)</f>
        <v>147.5</v>
      </c>
      <c r="H18" s="14">
        <f t="shared" si="4"/>
        <v>0.59</v>
      </c>
      <c r="I18" s="15">
        <f t="shared" si="5"/>
        <v>-0.109</v>
      </c>
      <c r="J18" s="16">
        <f>IFERROR(__xludf.DUMMYFUNCTION("VLOOKUP(A18,IMPORTRANGE(""1QZ5UxyNCwadreQAXnQ7oCoH982DjIA-QnZdO7ZoqkC0/edit#gid=0"",""2017-2021!$A$2:$O$250""),4,FALSE)"),134.5)</f>
        <v>134.5</v>
      </c>
      <c r="K18" s="17">
        <f t="shared" si="6"/>
        <v>0.538</v>
      </c>
      <c r="L18" s="17">
        <f t="shared" si="7"/>
        <v>-0.057</v>
      </c>
      <c r="M18" s="16">
        <f>IFERROR(__xludf.DUMMYFUNCTION("VLOOKUP(A18,IMPORTRANGE(""1QZ5UxyNCwadreQAXnQ7oCoH982DjIA-QnZdO7ZoqkC0/edit#gid=0"",""2017-2021!$A$2:$O$250""),7,FALSE)"),103.0)</f>
        <v>103</v>
      </c>
      <c r="N18" s="17">
        <f t="shared" si="8"/>
        <v>0.412</v>
      </c>
      <c r="O18" s="17">
        <f t="shared" si="9"/>
        <v>0.069</v>
      </c>
      <c r="P18" s="16">
        <f>IFERROR(__xludf.DUMMYFUNCTION("VLOOKUP(A18,IMPORTRANGE(""1QZ5UxyNCwadreQAXnQ7oCoH982DjIA-QnZdO7ZoqkC0/edit#gid=0"",""2017-2021!$A$2:$O$250""),10,FALSE)"),94.5)</f>
        <v>94.5</v>
      </c>
      <c r="Q18" s="17">
        <f t="shared" si="10"/>
        <v>0.378</v>
      </c>
      <c r="R18" s="17">
        <f t="shared" si="11"/>
        <v>0.103</v>
      </c>
      <c r="S18" s="16">
        <f>IFERROR(__xludf.DUMMYFUNCTION("VLOOKUP(A18,IMPORTRANGE(""1QZ5UxyNCwadreQAXnQ7oCoH982DjIA-QnZdO7ZoqkC0/edit#gid=0"",""2017-2021!$A$2:$O$250""),13,FALSE)"),72.0)</f>
        <v>72</v>
      </c>
      <c r="T18" s="17">
        <f t="shared" si="12"/>
        <v>0.288</v>
      </c>
      <c r="U18" s="17">
        <f t="shared" si="13"/>
        <v>0.193</v>
      </c>
    </row>
    <row r="19">
      <c r="A19" s="19" t="s">
        <v>37</v>
      </c>
      <c r="B19" s="12">
        <f>IFERROR(__xludf.DUMMYFUNCTION("VLOOKUP(A19,IMPORTRANGE(""1EmrnCz2gLVTx5Cbj0e5tfuHPhTtmru8KTGuQvh7STl0/edit#gid=2147150001"",""Whole Data Set!$A$2:$NQ$253""),381,FALSE)"),156.25)</f>
        <v>156.25</v>
      </c>
      <c r="C19" s="13">
        <f t="shared" si="1"/>
        <v>0.625</v>
      </c>
      <c r="D19" s="12">
        <f>IFERROR(__xludf.DUMMYFUNCTION("VLOOKUP(A19,IMPORTRANGE(""1aFCnJY1qhIj8-JckJhDJ18aqmVo17tofpQmOjcYa3u8/edit#gid=948248086"",""Whole Data Set!$A$2:$NG$253""),371,FALSE)"),134.75)</f>
        <v>134.75</v>
      </c>
      <c r="E19" s="13">
        <f t="shared" si="2"/>
        <v>0.539</v>
      </c>
      <c r="F19" s="13">
        <f t="shared" si="3"/>
        <v>0.086</v>
      </c>
      <c r="G19" s="12">
        <f>IFERROR(__xludf.DUMMYFUNCTION("VLOOKUP(A19,IMPORTRANGE(""1QZ5UxyNCwadreQAXnQ7oCoH982DjIA-QnZdO7ZoqkC0/edit#gid=0"",""2017-2021!$A$2:$O$250""),2,FALSE)"),26.75)</f>
        <v>26.75</v>
      </c>
      <c r="H19" s="14">
        <f t="shared" si="4"/>
        <v>0.107</v>
      </c>
      <c r="I19" s="15">
        <f t="shared" si="5"/>
        <v>0.518</v>
      </c>
      <c r="J19" s="16">
        <f>IFERROR(__xludf.DUMMYFUNCTION("VLOOKUP(A19,IMPORTRANGE(""1QZ5UxyNCwadreQAXnQ7oCoH982DjIA-QnZdO7ZoqkC0/edit#gid=0"",""2017-2021!$A$2:$O$250""),4,FALSE)"),33.0)</f>
        <v>33</v>
      </c>
      <c r="K19" s="17">
        <f t="shared" si="6"/>
        <v>0.132</v>
      </c>
      <c r="L19" s="17">
        <f t="shared" si="7"/>
        <v>0.493</v>
      </c>
      <c r="M19" s="16">
        <f>IFERROR(__xludf.DUMMYFUNCTION("VLOOKUP(A19,IMPORTRANGE(""1QZ5UxyNCwadreQAXnQ7oCoH982DjIA-QnZdO7ZoqkC0/edit#gid=0"",""2017-2021!$A$2:$O$250""),7,FALSE)"),13.5)</f>
        <v>13.5</v>
      </c>
      <c r="N19" s="17">
        <f t="shared" si="8"/>
        <v>0.054</v>
      </c>
      <c r="O19" s="17">
        <f t="shared" si="9"/>
        <v>0.571</v>
      </c>
      <c r="P19" s="16">
        <f>IFERROR(__xludf.DUMMYFUNCTION("VLOOKUP(A19,IMPORTRANGE(""1QZ5UxyNCwadreQAXnQ7oCoH982DjIA-QnZdO7ZoqkC0/edit#gid=0"",""2017-2021!$A$2:$O$250""),10,FALSE)"),16.0)</f>
        <v>16</v>
      </c>
      <c r="Q19" s="17">
        <f t="shared" si="10"/>
        <v>0.064</v>
      </c>
      <c r="R19" s="17">
        <f t="shared" si="11"/>
        <v>0.561</v>
      </c>
      <c r="S19" s="16">
        <f>IFERROR(__xludf.DUMMYFUNCTION("VLOOKUP(A19,IMPORTRANGE(""1QZ5UxyNCwadreQAXnQ7oCoH982DjIA-QnZdO7ZoqkC0/edit#gid=0"",""2017-2021!$A$2:$O$250""),13,FALSE)"),22.0)</f>
        <v>22</v>
      </c>
      <c r="T19" s="17">
        <f t="shared" si="12"/>
        <v>0.088</v>
      </c>
      <c r="U19" s="17">
        <f t="shared" si="13"/>
        <v>0.537</v>
      </c>
    </row>
    <row r="20">
      <c r="A20" s="19" t="s">
        <v>38</v>
      </c>
      <c r="B20" s="12">
        <f>IFERROR(__xludf.DUMMYFUNCTION("VLOOKUP(A20,IMPORTRANGE(""1EmrnCz2gLVTx5Cbj0e5tfuHPhTtmru8KTGuQvh7STl0/edit#gid=2147150001"",""Whole Data Set!$A$2:$NQ$253""),381,FALSE)"),93.75)</f>
        <v>93.75</v>
      </c>
      <c r="C20" s="13">
        <f t="shared" si="1"/>
        <v>0.375</v>
      </c>
      <c r="D20" s="12">
        <f>IFERROR(__xludf.DUMMYFUNCTION("VLOOKUP(A20,IMPORTRANGE(""1aFCnJY1qhIj8-JckJhDJ18aqmVo17tofpQmOjcYa3u8/edit#gid=948248086"",""Whole Data Set!$A$2:$NG$253""),371,FALSE)"),67.75)</f>
        <v>67.75</v>
      </c>
      <c r="E20" s="13">
        <f t="shared" si="2"/>
        <v>0.271</v>
      </c>
      <c r="F20" s="13">
        <f t="shared" si="3"/>
        <v>0.104</v>
      </c>
      <c r="G20" s="12">
        <f>IFERROR(__xludf.DUMMYFUNCTION("VLOOKUP(A20,IMPORTRANGE(""1QZ5UxyNCwadreQAXnQ7oCoH982DjIA-QnZdO7ZoqkC0/edit#gid=0"",""2017-2021!$A$2:$O$250""),2,FALSE)"),98.25)</f>
        <v>98.25</v>
      </c>
      <c r="H20" s="14">
        <f t="shared" si="4"/>
        <v>0.393</v>
      </c>
      <c r="I20" s="15">
        <f t="shared" si="5"/>
        <v>-0.018</v>
      </c>
      <c r="J20" s="16">
        <f>IFERROR(__xludf.DUMMYFUNCTION("VLOOKUP(A20,IMPORTRANGE(""1QZ5UxyNCwadreQAXnQ7oCoH982DjIA-QnZdO7ZoqkC0/edit#gid=0"",""2017-2021!$A$2:$O$250""),4,FALSE)"),97.0)</f>
        <v>97</v>
      </c>
      <c r="K20" s="17">
        <f t="shared" si="6"/>
        <v>0.388</v>
      </c>
      <c r="L20" s="17">
        <f t="shared" si="7"/>
        <v>-0.013</v>
      </c>
      <c r="M20" s="16">
        <f>IFERROR(__xludf.DUMMYFUNCTION("VLOOKUP(A20,IMPORTRANGE(""1QZ5UxyNCwadreQAXnQ7oCoH982DjIA-QnZdO7ZoqkC0/edit#gid=0"",""2017-2021!$A$2:$O$250""),7,FALSE)"),77.0)</f>
        <v>77</v>
      </c>
      <c r="N20" s="17">
        <f t="shared" si="8"/>
        <v>0.308</v>
      </c>
      <c r="O20" s="17">
        <f t="shared" si="9"/>
        <v>0.067</v>
      </c>
      <c r="P20" s="16">
        <f>IFERROR(__xludf.DUMMYFUNCTION("VLOOKUP(A20,IMPORTRANGE(""1QZ5UxyNCwadreQAXnQ7oCoH982DjIA-QnZdO7ZoqkC0/edit#gid=0"",""2017-2021!$A$2:$O$250""),10,FALSE)"),60.0)</f>
        <v>60</v>
      </c>
      <c r="Q20" s="17">
        <f t="shared" si="10"/>
        <v>0.24</v>
      </c>
      <c r="R20" s="17">
        <f t="shared" si="11"/>
        <v>0.135</v>
      </c>
      <c r="S20" s="16">
        <f>IFERROR(__xludf.DUMMYFUNCTION("VLOOKUP(A20,IMPORTRANGE(""1QZ5UxyNCwadreQAXnQ7oCoH982DjIA-QnZdO7ZoqkC0/edit#gid=0"",""2017-2021!$A$2:$O$250""),13,FALSE)"),49.0)</f>
        <v>49</v>
      </c>
      <c r="T20" s="17">
        <f t="shared" si="12"/>
        <v>0.196</v>
      </c>
      <c r="U20" s="17">
        <f t="shared" si="13"/>
        <v>0.179</v>
      </c>
    </row>
    <row r="21">
      <c r="A21" s="19" t="s">
        <v>39</v>
      </c>
      <c r="B21" s="12">
        <f>IFERROR(__xludf.DUMMYFUNCTION("VLOOKUP(A21,IMPORTRANGE(""1EmrnCz2gLVTx5Cbj0e5tfuHPhTtmru8KTGuQvh7STl0/edit#gid=2147150001"",""Whole Data Set!$A$2:$NQ$253""),381,FALSE)"),26.5)</f>
        <v>26.5</v>
      </c>
      <c r="C21" s="13">
        <f t="shared" si="1"/>
        <v>0.106</v>
      </c>
      <c r="D21" s="12">
        <f>IFERROR(__xludf.DUMMYFUNCTION("VLOOKUP(A21,IMPORTRANGE(""1aFCnJY1qhIj8-JckJhDJ18aqmVo17tofpQmOjcYa3u8/edit#gid=948248086"",""Whole Data Set!$A$2:$NG$253""),371,FALSE)"),36.75)</f>
        <v>36.75</v>
      </c>
      <c r="E21" s="13">
        <f t="shared" si="2"/>
        <v>0.147</v>
      </c>
      <c r="F21" s="13">
        <f t="shared" si="3"/>
        <v>-0.041</v>
      </c>
      <c r="G21" s="12">
        <f>IFERROR(__xludf.DUMMYFUNCTION("VLOOKUP(A21,IMPORTRANGE(""1QZ5UxyNCwadreQAXnQ7oCoH982DjIA-QnZdO7ZoqkC0/edit#gid=0"",""2017-2021!$A$2:$O$250""),2,FALSE)"),27.0)</f>
        <v>27</v>
      </c>
      <c r="H21" s="14">
        <f t="shared" si="4"/>
        <v>0.108</v>
      </c>
      <c r="I21" s="15">
        <f t="shared" si="5"/>
        <v>-0.002</v>
      </c>
      <c r="J21" s="16">
        <f>IFERROR(__xludf.DUMMYFUNCTION("VLOOKUP(A21,IMPORTRANGE(""1QZ5UxyNCwadreQAXnQ7oCoH982DjIA-QnZdO7ZoqkC0/edit#gid=0"",""2017-2021!$A$2:$O$250""),4,FALSE)"),26.5)</f>
        <v>26.5</v>
      </c>
      <c r="K21" s="17">
        <f t="shared" si="6"/>
        <v>0.106</v>
      </c>
      <c r="L21" s="17">
        <f t="shared" si="7"/>
        <v>0</v>
      </c>
      <c r="M21" s="16">
        <f>IFERROR(__xludf.DUMMYFUNCTION("VLOOKUP(A21,IMPORTRANGE(""1QZ5UxyNCwadreQAXnQ7oCoH982DjIA-QnZdO7ZoqkC0/edit#gid=0"",""2017-2021!$A$2:$O$250""),7,FALSE)"),25.5)</f>
        <v>25.5</v>
      </c>
      <c r="N21" s="17">
        <f t="shared" si="8"/>
        <v>0.102</v>
      </c>
      <c r="O21" s="17">
        <f t="shared" si="9"/>
        <v>0.004</v>
      </c>
      <c r="P21" s="16">
        <f>IFERROR(__xludf.DUMMYFUNCTION("VLOOKUP(A21,IMPORTRANGE(""1QZ5UxyNCwadreQAXnQ7oCoH982DjIA-QnZdO7ZoqkC0/edit#gid=0"",""2017-2021!$A$2:$O$250""),10,FALSE)"),7.5)</f>
        <v>7.5</v>
      </c>
      <c r="Q21" s="17">
        <f t="shared" si="10"/>
        <v>0.03</v>
      </c>
      <c r="R21" s="17">
        <f t="shared" si="11"/>
        <v>0.076</v>
      </c>
      <c r="S21" s="16">
        <f>IFERROR(__xludf.DUMMYFUNCTION("VLOOKUP(A21,IMPORTRANGE(""1QZ5UxyNCwadreQAXnQ7oCoH982DjIA-QnZdO7ZoqkC0/edit#gid=0"",""2017-2021!$A$2:$O$250""),13,FALSE)"),3.5)</f>
        <v>3.5</v>
      </c>
      <c r="T21" s="17">
        <f t="shared" si="12"/>
        <v>0.014</v>
      </c>
      <c r="U21" s="17">
        <f t="shared" si="13"/>
        <v>0.092</v>
      </c>
    </row>
    <row r="22">
      <c r="A22" s="19" t="s">
        <v>40</v>
      </c>
      <c r="B22" s="12">
        <f>IFERROR(__xludf.DUMMYFUNCTION("VLOOKUP(A22,IMPORTRANGE(""1EmrnCz2gLVTx5Cbj0e5tfuHPhTtmru8KTGuQvh7STl0/edit#gid=2147150001"",""Whole Data Set!$A$2:$NQ$253""),381,FALSE)"),24.25)</f>
        <v>24.25</v>
      </c>
      <c r="C22" s="13">
        <f t="shared" si="1"/>
        <v>0.097</v>
      </c>
      <c r="D22" s="12">
        <f>IFERROR(__xludf.DUMMYFUNCTION("VLOOKUP(A22,IMPORTRANGE(""1aFCnJY1qhIj8-JckJhDJ18aqmVo17tofpQmOjcYa3u8/edit#gid=948248086"",""Whole Data Set!$A$2:$NG$253""),371,FALSE)"),25.25)</f>
        <v>25.25</v>
      </c>
      <c r="E22" s="13">
        <f t="shared" si="2"/>
        <v>0.101</v>
      </c>
      <c r="F22" s="13">
        <f t="shared" si="3"/>
        <v>-0.004</v>
      </c>
      <c r="G22" s="12">
        <f>IFERROR(__xludf.DUMMYFUNCTION("VLOOKUP(A22,IMPORTRANGE(""1QZ5UxyNCwadreQAXnQ7oCoH982DjIA-QnZdO7ZoqkC0/edit#gid=0"",""2017-2021!$A$2:$O$250""),2,FALSE)"),29.25)</f>
        <v>29.25</v>
      </c>
      <c r="H22" s="14">
        <f t="shared" si="4"/>
        <v>0.117</v>
      </c>
      <c r="I22" s="15">
        <f t="shared" si="5"/>
        <v>-0.02</v>
      </c>
      <c r="J22" s="16">
        <f>IFERROR(__xludf.DUMMYFUNCTION("VLOOKUP(A22,IMPORTRANGE(""1QZ5UxyNCwadreQAXnQ7oCoH982DjIA-QnZdO7ZoqkC0/edit#gid=0"",""2017-2021!$A$2:$O$250""),4,FALSE)"),38.0)</f>
        <v>38</v>
      </c>
      <c r="K22" s="17">
        <f t="shared" si="6"/>
        <v>0.152</v>
      </c>
      <c r="L22" s="17">
        <f t="shared" si="7"/>
        <v>-0.055</v>
      </c>
      <c r="M22" s="16">
        <f>IFERROR(__xludf.DUMMYFUNCTION("VLOOKUP(A22,IMPORTRANGE(""1QZ5UxyNCwadreQAXnQ7oCoH982DjIA-QnZdO7ZoqkC0/edit#gid=0"",""2017-2021!$A$2:$O$250""),7,FALSE)"),36.5)</f>
        <v>36.5</v>
      </c>
      <c r="N22" s="17">
        <f t="shared" si="8"/>
        <v>0.146</v>
      </c>
      <c r="O22" s="17">
        <f t="shared" si="9"/>
        <v>-0.049</v>
      </c>
      <c r="P22" s="16">
        <f>IFERROR(__xludf.DUMMYFUNCTION("VLOOKUP(A22,IMPORTRANGE(""1QZ5UxyNCwadreQAXnQ7oCoH982DjIA-QnZdO7ZoqkC0/edit#gid=0"",""2017-2021!$A$2:$O$250""),10,FALSE)"),37.5)</f>
        <v>37.5</v>
      </c>
      <c r="Q22" s="17">
        <f t="shared" si="10"/>
        <v>0.15</v>
      </c>
      <c r="R22" s="17">
        <f t="shared" si="11"/>
        <v>-0.053</v>
      </c>
      <c r="S22" s="16">
        <f>IFERROR(__xludf.DUMMYFUNCTION("VLOOKUP(A22,IMPORTRANGE(""1QZ5UxyNCwadreQAXnQ7oCoH982DjIA-QnZdO7ZoqkC0/edit#gid=0"",""2017-2021!$A$2:$O$250""),13,FALSE)"),32.5)</f>
        <v>32.5</v>
      </c>
      <c r="T22" s="17">
        <f t="shared" si="12"/>
        <v>0.13</v>
      </c>
      <c r="U22" s="17">
        <f t="shared" si="13"/>
        <v>-0.033</v>
      </c>
    </row>
    <row r="23">
      <c r="A23" s="19" t="s">
        <v>41</v>
      </c>
      <c r="B23" s="12">
        <f>IFERROR(__xludf.DUMMYFUNCTION("VLOOKUP(A23,IMPORTRANGE(""1EmrnCz2gLVTx5Cbj0e5tfuHPhTtmru8KTGuQvh7STl0/edit#gid=2147150001"",""Whole Data Set!$A$2:$NQ$253""),381,FALSE)"),103.75)</f>
        <v>103.75</v>
      </c>
      <c r="C23" s="13">
        <f t="shared" si="1"/>
        <v>0.415</v>
      </c>
      <c r="D23" s="12">
        <f>IFERROR(__xludf.DUMMYFUNCTION("VLOOKUP(A23,IMPORTRANGE(""1aFCnJY1qhIj8-JckJhDJ18aqmVo17tofpQmOjcYa3u8/edit#gid=948248086"",""Whole Data Set!$A$2:$NG$253""),371,FALSE)"),66.25)</f>
        <v>66.25</v>
      </c>
      <c r="E23" s="13">
        <f t="shared" si="2"/>
        <v>0.265</v>
      </c>
      <c r="F23" s="13">
        <f t="shared" si="3"/>
        <v>0.15</v>
      </c>
      <c r="G23" s="12">
        <f>IFERROR(__xludf.DUMMYFUNCTION("VLOOKUP(A23,IMPORTRANGE(""1QZ5UxyNCwadreQAXnQ7oCoH982DjIA-QnZdO7ZoqkC0/edit#gid=0"",""2017-2021!$A$2:$O$250""),2,FALSE)"),54.0)</f>
        <v>54</v>
      </c>
      <c r="H23" s="14">
        <f t="shared" si="4"/>
        <v>0.216</v>
      </c>
      <c r="I23" s="15">
        <f t="shared" si="5"/>
        <v>0.199</v>
      </c>
      <c r="J23" s="16">
        <f>IFERROR(__xludf.DUMMYFUNCTION("VLOOKUP(A23,IMPORTRANGE(""1QZ5UxyNCwadreQAXnQ7oCoH982DjIA-QnZdO7ZoqkC0/edit#gid=0"",""2017-2021!$A$2:$O$250""),4,FALSE)"),47.0)</f>
        <v>47</v>
      </c>
      <c r="K23" s="17">
        <f t="shared" si="6"/>
        <v>0.188</v>
      </c>
      <c r="L23" s="17">
        <f t="shared" si="7"/>
        <v>0.227</v>
      </c>
      <c r="M23" s="16">
        <f>IFERROR(__xludf.DUMMYFUNCTION("VLOOKUP(A23,IMPORTRANGE(""1QZ5UxyNCwadreQAXnQ7oCoH982DjIA-QnZdO7ZoqkC0/edit#gid=0"",""2017-2021!$A$2:$O$250""),7,FALSE)"),55.0)</f>
        <v>55</v>
      </c>
      <c r="N23" s="17">
        <f t="shared" si="8"/>
        <v>0.22</v>
      </c>
      <c r="O23" s="17">
        <f t="shared" si="9"/>
        <v>0.195</v>
      </c>
      <c r="P23" s="16">
        <f>IFERROR(__xludf.DUMMYFUNCTION("VLOOKUP(A23,IMPORTRANGE(""1QZ5UxyNCwadreQAXnQ7oCoH982DjIA-QnZdO7ZoqkC0/edit#gid=0"",""2017-2021!$A$2:$O$250""),10,FALSE)"),53.0)</f>
        <v>53</v>
      </c>
      <c r="Q23" s="17">
        <f t="shared" si="10"/>
        <v>0.212</v>
      </c>
      <c r="R23" s="17">
        <f t="shared" si="11"/>
        <v>0.203</v>
      </c>
      <c r="S23" s="16">
        <f>IFERROR(__xludf.DUMMYFUNCTION("VLOOKUP(A23,IMPORTRANGE(""1QZ5UxyNCwadreQAXnQ7oCoH982DjIA-QnZdO7ZoqkC0/edit#gid=0"",""2017-2021!$A$2:$O$250""),13,FALSE)"),53.5)</f>
        <v>53.5</v>
      </c>
      <c r="T23" s="17">
        <f t="shared" si="12"/>
        <v>0.214</v>
      </c>
      <c r="U23" s="17">
        <f t="shared" si="13"/>
        <v>0.201</v>
      </c>
    </row>
    <row r="24">
      <c r="A24" s="20" t="s">
        <v>42</v>
      </c>
      <c r="B24" s="12">
        <f>IFERROR(__xludf.DUMMYFUNCTION("VLOOKUP(A24,IMPORTRANGE(""1EmrnCz2gLVTx5Cbj0e5tfuHPhTtmru8KTGuQvh7STl0/edit#gid=2147150001"",""Whole Data Set!$A$2:$NQ$253""),381,FALSE)"),91.75)</f>
        <v>91.75</v>
      </c>
      <c r="C24" s="13">
        <f t="shared" si="1"/>
        <v>0.367</v>
      </c>
      <c r="D24" s="12">
        <f>IFERROR(__xludf.DUMMYFUNCTION("VLOOKUP(A24,IMPORTRANGE(""1aFCnJY1qhIj8-JckJhDJ18aqmVo17tofpQmOjcYa3u8/edit#gid=948248086"",""Whole Data Set!$A$2:$NG$253""),371,FALSE)"),92.25)</f>
        <v>92.25</v>
      </c>
      <c r="E24" s="13">
        <f t="shared" si="2"/>
        <v>0.369</v>
      </c>
      <c r="F24" s="13">
        <f t="shared" si="3"/>
        <v>-0.002</v>
      </c>
      <c r="G24" s="12">
        <f>IFERROR(__xludf.DUMMYFUNCTION("VLOOKUP(A24,IMPORTRANGE(""1QZ5UxyNCwadreQAXnQ7oCoH982DjIA-QnZdO7ZoqkC0/edit#gid=0"",""2017-2021!$A$2:$O$250""),2,FALSE)"),62.25)</f>
        <v>62.25</v>
      </c>
      <c r="H24" s="14">
        <f t="shared" si="4"/>
        <v>0.249</v>
      </c>
      <c r="I24" s="15">
        <f t="shared" si="5"/>
        <v>0.118</v>
      </c>
      <c r="J24" s="16">
        <f>IFERROR(__xludf.DUMMYFUNCTION("VLOOKUP(A24,IMPORTRANGE(""1QZ5UxyNCwadreQAXnQ7oCoH982DjIA-QnZdO7ZoqkC0/edit#gid=0"",""2017-2021!$A$2:$O$250""),4,FALSE)"),70.5)</f>
        <v>70.5</v>
      </c>
      <c r="K24" s="17">
        <f t="shared" si="6"/>
        <v>0.282</v>
      </c>
      <c r="L24" s="17">
        <f t="shared" si="7"/>
        <v>0.085</v>
      </c>
      <c r="M24" s="16">
        <f>IFERROR(__xludf.DUMMYFUNCTION("VLOOKUP(A24,IMPORTRANGE(""1QZ5UxyNCwadreQAXnQ7oCoH982DjIA-QnZdO7ZoqkC0/edit#gid=0"",""2017-2021!$A$2:$O$250""),7,FALSE)"),53.0)</f>
        <v>53</v>
      </c>
      <c r="N24" s="17">
        <f t="shared" si="8"/>
        <v>0.212</v>
      </c>
      <c r="O24" s="17">
        <f t="shared" si="9"/>
        <v>0.155</v>
      </c>
      <c r="P24" s="16">
        <f>IFERROR(__xludf.DUMMYFUNCTION("VLOOKUP(A24,IMPORTRANGE(""1QZ5UxyNCwadreQAXnQ7oCoH982DjIA-QnZdO7ZoqkC0/edit#gid=0"",""2017-2021!$A$2:$O$250""),10,FALSE)"),56.0)</f>
        <v>56</v>
      </c>
      <c r="Q24" s="17">
        <f t="shared" si="10"/>
        <v>0.224</v>
      </c>
      <c r="R24" s="17">
        <f t="shared" si="11"/>
        <v>0.143</v>
      </c>
      <c r="S24" s="16">
        <f>IFERROR(__xludf.DUMMYFUNCTION("VLOOKUP(A24,IMPORTRANGE(""1QZ5UxyNCwadreQAXnQ7oCoH982DjIA-QnZdO7ZoqkC0/edit#gid=0"",""2017-2021!$A$2:$O$250""),13,FALSE)"),37.5)</f>
        <v>37.5</v>
      </c>
      <c r="T24" s="17">
        <f t="shared" si="12"/>
        <v>0.15</v>
      </c>
      <c r="U24" s="17">
        <f t="shared" si="13"/>
        <v>0.217</v>
      </c>
    </row>
    <row r="25">
      <c r="A25" s="19" t="s">
        <v>43</v>
      </c>
      <c r="B25" s="12">
        <f>IFERROR(__xludf.DUMMYFUNCTION("VLOOKUP(A25,IMPORTRANGE(""1EmrnCz2gLVTx5Cbj0e5tfuHPhTtmru8KTGuQvh7STl0/edit#gid=2147150001"",""Whole Data Set!$A$2:$NQ$253""),381,FALSE)"),124.75)</f>
        <v>124.75</v>
      </c>
      <c r="C25" s="13">
        <f t="shared" si="1"/>
        <v>0.499</v>
      </c>
      <c r="D25" s="12">
        <f>IFERROR(__xludf.DUMMYFUNCTION("VLOOKUP(A25,IMPORTRANGE(""1aFCnJY1qhIj8-JckJhDJ18aqmVo17tofpQmOjcYa3u8/edit#gid=948248086"",""Whole Data Set!$A$2:$NG$253""),371,FALSE)"),133.5)</f>
        <v>133.5</v>
      </c>
      <c r="E25" s="13">
        <f t="shared" si="2"/>
        <v>0.534</v>
      </c>
      <c r="F25" s="13">
        <f t="shared" si="3"/>
        <v>-0.035</v>
      </c>
      <c r="G25" s="12">
        <f>IFERROR(__xludf.DUMMYFUNCTION("VLOOKUP(A25,IMPORTRANGE(""1QZ5UxyNCwadreQAXnQ7oCoH982DjIA-QnZdO7ZoqkC0/edit#gid=0"",""2017-2021!$A$2:$O$250""),2,FALSE)"),138.5)</f>
        <v>138.5</v>
      </c>
      <c r="H25" s="14">
        <f t="shared" si="4"/>
        <v>0.554</v>
      </c>
      <c r="I25" s="15">
        <f t="shared" si="5"/>
        <v>-0.055</v>
      </c>
      <c r="J25" s="16">
        <f>IFERROR(__xludf.DUMMYFUNCTION("VLOOKUP(A25,IMPORTRANGE(""1QZ5UxyNCwadreQAXnQ7oCoH982DjIA-QnZdO7ZoqkC0/edit#gid=0"",""2017-2021!$A$2:$O$250""),4,FALSE)"),138.0)</f>
        <v>138</v>
      </c>
      <c r="K25" s="17">
        <f t="shared" si="6"/>
        <v>0.552</v>
      </c>
      <c r="L25" s="17">
        <f t="shared" si="7"/>
        <v>-0.053</v>
      </c>
      <c r="M25" s="16">
        <f>IFERROR(__xludf.DUMMYFUNCTION("VLOOKUP(A25,IMPORTRANGE(""1QZ5UxyNCwadreQAXnQ7oCoH982DjIA-QnZdO7ZoqkC0/edit#gid=0"",""2017-2021!$A$2:$O$250""),7,FALSE)"),143.0)</f>
        <v>143</v>
      </c>
      <c r="N25" s="17">
        <f t="shared" si="8"/>
        <v>0.572</v>
      </c>
      <c r="O25" s="17">
        <f t="shared" si="9"/>
        <v>-0.073</v>
      </c>
      <c r="P25" s="16">
        <f>IFERROR(__xludf.DUMMYFUNCTION("VLOOKUP(A25,IMPORTRANGE(""1QZ5UxyNCwadreQAXnQ7oCoH982DjIA-QnZdO7ZoqkC0/edit#gid=0"",""2017-2021!$A$2:$O$250""),10,FALSE)"),91.0)</f>
        <v>91</v>
      </c>
      <c r="Q25" s="17">
        <f t="shared" si="10"/>
        <v>0.364</v>
      </c>
      <c r="R25" s="17">
        <f t="shared" si="11"/>
        <v>0.135</v>
      </c>
      <c r="S25" s="16">
        <f>IFERROR(__xludf.DUMMYFUNCTION("VLOOKUP(A25,IMPORTRANGE(""1QZ5UxyNCwadreQAXnQ7oCoH982DjIA-QnZdO7ZoqkC0/edit#gid=0"",""2017-2021!$A$2:$O$250""),13,FALSE)"),90.0)</f>
        <v>90</v>
      </c>
      <c r="T25" s="17">
        <f t="shared" si="12"/>
        <v>0.36</v>
      </c>
      <c r="U25" s="17">
        <f t="shared" si="13"/>
        <v>0.139</v>
      </c>
    </row>
    <row r="26">
      <c r="A26" s="18" t="s">
        <v>44</v>
      </c>
      <c r="B26" s="12">
        <f>IFERROR(__xludf.DUMMYFUNCTION("VLOOKUP(A26,IMPORTRANGE(""1EmrnCz2gLVTx5Cbj0e5tfuHPhTtmru8KTGuQvh7STl0/edit#gid=2147150001"",""Whole Data Set!$A$2:$NQ$253""),381,FALSE)"),15.25)</f>
        <v>15.25</v>
      </c>
      <c r="C26" s="13">
        <f t="shared" si="1"/>
        <v>0.061</v>
      </c>
      <c r="D26" s="12">
        <f>IFERROR(__xludf.DUMMYFUNCTION("VLOOKUP(A26,IMPORTRANGE(""1aFCnJY1qhIj8-JckJhDJ18aqmVo17tofpQmOjcYa3u8/edit#gid=948248086"",""Whole Data Set!$A$2:$NG$253""),371,FALSE)"),16.5)</f>
        <v>16.5</v>
      </c>
      <c r="E26" s="13">
        <f t="shared" si="2"/>
        <v>0.066</v>
      </c>
      <c r="F26" s="13">
        <f t="shared" si="3"/>
        <v>-0.005</v>
      </c>
      <c r="G26" s="12">
        <f>IFERROR(__xludf.DUMMYFUNCTION("VLOOKUP(A26,IMPORTRANGE(""1QZ5UxyNCwadreQAXnQ7oCoH982DjIA-QnZdO7ZoqkC0/edit#gid=0"",""2017-2021!$A$2:$O$250""),2,FALSE)"),15.25)</f>
        <v>15.25</v>
      </c>
      <c r="H26" s="14">
        <f t="shared" si="4"/>
        <v>0.061</v>
      </c>
      <c r="I26" s="15">
        <f t="shared" si="5"/>
        <v>0</v>
      </c>
      <c r="J26" s="16">
        <f>IFERROR(__xludf.DUMMYFUNCTION("VLOOKUP(A26,IMPORTRANGE(""1QZ5UxyNCwadreQAXnQ7oCoH982DjIA-QnZdO7ZoqkC0/edit#gid=0"",""2017-2021!$A$2:$O$250""),4,FALSE)"),21.0)</f>
        <v>21</v>
      </c>
      <c r="K26" s="17">
        <f t="shared" si="6"/>
        <v>0.084</v>
      </c>
      <c r="L26" s="17">
        <f t="shared" si="7"/>
        <v>-0.023</v>
      </c>
      <c r="M26" s="16">
        <f>IFERROR(__xludf.DUMMYFUNCTION("VLOOKUP(A26,IMPORTRANGE(""1QZ5UxyNCwadreQAXnQ7oCoH982DjIA-QnZdO7ZoqkC0/edit#gid=0"",""2017-2021!$A$2:$O$250""),7,FALSE)"),20.0)</f>
        <v>20</v>
      </c>
      <c r="N26" s="17">
        <f t="shared" si="8"/>
        <v>0.08</v>
      </c>
      <c r="O26" s="17">
        <f t="shared" si="9"/>
        <v>-0.019</v>
      </c>
      <c r="P26" s="16">
        <f>IFERROR(__xludf.DUMMYFUNCTION("VLOOKUP(A26,IMPORTRANGE(""1QZ5UxyNCwadreQAXnQ7oCoH982DjIA-QnZdO7ZoqkC0/edit#gid=0"",""2017-2021!$A$2:$O$250""),10,FALSE)"),26.0)</f>
        <v>26</v>
      </c>
      <c r="Q26" s="17">
        <f t="shared" si="10"/>
        <v>0.104</v>
      </c>
      <c r="R26" s="17">
        <f t="shared" si="11"/>
        <v>-0.043</v>
      </c>
      <c r="S26" s="16">
        <f>IFERROR(__xludf.DUMMYFUNCTION("VLOOKUP(A26,IMPORTRANGE(""1QZ5UxyNCwadreQAXnQ7oCoH982DjIA-QnZdO7ZoqkC0/edit#gid=0"",""2017-2021!$A$2:$O$250""),13,FALSE)"),19.5)</f>
        <v>19.5</v>
      </c>
      <c r="T26" s="17">
        <f t="shared" si="12"/>
        <v>0.078</v>
      </c>
      <c r="U26" s="17">
        <f t="shared" si="13"/>
        <v>-0.017</v>
      </c>
    </row>
    <row r="27">
      <c r="A27" s="22" t="s">
        <v>45</v>
      </c>
      <c r="B27" s="12">
        <f>IFERROR(__xludf.DUMMYFUNCTION("VLOOKUP(A27,IMPORTRANGE(""1EmrnCz2gLVTx5Cbj0e5tfuHPhTtmru8KTGuQvh7STl0/edit#gid=2147150001"",""Whole Data Set!$A$2:$NQ$253""),381,FALSE)"),8.25)</f>
        <v>8.25</v>
      </c>
      <c r="C27" s="13">
        <f t="shared" si="1"/>
        <v>0.033</v>
      </c>
      <c r="D27" s="12">
        <f>IFERROR(__xludf.DUMMYFUNCTION("VLOOKUP(A27,IMPORTRANGE(""1aFCnJY1qhIj8-JckJhDJ18aqmVo17tofpQmOjcYa3u8/edit#gid=948248086"",""Whole Data Set!$A$2:$NG$253""),371,FALSE)"),11.0)</f>
        <v>11</v>
      </c>
      <c r="E27" s="13">
        <f t="shared" si="2"/>
        <v>0.044</v>
      </c>
      <c r="F27" s="13">
        <f t="shared" si="3"/>
        <v>-0.011</v>
      </c>
      <c r="G27" s="12">
        <f>IFERROR(__xludf.DUMMYFUNCTION("VLOOKUP(A27,IMPORTRANGE(""1QZ5UxyNCwadreQAXnQ7oCoH982DjIA-QnZdO7ZoqkC0/edit#gid=0"",""2017-2021!$A$2:$O$250""),2,FALSE)"),15.25)</f>
        <v>15.25</v>
      </c>
      <c r="H27" s="14">
        <f t="shared" si="4"/>
        <v>0.061</v>
      </c>
      <c r="I27" s="15">
        <f t="shared" si="5"/>
        <v>-0.028</v>
      </c>
      <c r="J27" s="16">
        <f>IFERROR(__xludf.DUMMYFUNCTION("VLOOKUP(A27,IMPORTRANGE(""1QZ5UxyNCwadreQAXnQ7oCoH982DjIA-QnZdO7ZoqkC0/edit#gid=0"",""2017-2021!$A$2:$O$250""),4,FALSE)"),24.0)</f>
        <v>24</v>
      </c>
      <c r="K27" s="17">
        <f t="shared" si="6"/>
        <v>0.096</v>
      </c>
      <c r="L27" s="17">
        <f t="shared" si="7"/>
        <v>-0.063</v>
      </c>
      <c r="M27" s="16">
        <f>IFERROR(__xludf.DUMMYFUNCTION("VLOOKUP(A27,IMPORTRANGE(""1QZ5UxyNCwadreQAXnQ7oCoH982DjIA-QnZdO7ZoqkC0/edit#gid=0"",""2017-2021!$A$2:$O$250""),7,FALSE)"),16.5)</f>
        <v>16.5</v>
      </c>
      <c r="N27" s="17">
        <f t="shared" si="8"/>
        <v>0.066</v>
      </c>
      <c r="O27" s="17">
        <f t="shared" si="9"/>
        <v>-0.033</v>
      </c>
      <c r="P27" s="16">
        <f>IFERROR(__xludf.DUMMYFUNCTION("VLOOKUP(A27,IMPORTRANGE(""1QZ5UxyNCwadreQAXnQ7oCoH982DjIA-QnZdO7ZoqkC0/edit#gid=0"",""2017-2021!$A$2:$O$250""),10,FALSE)"),27.5)</f>
        <v>27.5</v>
      </c>
      <c r="Q27" s="17">
        <f t="shared" si="10"/>
        <v>0.11</v>
      </c>
      <c r="R27" s="17">
        <f t="shared" si="11"/>
        <v>-0.077</v>
      </c>
      <c r="S27" s="16">
        <f>IFERROR(__xludf.DUMMYFUNCTION("VLOOKUP(A27,IMPORTRANGE(""1QZ5UxyNCwadreQAXnQ7oCoH982DjIA-QnZdO7ZoqkC0/edit#gid=0"",""2017-2021!$A$2:$O$250""),13,FALSE)"),24.0)</f>
        <v>24</v>
      </c>
      <c r="T27" s="17">
        <f t="shared" si="12"/>
        <v>0.096</v>
      </c>
      <c r="U27" s="17">
        <f t="shared" si="13"/>
        <v>-0.063</v>
      </c>
    </row>
    <row r="28">
      <c r="A28" s="23" t="s">
        <v>46</v>
      </c>
      <c r="B28" s="12">
        <f>IFERROR(__xludf.DUMMYFUNCTION("VLOOKUP(A28,IMPORTRANGE(""1EmrnCz2gLVTx5Cbj0e5tfuHPhTtmru8KTGuQvh7STl0/edit#gid=2147150001"",""Whole Data Set!$A$2:$NQ$253""),381,FALSE)"),73.0)</f>
        <v>73</v>
      </c>
      <c r="C28" s="13">
        <f t="shared" si="1"/>
        <v>0.292</v>
      </c>
      <c r="D28" s="12">
        <f>IFERROR(__xludf.DUMMYFUNCTION("VLOOKUP(A28,IMPORTRANGE(""1aFCnJY1qhIj8-JckJhDJ18aqmVo17tofpQmOjcYa3u8/edit#gid=948248086"",""Whole Data Set!$A$2:$NG$253""),371,FALSE)"),71.25)</f>
        <v>71.25</v>
      </c>
      <c r="E28" s="13">
        <f t="shared" si="2"/>
        <v>0.285</v>
      </c>
      <c r="F28" s="13">
        <f t="shared" si="3"/>
        <v>0.007</v>
      </c>
      <c r="G28" s="12">
        <f>IFERROR(__xludf.DUMMYFUNCTION("VLOOKUP(A28,IMPORTRANGE(""1QZ5UxyNCwadreQAXnQ7oCoH982DjIA-QnZdO7ZoqkC0/edit#gid=0"",""2017-2021!$A$2:$O$250""),2,FALSE)"),55.5)</f>
        <v>55.5</v>
      </c>
      <c r="H28" s="14">
        <f t="shared" si="4"/>
        <v>0.222</v>
      </c>
      <c r="I28" s="15">
        <f t="shared" si="5"/>
        <v>0.07</v>
      </c>
      <c r="J28" s="16">
        <f>IFERROR(__xludf.DUMMYFUNCTION("VLOOKUP(A28,IMPORTRANGE(""1QZ5UxyNCwadreQAXnQ7oCoH982DjIA-QnZdO7ZoqkC0/edit#gid=0"",""2017-2021!$A$2:$O$250""),4,FALSE)"),65.0)</f>
        <v>65</v>
      </c>
      <c r="K28" s="17">
        <f t="shared" si="6"/>
        <v>0.26</v>
      </c>
      <c r="L28" s="17">
        <f t="shared" si="7"/>
        <v>0.032</v>
      </c>
      <c r="M28" s="16">
        <f>IFERROR(__xludf.DUMMYFUNCTION("VLOOKUP(A28,IMPORTRANGE(""1QZ5UxyNCwadreQAXnQ7oCoH982DjIA-QnZdO7ZoqkC0/edit#gid=0"",""2017-2021!$A$2:$O$250""),7,FALSE)"),54.0)</f>
        <v>54</v>
      </c>
      <c r="N28" s="17">
        <f t="shared" si="8"/>
        <v>0.216</v>
      </c>
      <c r="O28" s="17">
        <f t="shared" si="9"/>
        <v>0.076</v>
      </c>
      <c r="P28" s="16">
        <f>IFERROR(__xludf.DUMMYFUNCTION("VLOOKUP(A28,IMPORTRANGE(""1QZ5UxyNCwadreQAXnQ7oCoH982DjIA-QnZdO7ZoqkC0/edit#gid=0"",""2017-2021!$A$2:$O$250""),10,FALSE)"),0.0)</f>
        <v>0</v>
      </c>
      <c r="Q28" s="17">
        <f t="shared" si="10"/>
        <v>0</v>
      </c>
      <c r="R28" s="17">
        <f t="shared" si="11"/>
        <v>0.292</v>
      </c>
      <c r="S28" s="16">
        <f>IFERROR(__xludf.DUMMYFUNCTION("VLOOKUP(A28,IMPORTRANGE(""1QZ5UxyNCwadreQAXnQ7oCoH982DjIA-QnZdO7ZoqkC0/edit#gid=0"",""2017-2021!$A$2:$O$250""),13,FALSE)"),0.0)</f>
        <v>0</v>
      </c>
      <c r="T28" s="17">
        <f t="shared" si="12"/>
        <v>0</v>
      </c>
      <c r="U28" s="17">
        <f t="shared" si="13"/>
        <v>0.292</v>
      </c>
    </row>
    <row r="29">
      <c r="A29" s="20" t="s">
        <v>47</v>
      </c>
      <c r="B29" s="12">
        <f>IFERROR(__xludf.DUMMYFUNCTION("VLOOKUP(A29,IMPORTRANGE(""1EmrnCz2gLVTx5Cbj0e5tfuHPhTtmru8KTGuQvh7STl0/edit#gid=2147150001"",""Whole Data Set!$A$2:$NQ$253""),381,FALSE)"),81.5)</f>
        <v>81.5</v>
      </c>
      <c r="C29" s="13">
        <f t="shared" si="1"/>
        <v>0.326</v>
      </c>
      <c r="D29" s="12">
        <f>IFERROR(__xludf.DUMMYFUNCTION("VLOOKUP(A29,IMPORTRANGE(""1aFCnJY1qhIj8-JckJhDJ18aqmVo17tofpQmOjcYa3u8/edit#gid=948248086"",""Whole Data Set!$A$2:$NG$253""),371,FALSE)"),92.25)</f>
        <v>92.25</v>
      </c>
      <c r="E29" s="13">
        <f t="shared" si="2"/>
        <v>0.369</v>
      </c>
      <c r="F29" s="13">
        <f t="shared" si="3"/>
        <v>-0.043</v>
      </c>
      <c r="G29" s="12">
        <f>IFERROR(__xludf.DUMMYFUNCTION("VLOOKUP(A29,IMPORTRANGE(""1QZ5UxyNCwadreQAXnQ7oCoH982DjIA-QnZdO7ZoqkC0/edit#gid=0"",""2017-2021!$A$2:$O$250""),2,FALSE)"),82.0)</f>
        <v>82</v>
      </c>
      <c r="H29" s="14">
        <f t="shared" si="4"/>
        <v>0.328</v>
      </c>
      <c r="I29" s="15">
        <f t="shared" si="5"/>
        <v>-0.002</v>
      </c>
      <c r="J29" s="16">
        <f>IFERROR(__xludf.DUMMYFUNCTION("VLOOKUP(A29,IMPORTRANGE(""1QZ5UxyNCwadreQAXnQ7oCoH982DjIA-QnZdO7ZoqkC0/edit#gid=0"",""2017-2021!$A$2:$O$250""),4,FALSE)"),67.0)</f>
        <v>67</v>
      </c>
      <c r="K29" s="17">
        <f t="shared" si="6"/>
        <v>0.268</v>
      </c>
      <c r="L29" s="17">
        <f t="shared" si="7"/>
        <v>0.058</v>
      </c>
      <c r="M29" s="16">
        <f>IFERROR(__xludf.DUMMYFUNCTION("VLOOKUP(A29,IMPORTRANGE(""1QZ5UxyNCwadreQAXnQ7oCoH982DjIA-QnZdO7ZoqkC0/edit#gid=0"",""2017-2021!$A$2:$O$250""),7,FALSE)"),11.0)</f>
        <v>11</v>
      </c>
      <c r="N29" s="17">
        <f t="shared" si="8"/>
        <v>0.044</v>
      </c>
      <c r="O29" s="17">
        <f t="shared" si="9"/>
        <v>0.282</v>
      </c>
      <c r="P29" s="16">
        <f>IFERROR(__xludf.DUMMYFUNCTION("VLOOKUP(A29,IMPORTRANGE(""1QZ5UxyNCwadreQAXnQ7oCoH982DjIA-QnZdO7ZoqkC0/edit#gid=0"",""2017-2021!$A$2:$O$250""),10,FALSE)"),13.0)</f>
        <v>13</v>
      </c>
      <c r="Q29" s="17">
        <f t="shared" si="10"/>
        <v>0.052</v>
      </c>
      <c r="R29" s="17">
        <f t="shared" si="11"/>
        <v>0.274</v>
      </c>
      <c r="S29" s="16">
        <f>IFERROR(__xludf.DUMMYFUNCTION("VLOOKUP(A29,IMPORTRANGE(""1QZ5UxyNCwadreQAXnQ7oCoH982DjIA-QnZdO7ZoqkC0/edit#gid=0"",""2017-2021!$A$2:$O$250""),13,FALSE)"),11.5)</f>
        <v>11.5</v>
      </c>
      <c r="T29" s="17">
        <f t="shared" si="12"/>
        <v>0.046</v>
      </c>
      <c r="U29" s="17">
        <f t="shared" si="13"/>
        <v>0.28</v>
      </c>
    </row>
    <row r="30">
      <c r="A30" s="19" t="s">
        <v>48</v>
      </c>
      <c r="B30" s="12">
        <f>IFERROR(__xludf.DUMMYFUNCTION("VLOOKUP(A30,IMPORTRANGE(""1EmrnCz2gLVTx5Cbj0e5tfuHPhTtmru8KTGuQvh7STl0/edit#gid=2147150001"",""Whole Data Set!$A$2:$NQ$253""),381,FALSE)"),112.0)</f>
        <v>112</v>
      </c>
      <c r="C30" s="13">
        <f t="shared" si="1"/>
        <v>0.448</v>
      </c>
      <c r="D30" s="12">
        <f>IFERROR(__xludf.DUMMYFUNCTION("VLOOKUP(A30,IMPORTRANGE(""1aFCnJY1qhIj8-JckJhDJ18aqmVo17tofpQmOjcYa3u8/edit#gid=948248086"",""Whole Data Set!$A$2:$NG$253""),371,FALSE)"),140.5)</f>
        <v>140.5</v>
      </c>
      <c r="E30" s="13">
        <f t="shared" si="2"/>
        <v>0.562</v>
      </c>
      <c r="F30" s="13">
        <f t="shared" si="3"/>
        <v>-0.114</v>
      </c>
      <c r="G30" s="12">
        <f>IFERROR(__xludf.DUMMYFUNCTION("VLOOKUP(A30,IMPORTRANGE(""1QZ5UxyNCwadreQAXnQ7oCoH982DjIA-QnZdO7ZoqkC0/edit#gid=0"",""2017-2021!$A$2:$O$250""),2,FALSE)"),150.75)</f>
        <v>150.75</v>
      </c>
      <c r="H30" s="14">
        <f t="shared" si="4"/>
        <v>0.603</v>
      </c>
      <c r="I30" s="15">
        <f t="shared" si="5"/>
        <v>-0.155</v>
      </c>
      <c r="J30" s="16">
        <f>IFERROR(__xludf.DUMMYFUNCTION("VLOOKUP(A30,IMPORTRANGE(""1QZ5UxyNCwadreQAXnQ7oCoH982DjIA-QnZdO7ZoqkC0/edit#gid=0"",""2017-2021!$A$2:$O$250""),4,FALSE)"),160.5)</f>
        <v>160.5</v>
      </c>
      <c r="K30" s="17">
        <f t="shared" si="6"/>
        <v>0.642</v>
      </c>
      <c r="L30" s="17">
        <f t="shared" si="7"/>
        <v>-0.194</v>
      </c>
      <c r="M30" s="16">
        <f>IFERROR(__xludf.DUMMYFUNCTION("VLOOKUP(A30,IMPORTRANGE(""1QZ5UxyNCwadreQAXnQ7oCoH982DjIA-QnZdO7ZoqkC0/edit#gid=0"",""2017-2021!$A$2:$O$250""),7,FALSE)"),155.5)</f>
        <v>155.5</v>
      </c>
      <c r="N30" s="17">
        <f t="shared" si="8"/>
        <v>0.622</v>
      </c>
      <c r="O30" s="17">
        <f t="shared" si="9"/>
        <v>-0.174</v>
      </c>
      <c r="P30" s="16">
        <f>IFERROR(__xludf.DUMMYFUNCTION("VLOOKUP(A30,IMPORTRANGE(""1QZ5UxyNCwadreQAXnQ7oCoH982DjIA-QnZdO7ZoqkC0/edit#gid=0"",""2017-2021!$A$2:$O$250""),10,FALSE)"),136.0)</f>
        <v>136</v>
      </c>
      <c r="Q30" s="17">
        <f t="shared" si="10"/>
        <v>0.544</v>
      </c>
      <c r="R30" s="17">
        <f t="shared" si="11"/>
        <v>-0.096</v>
      </c>
      <c r="S30" s="16">
        <f>IFERROR(__xludf.DUMMYFUNCTION("VLOOKUP(A30,IMPORTRANGE(""1QZ5UxyNCwadreQAXnQ7oCoH982DjIA-QnZdO7ZoqkC0/edit#gid=0"",""2017-2021!$A$2:$O$250""),13,FALSE)"),92.5)</f>
        <v>92.5</v>
      </c>
      <c r="T30" s="17">
        <f t="shared" si="12"/>
        <v>0.37</v>
      </c>
      <c r="U30" s="17">
        <f t="shared" si="13"/>
        <v>0.078</v>
      </c>
    </row>
    <row r="31">
      <c r="A31" s="19" t="s">
        <v>49</v>
      </c>
      <c r="B31" s="12">
        <f>IFERROR(__xludf.DUMMYFUNCTION("VLOOKUP(A31,IMPORTRANGE(""1EmrnCz2gLVTx5Cbj0e5tfuHPhTtmru8KTGuQvh7STl0/edit#gid=2147150001"",""Whole Data Set!$A$2:$NQ$253""),381,FALSE)"),18.0)</f>
        <v>18</v>
      </c>
      <c r="C31" s="13">
        <f t="shared" si="1"/>
        <v>0.072</v>
      </c>
      <c r="D31" s="12">
        <f>IFERROR(__xludf.DUMMYFUNCTION("VLOOKUP(A31,IMPORTRANGE(""1aFCnJY1qhIj8-JckJhDJ18aqmVo17tofpQmOjcYa3u8/edit#gid=948248086"",""Whole Data Set!$A$2:$NG$253""),371,FALSE)"),11.75)</f>
        <v>11.75</v>
      </c>
      <c r="E31" s="13">
        <f t="shared" si="2"/>
        <v>0.047</v>
      </c>
      <c r="F31" s="13">
        <f t="shared" si="3"/>
        <v>0.025</v>
      </c>
      <c r="G31" s="12">
        <f>IFERROR(__xludf.DUMMYFUNCTION("VLOOKUP(A31,IMPORTRANGE(""1QZ5UxyNCwadreQAXnQ7oCoH982DjIA-QnZdO7ZoqkC0/edit#gid=0"",""2017-2021!$A$2:$O$250""),2,FALSE)"),14.5)</f>
        <v>14.5</v>
      </c>
      <c r="H31" s="14">
        <f t="shared" si="4"/>
        <v>0.058</v>
      </c>
      <c r="I31" s="15">
        <f t="shared" si="5"/>
        <v>0.014</v>
      </c>
      <c r="J31" s="16">
        <f>IFERROR(__xludf.DUMMYFUNCTION("VLOOKUP(A31,IMPORTRANGE(""1QZ5UxyNCwadreQAXnQ7oCoH982DjIA-QnZdO7ZoqkC0/edit#gid=0"",""2017-2021!$A$2:$O$250""),4,FALSE)"),25.0)</f>
        <v>25</v>
      </c>
      <c r="K31" s="17">
        <f t="shared" si="6"/>
        <v>0.1</v>
      </c>
      <c r="L31" s="17">
        <f t="shared" si="7"/>
        <v>-0.028</v>
      </c>
      <c r="M31" s="16">
        <f>IFERROR(__xludf.DUMMYFUNCTION("VLOOKUP(A31,IMPORTRANGE(""1QZ5UxyNCwadreQAXnQ7oCoH982DjIA-QnZdO7ZoqkC0/edit#gid=0"",""2017-2021!$A$2:$O$250""),7,FALSE)"),21.5)</f>
        <v>21.5</v>
      </c>
      <c r="N31" s="17">
        <f t="shared" si="8"/>
        <v>0.086</v>
      </c>
      <c r="O31" s="17">
        <f t="shared" si="9"/>
        <v>-0.014</v>
      </c>
      <c r="P31" s="16">
        <f>IFERROR(__xludf.DUMMYFUNCTION("VLOOKUP(A31,IMPORTRANGE(""1QZ5UxyNCwadreQAXnQ7oCoH982DjIA-QnZdO7ZoqkC0/edit#gid=0"",""2017-2021!$A$2:$O$250""),10,FALSE)"),23.0)</f>
        <v>23</v>
      </c>
      <c r="Q31" s="17">
        <f t="shared" si="10"/>
        <v>0.092</v>
      </c>
      <c r="R31" s="17">
        <f t="shared" si="11"/>
        <v>-0.02</v>
      </c>
      <c r="S31" s="16">
        <f>IFERROR(__xludf.DUMMYFUNCTION("VLOOKUP(A31,IMPORTRANGE(""1QZ5UxyNCwadreQAXnQ7oCoH982DjIA-QnZdO7ZoqkC0/edit#gid=0"",""2017-2021!$A$2:$O$250""),13,FALSE)"),21.5)</f>
        <v>21.5</v>
      </c>
      <c r="T31" s="17">
        <f t="shared" si="12"/>
        <v>0.086</v>
      </c>
      <c r="U31" s="17">
        <f t="shared" si="13"/>
        <v>-0.014</v>
      </c>
    </row>
    <row r="32">
      <c r="A32" s="19" t="s">
        <v>50</v>
      </c>
      <c r="B32" s="12">
        <f>IFERROR(__xludf.DUMMYFUNCTION("VLOOKUP(A32,IMPORTRANGE(""1EmrnCz2gLVTx5Cbj0e5tfuHPhTtmru8KTGuQvh7STl0/edit#gid=2147150001"",""Whole Data Set!$A$2:$NQ$253""),381,FALSE)"),0.0)</f>
        <v>0</v>
      </c>
      <c r="C32" s="13">
        <f t="shared" si="1"/>
        <v>0</v>
      </c>
      <c r="D32" s="12">
        <f>IFERROR(__xludf.DUMMYFUNCTION("VLOOKUP(A32,IMPORTRANGE(""1aFCnJY1qhIj8-JckJhDJ18aqmVo17tofpQmOjcYa3u8/edit#gid=948248086"",""Whole Data Set!$A$2:$NG$253""),371,FALSE)"),0.25)</f>
        <v>0.25</v>
      </c>
      <c r="E32" s="13">
        <f t="shared" si="2"/>
        <v>0.001</v>
      </c>
      <c r="F32" s="13">
        <f t="shared" si="3"/>
        <v>-0.001</v>
      </c>
      <c r="G32" s="12">
        <f>IFERROR(__xludf.DUMMYFUNCTION("VLOOKUP(A32,IMPORTRANGE(""1QZ5UxyNCwadreQAXnQ7oCoH982DjIA-QnZdO7ZoqkC0/edit#gid=0"",""2017-2021!$A$2:$O$250""),2,FALSE)"),0.75)</f>
        <v>0.75</v>
      </c>
      <c r="H32" s="14">
        <f t="shared" si="4"/>
        <v>0.003</v>
      </c>
      <c r="I32" s="15">
        <f t="shared" si="5"/>
        <v>-0.003</v>
      </c>
      <c r="J32" s="16">
        <f>IFERROR(__xludf.DUMMYFUNCTION("VLOOKUP(A32,IMPORTRANGE(""1QZ5UxyNCwadreQAXnQ7oCoH982DjIA-QnZdO7ZoqkC0/edit#gid=0"",""2017-2021!$A$2:$O$250""),4,FALSE)"),0.0)</f>
        <v>0</v>
      </c>
      <c r="K32" s="17">
        <f t="shared" si="6"/>
        <v>0</v>
      </c>
      <c r="L32" s="17">
        <f t="shared" si="7"/>
        <v>0</v>
      </c>
      <c r="M32" s="16">
        <f>IFERROR(__xludf.DUMMYFUNCTION("VLOOKUP(A32,IMPORTRANGE(""1QZ5UxyNCwadreQAXnQ7oCoH982DjIA-QnZdO7ZoqkC0/edit#gid=0"",""2017-2021!$A$2:$O$250""),7,FALSE)"),0.5)</f>
        <v>0.5</v>
      </c>
      <c r="N32" s="17">
        <f t="shared" si="8"/>
        <v>0.002</v>
      </c>
      <c r="O32" s="17">
        <f t="shared" si="9"/>
        <v>-0.002</v>
      </c>
      <c r="P32" s="16">
        <f>IFERROR(__xludf.DUMMYFUNCTION("VLOOKUP(A32,IMPORTRANGE(""1QZ5UxyNCwadreQAXnQ7oCoH982DjIA-QnZdO7ZoqkC0/edit#gid=0"",""2017-2021!$A$2:$O$250""),10,FALSE)"),0.0)</f>
        <v>0</v>
      </c>
      <c r="Q32" s="17">
        <f t="shared" si="10"/>
        <v>0</v>
      </c>
      <c r="R32" s="17">
        <f t="shared" si="11"/>
        <v>0</v>
      </c>
      <c r="S32" s="16">
        <f>IFERROR(__xludf.DUMMYFUNCTION("VLOOKUP(A32,IMPORTRANGE(""1QZ5UxyNCwadreQAXnQ7oCoH982DjIA-QnZdO7ZoqkC0/edit#gid=0"",""2017-2021!$A$2:$O$250""),13,FALSE)"),0.0)</f>
        <v>0</v>
      </c>
      <c r="T32" s="17">
        <f t="shared" si="12"/>
        <v>0</v>
      </c>
      <c r="U32" s="17">
        <f t="shared" si="13"/>
        <v>0</v>
      </c>
    </row>
    <row r="33">
      <c r="A33" s="19" t="s">
        <v>51</v>
      </c>
      <c r="B33" s="12">
        <f>IFERROR(__xludf.DUMMYFUNCTION("VLOOKUP(A33,IMPORTRANGE(""1EmrnCz2gLVTx5Cbj0e5tfuHPhTtmru8KTGuQvh7STl0/edit#gid=2147150001"",""Whole Data Set!$A$2:$NQ$253""),381,FALSE)"),133.75)</f>
        <v>133.75</v>
      </c>
      <c r="C33" s="13">
        <f t="shared" si="1"/>
        <v>0.535</v>
      </c>
      <c r="D33" s="12">
        <f>IFERROR(__xludf.DUMMYFUNCTION("VLOOKUP(A33,IMPORTRANGE(""1aFCnJY1qhIj8-JckJhDJ18aqmVo17tofpQmOjcYa3u8/edit#gid=948248086"",""Whole Data Set!$A$2:$NG$253""),371,FALSE)"),156.0)</f>
        <v>156</v>
      </c>
      <c r="E33" s="13">
        <f t="shared" si="2"/>
        <v>0.624</v>
      </c>
      <c r="F33" s="13">
        <f t="shared" si="3"/>
        <v>-0.089</v>
      </c>
      <c r="G33" s="12">
        <f>IFERROR(__xludf.DUMMYFUNCTION("VLOOKUP(A33,IMPORTRANGE(""1QZ5UxyNCwadreQAXnQ7oCoH982DjIA-QnZdO7ZoqkC0/edit#gid=0"",""2017-2021!$A$2:$O$250""),2,FALSE)"),157.75)</f>
        <v>157.75</v>
      </c>
      <c r="H33" s="14">
        <f t="shared" si="4"/>
        <v>0.631</v>
      </c>
      <c r="I33" s="15">
        <f t="shared" si="5"/>
        <v>-0.096</v>
      </c>
      <c r="J33" s="16">
        <f>IFERROR(__xludf.DUMMYFUNCTION("VLOOKUP(A33,IMPORTRANGE(""1QZ5UxyNCwadreQAXnQ7oCoH982DjIA-QnZdO7ZoqkC0/edit#gid=0"",""2017-2021!$A$2:$O$250""),4,FALSE)"),123.0)</f>
        <v>123</v>
      </c>
      <c r="K33" s="17">
        <f t="shared" si="6"/>
        <v>0.492</v>
      </c>
      <c r="L33" s="17">
        <f t="shared" si="7"/>
        <v>0.043</v>
      </c>
      <c r="M33" s="16">
        <f>IFERROR(__xludf.DUMMYFUNCTION("VLOOKUP(A33,IMPORTRANGE(""1QZ5UxyNCwadreQAXnQ7oCoH982DjIA-QnZdO7ZoqkC0/edit#gid=0"",""2017-2021!$A$2:$O$250""),7,FALSE)"),102.5)</f>
        <v>102.5</v>
      </c>
      <c r="N33" s="17">
        <f t="shared" si="8"/>
        <v>0.41</v>
      </c>
      <c r="O33" s="17">
        <f t="shared" si="9"/>
        <v>0.125</v>
      </c>
      <c r="P33" s="16">
        <f>IFERROR(__xludf.DUMMYFUNCTION("VLOOKUP(A33,IMPORTRANGE(""1QZ5UxyNCwadreQAXnQ7oCoH982DjIA-QnZdO7ZoqkC0/edit#gid=0"",""2017-2021!$A$2:$O$250""),10,FALSE)"),82.5)</f>
        <v>82.5</v>
      </c>
      <c r="Q33" s="17">
        <f t="shared" si="10"/>
        <v>0.33</v>
      </c>
      <c r="R33" s="17">
        <f t="shared" si="11"/>
        <v>0.205</v>
      </c>
      <c r="S33" s="16">
        <f>IFERROR(__xludf.DUMMYFUNCTION("VLOOKUP(A33,IMPORTRANGE(""1QZ5UxyNCwadreQAXnQ7oCoH982DjIA-QnZdO7ZoqkC0/edit#gid=0"",""2017-2021!$A$2:$O$250""),13,FALSE)"),68.5)</f>
        <v>68.5</v>
      </c>
      <c r="T33" s="17">
        <f t="shared" si="12"/>
        <v>0.274</v>
      </c>
      <c r="U33" s="17">
        <f t="shared" si="13"/>
        <v>0.261</v>
      </c>
    </row>
    <row r="34">
      <c r="A34" s="19" t="s">
        <v>52</v>
      </c>
      <c r="B34" s="12">
        <f>IFERROR(__xludf.DUMMYFUNCTION("VLOOKUP(A34,IMPORTRANGE(""1EmrnCz2gLVTx5Cbj0e5tfuHPhTtmru8KTGuQvh7STl0/edit#gid=2147150001"",""Whole Data Set!$A$2:$NQ$253""),381,FALSE)"),199.25)</f>
        <v>199.25</v>
      </c>
      <c r="C34" s="13">
        <f t="shared" si="1"/>
        <v>0.797</v>
      </c>
      <c r="D34" s="12">
        <f>IFERROR(__xludf.DUMMYFUNCTION("VLOOKUP(A34,IMPORTRANGE(""1aFCnJY1qhIj8-JckJhDJ18aqmVo17tofpQmOjcYa3u8/edit#gid=948248086"",""Whole Data Set!$A$2:$NG$253""),371,FALSE)"),147.5)</f>
        <v>147.5</v>
      </c>
      <c r="E34" s="13">
        <f t="shared" si="2"/>
        <v>0.59</v>
      </c>
      <c r="F34" s="13">
        <f t="shared" si="3"/>
        <v>0.207</v>
      </c>
      <c r="G34" s="12">
        <f>IFERROR(__xludf.DUMMYFUNCTION("VLOOKUP(A34,IMPORTRANGE(""1QZ5UxyNCwadreQAXnQ7oCoH982DjIA-QnZdO7ZoqkC0/edit#gid=0"",""2017-2021!$A$2:$O$250""),2,FALSE)"),139.25)</f>
        <v>139.25</v>
      </c>
      <c r="H34" s="14">
        <f t="shared" si="4"/>
        <v>0.557</v>
      </c>
      <c r="I34" s="15">
        <f t="shared" si="5"/>
        <v>0.24</v>
      </c>
      <c r="J34" s="16">
        <f>IFERROR(__xludf.DUMMYFUNCTION("VLOOKUP(A34,IMPORTRANGE(""1QZ5UxyNCwadreQAXnQ7oCoH982DjIA-QnZdO7ZoqkC0/edit#gid=0"",""2017-2021!$A$2:$O$250""),4,FALSE)"),121.0)</f>
        <v>121</v>
      </c>
      <c r="K34" s="17">
        <f t="shared" si="6"/>
        <v>0.484</v>
      </c>
      <c r="L34" s="17">
        <f t="shared" si="7"/>
        <v>0.313</v>
      </c>
      <c r="M34" s="16">
        <f>IFERROR(__xludf.DUMMYFUNCTION("VLOOKUP(A34,IMPORTRANGE(""1QZ5UxyNCwadreQAXnQ7oCoH982DjIA-QnZdO7ZoqkC0/edit#gid=0"",""2017-2021!$A$2:$O$250""),7,FALSE)"),100.0)</f>
        <v>100</v>
      </c>
      <c r="N34" s="17">
        <f t="shared" si="8"/>
        <v>0.4</v>
      </c>
      <c r="O34" s="17">
        <f t="shared" si="9"/>
        <v>0.397</v>
      </c>
      <c r="P34" s="16">
        <f>IFERROR(__xludf.DUMMYFUNCTION("VLOOKUP(A34,IMPORTRANGE(""1QZ5UxyNCwadreQAXnQ7oCoH982DjIA-QnZdO7ZoqkC0/edit#gid=0"",""2017-2021!$A$2:$O$250""),10,FALSE)"),92.0)</f>
        <v>92</v>
      </c>
      <c r="Q34" s="17">
        <f t="shared" si="10"/>
        <v>0.368</v>
      </c>
      <c r="R34" s="17">
        <f t="shared" si="11"/>
        <v>0.429</v>
      </c>
      <c r="S34" s="16">
        <f>IFERROR(__xludf.DUMMYFUNCTION("VLOOKUP(A34,IMPORTRANGE(""1QZ5UxyNCwadreQAXnQ7oCoH982DjIA-QnZdO7ZoqkC0/edit#gid=0"",""2017-2021!$A$2:$O$250""),13,FALSE)"),71.0)</f>
        <v>71</v>
      </c>
      <c r="T34" s="17">
        <f t="shared" si="12"/>
        <v>0.284</v>
      </c>
      <c r="U34" s="17">
        <f t="shared" si="13"/>
        <v>0.513</v>
      </c>
    </row>
    <row r="35">
      <c r="A35" s="19" t="s">
        <v>53</v>
      </c>
      <c r="B35" s="12">
        <f>IFERROR(__xludf.DUMMYFUNCTION("VLOOKUP(A35,IMPORTRANGE(""1EmrnCz2gLVTx5Cbj0e5tfuHPhTtmru8KTGuQvh7STl0/edit#gid=2147150001"",""Whole Data Set!$A$2:$NQ$253""),381,FALSE)"),77.25)</f>
        <v>77.25</v>
      </c>
      <c r="C35" s="13">
        <f t="shared" si="1"/>
        <v>0.309</v>
      </c>
      <c r="D35" s="12">
        <f>IFERROR(__xludf.DUMMYFUNCTION("VLOOKUP(A35,IMPORTRANGE(""1aFCnJY1qhIj8-JckJhDJ18aqmVo17tofpQmOjcYa3u8/edit#gid=948248086"",""Whole Data Set!$A$2:$NG$253""),371,FALSE)"),75.0)</f>
        <v>75</v>
      </c>
      <c r="E35" s="13">
        <f t="shared" si="2"/>
        <v>0.3</v>
      </c>
      <c r="F35" s="13">
        <f t="shared" si="3"/>
        <v>0.009</v>
      </c>
      <c r="G35" s="12">
        <f>IFERROR(__xludf.DUMMYFUNCTION("VLOOKUP(A35,IMPORTRANGE(""1QZ5UxyNCwadreQAXnQ7oCoH982DjIA-QnZdO7ZoqkC0/edit#gid=0"",""2017-2021!$A$2:$O$250""),2,FALSE)"),29.75)</f>
        <v>29.75</v>
      </c>
      <c r="H35" s="14">
        <f t="shared" si="4"/>
        <v>0.119</v>
      </c>
      <c r="I35" s="15">
        <f t="shared" si="5"/>
        <v>0.19</v>
      </c>
      <c r="J35" s="16">
        <f>IFERROR(__xludf.DUMMYFUNCTION("VLOOKUP(A35,IMPORTRANGE(""1QZ5UxyNCwadreQAXnQ7oCoH982DjIA-QnZdO7ZoqkC0/edit#gid=0"",""2017-2021!$A$2:$O$250""),4,FALSE)"),48.0)</f>
        <v>48</v>
      </c>
      <c r="K35" s="17">
        <f t="shared" si="6"/>
        <v>0.192</v>
      </c>
      <c r="L35" s="17">
        <f t="shared" si="7"/>
        <v>0.117</v>
      </c>
      <c r="M35" s="16">
        <f>IFERROR(__xludf.DUMMYFUNCTION("VLOOKUP(A35,IMPORTRANGE(""1QZ5UxyNCwadreQAXnQ7oCoH982DjIA-QnZdO7ZoqkC0/edit#gid=0"",""2017-2021!$A$2:$O$250""),7,FALSE)"),50.0)</f>
        <v>50</v>
      </c>
      <c r="N35" s="17">
        <f t="shared" si="8"/>
        <v>0.2</v>
      </c>
      <c r="O35" s="17">
        <f t="shared" si="9"/>
        <v>0.109</v>
      </c>
      <c r="P35" s="16">
        <f>IFERROR(__xludf.DUMMYFUNCTION("VLOOKUP(A35,IMPORTRANGE(""1QZ5UxyNCwadreQAXnQ7oCoH982DjIA-QnZdO7ZoqkC0/edit#gid=0"",""2017-2021!$A$2:$O$250""),10,FALSE)"),47.5)</f>
        <v>47.5</v>
      </c>
      <c r="Q35" s="17">
        <f t="shared" si="10"/>
        <v>0.19</v>
      </c>
      <c r="R35" s="17">
        <f t="shared" si="11"/>
        <v>0.119</v>
      </c>
      <c r="S35" s="16">
        <f>IFERROR(__xludf.DUMMYFUNCTION("VLOOKUP(A35,IMPORTRANGE(""1QZ5UxyNCwadreQAXnQ7oCoH982DjIA-QnZdO7ZoqkC0/edit#gid=0"",""2017-2021!$A$2:$O$250""),13,FALSE)"),29.5)</f>
        <v>29.5</v>
      </c>
      <c r="T35" s="17">
        <f t="shared" si="12"/>
        <v>0.118</v>
      </c>
      <c r="U35" s="17">
        <f t="shared" si="13"/>
        <v>0.191</v>
      </c>
    </row>
    <row r="36">
      <c r="A36" s="19" t="s">
        <v>54</v>
      </c>
      <c r="B36" s="12">
        <f>IFERROR(__xludf.DUMMYFUNCTION("VLOOKUP(A36,IMPORTRANGE(""1EmrnCz2gLVTx5Cbj0e5tfuHPhTtmru8KTGuQvh7STl0/edit#gid=2147150001"",""Whole Data Set!$A$2:$NQ$253""),381,FALSE)"),177.75)</f>
        <v>177.75</v>
      </c>
      <c r="C36" s="13">
        <f t="shared" si="1"/>
        <v>0.711</v>
      </c>
      <c r="D36" s="12">
        <f>IFERROR(__xludf.DUMMYFUNCTION("VLOOKUP(A36,IMPORTRANGE(""1aFCnJY1qhIj8-JckJhDJ18aqmVo17tofpQmOjcYa3u8/edit#gid=948248086"",""Whole Data Set!$A$2:$NG$253""),371,FALSE)"),164.75)</f>
        <v>164.75</v>
      </c>
      <c r="E36" s="13">
        <f t="shared" si="2"/>
        <v>0.659</v>
      </c>
      <c r="F36" s="13">
        <f t="shared" si="3"/>
        <v>0.052</v>
      </c>
      <c r="G36" s="12">
        <f>IFERROR(__xludf.DUMMYFUNCTION("VLOOKUP(A36,IMPORTRANGE(""1QZ5UxyNCwadreQAXnQ7oCoH982DjIA-QnZdO7ZoqkC0/edit#gid=0"",""2017-2021!$A$2:$O$250""),2,FALSE)"),168.75)</f>
        <v>168.75</v>
      </c>
      <c r="H36" s="14">
        <f t="shared" si="4"/>
        <v>0.675</v>
      </c>
      <c r="I36" s="15">
        <f t="shared" si="5"/>
        <v>0.036</v>
      </c>
      <c r="J36" s="16">
        <f>IFERROR(__xludf.DUMMYFUNCTION("VLOOKUP(A36,IMPORTRANGE(""1QZ5UxyNCwadreQAXnQ7oCoH982DjIA-QnZdO7ZoqkC0/edit#gid=0"",""2017-2021!$A$2:$O$250""),4,FALSE)"),182.0)</f>
        <v>182</v>
      </c>
      <c r="K36" s="17">
        <f t="shared" si="6"/>
        <v>0.728</v>
      </c>
      <c r="L36" s="17">
        <f t="shared" si="7"/>
        <v>-0.017</v>
      </c>
      <c r="M36" s="16">
        <f>IFERROR(__xludf.DUMMYFUNCTION("VLOOKUP(A36,IMPORTRANGE(""1QZ5UxyNCwadreQAXnQ7oCoH982DjIA-QnZdO7ZoqkC0/edit#gid=0"",""2017-2021!$A$2:$O$250""),7,FALSE)"),153.0)</f>
        <v>153</v>
      </c>
      <c r="N36" s="17">
        <f t="shared" si="8"/>
        <v>0.612</v>
      </c>
      <c r="O36" s="17">
        <f t="shared" si="9"/>
        <v>0.099</v>
      </c>
      <c r="P36" s="16">
        <f>IFERROR(__xludf.DUMMYFUNCTION("VLOOKUP(A36,IMPORTRANGE(""1QZ5UxyNCwadreQAXnQ7oCoH982DjIA-QnZdO7ZoqkC0/edit#gid=0"",""2017-2021!$A$2:$O$250""),10,FALSE)"),137.0)</f>
        <v>137</v>
      </c>
      <c r="Q36" s="17">
        <f t="shared" si="10"/>
        <v>0.548</v>
      </c>
      <c r="R36" s="17">
        <f t="shared" si="11"/>
        <v>0.163</v>
      </c>
      <c r="S36" s="16">
        <f>IFERROR(__xludf.DUMMYFUNCTION("VLOOKUP(A36,IMPORTRANGE(""1QZ5UxyNCwadreQAXnQ7oCoH982DjIA-QnZdO7ZoqkC0/edit#gid=0"",""2017-2021!$A$2:$O$250""),13,FALSE)"),119.5)</f>
        <v>119.5</v>
      </c>
      <c r="T36" s="17">
        <f t="shared" si="12"/>
        <v>0.478</v>
      </c>
      <c r="U36" s="17">
        <f t="shared" si="13"/>
        <v>0.233</v>
      </c>
    </row>
    <row r="37">
      <c r="A37" s="19" t="s">
        <v>55</v>
      </c>
      <c r="B37" s="12">
        <f>IFERROR(__xludf.DUMMYFUNCTION("VLOOKUP(A37,IMPORTRANGE(""1EmrnCz2gLVTx5Cbj0e5tfuHPhTtmru8KTGuQvh7STl0/edit#gid=2147150001"",""Whole Data Set!$A$2:$NQ$253""),381,FALSE)"),93.75)</f>
        <v>93.75</v>
      </c>
      <c r="C37" s="13">
        <f t="shared" si="1"/>
        <v>0.375</v>
      </c>
      <c r="D37" s="12">
        <f>IFERROR(__xludf.DUMMYFUNCTION("VLOOKUP(A37,IMPORTRANGE(""1aFCnJY1qhIj8-JckJhDJ18aqmVo17tofpQmOjcYa3u8/edit#gid=948248086"",""Whole Data Set!$A$2:$NG$253""),371,FALSE)"),68.0)</f>
        <v>68</v>
      </c>
      <c r="E37" s="13">
        <f t="shared" si="2"/>
        <v>0.272</v>
      </c>
      <c r="F37" s="13">
        <f t="shared" si="3"/>
        <v>0.103</v>
      </c>
      <c r="G37" s="12">
        <f>IFERROR(__xludf.DUMMYFUNCTION("VLOOKUP(A37,IMPORTRANGE(""1QZ5UxyNCwadreQAXnQ7oCoH982DjIA-QnZdO7ZoqkC0/edit#gid=0"",""2017-2021!$A$2:$O$250""),2,FALSE)"),98.25)</f>
        <v>98.25</v>
      </c>
      <c r="H37" s="14">
        <f t="shared" si="4"/>
        <v>0.393</v>
      </c>
      <c r="I37" s="15">
        <f t="shared" si="5"/>
        <v>-0.018</v>
      </c>
      <c r="J37" s="16">
        <f>IFERROR(__xludf.DUMMYFUNCTION("VLOOKUP(A37,IMPORTRANGE(""1QZ5UxyNCwadreQAXnQ7oCoH982DjIA-QnZdO7ZoqkC0/edit#gid=0"",""2017-2021!$A$2:$O$250""),4,FALSE)"),97.0)</f>
        <v>97</v>
      </c>
      <c r="K37" s="17">
        <f t="shared" si="6"/>
        <v>0.388</v>
      </c>
      <c r="L37" s="17">
        <f t="shared" si="7"/>
        <v>-0.013</v>
      </c>
      <c r="M37" s="16">
        <f>IFERROR(__xludf.DUMMYFUNCTION("VLOOKUP(A37,IMPORTRANGE(""1QZ5UxyNCwadreQAXnQ7oCoH982DjIA-QnZdO7ZoqkC0/edit#gid=0"",""2017-2021!$A$2:$O$250""),7,FALSE)"),77.0)</f>
        <v>77</v>
      </c>
      <c r="N37" s="17">
        <f t="shared" si="8"/>
        <v>0.308</v>
      </c>
      <c r="O37" s="17">
        <f t="shared" si="9"/>
        <v>0.067</v>
      </c>
      <c r="P37" s="16">
        <f>IFERROR(__xludf.DUMMYFUNCTION("VLOOKUP(A37,IMPORTRANGE(""1QZ5UxyNCwadreQAXnQ7oCoH982DjIA-QnZdO7ZoqkC0/edit#gid=0"",""2017-2021!$A$2:$O$250""),10,FALSE)"),60.0)</f>
        <v>60</v>
      </c>
      <c r="Q37" s="17">
        <f t="shared" si="10"/>
        <v>0.24</v>
      </c>
      <c r="R37" s="17">
        <f t="shared" si="11"/>
        <v>0.135</v>
      </c>
      <c r="S37" s="16">
        <f>IFERROR(__xludf.DUMMYFUNCTION("VLOOKUP(A37,IMPORTRANGE(""1QZ5UxyNCwadreQAXnQ7oCoH982DjIA-QnZdO7ZoqkC0/edit#gid=0"",""2017-2021!$A$2:$O$250""),13,FALSE)"),49.0)</f>
        <v>49</v>
      </c>
      <c r="T37" s="17">
        <f t="shared" si="12"/>
        <v>0.196</v>
      </c>
      <c r="U37" s="17">
        <f t="shared" si="13"/>
        <v>0.179</v>
      </c>
    </row>
    <row r="38">
      <c r="A38" s="22" t="s">
        <v>56</v>
      </c>
      <c r="B38" s="12">
        <f>IFERROR(__xludf.DUMMYFUNCTION("VLOOKUP(A38,IMPORTRANGE(""1EmrnCz2gLVTx5Cbj0e5tfuHPhTtmru8KTGuQvh7STl0/edit#gid=2147150001"",""Whole Data Set!$A$2:$NQ$253""),381,FALSE)"),57.0)</f>
        <v>57</v>
      </c>
      <c r="C38" s="13">
        <f t="shared" si="1"/>
        <v>0.228</v>
      </c>
      <c r="D38" s="12">
        <f>IFERROR(__xludf.DUMMYFUNCTION("VLOOKUP(A38,IMPORTRANGE(""1aFCnJY1qhIj8-JckJhDJ18aqmVo17tofpQmOjcYa3u8/edit#gid=948248086"",""Whole Data Set!$A$2:$NG$253""),371,FALSE)"),60.5)</f>
        <v>60.5</v>
      </c>
      <c r="E38" s="13">
        <f t="shared" si="2"/>
        <v>0.242</v>
      </c>
      <c r="F38" s="13">
        <f t="shared" si="3"/>
        <v>-0.014</v>
      </c>
      <c r="G38" s="12">
        <f>IFERROR(__xludf.DUMMYFUNCTION("VLOOKUP(A38,IMPORTRANGE(""1QZ5UxyNCwadreQAXnQ7oCoH982DjIA-QnZdO7ZoqkC0/edit#gid=0"",""2017-2021!$A$2:$O$250""),2,FALSE)"),64.25)</f>
        <v>64.25</v>
      </c>
      <c r="H38" s="14">
        <f t="shared" si="4"/>
        <v>0.257</v>
      </c>
      <c r="I38" s="15">
        <f t="shared" si="5"/>
        <v>-0.029</v>
      </c>
      <c r="J38" s="16">
        <f>IFERROR(__xludf.DUMMYFUNCTION("VLOOKUP(A38,IMPORTRANGE(""1QZ5UxyNCwadreQAXnQ7oCoH982DjIA-QnZdO7ZoqkC0/edit#gid=0"",""2017-2021!$A$2:$O$250""),4,FALSE)"),70.0)</f>
        <v>70</v>
      </c>
      <c r="K38" s="17">
        <f t="shared" si="6"/>
        <v>0.28</v>
      </c>
      <c r="L38" s="17">
        <f t="shared" si="7"/>
        <v>-0.052</v>
      </c>
      <c r="M38" s="16">
        <f>IFERROR(__xludf.DUMMYFUNCTION("VLOOKUP(A38,IMPORTRANGE(""1QZ5UxyNCwadreQAXnQ7oCoH982DjIA-QnZdO7ZoqkC0/edit#gid=0"",""2017-2021!$A$2:$O$250""),7,FALSE)"),67.5)</f>
        <v>67.5</v>
      </c>
      <c r="N38" s="17">
        <f t="shared" si="8"/>
        <v>0.27</v>
      </c>
      <c r="O38" s="17">
        <f t="shared" si="9"/>
        <v>-0.042</v>
      </c>
      <c r="P38" s="16">
        <f>IFERROR(__xludf.DUMMYFUNCTION("VLOOKUP(A38,IMPORTRANGE(""1QZ5UxyNCwadreQAXnQ7oCoH982DjIA-QnZdO7ZoqkC0/edit#gid=0"",""2017-2021!$A$2:$O$250""),10,FALSE)"),62.5)</f>
        <v>62.5</v>
      </c>
      <c r="Q38" s="17">
        <f t="shared" si="10"/>
        <v>0.25</v>
      </c>
      <c r="R38" s="17">
        <f t="shared" si="11"/>
        <v>-0.022</v>
      </c>
      <c r="S38" s="16">
        <f>IFERROR(__xludf.DUMMYFUNCTION("VLOOKUP(A38,IMPORTRANGE(""1QZ5UxyNCwadreQAXnQ7oCoH982DjIA-QnZdO7ZoqkC0/edit#gid=0"",""2017-2021!$A$2:$O$250""),13,FALSE)"),54.0)</f>
        <v>54</v>
      </c>
      <c r="T38" s="17">
        <f t="shared" si="12"/>
        <v>0.216</v>
      </c>
      <c r="U38" s="17">
        <f t="shared" si="13"/>
        <v>0.012</v>
      </c>
    </row>
    <row r="39">
      <c r="A39" s="18" t="s">
        <v>57</v>
      </c>
      <c r="B39" s="12">
        <f>IFERROR(__xludf.DUMMYFUNCTION("VLOOKUP(A39,IMPORTRANGE(""1EmrnCz2gLVTx5Cbj0e5tfuHPhTtmru8KTGuQvh7STl0/edit#gid=2147150001"",""Whole Data Set!$A$2:$NQ$253""),381,FALSE)"),120.25)</f>
        <v>120.25</v>
      </c>
      <c r="C39" s="13">
        <f t="shared" si="1"/>
        <v>0.481</v>
      </c>
      <c r="D39" s="12">
        <f>IFERROR(__xludf.DUMMYFUNCTION("VLOOKUP(A39,IMPORTRANGE(""1aFCnJY1qhIj8-JckJhDJ18aqmVo17tofpQmOjcYa3u8/edit#gid=948248086"",""Whole Data Set!$A$2:$NG$253""),371,FALSE)"),109.5)</f>
        <v>109.5</v>
      </c>
      <c r="E39" s="13">
        <f t="shared" si="2"/>
        <v>0.438</v>
      </c>
      <c r="F39" s="13">
        <f t="shared" si="3"/>
        <v>0.043</v>
      </c>
      <c r="G39" s="12">
        <f>IFERROR(__xludf.DUMMYFUNCTION("VLOOKUP(A39,IMPORTRANGE(""1QZ5UxyNCwadreQAXnQ7oCoH982DjIA-QnZdO7ZoqkC0/edit#gid=0"",""2017-2021!$A$2:$O$250""),2,FALSE)"),123.0)</f>
        <v>123</v>
      </c>
      <c r="H39" s="14">
        <f t="shared" si="4"/>
        <v>0.492</v>
      </c>
      <c r="I39" s="15">
        <f t="shared" si="5"/>
        <v>-0.011</v>
      </c>
      <c r="J39" s="16">
        <f>IFERROR(__xludf.DUMMYFUNCTION("VLOOKUP(A39,IMPORTRANGE(""1QZ5UxyNCwadreQAXnQ7oCoH982DjIA-QnZdO7ZoqkC0/edit#gid=0"",""2017-2021!$A$2:$O$250""),4,FALSE)"),125.0)</f>
        <v>125</v>
      </c>
      <c r="K39" s="17">
        <f t="shared" si="6"/>
        <v>0.5</v>
      </c>
      <c r="L39" s="17">
        <f t="shared" si="7"/>
        <v>-0.019</v>
      </c>
      <c r="M39" s="16">
        <f>IFERROR(__xludf.DUMMYFUNCTION("VLOOKUP(A39,IMPORTRANGE(""1QZ5UxyNCwadreQAXnQ7oCoH982DjIA-QnZdO7ZoqkC0/edit#gid=0"",""2017-2021!$A$2:$O$250""),7,FALSE)"),134.5)</f>
        <v>134.5</v>
      </c>
      <c r="N39" s="17">
        <f t="shared" si="8"/>
        <v>0.538</v>
      </c>
      <c r="O39" s="17">
        <f t="shared" si="9"/>
        <v>-0.057</v>
      </c>
      <c r="P39" s="16">
        <f>IFERROR(__xludf.DUMMYFUNCTION("VLOOKUP(A39,IMPORTRANGE(""1QZ5UxyNCwadreQAXnQ7oCoH982DjIA-QnZdO7ZoqkC0/edit#gid=0"",""2017-2021!$A$2:$O$250""),10,FALSE)"),134.5)</f>
        <v>134.5</v>
      </c>
      <c r="Q39" s="17">
        <f t="shared" si="10"/>
        <v>0.538</v>
      </c>
      <c r="R39" s="17">
        <f t="shared" si="11"/>
        <v>-0.057</v>
      </c>
      <c r="S39" s="16">
        <f>IFERROR(__xludf.DUMMYFUNCTION("VLOOKUP(A39,IMPORTRANGE(""1QZ5UxyNCwadreQAXnQ7oCoH982DjIA-QnZdO7ZoqkC0/edit#gid=0"",""2017-2021!$A$2:$O$250""),13,FALSE)"),115.5)</f>
        <v>115.5</v>
      </c>
      <c r="T39" s="17">
        <f t="shared" si="12"/>
        <v>0.462</v>
      </c>
      <c r="U39" s="17">
        <f t="shared" si="13"/>
        <v>0.019</v>
      </c>
    </row>
    <row r="40">
      <c r="A40" s="19" t="s">
        <v>58</v>
      </c>
      <c r="B40" s="12">
        <f>IFERROR(__xludf.DUMMYFUNCTION("VLOOKUP(A40,IMPORTRANGE(""1EmrnCz2gLVTx5Cbj0e5tfuHPhTtmru8KTGuQvh7STl0/edit#gid=2147150001"",""Whole Data Set!$A$2:$NQ$253""),381,FALSE)"),21.5)</f>
        <v>21.5</v>
      </c>
      <c r="C40" s="13">
        <f t="shared" si="1"/>
        <v>0.086</v>
      </c>
      <c r="D40" s="12">
        <f>IFERROR(__xludf.DUMMYFUNCTION("VLOOKUP(A40,IMPORTRANGE(""1aFCnJY1qhIj8-JckJhDJ18aqmVo17tofpQmOjcYa3u8/edit#gid=948248086"",""Whole Data Set!$A$2:$NG$253""),371,FALSE)"),19.0)</f>
        <v>19</v>
      </c>
      <c r="E40" s="13">
        <f t="shared" si="2"/>
        <v>0.076</v>
      </c>
      <c r="F40" s="13">
        <f t="shared" si="3"/>
        <v>0.01</v>
      </c>
      <c r="G40" s="12">
        <f>IFERROR(__xludf.DUMMYFUNCTION("VLOOKUP(A40,IMPORTRANGE(""1QZ5UxyNCwadreQAXnQ7oCoH982DjIA-QnZdO7ZoqkC0/edit#gid=0"",""2017-2021!$A$2:$O$250""),2,FALSE)"),33.0)</f>
        <v>33</v>
      </c>
      <c r="H40" s="14">
        <f t="shared" si="4"/>
        <v>0.132</v>
      </c>
      <c r="I40" s="15">
        <f t="shared" si="5"/>
        <v>-0.046</v>
      </c>
      <c r="J40" s="16">
        <f>IFERROR(__xludf.DUMMYFUNCTION("VLOOKUP(A40,IMPORTRANGE(""1QZ5UxyNCwadreQAXnQ7oCoH982DjIA-QnZdO7ZoqkC0/edit#gid=0"",""2017-2021!$A$2:$O$250""),4,FALSE)"),47.5)</f>
        <v>47.5</v>
      </c>
      <c r="K40" s="17">
        <f t="shared" si="6"/>
        <v>0.19</v>
      </c>
      <c r="L40" s="17">
        <f t="shared" si="7"/>
        <v>-0.104</v>
      </c>
      <c r="M40" s="16">
        <f>IFERROR(__xludf.DUMMYFUNCTION("VLOOKUP(A40,IMPORTRANGE(""1QZ5UxyNCwadreQAXnQ7oCoH982DjIA-QnZdO7ZoqkC0/edit#gid=0"",""2017-2021!$A$2:$O$250""),7,FALSE)"),53.0)</f>
        <v>53</v>
      </c>
      <c r="N40" s="17">
        <f t="shared" si="8"/>
        <v>0.212</v>
      </c>
      <c r="O40" s="17">
        <f t="shared" si="9"/>
        <v>-0.126</v>
      </c>
      <c r="P40" s="16">
        <f>IFERROR(__xludf.DUMMYFUNCTION("VLOOKUP(A40,IMPORTRANGE(""1QZ5UxyNCwadreQAXnQ7oCoH982DjIA-QnZdO7ZoqkC0/edit#gid=0"",""2017-2021!$A$2:$O$250""),10,FALSE)"),54.5)</f>
        <v>54.5</v>
      </c>
      <c r="Q40" s="17">
        <f t="shared" si="10"/>
        <v>0.218</v>
      </c>
      <c r="R40" s="17">
        <f t="shared" si="11"/>
        <v>-0.132</v>
      </c>
      <c r="S40" s="16">
        <f>IFERROR(__xludf.DUMMYFUNCTION("VLOOKUP(A40,IMPORTRANGE(""1QZ5UxyNCwadreQAXnQ7oCoH982DjIA-QnZdO7ZoqkC0/edit#gid=0"",""2017-2021!$A$2:$O$250""),13,FALSE)"),53.0)</f>
        <v>53</v>
      </c>
      <c r="T40" s="17">
        <f t="shared" si="12"/>
        <v>0.212</v>
      </c>
      <c r="U40" s="17">
        <f t="shared" si="13"/>
        <v>-0.126</v>
      </c>
    </row>
    <row r="41">
      <c r="A41" s="19" t="s">
        <v>59</v>
      </c>
      <c r="B41" s="12">
        <f>IFERROR(__xludf.DUMMYFUNCTION("VLOOKUP(A41,IMPORTRANGE(""1EmrnCz2gLVTx5Cbj0e5tfuHPhTtmru8KTGuQvh7STl0/edit#gid=2147150001"",""Whole Data Set!$A$2:$NQ$253""),381,FALSE)"),137.0)</f>
        <v>137</v>
      </c>
      <c r="C41" s="13">
        <f t="shared" si="1"/>
        <v>0.548</v>
      </c>
      <c r="D41" s="12">
        <f>IFERROR(__xludf.DUMMYFUNCTION("VLOOKUP(A41,IMPORTRANGE(""1aFCnJY1qhIj8-JckJhDJ18aqmVo17tofpQmOjcYa3u8/edit#gid=948248086"",""Whole Data Set!$A$2:$NG$253""),371,FALSE)"),123.25)</f>
        <v>123.25</v>
      </c>
      <c r="E41" s="13">
        <f t="shared" si="2"/>
        <v>0.493</v>
      </c>
      <c r="F41" s="13">
        <f t="shared" si="3"/>
        <v>0.055</v>
      </c>
      <c r="G41" s="12">
        <f>IFERROR(__xludf.DUMMYFUNCTION("VLOOKUP(A41,IMPORTRANGE(""1QZ5UxyNCwadreQAXnQ7oCoH982DjIA-QnZdO7ZoqkC0/edit#gid=0"",""2017-2021!$A$2:$O$250""),2,FALSE)"),84.25)</f>
        <v>84.25</v>
      </c>
      <c r="H41" s="14">
        <f t="shared" si="4"/>
        <v>0.337</v>
      </c>
      <c r="I41" s="15">
        <f t="shared" si="5"/>
        <v>0.211</v>
      </c>
      <c r="J41" s="16">
        <f>IFERROR(__xludf.DUMMYFUNCTION("VLOOKUP(A41,IMPORTRANGE(""1QZ5UxyNCwadreQAXnQ7oCoH982DjIA-QnZdO7ZoqkC0/edit#gid=0"",""2017-2021!$A$2:$O$250""),4,FALSE)"),102.5)</f>
        <v>102.5</v>
      </c>
      <c r="K41" s="17">
        <f t="shared" si="6"/>
        <v>0.41</v>
      </c>
      <c r="L41" s="17">
        <f t="shared" si="7"/>
        <v>0.138</v>
      </c>
      <c r="M41" s="16">
        <f>IFERROR(__xludf.DUMMYFUNCTION("VLOOKUP(A41,IMPORTRANGE(""1QZ5UxyNCwadreQAXnQ7oCoH982DjIA-QnZdO7ZoqkC0/edit#gid=0"",""2017-2021!$A$2:$O$250""),7,FALSE)"),103.5)</f>
        <v>103.5</v>
      </c>
      <c r="N41" s="17">
        <f t="shared" si="8"/>
        <v>0.414</v>
      </c>
      <c r="O41" s="17">
        <f t="shared" si="9"/>
        <v>0.134</v>
      </c>
      <c r="P41" s="16">
        <f>IFERROR(__xludf.DUMMYFUNCTION("VLOOKUP(A41,IMPORTRANGE(""1QZ5UxyNCwadreQAXnQ7oCoH982DjIA-QnZdO7ZoqkC0/edit#gid=0"",""2017-2021!$A$2:$O$250""),10,FALSE)"),94.0)</f>
        <v>94</v>
      </c>
      <c r="Q41" s="17">
        <f t="shared" si="10"/>
        <v>0.376</v>
      </c>
      <c r="R41" s="17">
        <f t="shared" si="11"/>
        <v>0.172</v>
      </c>
      <c r="S41" s="16">
        <f>IFERROR(__xludf.DUMMYFUNCTION("VLOOKUP(A41,IMPORTRANGE(""1QZ5UxyNCwadreQAXnQ7oCoH982DjIA-QnZdO7ZoqkC0/edit#gid=0"",""2017-2021!$A$2:$O$250""),13,FALSE)"),66.5)</f>
        <v>66.5</v>
      </c>
      <c r="T41" s="17">
        <f t="shared" si="12"/>
        <v>0.266</v>
      </c>
      <c r="U41" s="17">
        <f t="shared" si="13"/>
        <v>0.282</v>
      </c>
    </row>
    <row r="42">
      <c r="A42" s="19" t="s">
        <v>60</v>
      </c>
      <c r="B42" s="12">
        <f>IFERROR(__xludf.DUMMYFUNCTION("VLOOKUP(A42,IMPORTRANGE(""1EmrnCz2gLVTx5Cbj0e5tfuHPhTtmru8KTGuQvh7STl0/edit#gid=2147150001"",""Whole Data Set!$A$2:$NQ$253""),381,FALSE)"),102.0)</f>
        <v>102</v>
      </c>
      <c r="C42" s="13">
        <f t="shared" si="1"/>
        <v>0.408</v>
      </c>
      <c r="D42" s="12">
        <f>IFERROR(__xludf.DUMMYFUNCTION("VLOOKUP(A42,IMPORTRANGE(""1aFCnJY1qhIj8-JckJhDJ18aqmVo17tofpQmOjcYa3u8/edit#gid=948248086"",""Whole Data Set!$A$2:$NG$253""),371,FALSE)"),90.75)</f>
        <v>90.75</v>
      </c>
      <c r="E42" s="13">
        <f t="shared" si="2"/>
        <v>0.363</v>
      </c>
      <c r="F42" s="13">
        <f t="shared" si="3"/>
        <v>0.045</v>
      </c>
      <c r="G42" s="12">
        <f>IFERROR(__xludf.DUMMYFUNCTION("VLOOKUP(A42,IMPORTRANGE(""1QZ5UxyNCwadreQAXnQ7oCoH982DjIA-QnZdO7ZoqkC0/edit#gid=0"",""2017-2021!$A$2:$O$250""),2,FALSE)"),63.0)</f>
        <v>63</v>
      </c>
      <c r="H42" s="14">
        <f t="shared" si="4"/>
        <v>0.252</v>
      </c>
      <c r="I42" s="15">
        <f t="shared" si="5"/>
        <v>0.156</v>
      </c>
      <c r="J42" s="16">
        <f>IFERROR(__xludf.DUMMYFUNCTION("VLOOKUP(A42,IMPORTRANGE(""1QZ5UxyNCwadreQAXnQ7oCoH982DjIA-QnZdO7ZoqkC0/edit#gid=0"",""2017-2021!$A$2:$O$250""),4,FALSE)"),73.0)</f>
        <v>73</v>
      </c>
      <c r="K42" s="17">
        <f t="shared" si="6"/>
        <v>0.292</v>
      </c>
      <c r="L42" s="17">
        <f t="shared" si="7"/>
        <v>0.116</v>
      </c>
      <c r="M42" s="16">
        <f>IFERROR(__xludf.DUMMYFUNCTION("VLOOKUP(A42,IMPORTRANGE(""1QZ5UxyNCwadreQAXnQ7oCoH982DjIA-QnZdO7ZoqkC0/edit#gid=0"",""2017-2021!$A$2:$O$250""),7,FALSE)"),70.5)</f>
        <v>70.5</v>
      </c>
      <c r="N42" s="17">
        <f t="shared" si="8"/>
        <v>0.282</v>
      </c>
      <c r="O42" s="17">
        <f t="shared" si="9"/>
        <v>0.126</v>
      </c>
      <c r="P42" s="16">
        <f>IFERROR(__xludf.DUMMYFUNCTION("VLOOKUP(A42,IMPORTRANGE(""1QZ5UxyNCwadreQAXnQ7oCoH982DjIA-QnZdO7ZoqkC0/edit#gid=0"",""2017-2021!$A$2:$O$250""),10,FALSE)"),50.0)</f>
        <v>50</v>
      </c>
      <c r="Q42" s="17">
        <f t="shared" si="10"/>
        <v>0.2</v>
      </c>
      <c r="R42" s="17">
        <f t="shared" si="11"/>
        <v>0.208</v>
      </c>
      <c r="S42" s="16">
        <f>IFERROR(__xludf.DUMMYFUNCTION("VLOOKUP(A42,IMPORTRANGE(""1QZ5UxyNCwadreQAXnQ7oCoH982DjIA-QnZdO7ZoqkC0/edit#gid=0"",""2017-2021!$A$2:$O$250""),13,FALSE)"),38.5)</f>
        <v>38.5</v>
      </c>
      <c r="T42" s="17">
        <f t="shared" si="12"/>
        <v>0.154</v>
      </c>
      <c r="U42" s="17">
        <f t="shared" si="13"/>
        <v>0.254</v>
      </c>
    </row>
    <row r="43">
      <c r="A43" s="19" t="s">
        <v>61</v>
      </c>
      <c r="B43" s="12">
        <f>IFERROR(__xludf.DUMMYFUNCTION("VLOOKUP(A43,IMPORTRANGE(""1EmrnCz2gLVTx5Cbj0e5tfuHPhTtmru8KTGuQvh7STl0/edit#gid=2147150001"",""Whole Data Set!$A$2:$NQ$253""),381,FALSE)"),124.75)</f>
        <v>124.75</v>
      </c>
      <c r="C43" s="13">
        <f t="shared" si="1"/>
        <v>0.499</v>
      </c>
      <c r="D43" s="12">
        <f>IFERROR(__xludf.DUMMYFUNCTION("VLOOKUP(A43,IMPORTRANGE(""1aFCnJY1qhIj8-JckJhDJ18aqmVo17tofpQmOjcYa3u8/edit#gid=948248086"",""Whole Data Set!$A$2:$NG$253""),371,FALSE)"),133.5)</f>
        <v>133.5</v>
      </c>
      <c r="E43" s="13">
        <f t="shared" si="2"/>
        <v>0.534</v>
      </c>
      <c r="F43" s="13">
        <f t="shared" si="3"/>
        <v>-0.035</v>
      </c>
      <c r="G43" s="12">
        <f>IFERROR(__xludf.DUMMYFUNCTION("VLOOKUP(A43,IMPORTRANGE(""1QZ5UxyNCwadreQAXnQ7oCoH982DjIA-QnZdO7ZoqkC0/edit#gid=0"",""2017-2021!$A$2:$O$250""),2,FALSE)"),138.5)</f>
        <v>138.5</v>
      </c>
      <c r="H43" s="14">
        <f t="shared" si="4"/>
        <v>0.554</v>
      </c>
      <c r="I43" s="15">
        <f t="shared" si="5"/>
        <v>-0.055</v>
      </c>
      <c r="J43" s="16">
        <f>IFERROR(__xludf.DUMMYFUNCTION("VLOOKUP(A43,IMPORTRANGE(""1QZ5UxyNCwadreQAXnQ7oCoH982DjIA-QnZdO7ZoqkC0/edit#gid=0"",""2017-2021!$A$2:$O$250""),4,FALSE)"),138.0)</f>
        <v>138</v>
      </c>
      <c r="K43" s="17">
        <f t="shared" si="6"/>
        <v>0.552</v>
      </c>
      <c r="L43" s="17">
        <f t="shared" si="7"/>
        <v>-0.053</v>
      </c>
      <c r="M43" s="16">
        <f>IFERROR(__xludf.DUMMYFUNCTION("VLOOKUP(A43,IMPORTRANGE(""1QZ5UxyNCwadreQAXnQ7oCoH982DjIA-QnZdO7ZoqkC0/edit#gid=0"",""2017-2021!$A$2:$O$250""),7,FALSE)"),143.0)</f>
        <v>143</v>
      </c>
      <c r="N43" s="17">
        <f t="shared" si="8"/>
        <v>0.572</v>
      </c>
      <c r="O43" s="17">
        <f t="shared" si="9"/>
        <v>-0.073</v>
      </c>
      <c r="P43" s="16">
        <f>IFERROR(__xludf.DUMMYFUNCTION("VLOOKUP(A43,IMPORTRANGE(""1QZ5UxyNCwadreQAXnQ7oCoH982DjIA-QnZdO7ZoqkC0/edit#gid=0"",""2017-2021!$A$2:$O$250""),10,FALSE)"),91.0)</f>
        <v>91</v>
      </c>
      <c r="Q43" s="17">
        <f t="shared" si="10"/>
        <v>0.364</v>
      </c>
      <c r="R43" s="17">
        <f t="shared" si="11"/>
        <v>0.135</v>
      </c>
      <c r="S43" s="16">
        <f>IFERROR(__xludf.DUMMYFUNCTION("VLOOKUP(A43,IMPORTRANGE(""1QZ5UxyNCwadreQAXnQ7oCoH982DjIA-QnZdO7ZoqkC0/edit#gid=0"",""2017-2021!$A$2:$O$250""),13,FALSE)"),90.0)</f>
        <v>90</v>
      </c>
      <c r="T43" s="17">
        <f t="shared" si="12"/>
        <v>0.36</v>
      </c>
      <c r="U43" s="17">
        <f t="shared" si="13"/>
        <v>0.139</v>
      </c>
    </row>
    <row r="44">
      <c r="A44" s="19" t="s">
        <v>62</v>
      </c>
      <c r="B44" s="12">
        <f>IFERROR(__xludf.DUMMYFUNCTION("VLOOKUP(A44,IMPORTRANGE(""1EmrnCz2gLVTx5Cbj0e5tfuHPhTtmru8KTGuQvh7STl0/edit#gid=2147150001"",""Whole Data Set!$A$2:$NQ$253""),381,FALSE)"),3.0)</f>
        <v>3</v>
      </c>
      <c r="C44" s="13">
        <f t="shared" si="1"/>
        <v>0.012</v>
      </c>
      <c r="D44" s="12">
        <f>IFERROR(__xludf.DUMMYFUNCTION("VLOOKUP(A44,IMPORTRANGE(""1aFCnJY1qhIj8-JckJhDJ18aqmVo17tofpQmOjcYa3u8/edit#gid=948248086"",""Whole Data Set!$A$2:$NG$253""),371,FALSE)"),119.0)</f>
        <v>119</v>
      </c>
      <c r="E44" s="13">
        <f t="shared" si="2"/>
        <v>0.476</v>
      </c>
      <c r="F44" s="13">
        <f t="shared" si="3"/>
        <v>-0.464</v>
      </c>
      <c r="G44" s="12">
        <f>IFERROR(__xludf.DUMMYFUNCTION("VLOOKUP(A44,IMPORTRANGE(""1QZ5UxyNCwadreQAXnQ7oCoH982DjIA-QnZdO7ZoqkC0/edit#gid=0"",""2017-2021!$A$2:$O$250""),2,FALSE)"),136.0)</f>
        <v>136</v>
      </c>
      <c r="H44" s="14">
        <f t="shared" si="4"/>
        <v>0.544</v>
      </c>
      <c r="I44" s="15">
        <f t="shared" si="5"/>
        <v>-0.532</v>
      </c>
      <c r="J44" s="16">
        <f>IFERROR(__xludf.DUMMYFUNCTION("VLOOKUP(A44,IMPORTRANGE(""1QZ5UxyNCwadreQAXnQ7oCoH982DjIA-QnZdO7ZoqkC0/edit#gid=0"",""2017-2021!$A$2:$O$250""),4,FALSE)"),173.5)</f>
        <v>173.5</v>
      </c>
      <c r="K44" s="17">
        <f t="shared" si="6"/>
        <v>0.694</v>
      </c>
      <c r="L44" s="17">
        <f t="shared" si="7"/>
        <v>-0.682</v>
      </c>
      <c r="M44" s="16">
        <f>IFERROR(__xludf.DUMMYFUNCTION("VLOOKUP(A44,IMPORTRANGE(""1QZ5UxyNCwadreQAXnQ7oCoH982DjIA-QnZdO7ZoqkC0/edit#gid=0"",""2017-2021!$A$2:$O$250""),7,FALSE)"),160.5)</f>
        <v>160.5</v>
      </c>
      <c r="N44" s="17">
        <f t="shared" si="8"/>
        <v>0.642</v>
      </c>
      <c r="O44" s="17">
        <f t="shared" si="9"/>
        <v>-0.63</v>
      </c>
      <c r="P44" s="16">
        <f>IFERROR(__xludf.DUMMYFUNCTION("VLOOKUP(A44,IMPORTRANGE(""1QZ5UxyNCwadreQAXnQ7oCoH982DjIA-QnZdO7ZoqkC0/edit#gid=0"",""2017-2021!$A$2:$O$250""),10,FALSE)"),144.5)</f>
        <v>144.5</v>
      </c>
      <c r="Q44" s="17">
        <f t="shared" si="10"/>
        <v>0.578</v>
      </c>
      <c r="R44" s="17">
        <f t="shared" si="11"/>
        <v>-0.566</v>
      </c>
      <c r="S44" s="16">
        <f>IFERROR(__xludf.DUMMYFUNCTION("VLOOKUP(A44,IMPORTRANGE(""1QZ5UxyNCwadreQAXnQ7oCoH982DjIA-QnZdO7ZoqkC0/edit#gid=0"",""2017-2021!$A$2:$O$250""),13,FALSE)"),121.5)</f>
        <v>121.5</v>
      </c>
      <c r="T44" s="17">
        <f t="shared" si="12"/>
        <v>0.486</v>
      </c>
      <c r="U44" s="17">
        <f t="shared" si="13"/>
        <v>-0.474</v>
      </c>
    </row>
    <row r="45">
      <c r="A45" s="19" t="s">
        <v>63</v>
      </c>
      <c r="B45" s="12">
        <f>IFERROR(__xludf.DUMMYFUNCTION("VLOOKUP(A45,IMPORTRANGE(""1EmrnCz2gLVTx5Cbj0e5tfuHPhTtmru8KTGuQvh7STl0/edit#gid=2147150001"",""Whole Data Set!$A$2:$NQ$253""),381,FALSE)"),93.75)</f>
        <v>93.75</v>
      </c>
      <c r="C45" s="13">
        <f t="shared" si="1"/>
        <v>0.375</v>
      </c>
      <c r="D45" s="12">
        <f>IFERROR(__xludf.DUMMYFUNCTION("VLOOKUP(A45,IMPORTRANGE(""1aFCnJY1qhIj8-JckJhDJ18aqmVo17tofpQmOjcYa3u8/edit#gid=948248086"",""Whole Data Set!$A$2:$NG$253""),371,FALSE)"),95.75)</f>
        <v>95.75</v>
      </c>
      <c r="E45" s="13">
        <f t="shared" si="2"/>
        <v>0.383</v>
      </c>
      <c r="F45" s="13">
        <f t="shared" si="3"/>
        <v>-0.008</v>
      </c>
      <c r="G45" s="12">
        <f>IFERROR(__xludf.DUMMYFUNCTION("VLOOKUP(A45,IMPORTRANGE(""1QZ5UxyNCwadreQAXnQ7oCoH982DjIA-QnZdO7ZoqkC0/edit#gid=0"",""2017-2021!$A$2:$O$250""),2,FALSE)"),86.75)</f>
        <v>86.75</v>
      </c>
      <c r="H45" s="14">
        <f t="shared" si="4"/>
        <v>0.347</v>
      </c>
      <c r="I45" s="15">
        <f t="shared" si="5"/>
        <v>0.028</v>
      </c>
      <c r="J45" s="16">
        <f>IFERROR(__xludf.DUMMYFUNCTION("VLOOKUP(A45,IMPORTRANGE(""1QZ5UxyNCwadreQAXnQ7oCoH982DjIA-QnZdO7ZoqkC0/edit#gid=0"",""2017-2021!$A$2:$O$250""),4,FALSE)"),61.5)</f>
        <v>61.5</v>
      </c>
      <c r="K45" s="17">
        <f t="shared" si="6"/>
        <v>0.246</v>
      </c>
      <c r="L45" s="17">
        <f t="shared" si="7"/>
        <v>0.129</v>
      </c>
      <c r="M45" s="16">
        <f>IFERROR(__xludf.DUMMYFUNCTION("VLOOKUP(A45,IMPORTRANGE(""1QZ5UxyNCwadreQAXnQ7oCoH982DjIA-QnZdO7ZoqkC0/edit#gid=0"",""2017-2021!$A$2:$O$250""),7,FALSE)"),32.5)</f>
        <v>32.5</v>
      </c>
      <c r="N45" s="17">
        <f t="shared" si="8"/>
        <v>0.13</v>
      </c>
      <c r="O45" s="17">
        <f t="shared" si="9"/>
        <v>0.245</v>
      </c>
      <c r="P45" s="16">
        <f>IFERROR(__xludf.DUMMYFUNCTION("VLOOKUP(A45,IMPORTRANGE(""1QZ5UxyNCwadreQAXnQ7oCoH982DjIA-QnZdO7ZoqkC0/edit#gid=0"",""2017-2021!$A$2:$O$250""),10,FALSE)"),15.0)</f>
        <v>15</v>
      </c>
      <c r="Q45" s="17">
        <f t="shared" si="10"/>
        <v>0.06</v>
      </c>
      <c r="R45" s="17">
        <f t="shared" si="11"/>
        <v>0.315</v>
      </c>
      <c r="S45" s="16">
        <f>IFERROR(__xludf.DUMMYFUNCTION("VLOOKUP(A45,IMPORTRANGE(""1QZ5UxyNCwadreQAXnQ7oCoH982DjIA-QnZdO7ZoqkC0/edit#gid=0"",""2017-2021!$A$2:$O$250""),13,FALSE)"),11.5)</f>
        <v>11.5</v>
      </c>
      <c r="T45" s="17">
        <f t="shared" si="12"/>
        <v>0.046</v>
      </c>
      <c r="U45" s="17">
        <f t="shared" si="13"/>
        <v>0.329</v>
      </c>
    </row>
    <row r="46">
      <c r="A46" s="19" t="s">
        <v>64</v>
      </c>
      <c r="B46" s="12">
        <f>IFERROR(__xludf.DUMMYFUNCTION("VLOOKUP(A46,IMPORTRANGE(""1EmrnCz2gLVTx5Cbj0e5tfuHPhTtmru8KTGuQvh7STl0/edit#gid=2147150001"",""Whole Data Set!$A$2:$NQ$253""),381,FALSE)"),120.25)</f>
        <v>120.25</v>
      </c>
      <c r="C46" s="13">
        <f t="shared" si="1"/>
        <v>0.481</v>
      </c>
      <c r="D46" s="12">
        <f>IFERROR(__xludf.DUMMYFUNCTION("VLOOKUP(A46,IMPORTRANGE(""1aFCnJY1qhIj8-JckJhDJ18aqmVo17tofpQmOjcYa3u8/edit#gid=948248086"",""Whole Data Set!$A$2:$NG$253""),371,FALSE)"),109.5)</f>
        <v>109.5</v>
      </c>
      <c r="E46" s="13">
        <f t="shared" si="2"/>
        <v>0.438</v>
      </c>
      <c r="F46" s="13">
        <f t="shared" si="3"/>
        <v>0.043</v>
      </c>
      <c r="G46" s="12">
        <f>IFERROR(__xludf.DUMMYFUNCTION("VLOOKUP(A46,IMPORTRANGE(""1QZ5UxyNCwadreQAXnQ7oCoH982DjIA-QnZdO7ZoqkC0/edit#gid=0"",""2017-2021!$A$2:$O$250""),2,FALSE)"),123.0)</f>
        <v>123</v>
      </c>
      <c r="H46" s="14">
        <f t="shared" si="4"/>
        <v>0.492</v>
      </c>
      <c r="I46" s="15">
        <f t="shared" si="5"/>
        <v>-0.011</v>
      </c>
      <c r="J46" s="16">
        <f>IFERROR(__xludf.DUMMYFUNCTION("VLOOKUP(A46,IMPORTRANGE(""1QZ5UxyNCwadreQAXnQ7oCoH982DjIA-QnZdO7ZoqkC0/edit#gid=0"",""2017-2021!$A$2:$O$250""),4,FALSE)"),125.0)</f>
        <v>125</v>
      </c>
      <c r="K46" s="17">
        <f t="shared" si="6"/>
        <v>0.5</v>
      </c>
      <c r="L46" s="17">
        <f t="shared" si="7"/>
        <v>-0.019</v>
      </c>
      <c r="M46" s="16">
        <f>IFERROR(__xludf.DUMMYFUNCTION("VLOOKUP(A46,IMPORTRANGE(""1QZ5UxyNCwadreQAXnQ7oCoH982DjIA-QnZdO7ZoqkC0/edit#gid=0"",""2017-2021!$A$2:$O$250""),7,FALSE)"),134.5)</f>
        <v>134.5</v>
      </c>
      <c r="N46" s="17">
        <f t="shared" si="8"/>
        <v>0.538</v>
      </c>
      <c r="O46" s="17">
        <f t="shared" si="9"/>
        <v>-0.057</v>
      </c>
      <c r="P46" s="16">
        <f>IFERROR(__xludf.DUMMYFUNCTION("VLOOKUP(A46,IMPORTRANGE(""1QZ5UxyNCwadreQAXnQ7oCoH982DjIA-QnZdO7ZoqkC0/edit#gid=0"",""2017-2021!$A$2:$O$250""),10,FALSE)"),134.5)</f>
        <v>134.5</v>
      </c>
      <c r="Q46" s="17">
        <f t="shared" si="10"/>
        <v>0.538</v>
      </c>
      <c r="R46" s="17">
        <f t="shared" si="11"/>
        <v>-0.057</v>
      </c>
      <c r="S46" s="16">
        <f>IFERROR(__xludf.DUMMYFUNCTION("VLOOKUP(A46,IMPORTRANGE(""1QZ5UxyNCwadreQAXnQ7oCoH982DjIA-QnZdO7ZoqkC0/edit#gid=0"",""2017-2021!$A$2:$O$250""),13,FALSE)"),115.5)</f>
        <v>115.5</v>
      </c>
      <c r="T46" s="17">
        <f t="shared" si="12"/>
        <v>0.462</v>
      </c>
      <c r="U46" s="17">
        <f t="shared" si="13"/>
        <v>0.019</v>
      </c>
    </row>
    <row r="47">
      <c r="A47" s="20" t="s">
        <v>65</v>
      </c>
      <c r="B47" s="12">
        <f>IFERROR(__xludf.DUMMYFUNCTION("VLOOKUP(A47,IMPORTRANGE(""1EmrnCz2gLVTx5Cbj0e5tfuHPhTtmru8KTGuQvh7STl0/edit#gid=2147150001"",""Whole Data Set!$A$2:$NQ$253""),381,FALSE)"),151.0)</f>
        <v>151</v>
      </c>
      <c r="C47" s="13">
        <f t="shared" si="1"/>
        <v>0.604</v>
      </c>
      <c r="D47" s="12">
        <f>IFERROR(__xludf.DUMMYFUNCTION("VLOOKUP(A47,IMPORTRANGE(""1aFCnJY1qhIj8-JckJhDJ18aqmVo17tofpQmOjcYa3u8/edit#gid=948248086"",""Whole Data Set!$A$2:$NG$253""),371,FALSE)"),123.5)</f>
        <v>123.5</v>
      </c>
      <c r="E47" s="13">
        <f t="shared" si="2"/>
        <v>0.494</v>
      </c>
      <c r="F47" s="13">
        <f t="shared" si="3"/>
        <v>0.11</v>
      </c>
      <c r="G47" s="12">
        <f>IFERROR(__xludf.DUMMYFUNCTION("VLOOKUP(A47,IMPORTRANGE(""1QZ5UxyNCwadreQAXnQ7oCoH982DjIA-QnZdO7ZoqkC0/edit#gid=0"",""2017-2021!$A$2:$O$250""),2,FALSE)"),110.75)</f>
        <v>110.75</v>
      </c>
      <c r="H47" s="14">
        <f t="shared" si="4"/>
        <v>0.443</v>
      </c>
      <c r="I47" s="15">
        <f t="shared" si="5"/>
        <v>0.161</v>
      </c>
      <c r="J47" s="16">
        <f>IFERROR(__xludf.DUMMYFUNCTION("VLOOKUP(A47,IMPORTRANGE(""1QZ5UxyNCwadreQAXnQ7oCoH982DjIA-QnZdO7ZoqkC0/edit#gid=0"",""2017-2021!$A$2:$O$250""),4,FALSE)"),119.5)</f>
        <v>119.5</v>
      </c>
      <c r="K47" s="17">
        <f t="shared" si="6"/>
        <v>0.478</v>
      </c>
      <c r="L47" s="17">
        <f t="shared" si="7"/>
        <v>0.126</v>
      </c>
      <c r="M47" s="16">
        <f>IFERROR(__xludf.DUMMYFUNCTION("VLOOKUP(A47,IMPORTRANGE(""1QZ5UxyNCwadreQAXnQ7oCoH982DjIA-QnZdO7ZoqkC0/edit#gid=0"",""2017-2021!$A$2:$O$250""),7,FALSE)"),127.5)</f>
        <v>127.5</v>
      </c>
      <c r="N47" s="17">
        <f t="shared" si="8"/>
        <v>0.51</v>
      </c>
      <c r="O47" s="17">
        <f t="shared" si="9"/>
        <v>0.094</v>
      </c>
      <c r="P47" s="16">
        <f>IFERROR(__xludf.DUMMYFUNCTION("VLOOKUP(A47,IMPORTRANGE(""1QZ5UxyNCwadreQAXnQ7oCoH982DjIA-QnZdO7ZoqkC0/edit#gid=0"",""2017-2021!$A$2:$O$250""),10,FALSE)"),118.0)</f>
        <v>118</v>
      </c>
      <c r="Q47" s="17">
        <f t="shared" si="10"/>
        <v>0.472</v>
      </c>
      <c r="R47" s="17">
        <f t="shared" si="11"/>
        <v>0.132</v>
      </c>
      <c r="S47" s="16">
        <f>IFERROR(__xludf.DUMMYFUNCTION("VLOOKUP(A47,IMPORTRANGE(""1QZ5UxyNCwadreQAXnQ7oCoH982DjIA-QnZdO7ZoqkC0/edit#gid=0"",""2017-2021!$A$2:$O$250""),13,FALSE)"),87.0)</f>
        <v>87</v>
      </c>
      <c r="T47" s="17">
        <f t="shared" si="12"/>
        <v>0.348</v>
      </c>
      <c r="U47" s="17">
        <f t="shared" si="13"/>
        <v>0.256</v>
      </c>
    </row>
    <row r="48">
      <c r="A48" s="19" t="s">
        <v>66</v>
      </c>
      <c r="B48" s="12">
        <f>IFERROR(__xludf.DUMMYFUNCTION("VLOOKUP(A48,IMPORTRANGE(""1EmrnCz2gLVTx5Cbj0e5tfuHPhTtmru8KTGuQvh7STl0/edit#gid=2147150001"",""Whole Data Set!$A$2:$NQ$253""),381,FALSE)"),120.25)</f>
        <v>120.25</v>
      </c>
      <c r="C48" s="13">
        <f t="shared" si="1"/>
        <v>0.481</v>
      </c>
      <c r="D48" s="12">
        <f>IFERROR(__xludf.DUMMYFUNCTION("VLOOKUP(A48,IMPORTRANGE(""1aFCnJY1qhIj8-JckJhDJ18aqmVo17tofpQmOjcYa3u8/edit#gid=948248086"",""Whole Data Set!$A$2:$NG$253""),371,FALSE)"),109.5)</f>
        <v>109.5</v>
      </c>
      <c r="E48" s="13">
        <f t="shared" si="2"/>
        <v>0.438</v>
      </c>
      <c r="F48" s="13">
        <f t="shared" si="3"/>
        <v>0.043</v>
      </c>
      <c r="G48" s="12">
        <f>IFERROR(__xludf.DUMMYFUNCTION("VLOOKUP(A48,IMPORTRANGE(""1QZ5UxyNCwadreQAXnQ7oCoH982DjIA-QnZdO7ZoqkC0/edit#gid=0"",""2017-2021!$A$2:$O$250""),2,FALSE)"),123.0)</f>
        <v>123</v>
      </c>
      <c r="H48" s="14">
        <f t="shared" si="4"/>
        <v>0.492</v>
      </c>
      <c r="I48" s="15">
        <f t="shared" si="5"/>
        <v>-0.011</v>
      </c>
      <c r="J48" s="16">
        <f>IFERROR(__xludf.DUMMYFUNCTION("VLOOKUP(A48,IMPORTRANGE(""1QZ5UxyNCwadreQAXnQ7oCoH982DjIA-QnZdO7ZoqkC0/edit#gid=0"",""2017-2021!$A$2:$O$250""),4,FALSE)"),125.0)</f>
        <v>125</v>
      </c>
      <c r="K48" s="17">
        <f t="shared" si="6"/>
        <v>0.5</v>
      </c>
      <c r="L48" s="17">
        <f t="shared" si="7"/>
        <v>-0.019</v>
      </c>
      <c r="M48" s="16">
        <f>IFERROR(__xludf.DUMMYFUNCTION("VLOOKUP(A48,IMPORTRANGE(""1QZ5UxyNCwadreQAXnQ7oCoH982DjIA-QnZdO7ZoqkC0/edit#gid=0"",""2017-2021!$A$2:$O$250""),7,FALSE)"),134.5)</f>
        <v>134.5</v>
      </c>
      <c r="N48" s="17">
        <f t="shared" si="8"/>
        <v>0.538</v>
      </c>
      <c r="O48" s="17">
        <f t="shared" si="9"/>
        <v>-0.057</v>
      </c>
      <c r="P48" s="16">
        <f>IFERROR(__xludf.DUMMYFUNCTION("VLOOKUP(A48,IMPORTRANGE(""1QZ5UxyNCwadreQAXnQ7oCoH982DjIA-QnZdO7ZoqkC0/edit#gid=0"",""2017-2021!$A$2:$O$250""),10,FALSE)"),134.5)</f>
        <v>134.5</v>
      </c>
      <c r="Q48" s="17">
        <f t="shared" si="10"/>
        <v>0.538</v>
      </c>
      <c r="R48" s="17">
        <f t="shared" si="11"/>
        <v>-0.057</v>
      </c>
      <c r="S48" s="16">
        <f>IFERROR(__xludf.DUMMYFUNCTION("VLOOKUP(A48,IMPORTRANGE(""1QZ5UxyNCwadreQAXnQ7oCoH982DjIA-QnZdO7ZoqkC0/edit#gid=0"",""2017-2021!$A$2:$O$250""),13,FALSE)"),115.5)</f>
        <v>115.5</v>
      </c>
      <c r="T48" s="17">
        <f t="shared" si="12"/>
        <v>0.462</v>
      </c>
      <c r="U48" s="17">
        <f t="shared" si="13"/>
        <v>0.019</v>
      </c>
    </row>
    <row r="49">
      <c r="A49" s="19" t="s">
        <v>67</v>
      </c>
      <c r="B49" s="12">
        <f>IFERROR(__xludf.DUMMYFUNCTION("VLOOKUP(A49,IMPORTRANGE(""1EmrnCz2gLVTx5Cbj0e5tfuHPhTtmru8KTGuQvh7STl0/edit#gid=2147150001"",""Whole Data Set!$A$2:$NQ$253""),381,FALSE)"),72.0)</f>
        <v>72</v>
      </c>
      <c r="C49" s="13">
        <f t="shared" si="1"/>
        <v>0.288</v>
      </c>
      <c r="D49" s="12">
        <f>IFERROR(__xludf.DUMMYFUNCTION("VLOOKUP(A49,IMPORTRANGE(""1aFCnJY1qhIj8-JckJhDJ18aqmVo17tofpQmOjcYa3u8/edit#gid=948248086"",""Whole Data Set!$A$2:$NG$253""),371,FALSE)"),72.25)</f>
        <v>72.25</v>
      </c>
      <c r="E49" s="13">
        <f t="shared" si="2"/>
        <v>0.289</v>
      </c>
      <c r="F49" s="13">
        <f t="shared" si="3"/>
        <v>-0.001</v>
      </c>
      <c r="G49" s="12">
        <f>IFERROR(__xludf.DUMMYFUNCTION("VLOOKUP(A49,IMPORTRANGE(""1QZ5UxyNCwadreQAXnQ7oCoH982DjIA-QnZdO7ZoqkC0/edit#gid=0"",""2017-2021!$A$2:$O$250""),2,FALSE)"),55.5)</f>
        <v>55.5</v>
      </c>
      <c r="H49" s="14">
        <f t="shared" si="4"/>
        <v>0.222</v>
      </c>
      <c r="I49" s="15">
        <f t="shared" si="5"/>
        <v>0.066</v>
      </c>
      <c r="J49" s="16">
        <f>IFERROR(__xludf.DUMMYFUNCTION("VLOOKUP(A49,IMPORTRANGE(""1QZ5UxyNCwadreQAXnQ7oCoH982DjIA-QnZdO7ZoqkC0/edit#gid=0"",""2017-2021!$A$2:$O$250""),4,FALSE)"),65.0)</f>
        <v>65</v>
      </c>
      <c r="K49" s="17">
        <f t="shared" si="6"/>
        <v>0.26</v>
      </c>
      <c r="L49" s="17">
        <f t="shared" si="7"/>
        <v>0.028</v>
      </c>
      <c r="M49" s="16">
        <f>IFERROR(__xludf.DUMMYFUNCTION("VLOOKUP(A49,IMPORTRANGE(""1QZ5UxyNCwadreQAXnQ7oCoH982DjIA-QnZdO7ZoqkC0/edit#gid=0"",""2017-2021!$A$2:$O$250""),7,FALSE)"),54.5)</f>
        <v>54.5</v>
      </c>
      <c r="N49" s="17">
        <f t="shared" si="8"/>
        <v>0.218</v>
      </c>
      <c r="O49" s="17">
        <f t="shared" si="9"/>
        <v>0.07</v>
      </c>
      <c r="P49" s="16">
        <f>IFERROR(__xludf.DUMMYFUNCTION("VLOOKUP(A49,IMPORTRANGE(""1QZ5UxyNCwadreQAXnQ7oCoH982DjIA-QnZdO7ZoqkC0/edit#gid=0"",""2017-2021!$A$2:$O$250""),10,FALSE)"),36.5)</f>
        <v>36.5</v>
      </c>
      <c r="Q49" s="17">
        <f t="shared" si="10"/>
        <v>0.146</v>
      </c>
      <c r="R49" s="17">
        <f t="shared" si="11"/>
        <v>0.142</v>
      </c>
      <c r="S49" s="16">
        <f>IFERROR(__xludf.DUMMYFUNCTION("VLOOKUP(A49,IMPORTRANGE(""1QZ5UxyNCwadreQAXnQ7oCoH982DjIA-QnZdO7ZoqkC0/edit#gid=0"",""2017-2021!$A$2:$O$250""),13,FALSE)"),37.0)</f>
        <v>37</v>
      </c>
      <c r="T49" s="17">
        <f t="shared" si="12"/>
        <v>0.148</v>
      </c>
      <c r="U49" s="17">
        <f t="shared" si="13"/>
        <v>0.14</v>
      </c>
    </row>
    <row r="50">
      <c r="A50" s="19" t="s">
        <v>68</v>
      </c>
      <c r="B50" s="12">
        <f>IFERROR(__xludf.DUMMYFUNCTION("VLOOKUP(A50,IMPORTRANGE(""1EmrnCz2gLVTx5Cbj0e5tfuHPhTtmru8KTGuQvh7STl0/edit#gid=2147150001"",""Whole Data Set!$A$2:$NQ$253""),381,FALSE)"),129.75)</f>
        <v>129.75</v>
      </c>
      <c r="C50" s="13">
        <f t="shared" si="1"/>
        <v>0.519</v>
      </c>
      <c r="D50" s="12">
        <f>IFERROR(__xludf.DUMMYFUNCTION("VLOOKUP(A50,IMPORTRANGE(""1aFCnJY1qhIj8-JckJhDJ18aqmVo17tofpQmOjcYa3u8/edit#gid=948248086"",""Whole Data Set!$A$2:$NG$253""),371,FALSE)"),129.75)</f>
        <v>129.75</v>
      </c>
      <c r="E50" s="13">
        <f t="shared" si="2"/>
        <v>0.519</v>
      </c>
      <c r="F50" s="13">
        <f t="shared" si="3"/>
        <v>0</v>
      </c>
      <c r="G50" s="12">
        <f>IFERROR(__xludf.DUMMYFUNCTION("VLOOKUP(A50,IMPORTRANGE(""1QZ5UxyNCwadreQAXnQ7oCoH982DjIA-QnZdO7ZoqkC0/edit#gid=0"",""2017-2021!$A$2:$O$250""),2,FALSE)"),105.75)</f>
        <v>105.75</v>
      </c>
      <c r="H50" s="14">
        <f t="shared" si="4"/>
        <v>0.423</v>
      </c>
      <c r="I50" s="15">
        <f t="shared" si="5"/>
        <v>0.096</v>
      </c>
      <c r="J50" s="16">
        <f>IFERROR(__xludf.DUMMYFUNCTION("VLOOKUP(A50,IMPORTRANGE(""1QZ5UxyNCwadreQAXnQ7oCoH982DjIA-QnZdO7ZoqkC0/edit#gid=0"",""2017-2021!$A$2:$O$250""),4,FALSE)"),114.0)</f>
        <v>114</v>
      </c>
      <c r="K50" s="17">
        <f t="shared" si="6"/>
        <v>0.456</v>
      </c>
      <c r="L50" s="17">
        <f t="shared" si="7"/>
        <v>0.063</v>
      </c>
      <c r="M50" s="16">
        <f>IFERROR(__xludf.DUMMYFUNCTION("VLOOKUP(A50,IMPORTRANGE(""1QZ5UxyNCwadreQAXnQ7oCoH982DjIA-QnZdO7ZoqkC0/edit#gid=0"",""2017-2021!$A$2:$O$250""),7,FALSE)"),102.0)</f>
        <v>102</v>
      </c>
      <c r="N50" s="17">
        <f t="shared" si="8"/>
        <v>0.408</v>
      </c>
      <c r="O50" s="17">
        <f t="shared" si="9"/>
        <v>0.111</v>
      </c>
      <c r="P50" s="16">
        <f>IFERROR(__xludf.DUMMYFUNCTION("VLOOKUP(A50,IMPORTRANGE(""1QZ5UxyNCwadreQAXnQ7oCoH982DjIA-QnZdO7ZoqkC0/edit#gid=0"",""2017-2021!$A$2:$O$250""),10,FALSE)"),88.5)</f>
        <v>88.5</v>
      </c>
      <c r="Q50" s="17">
        <f t="shared" si="10"/>
        <v>0.354</v>
      </c>
      <c r="R50" s="17">
        <f t="shared" si="11"/>
        <v>0.165</v>
      </c>
      <c r="S50" s="16">
        <f>IFERROR(__xludf.DUMMYFUNCTION("VLOOKUP(A50,IMPORTRANGE(""1QZ5UxyNCwadreQAXnQ7oCoH982DjIA-QnZdO7ZoqkC0/edit#gid=0"",""2017-2021!$A$2:$O$250""),13,FALSE)"),61.5)</f>
        <v>61.5</v>
      </c>
      <c r="T50" s="17">
        <f t="shared" si="12"/>
        <v>0.246</v>
      </c>
      <c r="U50" s="17">
        <f t="shared" si="13"/>
        <v>0.273</v>
      </c>
    </row>
    <row r="51">
      <c r="A51" s="19" t="s">
        <v>69</v>
      </c>
      <c r="B51" s="12">
        <f>IFERROR(__xludf.DUMMYFUNCTION("VLOOKUP(A51,IMPORTRANGE(""1EmrnCz2gLVTx5Cbj0e5tfuHPhTtmru8KTGuQvh7STl0/edit#gid=2147150001"",""Whole Data Set!$A$2:$NQ$253""),381,FALSE)"),16.5)</f>
        <v>16.5</v>
      </c>
      <c r="C51" s="13">
        <f t="shared" si="1"/>
        <v>0.066</v>
      </c>
      <c r="D51" s="12">
        <f>IFERROR(__xludf.DUMMYFUNCTION("VLOOKUP(A51,IMPORTRANGE(""1aFCnJY1qhIj8-JckJhDJ18aqmVo17tofpQmOjcYa3u8/edit#gid=948248086"",""Whole Data Set!$A$2:$NG$253""),371,FALSE)"),14.25)</f>
        <v>14.25</v>
      </c>
      <c r="E51" s="13">
        <f t="shared" si="2"/>
        <v>0.057</v>
      </c>
      <c r="F51" s="13">
        <f t="shared" si="3"/>
        <v>0.009</v>
      </c>
      <c r="G51" s="12">
        <f>IFERROR(__xludf.DUMMYFUNCTION("VLOOKUP(A51,IMPORTRANGE(""1QZ5UxyNCwadreQAXnQ7oCoH982DjIA-QnZdO7ZoqkC0/edit#gid=0"",""2017-2021!$A$2:$O$250""),2,FALSE)"),25.0)</f>
        <v>25</v>
      </c>
      <c r="H51" s="14">
        <f t="shared" si="4"/>
        <v>0.1</v>
      </c>
      <c r="I51" s="15">
        <f t="shared" si="5"/>
        <v>-0.034</v>
      </c>
      <c r="J51" s="16">
        <f>IFERROR(__xludf.DUMMYFUNCTION("VLOOKUP(A51,IMPORTRANGE(""1QZ5UxyNCwadreQAXnQ7oCoH982DjIA-QnZdO7ZoqkC0/edit#gid=0"",""2017-2021!$A$2:$O$250""),4,FALSE)"),39.0)</f>
        <v>39</v>
      </c>
      <c r="K51" s="17">
        <f t="shared" si="6"/>
        <v>0.156</v>
      </c>
      <c r="L51" s="17">
        <f t="shared" si="7"/>
        <v>-0.09</v>
      </c>
      <c r="M51" s="16">
        <f>IFERROR(__xludf.DUMMYFUNCTION("VLOOKUP(A51,IMPORTRANGE(""1QZ5UxyNCwadreQAXnQ7oCoH982DjIA-QnZdO7ZoqkC0/edit#gid=0"",""2017-2021!$A$2:$O$250""),7,FALSE)"),32.5)</f>
        <v>32.5</v>
      </c>
      <c r="N51" s="17">
        <f t="shared" si="8"/>
        <v>0.13</v>
      </c>
      <c r="O51" s="17">
        <f t="shared" si="9"/>
        <v>-0.064</v>
      </c>
      <c r="P51" s="16">
        <f>IFERROR(__xludf.DUMMYFUNCTION("VLOOKUP(A51,IMPORTRANGE(""1QZ5UxyNCwadreQAXnQ7oCoH982DjIA-QnZdO7ZoqkC0/edit#gid=0"",""2017-2021!$A$2:$O$250""),10,FALSE)"),44.0)</f>
        <v>44</v>
      </c>
      <c r="Q51" s="17">
        <f t="shared" si="10"/>
        <v>0.176</v>
      </c>
      <c r="R51" s="17">
        <f t="shared" si="11"/>
        <v>-0.11</v>
      </c>
      <c r="S51" s="16">
        <f>IFERROR(__xludf.DUMMYFUNCTION("VLOOKUP(A51,IMPORTRANGE(""1QZ5UxyNCwadreQAXnQ7oCoH982DjIA-QnZdO7ZoqkC0/edit#gid=0"",""2017-2021!$A$2:$O$250""),13,FALSE)"),43.0)</f>
        <v>43</v>
      </c>
      <c r="T51" s="17">
        <f t="shared" si="12"/>
        <v>0.172</v>
      </c>
      <c r="U51" s="17">
        <f t="shared" si="13"/>
        <v>-0.106</v>
      </c>
    </row>
    <row r="52">
      <c r="A52" s="19" t="s">
        <v>70</v>
      </c>
      <c r="B52" s="12">
        <f>IFERROR(__xludf.DUMMYFUNCTION("VLOOKUP(A52,IMPORTRANGE(""1EmrnCz2gLVTx5Cbj0e5tfuHPhTtmru8KTGuQvh7STl0/edit#gid=2147150001"",""Whole Data Set!$A$2:$NQ$253""),381,FALSE)"),122.0)</f>
        <v>122</v>
      </c>
      <c r="C52" s="13">
        <f t="shared" si="1"/>
        <v>0.488</v>
      </c>
      <c r="D52" s="12">
        <f>IFERROR(__xludf.DUMMYFUNCTION("VLOOKUP(A52,IMPORTRANGE(""1aFCnJY1qhIj8-JckJhDJ18aqmVo17tofpQmOjcYa3u8/edit#gid=948248086"",""Whole Data Set!$A$2:$NG$253""),371,FALSE)"),108.75)</f>
        <v>108.75</v>
      </c>
      <c r="E52" s="13">
        <f t="shared" si="2"/>
        <v>0.435</v>
      </c>
      <c r="F52" s="13">
        <f t="shared" si="3"/>
        <v>0.053</v>
      </c>
      <c r="G52" s="12">
        <f>IFERROR(__xludf.DUMMYFUNCTION("VLOOKUP(A52,IMPORTRANGE(""1QZ5UxyNCwadreQAXnQ7oCoH982DjIA-QnZdO7ZoqkC0/edit#gid=0"",""2017-2021!$A$2:$O$250""),2,FALSE)"),64.5)</f>
        <v>64.5</v>
      </c>
      <c r="H52" s="14">
        <f t="shared" si="4"/>
        <v>0.258</v>
      </c>
      <c r="I52" s="15">
        <f t="shared" si="5"/>
        <v>0.23</v>
      </c>
      <c r="J52" s="16">
        <f>IFERROR(__xludf.DUMMYFUNCTION("VLOOKUP(A52,IMPORTRANGE(""1QZ5UxyNCwadreQAXnQ7oCoH982DjIA-QnZdO7ZoqkC0/edit#gid=0"",""2017-2021!$A$2:$O$250""),4,FALSE)"),54.0)</f>
        <v>54</v>
      </c>
      <c r="K52" s="17">
        <f t="shared" si="6"/>
        <v>0.216</v>
      </c>
      <c r="L52" s="17">
        <f t="shared" si="7"/>
        <v>0.272</v>
      </c>
      <c r="M52" s="16">
        <f>IFERROR(__xludf.DUMMYFUNCTION("VLOOKUP(A52,IMPORTRANGE(""1QZ5UxyNCwadreQAXnQ7oCoH982DjIA-QnZdO7ZoqkC0/edit#gid=0"",""2017-2021!$A$2:$O$250""),7,FALSE)"),44.5)</f>
        <v>44.5</v>
      </c>
      <c r="N52" s="17">
        <f t="shared" si="8"/>
        <v>0.178</v>
      </c>
      <c r="O52" s="17">
        <f t="shared" si="9"/>
        <v>0.31</v>
      </c>
      <c r="P52" s="16">
        <f>IFERROR(__xludf.DUMMYFUNCTION("VLOOKUP(A52,IMPORTRANGE(""1QZ5UxyNCwadreQAXnQ7oCoH982DjIA-QnZdO7ZoqkC0/edit#gid=0"",""2017-2021!$A$2:$O$250""),10,FALSE)"),44.5)</f>
        <v>44.5</v>
      </c>
      <c r="Q52" s="17">
        <f t="shared" si="10"/>
        <v>0.178</v>
      </c>
      <c r="R52" s="17">
        <f t="shared" si="11"/>
        <v>0.31</v>
      </c>
      <c r="S52" s="16">
        <f>IFERROR(__xludf.DUMMYFUNCTION("VLOOKUP(A52,IMPORTRANGE(""1QZ5UxyNCwadreQAXnQ7oCoH982DjIA-QnZdO7ZoqkC0/edit#gid=0"",""2017-2021!$A$2:$O$250""),13,FALSE)"),33.0)</f>
        <v>33</v>
      </c>
      <c r="T52" s="17">
        <f t="shared" si="12"/>
        <v>0.132</v>
      </c>
      <c r="U52" s="17">
        <f t="shared" si="13"/>
        <v>0.356</v>
      </c>
    </row>
    <row r="53">
      <c r="A53" s="21" t="s">
        <v>71</v>
      </c>
      <c r="B53" s="12">
        <f>IFERROR(__xludf.DUMMYFUNCTION("VLOOKUP(A53,IMPORTRANGE(""1EmrnCz2gLVTx5Cbj0e5tfuHPhTtmru8KTGuQvh7STl0/edit#gid=2147150001"",""Whole Data Set!$A$2:$NQ$253""),381,FALSE)"),15.25)</f>
        <v>15.25</v>
      </c>
      <c r="C53" s="13">
        <f t="shared" si="1"/>
        <v>0.061</v>
      </c>
      <c r="D53" s="12">
        <f>IFERROR(__xludf.DUMMYFUNCTION("VLOOKUP(A53,IMPORTRANGE(""1aFCnJY1qhIj8-JckJhDJ18aqmVo17tofpQmOjcYa3u8/edit#gid=948248086"",""Whole Data Set!$A$2:$NG$253""),371,FALSE)"),12.0)</f>
        <v>12</v>
      </c>
      <c r="E53" s="13">
        <f t="shared" si="2"/>
        <v>0.048</v>
      </c>
      <c r="F53" s="13">
        <f t="shared" si="3"/>
        <v>0.013</v>
      </c>
      <c r="G53" s="12">
        <f>IFERROR(__xludf.DUMMYFUNCTION("VLOOKUP(A53,IMPORTRANGE(""1QZ5UxyNCwadreQAXnQ7oCoH982DjIA-QnZdO7ZoqkC0/edit#gid=0"",""2017-2021!$A$2:$O$250""),2,FALSE)"),14.75)</f>
        <v>14.75</v>
      </c>
      <c r="H53" s="14">
        <f t="shared" si="4"/>
        <v>0.059</v>
      </c>
      <c r="I53" s="15">
        <f t="shared" si="5"/>
        <v>0.002</v>
      </c>
      <c r="J53" s="16">
        <f>IFERROR(__xludf.DUMMYFUNCTION("VLOOKUP(A53,IMPORTRANGE(""1QZ5UxyNCwadreQAXnQ7oCoH982DjIA-QnZdO7ZoqkC0/edit#gid=0"",""2017-2021!$A$2:$O$250""),4,FALSE)"),20.0)</f>
        <v>20</v>
      </c>
      <c r="K53" s="17">
        <f t="shared" si="6"/>
        <v>0.08</v>
      </c>
      <c r="L53" s="17">
        <f t="shared" si="7"/>
        <v>-0.019</v>
      </c>
      <c r="M53" s="16">
        <f>IFERROR(__xludf.DUMMYFUNCTION("VLOOKUP(A53,IMPORTRANGE(""1QZ5UxyNCwadreQAXnQ7oCoH982DjIA-QnZdO7ZoqkC0/edit#gid=0"",""2017-2021!$A$2:$O$250""),7,FALSE)"),14.0)</f>
        <v>14</v>
      </c>
      <c r="N53" s="17">
        <f t="shared" si="8"/>
        <v>0.056</v>
      </c>
      <c r="O53" s="17">
        <f t="shared" si="9"/>
        <v>0.005</v>
      </c>
      <c r="P53" s="16">
        <f>IFERROR(__xludf.DUMMYFUNCTION("VLOOKUP(A53,IMPORTRANGE(""1QZ5UxyNCwadreQAXnQ7oCoH982DjIA-QnZdO7ZoqkC0/edit#gid=0"",""2017-2021!$A$2:$O$250""),10,FALSE)"),18.0)</f>
        <v>18</v>
      </c>
      <c r="Q53" s="17">
        <f t="shared" si="10"/>
        <v>0.072</v>
      </c>
      <c r="R53" s="17">
        <f t="shared" si="11"/>
        <v>-0.011</v>
      </c>
      <c r="S53" s="16">
        <f>IFERROR(__xludf.DUMMYFUNCTION("VLOOKUP(A53,IMPORTRANGE(""1QZ5UxyNCwadreQAXnQ7oCoH982DjIA-QnZdO7ZoqkC0/edit#gid=0"",""2017-2021!$A$2:$O$250""),13,FALSE)"),9.5)</f>
        <v>9.5</v>
      </c>
      <c r="T53" s="17">
        <f t="shared" si="12"/>
        <v>0.038</v>
      </c>
      <c r="U53" s="17">
        <f t="shared" si="13"/>
        <v>0.023</v>
      </c>
    </row>
    <row r="54">
      <c r="A54" s="19" t="s">
        <v>72</v>
      </c>
      <c r="B54" s="12">
        <f>IFERROR(__xludf.DUMMYFUNCTION("VLOOKUP(A54,IMPORTRANGE(""1EmrnCz2gLVTx5Cbj0e5tfuHPhTtmru8KTGuQvh7STl0/edit#gid=2147150001"",""Whole Data Set!$A$2:$NQ$253""),381,FALSE)"),124.5)</f>
        <v>124.5</v>
      </c>
      <c r="C54" s="13">
        <f t="shared" si="1"/>
        <v>0.498</v>
      </c>
      <c r="D54" s="12">
        <f>IFERROR(__xludf.DUMMYFUNCTION("VLOOKUP(A54,IMPORTRANGE(""1aFCnJY1qhIj8-JckJhDJ18aqmVo17tofpQmOjcYa3u8/edit#gid=948248086"",""Whole Data Set!$A$2:$NG$253""),371,FALSE)"),107.75)</f>
        <v>107.75</v>
      </c>
      <c r="E54" s="13">
        <f t="shared" si="2"/>
        <v>0.431</v>
      </c>
      <c r="F54" s="13">
        <f t="shared" si="3"/>
        <v>0.067</v>
      </c>
      <c r="G54" s="12">
        <f>IFERROR(__xludf.DUMMYFUNCTION("VLOOKUP(A54,IMPORTRANGE(""1QZ5UxyNCwadreQAXnQ7oCoH982DjIA-QnZdO7ZoqkC0/edit#gid=0"",""2017-2021!$A$2:$O$250""),2,FALSE)"),89.5)</f>
        <v>89.5</v>
      </c>
      <c r="H54" s="14">
        <f t="shared" si="4"/>
        <v>0.358</v>
      </c>
      <c r="I54" s="15">
        <f t="shared" si="5"/>
        <v>0.14</v>
      </c>
      <c r="J54" s="16">
        <f>IFERROR(__xludf.DUMMYFUNCTION("VLOOKUP(A54,IMPORTRANGE(""1QZ5UxyNCwadreQAXnQ7oCoH982DjIA-QnZdO7ZoqkC0/edit#gid=0"",""2017-2021!$A$2:$O$250""),4,FALSE)"),110.5)</f>
        <v>110.5</v>
      </c>
      <c r="K54" s="17">
        <f t="shared" si="6"/>
        <v>0.442</v>
      </c>
      <c r="L54" s="17">
        <f t="shared" si="7"/>
        <v>0.056</v>
      </c>
      <c r="M54" s="16">
        <f>IFERROR(__xludf.DUMMYFUNCTION("VLOOKUP(A54,IMPORTRANGE(""1QZ5UxyNCwadreQAXnQ7oCoH982DjIA-QnZdO7ZoqkC0/edit#gid=0"",""2017-2021!$A$2:$O$250""),7,FALSE)"),114.0)</f>
        <v>114</v>
      </c>
      <c r="N54" s="17">
        <f t="shared" si="8"/>
        <v>0.456</v>
      </c>
      <c r="O54" s="17">
        <f t="shared" si="9"/>
        <v>0.042</v>
      </c>
      <c r="P54" s="16">
        <f>IFERROR(__xludf.DUMMYFUNCTION("VLOOKUP(A54,IMPORTRANGE(""1QZ5UxyNCwadreQAXnQ7oCoH982DjIA-QnZdO7ZoqkC0/edit#gid=0"",""2017-2021!$A$2:$O$250""),10,FALSE)"),105.0)</f>
        <v>105</v>
      </c>
      <c r="Q54" s="17">
        <f t="shared" si="10"/>
        <v>0.42</v>
      </c>
      <c r="R54" s="17">
        <f t="shared" si="11"/>
        <v>0.078</v>
      </c>
      <c r="S54" s="16">
        <f>IFERROR(__xludf.DUMMYFUNCTION("VLOOKUP(A54,IMPORTRANGE(""1QZ5UxyNCwadreQAXnQ7oCoH982DjIA-QnZdO7ZoqkC0/edit#gid=0"",""2017-2021!$A$2:$O$250""),13,FALSE)"),91.0)</f>
        <v>91</v>
      </c>
      <c r="T54" s="17">
        <f t="shared" si="12"/>
        <v>0.364</v>
      </c>
      <c r="U54" s="17">
        <f t="shared" si="13"/>
        <v>0.134</v>
      </c>
    </row>
    <row r="55">
      <c r="A55" s="19" t="s">
        <v>73</v>
      </c>
      <c r="B55" s="12">
        <f>IFERROR(__xludf.DUMMYFUNCTION("VLOOKUP(A55,IMPORTRANGE(""1EmrnCz2gLVTx5Cbj0e5tfuHPhTtmru8KTGuQvh7STl0/edit#gid=2147150001"",""Whole Data Set!$A$2:$NQ$253""),381,FALSE)"),73.5)</f>
        <v>73.5</v>
      </c>
      <c r="C55" s="13">
        <f t="shared" si="1"/>
        <v>0.294</v>
      </c>
      <c r="D55" s="12">
        <f>IFERROR(__xludf.DUMMYFUNCTION("VLOOKUP(A55,IMPORTRANGE(""1aFCnJY1qhIj8-JckJhDJ18aqmVo17tofpQmOjcYa3u8/edit#gid=948248086"",""Whole Data Set!$A$2:$NG$253""),371,FALSE)"),62.0)</f>
        <v>62</v>
      </c>
      <c r="E55" s="13">
        <f t="shared" si="2"/>
        <v>0.248</v>
      </c>
      <c r="F55" s="13">
        <f t="shared" si="3"/>
        <v>0.046</v>
      </c>
      <c r="G55" s="12">
        <f>IFERROR(__xludf.DUMMYFUNCTION("VLOOKUP(A55,IMPORTRANGE(""1QZ5UxyNCwadreQAXnQ7oCoH982DjIA-QnZdO7ZoqkC0/edit#gid=0"",""2017-2021!$A$2:$O$250""),2,FALSE)"),43.0)</f>
        <v>43</v>
      </c>
      <c r="H55" s="14">
        <f t="shared" si="4"/>
        <v>0.172</v>
      </c>
      <c r="I55" s="15">
        <f t="shared" si="5"/>
        <v>0.122</v>
      </c>
      <c r="J55" s="16">
        <f>IFERROR(__xludf.DUMMYFUNCTION("VLOOKUP(A55,IMPORTRANGE(""1QZ5UxyNCwadreQAXnQ7oCoH982DjIA-QnZdO7ZoqkC0/edit#gid=0"",""2017-2021!$A$2:$O$250""),4,FALSE)"),44.0)</f>
        <v>44</v>
      </c>
      <c r="K55" s="17">
        <f t="shared" si="6"/>
        <v>0.176</v>
      </c>
      <c r="L55" s="17">
        <f t="shared" si="7"/>
        <v>0.118</v>
      </c>
      <c r="M55" s="16">
        <f>IFERROR(__xludf.DUMMYFUNCTION("VLOOKUP(A55,IMPORTRANGE(""1QZ5UxyNCwadreQAXnQ7oCoH982DjIA-QnZdO7ZoqkC0/edit#gid=0"",""2017-2021!$A$2:$O$250""),7,FALSE)"),25.0)</f>
        <v>25</v>
      </c>
      <c r="N55" s="17">
        <f t="shared" si="8"/>
        <v>0.1</v>
      </c>
      <c r="O55" s="17">
        <f t="shared" si="9"/>
        <v>0.194</v>
      </c>
      <c r="P55" s="16">
        <f>IFERROR(__xludf.DUMMYFUNCTION("VLOOKUP(A55,IMPORTRANGE(""1QZ5UxyNCwadreQAXnQ7oCoH982DjIA-QnZdO7ZoqkC0/edit#gid=0"",""2017-2021!$A$2:$O$250""),10,FALSE)"),11.5)</f>
        <v>11.5</v>
      </c>
      <c r="Q55" s="17">
        <f t="shared" si="10"/>
        <v>0.046</v>
      </c>
      <c r="R55" s="17">
        <f t="shared" si="11"/>
        <v>0.248</v>
      </c>
      <c r="S55" s="16">
        <f>IFERROR(__xludf.DUMMYFUNCTION("VLOOKUP(A55,IMPORTRANGE(""1QZ5UxyNCwadreQAXnQ7oCoH982DjIA-QnZdO7ZoqkC0/edit#gid=0"",""2017-2021!$A$2:$O$250""),13,FALSE)"),3.5)</f>
        <v>3.5</v>
      </c>
      <c r="T55" s="17">
        <f t="shared" si="12"/>
        <v>0.014</v>
      </c>
      <c r="U55" s="17">
        <f t="shared" si="13"/>
        <v>0.28</v>
      </c>
    </row>
    <row r="56">
      <c r="A56" s="19" t="s">
        <v>74</v>
      </c>
      <c r="B56" s="12">
        <f>IFERROR(__xludf.DUMMYFUNCTION("VLOOKUP(A56,IMPORTRANGE(""1EmrnCz2gLVTx5Cbj0e5tfuHPhTtmru8KTGuQvh7STl0/edit#gid=2147150001"",""Whole Data Set!$A$2:$NQ$253""),381,FALSE)"),41.75)</f>
        <v>41.75</v>
      </c>
      <c r="C56" s="13">
        <f t="shared" si="1"/>
        <v>0.167</v>
      </c>
      <c r="D56" s="12">
        <f>IFERROR(__xludf.DUMMYFUNCTION("VLOOKUP(A56,IMPORTRANGE(""1aFCnJY1qhIj8-JckJhDJ18aqmVo17tofpQmOjcYa3u8/edit#gid=948248086"",""Whole Data Set!$A$2:$NG$253""),371,FALSE)"),36.0)</f>
        <v>36</v>
      </c>
      <c r="E56" s="13">
        <f t="shared" si="2"/>
        <v>0.144</v>
      </c>
      <c r="F56" s="13">
        <f t="shared" si="3"/>
        <v>0.023</v>
      </c>
      <c r="G56" s="12">
        <f>IFERROR(__xludf.DUMMYFUNCTION("VLOOKUP(A56,IMPORTRANGE(""1QZ5UxyNCwadreQAXnQ7oCoH982DjIA-QnZdO7ZoqkC0/edit#gid=0"",""2017-2021!$A$2:$O$250""),2,FALSE)"),37.25)</f>
        <v>37.25</v>
      </c>
      <c r="H56" s="14">
        <f t="shared" si="4"/>
        <v>0.149</v>
      </c>
      <c r="I56" s="15">
        <f t="shared" si="5"/>
        <v>0.018</v>
      </c>
      <c r="J56" s="16">
        <f>IFERROR(__xludf.DUMMYFUNCTION("VLOOKUP(A56,IMPORTRANGE(""1QZ5UxyNCwadreQAXnQ7oCoH982DjIA-QnZdO7ZoqkC0/edit#gid=0"",""2017-2021!$A$2:$O$250""),4,FALSE)"),41.0)</f>
        <v>41</v>
      </c>
      <c r="K56" s="17">
        <f t="shared" si="6"/>
        <v>0.164</v>
      </c>
      <c r="L56" s="17">
        <f t="shared" si="7"/>
        <v>0.003</v>
      </c>
      <c r="M56" s="16">
        <f>IFERROR(__xludf.DUMMYFUNCTION("VLOOKUP(A56,IMPORTRANGE(""1QZ5UxyNCwadreQAXnQ7oCoH982DjIA-QnZdO7ZoqkC0/edit#gid=0"",""2017-2021!$A$2:$O$250""),7,FALSE)"),26.0)</f>
        <v>26</v>
      </c>
      <c r="N56" s="17">
        <f t="shared" si="8"/>
        <v>0.104</v>
      </c>
      <c r="O56" s="17">
        <f t="shared" si="9"/>
        <v>0.063</v>
      </c>
      <c r="P56" s="16">
        <f>IFERROR(__xludf.DUMMYFUNCTION("VLOOKUP(A56,IMPORTRANGE(""1QZ5UxyNCwadreQAXnQ7oCoH982DjIA-QnZdO7ZoqkC0/edit#gid=0"",""2017-2021!$A$2:$O$250""),10,FALSE)"),20.5)</f>
        <v>20.5</v>
      </c>
      <c r="Q56" s="17">
        <f t="shared" si="10"/>
        <v>0.082</v>
      </c>
      <c r="R56" s="17">
        <f t="shared" si="11"/>
        <v>0.085</v>
      </c>
      <c r="S56" s="16">
        <f>IFERROR(__xludf.DUMMYFUNCTION("VLOOKUP(A56,IMPORTRANGE(""1QZ5UxyNCwadreQAXnQ7oCoH982DjIA-QnZdO7ZoqkC0/edit#gid=0"",""2017-2021!$A$2:$O$250""),13,FALSE)"),33.0)</f>
        <v>33</v>
      </c>
      <c r="T56" s="17">
        <f t="shared" si="12"/>
        <v>0.132</v>
      </c>
      <c r="U56" s="17">
        <f t="shared" si="13"/>
        <v>0.035</v>
      </c>
    </row>
    <row r="57">
      <c r="A57" s="19" t="s">
        <v>75</v>
      </c>
      <c r="B57" s="12">
        <f>IFERROR(__xludf.DUMMYFUNCTION("VLOOKUP(A57,IMPORTRANGE(""1EmrnCz2gLVTx5Cbj0e5tfuHPhTtmru8KTGuQvh7STl0/edit#gid=2147150001"",""Whole Data Set!$A$2:$NQ$253""),381,FALSE)"),69.75)</f>
        <v>69.75</v>
      </c>
      <c r="C57" s="13">
        <f t="shared" si="1"/>
        <v>0.279</v>
      </c>
      <c r="D57" s="12">
        <f>IFERROR(__xludf.DUMMYFUNCTION("VLOOKUP(A57,IMPORTRANGE(""1aFCnJY1qhIj8-JckJhDJ18aqmVo17tofpQmOjcYa3u8/edit#gid=948248086"",""Whole Data Set!$A$2:$NG$253""),371,FALSE)"),68.5)</f>
        <v>68.5</v>
      </c>
      <c r="E57" s="13">
        <f t="shared" si="2"/>
        <v>0.274</v>
      </c>
      <c r="F57" s="13">
        <f t="shared" si="3"/>
        <v>0.005</v>
      </c>
      <c r="G57" s="12">
        <f>IFERROR(__xludf.DUMMYFUNCTION("VLOOKUP(A57,IMPORTRANGE(""1QZ5UxyNCwadreQAXnQ7oCoH982DjIA-QnZdO7ZoqkC0/edit#gid=0"",""2017-2021!$A$2:$O$250""),2,FALSE)"),95.5)</f>
        <v>95.5</v>
      </c>
      <c r="H57" s="14">
        <f t="shared" si="4"/>
        <v>0.382</v>
      </c>
      <c r="I57" s="15">
        <f t="shared" si="5"/>
        <v>-0.103</v>
      </c>
      <c r="J57" s="16">
        <f>IFERROR(__xludf.DUMMYFUNCTION("VLOOKUP(A57,IMPORTRANGE(""1QZ5UxyNCwadreQAXnQ7oCoH982DjIA-QnZdO7ZoqkC0/edit#gid=0"",""2017-2021!$A$2:$O$250""),4,FALSE)"),84.5)</f>
        <v>84.5</v>
      </c>
      <c r="K57" s="17">
        <f t="shared" si="6"/>
        <v>0.338</v>
      </c>
      <c r="L57" s="17">
        <f t="shared" si="7"/>
        <v>-0.059</v>
      </c>
      <c r="M57" s="16">
        <f>IFERROR(__xludf.DUMMYFUNCTION("VLOOKUP(A57,IMPORTRANGE(""1QZ5UxyNCwadreQAXnQ7oCoH982DjIA-QnZdO7ZoqkC0/edit#gid=0"",""2017-2021!$A$2:$O$250""),7,FALSE)"),94.0)</f>
        <v>94</v>
      </c>
      <c r="N57" s="17">
        <f t="shared" si="8"/>
        <v>0.376</v>
      </c>
      <c r="O57" s="17">
        <f t="shared" si="9"/>
        <v>-0.097</v>
      </c>
      <c r="P57" s="16">
        <f>IFERROR(__xludf.DUMMYFUNCTION("VLOOKUP(A57,IMPORTRANGE(""1QZ5UxyNCwadreQAXnQ7oCoH982DjIA-QnZdO7ZoqkC0/edit#gid=0"",""2017-2021!$A$2:$O$250""),10,FALSE)"),76.0)</f>
        <v>76</v>
      </c>
      <c r="Q57" s="17">
        <f t="shared" si="10"/>
        <v>0.304</v>
      </c>
      <c r="R57" s="17">
        <f t="shared" si="11"/>
        <v>-0.025</v>
      </c>
      <c r="S57" s="16">
        <f>IFERROR(__xludf.DUMMYFUNCTION("VLOOKUP(A57,IMPORTRANGE(""1QZ5UxyNCwadreQAXnQ7oCoH982DjIA-QnZdO7ZoqkC0/edit#gid=0"",""2017-2021!$A$2:$O$250""),13,FALSE)"),57.5)</f>
        <v>57.5</v>
      </c>
      <c r="T57" s="17">
        <f t="shared" si="12"/>
        <v>0.23</v>
      </c>
      <c r="U57" s="17">
        <f t="shared" si="13"/>
        <v>0.049</v>
      </c>
    </row>
    <row r="58">
      <c r="A58" s="19" t="s">
        <v>76</v>
      </c>
      <c r="B58" s="12">
        <f>IFERROR(__xludf.DUMMYFUNCTION("VLOOKUP(A58,IMPORTRANGE(""1EmrnCz2gLVTx5Cbj0e5tfuHPhTtmru8KTGuQvh7STl0/edit#gid=2147150001"",""Whole Data Set!$A$2:$NQ$253""),381,FALSE)"),85.5)</f>
        <v>85.5</v>
      </c>
      <c r="C58" s="13">
        <f t="shared" si="1"/>
        <v>0.342</v>
      </c>
      <c r="D58" s="12">
        <f>IFERROR(__xludf.DUMMYFUNCTION("VLOOKUP(A58,IMPORTRANGE(""1aFCnJY1qhIj8-JckJhDJ18aqmVo17tofpQmOjcYa3u8/edit#gid=948248086"",""Whole Data Set!$A$2:$NG$253""),371,FALSE)"),44.25)</f>
        <v>44.25</v>
      </c>
      <c r="E58" s="13">
        <f t="shared" si="2"/>
        <v>0.177</v>
      </c>
      <c r="F58" s="13">
        <f t="shared" si="3"/>
        <v>0.165</v>
      </c>
      <c r="G58" s="12">
        <f>IFERROR(__xludf.DUMMYFUNCTION("VLOOKUP(A58,IMPORTRANGE(""1QZ5UxyNCwadreQAXnQ7oCoH982DjIA-QnZdO7ZoqkC0/edit#gid=0"",""2017-2021!$A$2:$O$250""),2,FALSE)"),46.0)</f>
        <v>46</v>
      </c>
      <c r="H58" s="14">
        <f t="shared" si="4"/>
        <v>0.184</v>
      </c>
      <c r="I58" s="15">
        <f t="shared" si="5"/>
        <v>0.158</v>
      </c>
      <c r="J58" s="16">
        <f>IFERROR(__xludf.DUMMYFUNCTION("VLOOKUP(A58,IMPORTRANGE(""1QZ5UxyNCwadreQAXnQ7oCoH982DjIA-QnZdO7ZoqkC0/edit#gid=0"",""2017-2021!$A$2:$O$250""),4,FALSE)"),45.5)</f>
        <v>45.5</v>
      </c>
      <c r="K58" s="17">
        <f t="shared" si="6"/>
        <v>0.182</v>
      </c>
      <c r="L58" s="17">
        <f t="shared" si="7"/>
        <v>0.16</v>
      </c>
      <c r="M58" s="16">
        <f>IFERROR(__xludf.DUMMYFUNCTION("VLOOKUP(A58,IMPORTRANGE(""1QZ5UxyNCwadreQAXnQ7oCoH982DjIA-QnZdO7ZoqkC0/edit#gid=0"",""2017-2021!$A$2:$O$250""),7,FALSE)"),49.0)</f>
        <v>49</v>
      </c>
      <c r="N58" s="17">
        <f t="shared" si="8"/>
        <v>0.196</v>
      </c>
      <c r="O58" s="17">
        <f t="shared" si="9"/>
        <v>0.146</v>
      </c>
      <c r="P58" s="16">
        <f>IFERROR(__xludf.DUMMYFUNCTION("VLOOKUP(A58,IMPORTRANGE(""1QZ5UxyNCwadreQAXnQ7oCoH982DjIA-QnZdO7ZoqkC0/edit#gid=0"",""2017-2021!$A$2:$O$250""),10,FALSE)"),37.0)</f>
        <v>37</v>
      </c>
      <c r="Q58" s="17">
        <f t="shared" si="10"/>
        <v>0.148</v>
      </c>
      <c r="R58" s="17">
        <f t="shared" si="11"/>
        <v>0.194</v>
      </c>
      <c r="S58" s="16">
        <f>IFERROR(__xludf.DUMMYFUNCTION("VLOOKUP(A58,IMPORTRANGE(""1QZ5UxyNCwadreQAXnQ7oCoH982DjIA-QnZdO7ZoqkC0/edit#gid=0"",""2017-2021!$A$2:$O$250""),13,FALSE)"),19.0)</f>
        <v>19</v>
      </c>
      <c r="T58" s="17">
        <f t="shared" si="12"/>
        <v>0.076</v>
      </c>
      <c r="U58" s="17">
        <f t="shared" si="13"/>
        <v>0.266</v>
      </c>
    </row>
    <row r="59">
      <c r="A59" s="19" t="s">
        <v>77</v>
      </c>
      <c r="B59" s="12">
        <f>IFERROR(__xludf.DUMMYFUNCTION("VLOOKUP(A59,IMPORTRANGE(""1EmrnCz2gLVTx5Cbj0e5tfuHPhTtmru8KTGuQvh7STl0/edit#gid=2147150001"",""Whole Data Set!$A$2:$NQ$253""),381,FALSE)"),113.75)</f>
        <v>113.75</v>
      </c>
      <c r="C59" s="13">
        <f t="shared" si="1"/>
        <v>0.455</v>
      </c>
      <c r="D59" s="12">
        <f>IFERROR(__xludf.DUMMYFUNCTION("VLOOKUP(A59,IMPORTRANGE(""1aFCnJY1qhIj8-JckJhDJ18aqmVo17tofpQmOjcYa3u8/edit#gid=948248086"",""Whole Data Set!$A$2:$NG$253""),371,FALSE)"),103.5)</f>
        <v>103.5</v>
      </c>
      <c r="E59" s="13">
        <f t="shared" si="2"/>
        <v>0.414</v>
      </c>
      <c r="F59" s="13">
        <f t="shared" si="3"/>
        <v>0.041</v>
      </c>
      <c r="G59" s="12">
        <f>IFERROR(__xludf.DUMMYFUNCTION("VLOOKUP(A59,IMPORTRANGE(""1QZ5UxyNCwadreQAXnQ7oCoH982DjIA-QnZdO7ZoqkC0/edit#gid=0"",""2017-2021!$A$2:$O$250""),2,FALSE)"),105.75)</f>
        <v>105.75</v>
      </c>
      <c r="H59" s="14">
        <f t="shared" si="4"/>
        <v>0.423</v>
      </c>
      <c r="I59" s="15">
        <f t="shared" si="5"/>
        <v>0.032</v>
      </c>
      <c r="J59" s="16">
        <f>IFERROR(__xludf.DUMMYFUNCTION("VLOOKUP(A59,IMPORTRANGE(""1QZ5UxyNCwadreQAXnQ7oCoH982DjIA-QnZdO7ZoqkC0/edit#gid=0"",""2017-2021!$A$2:$O$250""),4,FALSE)"),121.0)</f>
        <v>121</v>
      </c>
      <c r="K59" s="17">
        <f t="shared" si="6"/>
        <v>0.484</v>
      </c>
      <c r="L59" s="17">
        <f t="shared" si="7"/>
        <v>-0.029</v>
      </c>
      <c r="M59" s="16">
        <f>IFERROR(__xludf.DUMMYFUNCTION("VLOOKUP(A59,IMPORTRANGE(""1QZ5UxyNCwadreQAXnQ7oCoH982DjIA-QnZdO7ZoqkC0/edit#gid=0"",""2017-2021!$A$2:$O$250""),7,FALSE)"),118.0)</f>
        <v>118</v>
      </c>
      <c r="N59" s="17">
        <f t="shared" si="8"/>
        <v>0.472</v>
      </c>
      <c r="O59" s="17">
        <f t="shared" si="9"/>
        <v>-0.017</v>
      </c>
      <c r="P59" s="16">
        <f>IFERROR(__xludf.DUMMYFUNCTION("VLOOKUP(A59,IMPORTRANGE(""1QZ5UxyNCwadreQAXnQ7oCoH982DjIA-QnZdO7ZoqkC0/edit#gid=0"",""2017-2021!$A$2:$O$250""),10,FALSE)"),73.0)</f>
        <v>73</v>
      </c>
      <c r="Q59" s="17">
        <f t="shared" si="10"/>
        <v>0.292</v>
      </c>
      <c r="R59" s="17">
        <f t="shared" si="11"/>
        <v>0.163</v>
      </c>
      <c r="S59" s="16">
        <f>IFERROR(__xludf.DUMMYFUNCTION("VLOOKUP(A59,IMPORTRANGE(""1QZ5UxyNCwadreQAXnQ7oCoH982DjIA-QnZdO7ZoqkC0/edit#gid=0"",""2017-2021!$A$2:$O$250""),13,FALSE)"),44.0)</f>
        <v>44</v>
      </c>
      <c r="T59" s="17">
        <f t="shared" si="12"/>
        <v>0.176</v>
      </c>
      <c r="U59" s="17">
        <f t="shared" si="13"/>
        <v>0.279</v>
      </c>
    </row>
    <row r="60">
      <c r="A60" s="19" t="s">
        <v>78</v>
      </c>
      <c r="B60" s="12">
        <f>IFERROR(__xludf.DUMMYFUNCTION("VLOOKUP(A60,IMPORTRANGE(""1EmrnCz2gLVTx5Cbj0e5tfuHPhTtmru8KTGuQvh7STl0/edit#gid=2147150001"",""Whole Data Set!$A$2:$NQ$253""),381,FALSE)"),105.0)</f>
        <v>105</v>
      </c>
      <c r="C60" s="13">
        <f t="shared" si="1"/>
        <v>0.42</v>
      </c>
      <c r="D60" s="12">
        <f>IFERROR(__xludf.DUMMYFUNCTION("VLOOKUP(A60,IMPORTRANGE(""1aFCnJY1qhIj8-JckJhDJ18aqmVo17tofpQmOjcYa3u8/edit#gid=948248086"",""Whole Data Set!$A$2:$NG$253""),371,FALSE)"),100.25)</f>
        <v>100.25</v>
      </c>
      <c r="E60" s="13">
        <f t="shared" si="2"/>
        <v>0.401</v>
      </c>
      <c r="F60" s="13">
        <f t="shared" si="3"/>
        <v>0.019</v>
      </c>
      <c r="G60" s="12">
        <f>IFERROR(__xludf.DUMMYFUNCTION("VLOOKUP(A60,IMPORTRANGE(""1QZ5UxyNCwadreQAXnQ7oCoH982DjIA-QnZdO7ZoqkC0/edit#gid=0"",""2017-2021!$A$2:$O$250""),2,FALSE)"),85.5)</f>
        <v>85.5</v>
      </c>
      <c r="H60" s="14">
        <f t="shared" si="4"/>
        <v>0.342</v>
      </c>
      <c r="I60" s="15">
        <f t="shared" si="5"/>
        <v>0.078</v>
      </c>
      <c r="J60" s="16">
        <f>IFERROR(__xludf.DUMMYFUNCTION("VLOOKUP(A60,IMPORTRANGE(""1QZ5UxyNCwadreQAXnQ7oCoH982DjIA-QnZdO7ZoqkC0/edit#gid=0"",""2017-2021!$A$2:$O$250""),4,FALSE)"),106.5)</f>
        <v>106.5</v>
      </c>
      <c r="K60" s="17">
        <f t="shared" si="6"/>
        <v>0.426</v>
      </c>
      <c r="L60" s="17">
        <f t="shared" si="7"/>
        <v>-0.006</v>
      </c>
      <c r="M60" s="16">
        <f>IFERROR(__xludf.DUMMYFUNCTION("VLOOKUP(A60,IMPORTRANGE(""1QZ5UxyNCwadreQAXnQ7oCoH982DjIA-QnZdO7ZoqkC0/edit#gid=0"",""2017-2021!$A$2:$O$250""),7,FALSE)"),75.5)</f>
        <v>75.5</v>
      </c>
      <c r="N60" s="17">
        <f t="shared" si="8"/>
        <v>0.302</v>
      </c>
      <c r="O60" s="17">
        <f t="shared" si="9"/>
        <v>0.118</v>
      </c>
      <c r="P60" s="16">
        <f>IFERROR(__xludf.DUMMYFUNCTION("VLOOKUP(A60,IMPORTRANGE(""1QZ5UxyNCwadreQAXnQ7oCoH982DjIA-QnZdO7ZoqkC0/edit#gid=0"",""2017-2021!$A$2:$O$250""),10,FALSE)"),73.5)</f>
        <v>73.5</v>
      </c>
      <c r="Q60" s="17">
        <f t="shared" si="10"/>
        <v>0.294</v>
      </c>
      <c r="R60" s="17">
        <f t="shared" si="11"/>
        <v>0.126</v>
      </c>
      <c r="S60" s="16">
        <f>IFERROR(__xludf.DUMMYFUNCTION("VLOOKUP(A60,IMPORTRANGE(""1QZ5UxyNCwadreQAXnQ7oCoH982DjIA-QnZdO7ZoqkC0/edit#gid=0"",""2017-2021!$A$2:$O$250""),13,FALSE)"),52.5)</f>
        <v>52.5</v>
      </c>
      <c r="T60" s="17">
        <f t="shared" si="12"/>
        <v>0.21</v>
      </c>
      <c r="U60" s="17">
        <f t="shared" si="13"/>
        <v>0.21</v>
      </c>
    </row>
    <row r="61">
      <c r="A61" s="19" t="s">
        <v>79</v>
      </c>
      <c r="B61" s="12">
        <f>IFERROR(__xludf.DUMMYFUNCTION("VLOOKUP(A61,IMPORTRANGE(""1EmrnCz2gLVTx5Cbj0e5tfuHPhTtmru8KTGuQvh7STl0/edit#gid=2147150001"",""Whole Data Set!$A$2:$NQ$253""),381,FALSE)"),90.5)</f>
        <v>90.5</v>
      </c>
      <c r="C61" s="13">
        <f t="shared" si="1"/>
        <v>0.362</v>
      </c>
      <c r="D61" s="12">
        <f>IFERROR(__xludf.DUMMYFUNCTION("VLOOKUP(A61,IMPORTRANGE(""1aFCnJY1qhIj8-JckJhDJ18aqmVo17tofpQmOjcYa3u8/edit#gid=948248086"",""Whole Data Set!$A$2:$NG$253""),371,FALSE)"),92.75)</f>
        <v>92.75</v>
      </c>
      <c r="E61" s="13">
        <f t="shared" si="2"/>
        <v>0.371</v>
      </c>
      <c r="F61" s="13">
        <f t="shared" si="3"/>
        <v>-0.009</v>
      </c>
      <c r="G61" s="12">
        <f>IFERROR(__xludf.DUMMYFUNCTION("VLOOKUP(A61,IMPORTRANGE(""1QZ5UxyNCwadreQAXnQ7oCoH982DjIA-QnZdO7ZoqkC0/edit#gid=0"",""2017-2021!$A$2:$O$250""),2,FALSE)"),99.25)</f>
        <v>99.25</v>
      </c>
      <c r="H61" s="14">
        <f t="shared" si="4"/>
        <v>0.397</v>
      </c>
      <c r="I61" s="15">
        <f t="shared" si="5"/>
        <v>-0.035</v>
      </c>
      <c r="J61" s="16">
        <f>IFERROR(__xludf.DUMMYFUNCTION("VLOOKUP(A61,IMPORTRANGE(""1QZ5UxyNCwadreQAXnQ7oCoH982DjIA-QnZdO7ZoqkC0/edit#gid=0"",""2017-2021!$A$2:$O$250""),4,FALSE)"),90.5)</f>
        <v>90.5</v>
      </c>
      <c r="K61" s="17">
        <f t="shared" si="6"/>
        <v>0.362</v>
      </c>
      <c r="L61" s="17">
        <f t="shared" si="7"/>
        <v>0</v>
      </c>
      <c r="M61" s="16">
        <f>IFERROR(__xludf.DUMMYFUNCTION("VLOOKUP(A61,IMPORTRANGE(""1QZ5UxyNCwadreQAXnQ7oCoH982DjIA-QnZdO7ZoqkC0/edit#gid=0"",""2017-2021!$A$2:$O$250""),7,FALSE)"),82.5)</f>
        <v>82.5</v>
      </c>
      <c r="N61" s="17">
        <f t="shared" si="8"/>
        <v>0.33</v>
      </c>
      <c r="O61" s="17">
        <f t="shared" si="9"/>
        <v>0.032</v>
      </c>
      <c r="P61" s="16">
        <f>IFERROR(__xludf.DUMMYFUNCTION("VLOOKUP(A61,IMPORTRANGE(""1QZ5UxyNCwadreQAXnQ7oCoH982DjIA-QnZdO7ZoqkC0/edit#gid=0"",""2017-2021!$A$2:$O$250""),10,FALSE)"),81.5)</f>
        <v>81.5</v>
      </c>
      <c r="Q61" s="17">
        <f t="shared" si="10"/>
        <v>0.326</v>
      </c>
      <c r="R61" s="17">
        <f t="shared" si="11"/>
        <v>0.036</v>
      </c>
      <c r="S61" s="16">
        <f>IFERROR(__xludf.DUMMYFUNCTION("VLOOKUP(A61,IMPORTRANGE(""1QZ5UxyNCwadreQAXnQ7oCoH982DjIA-QnZdO7ZoqkC0/edit#gid=0"",""2017-2021!$A$2:$O$250""),13,FALSE)"),51.0)</f>
        <v>51</v>
      </c>
      <c r="T61" s="17">
        <f t="shared" si="12"/>
        <v>0.204</v>
      </c>
      <c r="U61" s="17">
        <f t="shared" si="13"/>
        <v>0.158</v>
      </c>
    </row>
    <row r="62">
      <c r="A62" s="19" t="s">
        <v>80</v>
      </c>
      <c r="B62" s="12">
        <f>IFERROR(__xludf.DUMMYFUNCTION("VLOOKUP(A62,IMPORTRANGE(""1EmrnCz2gLVTx5Cbj0e5tfuHPhTtmru8KTGuQvh7STl0/edit#gid=2147150001"",""Whole Data Set!$A$2:$NQ$253""),381,FALSE)"),124.75)</f>
        <v>124.75</v>
      </c>
      <c r="C62" s="13">
        <f t="shared" si="1"/>
        <v>0.499</v>
      </c>
      <c r="D62" s="12">
        <f>IFERROR(__xludf.DUMMYFUNCTION("VLOOKUP(A62,IMPORTRANGE(""1aFCnJY1qhIj8-JckJhDJ18aqmVo17tofpQmOjcYa3u8/edit#gid=948248086"",""Whole Data Set!$A$2:$NG$253""),371,FALSE)"),133.5)</f>
        <v>133.5</v>
      </c>
      <c r="E62" s="13">
        <f t="shared" si="2"/>
        <v>0.534</v>
      </c>
      <c r="F62" s="13">
        <f t="shared" si="3"/>
        <v>-0.035</v>
      </c>
      <c r="G62" s="12">
        <f>IFERROR(__xludf.DUMMYFUNCTION("VLOOKUP(A62,IMPORTRANGE(""1QZ5UxyNCwadreQAXnQ7oCoH982DjIA-QnZdO7ZoqkC0/edit#gid=0"",""2017-2021!$A$2:$O$250""),2,FALSE)"),138.5)</f>
        <v>138.5</v>
      </c>
      <c r="H62" s="14">
        <f t="shared" si="4"/>
        <v>0.554</v>
      </c>
      <c r="I62" s="15">
        <f t="shared" si="5"/>
        <v>-0.055</v>
      </c>
      <c r="J62" s="16">
        <f>IFERROR(__xludf.DUMMYFUNCTION("VLOOKUP(A62,IMPORTRANGE(""1QZ5UxyNCwadreQAXnQ7oCoH982DjIA-QnZdO7ZoqkC0/edit#gid=0"",""2017-2021!$A$2:$O$250""),4,FALSE)"),138.0)</f>
        <v>138</v>
      </c>
      <c r="K62" s="17">
        <f t="shared" si="6"/>
        <v>0.552</v>
      </c>
      <c r="L62" s="17">
        <f t="shared" si="7"/>
        <v>-0.053</v>
      </c>
      <c r="M62" s="16">
        <f>IFERROR(__xludf.DUMMYFUNCTION("VLOOKUP(A62,IMPORTRANGE(""1QZ5UxyNCwadreQAXnQ7oCoH982DjIA-QnZdO7ZoqkC0/edit#gid=0"",""2017-2021!$A$2:$O$250""),7,FALSE)"),143.0)</f>
        <v>143</v>
      </c>
      <c r="N62" s="17">
        <f t="shared" si="8"/>
        <v>0.572</v>
      </c>
      <c r="O62" s="17">
        <f t="shared" si="9"/>
        <v>-0.073</v>
      </c>
      <c r="P62" s="16">
        <f>IFERROR(__xludf.DUMMYFUNCTION("VLOOKUP(A62,IMPORTRANGE(""1QZ5UxyNCwadreQAXnQ7oCoH982DjIA-QnZdO7ZoqkC0/edit#gid=0"",""2017-2021!$A$2:$O$250""),10,FALSE)"),91.0)</f>
        <v>91</v>
      </c>
      <c r="Q62" s="17">
        <f t="shared" si="10"/>
        <v>0.364</v>
      </c>
      <c r="R62" s="17">
        <f t="shared" si="11"/>
        <v>0.135</v>
      </c>
      <c r="S62" s="16">
        <f>IFERROR(__xludf.DUMMYFUNCTION("VLOOKUP(A62,IMPORTRANGE(""1QZ5UxyNCwadreQAXnQ7oCoH982DjIA-QnZdO7ZoqkC0/edit#gid=0"",""2017-2021!$A$2:$O$250""),13,FALSE)"),90.0)</f>
        <v>90</v>
      </c>
      <c r="T62" s="17">
        <f t="shared" si="12"/>
        <v>0.36</v>
      </c>
      <c r="U62" s="17">
        <f t="shared" si="13"/>
        <v>0.139</v>
      </c>
    </row>
    <row r="63">
      <c r="A63" s="19" t="s">
        <v>81</v>
      </c>
      <c r="B63" s="12">
        <f>IFERROR(__xludf.DUMMYFUNCTION("VLOOKUP(A63,IMPORTRANGE(""1EmrnCz2gLVTx5Cbj0e5tfuHPhTtmru8KTGuQvh7STl0/edit#gid=2147150001"",""Whole Data Set!$A$2:$NQ$253""),381,FALSE)"),93.0)</f>
        <v>93</v>
      </c>
      <c r="C63" s="13">
        <f t="shared" si="1"/>
        <v>0.372</v>
      </c>
      <c r="D63" s="12">
        <f>IFERROR(__xludf.DUMMYFUNCTION("VLOOKUP(A63,IMPORTRANGE(""1aFCnJY1qhIj8-JckJhDJ18aqmVo17tofpQmOjcYa3u8/edit#gid=948248086"",""Whole Data Set!$A$2:$NG$253""),371,FALSE)"),90.0)</f>
        <v>90</v>
      </c>
      <c r="E63" s="13">
        <f t="shared" si="2"/>
        <v>0.36</v>
      </c>
      <c r="F63" s="13">
        <f t="shared" si="3"/>
        <v>0.012</v>
      </c>
      <c r="G63" s="12">
        <f>IFERROR(__xludf.DUMMYFUNCTION("VLOOKUP(A63,IMPORTRANGE(""1QZ5UxyNCwadreQAXnQ7oCoH982DjIA-QnZdO7ZoqkC0/edit#gid=0"",""2017-2021!$A$2:$O$250""),2,FALSE)"),105.25)</f>
        <v>105.25</v>
      </c>
      <c r="H63" s="14">
        <f t="shared" si="4"/>
        <v>0.421</v>
      </c>
      <c r="I63" s="15">
        <f t="shared" si="5"/>
        <v>-0.049</v>
      </c>
      <c r="J63" s="16">
        <f>IFERROR(__xludf.DUMMYFUNCTION("VLOOKUP(A63,IMPORTRANGE(""1QZ5UxyNCwadreQAXnQ7oCoH982DjIA-QnZdO7ZoqkC0/edit#gid=0"",""2017-2021!$A$2:$O$250""),4,FALSE)"),93.5)</f>
        <v>93.5</v>
      </c>
      <c r="K63" s="17">
        <f t="shared" si="6"/>
        <v>0.374</v>
      </c>
      <c r="L63" s="17">
        <f t="shared" si="7"/>
        <v>-0.002</v>
      </c>
      <c r="M63" s="16">
        <f>IFERROR(__xludf.DUMMYFUNCTION("VLOOKUP(A63,IMPORTRANGE(""1QZ5UxyNCwadreQAXnQ7oCoH982DjIA-QnZdO7ZoqkC0/edit#gid=0"",""2017-2021!$A$2:$O$250""),7,FALSE)"),90.5)</f>
        <v>90.5</v>
      </c>
      <c r="N63" s="17">
        <f t="shared" si="8"/>
        <v>0.362</v>
      </c>
      <c r="O63" s="17">
        <f t="shared" si="9"/>
        <v>0.01</v>
      </c>
      <c r="P63" s="16">
        <f>IFERROR(__xludf.DUMMYFUNCTION("VLOOKUP(A63,IMPORTRANGE(""1QZ5UxyNCwadreQAXnQ7oCoH982DjIA-QnZdO7ZoqkC0/edit#gid=0"",""2017-2021!$A$2:$O$250""),10,FALSE)"),86.5)</f>
        <v>86.5</v>
      </c>
      <c r="Q63" s="17">
        <f t="shared" si="10"/>
        <v>0.346</v>
      </c>
      <c r="R63" s="17">
        <f t="shared" si="11"/>
        <v>0.026</v>
      </c>
      <c r="S63" s="16">
        <f>IFERROR(__xludf.DUMMYFUNCTION("VLOOKUP(A63,IMPORTRANGE(""1QZ5UxyNCwadreQAXnQ7oCoH982DjIA-QnZdO7ZoqkC0/edit#gid=0"",""2017-2021!$A$2:$O$250""),13,FALSE)"),79.0)</f>
        <v>79</v>
      </c>
      <c r="T63" s="17">
        <f t="shared" si="12"/>
        <v>0.316</v>
      </c>
      <c r="U63" s="17">
        <f t="shared" si="13"/>
        <v>0.056</v>
      </c>
    </row>
    <row r="64">
      <c r="A64" s="19" t="s">
        <v>82</v>
      </c>
      <c r="B64" s="12">
        <f>IFERROR(__xludf.DUMMYFUNCTION("VLOOKUP(A64,IMPORTRANGE(""1EmrnCz2gLVTx5Cbj0e5tfuHPhTtmru8KTGuQvh7STl0/edit#gid=2147150001"",""Whole Data Set!$A$2:$NQ$253""),381,FALSE)"),65.25)</f>
        <v>65.25</v>
      </c>
      <c r="C64" s="13">
        <f t="shared" si="1"/>
        <v>0.261</v>
      </c>
      <c r="D64" s="12">
        <f>IFERROR(__xludf.DUMMYFUNCTION("VLOOKUP(A64,IMPORTRANGE(""1aFCnJY1qhIj8-JckJhDJ18aqmVo17tofpQmOjcYa3u8/edit#gid=948248086"",""Whole Data Set!$A$2:$NG$253""),371,FALSE)"),42.75)</f>
        <v>42.75</v>
      </c>
      <c r="E64" s="13">
        <f t="shared" si="2"/>
        <v>0.171</v>
      </c>
      <c r="F64" s="13">
        <f t="shared" si="3"/>
        <v>0.09</v>
      </c>
      <c r="G64" s="12">
        <f>IFERROR(__xludf.DUMMYFUNCTION("VLOOKUP(A64,IMPORTRANGE(""1QZ5UxyNCwadreQAXnQ7oCoH982DjIA-QnZdO7ZoqkC0/edit#gid=0"",""2017-2021!$A$2:$O$250""),2,FALSE)"),70.25)</f>
        <v>70.25</v>
      </c>
      <c r="H64" s="14">
        <f t="shared" si="4"/>
        <v>0.281</v>
      </c>
      <c r="I64" s="15">
        <f t="shared" si="5"/>
        <v>-0.02</v>
      </c>
      <c r="J64" s="16">
        <f>IFERROR(__xludf.DUMMYFUNCTION("VLOOKUP(A64,IMPORTRANGE(""1QZ5UxyNCwadreQAXnQ7oCoH982DjIA-QnZdO7ZoqkC0/edit#gid=0"",""2017-2021!$A$2:$O$250""),4,FALSE)"),55.5)</f>
        <v>55.5</v>
      </c>
      <c r="K64" s="17">
        <f t="shared" si="6"/>
        <v>0.222</v>
      </c>
      <c r="L64" s="17">
        <f t="shared" si="7"/>
        <v>0.039</v>
      </c>
      <c r="M64" s="16">
        <f>IFERROR(__xludf.DUMMYFUNCTION("VLOOKUP(A64,IMPORTRANGE(""1QZ5UxyNCwadreQAXnQ7oCoH982DjIA-QnZdO7ZoqkC0/edit#gid=0"",""2017-2021!$A$2:$O$250""),7,FALSE)"),44.0)</f>
        <v>44</v>
      </c>
      <c r="N64" s="17">
        <f t="shared" si="8"/>
        <v>0.176</v>
      </c>
      <c r="O64" s="17">
        <f t="shared" si="9"/>
        <v>0.085</v>
      </c>
      <c r="P64" s="16">
        <f>IFERROR(__xludf.DUMMYFUNCTION("VLOOKUP(A64,IMPORTRANGE(""1QZ5UxyNCwadreQAXnQ7oCoH982DjIA-QnZdO7ZoqkC0/edit#gid=0"",""2017-2021!$A$2:$O$250""),10,FALSE)"),43.5)</f>
        <v>43.5</v>
      </c>
      <c r="Q64" s="17">
        <f t="shared" si="10"/>
        <v>0.174</v>
      </c>
      <c r="R64" s="17">
        <f t="shared" si="11"/>
        <v>0.087</v>
      </c>
      <c r="S64" s="16">
        <f>IFERROR(__xludf.DUMMYFUNCTION("VLOOKUP(A64,IMPORTRANGE(""1QZ5UxyNCwadreQAXnQ7oCoH982DjIA-QnZdO7ZoqkC0/edit#gid=0"",""2017-2021!$A$2:$O$250""),13,FALSE)"),37.5)</f>
        <v>37.5</v>
      </c>
      <c r="T64" s="17">
        <f t="shared" si="12"/>
        <v>0.15</v>
      </c>
      <c r="U64" s="17">
        <f t="shared" si="13"/>
        <v>0.111</v>
      </c>
    </row>
    <row r="65">
      <c r="A65" s="19" t="s">
        <v>83</v>
      </c>
      <c r="B65" s="12">
        <f>IFERROR(__xludf.DUMMYFUNCTION("VLOOKUP(A65,IMPORTRANGE(""1EmrnCz2gLVTx5Cbj0e5tfuHPhTtmru8KTGuQvh7STl0/edit#gid=2147150001"",""Whole Data Set!$A$2:$NQ$253""),381,FALSE)"),85.5)</f>
        <v>85.5</v>
      </c>
      <c r="C65" s="13">
        <f t="shared" si="1"/>
        <v>0.342</v>
      </c>
      <c r="D65" s="12">
        <f>IFERROR(__xludf.DUMMYFUNCTION("VLOOKUP(A65,IMPORTRANGE(""1aFCnJY1qhIj8-JckJhDJ18aqmVo17tofpQmOjcYa3u8/edit#gid=948248086"",""Whole Data Set!$A$2:$NG$253""),371,FALSE)"),44.25)</f>
        <v>44.25</v>
      </c>
      <c r="E65" s="13">
        <f t="shared" si="2"/>
        <v>0.177</v>
      </c>
      <c r="F65" s="13">
        <f t="shared" si="3"/>
        <v>0.165</v>
      </c>
      <c r="G65" s="12">
        <f>IFERROR(__xludf.DUMMYFUNCTION("VLOOKUP(A65,IMPORTRANGE(""1QZ5UxyNCwadreQAXnQ7oCoH982DjIA-QnZdO7ZoqkC0/edit#gid=0"",""2017-2021!$A$2:$O$250""),2,FALSE)"),46.0)</f>
        <v>46</v>
      </c>
      <c r="H65" s="14">
        <f t="shared" si="4"/>
        <v>0.184</v>
      </c>
      <c r="I65" s="15">
        <f t="shared" si="5"/>
        <v>0.158</v>
      </c>
      <c r="J65" s="16">
        <f>IFERROR(__xludf.DUMMYFUNCTION("VLOOKUP(A65,IMPORTRANGE(""1QZ5UxyNCwadreQAXnQ7oCoH982DjIA-QnZdO7ZoqkC0/edit#gid=0"",""2017-2021!$A$2:$O$250""),4,FALSE)"),45.5)</f>
        <v>45.5</v>
      </c>
      <c r="K65" s="17">
        <f t="shared" si="6"/>
        <v>0.182</v>
      </c>
      <c r="L65" s="17">
        <f t="shared" si="7"/>
        <v>0.16</v>
      </c>
      <c r="M65" s="16">
        <f>IFERROR(__xludf.DUMMYFUNCTION("VLOOKUP(A65,IMPORTRANGE(""1QZ5UxyNCwadreQAXnQ7oCoH982DjIA-QnZdO7ZoqkC0/edit#gid=0"",""2017-2021!$A$2:$O$250""),7,FALSE)"),49.0)</f>
        <v>49</v>
      </c>
      <c r="N65" s="17">
        <f t="shared" si="8"/>
        <v>0.196</v>
      </c>
      <c r="O65" s="17">
        <f t="shared" si="9"/>
        <v>0.146</v>
      </c>
      <c r="P65" s="16">
        <f>IFERROR(__xludf.DUMMYFUNCTION("VLOOKUP(A65,IMPORTRANGE(""1QZ5UxyNCwadreQAXnQ7oCoH982DjIA-QnZdO7ZoqkC0/edit#gid=0"",""2017-2021!$A$2:$O$250""),10,FALSE)"),37.0)</f>
        <v>37</v>
      </c>
      <c r="Q65" s="17">
        <f t="shared" si="10"/>
        <v>0.148</v>
      </c>
      <c r="R65" s="17">
        <f t="shared" si="11"/>
        <v>0.194</v>
      </c>
      <c r="S65" s="16">
        <f>IFERROR(__xludf.DUMMYFUNCTION("VLOOKUP(A65,IMPORTRANGE(""1QZ5UxyNCwadreQAXnQ7oCoH982DjIA-QnZdO7ZoqkC0/edit#gid=0"",""2017-2021!$A$2:$O$250""),13,FALSE)"),19.0)</f>
        <v>19</v>
      </c>
      <c r="T65" s="17">
        <f t="shared" si="12"/>
        <v>0.076</v>
      </c>
      <c r="U65" s="17">
        <f t="shared" si="13"/>
        <v>0.266</v>
      </c>
    </row>
    <row r="66">
      <c r="A66" s="19" t="s">
        <v>84</v>
      </c>
      <c r="B66" s="12">
        <f>IFERROR(__xludf.DUMMYFUNCTION("VLOOKUP(A66,IMPORTRANGE(""1EmrnCz2gLVTx5Cbj0e5tfuHPhTtmru8KTGuQvh7STl0/edit#gid=2147150001"",""Whole Data Set!$A$2:$NQ$253""),381,FALSE)"),99.25)</f>
        <v>99.25</v>
      </c>
      <c r="C66" s="13">
        <f t="shared" si="1"/>
        <v>0.397</v>
      </c>
      <c r="D66" s="12">
        <f>IFERROR(__xludf.DUMMYFUNCTION("VLOOKUP(A66,IMPORTRANGE(""1aFCnJY1qhIj8-JckJhDJ18aqmVo17tofpQmOjcYa3u8/edit#gid=948248086"",""Whole Data Set!$A$2:$NG$253""),371,FALSE)"),88.0)</f>
        <v>88</v>
      </c>
      <c r="E66" s="13">
        <f t="shared" si="2"/>
        <v>0.352</v>
      </c>
      <c r="F66" s="13">
        <f t="shared" si="3"/>
        <v>0.045</v>
      </c>
      <c r="G66" s="12">
        <f>IFERROR(__xludf.DUMMYFUNCTION("VLOOKUP(A66,IMPORTRANGE(""1QZ5UxyNCwadreQAXnQ7oCoH982DjIA-QnZdO7ZoqkC0/edit#gid=0"",""2017-2021!$A$2:$O$250""),2,FALSE)"),95.0)</f>
        <v>95</v>
      </c>
      <c r="H66" s="14">
        <f t="shared" si="4"/>
        <v>0.38</v>
      </c>
      <c r="I66" s="15">
        <f t="shared" si="5"/>
        <v>0.017</v>
      </c>
      <c r="J66" s="16">
        <f>IFERROR(__xludf.DUMMYFUNCTION("VLOOKUP(A66,IMPORTRANGE(""1QZ5UxyNCwadreQAXnQ7oCoH982DjIA-QnZdO7ZoqkC0/edit#gid=0"",""2017-2021!$A$2:$O$250""),4,FALSE)"),96.0)</f>
        <v>96</v>
      </c>
      <c r="K66" s="17">
        <f t="shared" si="6"/>
        <v>0.384</v>
      </c>
      <c r="L66" s="17">
        <f t="shared" si="7"/>
        <v>0.013</v>
      </c>
      <c r="M66" s="16">
        <f>IFERROR(__xludf.DUMMYFUNCTION("VLOOKUP(A66,IMPORTRANGE(""1QZ5UxyNCwadreQAXnQ7oCoH982DjIA-QnZdO7ZoqkC0/edit#gid=0"",""2017-2021!$A$2:$O$250""),7,FALSE)"),88.5)</f>
        <v>88.5</v>
      </c>
      <c r="N66" s="17">
        <f t="shared" si="8"/>
        <v>0.354</v>
      </c>
      <c r="O66" s="17">
        <f t="shared" si="9"/>
        <v>0.043</v>
      </c>
      <c r="P66" s="16">
        <f>IFERROR(__xludf.DUMMYFUNCTION("VLOOKUP(A66,IMPORTRANGE(""1QZ5UxyNCwadreQAXnQ7oCoH982DjIA-QnZdO7ZoqkC0/edit#gid=0"",""2017-2021!$A$2:$O$250""),10,FALSE)"),90.5)</f>
        <v>90.5</v>
      </c>
      <c r="Q66" s="17">
        <f t="shared" si="10"/>
        <v>0.362</v>
      </c>
      <c r="R66" s="17">
        <f t="shared" si="11"/>
        <v>0.035</v>
      </c>
      <c r="S66" s="16">
        <f>IFERROR(__xludf.DUMMYFUNCTION("VLOOKUP(A66,IMPORTRANGE(""1QZ5UxyNCwadreQAXnQ7oCoH982DjIA-QnZdO7ZoqkC0/edit#gid=0"",""2017-2021!$A$2:$O$250""),13,FALSE)"),59.5)</f>
        <v>59.5</v>
      </c>
      <c r="T66" s="17">
        <f t="shared" si="12"/>
        <v>0.238</v>
      </c>
      <c r="U66" s="17">
        <f t="shared" si="13"/>
        <v>0.159</v>
      </c>
    </row>
    <row r="67">
      <c r="A67" s="19" t="s">
        <v>85</v>
      </c>
      <c r="B67" s="12">
        <f>IFERROR(__xludf.DUMMYFUNCTION("VLOOKUP(A67,IMPORTRANGE(""1EmrnCz2gLVTx5Cbj0e5tfuHPhTtmru8KTGuQvh7STl0/edit#gid=2147150001"",""Whole Data Set!$A$2:$NQ$253""),381,FALSE)"),124.5)</f>
        <v>124.5</v>
      </c>
      <c r="C67" s="13">
        <f t="shared" si="1"/>
        <v>0.498</v>
      </c>
      <c r="D67" s="12">
        <f>IFERROR(__xludf.DUMMYFUNCTION("VLOOKUP(A67,IMPORTRANGE(""1aFCnJY1qhIj8-JckJhDJ18aqmVo17tofpQmOjcYa3u8/edit#gid=948248086"",""Whole Data Set!$A$2:$NG$253""),371,FALSE)"),107.75)</f>
        <v>107.75</v>
      </c>
      <c r="E67" s="13">
        <f t="shared" si="2"/>
        <v>0.431</v>
      </c>
      <c r="F67" s="13">
        <f t="shared" si="3"/>
        <v>0.067</v>
      </c>
      <c r="G67" s="12">
        <f>IFERROR(__xludf.DUMMYFUNCTION("VLOOKUP(A67,IMPORTRANGE(""1QZ5UxyNCwadreQAXnQ7oCoH982DjIA-QnZdO7ZoqkC0/edit#gid=0"",""2017-2021!$A$2:$O$250""),2,FALSE)"),90.5)</f>
        <v>90.5</v>
      </c>
      <c r="H67" s="14">
        <f t="shared" si="4"/>
        <v>0.362</v>
      </c>
      <c r="I67" s="15">
        <f t="shared" si="5"/>
        <v>0.136</v>
      </c>
      <c r="J67" s="16">
        <f>IFERROR(__xludf.DUMMYFUNCTION("VLOOKUP(A67,IMPORTRANGE(""1QZ5UxyNCwadreQAXnQ7oCoH982DjIA-QnZdO7ZoqkC0/edit#gid=0"",""2017-2021!$A$2:$O$250""),4,FALSE)"),110.5)</f>
        <v>110.5</v>
      </c>
      <c r="K67" s="17">
        <f t="shared" si="6"/>
        <v>0.442</v>
      </c>
      <c r="L67" s="17">
        <f t="shared" si="7"/>
        <v>0.056</v>
      </c>
      <c r="M67" s="16">
        <f>IFERROR(__xludf.DUMMYFUNCTION("VLOOKUP(A67,IMPORTRANGE(""1QZ5UxyNCwadreQAXnQ7oCoH982DjIA-QnZdO7ZoqkC0/edit#gid=0"",""2017-2021!$A$2:$O$250""),7,FALSE)"),114.0)</f>
        <v>114</v>
      </c>
      <c r="N67" s="17">
        <f t="shared" si="8"/>
        <v>0.456</v>
      </c>
      <c r="O67" s="17">
        <f t="shared" si="9"/>
        <v>0.042</v>
      </c>
      <c r="P67" s="16">
        <f>IFERROR(__xludf.DUMMYFUNCTION("VLOOKUP(A67,IMPORTRANGE(""1QZ5UxyNCwadreQAXnQ7oCoH982DjIA-QnZdO7ZoqkC0/edit#gid=0"",""2017-2021!$A$2:$O$250""),10,FALSE)"),105.0)</f>
        <v>105</v>
      </c>
      <c r="Q67" s="17">
        <f t="shared" si="10"/>
        <v>0.42</v>
      </c>
      <c r="R67" s="17">
        <f t="shared" si="11"/>
        <v>0.078</v>
      </c>
      <c r="S67" s="16">
        <f>IFERROR(__xludf.DUMMYFUNCTION("VLOOKUP(A67,IMPORTRANGE(""1QZ5UxyNCwadreQAXnQ7oCoH982DjIA-QnZdO7ZoqkC0/edit#gid=0"",""2017-2021!$A$2:$O$250""),13,FALSE)"),91.0)</f>
        <v>91</v>
      </c>
      <c r="T67" s="17">
        <f t="shared" si="12"/>
        <v>0.364</v>
      </c>
      <c r="U67" s="17">
        <f t="shared" si="13"/>
        <v>0.134</v>
      </c>
    </row>
    <row r="68">
      <c r="A68" s="19" t="s">
        <v>86</v>
      </c>
      <c r="B68" s="12">
        <f>IFERROR(__xludf.DUMMYFUNCTION("VLOOKUP(A68,IMPORTRANGE(""1EmrnCz2gLVTx5Cbj0e5tfuHPhTtmru8KTGuQvh7STl0/edit#gid=2147150001"",""Whole Data Set!$A$2:$NQ$253""),381,FALSE)"),166.0)</f>
        <v>166</v>
      </c>
      <c r="C68" s="13">
        <f t="shared" si="1"/>
        <v>0.664</v>
      </c>
      <c r="D68" s="12">
        <f>IFERROR(__xludf.DUMMYFUNCTION("VLOOKUP(A68,IMPORTRANGE(""1aFCnJY1qhIj8-JckJhDJ18aqmVo17tofpQmOjcYa3u8/edit#gid=948248086"",""Whole Data Set!$A$2:$NG$253""),371,FALSE)"),146.0)</f>
        <v>146</v>
      </c>
      <c r="E68" s="13">
        <f t="shared" si="2"/>
        <v>0.584</v>
      </c>
      <c r="F68" s="13">
        <f t="shared" si="3"/>
        <v>0.08</v>
      </c>
      <c r="G68" s="12">
        <f>IFERROR(__xludf.DUMMYFUNCTION("VLOOKUP(A68,IMPORTRANGE(""1QZ5UxyNCwadreQAXnQ7oCoH982DjIA-QnZdO7ZoqkC0/edit#gid=0"",""2017-2021!$A$2:$O$250""),2,FALSE)"),127.0)</f>
        <v>127</v>
      </c>
      <c r="H68" s="14">
        <f t="shared" si="4"/>
        <v>0.508</v>
      </c>
      <c r="I68" s="15">
        <f t="shared" si="5"/>
        <v>0.156</v>
      </c>
      <c r="J68" s="16">
        <f>IFERROR(__xludf.DUMMYFUNCTION("VLOOKUP(A68,IMPORTRANGE(""1QZ5UxyNCwadreQAXnQ7oCoH982DjIA-QnZdO7ZoqkC0/edit#gid=0"",""2017-2021!$A$2:$O$250""),4,FALSE)"),141.5)</f>
        <v>141.5</v>
      </c>
      <c r="K68" s="17">
        <f t="shared" si="6"/>
        <v>0.566</v>
      </c>
      <c r="L68" s="17">
        <f t="shared" si="7"/>
        <v>0.098</v>
      </c>
      <c r="M68" s="16">
        <f>IFERROR(__xludf.DUMMYFUNCTION("VLOOKUP(A68,IMPORTRANGE(""1QZ5UxyNCwadreQAXnQ7oCoH982DjIA-QnZdO7ZoqkC0/edit#gid=0"",""2017-2021!$A$2:$O$250""),7,FALSE)"),145.5)</f>
        <v>145.5</v>
      </c>
      <c r="N68" s="17">
        <f t="shared" si="8"/>
        <v>0.582</v>
      </c>
      <c r="O68" s="17">
        <f t="shared" si="9"/>
        <v>0.082</v>
      </c>
      <c r="P68" s="16">
        <f>IFERROR(__xludf.DUMMYFUNCTION("VLOOKUP(A68,IMPORTRANGE(""1QZ5UxyNCwadreQAXnQ7oCoH982DjIA-QnZdO7ZoqkC0/edit#gid=0"",""2017-2021!$A$2:$O$250""),10,FALSE)"),140.0)</f>
        <v>140</v>
      </c>
      <c r="Q68" s="17">
        <f t="shared" si="10"/>
        <v>0.56</v>
      </c>
      <c r="R68" s="17">
        <f t="shared" si="11"/>
        <v>0.104</v>
      </c>
      <c r="S68" s="16">
        <f>IFERROR(__xludf.DUMMYFUNCTION("VLOOKUP(A68,IMPORTRANGE(""1QZ5UxyNCwadreQAXnQ7oCoH982DjIA-QnZdO7ZoqkC0/edit#gid=0"",""2017-2021!$A$2:$O$250""),13,FALSE)"),115.5)</f>
        <v>115.5</v>
      </c>
      <c r="T68" s="17">
        <f t="shared" si="12"/>
        <v>0.462</v>
      </c>
      <c r="U68" s="17">
        <f t="shared" si="13"/>
        <v>0.202</v>
      </c>
    </row>
    <row r="69">
      <c r="A69" s="19" t="s">
        <v>87</v>
      </c>
      <c r="B69" s="12">
        <f>IFERROR(__xludf.DUMMYFUNCTION("VLOOKUP(A69,IMPORTRANGE(""1EmrnCz2gLVTx5Cbj0e5tfuHPhTtmru8KTGuQvh7STl0/edit#gid=2147150001"",""Whole Data Set!$A$2:$NQ$253""),381,FALSE)"),134.75)</f>
        <v>134.75</v>
      </c>
      <c r="C69" s="13">
        <f t="shared" si="1"/>
        <v>0.539</v>
      </c>
      <c r="D69" s="12">
        <f>IFERROR(__xludf.DUMMYFUNCTION("VLOOKUP(A69,IMPORTRANGE(""1aFCnJY1qhIj8-JckJhDJ18aqmVo17tofpQmOjcYa3u8/edit#gid=948248086"",""Whole Data Set!$A$2:$NG$253""),371,FALSE)"),123.0)</f>
        <v>123</v>
      </c>
      <c r="E69" s="13">
        <f t="shared" si="2"/>
        <v>0.492</v>
      </c>
      <c r="F69" s="13">
        <f t="shared" si="3"/>
        <v>0.047</v>
      </c>
      <c r="G69" s="12">
        <f>IFERROR(__xludf.DUMMYFUNCTION("VLOOKUP(A69,IMPORTRANGE(""1QZ5UxyNCwadreQAXnQ7oCoH982DjIA-QnZdO7ZoqkC0/edit#gid=0"",""2017-2021!$A$2:$O$250""),2,FALSE)"),71.5)</f>
        <v>71.5</v>
      </c>
      <c r="H69" s="14">
        <f t="shared" si="4"/>
        <v>0.286</v>
      </c>
      <c r="I69" s="15">
        <f t="shared" si="5"/>
        <v>0.253</v>
      </c>
      <c r="J69" s="16">
        <f>IFERROR(__xludf.DUMMYFUNCTION("VLOOKUP(A69,IMPORTRANGE(""1QZ5UxyNCwadreQAXnQ7oCoH982DjIA-QnZdO7ZoqkC0/edit#gid=0"",""2017-2021!$A$2:$O$250""),4,FALSE)"),67.5)</f>
        <v>67.5</v>
      </c>
      <c r="K69" s="17">
        <f t="shared" si="6"/>
        <v>0.27</v>
      </c>
      <c r="L69" s="17">
        <f t="shared" si="7"/>
        <v>0.269</v>
      </c>
      <c r="M69" s="16">
        <f>IFERROR(__xludf.DUMMYFUNCTION("VLOOKUP(A69,IMPORTRANGE(""1QZ5UxyNCwadreQAXnQ7oCoH982DjIA-QnZdO7ZoqkC0/edit#gid=0"",""2017-2021!$A$2:$O$250""),7,FALSE)"),52.0)</f>
        <v>52</v>
      </c>
      <c r="N69" s="17">
        <f t="shared" si="8"/>
        <v>0.208</v>
      </c>
      <c r="O69" s="17">
        <f t="shared" si="9"/>
        <v>0.331</v>
      </c>
      <c r="P69" s="16">
        <f>IFERROR(__xludf.DUMMYFUNCTION("VLOOKUP(A69,IMPORTRANGE(""1QZ5UxyNCwadreQAXnQ7oCoH982DjIA-QnZdO7ZoqkC0/edit#gid=0"",""2017-2021!$A$2:$O$250""),10,FALSE)"),35.0)</f>
        <v>35</v>
      </c>
      <c r="Q69" s="17">
        <f t="shared" si="10"/>
        <v>0.14</v>
      </c>
      <c r="R69" s="17">
        <f t="shared" si="11"/>
        <v>0.399</v>
      </c>
      <c r="S69" s="16">
        <f>IFERROR(__xludf.DUMMYFUNCTION("VLOOKUP(A69,IMPORTRANGE(""1QZ5UxyNCwadreQAXnQ7oCoH982DjIA-QnZdO7ZoqkC0/edit#gid=0"",""2017-2021!$A$2:$O$250""),13,FALSE)"),23.0)</f>
        <v>23</v>
      </c>
      <c r="T69" s="17">
        <f t="shared" si="12"/>
        <v>0.092</v>
      </c>
      <c r="U69" s="17">
        <f t="shared" si="13"/>
        <v>0.447</v>
      </c>
    </row>
    <row r="70">
      <c r="A70" s="19" t="s">
        <v>88</v>
      </c>
      <c r="B70" s="12">
        <f>IFERROR(__xludf.DUMMYFUNCTION("VLOOKUP(A70,IMPORTRANGE(""1EmrnCz2gLVTx5Cbj0e5tfuHPhTtmru8KTGuQvh7STl0/edit#gid=2147150001"",""Whole Data Set!$A$2:$NQ$253""),381,FALSE)"),21.0)</f>
        <v>21</v>
      </c>
      <c r="C70" s="13">
        <f t="shared" si="1"/>
        <v>0.084</v>
      </c>
      <c r="D70" s="12">
        <f>IFERROR(__xludf.DUMMYFUNCTION("VLOOKUP(A70,IMPORTRANGE(""1aFCnJY1qhIj8-JckJhDJ18aqmVo17tofpQmOjcYa3u8/edit#gid=948248086"",""Whole Data Set!$A$2:$NG$253""),371,FALSE)"),24.5)</f>
        <v>24.5</v>
      </c>
      <c r="E70" s="13">
        <f t="shared" si="2"/>
        <v>0.098</v>
      </c>
      <c r="F70" s="13">
        <f t="shared" si="3"/>
        <v>-0.014</v>
      </c>
      <c r="G70" s="12">
        <f>IFERROR(__xludf.DUMMYFUNCTION("VLOOKUP(A70,IMPORTRANGE(""1QZ5UxyNCwadreQAXnQ7oCoH982DjIA-QnZdO7ZoqkC0/edit#gid=0"",""2017-2021!$A$2:$O$250""),2,FALSE)"),21.5)</f>
        <v>21.5</v>
      </c>
      <c r="H70" s="14">
        <f t="shared" si="4"/>
        <v>0.086</v>
      </c>
      <c r="I70" s="15">
        <f t="shared" si="5"/>
        <v>-0.002</v>
      </c>
      <c r="J70" s="16">
        <f>IFERROR(__xludf.DUMMYFUNCTION("VLOOKUP(A70,IMPORTRANGE(""1QZ5UxyNCwadreQAXnQ7oCoH982DjIA-QnZdO7ZoqkC0/edit#gid=0"",""2017-2021!$A$2:$O$250""),4,FALSE)"),15.0)</f>
        <v>15</v>
      </c>
      <c r="K70" s="17">
        <f t="shared" si="6"/>
        <v>0.06</v>
      </c>
      <c r="L70" s="17">
        <f t="shared" si="7"/>
        <v>0.024</v>
      </c>
      <c r="M70" s="16">
        <f>IFERROR(__xludf.DUMMYFUNCTION("VLOOKUP(A70,IMPORTRANGE(""1QZ5UxyNCwadreQAXnQ7oCoH982DjIA-QnZdO7ZoqkC0/edit#gid=0"",""2017-2021!$A$2:$O$250""),7,FALSE)"),9.5)</f>
        <v>9.5</v>
      </c>
      <c r="N70" s="17">
        <f t="shared" si="8"/>
        <v>0.038</v>
      </c>
      <c r="O70" s="17">
        <f t="shared" si="9"/>
        <v>0.046</v>
      </c>
      <c r="P70" s="16">
        <f>IFERROR(__xludf.DUMMYFUNCTION("VLOOKUP(A70,IMPORTRANGE(""1QZ5UxyNCwadreQAXnQ7oCoH982DjIA-QnZdO7ZoqkC0/edit#gid=0"",""2017-2021!$A$2:$O$250""),10,FALSE)"),7.0)</f>
        <v>7</v>
      </c>
      <c r="Q70" s="17">
        <f t="shared" si="10"/>
        <v>0.028</v>
      </c>
      <c r="R70" s="17">
        <f t="shared" si="11"/>
        <v>0.056</v>
      </c>
      <c r="S70" s="16">
        <f>IFERROR(__xludf.DUMMYFUNCTION("VLOOKUP(A70,IMPORTRANGE(""1QZ5UxyNCwadreQAXnQ7oCoH982DjIA-QnZdO7ZoqkC0/edit#gid=0"",""2017-2021!$A$2:$O$250""),13,FALSE)"),6.5)</f>
        <v>6.5</v>
      </c>
      <c r="T70" s="17">
        <f t="shared" si="12"/>
        <v>0.026</v>
      </c>
      <c r="U70" s="17">
        <f t="shared" si="13"/>
        <v>0.058</v>
      </c>
    </row>
    <row r="71">
      <c r="A71" s="21" t="s">
        <v>89</v>
      </c>
      <c r="B71" s="12">
        <f>IFERROR(__xludf.DUMMYFUNCTION("VLOOKUP(A71,IMPORTRANGE(""1EmrnCz2gLVTx5Cbj0e5tfuHPhTtmru8KTGuQvh7STl0/edit#gid=2147150001"",""Whole Data Set!$A$2:$NQ$253""),381,FALSE)"),140.0)</f>
        <v>140</v>
      </c>
      <c r="C71" s="13">
        <f t="shared" si="1"/>
        <v>0.56</v>
      </c>
      <c r="D71" s="12">
        <f>IFERROR(__xludf.DUMMYFUNCTION("VLOOKUP(A71,IMPORTRANGE(""1aFCnJY1qhIj8-JckJhDJ18aqmVo17tofpQmOjcYa3u8/edit#gid=948248086"",""Whole Data Set!$A$2:$NG$253""),371,FALSE)"),128.0)</f>
        <v>128</v>
      </c>
      <c r="E71" s="13">
        <f t="shared" si="2"/>
        <v>0.512</v>
      </c>
      <c r="F71" s="13">
        <f t="shared" si="3"/>
        <v>0.048</v>
      </c>
      <c r="G71" s="12">
        <f>IFERROR(__xludf.DUMMYFUNCTION("VLOOKUP(A71,IMPORTRANGE(""1QZ5UxyNCwadreQAXnQ7oCoH982DjIA-QnZdO7ZoqkC0/edit#gid=0"",""2017-2021!$A$2:$O$250""),2,FALSE)"),136.0)</f>
        <v>136</v>
      </c>
      <c r="H71" s="14">
        <f t="shared" si="4"/>
        <v>0.544</v>
      </c>
      <c r="I71" s="15">
        <f t="shared" si="5"/>
        <v>0.016</v>
      </c>
      <c r="J71" s="16">
        <f>IFERROR(__xludf.DUMMYFUNCTION("VLOOKUP(A71,IMPORTRANGE(""1QZ5UxyNCwadreQAXnQ7oCoH982DjIA-QnZdO7ZoqkC0/edit#gid=0"",""2017-2021!$A$2:$O$250""),4,FALSE)"),173.5)</f>
        <v>173.5</v>
      </c>
      <c r="K71" s="17">
        <f t="shared" si="6"/>
        <v>0.694</v>
      </c>
      <c r="L71" s="17">
        <f t="shared" si="7"/>
        <v>-0.134</v>
      </c>
      <c r="M71" s="16">
        <f>IFERROR(__xludf.DUMMYFUNCTION("VLOOKUP(A71,IMPORTRANGE(""1QZ5UxyNCwadreQAXnQ7oCoH982DjIA-QnZdO7ZoqkC0/edit#gid=0"",""2017-2021!$A$2:$O$250""),7,FALSE)"),160.5)</f>
        <v>160.5</v>
      </c>
      <c r="N71" s="17">
        <f t="shared" si="8"/>
        <v>0.642</v>
      </c>
      <c r="O71" s="17">
        <f t="shared" si="9"/>
        <v>-0.082</v>
      </c>
      <c r="P71" s="16">
        <f>IFERROR(__xludf.DUMMYFUNCTION("VLOOKUP(A71,IMPORTRANGE(""1QZ5UxyNCwadreQAXnQ7oCoH982DjIA-QnZdO7ZoqkC0/edit#gid=0"",""2017-2021!$A$2:$O$250""),10,FALSE)"),144.5)</f>
        <v>144.5</v>
      </c>
      <c r="Q71" s="17">
        <f t="shared" si="10"/>
        <v>0.578</v>
      </c>
      <c r="R71" s="17">
        <f t="shared" si="11"/>
        <v>-0.018</v>
      </c>
      <c r="S71" s="16">
        <f>IFERROR(__xludf.DUMMYFUNCTION("VLOOKUP(A71,IMPORTRANGE(""1QZ5UxyNCwadreQAXnQ7oCoH982DjIA-QnZdO7ZoqkC0/edit#gid=0"",""2017-2021!$A$2:$O$250""),13,FALSE)"),121.5)</f>
        <v>121.5</v>
      </c>
      <c r="T71" s="17">
        <f t="shared" si="12"/>
        <v>0.486</v>
      </c>
      <c r="U71" s="17">
        <f t="shared" si="13"/>
        <v>0.074</v>
      </c>
    </row>
    <row r="72">
      <c r="A72" s="20" t="s">
        <v>90</v>
      </c>
      <c r="B72" s="12">
        <f>IFERROR(__xludf.DUMMYFUNCTION("VLOOKUP(A72,IMPORTRANGE(""1EmrnCz2gLVTx5Cbj0e5tfuHPhTtmru8KTGuQvh7STl0/edit#gid=2147150001"",""Whole Data Set!$A$2:$NQ$253""),381,FALSE)"),83.75)</f>
        <v>83.75</v>
      </c>
      <c r="C72" s="13">
        <f t="shared" si="1"/>
        <v>0.335</v>
      </c>
      <c r="D72" s="12">
        <f>IFERROR(__xludf.DUMMYFUNCTION("VLOOKUP(A72,IMPORTRANGE(""1aFCnJY1qhIj8-JckJhDJ18aqmVo17tofpQmOjcYa3u8/edit#gid=948248086"",""Whole Data Set!$A$2:$NG$253""),371,FALSE)"),94.5)</f>
        <v>94.5</v>
      </c>
      <c r="E72" s="13">
        <f t="shared" si="2"/>
        <v>0.378</v>
      </c>
      <c r="F72" s="13">
        <f t="shared" si="3"/>
        <v>-0.043</v>
      </c>
      <c r="G72" s="12">
        <f>IFERROR(__xludf.DUMMYFUNCTION("VLOOKUP(A72,IMPORTRANGE(""1QZ5UxyNCwadreQAXnQ7oCoH982DjIA-QnZdO7ZoqkC0/edit#gid=0"",""2017-2021!$A$2:$O$250""),2,FALSE)"),85.0)</f>
        <v>85</v>
      </c>
      <c r="H72" s="14">
        <f t="shared" si="4"/>
        <v>0.34</v>
      </c>
      <c r="I72" s="15">
        <f t="shared" si="5"/>
        <v>-0.005</v>
      </c>
      <c r="J72" s="16">
        <f>IFERROR(__xludf.DUMMYFUNCTION("VLOOKUP(A72,IMPORTRANGE(""1QZ5UxyNCwadreQAXnQ7oCoH982DjIA-QnZdO7ZoqkC0/edit#gid=0"",""2017-2021!$A$2:$O$250""),4,FALSE)"),90.5)</f>
        <v>90.5</v>
      </c>
      <c r="K72" s="17">
        <f t="shared" si="6"/>
        <v>0.362</v>
      </c>
      <c r="L72" s="17">
        <f t="shared" si="7"/>
        <v>-0.027</v>
      </c>
      <c r="M72" s="16">
        <f>IFERROR(__xludf.DUMMYFUNCTION("VLOOKUP(A72,IMPORTRANGE(""1QZ5UxyNCwadreQAXnQ7oCoH982DjIA-QnZdO7ZoqkC0/edit#gid=0"",""2017-2021!$A$2:$O$250""),7,FALSE)"),57.5)</f>
        <v>57.5</v>
      </c>
      <c r="N72" s="17">
        <f t="shared" si="8"/>
        <v>0.23</v>
      </c>
      <c r="O72" s="17">
        <f t="shared" si="9"/>
        <v>0.105</v>
      </c>
      <c r="P72" s="16">
        <f>IFERROR(__xludf.DUMMYFUNCTION("VLOOKUP(A72,IMPORTRANGE(""1QZ5UxyNCwadreQAXnQ7oCoH982DjIA-QnZdO7ZoqkC0/edit#gid=0"",""2017-2021!$A$2:$O$250""),10,FALSE)"),43.5)</f>
        <v>43.5</v>
      </c>
      <c r="Q72" s="17">
        <f t="shared" si="10"/>
        <v>0.174</v>
      </c>
      <c r="R72" s="17">
        <f t="shared" si="11"/>
        <v>0.161</v>
      </c>
      <c r="S72" s="16">
        <f>IFERROR(__xludf.DUMMYFUNCTION("VLOOKUP(A72,IMPORTRANGE(""1QZ5UxyNCwadreQAXnQ7oCoH982DjIA-QnZdO7ZoqkC0/edit#gid=0"",""2017-2021!$A$2:$O$250""),13,FALSE)"),46.0)</f>
        <v>46</v>
      </c>
      <c r="T72" s="17">
        <f t="shared" si="12"/>
        <v>0.184</v>
      </c>
      <c r="U72" s="17">
        <f t="shared" si="13"/>
        <v>0.151</v>
      </c>
    </row>
    <row r="73">
      <c r="A73" s="19" t="s">
        <v>91</v>
      </c>
      <c r="B73" s="12">
        <f>IFERROR(__xludf.DUMMYFUNCTION("VLOOKUP(A73,IMPORTRANGE(""1EmrnCz2gLVTx5Cbj0e5tfuHPhTtmru8KTGuQvh7STl0/edit#gid=2147150001"",""Whole Data Set!$A$2:$NQ$253""),381,FALSE)"),106.5)</f>
        <v>106.5</v>
      </c>
      <c r="C73" s="13">
        <f t="shared" si="1"/>
        <v>0.426</v>
      </c>
      <c r="D73" s="12">
        <f>IFERROR(__xludf.DUMMYFUNCTION("VLOOKUP(A73,IMPORTRANGE(""1aFCnJY1qhIj8-JckJhDJ18aqmVo17tofpQmOjcYa3u8/edit#gid=948248086"",""Whole Data Set!$A$2:$NG$253""),371,FALSE)"),67.25)</f>
        <v>67.25</v>
      </c>
      <c r="E73" s="13">
        <f t="shared" si="2"/>
        <v>0.269</v>
      </c>
      <c r="F73" s="13">
        <f t="shared" si="3"/>
        <v>0.157</v>
      </c>
      <c r="G73" s="12">
        <f>IFERROR(__xludf.DUMMYFUNCTION("VLOOKUP(A73,IMPORTRANGE(""1QZ5UxyNCwadreQAXnQ7oCoH982DjIA-QnZdO7ZoqkC0/edit#gid=0"",""2017-2021!$A$2:$O$250""),2,FALSE)"),27.0)</f>
        <v>27</v>
      </c>
      <c r="H73" s="14">
        <f t="shared" si="4"/>
        <v>0.108</v>
      </c>
      <c r="I73" s="15">
        <f t="shared" si="5"/>
        <v>0.318</v>
      </c>
      <c r="J73" s="16">
        <f>IFERROR(__xludf.DUMMYFUNCTION("VLOOKUP(A73,IMPORTRANGE(""1QZ5UxyNCwadreQAXnQ7oCoH982DjIA-QnZdO7ZoqkC0/edit#gid=0"",""2017-2021!$A$2:$O$250""),4,FALSE)"),40.5)</f>
        <v>40.5</v>
      </c>
      <c r="K73" s="17">
        <f t="shared" si="6"/>
        <v>0.162</v>
      </c>
      <c r="L73" s="17">
        <f t="shared" si="7"/>
        <v>0.264</v>
      </c>
      <c r="M73" s="16">
        <f>IFERROR(__xludf.DUMMYFUNCTION("VLOOKUP(A73,IMPORTRANGE(""1QZ5UxyNCwadreQAXnQ7oCoH982DjIA-QnZdO7ZoqkC0/edit#gid=0"",""2017-2021!$A$2:$O$250""),7,FALSE)"),23.0)</f>
        <v>23</v>
      </c>
      <c r="N73" s="17">
        <f t="shared" si="8"/>
        <v>0.092</v>
      </c>
      <c r="O73" s="17">
        <f t="shared" si="9"/>
        <v>0.334</v>
      </c>
      <c r="P73" s="16">
        <f>IFERROR(__xludf.DUMMYFUNCTION("VLOOKUP(A73,IMPORTRANGE(""1QZ5UxyNCwadreQAXnQ7oCoH982DjIA-QnZdO7ZoqkC0/edit#gid=0"",""2017-2021!$A$2:$O$250""),10,FALSE)"),0.0)</f>
        <v>0</v>
      </c>
      <c r="Q73" s="17">
        <f t="shared" si="10"/>
        <v>0</v>
      </c>
      <c r="R73" s="17">
        <f t="shared" si="11"/>
        <v>0.426</v>
      </c>
      <c r="S73" s="16">
        <f>IFERROR(__xludf.DUMMYFUNCTION("VLOOKUP(A73,IMPORTRANGE(""1QZ5UxyNCwadreQAXnQ7oCoH982DjIA-QnZdO7ZoqkC0/edit#gid=0"",""2017-2021!$A$2:$O$250""),13,FALSE)"),0.0)</f>
        <v>0</v>
      </c>
      <c r="T73" s="17">
        <f t="shared" si="12"/>
        <v>0</v>
      </c>
      <c r="U73" s="17">
        <f t="shared" si="13"/>
        <v>0.426</v>
      </c>
    </row>
    <row r="74">
      <c r="A74" s="20" t="s">
        <v>92</v>
      </c>
      <c r="B74" s="12">
        <f>IFERROR(__xludf.DUMMYFUNCTION("VLOOKUP(A74,IMPORTRANGE(""1EmrnCz2gLVTx5Cbj0e5tfuHPhTtmru8KTGuQvh7STl0/edit#gid=2147150001"",""Whole Data Set!$A$2:$NQ$253""),381,FALSE)"),126.25)</f>
        <v>126.25</v>
      </c>
      <c r="C74" s="13">
        <f t="shared" si="1"/>
        <v>0.505</v>
      </c>
      <c r="D74" s="12">
        <f>IFERROR(__xludf.DUMMYFUNCTION("VLOOKUP(A74,IMPORTRANGE(""1aFCnJY1qhIj8-JckJhDJ18aqmVo17tofpQmOjcYa3u8/edit#gid=948248086"",""Whole Data Set!$A$2:$NG$253""),371,FALSE)"),116.5)</f>
        <v>116.5</v>
      </c>
      <c r="E74" s="13">
        <f t="shared" si="2"/>
        <v>0.466</v>
      </c>
      <c r="F74" s="13">
        <f t="shared" si="3"/>
        <v>0.039</v>
      </c>
      <c r="G74" s="12">
        <f>IFERROR(__xludf.DUMMYFUNCTION("VLOOKUP(A74,IMPORTRANGE(""1QZ5UxyNCwadreQAXnQ7oCoH982DjIA-QnZdO7ZoqkC0/edit#gid=0"",""2017-2021!$A$2:$O$250""),2,FALSE)"),107.0)</f>
        <v>107</v>
      </c>
      <c r="H74" s="14">
        <f t="shared" si="4"/>
        <v>0.428</v>
      </c>
      <c r="I74" s="15">
        <f t="shared" si="5"/>
        <v>0.077</v>
      </c>
      <c r="J74" s="16">
        <f>IFERROR(__xludf.DUMMYFUNCTION("VLOOKUP(A74,IMPORTRANGE(""1QZ5UxyNCwadreQAXnQ7oCoH982DjIA-QnZdO7ZoqkC0/edit#gid=0"",""2017-2021!$A$2:$O$250""),4,FALSE)"),117.0)</f>
        <v>117</v>
      </c>
      <c r="K74" s="17">
        <f t="shared" si="6"/>
        <v>0.468</v>
      </c>
      <c r="L74" s="17">
        <f t="shared" si="7"/>
        <v>0.037</v>
      </c>
      <c r="M74" s="16">
        <f>IFERROR(__xludf.DUMMYFUNCTION("VLOOKUP(A74,IMPORTRANGE(""1QZ5UxyNCwadreQAXnQ7oCoH982DjIA-QnZdO7ZoqkC0/edit#gid=0"",""2017-2021!$A$2:$O$250""),7,FALSE)"),94.5)</f>
        <v>94.5</v>
      </c>
      <c r="N74" s="17">
        <f t="shared" si="8"/>
        <v>0.378</v>
      </c>
      <c r="O74" s="17">
        <f t="shared" si="9"/>
        <v>0.127</v>
      </c>
      <c r="P74" s="16">
        <f>IFERROR(__xludf.DUMMYFUNCTION("VLOOKUP(A74,IMPORTRANGE(""1QZ5UxyNCwadreQAXnQ7oCoH982DjIA-QnZdO7ZoqkC0/edit#gid=0"",""2017-2021!$A$2:$O$250""),10,FALSE)"),91.0)</f>
        <v>91</v>
      </c>
      <c r="Q74" s="17">
        <f t="shared" si="10"/>
        <v>0.364</v>
      </c>
      <c r="R74" s="17">
        <f t="shared" si="11"/>
        <v>0.141</v>
      </c>
      <c r="S74" s="16">
        <f>IFERROR(__xludf.DUMMYFUNCTION("VLOOKUP(A74,IMPORTRANGE(""1QZ5UxyNCwadreQAXnQ7oCoH982DjIA-QnZdO7ZoqkC0/edit#gid=0"",""2017-2021!$A$2:$O$250""),13,FALSE)"),70.0)</f>
        <v>70</v>
      </c>
      <c r="T74" s="17">
        <f t="shared" si="12"/>
        <v>0.28</v>
      </c>
      <c r="U74" s="17">
        <f t="shared" si="13"/>
        <v>0.225</v>
      </c>
    </row>
    <row r="75">
      <c r="A75" s="20" t="s">
        <v>93</v>
      </c>
      <c r="B75" s="12">
        <f>IFERROR(__xludf.DUMMYFUNCTION("VLOOKUP(A75,IMPORTRANGE(""1EmrnCz2gLVTx5Cbj0e5tfuHPhTtmru8KTGuQvh7STl0/edit#gid=2147150001"",""Whole Data Set!$A$2:$NQ$253""),381,FALSE)"),23.5)</f>
        <v>23.5</v>
      </c>
      <c r="C75" s="13">
        <f t="shared" si="1"/>
        <v>0.094</v>
      </c>
      <c r="D75" s="12">
        <f>IFERROR(__xludf.DUMMYFUNCTION("VLOOKUP(A75,IMPORTRANGE(""1aFCnJY1qhIj8-JckJhDJ18aqmVo17tofpQmOjcYa3u8/edit#gid=948248086"",""Whole Data Set!$A$2:$NG$253""),371,FALSE)"),21.0)</f>
        <v>21</v>
      </c>
      <c r="E75" s="13">
        <f t="shared" si="2"/>
        <v>0.084</v>
      </c>
      <c r="F75" s="13">
        <f t="shared" si="3"/>
        <v>0.01</v>
      </c>
      <c r="G75" s="12">
        <f>IFERROR(__xludf.DUMMYFUNCTION("VLOOKUP(A75,IMPORTRANGE(""1QZ5UxyNCwadreQAXnQ7oCoH982DjIA-QnZdO7ZoqkC0/edit#gid=0"",""2017-2021!$A$2:$O$250""),2,FALSE)"),33.0)</f>
        <v>33</v>
      </c>
      <c r="H75" s="14">
        <f t="shared" si="4"/>
        <v>0.132</v>
      </c>
      <c r="I75" s="15">
        <f t="shared" si="5"/>
        <v>-0.038</v>
      </c>
      <c r="J75" s="16">
        <f>IFERROR(__xludf.DUMMYFUNCTION("VLOOKUP(A75,IMPORTRANGE(""1QZ5UxyNCwadreQAXnQ7oCoH982DjIA-QnZdO7ZoqkC0/edit#gid=0"",""2017-2021!$A$2:$O$250""),4,FALSE)"),47.5)</f>
        <v>47.5</v>
      </c>
      <c r="K75" s="17">
        <f t="shared" si="6"/>
        <v>0.19</v>
      </c>
      <c r="L75" s="17">
        <f t="shared" si="7"/>
        <v>-0.096</v>
      </c>
      <c r="M75" s="16">
        <f>IFERROR(__xludf.DUMMYFUNCTION("VLOOKUP(A75,IMPORTRANGE(""1QZ5UxyNCwadreQAXnQ7oCoH982DjIA-QnZdO7ZoqkC0/edit#gid=0"",""2017-2021!$A$2:$O$250""),7,FALSE)"),53.0)</f>
        <v>53</v>
      </c>
      <c r="N75" s="17">
        <f t="shared" si="8"/>
        <v>0.212</v>
      </c>
      <c r="O75" s="17">
        <f t="shared" si="9"/>
        <v>-0.118</v>
      </c>
      <c r="P75" s="16">
        <f>IFERROR(__xludf.DUMMYFUNCTION("VLOOKUP(A75,IMPORTRANGE(""1QZ5UxyNCwadreQAXnQ7oCoH982DjIA-QnZdO7ZoqkC0/edit#gid=0"",""2017-2021!$A$2:$O$250""),10,FALSE)"),54.5)</f>
        <v>54.5</v>
      </c>
      <c r="Q75" s="17">
        <f t="shared" si="10"/>
        <v>0.218</v>
      </c>
      <c r="R75" s="17">
        <f t="shared" si="11"/>
        <v>-0.124</v>
      </c>
      <c r="S75" s="16">
        <f>IFERROR(__xludf.DUMMYFUNCTION("VLOOKUP(A75,IMPORTRANGE(""1QZ5UxyNCwadreQAXnQ7oCoH982DjIA-QnZdO7ZoqkC0/edit#gid=0"",""2017-2021!$A$2:$O$250""),13,FALSE)"),53.0)</f>
        <v>53</v>
      </c>
      <c r="T75" s="17">
        <f t="shared" si="12"/>
        <v>0.212</v>
      </c>
      <c r="U75" s="17">
        <f t="shared" si="13"/>
        <v>-0.118</v>
      </c>
    </row>
    <row r="76">
      <c r="A76" s="19" t="s">
        <v>94</v>
      </c>
      <c r="B76" s="12">
        <f>IFERROR(__xludf.DUMMYFUNCTION("VLOOKUP(A76,IMPORTRANGE(""1EmrnCz2gLVTx5Cbj0e5tfuHPhTtmru8KTGuQvh7STl0/edit#gid=2147150001"",""Whole Data Set!$A$2:$NQ$253""),381,FALSE)"),34.25)</f>
        <v>34.25</v>
      </c>
      <c r="C76" s="13">
        <f t="shared" si="1"/>
        <v>0.137</v>
      </c>
      <c r="D76" s="12">
        <f>IFERROR(__xludf.DUMMYFUNCTION("VLOOKUP(A76,IMPORTRANGE(""1aFCnJY1qhIj8-JckJhDJ18aqmVo17tofpQmOjcYa3u8/edit#gid=948248086"",""Whole Data Set!$A$2:$NG$253""),371,FALSE)"),16.5)</f>
        <v>16.5</v>
      </c>
      <c r="E76" s="13">
        <f t="shared" si="2"/>
        <v>0.066</v>
      </c>
      <c r="F76" s="13">
        <f t="shared" si="3"/>
        <v>0.071</v>
      </c>
      <c r="G76" s="12">
        <f>IFERROR(__xludf.DUMMYFUNCTION("VLOOKUP(A76,IMPORTRANGE(""1QZ5UxyNCwadreQAXnQ7oCoH982DjIA-QnZdO7ZoqkC0/edit#gid=0"",""2017-2021!$A$2:$O$250""),2,FALSE)"),21.0)</f>
        <v>21</v>
      </c>
      <c r="H76" s="14">
        <f t="shared" si="4"/>
        <v>0.084</v>
      </c>
      <c r="I76" s="15">
        <f t="shared" si="5"/>
        <v>0.053</v>
      </c>
      <c r="J76" s="16">
        <f>IFERROR(__xludf.DUMMYFUNCTION("VLOOKUP(A76,IMPORTRANGE(""1QZ5UxyNCwadreQAXnQ7oCoH982DjIA-QnZdO7ZoqkC0/edit#gid=0"",""2017-2021!$A$2:$O$250""),4,FALSE)"),29.5)</f>
        <v>29.5</v>
      </c>
      <c r="K76" s="17">
        <f t="shared" si="6"/>
        <v>0.118</v>
      </c>
      <c r="L76" s="17">
        <f t="shared" si="7"/>
        <v>0.019</v>
      </c>
      <c r="M76" s="16">
        <f>IFERROR(__xludf.DUMMYFUNCTION("VLOOKUP(A76,IMPORTRANGE(""1QZ5UxyNCwadreQAXnQ7oCoH982DjIA-QnZdO7ZoqkC0/edit#gid=0"",""2017-2021!$A$2:$O$250""),7,FALSE)"),23.0)</f>
        <v>23</v>
      </c>
      <c r="N76" s="17">
        <f t="shared" si="8"/>
        <v>0.092</v>
      </c>
      <c r="O76" s="17">
        <f t="shared" si="9"/>
        <v>0.045</v>
      </c>
      <c r="P76" s="16">
        <f>IFERROR(__xludf.DUMMYFUNCTION("VLOOKUP(A76,IMPORTRANGE(""1QZ5UxyNCwadreQAXnQ7oCoH982DjIA-QnZdO7ZoqkC0/edit#gid=0"",""2017-2021!$A$2:$O$250""),10,FALSE)"),28.0)</f>
        <v>28</v>
      </c>
      <c r="Q76" s="17">
        <f t="shared" si="10"/>
        <v>0.112</v>
      </c>
      <c r="R76" s="17">
        <f t="shared" si="11"/>
        <v>0.025</v>
      </c>
      <c r="S76" s="16">
        <f>IFERROR(__xludf.DUMMYFUNCTION("VLOOKUP(A76,IMPORTRANGE(""1QZ5UxyNCwadreQAXnQ7oCoH982DjIA-QnZdO7ZoqkC0/edit#gid=0"",""2017-2021!$A$2:$O$250""),13,FALSE)"),17.5)</f>
        <v>17.5</v>
      </c>
      <c r="T76" s="17">
        <f t="shared" si="12"/>
        <v>0.07</v>
      </c>
      <c r="U76" s="17">
        <f t="shared" si="13"/>
        <v>0.067</v>
      </c>
    </row>
    <row r="77">
      <c r="A77" s="19" t="s">
        <v>95</v>
      </c>
      <c r="B77" s="12">
        <f>IFERROR(__xludf.DUMMYFUNCTION("VLOOKUP(A77,IMPORTRANGE(""1EmrnCz2gLVTx5Cbj0e5tfuHPhTtmru8KTGuQvh7STl0/edit#gid=2147150001"",""Whole Data Set!$A$2:$NQ$253""),381,FALSE)"),119.75)</f>
        <v>119.75</v>
      </c>
      <c r="C77" s="13">
        <f t="shared" si="1"/>
        <v>0.479</v>
      </c>
      <c r="D77" s="12">
        <f>IFERROR(__xludf.DUMMYFUNCTION("VLOOKUP(A77,IMPORTRANGE(""1aFCnJY1qhIj8-JckJhDJ18aqmVo17tofpQmOjcYa3u8/edit#gid=948248086"",""Whole Data Set!$A$2:$NG$253""),371,FALSE)"),123.5)</f>
        <v>123.5</v>
      </c>
      <c r="E77" s="13">
        <f t="shared" si="2"/>
        <v>0.494</v>
      </c>
      <c r="F77" s="13">
        <f t="shared" si="3"/>
        <v>-0.015</v>
      </c>
      <c r="G77" s="12">
        <f>IFERROR(__xludf.DUMMYFUNCTION("VLOOKUP(A77,IMPORTRANGE(""1QZ5UxyNCwadreQAXnQ7oCoH982DjIA-QnZdO7ZoqkC0/edit#gid=0"",""2017-2021!$A$2:$O$250""),2,FALSE)"),83.75)</f>
        <v>83.75</v>
      </c>
      <c r="H77" s="14">
        <f t="shared" si="4"/>
        <v>0.335</v>
      </c>
      <c r="I77" s="15">
        <f t="shared" si="5"/>
        <v>0.144</v>
      </c>
      <c r="J77" s="16">
        <f>IFERROR(__xludf.DUMMYFUNCTION("VLOOKUP(A77,IMPORTRANGE(""1QZ5UxyNCwadreQAXnQ7oCoH982DjIA-QnZdO7ZoqkC0/edit#gid=0"",""2017-2021!$A$2:$O$250""),4,FALSE)"),108.5)</f>
        <v>108.5</v>
      </c>
      <c r="K77" s="17">
        <f t="shared" si="6"/>
        <v>0.434</v>
      </c>
      <c r="L77" s="17">
        <f t="shared" si="7"/>
        <v>0.045</v>
      </c>
      <c r="M77" s="16">
        <f>IFERROR(__xludf.DUMMYFUNCTION("VLOOKUP(A77,IMPORTRANGE(""1QZ5UxyNCwadreQAXnQ7oCoH982DjIA-QnZdO7ZoqkC0/edit#gid=0"",""2017-2021!$A$2:$O$250""),7,FALSE)"),98.0)</f>
        <v>98</v>
      </c>
      <c r="N77" s="17">
        <f t="shared" si="8"/>
        <v>0.392</v>
      </c>
      <c r="O77" s="17">
        <f t="shared" si="9"/>
        <v>0.087</v>
      </c>
      <c r="P77" s="16">
        <f>IFERROR(__xludf.DUMMYFUNCTION("VLOOKUP(A77,IMPORTRANGE(""1QZ5UxyNCwadreQAXnQ7oCoH982DjIA-QnZdO7ZoqkC0/edit#gid=0"",""2017-2021!$A$2:$O$250""),10,FALSE)"),77.0)</f>
        <v>77</v>
      </c>
      <c r="Q77" s="17">
        <f t="shared" si="10"/>
        <v>0.308</v>
      </c>
      <c r="R77" s="17">
        <f t="shared" si="11"/>
        <v>0.171</v>
      </c>
      <c r="S77" s="16">
        <f>IFERROR(__xludf.DUMMYFUNCTION("VLOOKUP(A77,IMPORTRANGE(""1QZ5UxyNCwadreQAXnQ7oCoH982DjIA-QnZdO7ZoqkC0/edit#gid=0"",""2017-2021!$A$2:$O$250""),13,FALSE)"),76.0)</f>
        <v>76</v>
      </c>
      <c r="T77" s="17">
        <f t="shared" si="12"/>
        <v>0.304</v>
      </c>
      <c r="U77" s="17">
        <f t="shared" si="13"/>
        <v>0.175</v>
      </c>
    </row>
    <row r="78">
      <c r="A78" s="24" t="s">
        <v>96</v>
      </c>
      <c r="B78" s="12">
        <f>IFERROR(__xludf.DUMMYFUNCTION("VLOOKUP(A78,IMPORTRANGE(""1EmrnCz2gLVTx5Cbj0e5tfuHPhTtmru8KTGuQvh7STl0/edit#gid=2147150001"",""Whole Data Set!$A$2:$NQ$253""),381,FALSE)"),163.75)</f>
        <v>163.75</v>
      </c>
      <c r="C78" s="13">
        <f t="shared" si="1"/>
        <v>0.655</v>
      </c>
      <c r="D78" s="12">
        <f>IFERROR(__xludf.DUMMYFUNCTION("VLOOKUP(A78,IMPORTRANGE(""1aFCnJY1qhIj8-JckJhDJ18aqmVo17tofpQmOjcYa3u8/edit#gid=948248086"",""Whole Data Set!$A$2:$NG$253""),371,FALSE)"),164.5)</f>
        <v>164.5</v>
      </c>
      <c r="E78" s="13">
        <f t="shared" si="2"/>
        <v>0.658</v>
      </c>
      <c r="F78" s="13">
        <f t="shared" si="3"/>
        <v>-0.003</v>
      </c>
      <c r="G78" s="12">
        <f>IFERROR(__xludf.DUMMYFUNCTION("VLOOKUP(A78,IMPORTRANGE(""1QZ5UxyNCwadreQAXnQ7oCoH982DjIA-QnZdO7ZoqkC0/edit#gid=0"",""2017-2021!$A$2:$O$250""),2,FALSE)"),164.25)</f>
        <v>164.25</v>
      </c>
      <c r="H78" s="14">
        <f t="shared" si="4"/>
        <v>0.657</v>
      </c>
      <c r="I78" s="15">
        <f t="shared" si="5"/>
        <v>-0.002</v>
      </c>
      <c r="J78" s="16">
        <f>IFERROR(__xludf.DUMMYFUNCTION("VLOOKUP(A78,IMPORTRANGE(""1QZ5UxyNCwadreQAXnQ7oCoH982DjIA-QnZdO7ZoqkC0/edit#gid=0"",""2017-2021!$A$2:$O$250""),4,FALSE)"),146.5)</f>
        <v>146.5</v>
      </c>
      <c r="K78" s="17">
        <f t="shared" si="6"/>
        <v>0.586</v>
      </c>
      <c r="L78" s="17">
        <f t="shared" si="7"/>
        <v>0.069</v>
      </c>
      <c r="M78" s="16">
        <f>IFERROR(__xludf.DUMMYFUNCTION("VLOOKUP(A78,IMPORTRANGE(""1QZ5UxyNCwadreQAXnQ7oCoH982DjIA-QnZdO7ZoqkC0/edit#gid=0"",""2017-2021!$A$2:$O$250""),7,FALSE)"),141.5)</f>
        <v>141.5</v>
      </c>
      <c r="N78" s="17">
        <f t="shared" si="8"/>
        <v>0.566</v>
      </c>
      <c r="O78" s="17">
        <f t="shared" si="9"/>
        <v>0.089</v>
      </c>
      <c r="P78" s="16">
        <f>IFERROR(__xludf.DUMMYFUNCTION("VLOOKUP(A78,IMPORTRANGE(""1QZ5UxyNCwadreQAXnQ7oCoH982DjIA-QnZdO7ZoqkC0/edit#gid=0"",""2017-2021!$A$2:$O$250""),10,FALSE)"),114.5)</f>
        <v>114.5</v>
      </c>
      <c r="Q78" s="17">
        <f t="shared" si="10"/>
        <v>0.458</v>
      </c>
      <c r="R78" s="17">
        <f t="shared" si="11"/>
        <v>0.197</v>
      </c>
      <c r="S78" s="16">
        <f>IFERROR(__xludf.DUMMYFUNCTION("VLOOKUP(A78,IMPORTRANGE(""1QZ5UxyNCwadreQAXnQ7oCoH982DjIA-QnZdO7ZoqkC0/edit#gid=0"",""2017-2021!$A$2:$O$250""),13,FALSE)"),60.5)</f>
        <v>60.5</v>
      </c>
      <c r="T78" s="17">
        <f t="shared" si="12"/>
        <v>0.242</v>
      </c>
      <c r="U78" s="17">
        <f t="shared" si="13"/>
        <v>0.413</v>
      </c>
    </row>
    <row r="79">
      <c r="A79" s="19" t="s">
        <v>97</v>
      </c>
      <c r="B79" s="12">
        <f>IFERROR(__xludf.DUMMYFUNCTION("VLOOKUP(A79,IMPORTRANGE(""1EmrnCz2gLVTx5Cbj0e5tfuHPhTtmru8KTGuQvh7STl0/edit#gid=2147150001"",""Whole Data Set!$A$2:$NQ$253""),381,FALSE)"),163.75)</f>
        <v>163.75</v>
      </c>
      <c r="C79" s="13">
        <f t="shared" si="1"/>
        <v>0.655</v>
      </c>
      <c r="D79" s="12">
        <f>IFERROR(__xludf.DUMMYFUNCTION("VLOOKUP(A79,IMPORTRANGE(""1aFCnJY1qhIj8-JckJhDJ18aqmVo17tofpQmOjcYa3u8/edit#gid=948248086"",""Whole Data Set!$A$2:$NG$253""),371,FALSE)"),164.5)</f>
        <v>164.5</v>
      </c>
      <c r="E79" s="13">
        <f t="shared" si="2"/>
        <v>0.658</v>
      </c>
      <c r="F79" s="13">
        <f t="shared" si="3"/>
        <v>-0.003</v>
      </c>
      <c r="G79" s="12">
        <f>IFERROR(__xludf.DUMMYFUNCTION("VLOOKUP(A79,IMPORTRANGE(""1QZ5UxyNCwadreQAXnQ7oCoH982DjIA-QnZdO7ZoqkC0/edit#gid=0"",""2017-2021!$A$2:$O$250""),2,FALSE)"),164.25)</f>
        <v>164.25</v>
      </c>
      <c r="H79" s="14">
        <f t="shared" si="4"/>
        <v>0.657</v>
      </c>
      <c r="I79" s="15">
        <f t="shared" si="5"/>
        <v>-0.002</v>
      </c>
      <c r="J79" s="16">
        <f>IFERROR(__xludf.DUMMYFUNCTION("VLOOKUP(A79,IMPORTRANGE(""1QZ5UxyNCwadreQAXnQ7oCoH982DjIA-QnZdO7ZoqkC0/edit#gid=0"",""2017-2021!$A$2:$O$250""),4,FALSE)"),146.5)</f>
        <v>146.5</v>
      </c>
      <c r="K79" s="17">
        <f t="shared" si="6"/>
        <v>0.586</v>
      </c>
      <c r="L79" s="17">
        <f t="shared" si="7"/>
        <v>0.069</v>
      </c>
      <c r="M79" s="16">
        <f>IFERROR(__xludf.DUMMYFUNCTION("VLOOKUP(A79,IMPORTRANGE(""1QZ5UxyNCwadreQAXnQ7oCoH982DjIA-QnZdO7ZoqkC0/edit#gid=0"",""2017-2021!$A$2:$O$250""),7,FALSE)"),141.5)</f>
        <v>141.5</v>
      </c>
      <c r="N79" s="17">
        <f t="shared" si="8"/>
        <v>0.566</v>
      </c>
      <c r="O79" s="17">
        <f t="shared" si="9"/>
        <v>0.089</v>
      </c>
      <c r="P79" s="16">
        <f>IFERROR(__xludf.DUMMYFUNCTION("VLOOKUP(A79,IMPORTRANGE(""1QZ5UxyNCwadreQAXnQ7oCoH982DjIA-QnZdO7ZoqkC0/edit#gid=0"",""2017-2021!$A$2:$O$250""),10,FALSE)"),114.5)</f>
        <v>114.5</v>
      </c>
      <c r="Q79" s="17">
        <f t="shared" si="10"/>
        <v>0.458</v>
      </c>
      <c r="R79" s="17">
        <f t="shared" si="11"/>
        <v>0.197</v>
      </c>
      <c r="S79" s="16">
        <f>IFERROR(__xludf.DUMMYFUNCTION("VLOOKUP(A79,IMPORTRANGE(""1QZ5UxyNCwadreQAXnQ7oCoH982DjIA-QnZdO7ZoqkC0/edit#gid=0"",""2017-2021!$A$2:$O$250""),13,FALSE)"),60.5)</f>
        <v>60.5</v>
      </c>
      <c r="T79" s="17">
        <f t="shared" si="12"/>
        <v>0.242</v>
      </c>
      <c r="U79" s="17">
        <f t="shared" si="13"/>
        <v>0.413</v>
      </c>
    </row>
    <row r="80">
      <c r="A80" s="19" t="s">
        <v>98</v>
      </c>
      <c r="B80" s="12">
        <f>IFERROR(__xludf.DUMMYFUNCTION("VLOOKUP(A80,IMPORTRANGE(""1EmrnCz2gLVTx5Cbj0e5tfuHPhTtmru8KTGuQvh7STl0/edit#gid=2147150001"",""Whole Data Set!$A$2:$NQ$253""),381,FALSE)"),69.75)</f>
        <v>69.75</v>
      </c>
      <c r="C80" s="13">
        <f t="shared" si="1"/>
        <v>0.279</v>
      </c>
      <c r="D80" s="12">
        <f>IFERROR(__xludf.DUMMYFUNCTION("VLOOKUP(A80,IMPORTRANGE(""1aFCnJY1qhIj8-JckJhDJ18aqmVo17tofpQmOjcYa3u8/edit#gid=948248086"",""Whole Data Set!$A$2:$NG$253""),371,FALSE)"),77.25)</f>
        <v>77.25</v>
      </c>
      <c r="E80" s="13">
        <f t="shared" si="2"/>
        <v>0.309</v>
      </c>
      <c r="F80" s="13">
        <f t="shared" si="3"/>
        <v>-0.03</v>
      </c>
      <c r="G80" s="12">
        <f>IFERROR(__xludf.DUMMYFUNCTION("VLOOKUP(A80,IMPORTRANGE(""1QZ5UxyNCwadreQAXnQ7oCoH982DjIA-QnZdO7ZoqkC0/edit#gid=0"",""2017-2021!$A$2:$O$250""),2,FALSE)"),92.75)</f>
        <v>92.75</v>
      </c>
      <c r="H80" s="14">
        <f t="shared" si="4"/>
        <v>0.371</v>
      </c>
      <c r="I80" s="15">
        <f t="shared" si="5"/>
        <v>-0.092</v>
      </c>
      <c r="J80" s="16">
        <f>IFERROR(__xludf.DUMMYFUNCTION("VLOOKUP(A80,IMPORTRANGE(""1QZ5UxyNCwadreQAXnQ7oCoH982DjIA-QnZdO7ZoqkC0/edit#gid=0"",""2017-2021!$A$2:$O$250""),4,FALSE)"),82.5)</f>
        <v>82.5</v>
      </c>
      <c r="K80" s="17">
        <f t="shared" si="6"/>
        <v>0.33</v>
      </c>
      <c r="L80" s="17">
        <f t="shared" si="7"/>
        <v>-0.051</v>
      </c>
      <c r="M80" s="16">
        <f>IFERROR(__xludf.DUMMYFUNCTION("VLOOKUP(A80,IMPORTRANGE(""1QZ5UxyNCwadreQAXnQ7oCoH982DjIA-QnZdO7ZoqkC0/edit#gid=0"",""2017-2021!$A$2:$O$250""),7,FALSE)"),78.5)</f>
        <v>78.5</v>
      </c>
      <c r="N80" s="17">
        <f t="shared" si="8"/>
        <v>0.314</v>
      </c>
      <c r="O80" s="17">
        <f t="shared" si="9"/>
        <v>-0.035</v>
      </c>
      <c r="P80" s="16">
        <f>IFERROR(__xludf.DUMMYFUNCTION("VLOOKUP(A80,IMPORTRANGE(""1QZ5UxyNCwadreQAXnQ7oCoH982DjIA-QnZdO7ZoqkC0/edit#gid=0"",""2017-2021!$A$2:$O$250""),10,FALSE)"),65.0)</f>
        <v>65</v>
      </c>
      <c r="Q80" s="17">
        <f t="shared" si="10"/>
        <v>0.26</v>
      </c>
      <c r="R80" s="17">
        <f t="shared" si="11"/>
        <v>0.019</v>
      </c>
      <c r="S80" s="16">
        <f>IFERROR(__xludf.DUMMYFUNCTION("VLOOKUP(A80,IMPORTRANGE(""1QZ5UxyNCwadreQAXnQ7oCoH982DjIA-QnZdO7ZoqkC0/edit#gid=0"",""2017-2021!$A$2:$O$250""),13,FALSE)"),54.5)</f>
        <v>54.5</v>
      </c>
      <c r="T80" s="17">
        <f t="shared" si="12"/>
        <v>0.218</v>
      </c>
      <c r="U80" s="17">
        <f t="shared" si="13"/>
        <v>0.061</v>
      </c>
    </row>
    <row r="81">
      <c r="A81" s="20" t="s">
        <v>99</v>
      </c>
      <c r="B81" s="12">
        <f>IFERROR(__xludf.DUMMYFUNCTION("VLOOKUP(A81,IMPORTRANGE(""1EmrnCz2gLVTx5Cbj0e5tfuHPhTtmru8KTGuQvh7STl0/edit#gid=2147150001"",""Whole Data Set!$A$2:$NQ$253""),381,FALSE)"),123.75)</f>
        <v>123.75</v>
      </c>
      <c r="C81" s="13">
        <f t="shared" si="1"/>
        <v>0.495</v>
      </c>
      <c r="D81" s="12">
        <f>IFERROR(__xludf.DUMMYFUNCTION("VLOOKUP(A81,IMPORTRANGE(""1aFCnJY1qhIj8-JckJhDJ18aqmVo17tofpQmOjcYa3u8/edit#gid=948248086"",""Whole Data Set!$A$2:$NG$253""),371,FALSE)"),140.75)</f>
        <v>140.75</v>
      </c>
      <c r="E81" s="13">
        <f t="shared" si="2"/>
        <v>0.563</v>
      </c>
      <c r="F81" s="13">
        <f t="shared" si="3"/>
        <v>-0.068</v>
      </c>
      <c r="G81" s="12">
        <f>IFERROR(__xludf.DUMMYFUNCTION("VLOOKUP(A81,IMPORTRANGE(""1QZ5UxyNCwadreQAXnQ7oCoH982DjIA-QnZdO7ZoqkC0/edit#gid=0"",""2017-2021!$A$2:$O$250""),2,FALSE)"),147.5)</f>
        <v>147.5</v>
      </c>
      <c r="H81" s="14">
        <f t="shared" si="4"/>
        <v>0.59</v>
      </c>
      <c r="I81" s="15">
        <f t="shared" si="5"/>
        <v>-0.095</v>
      </c>
      <c r="J81" s="16">
        <f>IFERROR(__xludf.DUMMYFUNCTION("VLOOKUP(A81,IMPORTRANGE(""1QZ5UxyNCwadreQAXnQ7oCoH982DjIA-QnZdO7ZoqkC0/edit#gid=0"",""2017-2021!$A$2:$O$250""),4,FALSE)"),134.5)</f>
        <v>134.5</v>
      </c>
      <c r="K81" s="17">
        <f t="shared" si="6"/>
        <v>0.538</v>
      </c>
      <c r="L81" s="17">
        <f t="shared" si="7"/>
        <v>-0.043</v>
      </c>
      <c r="M81" s="16">
        <f>IFERROR(__xludf.DUMMYFUNCTION("VLOOKUP(A81,IMPORTRANGE(""1QZ5UxyNCwadreQAXnQ7oCoH982DjIA-QnZdO7ZoqkC0/edit#gid=0"",""2017-2021!$A$2:$O$250""),7,FALSE)"),103.0)</f>
        <v>103</v>
      </c>
      <c r="N81" s="17">
        <f t="shared" si="8"/>
        <v>0.412</v>
      </c>
      <c r="O81" s="17">
        <f t="shared" si="9"/>
        <v>0.083</v>
      </c>
      <c r="P81" s="16">
        <f>IFERROR(__xludf.DUMMYFUNCTION("VLOOKUP(A81,IMPORTRANGE(""1QZ5UxyNCwadreQAXnQ7oCoH982DjIA-QnZdO7ZoqkC0/edit#gid=0"",""2017-2021!$A$2:$O$250""),10,FALSE)"),94.5)</f>
        <v>94.5</v>
      </c>
      <c r="Q81" s="17">
        <f t="shared" si="10"/>
        <v>0.378</v>
      </c>
      <c r="R81" s="17">
        <f t="shared" si="11"/>
        <v>0.117</v>
      </c>
      <c r="S81" s="16">
        <f>IFERROR(__xludf.DUMMYFUNCTION("VLOOKUP(A81,IMPORTRANGE(""1QZ5UxyNCwadreQAXnQ7oCoH982DjIA-QnZdO7ZoqkC0/edit#gid=0"",""2017-2021!$A$2:$O$250""),13,FALSE)"),72.0)</f>
        <v>72</v>
      </c>
      <c r="T81" s="17">
        <f t="shared" si="12"/>
        <v>0.288</v>
      </c>
      <c r="U81" s="17">
        <f t="shared" si="13"/>
        <v>0.207</v>
      </c>
    </row>
    <row r="82">
      <c r="A82" s="19" t="s">
        <v>100</v>
      </c>
      <c r="B82" s="12">
        <f>IFERROR(__xludf.DUMMYFUNCTION("VLOOKUP(A82,IMPORTRANGE(""1EmrnCz2gLVTx5Cbj0e5tfuHPhTtmru8KTGuQvh7STl0/edit#gid=2147150001"",""Whole Data Set!$A$2:$NQ$253""),381,FALSE)"),58.5)</f>
        <v>58.5</v>
      </c>
      <c r="C82" s="13">
        <f t="shared" si="1"/>
        <v>0.234</v>
      </c>
      <c r="D82" s="12">
        <f>IFERROR(__xludf.DUMMYFUNCTION("VLOOKUP(A82,IMPORTRANGE(""1aFCnJY1qhIj8-JckJhDJ18aqmVo17tofpQmOjcYa3u8/edit#gid=948248086"",""Whole Data Set!$A$2:$NG$253""),371,FALSE)"),33.0)</f>
        <v>33</v>
      </c>
      <c r="E82" s="13">
        <f t="shared" si="2"/>
        <v>0.132</v>
      </c>
      <c r="F82" s="13">
        <f t="shared" si="3"/>
        <v>0.102</v>
      </c>
      <c r="G82" s="12">
        <f>IFERROR(__xludf.DUMMYFUNCTION("VLOOKUP(A82,IMPORTRANGE(""1QZ5UxyNCwadreQAXnQ7oCoH982DjIA-QnZdO7ZoqkC0/edit#gid=0"",""2017-2021!$A$2:$O$250""),2,FALSE)"),39.0)</f>
        <v>39</v>
      </c>
      <c r="H82" s="14">
        <f t="shared" si="4"/>
        <v>0.156</v>
      </c>
      <c r="I82" s="15">
        <f t="shared" si="5"/>
        <v>0.078</v>
      </c>
      <c r="J82" s="16">
        <f>IFERROR(__xludf.DUMMYFUNCTION("VLOOKUP(A82,IMPORTRANGE(""1QZ5UxyNCwadreQAXnQ7oCoH982DjIA-QnZdO7ZoqkC0/edit#gid=0"",""2017-2021!$A$2:$O$250""),4,FALSE)"),19.0)</f>
        <v>19</v>
      </c>
      <c r="K82" s="17">
        <f t="shared" si="6"/>
        <v>0.076</v>
      </c>
      <c r="L82" s="17">
        <f t="shared" si="7"/>
        <v>0.158</v>
      </c>
      <c r="M82" s="16">
        <f>IFERROR(__xludf.DUMMYFUNCTION("VLOOKUP(A82,IMPORTRANGE(""1QZ5UxyNCwadreQAXnQ7oCoH982DjIA-QnZdO7ZoqkC0/edit#gid=0"",""2017-2021!$A$2:$O$250""),7,FALSE)"),17.0)</f>
        <v>17</v>
      </c>
      <c r="N82" s="17">
        <f t="shared" si="8"/>
        <v>0.068</v>
      </c>
      <c r="O82" s="17">
        <f t="shared" si="9"/>
        <v>0.166</v>
      </c>
      <c r="P82" s="16">
        <f>IFERROR(__xludf.DUMMYFUNCTION("VLOOKUP(A82,IMPORTRANGE(""1QZ5UxyNCwadreQAXnQ7oCoH982DjIA-QnZdO7ZoqkC0/edit#gid=0"",""2017-2021!$A$2:$O$250""),10,FALSE)"),18.5)</f>
        <v>18.5</v>
      </c>
      <c r="Q82" s="17">
        <f t="shared" si="10"/>
        <v>0.074</v>
      </c>
      <c r="R82" s="17">
        <f t="shared" si="11"/>
        <v>0.16</v>
      </c>
      <c r="S82" s="16">
        <f>IFERROR(__xludf.DUMMYFUNCTION("VLOOKUP(A82,IMPORTRANGE(""1QZ5UxyNCwadreQAXnQ7oCoH982DjIA-QnZdO7ZoqkC0/edit#gid=0"",""2017-2021!$A$2:$O$250""),13,FALSE)"),21.0)</f>
        <v>21</v>
      </c>
      <c r="T82" s="17">
        <f t="shared" si="12"/>
        <v>0.084</v>
      </c>
      <c r="U82" s="17">
        <f t="shared" si="13"/>
        <v>0.15</v>
      </c>
    </row>
    <row r="83">
      <c r="A83" s="19" t="s">
        <v>101</v>
      </c>
      <c r="B83" s="12">
        <f>IFERROR(__xludf.DUMMYFUNCTION("VLOOKUP(A83,IMPORTRANGE(""1EmrnCz2gLVTx5Cbj0e5tfuHPhTtmru8KTGuQvh7STl0/edit#gid=2147150001"",""Whole Data Set!$A$2:$NQ$253""),381,FALSE)"),69.25)</f>
        <v>69.25</v>
      </c>
      <c r="C83" s="13">
        <f t="shared" si="1"/>
        <v>0.277</v>
      </c>
      <c r="D83" s="12">
        <f>IFERROR(__xludf.DUMMYFUNCTION("VLOOKUP(A83,IMPORTRANGE(""1aFCnJY1qhIj8-JckJhDJ18aqmVo17tofpQmOjcYa3u8/edit#gid=948248086"",""Whole Data Set!$A$2:$NG$253""),371,FALSE)"),54.75)</f>
        <v>54.75</v>
      </c>
      <c r="E83" s="13">
        <f t="shared" si="2"/>
        <v>0.219</v>
      </c>
      <c r="F83" s="13">
        <f t="shared" si="3"/>
        <v>0.058</v>
      </c>
      <c r="G83" s="12">
        <f>IFERROR(__xludf.DUMMYFUNCTION("VLOOKUP(A83,IMPORTRANGE(""1QZ5UxyNCwadreQAXnQ7oCoH982DjIA-QnZdO7ZoqkC0/edit#gid=0"",""2017-2021!$A$2:$O$250""),2,FALSE)"),53.75)</f>
        <v>53.75</v>
      </c>
      <c r="H83" s="14">
        <f t="shared" si="4"/>
        <v>0.215</v>
      </c>
      <c r="I83" s="15">
        <f t="shared" si="5"/>
        <v>0.062</v>
      </c>
      <c r="J83" s="16">
        <f>IFERROR(__xludf.DUMMYFUNCTION("VLOOKUP(A83,IMPORTRANGE(""1QZ5UxyNCwadreQAXnQ7oCoH982DjIA-QnZdO7ZoqkC0/edit#gid=0"",""2017-2021!$A$2:$O$250""),4,FALSE)"),73.0)</f>
        <v>73</v>
      </c>
      <c r="K83" s="17">
        <f t="shared" si="6"/>
        <v>0.292</v>
      </c>
      <c r="L83" s="17">
        <f t="shared" si="7"/>
        <v>-0.015</v>
      </c>
      <c r="M83" s="16">
        <f>IFERROR(__xludf.DUMMYFUNCTION("VLOOKUP(A83,IMPORTRANGE(""1QZ5UxyNCwadreQAXnQ7oCoH982DjIA-QnZdO7ZoqkC0/edit#gid=0"",""2017-2021!$A$2:$O$250""),7,FALSE)"),69.0)</f>
        <v>69</v>
      </c>
      <c r="N83" s="17">
        <f t="shared" si="8"/>
        <v>0.276</v>
      </c>
      <c r="O83" s="17">
        <f t="shared" si="9"/>
        <v>0.001</v>
      </c>
      <c r="P83" s="16">
        <f>IFERROR(__xludf.DUMMYFUNCTION("VLOOKUP(A83,IMPORTRANGE(""1QZ5UxyNCwadreQAXnQ7oCoH982DjIA-QnZdO7ZoqkC0/edit#gid=0"",""2017-2021!$A$2:$O$250""),10,FALSE)"),54.5)</f>
        <v>54.5</v>
      </c>
      <c r="Q83" s="17">
        <f t="shared" si="10"/>
        <v>0.218</v>
      </c>
      <c r="R83" s="17">
        <f t="shared" si="11"/>
        <v>0.059</v>
      </c>
      <c r="S83" s="16">
        <f>IFERROR(__xludf.DUMMYFUNCTION("VLOOKUP(A83,IMPORTRANGE(""1QZ5UxyNCwadreQAXnQ7oCoH982DjIA-QnZdO7ZoqkC0/edit#gid=0"",""2017-2021!$A$2:$O$250""),13,FALSE)"),27.5)</f>
        <v>27.5</v>
      </c>
      <c r="T83" s="17">
        <f t="shared" si="12"/>
        <v>0.11</v>
      </c>
      <c r="U83" s="17">
        <f t="shared" si="13"/>
        <v>0.167</v>
      </c>
    </row>
    <row r="84">
      <c r="A84" s="19" t="s">
        <v>102</v>
      </c>
      <c r="B84" s="12">
        <f>IFERROR(__xludf.DUMMYFUNCTION("VLOOKUP(A84,IMPORTRANGE(""1EmrnCz2gLVTx5Cbj0e5tfuHPhTtmru8KTGuQvh7STl0/edit#gid=2147150001"",""Whole Data Set!$A$2:$NQ$253""),381,FALSE)"),126.5)</f>
        <v>126.5</v>
      </c>
      <c r="C84" s="13">
        <f t="shared" si="1"/>
        <v>0.506</v>
      </c>
      <c r="D84" s="12">
        <f>IFERROR(__xludf.DUMMYFUNCTION("VLOOKUP(A84,IMPORTRANGE(""1aFCnJY1qhIj8-JckJhDJ18aqmVo17tofpQmOjcYa3u8/edit#gid=948248086"",""Whole Data Set!$A$2:$NG$253""),371,FALSE)"),123.5)</f>
        <v>123.5</v>
      </c>
      <c r="E84" s="13">
        <f t="shared" si="2"/>
        <v>0.494</v>
      </c>
      <c r="F84" s="13">
        <f t="shared" si="3"/>
        <v>0.012</v>
      </c>
      <c r="G84" s="12">
        <f>IFERROR(__xludf.DUMMYFUNCTION("VLOOKUP(A84,IMPORTRANGE(""1QZ5UxyNCwadreQAXnQ7oCoH982DjIA-QnZdO7ZoqkC0/edit#gid=0"",""2017-2021!$A$2:$O$250""),2,FALSE)"),105.25)</f>
        <v>105.25</v>
      </c>
      <c r="H84" s="14">
        <f t="shared" si="4"/>
        <v>0.421</v>
      </c>
      <c r="I84" s="15">
        <f t="shared" si="5"/>
        <v>0.085</v>
      </c>
      <c r="J84" s="16">
        <f>IFERROR(__xludf.DUMMYFUNCTION("VLOOKUP(A84,IMPORTRANGE(""1QZ5UxyNCwadreQAXnQ7oCoH982DjIA-QnZdO7ZoqkC0/edit#gid=0"",""2017-2021!$A$2:$O$250""),4,FALSE)"),99.0)</f>
        <v>99</v>
      </c>
      <c r="K84" s="17">
        <f t="shared" si="6"/>
        <v>0.396</v>
      </c>
      <c r="L84" s="17">
        <f t="shared" si="7"/>
        <v>0.11</v>
      </c>
      <c r="M84" s="16">
        <f>IFERROR(__xludf.DUMMYFUNCTION("VLOOKUP(A84,IMPORTRANGE(""1QZ5UxyNCwadreQAXnQ7oCoH982DjIA-QnZdO7ZoqkC0/edit#gid=0"",""2017-2021!$A$2:$O$250""),7,FALSE)"),95.5)</f>
        <v>95.5</v>
      </c>
      <c r="N84" s="17">
        <f t="shared" si="8"/>
        <v>0.382</v>
      </c>
      <c r="O84" s="17">
        <f t="shared" si="9"/>
        <v>0.124</v>
      </c>
      <c r="P84" s="16">
        <f>IFERROR(__xludf.DUMMYFUNCTION("VLOOKUP(A84,IMPORTRANGE(""1QZ5UxyNCwadreQAXnQ7oCoH982DjIA-QnZdO7ZoqkC0/edit#gid=0"",""2017-2021!$A$2:$O$250""),10,FALSE)"),71.5)</f>
        <v>71.5</v>
      </c>
      <c r="Q84" s="17">
        <f t="shared" si="10"/>
        <v>0.286</v>
      </c>
      <c r="R84" s="17">
        <f t="shared" si="11"/>
        <v>0.22</v>
      </c>
      <c r="S84" s="16">
        <f>IFERROR(__xludf.DUMMYFUNCTION("VLOOKUP(A84,IMPORTRANGE(""1QZ5UxyNCwadreQAXnQ7oCoH982DjIA-QnZdO7ZoqkC0/edit#gid=0"",""2017-2021!$A$2:$O$250""),13,FALSE)"),66.0)</f>
        <v>66</v>
      </c>
      <c r="T84" s="17">
        <f t="shared" si="12"/>
        <v>0.264</v>
      </c>
      <c r="U84" s="17">
        <f t="shared" si="13"/>
        <v>0.242</v>
      </c>
    </row>
    <row r="85">
      <c r="A85" s="20" t="s">
        <v>103</v>
      </c>
      <c r="B85" s="12">
        <f>IFERROR(__xludf.DUMMYFUNCTION("VLOOKUP(A85,IMPORTRANGE(""1EmrnCz2gLVTx5Cbj0e5tfuHPhTtmru8KTGuQvh7STl0/edit#gid=2147150001"",""Whole Data Set!$A$2:$NQ$253""),381,FALSE)"),182.5)</f>
        <v>182.5</v>
      </c>
      <c r="C85" s="13">
        <f t="shared" si="1"/>
        <v>0.73</v>
      </c>
      <c r="D85" s="12">
        <f>IFERROR(__xludf.DUMMYFUNCTION("VLOOKUP(A85,IMPORTRANGE(""1aFCnJY1qhIj8-JckJhDJ18aqmVo17tofpQmOjcYa3u8/edit#gid=948248086"",""Whole Data Set!$A$2:$NG$253""),371,FALSE)"),158.0)</f>
        <v>158</v>
      </c>
      <c r="E85" s="13">
        <f t="shared" si="2"/>
        <v>0.632</v>
      </c>
      <c r="F85" s="13">
        <f t="shared" si="3"/>
        <v>0.098</v>
      </c>
      <c r="G85" s="12">
        <f>IFERROR(__xludf.DUMMYFUNCTION("VLOOKUP(A85,IMPORTRANGE(""1QZ5UxyNCwadreQAXnQ7oCoH982DjIA-QnZdO7ZoqkC0/edit#gid=0"",""2017-2021!$A$2:$O$250""),2,FALSE)"),149.25)</f>
        <v>149.25</v>
      </c>
      <c r="H85" s="14">
        <f t="shared" si="4"/>
        <v>0.597</v>
      </c>
      <c r="I85" s="15">
        <f t="shared" si="5"/>
        <v>0.133</v>
      </c>
      <c r="J85" s="16">
        <f>IFERROR(__xludf.DUMMYFUNCTION("VLOOKUP(A85,IMPORTRANGE(""1QZ5UxyNCwadreQAXnQ7oCoH982DjIA-QnZdO7ZoqkC0/edit#gid=0"",""2017-2021!$A$2:$O$250""),4,FALSE)"),136.5)</f>
        <v>136.5</v>
      </c>
      <c r="K85" s="17">
        <f t="shared" si="6"/>
        <v>0.546</v>
      </c>
      <c r="L85" s="17">
        <f t="shared" si="7"/>
        <v>0.184</v>
      </c>
      <c r="M85" s="16">
        <f>IFERROR(__xludf.DUMMYFUNCTION("VLOOKUP(A85,IMPORTRANGE(""1QZ5UxyNCwadreQAXnQ7oCoH982DjIA-QnZdO7ZoqkC0/edit#gid=0"",""2017-2021!$A$2:$O$250""),7,FALSE)"),110.0)</f>
        <v>110</v>
      </c>
      <c r="N85" s="17">
        <f t="shared" si="8"/>
        <v>0.44</v>
      </c>
      <c r="O85" s="17">
        <f t="shared" si="9"/>
        <v>0.29</v>
      </c>
      <c r="P85" s="16">
        <f>IFERROR(__xludf.DUMMYFUNCTION("VLOOKUP(A85,IMPORTRANGE(""1QZ5UxyNCwadreQAXnQ7oCoH982DjIA-QnZdO7ZoqkC0/edit#gid=0"",""2017-2021!$A$2:$O$250""),10,FALSE)"),87.0)</f>
        <v>87</v>
      </c>
      <c r="Q85" s="17">
        <f t="shared" si="10"/>
        <v>0.348</v>
      </c>
      <c r="R85" s="17">
        <f t="shared" si="11"/>
        <v>0.382</v>
      </c>
      <c r="S85" s="16">
        <f>IFERROR(__xludf.DUMMYFUNCTION("VLOOKUP(A85,IMPORTRANGE(""1QZ5UxyNCwadreQAXnQ7oCoH982DjIA-QnZdO7ZoqkC0/edit#gid=0"",""2017-2021!$A$2:$O$250""),13,FALSE)"),47.0)</f>
        <v>47</v>
      </c>
      <c r="T85" s="17">
        <f t="shared" si="12"/>
        <v>0.188</v>
      </c>
      <c r="U85" s="17">
        <f t="shared" si="13"/>
        <v>0.542</v>
      </c>
    </row>
    <row r="86">
      <c r="A86" s="20" t="s">
        <v>104</v>
      </c>
      <c r="B86" s="12">
        <f>IFERROR(__xludf.DUMMYFUNCTION("VLOOKUP(A86,IMPORTRANGE(""1EmrnCz2gLVTx5Cbj0e5tfuHPhTtmru8KTGuQvh7STl0/edit#gid=2147150001"",""Whole Data Set!$A$2:$NQ$253""),381,FALSE)"),32.5)</f>
        <v>32.5</v>
      </c>
      <c r="C86" s="13">
        <f t="shared" si="1"/>
        <v>0.13</v>
      </c>
      <c r="D86" s="12">
        <f>IFERROR(__xludf.DUMMYFUNCTION("VLOOKUP(A86,IMPORTRANGE(""1aFCnJY1qhIj8-JckJhDJ18aqmVo17tofpQmOjcYa3u8/edit#gid=948248086"",""Whole Data Set!$A$2:$NG$253""),371,FALSE)"),34.75)</f>
        <v>34.75</v>
      </c>
      <c r="E86" s="13">
        <f t="shared" si="2"/>
        <v>0.139</v>
      </c>
      <c r="F86" s="13">
        <f t="shared" si="3"/>
        <v>-0.009</v>
      </c>
      <c r="G86" s="12">
        <f>IFERROR(__xludf.DUMMYFUNCTION("VLOOKUP(A86,IMPORTRANGE(""1QZ5UxyNCwadreQAXnQ7oCoH982DjIA-QnZdO7ZoqkC0/edit#gid=0"",""2017-2021!$A$2:$O$250""),2,FALSE)"),39.25)</f>
        <v>39.25</v>
      </c>
      <c r="H86" s="14">
        <f t="shared" si="4"/>
        <v>0.157</v>
      </c>
      <c r="I86" s="15">
        <f t="shared" si="5"/>
        <v>-0.027</v>
      </c>
      <c r="J86" s="16">
        <f>IFERROR(__xludf.DUMMYFUNCTION("VLOOKUP(A86,IMPORTRANGE(""1QZ5UxyNCwadreQAXnQ7oCoH982DjIA-QnZdO7ZoqkC0/edit#gid=0"",""2017-2021!$A$2:$O$250""),4,FALSE)"),50.5)</f>
        <v>50.5</v>
      </c>
      <c r="K86" s="17">
        <f t="shared" si="6"/>
        <v>0.202</v>
      </c>
      <c r="L86" s="17">
        <f t="shared" si="7"/>
        <v>-0.072</v>
      </c>
      <c r="M86" s="16">
        <f>IFERROR(__xludf.DUMMYFUNCTION("VLOOKUP(A86,IMPORTRANGE(""1QZ5UxyNCwadreQAXnQ7oCoH982DjIA-QnZdO7ZoqkC0/edit#gid=0"",""2017-2021!$A$2:$O$250""),7,FALSE)"),13.5)</f>
        <v>13.5</v>
      </c>
      <c r="N86" s="17">
        <f t="shared" si="8"/>
        <v>0.054</v>
      </c>
      <c r="O86" s="17">
        <f t="shared" si="9"/>
        <v>0.076</v>
      </c>
      <c r="P86" s="16">
        <f>IFERROR(__xludf.DUMMYFUNCTION("VLOOKUP(A86,IMPORTRANGE(""1QZ5UxyNCwadreQAXnQ7oCoH982DjIA-QnZdO7ZoqkC0/edit#gid=0"",""2017-2021!$A$2:$O$250""),10,FALSE)"),14.5)</f>
        <v>14.5</v>
      </c>
      <c r="Q86" s="17">
        <f t="shared" si="10"/>
        <v>0.058</v>
      </c>
      <c r="R86" s="17">
        <f t="shared" si="11"/>
        <v>0.072</v>
      </c>
      <c r="S86" s="16">
        <f>IFERROR(__xludf.DUMMYFUNCTION("VLOOKUP(A86,IMPORTRANGE(""1QZ5UxyNCwadreQAXnQ7oCoH982DjIA-QnZdO7ZoqkC0/edit#gid=0"",""2017-2021!$A$2:$O$250""),13,FALSE)"),16.5)</f>
        <v>16.5</v>
      </c>
      <c r="T86" s="17">
        <f t="shared" si="12"/>
        <v>0.066</v>
      </c>
      <c r="U86" s="17">
        <f t="shared" si="13"/>
        <v>0.064</v>
      </c>
    </row>
    <row r="87">
      <c r="A87" s="20" t="s">
        <v>105</v>
      </c>
      <c r="B87" s="12">
        <f>IFERROR(__xludf.DUMMYFUNCTION("VLOOKUP(A87,IMPORTRANGE(""1EmrnCz2gLVTx5Cbj0e5tfuHPhTtmru8KTGuQvh7STl0/edit#gid=2147150001"",""Whole Data Set!$A$2:$NQ$253""),381,FALSE)"),47.25)</f>
        <v>47.25</v>
      </c>
      <c r="C87" s="13">
        <f t="shared" si="1"/>
        <v>0.189</v>
      </c>
      <c r="D87" s="12">
        <f>IFERROR(__xludf.DUMMYFUNCTION("VLOOKUP(A87,IMPORTRANGE(""1aFCnJY1qhIj8-JckJhDJ18aqmVo17tofpQmOjcYa3u8/edit#gid=948248086"",""Whole Data Set!$A$2:$NG$253""),371,FALSE)"),44.75)</f>
        <v>44.75</v>
      </c>
      <c r="E87" s="13">
        <f t="shared" si="2"/>
        <v>0.179</v>
      </c>
      <c r="F87" s="13">
        <f t="shared" si="3"/>
        <v>0.01</v>
      </c>
      <c r="G87" s="12">
        <f>IFERROR(__xludf.DUMMYFUNCTION("VLOOKUP(A87,IMPORTRANGE(""1QZ5UxyNCwadreQAXnQ7oCoH982DjIA-QnZdO7ZoqkC0/edit#gid=0"",""2017-2021!$A$2:$O$250""),2,FALSE)"),54.0)</f>
        <v>54</v>
      </c>
      <c r="H87" s="14">
        <f t="shared" si="4"/>
        <v>0.216</v>
      </c>
      <c r="I87" s="15">
        <f t="shared" si="5"/>
        <v>-0.027</v>
      </c>
      <c r="J87" s="16">
        <f>IFERROR(__xludf.DUMMYFUNCTION("VLOOKUP(A87,IMPORTRANGE(""1QZ5UxyNCwadreQAXnQ7oCoH982DjIA-QnZdO7ZoqkC0/edit#gid=0"",""2017-2021!$A$2:$O$250""),4,FALSE)"),53.0)</f>
        <v>53</v>
      </c>
      <c r="K87" s="17">
        <f t="shared" si="6"/>
        <v>0.212</v>
      </c>
      <c r="L87" s="17">
        <f t="shared" si="7"/>
        <v>-0.023</v>
      </c>
      <c r="M87" s="16">
        <f>IFERROR(__xludf.DUMMYFUNCTION("VLOOKUP(A87,IMPORTRANGE(""1QZ5UxyNCwadreQAXnQ7oCoH982DjIA-QnZdO7ZoqkC0/edit#gid=0"",""2017-2021!$A$2:$O$250""),7,FALSE)"),58.0)</f>
        <v>58</v>
      </c>
      <c r="N87" s="17">
        <f t="shared" si="8"/>
        <v>0.232</v>
      </c>
      <c r="O87" s="17">
        <f t="shared" si="9"/>
        <v>-0.043</v>
      </c>
      <c r="P87" s="16">
        <f>IFERROR(__xludf.DUMMYFUNCTION("VLOOKUP(A87,IMPORTRANGE(""1QZ5UxyNCwadreQAXnQ7oCoH982DjIA-QnZdO7ZoqkC0/edit#gid=0"",""2017-2021!$A$2:$O$250""),10,FALSE)"),48.0)</f>
        <v>48</v>
      </c>
      <c r="Q87" s="17">
        <f t="shared" si="10"/>
        <v>0.192</v>
      </c>
      <c r="R87" s="17">
        <f t="shared" si="11"/>
        <v>-0.003</v>
      </c>
      <c r="S87" s="16">
        <f>IFERROR(__xludf.DUMMYFUNCTION("VLOOKUP(A87,IMPORTRANGE(""1QZ5UxyNCwadreQAXnQ7oCoH982DjIA-QnZdO7ZoqkC0/edit#gid=0"",""2017-2021!$A$2:$O$250""),13,FALSE)"),28.5)</f>
        <v>28.5</v>
      </c>
      <c r="T87" s="17">
        <f t="shared" si="12"/>
        <v>0.114</v>
      </c>
      <c r="U87" s="17">
        <f t="shared" si="13"/>
        <v>0.075</v>
      </c>
    </row>
    <row r="88">
      <c r="A88" s="19" t="s">
        <v>106</v>
      </c>
      <c r="B88" s="12">
        <f>IFERROR(__xludf.DUMMYFUNCTION("VLOOKUP(A88,IMPORTRANGE(""1EmrnCz2gLVTx5Cbj0e5tfuHPhTtmru8KTGuQvh7STl0/edit#gid=2147150001"",""Whole Data Set!$A$2:$NQ$253""),381,FALSE)"),36.0)</f>
        <v>36</v>
      </c>
      <c r="C88" s="13">
        <f t="shared" si="1"/>
        <v>0.144</v>
      </c>
      <c r="D88" s="12">
        <f>IFERROR(__xludf.DUMMYFUNCTION("VLOOKUP(A88,IMPORTRANGE(""1aFCnJY1qhIj8-JckJhDJ18aqmVo17tofpQmOjcYa3u8/edit#gid=948248086"",""Whole Data Set!$A$2:$NG$253""),371,FALSE)"),31.75)</f>
        <v>31.75</v>
      </c>
      <c r="E88" s="13">
        <f t="shared" si="2"/>
        <v>0.127</v>
      </c>
      <c r="F88" s="13">
        <f t="shared" si="3"/>
        <v>0.017</v>
      </c>
      <c r="G88" s="12">
        <f>IFERROR(__xludf.DUMMYFUNCTION("VLOOKUP(A88,IMPORTRANGE(""1QZ5UxyNCwadreQAXnQ7oCoH982DjIA-QnZdO7ZoqkC0/edit#gid=0"",""2017-2021!$A$2:$O$250""),2,FALSE)"),36.5)</f>
        <v>36.5</v>
      </c>
      <c r="H88" s="14">
        <f t="shared" si="4"/>
        <v>0.146</v>
      </c>
      <c r="I88" s="15">
        <f t="shared" si="5"/>
        <v>-0.002</v>
      </c>
      <c r="J88" s="16">
        <f>IFERROR(__xludf.DUMMYFUNCTION("VLOOKUP(A88,IMPORTRANGE(""1QZ5UxyNCwadreQAXnQ7oCoH982DjIA-QnZdO7ZoqkC0/edit#gid=0"",""2017-2021!$A$2:$O$250""),4,FALSE)"),36.0)</f>
        <v>36</v>
      </c>
      <c r="K88" s="17">
        <f t="shared" si="6"/>
        <v>0.144</v>
      </c>
      <c r="L88" s="17">
        <f t="shared" si="7"/>
        <v>0</v>
      </c>
      <c r="M88" s="16">
        <f>IFERROR(__xludf.DUMMYFUNCTION("VLOOKUP(A88,IMPORTRANGE(""1QZ5UxyNCwadreQAXnQ7oCoH982DjIA-QnZdO7ZoqkC0/edit#gid=0"",""2017-2021!$A$2:$O$250""),7,FALSE)"),24.0)</f>
        <v>24</v>
      </c>
      <c r="N88" s="17">
        <f t="shared" si="8"/>
        <v>0.096</v>
      </c>
      <c r="O88" s="17">
        <f t="shared" si="9"/>
        <v>0.048</v>
      </c>
      <c r="P88" s="16">
        <f>IFERROR(__xludf.DUMMYFUNCTION("VLOOKUP(A88,IMPORTRANGE(""1QZ5UxyNCwadreQAXnQ7oCoH982DjIA-QnZdO7ZoqkC0/edit#gid=0"",""2017-2021!$A$2:$O$250""),10,FALSE)"),29.5)</f>
        <v>29.5</v>
      </c>
      <c r="Q88" s="17">
        <f t="shared" si="10"/>
        <v>0.118</v>
      </c>
      <c r="R88" s="17">
        <f t="shared" si="11"/>
        <v>0.026</v>
      </c>
      <c r="S88" s="16">
        <f>IFERROR(__xludf.DUMMYFUNCTION("VLOOKUP(A88,IMPORTRANGE(""1QZ5UxyNCwadreQAXnQ7oCoH982DjIA-QnZdO7ZoqkC0/edit#gid=0"",""2017-2021!$A$2:$O$250""),13,FALSE)"),19.5)</f>
        <v>19.5</v>
      </c>
      <c r="T88" s="17">
        <f t="shared" si="12"/>
        <v>0.078</v>
      </c>
      <c r="U88" s="17">
        <f t="shared" si="13"/>
        <v>0.066</v>
      </c>
    </row>
    <row r="89">
      <c r="A89" s="19" t="s">
        <v>107</v>
      </c>
      <c r="B89" s="12">
        <f>IFERROR(__xludf.DUMMYFUNCTION("VLOOKUP(A89,IMPORTRANGE(""1EmrnCz2gLVTx5Cbj0e5tfuHPhTtmru8KTGuQvh7STl0/edit#gid=2147150001"",""Whole Data Set!$A$2:$NQ$253""),381,FALSE)"),82.25)</f>
        <v>82.25</v>
      </c>
      <c r="C89" s="13">
        <f t="shared" si="1"/>
        <v>0.329</v>
      </c>
      <c r="D89" s="12">
        <f>IFERROR(__xludf.DUMMYFUNCTION("VLOOKUP(A89,IMPORTRANGE(""1aFCnJY1qhIj8-JckJhDJ18aqmVo17tofpQmOjcYa3u8/edit#gid=948248086"",""Whole Data Set!$A$2:$NG$253""),371,FALSE)"),111.25)</f>
        <v>111.25</v>
      </c>
      <c r="E89" s="13">
        <f t="shared" si="2"/>
        <v>0.445</v>
      </c>
      <c r="F89" s="13">
        <f t="shared" si="3"/>
        <v>-0.116</v>
      </c>
      <c r="G89" s="12">
        <f>IFERROR(__xludf.DUMMYFUNCTION("VLOOKUP(A89,IMPORTRANGE(""1QZ5UxyNCwadreQAXnQ7oCoH982DjIA-QnZdO7ZoqkC0/edit#gid=0"",""2017-2021!$A$2:$O$250""),2,FALSE)"),85.5)</f>
        <v>85.5</v>
      </c>
      <c r="H89" s="14">
        <f t="shared" si="4"/>
        <v>0.342</v>
      </c>
      <c r="I89" s="15">
        <f t="shared" si="5"/>
        <v>-0.013</v>
      </c>
      <c r="J89" s="16">
        <f>IFERROR(__xludf.DUMMYFUNCTION("VLOOKUP(A89,IMPORTRANGE(""1QZ5UxyNCwadreQAXnQ7oCoH982DjIA-QnZdO7ZoqkC0/edit#gid=0"",""2017-2021!$A$2:$O$250""),4,FALSE)"),146.5)</f>
        <v>146.5</v>
      </c>
      <c r="K89" s="17">
        <f t="shared" si="6"/>
        <v>0.586</v>
      </c>
      <c r="L89" s="17">
        <f t="shared" si="7"/>
        <v>-0.257</v>
      </c>
      <c r="M89" s="16">
        <f>IFERROR(__xludf.DUMMYFUNCTION("VLOOKUP(A89,IMPORTRANGE(""1QZ5UxyNCwadreQAXnQ7oCoH982DjIA-QnZdO7ZoqkC0/edit#gid=0"",""2017-2021!$A$2:$O$250""),7,FALSE)"),141.5)</f>
        <v>141.5</v>
      </c>
      <c r="N89" s="17">
        <f t="shared" si="8"/>
        <v>0.566</v>
      </c>
      <c r="O89" s="17">
        <f t="shared" si="9"/>
        <v>-0.237</v>
      </c>
      <c r="P89" s="16">
        <f>IFERROR(__xludf.DUMMYFUNCTION("VLOOKUP(A89,IMPORTRANGE(""1QZ5UxyNCwadreQAXnQ7oCoH982DjIA-QnZdO7ZoqkC0/edit#gid=0"",""2017-2021!$A$2:$O$250""),10,FALSE)"),114.5)</f>
        <v>114.5</v>
      </c>
      <c r="Q89" s="17">
        <f t="shared" si="10"/>
        <v>0.458</v>
      </c>
      <c r="R89" s="17">
        <f t="shared" si="11"/>
        <v>-0.129</v>
      </c>
      <c r="S89" s="16">
        <f>IFERROR(__xludf.DUMMYFUNCTION("VLOOKUP(A89,IMPORTRANGE(""1QZ5UxyNCwadreQAXnQ7oCoH982DjIA-QnZdO7ZoqkC0/edit#gid=0"",""2017-2021!$A$2:$O$250""),13,FALSE)"),60.5)</f>
        <v>60.5</v>
      </c>
      <c r="T89" s="17">
        <f t="shared" si="12"/>
        <v>0.242</v>
      </c>
      <c r="U89" s="17">
        <f t="shared" si="13"/>
        <v>0.087</v>
      </c>
    </row>
    <row r="90">
      <c r="A90" s="19" t="s">
        <v>108</v>
      </c>
      <c r="B90" s="12">
        <f>IFERROR(__xludf.DUMMYFUNCTION("VLOOKUP(A90,IMPORTRANGE(""1EmrnCz2gLVTx5Cbj0e5tfuHPhTtmru8KTGuQvh7STl0/edit#gid=2147150001"",""Whole Data Set!$A$2:$NQ$253""),381,FALSE)"),99.75)</f>
        <v>99.75</v>
      </c>
      <c r="C90" s="13">
        <f t="shared" si="1"/>
        <v>0.399</v>
      </c>
      <c r="D90" s="12">
        <f>IFERROR(__xludf.DUMMYFUNCTION("VLOOKUP(A90,IMPORTRANGE(""1aFCnJY1qhIj8-JckJhDJ18aqmVo17tofpQmOjcYa3u8/edit#gid=948248086"",""Whole Data Set!$A$2:$NG$253""),371,FALSE)"),110.0)</f>
        <v>110</v>
      </c>
      <c r="E90" s="13">
        <f t="shared" si="2"/>
        <v>0.44</v>
      </c>
      <c r="F90" s="13">
        <f t="shared" si="3"/>
        <v>-0.041</v>
      </c>
      <c r="G90" s="12">
        <f>IFERROR(__xludf.DUMMYFUNCTION("VLOOKUP(A90,IMPORTRANGE(""1QZ5UxyNCwadreQAXnQ7oCoH982DjIA-QnZdO7ZoqkC0/edit#gid=0"",""2017-2021!$A$2:$O$250""),2,FALSE)"),112.25)</f>
        <v>112.25</v>
      </c>
      <c r="H90" s="14">
        <f t="shared" si="4"/>
        <v>0.449</v>
      </c>
      <c r="I90" s="15">
        <f t="shared" si="5"/>
        <v>-0.05</v>
      </c>
      <c r="J90" s="16">
        <f>IFERROR(__xludf.DUMMYFUNCTION("VLOOKUP(A90,IMPORTRANGE(""1QZ5UxyNCwadreQAXnQ7oCoH982DjIA-QnZdO7ZoqkC0/edit#gid=0"",""2017-2021!$A$2:$O$250""),4,FALSE)"),97.5)</f>
        <v>97.5</v>
      </c>
      <c r="K90" s="17">
        <f t="shared" si="6"/>
        <v>0.39</v>
      </c>
      <c r="L90" s="17">
        <f t="shared" si="7"/>
        <v>0.009</v>
      </c>
      <c r="M90" s="16">
        <f>IFERROR(__xludf.DUMMYFUNCTION("VLOOKUP(A90,IMPORTRANGE(""1QZ5UxyNCwadreQAXnQ7oCoH982DjIA-QnZdO7ZoqkC0/edit#gid=0"",""2017-2021!$A$2:$O$250""),7,FALSE)"),70.0)</f>
        <v>70</v>
      </c>
      <c r="N90" s="17">
        <f t="shared" si="8"/>
        <v>0.28</v>
      </c>
      <c r="O90" s="17">
        <f t="shared" si="9"/>
        <v>0.119</v>
      </c>
      <c r="P90" s="16">
        <f>IFERROR(__xludf.DUMMYFUNCTION("VLOOKUP(A90,IMPORTRANGE(""1QZ5UxyNCwadreQAXnQ7oCoH982DjIA-QnZdO7ZoqkC0/edit#gid=0"",""2017-2021!$A$2:$O$250""),10,FALSE)"),67.5)</f>
        <v>67.5</v>
      </c>
      <c r="Q90" s="17">
        <f t="shared" si="10"/>
        <v>0.27</v>
      </c>
      <c r="R90" s="17">
        <f t="shared" si="11"/>
        <v>0.129</v>
      </c>
      <c r="S90" s="16">
        <f>IFERROR(__xludf.DUMMYFUNCTION("VLOOKUP(A90,IMPORTRANGE(""1QZ5UxyNCwadreQAXnQ7oCoH982DjIA-QnZdO7ZoqkC0/edit#gid=0"",""2017-2021!$A$2:$O$250""),13,FALSE)"),41.0)</f>
        <v>41</v>
      </c>
      <c r="T90" s="17">
        <f t="shared" si="12"/>
        <v>0.164</v>
      </c>
      <c r="U90" s="17">
        <f t="shared" si="13"/>
        <v>0.235</v>
      </c>
    </row>
    <row r="91">
      <c r="A91" s="19" t="s">
        <v>109</v>
      </c>
      <c r="B91" s="12">
        <f>IFERROR(__xludf.DUMMYFUNCTION("VLOOKUP(A91,IMPORTRANGE(""1EmrnCz2gLVTx5Cbj0e5tfuHPhTtmru8KTGuQvh7STl0/edit#gid=2147150001"",""Whole Data Set!$A$2:$NQ$253""),381,FALSE)"),124.5)</f>
        <v>124.5</v>
      </c>
      <c r="C91" s="13">
        <f t="shared" si="1"/>
        <v>0.498</v>
      </c>
      <c r="D91" s="12">
        <f>IFERROR(__xludf.DUMMYFUNCTION("VLOOKUP(A91,IMPORTRANGE(""1aFCnJY1qhIj8-JckJhDJ18aqmVo17tofpQmOjcYa3u8/edit#gid=948248086"",""Whole Data Set!$A$2:$NG$253""),371,FALSE)"),107.75)</f>
        <v>107.75</v>
      </c>
      <c r="E91" s="13">
        <f t="shared" si="2"/>
        <v>0.431</v>
      </c>
      <c r="F91" s="13">
        <f t="shared" si="3"/>
        <v>0.067</v>
      </c>
      <c r="G91" s="12">
        <f>IFERROR(__xludf.DUMMYFUNCTION("VLOOKUP(A91,IMPORTRANGE(""1QZ5UxyNCwadreQAXnQ7oCoH982DjIA-QnZdO7ZoqkC0/edit#gid=0"",""2017-2021!$A$2:$O$250""),2,FALSE)"),89.5)</f>
        <v>89.5</v>
      </c>
      <c r="H91" s="14">
        <f t="shared" si="4"/>
        <v>0.358</v>
      </c>
      <c r="I91" s="15">
        <f t="shared" si="5"/>
        <v>0.14</v>
      </c>
      <c r="J91" s="16">
        <f>IFERROR(__xludf.DUMMYFUNCTION("VLOOKUP(A91,IMPORTRANGE(""1QZ5UxyNCwadreQAXnQ7oCoH982DjIA-QnZdO7ZoqkC0/edit#gid=0"",""2017-2021!$A$2:$O$250""),4,FALSE)"),110.5)</f>
        <v>110.5</v>
      </c>
      <c r="K91" s="17">
        <f t="shared" si="6"/>
        <v>0.442</v>
      </c>
      <c r="L91" s="17">
        <f t="shared" si="7"/>
        <v>0.056</v>
      </c>
      <c r="M91" s="16">
        <f>IFERROR(__xludf.DUMMYFUNCTION("VLOOKUP(A91,IMPORTRANGE(""1QZ5UxyNCwadreQAXnQ7oCoH982DjIA-QnZdO7ZoqkC0/edit#gid=0"",""2017-2021!$A$2:$O$250""),7,FALSE)"),114.0)</f>
        <v>114</v>
      </c>
      <c r="N91" s="17">
        <f t="shared" si="8"/>
        <v>0.456</v>
      </c>
      <c r="O91" s="17">
        <f t="shared" si="9"/>
        <v>0.042</v>
      </c>
      <c r="P91" s="16">
        <f>IFERROR(__xludf.DUMMYFUNCTION("VLOOKUP(A91,IMPORTRANGE(""1QZ5UxyNCwadreQAXnQ7oCoH982DjIA-QnZdO7ZoqkC0/edit#gid=0"",""2017-2021!$A$2:$O$250""),10,FALSE)"),105.0)</f>
        <v>105</v>
      </c>
      <c r="Q91" s="17">
        <f t="shared" si="10"/>
        <v>0.42</v>
      </c>
      <c r="R91" s="17">
        <f t="shared" si="11"/>
        <v>0.078</v>
      </c>
      <c r="S91" s="16">
        <f>IFERROR(__xludf.DUMMYFUNCTION("VLOOKUP(A91,IMPORTRANGE(""1QZ5UxyNCwadreQAXnQ7oCoH982DjIA-QnZdO7ZoqkC0/edit#gid=0"",""2017-2021!$A$2:$O$250""),13,FALSE)"),91.0)</f>
        <v>91</v>
      </c>
      <c r="T91" s="17">
        <f t="shared" si="12"/>
        <v>0.364</v>
      </c>
      <c r="U91" s="17">
        <f t="shared" si="13"/>
        <v>0.134</v>
      </c>
    </row>
    <row r="92">
      <c r="A92" s="25"/>
      <c r="B92" s="26">
        <f t="shared" ref="B92:E92" si="14">AVERAGE(B2:B91)</f>
        <v>89.1</v>
      </c>
      <c r="C92" s="27">
        <f t="shared" si="14"/>
        <v>0.3564</v>
      </c>
      <c r="D92" s="26">
        <f t="shared" si="14"/>
        <v>84.00277778</v>
      </c>
      <c r="E92" s="27">
        <f t="shared" si="14"/>
        <v>0.3360111111</v>
      </c>
      <c r="F92" s="28">
        <f t="shared" si="3"/>
        <v>0.02038888889</v>
      </c>
      <c r="G92" s="26">
        <f t="shared" ref="G92:H92" si="15">AVERAGE(G2:G91)</f>
        <v>79.62777778</v>
      </c>
      <c r="H92" s="27">
        <f t="shared" si="15"/>
        <v>0.3185111111</v>
      </c>
      <c r="I92" s="28">
        <f t="shared" si="5"/>
        <v>0.03788888889</v>
      </c>
      <c r="J92" s="26">
        <f t="shared" ref="J92:K92" si="16">AVERAGE(J2:J91)</f>
        <v>83.80555556</v>
      </c>
      <c r="K92" s="29">
        <f t="shared" si="16"/>
        <v>0.3352222222</v>
      </c>
      <c r="L92" s="28">
        <f t="shared" si="7"/>
        <v>0.02117777778</v>
      </c>
      <c r="M92" s="26">
        <f t="shared" ref="M92:N92" si="17">AVERAGE(M2:M91)</f>
        <v>74.86111111</v>
      </c>
      <c r="N92" s="30">
        <f t="shared" si="17"/>
        <v>0.2994444444</v>
      </c>
      <c r="O92" s="28">
        <f t="shared" si="9"/>
        <v>0.05695555556</v>
      </c>
      <c r="P92" s="26">
        <f t="shared" ref="P92:Q92" si="18">AVERAGE(P2:P91)</f>
        <v>64.98333333</v>
      </c>
      <c r="Q92" s="27">
        <f t="shared" si="18"/>
        <v>0.2599333333</v>
      </c>
      <c r="R92" s="28">
        <f t="shared" si="11"/>
        <v>0.09646666667</v>
      </c>
      <c r="S92" s="26">
        <f t="shared" ref="S92:T92" si="19">AVERAGE(S2:S91)</f>
        <v>51.4</v>
      </c>
      <c r="T92" s="31">
        <f t="shared" si="19"/>
        <v>0.2056</v>
      </c>
      <c r="U92" s="32">
        <f t="shared" si="13"/>
        <v>0.1508</v>
      </c>
    </row>
    <row r="93">
      <c r="A93" s="33"/>
      <c r="B93" s="33"/>
      <c r="C93" s="33"/>
      <c r="D93" s="34"/>
      <c r="H93" s="35"/>
      <c r="I93" s="36"/>
      <c r="J93" s="36"/>
      <c r="K93" s="35"/>
      <c r="L93" s="35"/>
      <c r="M93" s="36"/>
      <c r="N93" s="35"/>
      <c r="O93" s="35"/>
      <c r="P93" s="36"/>
      <c r="Q93" s="35"/>
      <c r="R93" s="35"/>
      <c r="S93" s="36"/>
      <c r="T93" s="35"/>
      <c r="U93" s="35"/>
    </row>
    <row r="94">
      <c r="A94" s="33"/>
      <c r="B94" s="33"/>
      <c r="C94" s="33"/>
      <c r="D94" s="34"/>
      <c r="H94" s="35"/>
      <c r="I94" s="36"/>
      <c r="J94" s="36"/>
      <c r="K94" s="35"/>
      <c r="L94" s="35"/>
      <c r="M94" s="36"/>
      <c r="N94" s="37"/>
      <c r="O94" s="37"/>
      <c r="P94" s="36"/>
      <c r="Q94" s="35"/>
      <c r="R94" s="35"/>
      <c r="S94" s="36"/>
      <c r="T94" s="35"/>
      <c r="U94" s="35"/>
    </row>
    <row r="95">
      <c r="D95" s="34"/>
      <c r="H95" s="35"/>
      <c r="I95" s="36"/>
      <c r="J95" s="36"/>
      <c r="K95" s="35"/>
      <c r="L95" s="35"/>
      <c r="M95" s="36"/>
      <c r="N95" s="37"/>
      <c r="O95" s="37"/>
      <c r="P95" s="36"/>
      <c r="Q95" s="35"/>
      <c r="R95" s="35"/>
      <c r="S95" s="36"/>
      <c r="T95" s="35"/>
      <c r="U95" s="35"/>
    </row>
    <row r="96">
      <c r="A96" s="33"/>
      <c r="B96" s="33"/>
      <c r="C96" s="33"/>
      <c r="D96" s="34"/>
      <c r="H96" s="35"/>
      <c r="I96" s="36"/>
      <c r="J96" s="36"/>
      <c r="K96" s="35"/>
      <c r="L96" s="35"/>
      <c r="M96" s="36"/>
      <c r="N96" s="37"/>
      <c r="O96" s="37"/>
      <c r="P96" s="36"/>
      <c r="Q96" s="35"/>
      <c r="R96" s="35"/>
      <c r="S96" s="36"/>
      <c r="T96" s="35"/>
      <c r="U96" s="35"/>
    </row>
    <row r="97">
      <c r="A97" s="33"/>
      <c r="B97" s="33"/>
      <c r="C97" s="33"/>
      <c r="D97" s="34"/>
      <c r="H97" s="35"/>
      <c r="I97" s="36"/>
      <c r="J97" s="36"/>
      <c r="K97" s="35"/>
      <c r="L97" s="35"/>
      <c r="M97" s="36"/>
      <c r="N97" s="37"/>
      <c r="O97" s="37"/>
      <c r="P97" s="36"/>
      <c r="Q97" s="35"/>
      <c r="R97" s="35"/>
      <c r="S97" s="36"/>
      <c r="T97" s="35"/>
      <c r="U97" s="35"/>
    </row>
    <row r="98">
      <c r="A98" s="33"/>
      <c r="B98" s="33"/>
      <c r="C98" s="33"/>
      <c r="D98" s="34"/>
      <c r="H98" s="35"/>
      <c r="I98" s="36"/>
      <c r="J98" s="36"/>
      <c r="K98" s="35"/>
      <c r="L98" s="35"/>
      <c r="M98" s="36"/>
      <c r="N98" s="37"/>
      <c r="O98" s="37"/>
      <c r="P98" s="36"/>
      <c r="Q98" s="35"/>
      <c r="R98" s="35"/>
      <c r="S98" s="36"/>
      <c r="T98" s="35"/>
      <c r="U98" s="35"/>
    </row>
    <row r="99">
      <c r="A99" s="33"/>
      <c r="B99" s="33"/>
      <c r="C99" s="33"/>
      <c r="D99" s="34"/>
      <c r="H99" s="35"/>
      <c r="I99" s="36"/>
      <c r="J99" s="36"/>
      <c r="K99" s="35"/>
      <c r="L99" s="35"/>
      <c r="M99" s="36"/>
      <c r="N99" s="37"/>
      <c r="O99" s="37"/>
      <c r="P99" s="36"/>
      <c r="Q99" s="35"/>
      <c r="R99" s="35"/>
      <c r="S99" s="36"/>
      <c r="T99" s="35"/>
      <c r="U99" s="35"/>
    </row>
    <row r="100">
      <c r="A100" s="33"/>
      <c r="B100" s="33"/>
      <c r="C100" s="33"/>
      <c r="D100" s="34"/>
      <c r="H100" s="35"/>
      <c r="I100" s="36"/>
      <c r="J100" s="36"/>
      <c r="K100" s="35"/>
      <c r="L100" s="35"/>
      <c r="M100" s="36"/>
      <c r="N100" s="37"/>
      <c r="O100" s="37"/>
      <c r="P100" s="36"/>
      <c r="Q100" s="35"/>
      <c r="R100" s="35"/>
      <c r="S100" s="36"/>
      <c r="T100" s="35"/>
      <c r="U100" s="35"/>
    </row>
    <row r="101">
      <c r="D101" s="34"/>
      <c r="H101" s="35"/>
      <c r="I101" s="36"/>
      <c r="J101" s="36"/>
      <c r="K101" s="35"/>
      <c r="L101" s="35"/>
      <c r="M101" s="36"/>
      <c r="N101" s="37"/>
      <c r="O101" s="37"/>
      <c r="P101" s="36"/>
      <c r="Q101" s="35"/>
      <c r="R101" s="35"/>
      <c r="S101" s="36"/>
      <c r="T101" s="35"/>
      <c r="U101" s="35"/>
    </row>
    <row r="102">
      <c r="D102" s="34"/>
      <c r="H102" s="35"/>
      <c r="I102" s="36"/>
      <c r="J102" s="36"/>
      <c r="K102" s="35"/>
      <c r="L102" s="35"/>
      <c r="M102" s="36"/>
      <c r="N102" s="37"/>
      <c r="O102" s="37"/>
      <c r="P102" s="36"/>
      <c r="Q102" s="35"/>
      <c r="R102" s="35"/>
      <c r="S102" s="36"/>
      <c r="T102" s="35"/>
      <c r="U102" s="35"/>
    </row>
    <row r="103">
      <c r="A103" s="33"/>
      <c r="B103" s="33"/>
      <c r="C103" s="33"/>
      <c r="D103" s="34"/>
      <c r="H103" s="35"/>
      <c r="I103" s="36"/>
      <c r="J103" s="36"/>
      <c r="K103" s="35"/>
      <c r="L103" s="35"/>
      <c r="M103" s="36"/>
      <c r="N103" s="37"/>
      <c r="O103" s="37"/>
      <c r="P103" s="36"/>
      <c r="Q103" s="36"/>
      <c r="R103" s="35"/>
      <c r="S103" s="36"/>
      <c r="T103" s="36"/>
      <c r="U103" s="35"/>
    </row>
    <row r="104">
      <c r="D104" s="34"/>
      <c r="H104" s="35"/>
      <c r="I104" s="36"/>
      <c r="J104" s="36"/>
      <c r="K104" s="35"/>
      <c r="L104" s="35"/>
      <c r="M104" s="36"/>
      <c r="N104" s="37"/>
      <c r="O104" s="37"/>
      <c r="P104" s="36"/>
      <c r="Q104" s="36"/>
      <c r="R104" s="35"/>
      <c r="S104" s="36"/>
      <c r="T104" s="36"/>
      <c r="U104" s="35"/>
    </row>
    <row r="105">
      <c r="A105" s="33"/>
      <c r="B105" s="33"/>
      <c r="C105" s="33"/>
      <c r="D105" s="34"/>
      <c r="H105" s="35"/>
      <c r="I105" s="36"/>
      <c r="J105" s="36"/>
      <c r="K105" s="35"/>
      <c r="L105" s="35"/>
      <c r="M105" s="36"/>
      <c r="N105" s="35"/>
      <c r="O105" s="35"/>
      <c r="P105" s="36"/>
      <c r="Q105" s="35"/>
      <c r="R105" s="35"/>
      <c r="S105" s="36"/>
      <c r="T105" s="35"/>
      <c r="U105" s="35"/>
    </row>
    <row r="106">
      <c r="A106" s="33"/>
      <c r="B106" s="33"/>
      <c r="C106" s="33"/>
      <c r="D106" s="34"/>
      <c r="H106" s="35"/>
      <c r="I106" s="36"/>
      <c r="J106" s="36"/>
      <c r="K106" s="35"/>
      <c r="L106" s="35"/>
      <c r="M106" s="36"/>
      <c r="N106" s="35"/>
      <c r="O106" s="35"/>
      <c r="P106" s="36"/>
      <c r="Q106" s="35"/>
      <c r="R106" s="35"/>
      <c r="S106" s="36"/>
      <c r="T106" s="35"/>
      <c r="U106" s="35"/>
    </row>
    <row r="107">
      <c r="D107" s="34"/>
      <c r="H107" s="35"/>
      <c r="I107" s="36"/>
      <c r="J107" s="36"/>
      <c r="K107" s="35"/>
      <c r="L107" s="35"/>
      <c r="M107" s="36"/>
      <c r="N107" s="35"/>
      <c r="O107" s="35"/>
      <c r="P107" s="36"/>
      <c r="Q107" s="35"/>
      <c r="R107" s="35"/>
      <c r="S107" s="36"/>
      <c r="T107" s="35"/>
      <c r="U107" s="35"/>
    </row>
    <row r="108">
      <c r="D108" s="34"/>
      <c r="H108" s="35"/>
      <c r="I108" s="36"/>
      <c r="J108" s="36"/>
      <c r="K108" s="35"/>
      <c r="L108" s="35"/>
      <c r="M108" s="36"/>
      <c r="N108" s="35"/>
      <c r="O108" s="35"/>
      <c r="P108" s="36"/>
      <c r="Q108" s="35"/>
      <c r="R108" s="35"/>
      <c r="S108" s="36"/>
      <c r="T108" s="35"/>
      <c r="U108" s="35"/>
    </row>
    <row r="109">
      <c r="A109" s="33"/>
      <c r="B109" s="33"/>
      <c r="C109" s="33"/>
      <c r="D109" s="34"/>
      <c r="H109" s="35"/>
      <c r="I109" s="36"/>
      <c r="J109" s="36"/>
      <c r="K109" s="35"/>
      <c r="L109" s="35"/>
      <c r="M109" s="36"/>
      <c r="N109" s="35"/>
      <c r="O109" s="35"/>
      <c r="P109" s="36"/>
      <c r="Q109" s="35"/>
      <c r="R109" s="35"/>
      <c r="S109" s="36"/>
      <c r="T109" s="35"/>
      <c r="U109" s="35"/>
    </row>
    <row r="110">
      <c r="D110" s="34"/>
      <c r="H110" s="35"/>
      <c r="I110" s="36"/>
      <c r="J110" s="36"/>
      <c r="K110" s="35"/>
      <c r="L110" s="35"/>
      <c r="M110" s="36"/>
      <c r="N110" s="35"/>
      <c r="O110" s="35"/>
      <c r="P110" s="36"/>
      <c r="Q110" s="35"/>
      <c r="R110" s="35"/>
      <c r="S110" s="36"/>
      <c r="T110" s="35"/>
      <c r="U110" s="35"/>
    </row>
    <row r="111">
      <c r="D111" s="34"/>
      <c r="H111" s="35"/>
      <c r="I111" s="36"/>
      <c r="J111" s="36"/>
      <c r="K111" s="35"/>
      <c r="L111" s="35"/>
      <c r="M111" s="36"/>
      <c r="N111" s="35"/>
      <c r="O111" s="35"/>
      <c r="P111" s="36"/>
      <c r="Q111" s="35"/>
      <c r="R111" s="35"/>
      <c r="S111" s="36"/>
      <c r="T111" s="35"/>
      <c r="U111" s="35"/>
    </row>
    <row r="112">
      <c r="D112" s="34"/>
      <c r="H112" s="35"/>
      <c r="I112" s="36"/>
      <c r="J112" s="36"/>
      <c r="K112" s="35"/>
      <c r="L112" s="35"/>
      <c r="M112" s="36"/>
      <c r="N112" s="35"/>
      <c r="O112" s="35"/>
      <c r="P112" s="36"/>
      <c r="Q112" s="35"/>
      <c r="R112" s="35"/>
      <c r="S112" s="36"/>
      <c r="T112" s="35"/>
      <c r="U112" s="35"/>
    </row>
    <row r="113">
      <c r="D113" s="34"/>
      <c r="H113" s="35"/>
      <c r="I113" s="36"/>
      <c r="J113" s="36"/>
      <c r="K113" s="35"/>
      <c r="L113" s="35"/>
      <c r="M113" s="36"/>
      <c r="N113" s="35"/>
      <c r="O113" s="35"/>
      <c r="P113" s="36"/>
      <c r="Q113" s="35"/>
      <c r="R113" s="35"/>
      <c r="S113" s="36"/>
      <c r="T113" s="35"/>
      <c r="U113" s="35"/>
    </row>
    <row r="114">
      <c r="D114" s="34"/>
      <c r="H114" s="35"/>
      <c r="I114" s="36"/>
      <c r="J114" s="36"/>
      <c r="K114" s="35"/>
      <c r="L114" s="35"/>
      <c r="M114" s="36"/>
      <c r="N114" s="35"/>
      <c r="O114" s="35"/>
      <c r="P114" s="36"/>
      <c r="Q114" s="35"/>
      <c r="R114" s="35"/>
      <c r="S114" s="36"/>
      <c r="T114" s="35"/>
      <c r="U114" s="35"/>
    </row>
    <row r="115">
      <c r="D115" s="34"/>
      <c r="H115" s="35"/>
      <c r="I115" s="36"/>
      <c r="J115" s="36"/>
      <c r="K115" s="35"/>
      <c r="L115" s="35"/>
      <c r="M115" s="36"/>
      <c r="N115" s="35"/>
      <c r="O115" s="35"/>
      <c r="P115" s="36"/>
      <c r="Q115" s="35"/>
      <c r="R115" s="35"/>
      <c r="S115" s="36"/>
      <c r="T115" s="35"/>
      <c r="U115" s="35"/>
    </row>
    <row r="116">
      <c r="A116" s="33"/>
      <c r="B116" s="33"/>
      <c r="C116" s="33"/>
      <c r="D116" s="34"/>
      <c r="H116" s="35"/>
      <c r="I116" s="36"/>
      <c r="J116" s="36"/>
      <c r="K116" s="35"/>
      <c r="L116" s="35"/>
      <c r="M116" s="36"/>
      <c r="N116" s="35"/>
      <c r="O116" s="35"/>
      <c r="P116" s="36"/>
      <c r="Q116" s="35"/>
      <c r="R116" s="35"/>
      <c r="S116" s="36"/>
      <c r="T116" s="35"/>
      <c r="U116" s="35"/>
    </row>
    <row r="117">
      <c r="D117" s="34"/>
      <c r="H117" s="35"/>
      <c r="I117" s="36"/>
      <c r="J117" s="36"/>
      <c r="K117" s="35"/>
      <c r="L117" s="35"/>
      <c r="M117" s="36"/>
      <c r="N117" s="35"/>
      <c r="O117" s="35"/>
      <c r="P117" s="36"/>
      <c r="Q117" s="35"/>
      <c r="R117" s="35"/>
      <c r="S117" s="36"/>
      <c r="T117" s="35"/>
      <c r="U117" s="35"/>
    </row>
    <row r="118">
      <c r="D118" s="34"/>
      <c r="H118" s="35"/>
      <c r="I118" s="36"/>
      <c r="J118" s="36"/>
      <c r="K118" s="35"/>
      <c r="L118" s="35"/>
      <c r="M118" s="36"/>
      <c r="N118" s="35"/>
      <c r="O118" s="35"/>
      <c r="P118" s="36"/>
      <c r="Q118" s="36"/>
      <c r="R118" s="35"/>
      <c r="S118" s="36"/>
      <c r="T118" s="36"/>
      <c r="U118" s="35"/>
    </row>
    <row r="119">
      <c r="D119" s="34"/>
      <c r="H119" s="35"/>
      <c r="I119" s="36"/>
      <c r="J119" s="36"/>
      <c r="K119" s="35"/>
      <c r="L119" s="35"/>
      <c r="M119" s="36"/>
      <c r="N119" s="35"/>
      <c r="O119" s="35"/>
      <c r="P119" s="36"/>
      <c r="Q119" s="35"/>
      <c r="R119" s="35"/>
      <c r="S119" s="36"/>
      <c r="T119" s="35"/>
      <c r="U119" s="35"/>
    </row>
    <row r="120">
      <c r="D120" s="34"/>
      <c r="H120" s="35"/>
      <c r="I120" s="36"/>
      <c r="J120" s="36"/>
      <c r="K120" s="35"/>
      <c r="L120" s="35"/>
      <c r="M120" s="36"/>
      <c r="N120" s="35"/>
      <c r="O120" s="35"/>
      <c r="P120" s="36"/>
      <c r="Q120" s="35"/>
      <c r="R120" s="35"/>
      <c r="S120" s="36"/>
      <c r="T120" s="35"/>
      <c r="U120" s="35"/>
    </row>
    <row r="121">
      <c r="D121" s="34"/>
      <c r="H121" s="35"/>
      <c r="I121" s="36"/>
      <c r="J121" s="36"/>
      <c r="K121" s="35"/>
      <c r="L121" s="35"/>
      <c r="M121" s="36"/>
      <c r="N121" s="35"/>
      <c r="O121" s="35"/>
      <c r="P121" s="36"/>
      <c r="Q121" s="35"/>
      <c r="R121" s="35"/>
      <c r="S121" s="36"/>
      <c r="T121" s="35"/>
      <c r="U121" s="35"/>
    </row>
    <row r="122">
      <c r="D122" s="34"/>
      <c r="H122" s="35"/>
      <c r="I122" s="36"/>
      <c r="J122" s="36"/>
      <c r="K122" s="35"/>
      <c r="L122" s="35"/>
      <c r="M122" s="36"/>
      <c r="N122" s="35"/>
      <c r="O122" s="35"/>
      <c r="P122" s="36"/>
      <c r="Q122" s="36"/>
      <c r="R122" s="35"/>
      <c r="S122" s="36"/>
      <c r="T122" s="36"/>
      <c r="U122" s="35"/>
    </row>
    <row r="123">
      <c r="D123" s="34"/>
      <c r="H123" s="35"/>
      <c r="I123" s="36"/>
      <c r="J123" s="36"/>
      <c r="K123" s="35"/>
      <c r="L123" s="35"/>
      <c r="M123" s="36"/>
      <c r="N123" s="35"/>
      <c r="O123" s="35"/>
      <c r="P123" s="36"/>
      <c r="Q123" s="35"/>
      <c r="R123" s="35"/>
      <c r="S123" s="36"/>
      <c r="T123" s="35"/>
      <c r="U123" s="35"/>
    </row>
    <row r="124">
      <c r="D124" s="34"/>
      <c r="H124" s="35"/>
      <c r="I124" s="36"/>
      <c r="J124" s="36"/>
      <c r="K124" s="35"/>
      <c r="L124" s="35"/>
      <c r="M124" s="36"/>
      <c r="N124" s="35"/>
      <c r="O124" s="35"/>
      <c r="P124" s="36"/>
      <c r="Q124" s="35"/>
      <c r="R124" s="35"/>
      <c r="S124" s="36"/>
      <c r="T124" s="35"/>
      <c r="U124" s="35"/>
    </row>
    <row r="125">
      <c r="D125" s="34"/>
      <c r="H125" s="35"/>
      <c r="I125" s="36"/>
      <c r="J125" s="36"/>
      <c r="K125" s="35"/>
      <c r="L125" s="35"/>
      <c r="M125" s="36"/>
      <c r="N125" s="35"/>
      <c r="O125" s="35"/>
      <c r="P125" s="36"/>
      <c r="Q125" s="35"/>
      <c r="R125" s="35"/>
      <c r="S125" s="36"/>
      <c r="T125" s="35"/>
      <c r="U125" s="35"/>
    </row>
    <row r="126">
      <c r="A126" s="33"/>
      <c r="B126" s="33"/>
      <c r="C126" s="33"/>
      <c r="D126" s="34"/>
      <c r="H126" s="35"/>
      <c r="I126" s="36"/>
      <c r="J126" s="36"/>
      <c r="K126" s="35"/>
      <c r="L126" s="35"/>
      <c r="M126" s="36"/>
      <c r="N126" s="35"/>
      <c r="O126" s="35"/>
      <c r="P126" s="36"/>
      <c r="Q126" s="35"/>
      <c r="R126" s="35"/>
      <c r="S126" s="36"/>
      <c r="T126" s="35"/>
      <c r="U126" s="35"/>
    </row>
    <row r="127">
      <c r="D127" s="34"/>
      <c r="H127" s="35"/>
      <c r="I127" s="36"/>
      <c r="J127" s="36"/>
      <c r="K127" s="35"/>
      <c r="L127" s="35"/>
      <c r="M127" s="36"/>
      <c r="N127" s="35"/>
      <c r="O127" s="35"/>
      <c r="P127" s="36"/>
      <c r="Q127" s="35"/>
      <c r="R127" s="35"/>
      <c r="S127" s="36"/>
      <c r="T127" s="35"/>
      <c r="U127" s="35"/>
    </row>
    <row r="128">
      <c r="D128" s="34"/>
      <c r="H128" s="35"/>
      <c r="I128" s="36"/>
      <c r="J128" s="36"/>
      <c r="K128" s="35"/>
      <c r="L128" s="35"/>
      <c r="M128" s="36"/>
      <c r="N128" s="35"/>
      <c r="O128" s="35"/>
      <c r="P128" s="36"/>
      <c r="Q128" s="35"/>
      <c r="R128" s="35"/>
      <c r="S128" s="36"/>
      <c r="T128" s="35"/>
      <c r="U128" s="35"/>
    </row>
    <row r="129">
      <c r="A129" s="33"/>
      <c r="B129" s="33"/>
      <c r="C129" s="33"/>
      <c r="D129" s="34"/>
      <c r="H129" s="35"/>
      <c r="I129" s="36"/>
      <c r="J129" s="36"/>
      <c r="K129" s="35"/>
      <c r="L129" s="35"/>
      <c r="M129" s="36"/>
      <c r="N129" s="35"/>
      <c r="O129" s="35"/>
      <c r="P129" s="36"/>
      <c r="Q129" s="36"/>
      <c r="R129" s="35"/>
      <c r="S129" s="36"/>
      <c r="T129" s="36"/>
      <c r="U129" s="35"/>
    </row>
    <row r="130">
      <c r="A130" s="33"/>
      <c r="B130" s="33"/>
      <c r="C130" s="33"/>
      <c r="D130" s="34"/>
      <c r="H130" s="35"/>
      <c r="I130" s="36"/>
      <c r="J130" s="36"/>
      <c r="K130" s="35"/>
      <c r="L130" s="35"/>
      <c r="M130" s="36"/>
      <c r="N130" s="35"/>
      <c r="O130" s="35"/>
      <c r="P130" s="36"/>
      <c r="Q130" s="35"/>
      <c r="R130" s="35"/>
      <c r="S130" s="36"/>
      <c r="T130" s="35"/>
      <c r="U130" s="35"/>
    </row>
    <row r="131">
      <c r="D131" s="34"/>
      <c r="H131" s="35"/>
      <c r="I131" s="36"/>
      <c r="J131" s="36"/>
      <c r="K131" s="35"/>
      <c r="L131" s="35"/>
      <c r="M131" s="36"/>
      <c r="N131" s="35"/>
      <c r="O131" s="35"/>
      <c r="P131" s="36"/>
      <c r="Q131" s="35"/>
      <c r="R131" s="35"/>
      <c r="S131" s="36"/>
      <c r="T131" s="35"/>
      <c r="U131" s="35"/>
    </row>
    <row r="132">
      <c r="A132" s="33"/>
      <c r="B132" s="33"/>
      <c r="C132" s="33"/>
      <c r="D132" s="34"/>
      <c r="H132" s="35"/>
      <c r="I132" s="36"/>
      <c r="J132" s="36"/>
      <c r="K132" s="35"/>
      <c r="L132" s="35"/>
      <c r="M132" s="36"/>
      <c r="N132" s="35"/>
      <c r="O132" s="35"/>
      <c r="P132" s="36"/>
      <c r="Q132" s="35"/>
      <c r="R132" s="35"/>
      <c r="S132" s="36"/>
      <c r="T132" s="35"/>
      <c r="U132" s="35"/>
    </row>
    <row r="133">
      <c r="D133" s="34"/>
      <c r="H133" s="35"/>
      <c r="I133" s="36"/>
      <c r="J133" s="36"/>
      <c r="K133" s="35"/>
      <c r="L133" s="35"/>
      <c r="M133" s="36"/>
      <c r="N133" s="35"/>
      <c r="O133" s="35"/>
      <c r="P133" s="36"/>
      <c r="Q133" s="35"/>
      <c r="R133" s="35"/>
      <c r="S133" s="36"/>
      <c r="T133" s="35"/>
      <c r="U133" s="35"/>
    </row>
    <row r="134">
      <c r="D134" s="34"/>
      <c r="H134" s="35"/>
      <c r="I134" s="36"/>
      <c r="J134" s="36"/>
      <c r="K134" s="35"/>
      <c r="L134" s="35"/>
      <c r="M134" s="36"/>
      <c r="N134" s="35"/>
      <c r="O134" s="35"/>
      <c r="P134" s="36"/>
      <c r="Q134" s="35"/>
      <c r="R134" s="35"/>
      <c r="S134" s="36"/>
      <c r="T134" s="35"/>
      <c r="U134" s="35"/>
    </row>
    <row r="135">
      <c r="D135" s="34"/>
      <c r="H135" s="35"/>
      <c r="I135" s="36"/>
      <c r="J135" s="36"/>
      <c r="K135" s="35"/>
      <c r="L135" s="35"/>
      <c r="M135" s="36"/>
      <c r="N135" s="35"/>
      <c r="O135" s="35"/>
      <c r="P135" s="36"/>
      <c r="Q135" s="36"/>
      <c r="R135" s="35"/>
      <c r="S135" s="36"/>
      <c r="T135" s="36"/>
      <c r="U135" s="35"/>
    </row>
    <row r="136">
      <c r="A136" s="33"/>
      <c r="B136" s="33"/>
      <c r="C136" s="33"/>
      <c r="D136" s="34"/>
      <c r="H136" s="35"/>
      <c r="I136" s="36"/>
      <c r="J136" s="36"/>
      <c r="K136" s="35"/>
      <c r="L136" s="35"/>
      <c r="M136" s="36"/>
      <c r="N136" s="35"/>
      <c r="O136" s="35"/>
      <c r="P136" s="36"/>
      <c r="Q136" s="35"/>
      <c r="R136" s="35"/>
      <c r="S136" s="36"/>
      <c r="T136" s="35"/>
      <c r="U136" s="35"/>
    </row>
    <row r="137">
      <c r="D137" s="34"/>
      <c r="H137" s="35"/>
      <c r="I137" s="36"/>
      <c r="J137" s="36"/>
      <c r="K137" s="35"/>
      <c r="L137" s="35"/>
      <c r="M137" s="36"/>
      <c r="N137" s="35"/>
      <c r="O137" s="35"/>
      <c r="P137" s="36"/>
      <c r="Q137" s="35"/>
      <c r="R137" s="35"/>
      <c r="S137" s="36"/>
      <c r="T137" s="35"/>
      <c r="U137" s="35"/>
    </row>
    <row r="138">
      <c r="A138" s="33"/>
      <c r="B138" s="33"/>
      <c r="C138" s="33"/>
      <c r="D138" s="34"/>
      <c r="H138" s="35"/>
      <c r="I138" s="36"/>
      <c r="J138" s="36"/>
      <c r="K138" s="35"/>
      <c r="L138" s="35"/>
      <c r="M138" s="36"/>
      <c r="N138" s="35"/>
      <c r="O138" s="35"/>
      <c r="P138" s="36"/>
      <c r="Q138" s="35"/>
      <c r="R138" s="35"/>
      <c r="S138" s="36"/>
      <c r="T138" s="35"/>
      <c r="U138" s="35"/>
    </row>
    <row r="139">
      <c r="A139" s="33"/>
      <c r="B139" s="33"/>
      <c r="C139" s="33"/>
      <c r="D139" s="34"/>
      <c r="H139" s="35"/>
      <c r="I139" s="36"/>
      <c r="J139" s="36"/>
      <c r="K139" s="35"/>
      <c r="L139" s="35"/>
      <c r="M139" s="36"/>
      <c r="N139" s="35"/>
      <c r="O139" s="35"/>
      <c r="P139" s="36"/>
      <c r="Q139" s="36"/>
      <c r="R139" s="35"/>
      <c r="S139" s="36"/>
      <c r="T139" s="36"/>
      <c r="U139" s="35"/>
    </row>
    <row r="140">
      <c r="A140" s="33"/>
      <c r="B140" s="33"/>
      <c r="C140" s="33"/>
      <c r="D140" s="34"/>
      <c r="H140" s="35"/>
      <c r="I140" s="36"/>
      <c r="J140" s="36"/>
      <c r="K140" s="35"/>
      <c r="L140" s="35"/>
      <c r="M140" s="36"/>
      <c r="N140" s="35"/>
      <c r="O140" s="35"/>
      <c r="P140" s="36"/>
      <c r="Q140" s="35"/>
      <c r="R140" s="35"/>
      <c r="S140" s="36"/>
      <c r="T140" s="35"/>
      <c r="U140" s="35"/>
    </row>
    <row r="141">
      <c r="D141" s="34"/>
      <c r="H141" s="35"/>
      <c r="I141" s="36"/>
      <c r="J141" s="36"/>
      <c r="K141" s="35"/>
      <c r="L141" s="35"/>
      <c r="M141" s="36"/>
      <c r="N141" s="35"/>
      <c r="O141" s="35"/>
      <c r="P141" s="36"/>
      <c r="Q141" s="35"/>
      <c r="R141" s="35"/>
      <c r="S141" s="36"/>
      <c r="T141" s="35"/>
      <c r="U141" s="35"/>
    </row>
    <row r="142">
      <c r="A142" s="33"/>
      <c r="B142" s="33"/>
      <c r="C142" s="33"/>
      <c r="D142" s="34"/>
      <c r="H142" s="35"/>
      <c r="I142" s="36"/>
      <c r="J142" s="36"/>
      <c r="K142" s="35"/>
      <c r="L142" s="35"/>
      <c r="M142" s="36"/>
      <c r="N142" s="35"/>
      <c r="O142" s="35"/>
      <c r="P142" s="36"/>
      <c r="Q142" s="35"/>
      <c r="R142" s="35"/>
      <c r="S142" s="36"/>
      <c r="T142" s="35"/>
      <c r="U142" s="35"/>
    </row>
    <row r="143">
      <c r="D143" s="34"/>
      <c r="H143" s="35"/>
      <c r="I143" s="36"/>
      <c r="J143" s="36"/>
      <c r="K143" s="35"/>
      <c r="L143" s="35"/>
      <c r="M143" s="36"/>
      <c r="N143" s="35"/>
      <c r="O143" s="35"/>
      <c r="P143" s="36"/>
      <c r="Q143" s="36"/>
      <c r="R143" s="35"/>
      <c r="S143" s="36"/>
      <c r="T143" s="36"/>
      <c r="U143" s="35"/>
    </row>
    <row r="144">
      <c r="A144" s="33"/>
      <c r="B144" s="33"/>
      <c r="C144" s="33"/>
      <c r="D144" s="34"/>
      <c r="H144" s="35"/>
      <c r="I144" s="36"/>
      <c r="J144" s="36"/>
      <c r="K144" s="35"/>
      <c r="L144" s="35"/>
      <c r="M144" s="36"/>
      <c r="N144" s="35"/>
      <c r="O144" s="35"/>
      <c r="P144" s="36"/>
      <c r="Q144" s="36"/>
      <c r="R144" s="35"/>
      <c r="S144" s="36"/>
      <c r="T144" s="36"/>
      <c r="U144" s="35"/>
    </row>
    <row r="145">
      <c r="D145" s="34"/>
      <c r="H145" s="35"/>
      <c r="I145" s="36"/>
      <c r="J145" s="36"/>
      <c r="K145" s="35"/>
      <c r="L145" s="35"/>
      <c r="M145" s="36"/>
      <c r="N145" s="35"/>
      <c r="O145" s="35"/>
      <c r="P145" s="36"/>
      <c r="Q145" s="35"/>
      <c r="R145" s="35"/>
      <c r="S145" s="36"/>
      <c r="T145" s="35"/>
      <c r="U145" s="35"/>
    </row>
    <row r="146">
      <c r="A146" s="33"/>
      <c r="B146" s="33"/>
      <c r="C146" s="33"/>
      <c r="D146" s="34"/>
      <c r="H146" s="35"/>
      <c r="I146" s="36"/>
      <c r="J146" s="36"/>
      <c r="K146" s="35"/>
      <c r="L146" s="35"/>
      <c r="M146" s="36"/>
      <c r="N146" s="35"/>
      <c r="O146" s="35"/>
      <c r="P146" s="36"/>
      <c r="Q146" s="35"/>
      <c r="R146" s="35"/>
      <c r="S146" s="36"/>
      <c r="T146" s="35"/>
      <c r="U146" s="35"/>
    </row>
    <row r="147">
      <c r="A147" s="33"/>
      <c r="B147" s="33"/>
      <c r="C147" s="33"/>
      <c r="D147" s="34"/>
      <c r="H147" s="35"/>
      <c r="I147" s="36"/>
      <c r="J147" s="36"/>
      <c r="K147" s="35"/>
      <c r="L147" s="35"/>
      <c r="M147" s="36"/>
      <c r="N147" s="35"/>
      <c r="O147" s="35"/>
      <c r="P147" s="36"/>
      <c r="Q147" s="35"/>
      <c r="R147" s="35"/>
      <c r="S147" s="36"/>
      <c r="T147" s="35"/>
      <c r="U147" s="35"/>
    </row>
    <row r="148">
      <c r="D148" s="34"/>
      <c r="H148" s="35"/>
      <c r="I148" s="36"/>
      <c r="J148" s="36"/>
      <c r="K148" s="35"/>
      <c r="L148" s="35"/>
      <c r="M148" s="36"/>
      <c r="N148" s="35"/>
      <c r="O148" s="35"/>
      <c r="P148" s="36"/>
      <c r="Q148" s="36"/>
      <c r="R148" s="35"/>
      <c r="S148" s="36"/>
      <c r="T148" s="36"/>
      <c r="U148" s="35"/>
    </row>
    <row r="149">
      <c r="D149" s="34"/>
      <c r="H149" s="35"/>
      <c r="I149" s="36"/>
      <c r="J149" s="36"/>
      <c r="K149" s="35"/>
      <c r="L149" s="35"/>
      <c r="M149" s="36"/>
      <c r="N149" s="35"/>
      <c r="O149" s="35"/>
      <c r="P149" s="36"/>
      <c r="Q149" s="36"/>
      <c r="R149" s="35"/>
      <c r="S149" s="36"/>
      <c r="T149" s="36"/>
      <c r="U149" s="35"/>
    </row>
    <row r="150">
      <c r="D150" s="34"/>
      <c r="H150" s="35"/>
      <c r="I150" s="36"/>
      <c r="J150" s="36"/>
      <c r="K150" s="35"/>
      <c r="L150" s="35"/>
      <c r="M150" s="36"/>
      <c r="N150" s="35"/>
      <c r="O150" s="35"/>
      <c r="P150" s="36"/>
      <c r="Q150" s="35"/>
      <c r="R150" s="35"/>
      <c r="S150" s="36"/>
      <c r="T150" s="35"/>
      <c r="U150" s="35"/>
    </row>
    <row r="151">
      <c r="D151" s="34"/>
      <c r="H151" s="35"/>
      <c r="I151" s="36"/>
      <c r="J151" s="36"/>
      <c r="K151" s="35"/>
      <c r="L151" s="35"/>
      <c r="M151" s="36"/>
      <c r="N151" s="35"/>
      <c r="O151" s="35"/>
      <c r="P151" s="36"/>
      <c r="Q151" s="35"/>
      <c r="R151" s="35"/>
      <c r="S151" s="36"/>
      <c r="T151" s="35"/>
      <c r="U151" s="35"/>
    </row>
    <row r="152">
      <c r="A152" s="33"/>
      <c r="B152" s="33"/>
      <c r="C152" s="33"/>
      <c r="D152" s="34"/>
      <c r="H152" s="35"/>
      <c r="I152" s="36"/>
      <c r="J152" s="36"/>
      <c r="K152" s="35"/>
      <c r="L152" s="35"/>
      <c r="M152" s="36"/>
      <c r="N152" s="35"/>
      <c r="O152" s="35"/>
      <c r="P152" s="36"/>
      <c r="Q152" s="36"/>
      <c r="R152" s="35"/>
      <c r="S152" s="36"/>
      <c r="T152" s="36"/>
      <c r="U152" s="35"/>
    </row>
    <row r="153">
      <c r="A153" s="33"/>
      <c r="B153" s="33"/>
      <c r="C153" s="33"/>
      <c r="D153" s="34"/>
      <c r="H153" s="35"/>
      <c r="I153" s="36"/>
      <c r="J153" s="36"/>
      <c r="K153" s="35"/>
      <c r="L153" s="35"/>
      <c r="M153" s="36"/>
      <c r="N153" s="35"/>
      <c r="O153" s="35"/>
      <c r="P153" s="36"/>
      <c r="Q153" s="36"/>
      <c r="R153" s="35"/>
      <c r="S153" s="36"/>
      <c r="T153" s="36"/>
      <c r="U153" s="35"/>
    </row>
    <row r="154">
      <c r="A154" s="33"/>
      <c r="B154" s="33"/>
      <c r="C154" s="33"/>
      <c r="D154" s="34"/>
      <c r="H154" s="35"/>
      <c r="I154" s="36"/>
      <c r="J154" s="36"/>
      <c r="K154" s="35"/>
      <c r="L154" s="35"/>
      <c r="M154" s="36"/>
      <c r="N154" s="35"/>
      <c r="O154" s="35"/>
      <c r="P154" s="36"/>
      <c r="Q154" s="35"/>
      <c r="R154" s="35"/>
      <c r="S154" s="36"/>
      <c r="T154" s="35"/>
      <c r="U154" s="35"/>
    </row>
    <row r="155">
      <c r="D155" s="34"/>
      <c r="H155" s="35"/>
      <c r="I155" s="36"/>
      <c r="J155" s="36"/>
      <c r="K155" s="35"/>
      <c r="L155" s="35"/>
      <c r="M155" s="36"/>
      <c r="N155" s="35"/>
      <c r="O155" s="35"/>
      <c r="P155" s="36"/>
      <c r="Q155" s="35"/>
      <c r="R155" s="35"/>
      <c r="S155" s="36"/>
      <c r="T155" s="35"/>
      <c r="U155" s="35"/>
    </row>
    <row r="156">
      <c r="D156" s="34"/>
      <c r="H156" s="35"/>
      <c r="I156" s="36"/>
      <c r="J156" s="36"/>
      <c r="K156" s="35"/>
      <c r="L156" s="35"/>
      <c r="M156" s="36"/>
      <c r="N156" s="35"/>
      <c r="O156" s="35"/>
      <c r="P156" s="36"/>
      <c r="Q156" s="35"/>
      <c r="R156" s="35"/>
      <c r="S156" s="36"/>
      <c r="T156" s="35"/>
      <c r="U156" s="35"/>
    </row>
    <row r="157">
      <c r="D157" s="34"/>
      <c r="H157" s="35"/>
      <c r="I157" s="36"/>
      <c r="J157" s="36"/>
      <c r="K157" s="35"/>
      <c r="L157" s="35"/>
      <c r="M157" s="36"/>
      <c r="N157" s="35"/>
      <c r="O157" s="35"/>
      <c r="P157" s="36"/>
      <c r="Q157" s="35"/>
      <c r="R157" s="35"/>
      <c r="S157" s="36"/>
      <c r="T157" s="35"/>
      <c r="U157" s="35"/>
    </row>
    <row r="158">
      <c r="D158" s="34"/>
      <c r="H158" s="35"/>
      <c r="I158" s="36"/>
      <c r="J158" s="36"/>
      <c r="K158" s="35"/>
      <c r="L158" s="35"/>
      <c r="M158" s="36"/>
      <c r="N158" s="35"/>
      <c r="O158" s="35"/>
      <c r="P158" s="36"/>
      <c r="Q158" s="35"/>
      <c r="R158" s="35"/>
      <c r="S158" s="36"/>
      <c r="T158" s="35"/>
      <c r="U158" s="35"/>
    </row>
    <row r="159">
      <c r="D159" s="34"/>
      <c r="H159" s="35"/>
      <c r="I159" s="36"/>
      <c r="J159" s="36"/>
      <c r="K159" s="35"/>
      <c r="L159" s="35"/>
      <c r="M159" s="36"/>
      <c r="N159" s="35"/>
      <c r="O159" s="35"/>
      <c r="P159" s="36"/>
      <c r="Q159" s="35"/>
      <c r="R159" s="35"/>
      <c r="S159" s="36"/>
      <c r="T159" s="35"/>
      <c r="U159" s="35"/>
    </row>
    <row r="160">
      <c r="D160" s="34"/>
      <c r="H160" s="35"/>
      <c r="I160" s="36"/>
      <c r="J160" s="36"/>
      <c r="K160" s="35"/>
      <c r="L160" s="35"/>
      <c r="M160" s="36"/>
      <c r="N160" s="35"/>
      <c r="O160" s="35"/>
      <c r="P160" s="36"/>
      <c r="Q160" s="35"/>
      <c r="R160" s="35"/>
      <c r="S160" s="36"/>
      <c r="T160" s="35"/>
      <c r="U160" s="35"/>
    </row>
    <row r="161">
      <c r="A161" s="33"/>
      <c r="B161" s="33"/>
      <c r="C161" s="33"/>
      <c r="D161" s="34"/>
      <c r="H161" s="35"/>
      <c r="I161" s="36"/>
      <c r="J161" s="36"/>
      <c r="K161" s="35"/>
      <c r="L161" s="35"/>
      <c r="M161" s="36"/>
      <c r="N161" s="35"/>
      <c r="O161" s="35"/>
      <c r="P161" s="36"/>
      <c r="Q161" s="35"/>
      <c r="R161" s="35"/>
      <c r="S161" s="36"/>
      <c r="T161" s="35"/>
      <c r="U161" s="35"/>
    </row>
    <row r="162">
      <c r="A162" s="33"/>
      <c r="B162" s="33"/>
      <c r="C162" s="33"/>
      <c r="D162" s="34"/>
      <c r="H162" s="35"/>
      <c r="I162" s="36"/>
      <c r="J162" s="36"/>
      <c r="K162" s="35"/>
      <c r="L162" s="35"/>
      <c r="M162" s="36"/>
      <c r="N162" s="35"/>
      <c r="O162" s="35"/>
      <c r="P162" s="36"/>
      <c r="Q162" s="35"/>
      <c r="R162" s="35"/>
      <c r="S162" s="36"/>
      <c r="T162" s="35"/>
      <c r="U162" s="35"/>
    </row>
    <row r="163">
      <c r="D163" s="34"/>
      <c r="H163" s="35"/>
      <c r="I163" s="36"/>
      <c r="J163" s="36"/>
      <c r="K163" s="35"/>
      <c r="L163" s="35"/>
      <c r="M163" s="36"/>
      <c r="N163" s="35"/>
      <c r="O163" s="35"/>
      <c r="P163" s="36"/>
      <c r="Q163" s="35"/>
      <c r="R163" s="35"/>
      <c r="S163" s="36"/>
      <c r="T163" s="35"/>
      <c r="U163" s="35"/>
    </row>
    <row r="164">
      <c r="A164" s="33"/>
      <c r="B164" s="33"/>
      <c r="C164" s="33"/>
      <c r="D164" s="34"/>
      <c r="H164" s="35"/>
      <c r="I164" s="36"/>
      <c r="J164" s="36"/>
      <c r="K164" s="35"/>
      <c r="L164" s="35"/>
      <c r="M164" s="36"/>
      <c r="N164" s="35"/>
      <c r="O164" s="35"/>
      <c r="P164" s="36"/>
      <c r="Q164" s="36"/>
      <c r="R164" s="35"/>
      <c r="S164" s="36"/>
      <c r="T164" s="36"/>
      <c r="U164" s="35"/>
    </row>
    <row r="165">
      <c r="A165" s="33"/>
      <c r="B165" s="33"/>
      <c r="C165" s="33"/>
      <c r="D165" s="34"/>
      <c r="H165" s="35"/>
      <c r="I165" s="36"/>
      <c r="J165" s="36"/>
      <c r="K165" s="35"/>
      <c r="L165" s="35"/>
      <c r="M165" s="36"/>
      <c r="N165" s="35"/>
      <c r="O165" s="35"/>
      <c r="P165" s="36"/>
      <c r="Q165" s="35"/>
      <c r="R165" s="35"/>
      <c r="S165" s="36"/>
      <c r="T165" s="35"/>
      <c r="U165" s="35"/>
    </row>
    <row r="166">
      <c r="D166" s="34"/>
      <c r="H166" s="35"/>
      <c r="I166" s="36"/>
      <c r="J166" s="36"/>
      <c r="K166" s="35"/>
      <c r="L166" s="35"/>
      <c r="M166" s="36"/>
      <c r="N166" s="35"/>
      <c r="O166" s="35"/>
      <c r="P166" s="36"/>
      <c r="Q166" s="36"/>
      <c r="R166" s="35"/>
      <c r="S166" s="36"/>
      <c r="T166" s="36"/>
      <c r="U166" s="35"/>
    </row>
    <row r="167">
      <c r="A167" s="33"/>
      <c r="B167" s="33"/>
      <c r="C167" s="33"/>
      <c r="D167" s="34"/>
      <c r="H167" s="35"/>
      <c r="I167" s="36"/>
      <c r="J167" s="36"/>
      <c r="K167" s="35"/>
      <c r="L167" s="35"/>
      <c r="M167" s="36"/>
      <c r="N167" s="35"/>
      <c r="O167" s="35"/>
      <c r="P167" s="36"/>
      <c r="Q167" s="35"/>
      <c r="R167" s="35"/>
      <c r="S167" s="36"/>
      <c r="T167" s="35"/>
      <c r="U167" s="35"/>
    </row>
    <row r="168">
      <c r="A168" s="33"/>
      <c r="B168" s="33"/>
      <c r="C168" s="33"/>
      <c r="D168" s="34"/>
      <c r="H168" s="35"/>
      <c r="I168" s="36"/>
      <c r="J168" s="36"/>
      <c r="K168" s="35"/>
      <c r="L168" s="35"/>
      <c r="M168" s="36"/>
      <c r="N168" s="35"/>
      <c r="O168" s="35"/>
      <c r="P168" s="36"/>
      <c r="Q168" s="35"/>
      <c r="R168" s="35"/>
      <c r="S168" s="36"/>
      <c r="T168" s="35"/>
      <c r="U168" s="35"/>
    </row>
    <row r="169">
      <c r="D169" s="34"/>
      <c r="H169" s="35"/>
      <c r="I169" s="36"/>
      <c r="J169" s="36"/>
      <c r="K169" s="35"/>
      <c r="L169" s="35"/>
      <c r="M169" s="36"/>
      <c r="N169" s="35"/>
      <c r="O169" s="35"/>
      <c r="P169" s="36"/>
      <c r="Q169" s="35"/>
      <c r="R169" s="35"/>
      <c r="S169" s="36"/>
      <c r="T169" s="35"/>
      <c r="U169" s="35"/>
    </row>
    <row r="170">
      <c r="D170" s="34"/>
      <c r="H170" s="35"/>
      <c r="I170" s="36"/>
      <c r="J170" s="36"/>
      <c r="K170" s="35"/>
      <c r="L170" s="35"/>
      <c r="M170" s="36"/>
      <c r="N170" s="35"/>
      <c r="O170" s="35"/>
      <c r="P170" s="36"/>
      <c r="Q170" s="36"/>
      <c r="R170" s="35"/>
      <c r="S170" s="36"/>
      <c r="T170" s="36"/>
      <c r="U170" s="35"/>
    </row>
    <row r="171">
      <c r="D171" s="34"/>
      <c r="H171" s="35"/>
      <c r="I171" s="36"/>
      <c r="J171" s="36"/>
      <c r="K171" s="35"/>
      <c r="L171" s="35"/>
      <c r="M171" s="36"/>
      <c r="N171" s="35"/>
      <c r="O171" s="35"/>
      <c r="P171" s="36"/>
      <c r="Q171" s="35"/>
      <c r="R171" s="35"/>
      <c r="S171" s="36"/>
      <c r="T171" s="35"/>
      <c r="U171" s="35"/>
    </row>
    <row r="172">
      <c r="D172" s="34"/>
      <c r="H172" s="35"/>
      <c r="I172" s="36"/>
      <c r="J172" s="36"/>
      <c r="K172" s="35"/>
      <c r="L172" s="35"/>
      <c r="M172" s="36"/>
      <c r="N172" s="35"/>
      <c r="O172" s="35"/>
      <c r="P172" s="36"/>
      <c r="Q172" s="35"/>
      <c r="R172" s="35"/>
      <c r="S172" s="36"/>
      <c r="T172" s="35"/>
      <c r="U172" s="35"/>
    </row>
    <row r="173">
      <c r="D173" s="34"/>
      <c r="H173" s="35"/>
      <c r="I173" s="36"/>
      <c r="J173" s="36"/>
      <c r="K173" s="35"/>
      <c r="L173" s="35"/>
      <c r="M173" s="36"/>
      <c r="N173" s="35"/>
      <c r="O173" s="35"/>
      <c r="P173" s="36"/>
      <c r="Q173" s="35"/>
      <c r="R173" s="35"/>
      <c r="S173" s="36"/>
      <c r="T173" s="35"/>
      <c r="U173" s="35"/>
    </row>
    <row r="174">
      <c r="D174" s="34"/>
      <c r="H174" s="35"/>
      <c r="I174" s="36"/>
      <c r="J174" s="36"/>
      <c r="K174" s="35"/>
      <c r="L174" s="35"/>
      <c r="M174" s="36"/>
      <c r="N174" s="35"/>
      <c r="O174" s="35"/>
      <c r="P174" s="36"/>
      <c r="Q174" s="35"/>
      <c r="R174" s="35"/>
      <c r="S174" s="36"/>
      <c r="T174" s="35"/>
      <c r="U174" s="35"/>
    </row>
    <row r="175">
      <c r="A175" s="33"/>
      <c r="B175" s="33"/>
      <c r="C175" s="33"/>
      <c r="D175" s="34"/>
      <c r="H175" s="35"/>
      <c r="I175" s="36"/>
      <c r="J175" s="36"/>
      <c r="K175" s="35"/>
      <c r="L175" s="35"/>
      <c r="M175" s="36"/>
      <c r="N175" s="35"/>
      <c r="O175" s="35"/>
      <c r="P175" s="36"/>
      <c r="Q175" s="35"/>
      <c r="R175" s="35"/>
      <c r="S175" s="36"/>
      <c r="T175" s="35"/>
      <c r="U175" s="35"/>
    </row>
    <row r="176">
      <c r="D176" s="34"/>
      <c r="H176" s="35"/>
      <c r="I176" s="36"/>
      <c r="J176" s="36"/>
      <c r="K176" s="35"/>
      <c r="L176" s="35"/>
      <c r="M176" s="36"/>
      <c r="N176" s="35"/>
      <c r="O176" s="35"/>
      <c r="P176" s="36"/>
      <c r="Q176" s="35"/>
      <c r="R176" s="35"/>
      <c r="S176" s="36"/>
      <c r="T176" s="35"/>
      <c r="U176" s="35"/>
    </row>
    <row r="177">
      <c r="A177" s="33"/>
      <c r="B177" s="33"/>
      <c r="C177" s="33"/>
      <c r="D177" s="34"/>
      <c r="H177" s="35"/>
      <c r="I177" s="36"/>
      <c r="J177" s="36"/>
      <c r="K177" s="35"/>
      <c r="L177" s="35"/>
      <c r="M177" s="36"/>
      <c r="N177" s="35"/>
      <c r="O177" s="35"/>
      <c r="P177" s="36"/>
      <c r="Q177" s="35"/>
      <c r="R177" s="35"/>
      <c r="S177" s="36"/>
      <c r="T177" s="35"/>
      <c r="U177" s="35"/>
    </row>
    <row r="178">
      <c r="D178" s="34"/>
      <c r="H178" s="35"/>
      <c r="I178" s="36"/>
      <c r="J178" s="36"/>
      <c r="K178" s="35"/>
      <c r="L178" s="35"/>
      <c r="M178" s="36"/>
      <c r="N178" s="35"/>
      <c r="O178" s="35"/>
      <c r="P178" s="36"/>
      <c r="Q178" s="35"/>
      <c r="R178" s="35"/>
      <c r="S178" s="36"/>
      <c r="T178" s="35"/>
      <c r="U178" s="35"/>
    </row>
    <row r="179">
      <c r="A179" s="33"/>
      <c r="B179" s="33"/>
      <c r="C179" s="33"/>
      <c r="D179" s="34"/>
      <c r="H179" s="35"/>
      <c r="I179" s="36"/>
      <c r="J179" s="36"/>
      <c r="K179" s="35"/>
      <c r="L179" s="35"/>
      <c r="M179" s="36"/>
      <c r="N179" s="35"/>
      <c r="O179" s="35"/>
      <c r="P179" s="36"/>
      <c r="Q179" s="36"/>
      <c r="R179" s="35"/>
      <c r="S179" s="36"/>
      <c r="T179" s="36"/>
      <c r="U179" s="35"/>
    </row>
    <row r="180">
      <c r="A180" s="33"/>
      <c r="B180" s="33"/>
      <c r="C180" s="33"/>
      <c r="D180" s="34"/>
      <c r="H180" s="35"/>
      <c r="I180" s="36"/>
      <c r="J180" s="36"/>
      <c r="K180" s="35"/>
      <c r="L180" s="35"/>
      <c r="M180" s="36"/>
      <c r="N180" s="35"/>
      <c r="O180" s="35"/>
      <c r="P180" s="36"/>
      <c r="Q180" s="36"/>
      <c r="R180" s="35"/>
      <c r="S180" s="36"/>
      <c r="T180" s="36"/>
      <c r="U180" s="35"/>
    </row>
    <row r="181">
      <c r="D181" s="34"/>
      <c r="H181" s="35"/>
      <c r="I181" s="36"/>
      <c r="J181" s="36"/>
      <c r="K181" s="35"/>
      <c r="L181" s="35"/>
      <c r="M181" s="36"/>
      <c r="N181" s="35"/>
      <c r="O181" s="35"/>
      <c r="P181" s="36"/>
      <c r="Q181" s="35"/>
      <c r="R181" s="35"/>
      <c r="S181" s="36"/>
      <c r="T181" s="35"/>
      <c r="U181" s="35"/>
    </row>
    <row r="182">
      <c r="A182" s="33"/>
      <c r="B182" s="33"/>
      <c r="C182" s="33"/>
      <c r="D182" s="34"/>
      <c r="H182" s="35"/>
      <c r="I182" s="36"/>
      <c r="J182" s="36"/>
      <c r="K182" s="35"/>
      <c r="L182" s="35"/>
      <c r="M182" s="36"/>
      <c r="N182" s="35"/>
      <c r="O182" s="35"/>
      <c r="P182" s="36"/>
      <c r="Q182" s="35"/>
      <c r="R182" s="35"/>
      <c r="S182" s="36"/>
      <c r="T182" s="35"/>
      <c r="U182" s="35"/>
    </row>
    <row r="183">
      <c r="A183" s="33"/>
      <c r="B183" s="33"/>
      <c r="C183" s="33"/>
      <c r="D183" s="34"/>
      <c r="H183" s="35"/>
      <c r="I183" s="36"/>
      <c r="J183" s="36"/>
      <c r="K183" s="35"/>
      <c r="L183" s="35"/>
      <c r="M183" s="36"/>
      <c r="N183" s="35"/>
      <c r="O183" s="35"/>
      <c r="P183" s="36"/>
      <c r="Q183" s="35"/>
      <c r="R183" s="35"/>
      <c r="S183" s="36"/>
      <c r="T183" s="35"/>
      <c r="U183" s="35"/>
    </row>
    <row r="184">
      <c r="D184" s="34"/>
      <c r="H184" s="35"/>
      <c r="I184" s="36"/>
      <c r="J184" s="36"/>
      <c r="K184" s="35"/>
      <c r="L184" s="35"/>
      <c r="M184" s="36"/>
      <c r="N184" s="35"/>
      <c r="O184" s="35"/>
      <c r="P184" s="36"/>
      <c r="Q184" s="35"/>
      <c r="R184" s="35"/>
      <c r="S184" s="36"/>
      <c r="T184" s="35"/>
      <c r="U184" s="35"/>
    </row>
    <row r="185">
      <c r="D185" s="34"/>
      <c r="H185" s="35"/>
      <c r="I185" s="36"/>
      <c r="J185" s="36"/>
      <c r="K185" s="35"/>
      <c r="L185" s="35"/>
      <c r="M185" s="36"/>
      <c r="N185" s="35"/>
      <c r="O185" s="35"/>
      <c r="P185" s="36"/>
      <c r="Q185" s="35"/>
      <c r="R185" s="35"/>
      <c r="S185" s="36"/>
      <c r="T185" s="35"/>
      <c r="U185" s="35"/>
    </row>
    <row r="186">
      <c r="D186" s="34"/>
      <c r="H186" s="35"/>
      <c r="I186" s="36"/>
      <c r="J186" s="36"/>
      <c r="K186" s="35"/>
      <c r="L186" s="35"/>
      <c r="M186" s="36"/>
      <c r="N186" s="35"/>
      <c r="O186" s="35"/>
      <c r="P186" s="36"/>
      <c r="Q186" s="35"/>
      <c r="R186" s="35"/>
      <c r="S186" s="36"/>
      <c r="T186" s="35"/>
      <c r="U186" s="35"/>
    </row>
    <row r="187">
      <c r="D187" s="34"/>
      <c r="H187" s="35"/>
      <c r="I187" s="36"/>
      <c r="J187" s="36"/>
      <c r="K187" s="35"/>
      <c r="L187" s="35"/>
      <c r="M187" s="36"/>
      <c r="N187" s="35"/>
      <c r="O187" s="35"/>
      <c r="P187" s="36"/>
      <c r="Q187" s="35"/>
      <c r="R187" s="35"/>
      <c r="S187" s="36"/>
      <c r="T187" s="35"/>
      <c r="U187" s="35"/>
    </row>
    <row r="188">
      <c r="D188" s="34"/>
      <c r="H188" s="35"/>
      <c r="I188" s="36"/>
      <c r="J188" s="36"/>
      <c r="K188" s="35"/>
      <c r="L188" s="35"/>
      <c r="M188" s="36"/>
      <c r="N188" s="35"/>
      <c r="O188" s="35"/>
      <c r="P188" s="36"/>
      <c r="Q188" s="35"/>
      <c r="R188" s="35"/>
      <c r="S188" s="36"/>
      <c r="T188" s="35"/>
      <c r="U188" s="35"/>
    </row>
    <row r="189">
      <c r="D189" s="34"/>
      <c r="H189" s="35"/>
      <c r="I189" s="36"/>
      <c r="J189" s="36"/>
      <c r="K189" s="35"/>
      <c r="L189" s="35"/>
      <c r="M189" s="36"/>
      <c r="N189" s="35"/>
      <c r="O189" s="35"/>
      <c r="P189" s="36"/>
      <c r="Q189" s="35"/>
      <c r="R189" s="35"/>
      <c r="S189" s="36"/>
      <c r="T189" s="35"/>
      <c r="U189" s="35"/>
    </row>
    <row r="190">
      <c r="A190" s="33"/>
      <c r="B190" s="33"/>
      <c r="C190" s="33"/>
      <c r="D190" s="34"/>
      <c r="H190" s="35"/>
      <c r="I190" s="36"/>
      <c r="J190" s="36"/>
      <c r="K190" s="35"/>
      <c r="L190" s="35"/>
      <c r="M190" s="36"/>
      <c r="N190" s="35"/>
      <c r="O190" s="35"/>
      <c r="P190" s="36"/>
      <c r="Q190" s="36"/>
      <c r="R190" s="35"/>
      <c r="S190" s="36"/>
      <c r="T190" s="36"/>
      <c r="U190" s="35"/>
    </row>
    <row r="191">
      <c r="D191" s="34"/>
      <c r="H191" s="35"/>
      <c r="I191" s="36"/>
      <c r="J191" s="36"/>
      <c r="K191" s="35"/>
      <c r="L191" s="35"/>
      <c r="M191" s="36"/>
      <c r="N191" s="35"/>
      <c r="O191" s="35"/>
      <c r="P191" s="36"/>
      <c r="Q191" s="36"/>
      <c r="R191" s="35"/>
      <c r="S191" s="36"/>
      <c r="T191" s="36"/>
      <c r="U191" s="35"/>
    </row>
    <row r="192">
      <c r="A192" s="33"/>
      <c r="B192" s="33"/>
      <c r="C192" s="33"/>
      <c r="D192" s="34"/>
      <c r="H192" s="35"/>
      <c r="I192" s="36"/>
      <c r="J192" s="36"/>
      <c r="K192" s="35"/>
      <c r="L192" s="35"/>
      <c r="M192" s="36"/>
      <c r="N192" s="35"/>
      <c r="O192" s="35"/>
      <c r="P192" s="36"/>
      <c r="Q192" s="35"/>
      <c r="R192" s="35"/>
      <c r="S192" s="36"/>
      <c r="T192" s="35"/>
      <c r="U192" s="35"/>
    </row>
    <row r="193">
      <c r="A193" s="33"/>
      <c r="B193" s="33"/>
      <c r="C193" s="33"/>
      <c r="D193" s="34"/>
      <c r="H193" s="35"/>
      <c r="I193" s="36"/>
      <c r="J193" s="36"/>
      <c r="K193" s="35"/>
      <c r="L193" s="35"/>
      <c r="M193" s="36"/>
      <c r="N193" s="35"/>
      <c r="O193" s="35"/>
      <c r="P193" s="36"/>
      <c r="Q193" s="36"/>
      <c r="R193" s="35"/>
      <c r="S193" s="36"/>
      <c r="T193" s="36"/>
      <c r="U193" s="35"/>
    </row>
    <row r="194">
      <c r="D194" s="34"/>
      <c r="H194" s="35"/>
      <c r="I194" s="36"/>
      <c r="J194" s="36"/>
      <c r="K194" s="35"/>
      <c r="L194" s="35"/>
      <c r="M194" s="36"/>
      <c r="N194" s="35"/>
      <c r="O194" s="35"/>
      <c r="P194" s="36"/>
      <c r="Q194" s="35"/>
      <c r="R194" s="35"/>
      <c r="S194" s="36"/>
      <c r="T194" s="35"/>
      <c r="U194" s="35"/>
    </row>
    <row r="195">
      <c r="A195" s="33"/>
      <c r="B195" s="33"/>
      <c r="C195" s="33"/>
      <c r="D195" s="34"/>
      <c r="H195" s="35"/>
      <c r="I195" s="36"/>
      <c r="J195" s="36"/>
      <c r="K195" s="35"/>
      <c r="L195" s="35"/>
      <c r="M195" s="36"/>
      <c r="N195" s="35"/>
      <c r="O195" s="35"/>
      <c r="P195" s="36"/>
      <c r="Q195" s="35"/>
      <c r="R195" s="35"/>
      <c r="S195" s="36"/>
      <c r="T195" s="35"/>
      <c r="U195" s="35"/>
    </row>
    <row r="196">
      <c r="A196" s="33"/>
      <c r="B196" s="33"/>
      <c r="C196" s="33"/>
      <c r="D196" s="34"/>
      <c r="H196" s="35"/>
      <c r="I196" s="36"/>
      <c r="J196" s="36"/>
      <c r="K196" s="35"/>
      <c r="L196" s="35"/>
      <c r="M196" s="36"/>
      <c r="N196" s="35"/>
      <c r="O196" s="35"/>
      <c r="P196" s="36"/>
      <c r="Q196" s="35"/>
      <c r="R196" s="35"/>
      <c r="S196" s="36"/>
      <c r="T196" s="35"/>
      <c r="U196" s="35"/>
    </row>
    <row r="197">
      <c r="D197" s="34"/>
      <c r="H197" s="35"/>
      <c r="I197" s="36"/>
      <c r="J197" s="36"/>
      <c r="K197" s="35"/>
      <c r="L197" s="35"/>
      <c r="M197" s="36"/>
      <c r="N197" s="35"/>
      <c r="O197" s="35"/>
      <c r="P197" s="36"/>
      <c r="Q197" s="35"/>
      <c r="R197" s="35"/>
      <c r="S197" s="36"/>
      <c r="T197" s="35"/>
      <c r="U197" s="35"/>
    </row>
    <row r="198">
      <c r="D198" s="34"/>
      <c r="H198" s="35"/>
      <c r="I198" s="36"/>
      <c r="J198" s="36"/>
      <c r="K198" s="35"/>
      <c r="L198" s="35"/>
      <c r="M198" s="36"/>
      <c r="N198" s="35"/>
      <c r="O198" s="35"/>
      <c r="P198" s="36"/>
      <c r="Q198" s="35"/>
      <c r="R198" s="35"/>
      <c r="S198" s="36"/>
      <c r="T198" s="35"/>
      <c r="U198" s="35"/>
    </row>
    <row r="199">
      <c r="D199" s="34"/>
      <c r="H199" s="35"/>
      <c r="I199" s="36"/>
      <c r="J199" s="36"/>
      <c r="K199" s="35"/>
      <c r="L199" s="35"/>
      <c r="M199" s="36"/>
      <c r="N199" s="35"/>
      <c r="O199" s="35"/>
      <c r="P199" s="36"/>
      <c r="Q199" s="35"/>
      <c r="R199" s="35"/>
      <c r="S199" s="36"/>
      <c r="T199" s="35"/>
      <c r="U199" s="35"/>
    </row>
    <row r="200">
      <c r="D200" s="34"/>
      <c r="H200" s="35"/>
      <c r="I200" s="36"/>
      <c r="J200" s="36"/>
      <c r="K200" s="35"/>
      <c r="L200" s="35"/>
      <c r="M200" s="36"/>
      <c r="N200" s="35"/>
      <c r="O200" s="35"/>
      <c r="P200" s="36"/>
      <c r="Q200" s="36"/>
      <c r="R200" s="35"/>
      <c r="S200" s="36"/>
      <c r="T200" s="36"/>
      <c r="U200" s="35"/>
    </row>
    <row r="201">
      <c r="D201" s="34"/>
      <c r="H201" s="35"/>
      <c r="I201" s="36"/>
      <c r="J201" s="36"/>
      <c r="K201" s="35"/>
      <c r="L201" s="35"/>
      <c r="M201" s="36"/>
      <c r="N201" s="35"/>
      <c r="O201" s="35"/>
      <c r="P201" s="36"/>
      <c r="Q201" s="35"/>
      <c r="R201" s="35"/>
      <c r="S201" s="36"/>
      <c r="T201" s="35"/>
      <c r="U201" s="35"/>
    </row>
    <row r="202">
      <c r="D202" s="34"/>
      <c r="H202" s="35"/>
      <c r="I202" s="36"/>
      <c r="J202" s="36"/>
      <c r="K202" s="35"/>
      <c r="L202" s="35"/>
      <c r="M202" s="36"/>
      <c r="N202" s="35"/>
      <c r="O202" s="35"/>
      <c r="P202" s="36"/>
      <c r="Q202" s="36"/>
      <c r="R202" s="35"/>
      <c r="S202" s="36"/>
      <c r="T202" s="36"/>
      <c r="U202" s="35"/>
    </row>
    <row r="203">
      <c r="D203" s="34"/>
      <c r="H203" s="35"/>
      <c r="I203" s="36"/>
      <c r="J203" s="36"/>
      <c r="K203" s="35"/>
      <c r="L203" s="35"/>
      <c r="M203" s="36"/>
      <c r="N203" s="35"/>
      <c r="O203" s="35"/>
      <c r="P203" s="36"/>
      <c r="Q203" s="35"/>
      <c r="R203" s="35"/>
      <c r="S203" s="36"/>
      <c r="T203" s="35"/>
      <c r="U203" s="35"/>
    </row>
    <row r="204">
      <c r="D204" s="34"/>
      <c r="H204" s="35"/>
      <c r="I204" s="36"/>
      <c r="J204" s="36"/>
      <c r="K204" s="35"/>
      <c r="L204" s="35"/>
      <c r="M204" s="36"/>
      <c r="N204" s="35"/>
      <c r="O204" s="35"/>
      <c r="P204" s="36"/>
      <c r="Q204" s="35"/>
      <c r="R204" s="35"/>
      <c r="S204" s="36"/>
      <c r="T204" s="35"/>
      <c r="U204" s="35"/>
    </row>
    <row r="205">
      <c r="D205" s="34"/>
      <c r="H205" s="35"/>
      <c r="I205" s="36"/>
      <c r="J205" s="36"/>
      <c r="K205" s="35"/>
      <c r="L205" s="35"/>
      <c r="M205" s="36"/>
      <c r="N205" s="35"/>
      <c r="O205" s="35"/>
      <c r="P205" s="36"/>
      <c r="Q205" s="35"/>
      <c r="R205" s="35"/>
      <c r="S205" s="36"/>
      <c r="T205" s="35"/>
      <c r="U205" s="35"/>
    </row>
    <row r="206">
      <c r="D206" s="34"/>
      <c r="H206" s="35"/>
      <c r="I206" s="36"/>
      <c r="J206" s="36"/>
      <c r="K206" s="35"/>
      <c r="L206" s="35"/>
      <c r="M206" s="36"/>
      <c r="N206" s="35"/>
      <c r="O206" s="35"/>
      <c r="P206" s="36"/>
      <c r="Q206" s="35"/>
      <c r="R206" s="35"/>
      <c r="S206" s="36"/>
      <c r="T206" s="35"/>
      <c r="U206" s="35"/>
    </row>
    <row r="207">
      <c r="D207" s="34"/>
      <c r="H207" s="35"/>
      <c r="I207" s="36"/>
      <c r="J207" s="36"/>
      <c r="K207" s="35"/>
      <c r="L207" s="35"/>
      <c r="M207" s="36"/>
      <c r="N207" s="35"/>
      <c r="O207" s="35"/>
      <c r="P207" s="36"/>
      <c r="Q207" s="35"/>
      <c r="R207" s="35"/>
      <c r="S207" s="36"/>
      <c r="T207" s="35"/>
      <c r="U207" s="35"/>
    </row>
    <row r="208">
      <c r="D208" s="34"/>
      <c r="H208" s="35"/>
      <c r="I208" s="36"/>
      <c r="J208" s="36"/>
      <c r="K208" s="35"/>
      <c r="L208" s="35"/>
      <c r="M208" s="36"/>
      <c r="N208" s="35"/>
      <c r="O208" s="35"/>
      <c r="P208" s="36"/>
      <c r="Q208" s="36"/>
      <c r="R208" s="35"/>
      <c r="S208" s="36"/>
      <c r="T208" s="36"/>
      <c r="U208" s="35"/>
    </row>
    <row r="209">
      <c r="D209" s="34"/>
      <c r="H209" s="35"/>
      <c r="I209" s="36"/>
      <c r="J209" s="36"/>
      <c r="K209" s="35"/>
      <c r="L209" s="35"/>
      <c r="M209" s="36"/>
      <c r="N209" s="35"/>
      <c r="O209" s="35"/>
      <c r="P209" s="36"/>
      <c r="Q209" s="36"/>
      <c r="R209" s="35"/>
      <c r="S209" s="36"/>
      <c r="T209" s="36"/>
      <c r="U209" s="35"/>
    </row>
    <row r="210">
      <c r="A210" s="33"/>
      <c r="B210" s="33"/>
      <c r="C210" s="33"/>
      <c r="D210" s="34"/>
      <c r="H210" s="35"/>
      <c r="I210" s="36"/>
      <c r="J210" s="36"/>
      <c r="K210" s="35"/>
      <c r="L210" s="35"/>
      <c r="M210" s="36"/>
      <c r="N210" s="35"/>
      <c r="O210" s="35"/>
      <c r="P210" s="36"/>
      <c r="Q210" s="36"/>
      <c r="R210" s="35"/>
      <c r="S210" s="36"/>
      <c r="T210" s="36"/>
      <c r="U210" s="35"/>
    </row>
    <row r="211">
      <c r="D211" s="34"/>
      <c r="H211" s="35"/>
      <c r="I211" s="36"/>
      <c r="J211" s="36"/>
      <c r="K211" s="35"/>
      <c r="L211" s="35"/>
      <c r="M211" s="36"/>
      <c r="N211" s="35"/>
      <c r="O211" s="35"/>
      <c r="P211" s="36"/>
      <c r="Q211" s="36"/>
      <c r="R211" s="35"/>
      <c r="S211" s="36"/>
      <c r="T211" s="36"/>
      <c r="U211" s="35"/>
    </row>
    <row r="212">
      <c r="D212" s="34"/>
      <c r="H212" s="35"/>
      <c r="I212" s="36"/>
      <c r="J212" s="36"/>
      <c r="K212" s="35"/>
      <c r="L212" s="35"/>
      <c r="M212" s="36"/>
      <c r="N212" s="35"/>
      <c r="O212" s="35"/>
      <c r="P212" s="36"/>
      <c r="Q212" s="35"/>
      <c r="R212" s="35"/>
      <c r="S212" s="36"/>
      <c r="T212" s="35"/>
      <c r="U212" s="35"/>
    </row>
    <row r="213">
      <c r="D213" s="34"/>
      <c r="H213" s="35"/>
      <c r="I213" s="36"/>
      <c r="J213" s="36"/>
      <c r="K213" s="35"/>
      <c r="L213" s="35"/>
      <c r="M213" s="36"/>
      <c r="N213" s="35"/>
      <c r="O213" s="35"/>
      <c r="P213" s="36"/>
      <c r="Q213" s="35"/>
      <c r="R213" s="35"/>
      <c r="S213" s="36"/>
      <c r="T213" s="35"/>
      <c r="U213" s="35"/>
    </row>
    <row r="214">
      <c r="A214" s="33"/>
      <c r="B214" s="33"/>
      <c r="C214" s="33"/>
      <c r="D214" s="34"/>
      <c r="H214" s="35"/>
      <c r="I214" s="36"/>
      <c r="J214" s="36"/>
      <c r="K214" s="35"/>
      <c r="L214" s="35"/>
      <c r="M214" s="36"/>
      <c r="N214" s="35"/>
      <c r="O214" s="35"/>
      <c r="P214" s="36"/>
      <c r="Q214" s="35"/>
      <c r="R214" s="35"/>
      <c r="S214" s="36"/>
      <c r="T214" s="35"/>
      <c r="U214" s="35"/>
    </row>
    <row r="215">
      <c r="D215" s="34"/>
      <c r="H215" s="35"/>
      <c r="I215" s="36"/>
      <c r="J215" s="36"/>
      <c r="K215" s="35"/>
      <c r="L215" s="35"/>
      <c r="M215" s="36"/>
      <c r="N215" s="35"/>
      <c r="O215" s="35"/>
      <c r="P215" s="36"/>
      <c r="Q215" s="36"/>
      <c r="R215" s="35"/>
      <c r="S215" s="36"/>
      <c r="T215" s="36"/>
      <c r="U215" s="35"/>
    </row>
    <row r="216">
      <c r="D216" s="34"/>
      <c r="H216" s="35"/>
      <c r="I216" s="36"/>
      <c r="J216" s="36"/>
      <c r="K216" s="35"/>
      <c r="L216" s="35"/>
      <c r="M216" s="36"/>
      <c r="N216" s="35"/>
      <c r="O216" s="35"/>
      <c r="P216" s="36"/>
      <c r="Q216" s="35"/>
      <c r="R216" s="35"/>
      <c r="S216" s="36"/>
      <c r="T216" s="35"/>
      <c r="U216" s="35"/>
    </row>
    <row r="217">
      <c r="A217" s="33"/>
      <c r="B217" s="33"/>
      <c r="C217" s="33"/>
      <c r="D217" s="34"/>
      <c r="H217" s="35"/>
      <c r="I217" s="36"/>
      <c r="J217" s="36"/>
      <c r="K217" s="35"/>
      <c r="L217" s="35"/>
      <c r="M217" s="36"/>
      <c r="N217" s="35"/>
      <c r="O217" s="35"/>
      <c r="P217" s="36"/>
      <c r="Q217" s="35"/>
      <c r="R217" s="35"/>
      <c r="S217" s="36"/>
      <c r="T217" s="35"/>
      <c r="U217" s="35"/>
    </row>
    <row r="218">
      <c r="D218" s="34"/>
      <c r="H218" s="35"/>
      <c r="I218" s="36"/>
      <c r="J218" s="36"/>
      <c r="K218" s="35"/>
      <c r="L218" s="35"/>
      <c r="M218" s="36"/>
      <c r="N218" s="35"/>
      <c r="O218" s="35"/>
      <c r="P218" s="36"/>
      <c r="Q218" s="35"/>
      <c r="R218" s="35"/>
      <c r="S218" s="36"/>
      <c r="T218" s="35"/>
      <c r="U218" s="35"/>
    </row>
    <row r="219">
      <c r="A219" s="33"/>
      <c r="B219" s="33"/>
      <c r="C219" s="33"/>
      <c r="D219" s="34"/>
      <c r="H219" s="35"/>
      <c r="I219" s="36"/>
      <c r="J219" s="36"/>
      <c r="K219" s="35"/>
      <c r="L219" s="35"/>
      <c r="M219" s="36"/>
      <c r="N219" s="35"/>
      <c r="O219" s="35"/>
      <c r="P219" s="36"/>
      <c r="Q219" s="36"/>
      <c r="R219" s="35"/>
      <c r="S219" s="36"/>
      <c r="T219" s="36"/>
      <c r="U219" s="35"/>
    </row>
    <row r="220">
      <c r="A220" s="33"/>
      <c r="B220" s="33"/>
      <c r="C220" s="33"/>
      <c r="D220" s="34"/>
      <c r="H220" s="35"/>
      <c r="I220" s="36"/>
      <c r="J220" s="36"/>
      <c r="K220" s="35"/>
      <c r="L220" s="35"/>
      <c r="M220" s="36"/>
      <c r="N220" s="35"/>
      <c r="O220" s="35"/>
      <c r="P220" s="36"/>
      <c r="Q220" s="35"/>
      <c r="R220" s="35"/>
      <c r="S220" s="36"/>
      <c r="T220" s="35"/>
      <c r="U220" s="35"/>
    </row>
    <row r="221">
      <c r="D221" s="34"/>
      <c r="H221" s="35"/>
      <c r="I221" s="36"/>
      <c r="J221" s="36"/>
      <c r="K221" s="35"/>
      <c r="L221" s="35"/>
      <c r="M221" s="36"/>
      <c r="N221" s="35"/>
      <c r="O221" s="35"/>
      <c r="P221" s="36"/>
      <c r="Q221" s="35"/>
      <c r="R221" s="35"/>
      <c r="S221" s="36"/>
      <c r="T221" s="35"/>
      <c r="U221" s="35"/>
    </row>
    <row r="222">
      <c r="D222" s="34"/>
      <c r="H222" s="35"/>
      <c r="I222" s="36"/>
      <c r="J222" s="36"/>
      <c r="K222" s="35"/>
      <c r="L222" s="35"/>
      <c r="M222" s="36"/>
      <c r="N222" s="35"/>
      <c r="O222" s="35"/>
      <c r="P222" s="36"/>
      <c r="Q222" s="35"/>
      <c r="R222" s="35"/>
      <c r="S222" s="36"/>
      <c r="T222" s="35"/>
      <c r="U222" s="35"/>
    </row>
    <row r="223">
      <c r="D223" s="34"/>
      <c r="H223" s="35"/>
      <c r="I223" s="36"/>
      <c r="J223" s="36"/>
      <c r="K223" s="35"/>
      <c r="L223" s="35"/>
      <c r="M223" s="36"/>
      <c r="N223" s="35"/>
      <c r="O223" s="35"/>
      <c r="P223" s="36"/>
      <c r="Q223" s="35"/>
      <c r="R223" s="35"/>
      <c r="S223" s="36"/>
      <c r="T223" s="35"/>
      <c r="U223" s="35"/>
    </row>
    <row r="224">
      <c r="D224" s="34"/>
      <c r="H224" s="35"/>
      <c r="I224" s="36"/>
      <c r="J224" s="36"/>
      <c r="K224" s="35"/>
      <c r="L224" s="35"/>
      <c r="M224" s="36"/>
      <c r="N224" s="35"/>
      <c r="O224" s="35"/>
      <c r="P224" s="36"/>
      <c r="Q224" s="35"/>
      <c r="R224" s="35"/>
      <c r="S224" s="36"/>
      <c r="T224" s="35"/>
      <c r="U224" s="35"/>
    </row>
    <row r="225">
      <c r="A225" s="33"/>
      <c r="B225" s="33"/>
      <c r="C225" s="33"/>
      <c r="D225" s="34"/>
      <c r="H225" s="35"/>
      <c r="I225" s="36"/>
      <c r="J225" s="36"/>
      <c r="K225" s="35"/>
      <c r="L225" s="35"/>
      <c r="M225" s="36"/>
      <c r="N225" s="35"/>
      <c r="O225" s="35"/>
      <c r="P225" s="10"/>
      <c r="Q225" s="35"/>
      <c r="R225" s="35"/>
      <c r="S225" s="36"/>
      <c r="T225" s="35"/>
      <c r="U225" s="35"/>
    </row>
    <row r="226">
      <c r="D226" s="34"/>
      <c r="H226" s="35"/>
      <c r="I226" s="36"/>
      <c r="J226" s="36"/>
      <c r="K226" s="35"/>
      <c r="L226" s="35"/>
      <c r="M226" s="36"/>
      <c r="N226" s="35"/>
      <c r="O226" s="35"/>
      <c r="P226" s="10"/>
      <c r="Q226" s="35"/>
      <c r="R226" s="35"/>
      <c r="S226" s="36"/>
      <c r="T226" s="35"/>
      <c r="U226" s="35"/>
    </row>
    <row r="227">
      <c r="D227" s="34"/>
      <c r="H227" s="35"/>
      <c r="I227" s="36"/>
      <c r="J227" s="36"/>
      <c r="K227" s="35"/>
      <c r="L227" s="35"/>
      <c r="M227" s="36"/>
      <c r="N227" s="35"/>
      <c r="O227" s="35"/>
      <c r="P227" s="10"/>
      <c r="Q227" s="35"/>
      <c r="R227" s="35"/>
      <c r="S227" s="36"/>
      <c r="T227" s="35"/>
      <c r="U227" s="35"/>
    </row>
    <row r="228">
      <c r="A228" s="33"/>
      <c r="B228" s="33"/>
      <c r="C228" s="33"/>
      <c r="D228" s="34"/>
      <c r="H228" s="35"/>
      <c r="I228" s="36"/>
      <c r="J228" s="36"/>
      <c r="K228" s="35"/>
      <c r="L228" s="35"/>
      <c r="M228" s="36"/>
      <c r="N228" s="35"/>
      <c r="O228" s="35"/>
      <c r="P228" s="10"/>
      <c r="Q228" s="35"/>
      <c r="R228" s="35"/>
      <c r="S228" s="36"/>
      <c r="T228" s="35"/>
      <c r="U228" s="35"/>
    </row>
    <row r="229">
      <c r="D229" s="34"/>
      <c r="H229" s="35"/>
      <c r="I229" s="36"/>
      <c r="J229" s="36"/>
      <c r="K229" s="35"/>
      <c r="L229" s="35"/>
      <c r="M229" s="36"/>
      <c r="N229" s="35"/>
      <c r="O229" s="35"/>
      <c r="P229" s="10"/>
      <c r="Q229" s="35"/>
      <c r="R229" s="35"/>
      <c r="S229" s="36"/>
      <c r="T229" s="35"/>
      <c r="U229" s="35"/>
    </row>
    <row r="230">
      <c r="D230" s="34"/>
      <c r="H230" s="35"/>
      <c r="I230" s="36"/>
      <c r="J230" s="36"/>
      <c r="K230" s="35"/>
      <c r="L230" s="35"/>
      <c r="M230" s="36"/>
      <c r="N230" s="35"/>
      <c r="O230" s="35"/>
      <c r="P230" s="10"/>
      <c r="Q230" s="36"/>
      <c r="R230" s="35"/>
      <c r="S230" s="36"/>
      <c r="T230" s="36"/>
      <c r="U230" s="35"/>
    </row>
    <row r="231">
      <c r="A231" s="33"/>
      <c r="B231" s="33"/>
      <c r="C231" s="33"/>
      <c r="D231" s="34"/>
      <c r="H231" s="35"/>
      <c r="I231" s="36"/>
      <c r="J231" s="36"/>
      <c r="K231" s="35"/>
      <c r="L231" s="35"/>
      <c r="M231" s="36"/>
      <c r="N231" s="35"/>
      <c r="O231" s="35"/>
      <c r="P231" s="10"/>
      <c r="Q231" s="35"/>
      <c r="R231" s="35"/>
      <c r="S231" s="36"/>
      <c r="T231" s="35"/>
      <c r="U231" s="35"/>
    </row>
    <row r="232">
      <c r="A232" s="33"/>
      <c r="B232" s="33"/>
      <c r="C232" s="33"/>
      <c r="D232" s="34"/>
      <c r="H232" s="35"/>
      <c r="I232" s="36"/>
      <c r="J232" s="36"/>
      <c r="K232" s="35"/>
      <c r="L232" s="35"/>
      <c r="M232" s="36"/>
      <c r="N232" s="35"/>
      <c r="O232" s="35"/>
      <c r="P232" s="10"/>
      <c r="Q232" s="35"/>
      <c r="R232" s="35"/>
      <c r="S232" s="36"/>
      <c r="T232" s="35"/>
      <c r="U232" s="35"/>
    </row>
    <row r="233">
      <c r="D233" s="34"/>
      <c r="H233" s="35"/>
      <c r="I233" s="36"/>
      <c r="J233" s="36"/>
      <c r="K233" s="35"/>
      <c r="L233" s="35"/>
      <c r="M233" s="36"/>
      <c r="N233" s="35"/>
      <c r="O233" s="35"/>
      <c r="P233" s="10"/>
      <c r="Q233" s="35"/>
      <c r="R233" s="35"/>
      <c r="S233" s="36"/>
      <c r="T233" s="35"/>
      <c r="U233" s="35"/>
    </row>
    <row r="234">
      <c r="A234" s="33"/>
      <c r="B234" s="33"/>
      <c r="C234" s="33"/>
      <c r="D234" s="34"/>
      <c r="H234" s="35"/>
      <c r="I234" s="36"/>
      <c r="J234" s="36"/>
      <c r="K234" s="35"/>
      <c r="L234" s="35"/>
      <c r="M234" s="36"/>
      <c r="N234" s="35"/>
      <c r="O234" s="35"/>
      <c r="P234" s="10"/>
      <c r="Q234" s="35"/>
      <c r="R234" s="35"/>
      <c r="S234" s="36"/>
      <c r="T234" s="35"/>
      <c r="U234" s="35"/>
    </row>
    <row r="235">
      <c r="A235" s="33"/>
      <c r="B235" s="33"/>
      <c r="C235" s="33"/>
      <c r="D235" s="34"/>
      <c r="H235" s="35"/>
      <c r="I235" s="36"/>
      <c r="J235" s="36"/>
      <c r="K235" s="35"/>
      <c r="L235" s="35"/>
      <c r="M235" s="36"/>
      <c r="N235" s="35"/>
      <c r="O235" s="35"/>
      <c r="P235" s="10"/>
      <c r="Q235" s="35"/>
      <c r="R235" s="35"/>
      <c r="S235" s="36"/>
      <c r="T235" s="35"/>
      <c r="U235" s="35"/>
    </row>
    <row r="236">
      <c r="D236" s="34"/>
      <c r="H236" s="35"/>
      <c r="I236" s="36"/>
      <c r="J236" s="36"/>
      <c r="K236" s="35"/>
      <c r="L236" s="35"/>
      <c r="M236" s="36"/>
      <c r="N236" s="35"/>
      <c r="O236" s="35"/>
      <c r="P236" s="10"/>
      <c r="Q236" s="35"/>
      <c r="R236" s="35"/>
      <c r="S236" s="36"/>
      <c r="T236" s="35"/>
      <c r="U236" s="35"/>
    </row>
    <row r="237">
      <c r="D237" s="34"/>
      <c r="H237" s="35"/>
      <c r="I237" s="36"/>
      <c r="J237" s="36"/>
      <c r="K237" s="35"/>
      <c r="L237" s="35"/>
      <c r="M237" s="36"/>
      <c r="N237" s="35"/>
      <c r="O237" s="35"/>
      <c r="P237" s="10"/>
      <c r="Q237" s="35"/>
      <c r="R237" s="35"/>
      <c r="S237" s="36"/>
      <c r="T237" s="35"/>
      <c r="U237" s="35"/>
    </row>
    <row r="238">
      <c r="D238" s="34"/>
      <c r="H238" s="35"/>
      <c r="I238" s="36"/>
      <c r="J238" s="36"/>
      <c r="K238" s="35"/>
      <c r="L238" s="35"/>
      <c r="M238" s="36"/>
      <c r="N238" s="35"/>
      <c r="O238" s="35"/>
      <c r="P238" s="10"/>
      <c r="Q238" s="35"/>
      <c r="R238" s="35"/>
      <c r="S238" s="36"/>
      <c r="T238" s="35"/>
      <c r="U238" s="35"/>
    </row>
    <row r="239">
      <c r="D239" s="34"/>
      <c r="H239" s="35"/>
      <c r="I239" s="38"/>
      <c r="J239" s="38"/>
      <c r="K239" s="35"/>
      <c r="L239" s="35"/>
      <c r="M239" s="38"/>
      <c r="N239" s="35"/>
      <c r="O239" s="35"/>
      <c r="P239" s="39"/>
      <c r="Q239" s="35"/>
      <c r="R239" s="35"/>
      <c r="S239" s="38"/>
      <c r="T239" s="35"/>
      <c r="U239" s="35"/>
    </row>
    <row r="240">
      <c r="D240" s="34"/>
      <c r="H240" s="36"/>
      <c r="I240" s="36"/>
      <c r="J240" s="36"/>
      <c r="K240" s="35"/>
      <c r="L240" s="35"/>
      <c r="M240" s="36"/>
      <c r="N240" s="36"/>
      <c r="O240" s="36"/>
      <c r="P240" s="10"/>
      <c r="Q240" s="36"/>
      <c r="R240" s="36"/>
      <c r="S240" s="36"/>
      <c r="T240" s="36"/>
      <c r="U240" s="36"/>
    </row>
    <row r="241">
      <c r="D241" s="34"/>
      <c r="H241" s="36"/>
      <c r="I241" s="35"/>
      <c r="J241" s="35"/>
      <c r="K241" s="36"/>
      <c r="L241" s="35"/>
      <c r="M241" s="36"/>
      <c r="N241" s="36"/>
      <c r="O241" s="36"/>
      <c r="P241" s="10"/>
      <c r="Q241" s="36"/>
      <c r="R241" s="36"/>
      <c r="S241" s="36"/>
      <c r="T241" s="36"/>
      <c r="U241" s="36"/>
    </row>
    <row r="242">
      <c r="A242" s="33"/>
      <c r="B242" s="33"/>
      <c r="C242" s="33"/>
      <c r="D242" s="34"/>
      <c r="H242" s="36"/>
      <c r="I242" s="35"/>
      <c r="J242" s="35"/>
      <c r="K242" s="36"/>
      <c r="L242" s="35"/>
      <c r="M242" s="36"/>
      <c r="N242" s="36"/>
      <c r="O242" s="36"/>
      <c r="P242" s="10"/>
      <c r="Q242" s="36"/>
      <c r="R242" s="36"/>
      <c r="S242" s="36"/>
      <c r="T242" s="36"/>
      <c r="U242" s="36"/>
    </row>
    <row r="243">
      <c r="A243" s="33"/>
      <c r="B243" s="33"/>
      <c r="C243" s="33"/>
      <c r="D243" s="34"/>
      <c r="H243" s="36"/>
      <c r="I243" s="35"/>
      <c r="J243" s="35"/>
      <c r="K243" s="36"/>
      <c r="L243" s="35"/>
      <c r="M243" s="36"/>
      <c r="N243" s="36"/>
      <c r="O243" s="36"/>
      <c r="P243" s="10"/>
      <c r="Q243" s="36"/>
      <c r="R243" s="36"/>
      <c r="S243" s="36"/>
      <c r="T243" s="36"/>
      <c r="U243" s="36"/>
    </row>
    <row r="244">
      <c r="D244" s="34"/>
      <c r="H244" s="36"/>
      <c r="I244" s="36"/>
      <c r="J244" s="36"/>
      <c r="K244" s="35"/>
      <c r="L244" s="35"/>
      <c r="M244" s="36"/>
      <c r="N244" s="36"/>
      <c r="O244" s="36"/>
      <c r="P244" s="10"/>
      <c r="Q244" s="36"/>
      <c r="R244" s="36"/>
      <c r="S244" s="36"/>
      <c r="T244" s="36"/>
      <c r="U244" s="36"/>
    </row>
    <row r="245">
      <c r="A245" s="33"/>
      <c r="B245" s="33"/>
      <c r="C245" s="33"/>
      <c r="D245" s="34"/>
      <c r="H245" s="36"/>
      <c r="I245" s="36"/>
      <c r="J245" s="36"/>
      <c r="K245" s="35"/>
      <c r="L245" s="35"/>
      <c r="M245" s="36"/>
      <c r="N245" s="36"/>
      <c r="O245" s="36"/>
      <c r="P245" s="10"/>
      <c r="Q245" s="36"/>
      <c r="R245" s="36"/>
      <c r="S245" s="36"/>
      <c r="T245" s="36"/>
      <c r="U245" s="36"/>
    </row>
    <row r="246">
      <c r="D246" s="34"/>
      <c r="H246" s="36"/>
      <c r="I246" s="36"/>
      <c r="J246" s="36"/>
      <c r="K246" s="35"/>
      <c r="L246" s="35"/>
      <c r="M246" s="36"/>
      <c r="N246" s="36"/>
      <c r="O246" s="36"/>
      <c r="P246" s="10"/>
      <c r="Q246" s="36"/>
      <c r="R246" s="36"/>
      <c r="S246" s="36"/>
      <c r="T246" s="36"/>
      <c r="U246" s="36"/>
    </row>
    <row r="247">
      <c r="A247" s="33"/>
      <c r="B247" s="33"/>
      <c r="C247" s="33"/>
      <c r="D247" s="34"/>
      <c r="H247" s="36"/>
      <c r="I247" s="36"/>
      <c r="J247" s="36"/>
      <c r="K247" s="35"/>
      <c r="L247" s="35"/>
      <c r="M247" s="36"/>
      <c r="N247" s="36"/>
      <c r="O247" s="36"/>
      <c r="P247" s="10"/>
      <c r="Q247" s="36"/>
      <c r="R247" s="36"/>
      <c r="S247" s="36"/>
      <c r="T247" s="36"/>
      <c r="U247" s="36"/>
    </row>
    <row r="248">
      <c r="A248" s="33"/>
      <c r="B248" s="33"/>
      <c r="C248" s="33"/>
      <c r="D248" s="34"/>
      <c r="H248" s="36"/>
      <c r="I248" s="36"/>
      <c r="J248" s="36"/>
      <c r="K248" s="35"/>
      <c r="L248" s="35"/>
      <c r="M248" s="36"/>
      <c r="N248" s="36"/>
      <c r="O248" s="36"/>
      <c r="P248" s="10"/>
      <c r="Q248" s="36"/>
      <c r="R248" s="36"/>
      <c r="S248" s="36"/>
      <c r="T248" s="36"/>
      <c r="U248" s="36"/>
    </row>
    <row r="249">
      <c r="D249" s="34"/>
      <c r="H249" s="36"/>
      <c r="I249" s="36"/>
      <c r="J249" s="36"/>
      <c r="K249" s="35"/>
      <c r="L249" s="35"/>
      <c r="M249" s="36"/>
      <c r="N249" s="36"/>
      <c r="O249" s="36"/>
      <c r="P249" s="10"/>
      <c r="Q249" s="36"/>
      <c r="R249" s="36"/>
      <c r="S249" s="36"/>
      <c r="T249" s="36"/>
      <c r="U249" s="36"/>
    </row>
    <row r="250">
      <c r="A250" s="33"/>
      <c r="B250" s="33"/>
      <c r="C250" s="33"/>
      <c r="D250" s="34"/>
      <c r="H250" s="36"/>
      <c r="I250" s="36"/>
      <c r="J250" s="36"/>
      <c r="K250" s="35"/>
      <c r="L250" s="35"/>
      <c r="M250" s="36"/>
      <c r="N250" s="36"/>
      <c r="O250" s="36"/>
      <c r="P250" s="10"/>
      <c r="Q250" s="36"/>
      <c r="R250" s="36"/>
      <c r="S250" s="36"/>
      <c r="T250" s="36"/>
      <c r="U250" s="36"/>
    </row>
    <row r="251">
      <c r="A251" s="33"/>
      <c r="B251" s="33"/>
      <c r="C251" s="33"/>
      <c r="D251" s="34"/>
      <c r="H251" s="36"/>
      <c r="I251" s="36"/>
      <c r="J251" s="36"/>
      <c r="K251" s="35"/>
      <c r="L251" s="35"/>
      <c r="M251" s="36"/>
      <c r="N251" s="36"/>
      <c r="O251" s="36"/>
      <c r="P251" s="10"/>
      <c r="Q251" s="36"/>
      <c r="R251" s="36"/>
      <c r="S251" s="36"/>
      <c r="T251" s="36"/>
      <c r="U251" s="36"/>
    </row>
    <row r="252">
      <c r="A252" s="33"/>
      <c r="B252" s="33"/>
      <c r="C252" s="33"/>
      <c r="D252" s="34"/>
      <c r="H252" s="36"/>
      <c r="I252" s="36"/>
      <c r="J252" s="36"/>
      <c r="K252" s="35"/>
      <c r="L252" s="35"/>
      <c r="M252" s="36"/>
      <c r="N252" s="36"/>
      <c r="O252" s="36"/>
      <c r="P252" s="10"/>
      <c r="Q252" s="36"/>
      <c r="R252" s="36"/>
      <c r="S252" s="36"/>
      <c r="T252" s="36"/>
      <c r="U252" s="36"/>
    </row>
    <row r="253">
      <c r="A253" s="33"/>
      <c r="B253" s="33"/>
      <c r="C253" s="33"/>
      <c r="D253" s="34"/>
      <c r="H253" s="36"/>
      <c r="I253" s="36"/>
      <c r="J253" s="36"/>
      <c r="K253" s="35"/>
      <c r="L253" s="35"/>
      <c r="M253" s="36"/>
      <c r="N253" s="36"/>
      <c r="O253" s="36"/>
      <c r="P253" s="10"/>
      <c r="Q253" s="36"/>
      <c r="R253" s="36"/>
      <c r="S253" s="36"/>
      <c r="T253" s="36"/>
      <c r="U253" s="36"/>
    </row>
    <row r="254">
      <c r="A254" s="33"/>
      <c r="B254" s="33"/>
      <c r="C254" s="33"/>
      <c r="D254" s="34"/>
      <c r="H254" s="36"/>
      <c r="I254" s="36"/>
      <c r="J254" s="36"/>
      <c r="K254" s="35"/>
      <c r="L254" s="35"/>
      <c r="M254" s="36"/>
      <c r="N254" s="36"/>
      <c r="O254" s="36"/>
      <c r="P254" s="10"/>
      <c r="Q254" s="36"/>
      <c r="R254" s="36"/>
      <c r="S254" s="36"/>
      <c r="T254" s="36"/>
      <c r="U254" s="36"/>
    </row>
    <row r="255">
      <c r="A255" s="33"/>
      <c r="B255" s="33"/>
      <c r="C255" s="33"/>
      <c r="D255" s="34"/>
      <c r="H255" s="36"/>
      <c r="I255" s="36"/>
      <c r="J255" s="36"/>
      <c r="K255" s="35"/>
      <c r="L255" s="35"/>
      <c r="M255" s="36"/>
      <c r="N255" s="36"/>
      <c r="O255" s="36"/>
      <c r="P255" s="10"/>
      <c r="Q255" s="36"/>
      <c r="R255" s="36"/>
      <c r="S255" s="36"/>
      <c r="T255" s="36"/>
      <c r="U255" s="36"/>
    </row>
    <row r="256">
      <c r="A256" s="33"/>
      <c r="B256" s="33"/>
      <c r="C256" s="33"/>
      <c r="D256" s="34"/>
      <c r="H256" s="36"/>
      <c r="I256" s="36"/>
      <c r="J256" s="36"/>
      <c r="K256" s="35"/>
      <c r="L256" s="35"/>
      <c r="M256" s="36"/>
      <c r="N256" s="36"/>
      <c r="O256" s="36"/>
      <c r="P256" s="10"/>
      <c r="Q256" s="36"/>
      <c r="R256" s="36"/>
      <c r="S256" s="36"/>
      <c r="T256" s="36"/>
      <c r="U256" s="36"/>
    </row>
    <row r="257">
      <c r="A257" s="33"/>
      <c r="B257" s="33"/>
      <c r="C257" s="33"/>
      <c r="D257" s="34"/>
      <c r="H257" s="36"/>
      <c r="I257" s="36"/>
      <c r="J257" s="36"/>
      <c r="K257" s="35"/>
      <c r="L257" s="35"/>
      <c r="M257" s="36"/>
      <c r="N257" s="36"/>
      <c r="O257" s="36"/>
      <c r="P257" s="10"/>
      <c r="Q257" s="36"/>
      <c r="R257" s="36"/>
      <c r="S257" s="36"/>
      <c r="T257" s="36"/>
      <c r="U257" s="36"/>
    </row>
    <row r="258">
      <c r="A258" s="33"/>
      <c r="B258" s="33"/>
      <c r="C258" s="33"/>
      <c r="D258" s="34"/>
      <c r="H258" s="36"/>
      <c r="I258" s="36"/>
      <c r="J258" s="36"/>
      <c r="K258" s="35"/>
      <c r="L258" s="35"/>
      <c r="M258" s="36"/>
      <c r="N258" s="36"/>
      <c r="O258" s="36"/>
      <c r="P258" s="10"/>
      <c r="Q258" s="36"/>
      <c r="R258" s="36"/>
      <c r="S258" s="36"/>
      <c r="T258" s="36"/>
      <c r="U258" s="36"/>
    </row>
    <row r="259">
      <c r="A259" s="33"/>
      <c r="B259" s="33"/>
      <c r="C259" s="33"/>
      <c r="D259" s="34"/>
      <c r="H259" s="36"/>
      <c r="I259" s="36"/>
      <c r="J259" s="36"/>
      <c r="K259" s="35"/>
      <c r="L259" s="35"/>
      <c r="M259" s="36"/>
      <c r="N259" s="36"/>
      <c r="O259" s="36"/>
      <c r="P259" s="10"/>
      <c r="Q259" s="36"/>
      <c r="R259" s="36"/>
      <c r="S259" s="36"/>
      <c r="T259" s="36"/>
      <c r="U259" s="36"/>
    </row>
    <row r="260">
      <c r="A260" s="33"/>
      <c r="B260" s="33"/>
      <c r="C260" s="33"/>
      <c r="D260" s="34"/>
      <c r="H260" s="36"/>
      <c r="I260" s="36"/>
      <c r="J260" s="36"/>
      <c r="K260" s="35"/>
      <c r="L260" s="35"/>
      <c r="M260" s="36"/>
      <c r="N260" s="36"/>
      <c r="O260" s="36"/>
      <c r="P260" s="10"/>
      <c r="Q260" s="36"/>
      <c r="R260" s="36"/>
      <c r="S260" s="36"/>
      <c r="T260" s="36"/>
      <c r="U260" s="36"/>
    </row>
    <row r="261">
      <c r="A261" s="33"/>
      <c r="B261" s="33"/>
      <c r="C261" s="33"/>
      <c r="D261" s="34"/>
      <c r="H261" s="36"/>
      <c r="I261" s="36"/>
      <c r="J261" s="36"/>
      <c r="K261" s="35"/>
      <c r="L261" s="35"/>
      <c r="M261" s="36"/>
      <c r="N261" s="36"/>
      <c r="O261" s="36"/>
      <c r="P261" s="10"/>
      <c r="Q261" s="36"/>
      <c r="R261" s="36"/>
      <c r="S261" s="36"/>
      <c r="T261" s="36"/>
      <c r="U261" s="36"/>
    </row>
    <row r="262">
      <c r="A262" s="33"/>
      <c r="B262" s="33"/>
      <c r="C262" s="33"/>
      <c r="D262" s="34"/>
      <c r="H262" s="36"/>
      <c r="I262" s="36"/>
      <c r="J262" s="36"/>
      <c r="K262" s="35"/>
      <c r="L262" s="35"/>
      <c r="M262" s="36"/>
      <c r="N262" s="36"/>
      <c r="O262" s="36"/>
      <c r="P262" s="10"/>
      <c r="Q262" s="36"/>
      <c r="R262" s="36"/>
      <c r="S262" s="36"/>
      <c r="T262" s="36"/>
      <c r="U262" s="36"/>
    </row>
    <row r="263">
      <c r="A263" s="33"/>
      <c r="B263" s="33"/>
      <c r="C263" s="33"/>
      <c r="D263" s="34"/>
      <c r="H263" s="36"/>
      <c r="I263" s="36"/>
      <c r="J263" s="36"/>
      <c r="K263" s="35"/>
      <c r="L263" s="35"/>
      <c r="M263" s="36"/>
      <c r="N263" s="36"/>
      <c r="O263" s="36"/>
      <c r="P263" s="10"/>
      <c r="Q263" s="36"/>
      <c r="R263" s="36"/>
      <c r="S263" s="36"/>
      <c r="T263" s="36"/>
      <c r="U263" s="36"/>
    </row>
    <row r="264">
      <c r="A264" s="33"/>
      <c r="B264" s="33"/>
      <c r="C264" s="33"/>
      <c r="D264" s="34"/>
      <c r="H264" s="36"/>
      <c r="I264" s="36"/>
      <c r="J264" s="36"/>
      <c r="K264" s="35"/>
      <c r="L264" s="35"/>
      <c r="M264" s="36"/>
      <c r="N264" s="36"/>
      <c r="O264" s="36"/>
      <c r="P264" s="10"/>
      <c r="Q264" s="36"/>
      <c r="R264" s="36"/>
      <c r="S264" s="36"/>
      <c r="T264" s="36"/>
      <c r="U264" s="36"/>
    </row>
    <row r="265">
      <c r="A265" s="33"/>
      <c r="B265" s="33"/>
      <c r="C265" s="33"/>
      <c r="D265" s="34"/>
      <c r="H265" s="36"/>
      <c r="I265" s="36"/>
      <c r="J265" s="36"/>
      <c r="K265" s="35"/>
      <c r="L265" s="35"/>
      <c r="M265" s="36"/>
      <c r="N265" s="36"/>
      <c r="O265" s="36"/>
      <c r="P265" s="10"/>
      <c r="Q265" s="36"/>
      <c r="R265" s="36"/>
      <c r="S265" s="36"/>
      <c r="T265" s="36"/>
      <c r="U265" s="36"/>
    </row>
    <row r="266">
      <c r="A266" s="33"/>
      <c r="B266" s="33"/>
      <c r="C266" s="33"/>
      <c r="D266" s="34"/>
      <c r="H266" s="36"/>
      <c r="I266" s="36"/>
      <c r="J266" s="36"/>
      <c r="K266" s="35"/>
      <c r="L266" s="35"/>
      <c r="M266" s="36"/>
      <c r="N266" s="36"/>
      <c r="O266" s="36"/>
      <c r="P266" s="10"/>
      <c r="Q266" s="36"/>
      <c r="R266" s="36"/>
      <c r="S266" s="36"/>
      <c r="T266" s="36"/>
      <c r="U266" s="36"/>
    </row>
    <row r="267">
      <c r="A267" s="33"/>
      <c r="B267" s="33"/>
      <c r="C267" s="33"/>
      <c r="D267" s="34"/>
      <c r="H267" s="36"/>
      <c r="I267" s="36"/>
      <c r="J267" s="36"/>
      <c r="K267" s="35"/>
      <c r="L267" s="35"/>
      <c r="M267" s="36"/>
      <c r="N267" s="36"/>
      <c r="O267" s="36"/>
      <c r="P267" s="10"/>
      <c r="Q267" s="36"/>
      <c r="R267" s="36"/>
      <c r="S267" s="36"/>
      <c r="T267" s="36"/>
      <c r="U267" s="36"/>
    </row>
    <row r="268">
      <c r="A268" s="33"/>
      <c r="B268" s="33"/>
      <c r="C268" s="33"/>
      <c r="D268" s="34"/>
      <c r="H268" s="36"/>
      <c r="I268" s="36"/>
      <c r="J268" s="36"/>
      <c r="K268" s="35"/>
      <c r="L268" s="35"/>
      <c r="M268" s="36"/>
      <c r="N268" s="36"/>
      <c r="O268" s="36"/>
      <c r="P268" s="10"/>
      <c r="Q268" s="36"/>
      <c r="R268" s="36"/>
      <c r="S268" s="36"/>
      <c r="T268" s="36"/>
      <c r="U268" s="36"/>
    </row>
    <row r="269">
      <c r="D269" s="34"/>
      <c r="H269" s="36"/>
      <c r="I269" s="36"/>
      <c r="J269" s="36"/>
      <c r="K269" s="35"/>
      <c r="L269" s="35"/>
      <c r="M269" s="36"/>
      <c r="N269" s="36"/>
      <c r="O269" s="36"/>
      <c r="P269" s="10"/>
      <c r="Q269" s="36"/>
      <c r="R269" s="36"/>
      <c r="S269" s="36"/>
      <c r="T269" s="36"/>
      <c r="U269" s="36"/>
    </row>
    <row r="270">
      <c r="D270" s="34"/>
      <c r="H270" s="36"/>
      <c r="I270" s="36"/>
      <c r="J270" s="36"/>
      <c r="K270" s="35"/>
      <c r="L270" s="35"/>
      <c r="M270" s="36"/>
      <c r="N270" s="36"/>
      <c r="O270" s="36"/>
      <c r="P270" s="10"/>
      <c r="Q270" s="36"/>
      <c r="R270" s="36"/>
      <c r="S270" s="36"/>
      <c r="T270" s="36"/>
      <c r="U270" s="36"/>
    </row>
    <row r="271">
      <c r="D271" s="34"/>
      <c r="H271" s="36"/>
      <c r="I271" s="36"/>
      <c r="J271" s="36"/>
      <c r="K271" s="35"/>
      <c r="L271" s="35"/>
      <c r="M271" s="36"/>
      <c r="N271" s="36"/>
      <c r="O271" s="36"/>
      <c r="P271" s="10"/>
      <c r="Q271" s="36"/>
      <c r="R271" s="36"/>
      <c r="S271" s="36"/>
      <c r="T271" s="36"/>
      <c r="U271" s="36"/>
    </row>
    <row r="272">
      <c r="D272" s="34"/>
      <c r="H272" s="36"/>
      <c r="I272" s="36"/>
      <c r="J272" s="36"/>
      <c r="K272" s="35"/>
      <c r="L272" s="35"/>
      <c r="M272" s="36"/>
      <c r="N272" s="36"/>
      <c r="O272" s="36"/>
      <c r="P272" s="10"/>
      <c r="Q272" s="36"/>
      <c r="R272" s="36"/>
      <c r="S272" s="36"/>
      <c r="T272" s="36"/>
      <c r="U272" s="36"/>
    </row>
    <row r="273">
      <c r="D273" s="34"/>
      <c r="H273" s="36"/>
      <c r="I273" s="36"/>
      <c r="J273" s="36"/>
      <c r="K273" s="35"/>
      <c r="L273" s="35"/>
      <c r="M273" s="36"/>
      <c r="N273" s="36"/>
      <c r="O273" s="36"/>
      <c r="P273" s="10"/>
      <c r="Q273" s="36"/>
      <c r="R273" s="36"/>
      <c r="S273" s="36"/>
      <c r="T273" s="36"/>
      <c r="U273" s="36"/>
    </row>
    <row r="274">
      <c r="D274" s="34"/>
      <c r="H274" s="36"/>
      <c r="I274" s="36"/>
      <c r="J274" s="36"/>
      <c r="K274" s="35"/>
      <c r="L274" s="35"/>
      <c r="M274" s="36"/>
      <c r="N274" s="36"/>
      <c r="O274" s="36"/>
      <c r="P274" s="10"/>
      <c r="Q274" s="36"/>
      <c r="R274" s="36"/>
      <c r="S274" s="36"/>
      <c r="T274" s="36"/>
      <c r="U274" s="36"/>
    </row>
    <row r="275">
      <c r="D275" s="34"/>
      <c r="H275" s="36"/>
      <c r="I275" s="36"/>
      <c r="J275" s="36"/>
      <c r="K275" s="35"/>
      <c r="L275" s="35"/>
      <c r="M275" s="36"/>
      <c r="N275" s="36"/>
      <c r="O275" s="36"/>
      <c r="P275" s="10"/>
      <c r="Q275" s="36"/>
      <c r="R275" s="36"/>
      <c r="S275" s="36"/>
      <c r="T275" s="36"/>
      <c r="U275" s="36"/>
    </row>
    <row r="276">
      <c r="D276" s="34"/>
      <c r="H276" s="36"/>
      <c r="I276" s="36"/>
      <c r="J276" s="36"/>
      <c r="K276" s="35"/>
      <c r="L276" s="35"/>
      <c r="M276" s="36"/>
      <c r="N276" s="36"/>
      <c r="O276" s="36"/>
      <c r="P276" s="10"/>
      <c r="Q276" s="36"/>
      <c r="R276" s="36"/>
      <c r="S276" s="36"/>
      <c r="T276" s="36"/>
      <c r="U276" s="36"/>
    </row>
    <row r="277">
      <c r="D277" s="34"/>
      <c r="H277" s="36"/>
      <c r="I277" s="36"/>
      <c r="J277" s="36"/>
      <c r="K277" s="35"/>
      <c r="L277" s="35"/>
      <c r="M277" s="36"/>
      <c r="N277" s="36"/>
      <c r="O277" s="36"/>
      <c r="P277" s="10"/>
      <c r="Q277" s="36"/>
      <c r="R277" s="36"/>
      <c r="S277" s="36"/>
      <c r="T277" s="36"/>
      <c r="U277" s="36"/>
    </row>
    <row r="278">
      <c r="D278" s="34"/>
      <c r="H278" s="36"/>
      <c r="I278" s="36"/>
      <c r="J278" s="36"/>
      <c r="K278" s="35"/>
      <c r="L278" s="35"/>
      <c r="M278" s="36"/>
      <c r="N278" s="36"/>
      <c r="O278" s="36"/>
      <c r="P278" s="10"/>
      <c r="Q278" s="36"/>
      <c r="R278" s="36"/>
      <c r="S278" s="36"/>
      <c r="T278" s="36"/>
      <c r="U278" s="36"/>
    </row>
    <row r="279">
      <c r="D279" s="34"/>
      <c r="H279" s="36"/>
      <c r="I279" s="36"/>
      <c r="J279" s="36"/>
      <c r="K279" s="35"/>
      <c r="L279" s="35"/>
      <c r="M279" s="36"/>
      <c r="N279" s="36"/>
      <c r="O279" s="36"/>
      <c r="P279" s="10"/>
      <c r="Q279" s="36"/>
      <c r="R279" s="36"/>
      <c r="S279" s="36"/>
      <c r="T279" s="36"/>
      <c r="U279" s="36"/>
    </row>
    <row r="280">
      <c r="D280" s="34"/>
      <c r="H280" s="36"/>
      <c r="I280" s="36"/>
      <c r="J280" s="36"/>
      <c r="K280" s="35"/>
      <c r="L280" s="35"/>
      <c r="M280" s="36"/>
      <c r="N280" s="36"/>
      <c r="O280" s="36"/>
      <c r="P280" s="10"/>
      <c r="Q280" s="36"/>
      <c r="R280" s="36"/>
      <c r="S280" s="36"/>
      <c r="T280" s="36"/>
      <c r="U280" s="36"/>
    </row>
    <row r="281">
      <c r="D281" s="34"/>
      <c r="H281" s="36"/>
      <c r="I281" s="36"/>
      <c r="J281" s="36"/>
      <c r="K281" s="35"/>
      <c r="L281" s="35"/>
      <c r="M281" s="36"/>
      <c r="N281" s="36"/>
      <c r="O281" s="36"/>
      <c r="P281" s="10"/>
      <c r="Q281" s="36"/>
      <c r="R281" s="36"/>
      <c r="S281" s="36"/>
      <c r="T281" s="36"/>
      <c r="U281" s="36"/>
    </row>
    <row r="282">
      <c r="D282" s="34"/>
      <c r="H282" s="36"/>
      <c r="I282" s="36"/>
      <c r="J282" s="36"/>
      <c r="K282" s="35"/>
      <c r="L282" s="35"/>
      <c r="M282" s="36"/>
      <c r="N282" s="36"/>
      <c r="O282" s="36"/>
      <c r="P282" s="10"/>
      <c r="Q282" s="36"/>
      <c r="R282" s="36"/>
      <c r="S282" s="36"/>
      <c r="T282" s="36"/>
      <c r="U282" s="36"/>
    </row>
    <row r="283">
      <c r="D283" s="34"/>
      <c r="H283" s="36"/>
      <c r="I283" s="36"/>
      <c r="J283" s="36"/>
      <c r="K283" s="35"/>
      <c r="L283" s="35"/>
      <c r="M283" s="36"/>
      <c r="N283" s="36"/>
      <c r="O283" s="36"/>
      <c r="P283" s="10"/>
      <c r="Q283" s="36"/>
      <c r="R283" s="36"/>
      <c r="S283" s="36"/>
      <c r="T283" s="36"/>
      <c r="U283" s="36"/>
    </row>
    <row r="284">
      <c r="D284" s="34"/>
      <c r="H284" s="36"/>
      <c r="I284" s="36"/>
      <c r="J284" s="36"/>
      <c r="K284" s="35"/>
      <c r="L284" s="35"/>
      <c r="M284" s="36"/>
      <c r="N284" s="36"/>
      <c r="O284" s="36"/>
      <c r="P284" s="10"/>
      <c r="Q284" s="36"/>
      <c r="R284" s="36"/>
      <c r="S284" s="36"/>
      <c r="T284" s="36"/>
      <c r="U284" s="36"/>
    </row>
    <row r="285">
      <c r="D285" s="34"/>
      <c r="H285" s="36"/>
      <c r="I285" s="36"/>
      <c r="J285" s="36"/>
      <c r="K285" s="35"/>
      <c r="L285" s="35"/>
      <c r="M285" s="36"/>
      <c r="N285" s="36"/>
      <c r="O285" s="36"/>
      <c r="P285" s="10"/>
      <c r="Q285" s="36"/>
      <c r="R285" s="36"/>
      <c r="S285" s="36"/>
      <c r="T285" s="36"/>
      <c r="U285" s="36"/>
    </row>
    <row r="286">
      <c r="D286" s="34"/>
      <c r="H286" s="36"/>
      <c r="I286" s="36"/>
      <c r="J286" s="36"/>
      <c r="K286" s="35"/>
      <c r="L286" s="35"/>
      <c r="M286" s="36"/>
      <c r="N286" s="36"/>
      <c r="O286" s="36"/>
      <c r="P286" s="10"/>
      <c r="Q286" s="36"/>
      <c r="R286" s="36"/>
      <c r="S286" s="36"/>
      <c r="T286" s="36"/>
      <c r="U286" s="36"/>
    </row>
    <row r="287">
      <c r="D287" s="34"/>
      <c r="H287" s="36"/>
      <c r="I287" s="36"/>
      <c r="J287" s="36"/>
      <c r="K287" s="35"/>
      <c r="L287" s="35"/>
      <c r="M287" s="36"/>
      <c r="N287" s="36"/>
      <c r="O287" s="36"/>
      <c r="P287" s="10"/>
      <c r="Q287" s="36"/>
      <c r="R287" s="36"/>
      <c r="S287" s="36"/>
      <c r="T287" s="36"/>
      <c r="U287" s="36"/>
    </row>
    <row r="288">
      <c r="D288" s="34"/>
      <c r="H288" s="36"/>
      <c r="I288" s="36"/>
      <c r="J288" s="36"/>
      <c r="K288" s="35"/>
      <c r="L288" s="35"/>
      <c r="M288" s="36"/>
      <c r="N288" s="36"/>
      <c r="O288" s="36"/>
      <c r="P288" s="10"/>
      <c r="Q288" s="36"/>
      <c r="R288" s="36"/>
      <c r="S288" s="36"/>
      <c r="T288" s="36"/>
      <c r="U288" s="36"/>
    </row>
    <row r="289">
      <c r="D289" s="34"/>
      <c r="H289" s="36"/>
      <c r="I289" s="36"/>
      <c r="J289" s="36"/>
      <c r="K289" s="35"/>
      <c r="L289" s="35"/>
      <c r="M289" s="36"/>
      <c r="N289" s="36"/>
      <c r="O289" s="36"/>
      <c r="P289" s="10"/>
      <c r="Q289" s="36"/>
      <c r="R289" s="36"/>
      <c r="S289" s="36"/>
      <c r="T289" s="36"/>
      <c r="U289" s="36"/>
    </row>
    <row r="290">
      <c r="D290" s="34"/>
      <c r="H290" s="36"/>
      <c r="I290" s="36"/>
      <c r="J290" s="36"/>
      <c r="K290" s="35"/>
      <c r="L290" s="35"/>
      <c r="M290" s="36"/>
      <c r="N290" s="36"/>
      <c r="O290" s="36"/>
      <c r="P290" s="10"/>
      <c r="Q290" s="36"/>
      <c r="R290" s="36"/>
      <c r="S290" s="36"/>
      <c r="T290" s="36"/>
      <c r="U290" s="36"/>
    </row>
    <row r="291">
      <c r="D291" s="34"/>
      <c r="H291" s="36"/>
      <c r="I291" s="36"/>
      <c r="J291" s="36"/>
      <c r="K291" s="35"/>
      <c r="L291" s="35"/>
      <c r="M291" s="36"/>
      <c r="N291" s="36"/>
      <c r="O291" s="36"/>
      <c r="P291" s="10"/>
      <c r="Q291" s="36"/>
      <c r="R291" s="36"/>
      <c r="S291" s="36"/>
      <c r="T291" s="36"/>
      <c r="U291" s="36"/>
    </row>
    <row r="292">
      <c r="D292" s="34"/>
      <c r="H292" s="36"/>
      <c r="I292" s="36"/>
      <c r="J292" s="36"/>
      <c r="K292" s="35"/>
      <c r="L292" s="35"/>
      <c r="M292" s="36"/>
      <c r="N292" s="36"/>
      <c r="O292" s="36"/>
      <c r="P292" s="10"/>
      <c r="Q292" s="36"/>
      <c r="R292" s="36"/>
      <c r="S292" s="36"/>
      <c r="T292" s="36"/>
      <c r="U292" s="36"/>
    </row>
    <row r="293">
      <c r="D293" s="34"/>
      <c r="H293" s="36"/>
      <c r="I293" s="36"/>
      <c r="J293" s="36"/>
      <c r="K293" s="35"/>
      <c r="L293" s="35"/>
      <c r="M293" s="36"/>
      <c r="N293" s="36"/>
      <c r="O293" s="36"/>
      <c r="P293" s="36"/>
      <c r="Q293" s="36"/>
      <c r="R293" s="36"/>
      <c r="S293" s="36"/>
      <c r="T293" s="36"/>
      <c r="U293" s="36"/>
    </row>
    <row r="294">
      <c r="D294" s="34"/>
      <c r="H294" s="36"/>
      <c r="I294" s="36"/>
      <c r="J294" s="36"/>
      <c r="K294" s="35"/>
      <c r="L294" s="35"/>
      <c r="M294" s="36"/>
      <c r="N294" s="36"/>
      <c r="O294" s="36"/>
      <c r="P294" s="36"/>
      <c r="Q294" s="36"/>
      <c r="R294" s="36"/>
      <c r="S294" s="36"/>
      <c r="T294" s="36"/>
      <c r="U294" s="36"/>
    </row>
    <row r="295">
      <c r="D295" s="34"/>
      <c r="H295" s="36"/>
      <c r="I295" s="36"/>
      <c r="J295" s="36"/>
      <c r="K295" s="35"/>
      <c r="L295" s="35"/>
      <c r="M295" s="36"/>
      <c r="N295" s="36"/>
      <c r="O295" s="36"/>
      <c r="P295" s="36"/>
      <c r="Q295" s="36"/>
      <c r="R295" s="36"/>
      <c r="S295" s="36"/>
      <c r="T295" s="36"/>
      <c r="U295" s="36"/>
    </row>
    <row r="296">
      <c r="D296" s="34"/>
      <c r="H296" s="36"/>
      <c r="I296" s="36"/>
      <c r="J296" s="36"/>
      <c r="K296" s="35"/>
      <c r="L296" s="35"/>
      <c r="M296" s="36"/>
      <c r="N296" s="36"/>
      <c r="O296" s="36"/>
      <c r="P296" s="36"/>
      <c r="Q296" s="36"/>
      <c r="R296" s="36"/>
      <c r="S296" s="36"/>
      <c r="T296" s="36"/>
      <c r="U296" s="36"/>
    </row>
    <row r="297">
      <c r="D297" s="34"/>
      <c r="H297" s="36"/>
      <c r="I297" s="36"/>
      <c r="J297" s="36"/>
      <c r="K297" s="35"/>
      <c r="L297" s="35"/>
      <c r="M297" s="36"/>
      <c r="N297" s="36"/>
      <c r="O297" s="36"/>
      <c r="P297" s="36"/>
      <c r="Q297" s="36"/>
      <c r="R297" s="36"/>
      <c r="S297" s="36"/>
      <c r="T297" s="36"/>
      <c r="U297" s="36"/>
    </row>
    <row r="298">
      <c r="D298" s="34"/>
      <c r="H298" s="36"/>
      <c r="I298" s="36"/>
      <c r="J298" s="36"/>
      <c r="K298" s="35"/>
      <c r="L298" s="35"/>
      <c r="M298" s="36"/>
      <c r="N298" s="36"/>
      <c r="O298" s="36"/>
      <c r="P298" s="36"/>
      <c r="Q298" s="36"/>
      <c r="R298" s="36"/>
      <c r="S298" s="36"/>
      <c r="T298" s="36"/>
      <c r="U298" s="36"/>
    </row>
    <row r="299">
      <c r="D299" s="34"/>
      <c r="H299" s="36"/>
      <c r="I299" s="36"/>
      <c r="J299" s="36"/>
      <c r="K299" s="35"/>
      <c r="L299" s="35"/>
      <c r="M299" s="36"/>
      <c r="N299" s="36"/>
      <c r="O299" s="36"/>
      <c r="P299" s="36"/>
      <c r="Q299" s="36"/>
      <c r="R299" s="36"/>
      <c r="S299" s="36"/>
      <c r="T299" s="36"/>
      <c r="U299" s="36"/>
    </row>
    <row r="300">
      <c r="D300" s="34"/>
      <c r="H300" s="36"/>
      <c r="I300" s="36"/>
      <c r="J300" s="36"/>
      <c r="K300" s="35"/>
      <c r="L300" s="35"/>
      <c r="M300" s="36"/>
      <c r="N300" s="36"/>
      <c r="O300" s="36"/>
      <c r="P300" s="36"/>
      <c r="Q300" s="36"/>
      <c r="R300" s="36"/>
      <c r="S300" s="36"/>
      <c r="T300" s="36"/>
      <c r="U300" s="36"/>
    </row>
    <row r="301">
      <c r="D301" s="34"/>
      <c r="H301" s="36"/>
      <c r="I301" s="36"/>
      <c r="J301" s="36"/>
      <c r="K301" s="35"/>
      <c r="L301" s="35"/>
      <c r="M301" s="36"/>
      <c r="N301" s="36"/>
      <c r="O301" s="36"/>
      <c r="P301" s="36"/>
      <c r="Q301" s="36"/>
      <c r="R301" s="36"/>
      <c r="S301" s="36"/>
      <c r="T301" s="36"/>
      <c r="U301" s="36"/>
    </row>
    <row r="302">
      <c r="D302" s="34"/>
      <c r="H302" s="36"/>
      <c r="I302" s="36"/>
      <c r="J302" s="36"/>
      <c r="K302" s="35"/>
      <c r="L302" s="35"/>
      <c r="M302" s="36"/>
      <c r="N302" s="36"/>
      <c r="O302" s="36"/>
      <c r="P302" s="36"/>
      <c r="Q302" s="36"/>
      <c r="R302" s="36"/>
      <c r="S302" s="36"/>
      <c r="T302" s="36"/>
      <c r="U302" s="36"/>
    </row>
    <row r="303">
      <c r="D303" s="34"/>
      <c r="H303" s="36"/>
      <c r="I303" s="36"/>
      <c r="J303" s="36"/>
      <c r="K303" s="35"/>
      <c r="L303" s="35"/>
      <c r="M303" s="36"/>
      <c r="N303" s="36"/>
      <c r="O303" s="36"/>
      <c r="P303" s="36"/>
      <c r="Q303" s="36"/>
      <c r="R303" s="36"/>
      <c r="S303" s="36"/>
      <c r="T303" s="36"/>
      <c r="U303" s="36"/>
    </row>
    <row r="304">
      <c r="D304" s="34"/>
      <c r="H304" s="36"/>
      <c r="I304" s="36"/>
      <c r="J304" s="36"/>
      <c r="K304" s="35"/>
      <c r="L304" s="35"/>
      <c r="M304" s="36"/>
      <c r="N304" s="36"/>
      <c r="O304" s="36"/>
      <c r="P304" s="36"/>
      <c r="Q304" s="36"/>
      <c r="R304" s="36"/>
      <c r="S304" s="36"/>
      <c r="T304" s="36"/>
      <c r="U304" s="36"/>
    </row>
    <row r="305">
      <c r="D305" s="34"/>
      <c r="H305" s="36"/>
      <c r="I305" s="36"/>
      <c r="J305" s="36"/>
      <c r="K305" s="35"/>
      <c r="L305" s="35"/>
      <c r="M305" s="36"/>
      <c r="N305" s="36"/>
      <c r="O305" s="36"/>
      <c r="P305" s="36"/>
      <c r="Q305" s="36"/>
      <c r="R305" s="36"/>
      <c r="S305" s="36"/>
      <c r="T305" s="36"/>
      <c r="U305" s="36"/>
    </row>
    <row r="306">
      <c r="D306" s="34"/>
      <c r="H306" s="36"/>
      <c r="I306" s="36"/>
      <c r="J306" s="36"/>
      <c r="K306" s="35"/>
      <c r="L306" s="35"/>
      <c r="M306" s="36"/>
      <c r="N306" s="36"/>
      <c r="O306" s="36"/>
      <c r="P306" s="36"/>
      <c r="Q306" s="36"/>
      <c r="R306" s="36"/>
      <c r="S306" s="36"/>
      <c r="T306" s="36"/>
      <c r="U306" s="36"/>
    </row>
    <row r="307">
      <c r="D307" s="34"/>
      <c r="H307" s="36"/>
      <c r="I307" s="36"/>
      <c r="J307" s="36"/>
      <c r="K307" s="35"/>
      <c r="L307" s="35"/>
      <c r="M307" s="36"/>
      <c r="N307" s="36"/>
      <c r="O307" s="36"/>
      <c r="P307" s="36"/>
      <c r="Q307" s="36"/>
      <c r="R307" s="36"/>
      <c r="S307" s="36"/>
      <c r="T307" s="36"/>
      <c r="U307" s="36"/>
    </row>
    <row r="308">
      <c r="D308" s="34"/>
      <c r="H308" s="36"/>
      <c r="I308" s="36"/>
      <c r="J308" s="36"/>
      <c r="K308" s="35"/>
      <c r="L308" s="35"/>
      <c r="M308" s="36"/>
      <c r="N308" s="36"/>
      <c r="O308" s="36"/>
      <c r="P308" s="36"/>
      <c r="Q308" s="36"/>
      <c r="R308" s="36"/>
      <c r="S308" s="36"/>
      <c r="T308" s="36"/>
      <c r="U308" s="36"/>
    </row>
    <row r="309">
      <c r="D309" s="34"/>
      <c r="H309" s="36"/>
      <c r="I309" s="36"/>
      <c r="J309" s="36"/>
      <c r="K309" s="35"/>
      <c r="L309" s="35"/>
      <c r="M309" s="36"/>
      <c r="N309" s="36"/>
      <c r="O309" s="36"/>
      <c r="P309" s="36"/>
      <c r="Q309" s="36"/>
      <c r="R309" s="36"/>
      <c r="S309" s="36"/>
      <c r="T309" s="36"/>
      <c r="U309" s="36"/>
    </row>
    <row r="310">
      <c r="D310" s="34"/>
      <c r="H310" s="36"/>
      <c r="I310" s="36"/>
      <c r="J310" s="36"/>
      <c r="K310" s="35"/>
      <c r="L310" s="35"/>
      <c r="M310" s="36"/>
      <c r="N310" s="36"/>
      <c r="O310" s="36"/>
      <c r="P310" s="36"/>
      <c r="Q310" s="36"/>
      <c r="R310" s="36"/>
      <c r="S310" s="36"/>
      <c r="T310" s="36"/>
      <c r="U310" s="36"/>
    </row>
    <row r="311">
      <c r="D311" s="34"/>
      <c r="H311" s="36"/>
      <c r="I311" s="36"/>
      <c r="J311" s="36"/>
      <c r="K311" s="35"/>
      <c r="L311" s="35"/>
      <c r="M311" s="36"/>
      <c r="N311" s="36"/>
      <c r="O311" s="36"/>
      <c r="P311" s="36"/>
      <c r="Q311" s="36"/>
      <c r="R311" s="36"/>
      <c r="S311" s="36"/>
      <c r="T311" s="36"/>
      <c r="U311" s="36"/>
    </row>
    <row r="312">
      <c r="D312" s="34"/>
      <c r="H312" s="36"/>
      <c r="I312" s="36"/>
      <c r="J312" s="36"/>
      <c r="K312" s="35"/>
      <c r="L312" s="35"/>
      <c r="M312" s="36"/>
      <c r="N312" s="36"/>
      <c r="O312" s="36"/>
      <c r="P312" s="36"/>
      <c r="Q312" s="36"/>
      <c r="R312" s="36"/>
      <c r="S312" s="36"/>
      <c r="T312" s="36"/>
      <c r="U312" s="36"/>
    </row>
    <row r="313">
      <c r="D313" s="34"/>
      <c r="H313" s="36"/>
      <c r="I313" s="36"/>
      <c r="J313" s="36"/>
      <c r="K313" s="35"/>
      <c r="L313" s="35"/>
      <c r="M313" s="36"/>
      <c r="N313" s="36"/>
      <c r="O313" s="36"/>
      <c r="P313" s="36"/>
      <c r="Q313" s="36"/>
      <c r="R313" s="36"/>
      <c r="S313" s="36"/>
      <c r="T313" s="36"/>
      <c r="U313" s="36"/>
    </row>
    <row r="314">
      <c r="D314" s="34"/>
      <c r="H314" s="36"/>
      <c r="I314" s="36"/>
      <c r="J314" s="36"/>
      <c r="K314" s="35"/>
      <c r="L314" s="35"/>
      <c r="M314" s="36"/>
      <c r="N314" s="36"/>
      <c r="O314" s="36"/>
      <c r="P314" s="36"/>
      <c r="Q314" s="36"/>
      <c r="R314" s="36"/>
      <c r="S314" s="36"/>
      <c r="T314" s="36"/>
      <c r="U314" s="36"/>
    </row>
    <row r="315">
      <c r="D315" s="34"/>
      <c r="H315" s="36"/>
      <c r="I315" s="36"/>
      <c r="J315" s="36"/>
      <c r="K315" s="35"/>
      <c r="L315" s="35"/>
      <c r="M315" s="36"/>
      <c r="N315" s="36"/>
      <c r="O315" s="36"/>
      <c r="P315" s="36"/>
      <c r="Q315" s="36"/>
      <c r="R315" s="36"/>
      <c r="S315" s="36"/>
      <c r="T315" s="36"/>
      <c r="U315" s="36"/>
    </row>
    <row r="316">
      <c r="D316" s="34"/>
      <c r="H316" s="36"/>
      <c r="I316" s="36"/>
      <c r="J316" s="36"/>
      <c r="K316" s="35"/>
      <c r="L316" s="35"/>
      <c r="M316" s="36"/>
      <c r="N316" s="36"/>
      <c r="O316" s="36"/>
      <c r="P316" s="36"/>
      <c r="Q316" s="36"/>
      <c r="R316" s="36"/>
      <c r="S316" s="36"/>
      <c r="T316" s="36"/>
      <c r="U316" s="36"/>
    </row>
    <row r="317">
      <c r="D317" s="34"/>
      <c r="H317" s="36"/>
      <c r="I317" s="36"/>
      <c r="J317" s="36"/>
      <c r="K317" s="35"/>
      <c r="L317" s="35"/>
      <c r="M317" s="36"/>
      <c r="N317" s="36"/>
      <c r="O317" s="36"/>
      <c r="P317" s="36"/>
      <c r="Q317" s="36"/>
      <c r="R317" s="36"/>
      <c r="S317" s="36"/>
      <c r="T317" s="36"/>
      <c r="U317" s="36"/>
    </row>
    <row r="318">
      <c r="D318" s="34"/>
      <c r="H318" s="36"/>
      <c r="I318" s="36"/>
      <c r="J318" s="36"/>
      <c r="K318" s="35"/>
      <c r="L318" s="35"/>
      <c r="M318" s="36"/>
      <c r="N318" s="36"/>
      <c r="O318" s="36"/>
      <c r="P318" s="36"/>
      <c r="Q318" s="36"/>
      <c r="R318" s="36"/>
      <c r="S318" s="36"/>
      <c r="T318" s="36"/>
      <c r="U318" s="36"/>
    </row>
    <row r="319">
      <c r="D319" s="34"/>
      <c r="H319" s="36"/>
      <c r="I319" s="36"/>
      <c r="J319" s="36"/>
      <c r="K319" s="35"/>
      <c r="L319" s="35"/>
      <c r="M319" s="36"/>
      <c r="N319" s="36"/>
      <c r="O319" s="36"/>
      <c r="P319" s="36"/>
      <c r="Q319" s="36"/>
      <c r="R319" s="36"/>
      <c r="S319" s="36"/>
      <c r="T319" s="36"/>
      <c r="U319" s="36"/>
    </row>
    <row r="320">
      <c r="D320" s="34"/>
      <c r="H320" s="36"/>
      <c r="I320" s="36"/>
      <c r="J320" s="36"/>
      <c r="K320" s="35"/>
      <c r="L320" s="35"/>
      <c r="M320" s="36"/>
      <c r="N320" s="36"/>
      <c r="O320" s="36"/>
      <c r="P320" s="36"/>
      <c r="Q320" s="36"/>
      <c r="R320" s="36"/>
      <c r="S320" s="36"/>
      <c r="T320" s="36"/>
      <c r="U320" s="36"/>
    </row>
    <row r="321">
      <c r="D321" s="34"/>
      <c r="H321" s="36"/>
      <c r="I321" s="36"/>
      <c r="J321" s="36"/>
      <c r="K321" s="35"/>
      <c r="L321" s="35"/>
      <c r="M321" s="36"/>
      <c r="N321" s="36"/>
      <c r="O321" s="36"/>
      <c r="P321" s="36"/>
      <c r="Q321" s="36"/>
      <c r="R321" s="36"/>
      <c r="S321" s="36"/>
      <c r="T321" s="36"/>
      <c r="U321" s="36"/>
    </row>
    <row r="322">
      <c r="D322" s="34"/>
      <c r="H322" s="36"/>
      <c r="I322" s="36"/>
      <c r="J322" s="36"/>
      <c r="K322" s="35"/>
      <c r="L322" s="35"/>
      <c r="M322" s="36"/>
      <c r="N322" s="36"/>
      <c r="O322" s="36"/>
      <c r="P322" s="36"/>
      <c r="Q322" s="36"/>
      <c r="R322" s="36"/>
      <c r="S322" s="36"/>
      <c r="T322" s="36"/>
      <c r="U322" s="36"/>
    </row>
    <row r="323">
      <c r="D323" s="34"/>
      <c r="H323" s="36"/>
      <c r="I323" s="36"/>
      <c r="J323" s="36"/>
      <c r="K323" s="35"/>
      <c r="L323" s="35"/>
      <c r="M323" s="36"/>
      <c r="N323" s="36"/>
      <c r="O323" s="36"/>
      <c r="P323" s="36"/>
      <c r="Q323" s="36"/>
      <c r="R323" s="36"/>
      <c r="S323" s="36"/>
      <c r="T323" s="36"/>
      <c r="U323" s="36"/>
    </row>
    <row r="324">
      <c r="D324" s="34"/>
      <c r="H324" s="36"/>
      <c r="I324" s="36"/>
      <c r="J324" s="36"/>
      <c r="K324" s="35"/>
      <c r="L324" s="35"/>
      <c r="M324" s="36"/>
      <c r="N324" s="36"/>
      <c r="O324" s="36"/>
      <c r="P324" s="36"/>
      <c r="Q324" s="36"/>
      <c r="R324" s="36"/>
      <c r="S324" s="36"/>
      <c r="T324" s="36"/>
      <c r="U324" s="36"/>
    </row>
    <row r="325">
      <c r="D325" s="34"/>
      <c r="H325" s="36"/>
      <c r="I325" s="36"/>
      <c r="J325" s="36"/>
      <c r="K325" s="35"/>
      <c r="L325" s="35"/>
      <c r="M325" s="36"/>
      <c r="N325" s="36"/>
      <c r="O325" s="36"/>
      <c r="P325" s="36"/>
      <c r="Q325" s="36"/>
      <c r="R325" s="36"/>
      <c r="S325" s="36"/>
      <c r="T325" s="36"/>
      <c r="U325" s="36"/>
    </row>
    <row r="326">
      <c r="D326" s="34"/>
      <c r="H326" s="36"/>
      <c r="I326" s="36"/>
      <c r="J326" s="36"/>
      <c r="K326" s="35"/>
      <c r="L326" s="35"/>
      <c r="M326" s="36"/>
      <c r="N326" s="36"/>
      <c r="O326" s="36"/>
      <c r="P326" s="36"/>
      <c r="Q326" s="36"/>
      <c r="R326" s="36"/>
      <c r="S326" s="36"/>
      <c r="T326" s="36"/>
      <c r="U326" s="36"/>
    </row>
    <row r="327">
      <c r="D327" s="34"/>
      <c r="H327" s="36"/>
      <c r="I327" s="36"/>
      <c r="J327" s="36"/>
      <c r="K327" s="35"/>
      <c r="L327" s="35"/>
      <c r="M327" s="36"/>
      <c r="N327" s="36"/>
      <c r="O327" s="36"/>
      <c r="P327" s="36"/>
      <c r="Q327" s="36"/>
      <c r="R327" s="36"/>
      <c r="S327" s="36"/>
      <c r="T327" s="36"/>
      <c r="U327" s="36"/>
    </row>
    <row r="328">
      <c r="D328" s="34"/>
      <c r="H328" s="36"/>
      <c r="I328" s="36"/>
      <c r="J328" s="36"/>
      <c r="K328" s="35"/>
      <c r="L328" s="35"/>
      <c r="M328" s="36"/>
      <c r="N328" s="36"/>
      <c r="O328" s="36"/>
      <c r="P328" s="36"/>
      <c r="Q328" s="36"/>
      <c r="R328" s="36"/>
      <c r="S328" s="36"/>
      <c r="T328" s="36"/>
      <c r="U328" s="36"/>
    </row>
    <row r="329">
      <c r="D329" s="34"/>
      <c r="H329" s="36"/>
      <c r="I329" s="36"/>
      <c r="J329" s="36"/>
      <c r="K329" s="35"/>
      <c r="L329" s="35"/>
      <c r="M329" s="36"/>
      <c r="N329" s="36"/>
      <c r="O329" s="36"/>
      <c r="P329" s="36"/>
      <c r="Q329" s="36"/>
      <c r="R329" s="36"/>
      <c r="S329" s="36"/>
      <c r="T329" s="36"/>
      <c r="U329" s="36"/>
    </row>
    <row r="330">
      <c r="D330" s="34"/>
      <c r="H330" s="36"/>
      <c r="I330" s="36"/>
      <c r="J330" s="36"/>
      <c r="K330" s="35"/>
      <c r="L330" s="35"/>
      <c r="M330" s="36"/>
      <c r="N330" s="36"/>
      <c r="O330" s="36"/>
      <c r="P330" s="36"/>
      <c r="Q330" s="36"/>
      <c r="R330" s="36"/>
      <c r="S330" s="36"/>
      <c r="T330" s="36"/>
      <c r="U330" s="36"/>
    </row>
    <row r="331">
      <c r="D331" s="34"/>
      <c r="H331" s="36"/>
      <c r="I331" s="36"/>
      <c r="J331" s="36"/>
      <c r="K331" s="35"/>
      <c r="L331" s="35"/>
      <c r="M331" s="36"/>
      <c r="N331" s="36"/>
      <c r="O331" s="36"/>
      <c r="P331" s="36"/>
      <c r="Q331" s="36"/>
      <c r="R331" s="36"/>
      <c r="S331" s="36"/>
      <c r="T331" s="36"/>
      <c r="U331" s="36"/>
    </row>
    <row r="332">
      <c r="D332" s="34"/>
      <c r="H332" s="36"/>
      <c r="I332" s="36"/>
      <c r="J332" s="36"/>
      <c r="K332" s="35"/>
      <c r="L332" s="35"/>
      <c r="M332" s="36"/>
      <c r="N332" s="36"/>
      <c r="O332" s="36"/>
      <c r="P332" s="36"/>
      <c r="Q332" s="36"/>
      <c r="R332" s="36"/>
      <c r="S332" s="36"/>
      <c r="T332" s="36"/>
      <c r="U332" s="36"/>
    </row>
    <row r="333">
      <c r="D333" s="34"/>
      <c r="H333" s="36"/>
      <c r="I333" s="36"/>
      <c r="J333" s="36"/>
      <c r="K333" s="35"/>
      <c r="L333" s="35"/>
      <c r="M333" s="36"/>
      <c r="N333" s="36"/>
      <c r="O333" s="36"/>
      <c r="P333" s="36"/>
      <c r="Q333" s="36"/>
      <c r="R333" s="36"/>
      <c r="S333" s="36"/>
      <c r="T333" s="36"/>
      <c r="U333" s="36"/>
    </row>
    <row r="334">
      <c r="D334" s="34"/>
      <c r="H334" s="36"/>
      <c r="I334" s="36"/>
      <c r="J334" s="36"/>
      <c r="K334" s="35"/>
      <c r="L334" s="35"/>
      <c r="M334" s="36"/>
      <c r="N334" s="36"/>
      <c r="O334" s="36"/>
      <c r="P334" s="36"/>
      <c r="Q334" s="36"/>
      <c r="R334" s="36"/>
      <c r="S334" s="36"/>
      <c r="T334" s="36"/>
      <c r="U334" s="36"/>
    </row>
    <row r="335">
      <c r="D335" s="34"/>
      <c r="H335" s="36"/>
      <c r="I335" s="36"/>
      <c r="J335" s="36"/>
      <c r="K335" s="35"/>
      <c r="L335" s="35"/>
      <c r="M335" s="36"/>
      <c r="N335" s="36"/>
      <c r="O335" s="36"/>
      <c r="P335" s="36"/>
      <c r="Q335" s="36"/>
      <c r="R335" s="36"/>
      <c r="S335" s="36"/>
      <c r="T335" s="36"/>
      <c r="U335" s="36"/>
    </row>
    <row r="336">
      <c r="D336" s="34"/>
      <c r="H336" s="36"/>
      <c r="I336" s="36"/>
      <c r="J336" s="36"/>
      <c r="K336" s="35"/>
      <c r="L336" s="35"/>
      <c r="M336" s="36"/>
      <c r="N336" s="36"/>
      <c r="O336" s="36"/>
      <c r="P336" s="36"/>
      <c r="Q336" s="36"/>
      <c r="R336" s="36"/>
      <c r="S336" s="36"/>
      <c r="T336" s="36"/>
      <c r="U336" s="36"/>
    </row>
    <row r="337">
      <c r="D337" s="34"/>
      <c r="H337" s="36"/>
      <c r="I337" s="36"/>
      <c r="J337" s="36"/>
      <c r="K337" s="35"/>
      <c r="L337" s="35"/>
      <c r="M337" s="36"/>
      <c r="N337" s="36"/>
      <c r="O337" s="36"/>
      <c r="P337" s="36"/>
      <c r="Q337" s="36"/>
      <c r="R337" s="36"/>
      <c r="S337" s="36"/>
      <c r="T337" s="36"/>
      <c r="U337" s="36"/>
    </row>
    <row r="338">
      <c r="D338" s="34"/>
      <c r="H338" s="36"/>
      <c r="I338" s="36"/>
      <c r="J338" s="36"/>
      <c r="K338" s="35"/>
      <c r="L338" s="35"/>
      <c r="M338" s="36"/>
      <c r="N338" s="36"/>
      <c r="O338" s="36"/>
      <c r="P338" s="36"/>
      <c r="Q338" s="36"/>
      <c r="R338" s="36"/>
      <c r="S338" s="36"/>
      <c r="T338" s="36"/>
      <c r="U338" s="36"/>
    </row>
    <row r="339">
      <c r="D339" s="34"/>
      <c r="H339" s="36"/>
      <c r="I339" s="36"/>
      <c r="J339" s="36"/>
      <c r="K339" s="35"/>
      <c r="L339" s="35"/>
      <c r="M339" s="36"/>
      <c r="N339" s="36"/>
      <c r="O339" s="36"/>
      <c r="P339" s="36"/>
      <c r="Q339" s="36"/>
      <c r="R339" s="36"/>
      <c r="S339" s="36"/>
      <c r="T339" s="36"/>
      <c r="U339" s="36"/>
    </row>
    <row r="340">
      <c r="D340" s="34"/>
      <c r="H340" s="36"/>
      <c r="I340" s="36"/>
      <c r="J340" s="36"/>
      <c r="K340" s="35"/>
      <c r="L340" s="35"/>
      <c r="M340" s="36"/>
      <c r="N340" s="36"/>
      <c r="O340" s="36"/>
      <c r="P340" s="36"/>
      <c r="Q340" s="36"/>
      <c r="R340" s="36"/>
      <c r="S340" s="36"/>
      <c r="T340" s="36"/>
      <c r="U340" s="36"/>
    </row>
    <row r="341">
      <c r="D341" s="34"/>
      <c r="H341" s="36"/>
      <c r="I341" s="36"/>
      <c r="J341" s="36"/>
      <c r="K341" s="35"/>
      <c r="L341" s="35"/>
      <c r="M341" s="36"/>
      <c r="N341" s="36"/>
      <c r="O341" s="36"/>
      <c r="P341" s="36"/>
      <c r="Q341" s="36"/>
      <c r="R341" s="36"/>
      <c r="S341" s="36"/>
      <c r="T341" s="36"/>
      <c r="U341" s="36"/>
    </row>
    <row r="342">
      <c r="D342" s="34"/>
      <c r="H342" s="36"/>
      <c r="I342" s="36"/>
      <c r="J342" s="36"/>
      <c r="K342" s="35"/>
      <c r="L342" s="35"/>
      <c r="M342" s="36"/>
      <c r="N342" s="36"/>
      <c r="O342" s="36"/>
      <c r="P342" s="36"/>
      <c r="Q342" s="36"/>
      <c r="R342" s="36"/>
      <c r="S342" s="36"/>
      <c r="T342" s="36"/>
      <c r="U342" s="36"/>
    </row>
    <row r="343">
      <c r="D343" s="34"/>
      <c r="H343" s="36"/>
      <c r="I343" s="36"/>
      <c r="J343" s="36"/>
      <c r="K343" s="35"/>
      <c r="L343" s="35"/>
      <c r="M343" s="36"/>
      <c r="N343" s="36"/>
      <c r="O343" s="36"/>
      <c r="P343" s="36"/>
      <c r="Q343" s="36"/>
      <c r="R343" s="36"/>
      <c r="S343" s="36"/>
      <c r="T343" s="36"/>
      <c r="U343" s="36"/>
    </row>
    <row r="344">
      <c r="D344" s="34"/>
      <c r="H344" s="36"/>
      <c r="I344" s="36"/>
      <c r="J344" s="36"/>
      <c r="K344" s="35"/>
      <c r="L344" s="35"/>
      <c r="M344" s="36"/>
      <c r="N344" s="36"/>
      <c r="O344" s="36"/>
      <c r="P344" s="36"/>
      <c r="Q344" s="36"/>
      <c r="R344" s="36"/>
      <c r="S344" s="36"/>
      <c r="T344" s="36"/>
      <c r="U344" s="36"/>
    </row>
    <row r="345">
      <c r="D345" s="34"/>
      <c r="H345" s="36"/>
      <c r="I345" s="36"/>
      <c r="J345" s="36"/>
      <c r="K345" s="35"/>
      <c r="L345" s="35"/>
      <c r="M345" s="36"/>
      <c r="N345" s="36"/>
      <c r="O345" s="36"/>
      <c r="P345" s="36"/>
      <c r="Q345" s="36"/>
      <c r="R345" s="36"/>
      <c r="S345" s="36"/>
      <c r="T345" s="36"/>
      <c r="U345" s="36"/>
    </row>
    <row r="346">
      <c r="D346" s="34"/>
      <c r="H346" s="36"/>
      <c r="I346" s="36"/>
      <c r="J346" s="36"/>
      <c r="K346" s="35"/>
      <c r="L346" s="35"/>
      <c r="M346" s="36"/>
      <c r="N346" s="36"/>
      <c r="O346" s="36"/>
      <c r="P346" s="36"/>
      <c r="Q346" s="36"/>
      <c r="R346" s="36"/>
      <c r="S346" s="36"/>
      <c r="T346" s="36"/>
      <c r="U346" s="36"/>
    </row>
    <row r="347">
      <c r="D347" s="34"/>
      <c r="H347" s="36"/>
      <c r="I347" s="36"/>
      <c r="J347" s="36"/>
      <c r="K347" s="35"/>
      <c r="L347" s="35"/>
      <c r="M347" s="36"/>
      <c r="N347" s="36"/>
      <c r="O347" s="36"/>
      <c r="P347" s="36"/>
      <c r="Q347" s="36"/>
      <c r="R347" s="36"/>
      <c r="S347" s="36"/>
      <c r="T347" s="36"/>
      <c r="U347" s="36"/>
    </row>
    <row r="348">
      <c r="D348" s="34"/>
      <c r="H348" s="36"/>
      <c r="I348" s="36"/>
      <c r="J348" s="36"/>
      <c r="K348" s="35"/>
      <c r="L348" s="35"/>
      <c r="M348" s="36"/>
      <c r="N348" s="36"/>
      <c r="O348" s="36"/>
      <c r="P348" s="36"/>
      <c r="Q348" s="36"/>
      <c r="R348" s="36"/>
      <c r="S348" s="36"/>
      <c r="T348" s="36"/>
      <c r="U348" s="36"/>
    </row>
    <row r="349">
      <c r="D349" s="34"/>
      <c r="H349" s="36"/>
      <c r="I349" s="36"/>
      <c r="J349" s="36"/>
      <c r="K349" s="35"/>
      <c r="L349" s="35"/>
      <c r="M349" s="36"/>
      <c r="N349" s="36"/>
      <c r="O349" s="36"/>
      <c r="P349" s="36"/>
      <c r="Q349" s="36"/>
      <c r="R349" s="36"/>
      <c r="S349" s="36"/>
      <c r="T349" s="36"/>
      <c r="U349" s="36"/>
    </row>
    <row r="350">
      <c r="D350" s="34"/>
      <c r="H350" s="36"/>
      <c r="I350" s="36"/>
      <c r="J350" s="36"/>
      <c r="K350" s="35"/>
      <c r="L350" s="35"/>
      <c r="M350" s="36"/>
      <c r="N350" s="36"/>
      <c r="O350" s="36"/>
      <c r="P350" s="36"/>
      <c r="Q350" s="36"/>
      <c r="R350" s="36"/>
      <c r="S350" s="36"/>
      <c r="T350" s="36"/>
      <c r="U350" s="36"/>
    </row>
    <row r="351">
      <c r="D351" s="34"/>
      <c r="H351" s="36"/>
      <c r="I351" s="36"/>
      <c r="J351" s="36"/>
      <c r="K351" s="35"/>
      <c r="L351" s="35"/>
      <c r="M351" s="36"/>
      <c r="N351" s="36"/>
      <c r="O351" s="36"/>
      <c r="P351" s="36"/>
      <c r="Q351" s="36"/>
      <c r="R351" s="36"/>
      <c r="S351" s="36"/>
      <c r="T351" s="36"/>
      <c r="U351" s="36"/>
    </row>
    <row r="352">
      <c r="D352" s="34"/>
      <c r="H352" s="36"/>
      <c r="I352" s="36"/>
      <c r="J352" s="36"/>
      <c r="K352" s="35"/>
      <c r="L352" s="35"/>
      <c r="M352" s="36"/>
      <c r="N352" s="36"/>
      <c r="O352" s="36"/>
      <c r="P352" s="36"/>
      <c r="Q352" s="36"/>
      <c r="R352" s="36"/>
      <c r="S352" s="36"/>
      <c r="T352" s="36"/>
      <c r="U352" s="36"/>
    </row>
    <row r="353">
      <c r="D353" s="34"/>
      <c r="H353" s="36"/>
      <c r="I353" s="36"/>
      <c r="J353" s="36"/>
      <c r="K353" s="35"/>
      <c r="L353" s="35"/>
      <c r="M353" s="36"/>
      <c r="N353" s="36"/>
      <c r="O353" s="36"/>
      <c r="P353" s="36"/>
      <c r="Q353" s="36"/>
      <c r="R353" s="36"/>
      <c r="S353" s="36"/>
      <c r="T353" s="36"/>
      <c r="U353" s="36"/>
    </row>
    <row r="354">
      <c r="D354" s="34"/>
      <c r="H354" s="36"/>
      <c r="I354" s="36"/>
      <c r="J354" s="36"/>
      <c r="K354" s="35"/>
      <c r="L354" s="35"/>
      <c r="M354" s="36"/>
      <c r="N354" s="36"/>
      <c r="O354" s="36"/>
      <c r="P354" s="36"/>
      <c r="Q354" s="36"/>
      <c r="R354" s="36"/>
      <c r="S354" s="36"/>
      <c r="T354" s="36"/>
      <c r="U354" s="36"/>
    </row>
    <row r="355">
      <c r="D355" s="34"/>
      <c r="H355" s="36"/>
      <c r="I355" s="36"/>
      <c r="J355" s="36"/>
      <c r="K355" s="35"/>
      <c r="L355" s="35"/>
      <c r="M355" s="36"/>
      <c r="N355" s="36"/>
      <c r="O355" s="36"/>
      <c r="P355" s="36"/>
      <c r="Q355" s="36"/>
      <c r="R355" s="36"/>
      <c r="S355" s="36"/>
      <c r="T355" s="36"/>
      <c r="U355" s="36"/>
    </row>
    <row r="356">
      <c r="D356" s="34"/>
      <c r="H356" s="36"/>
      <c r="I356" s="36"/>
      <c r="J356" s="36"/>
      <c r="K356" s="35"/>
      <c r="L356" s="35"/>
      <c r="M356" s="36"/>
      <c r="N356" s="36"/>
      <c r="O356" s="36"/>
      <c r="P356" s="36"/>
      <c r="Q356" s="36"/>
      <c r="R356" s="36"/>
      <c r="S356" s="36"/>
      <c r="T356" s="36"/>
      <c r="U356" s="36"/>
    </row>
    <row r="357">
      <c r="D357" s="34"/>
      <c r="H357" s="36"/>
      <c r="I357" s="36"/>
      <c r="J357" s="36"/>
      <c r="K357" s="35"/>
      <c r="L357" s="35"/>
      <c r="M357" s="36"/>
      <c r="N357" s="36"/>
      <c r="O357" s="36"/>
      <c r="P357" s="36"/>
      <c r="Q357" s="36"/>
      <c r="R357" s="36"/>
      <c r="S357" s="36"/>
      <c r="T357" s="36"/>
      <c r="U357" s="36"/>
    </row>
    <row r="358">
      <c r="D358" s="34"/>
      <c r="H358" s="36"/>
      <c r="I358" s="36"/>
      <c r="J358" s="36"/>
      <c r="K358" s="35"/>
      <c r="L358" s="35"/>
      <c r="M358" s="36"/>
      <c r="N358" s="36"/>
      <c r="O358" s="36"/>
      <c r="P358" s="36"/>
      <c r="Q358" s="36"/>
      <c r="R358" s="36"/>
      <c r="S358" s="36"/>
      <c r="T358" s="36"/>
      <c r="U358" s="36"/>
    </row>
    <row r="359">
      <c r="D359" s="34"/>
      <c r="H359" s="36"/>
      <c r="I359" s="36"/>
      <c r="J359" s="36"/>
      <c r="K359" s="35"/>
      <c r="L359" s="35"/>
      <c r="M359" s="36"/>
      <c r="N359" s="36"/>
      <c r="O359" s="36"/>
      <c r="P359" s="36"/>
      <c r="Q359" s="36"/>
      <c r="R359" s="36"/>
      <c r="S359" s="36"/>
      <c r="T359" s="36"/>
      <c r="U359" s="36"/>
    </row>
    <row r="360">
      <c r="D360" s="34"/>
      <c r="H360" s="36"/>
      <c r="I360" s="36"/>
      <c r="J360" s="36"/>
      <c r="K360" s="35"/>
      <c r="L360" s="35"/>
      <c r="M360" s="36"/>
      <c r="N360" s="36"/>
      <c r="O360" s="36"/>
      <c r="P360" s="36"/>
      <c r="Q360" s="36"/>
      <c r="R360" s="36"/>
      <c r="S360" s="36"/>
      <c r="T360" s="36"/>
      <c r="U360" s="36"/>
    </row>
    <row r="361">
      <c r="D361" s="34"/>
      <c r="H361" s="36"/>
      <c r="I361" s="36"/>
      <c r="J361" s="36"/>
      <c r="K361" s="35"/>
      <c r="L361" s="35"/>
      <c r="M361" s="36"/>
      <c r="N361" s="36"/>
      <c r="O361" s="36"/>
      <c r="P361" s="36"/>
      <c r="Q361" s="36"/>
      <c r="R361" s="36"/>
      <c r="S361" s="36"/>
      <c r="T361" s="36"/>
      <c r="U361" s="36"/>
    </row>
    <row r="362">
      <c r="D362" s="34"/>
      <c r="H362" s="36"/>
      <c r="I362" s="36"/>
      <c r="J362" s="36"/>
      <c r="K362" s="35"/>
      <c r="L362" s="35"/>
      <c r="M362" s="36"/>
      <c r="N362" s="36"/>
      <c r="O362" s="36"/>
      <c r="P362" s="36"/>
      <c r="Q362" s="36"/>
      <c r="R362" s="36"/>
      <c r="S362" s="36"/>
      <c r="T362" s="36"/>
      <c r="U362" s="36"/>
    </row>
    <row r="363">
      <c r="D363" s="34"/>
      <c r="H363" s="36"/>
      <c r="I363" s="36"/>
      <c r="J363" s="36"/>
      <c r="K363" s="35"/>
      <c r="L363" s="35"/>
      <c r="M363" s="36"/>
      <c r="N363" s="36"/>
      <c r="O363" s="36"/>
      <c r="P363" s="36"/>
      <c r="Q363" s="36"/>
      <c r="R363" s="36"/>
      <c r="S363" s="36"/>
      <c r="T363" s="36"/>
      <c r="U363" s="36"/>
    </row>
    <row r="364">
      <c r="D364" s="34"/>
      <c r="H364" s="36"/>
      <c r="I364" s="36"/>
      <c r="J364" s="36"/>
      <c r="K364" s="35"/>
      <c r="L364" s="35"/>
      <c r="M364" s="36"/>
      <c r="N364" s="36"/>
      <c r="O364" s="36"/>
      <c r="P364" s="36"/>
      <c r="Q364" s="36"/>
      <c r="R364" s="36"/>
      <c r="S364" s="36"/>
      <c r="T364" s="36"/>
      <c r="U364" s="36"/>
    </row>
    <row r="365">
      <c r="D365" s="34"/>
      <c r="H365" s="36"/>
      <c r="I365" s="36"/>
      <c r="J365" s="36"/>
      <c r="K365" s="35"/>
      <c r="L365" s="35"/>
      <c r="M365" s="36"/>
      <c r="N365" s="36"/>
      <c r="O365" s="36"/>
      <c r="P365" s="36"/>
      <c r="Q365" s="36"/>
      <c r="R365" s="36"/>
      <c r="S365" s="36"/>
      <c r="T365" s="36"/>
      <c r="U365" s="36"/>
    </row>
    <row r="366">
      <c r="D366" s="34"/>
      <c r="H366" s="36"/>
      <c r="I366" s="36"/>
      <c r="J366" s="36"/>
      <c r="K366" s="35"/>
      <c r="L366" s="35"/>
      <c r="M366" s="36"/>
      <c r="N366" s="36"/>
      <c r="O366" s="36"/>
      <c r="P366" s="36"/>
      <c r="Q366" s="36"/>
      <c r="R366" s="36"/>
      <c r="S366" s="36"/>
      <c r="T366" s="36"/>
      <c r="U366" s="36"/>
    </row>
    <row r="367">
      <c r="D367" s="34"/>
      <c r="H367" s="36"/>
      <c r="I367" s="36"/>
      <c r="J367" s="36"/>
      <c r="K367" s="35"/>
      <c r="L367" s="35"/>
      <c r="M367" s="36"/>
      <c r="N367" s="36"/>
      <c r="O367" s="36"/>
      <c r="P367" s="36"/>
      <c r="Q367" s="36"/>
      <c r="R367" s="36"/>
      <c r="S367" s="36"/>
      <c r="T367" s="36"/>
      <c r="U367" s="36"/>
    </row>
    <row r="368">
      <c r="D368" s="34"/>
      <c r="H368" s="36"/>
      <c r="I368" s="36"/>
      <c r="J368" s="36"/>
      <c r="K368" s="35"/>
      <c r="L368" s="35"/>
      <c r="M368" s="36"/>
      <c r="N368" s="36"/>
      <c r="O368" s="36"/>
      <c r="P368" s="36"/>
      <c r="Q368" s="36"/>
      <c r="R368" s="36"/>
      <c r="S368" s="36"/>
      <c r="T368" s="36"/>
      <c r="U368" s="36"/>
    </row>
    <row r="369">
      <c r="D369" s="34"/>
      <c r="H369" s="36"/>
      <c r="I369" s="36"/>
      <c r="J369" s="36"/>
      <c r="K369" s="35"/>
      <c r="L369" s="35"/>
      <c r="M369" s="36"/>
      <c r="N369" s="36"/>
      <c r="O369" s="36"/>
      <c r="P369" s="36"/>
      <c r="Q369" s="36"/>
      <c r="R369" s="36"/>
      <c r="S369" s="36"/>
      <c r="T369" s="36"/>
      <c r="U369" s="36"/>
    </row>
    <row r="370">
      <c r="D370" s="34"/>
      <c r="H370" s="36"/>
      <c r="I370" s="36"/>
      <c r="J370" s="36"/>
      <c r="K370" s="35"/>
      <c r="L370" s="35"/>
      <c r="M370" s="36"/>
      <c r="N370" s="36"/>
      <c r="O370" s="36"/>
      <c r="P370" s="36"/>
      <c r="Q370" s="36"/>
      <c r="R370" s="36"/>
      <c r="S370" s="36"/>
      <c r="T370" s="36"/>
      <c r="U370" s="36"/>
    </row>
    <row r="371">
      <c r="D371" s="34"/>
      <c r="H371" s="36"/>
      <c r="I371" s="36"/>
      <c r="J371" s="36"/>
      <c r="K371" s="35"/>
      <c r="L371" s="35"/>
      <c r="M371" s="36"/>
      <c r="N371" s="36"/>
      <c r="O371" s="36"/>
      <c r="P371" s="36"/>
      <c r="Q371" s="36"/>
      <c r="R371" s="36"/>
      <c r="S371" s="36"/>
      <c r="T371" s="36"/>
      <c r="U371" s="36"/>
    </row>
    <row r="372">
      <c r="D372" s="34"/>
      <c r="H372" s="36"/>
      <c r="I372" s="36"/>
      <c r="J372" s="36"/>
      <c r="K372" s="35"/>
      <c r="L372" s="35"/>
      <c r="M372" s="36"/>
      <c r="N372" s="36"/>
      <c r="O372" s="36"/>
      <c r="P372" s="36"/>
      <c r="Q372" s="36"/>
      <c r="R372" s="36"/>
      <c r="S372" s="36"/>
      <c r="T372" s="36"/>
      <c r="U372" s="36"/>
    </row>
    <row r="373">
      <c r="D373" s="34"/>
      <c r="H373" s="36"/>
      <c r="I373" s="36"/>
      <c r="J373" s="36"/>
      <c r="K373" s="35"/>
      <c r="L373" s="35"/>
      <c r="M373" s="36"/>
      <c r="N373" s="36"/>
      <c r="O373" s="36"/>
      <c r="P373" s="36"/>
      <c r="Q373" s="36"/>
      <c r="R373" s="36"/>
      <c r="S373" s="36"/>
      <c r="T373" s="36"/>
      <c r="U373" s="36"/>
    </row>
    <row r="374">
      <c r="D374" s="34"/>
      <c r="H374" s="36"/>
      <c r="I374" s="36"/>
      <c r="J374" s="36"/>
      <c r="K374" s="35"/>
      <c r="L374" s="35"/>
      <c r="M374" s="36"/>
      <c r="N374" s="36"/>
      <c r="O374" s="36"/>
      <c r="P374" s="36"/>
      <c r="Q374" s="36"/>
      <c r="R374" s="36"/>
      <c r="S374" s="36"/>
      <c r="T374" s="36"/>
      <c r="U374" s="36"/>
    </row>
    <row r="375">
      <c r="D375" s="34"/>
      <c r="H375" s="36"/>
      <c r="I375" s="36"/>
      <c r="J375" s="36"/>
      <c r="K375" s="35"/>
      <c r="L375" s="35"/>
      <c r="M375" s="36"/>
      <c r="N375" s="36"/>
      <c r="O375" s="36"/>
      <c r="P375" s="36"/>
      <c r="Q375" s="36"/>
      <c r="R375" s="36"/>
      <c r="S375" s="36"/>
      <c r="T375" s="36"/>
      <c r="U375" s="36"/>
    </row>
    <row r="376">
      <c r="D376" s="34"/>
      <c r="H376" s="36"/>
      <c r="I376" s="36"/>
      <c r="J376" s="36"/>
      <c r="K376" s="35"/>
      <c r="L376" s="35"/>
      <c r="M376" s="36"/>
      <c r="N376" s="36"/>
      <c r="O376" s="36"/>
      <c r="P376" s="36"/>
      <c r="Q376" s="36"/>
      <c r="R376" s="36"/>
      <c r="S376" s="36"/>
      <c r="T376" s="36"/>
      <c r="U376" s="36"/>
    </row>
    <row r="377">
      <c r="D377" s="34"/>
      <c r="H377" s="36"/>
      <c r="I377" s="36"/>
      <c r="J377" s="36"/>
      <c r="K377" s="35"/>
      <c r="L377" s="35"/>
      <c r="M377" s="36"/>
      <c r="N377" s="36"/>
      <c r="O377" s="36"/>
      <c r="P377" s="36"/>
      <c r="Q377" s="36"/>
      <c r="R377" s="36"/>
      <c r="S377" s="36"/>
      <c r="T377" s="36"/>
      <c r="U377" s="36"/>
    </row>
    <row r="378">
      <c r="D378" s="34"/>
      <c r="H378" s="36"/>
      <c r="I378" s="36"/>
      <c r="J378" s="36"/>
      <c r="K378" s="35"/>
      <c r="L378" s="35"/>
      <c r="M378" s="36"/>
      <c r="N378" s="36"/>
      <c r="O378" s="36"/>
      <c r="P378" s="36"/>
      <c r="Q378" s="36"/>
      <c r="R378" s="36"/>
      <c r="S378" s="36"/>
      <c r="T378" s="36"/>
      <c r="U378" s="36"/>
    </row>
    <row r="379">
      <c r="D379" s="34"/>
      <c r="H379" s="36"/>
      <c r="I379" s="36"/>
      <c r="J379" s="36"/>
      <c r="K379" s="35"/>
      <c r="L379" s="35"/>
      <c r="M379" s="36"/>
      <c r="N379" s="36"/>
      <c r="O379" s="36"/>
      <c r="P379" s="36"/>
      <c r="Q379" s="36"/>
      <c r="R379" s="36"/>
      <c r="S379" s="36"/>
      <c r="T379" s="36"/>
      <c r="U379" s="36"/>
    </row>
    <row r="380">
      <c r="D380" s="34"/>
      <c r="H380" s="36"/>
      <c r="I380" s="36"/>
      <c r="J380" s="36"/>
      <c r="K380" s="35"/>
      <c r="L380" s="35"/>
      <c r="M380" s="36"/>
      <c r="N380" s="36"/>
      <c r="O380" s="36"/>
      <c r="P380" s="36"/>
      <c r="Q380" s="36"/>
      <c r="R380" s="36"/>
      <c r="S380" s="36"/>
      <c r="T380" s="36"/>
      <c r="U380" s="36"/>
    </row>
    <row r="381">
      <c r="D381" s="34"/>
      <c r="H381" s="36"/>
      <c r="I381" s="36"/>
      <c r="J381" s="36"/>
      <c r="K381" s="35"/>
      <c r="L381" s="35"/>
      <c r="M381" s="36"/>
      <c r="N381" s="36"/>
      <c r="O381" s="36"/>
      <c r="P381" s="36"/>
      <c r="Q381" s="36"/>
      <c r="R381" s="36"/>
      <c r="S381" s="36"/>
      <c r="T381" s="36"/>
      <c r="U381" s="36"/>
    </row>
    <row r="382">
      <c r="D382" s="34"/>
      <c r="H382" s="36"/>
      <c r="I382" s="36"/>
      <c r="J382" s="36"/>
      <c r="K382" s="35"/>
      <c r="L382" s="35"/>
      <c r="M382" s="36"/>
      <c r="N382" s="36"/>
      <c r="O382" s="36"/>
      <c r="P382" s="36"/>
      <c r="Q382" s="36"/>
      <c r="R382" s="36"/>
      <c r="S382" s="36"/>
      <c r="T382" s="36"/>
      <c r="U382" s="36"/>
    </row>
    <row r="383">
      <c r="D383" s="34"/>
      <c r="H383" s="36"/>
      <c r="I383" s="36"/>
      <c r="J383" s="36"/>
      <c r="K383" s="35"/>
      <c r="L383" s="35"/>
      <c r="M383" s="36"/>
      <c r="N383" s="36"/>
      <c r="O383" s="36"/>
      <c r="P383" s="36"/>
      <c r="Q383" s="36"/>
      <c r="R383" s="36"/>
      <c r="S383" s="36"/>
      <c r="T383" s="36"/>
      <c r="U383" s="36"/>
    </row>
    <row r="384">
      <c r="D384" s="34"/>
      <c r="H384" s="36"/>
      <c r="I384" s="36"/>
      <c r="J384" s="36"/>
      <c r="K384" s="35"/>
      <c r="L384" s="35"/>
      <c r="M384" s="36"/>
      <c r="N384" s="36"/>
      <c r="O384" s="36"/>
      <c r="P384" s="36"/>
      <c r="Q384" s="36"/>
      <c r="R384" s="36"/>
      <c r="S384" s="36"/>
      <c r="T384" s="36"/>
      <c r="U384" s="36"/>
    </row>
    <row r="385">
      <c r="D385" s="34"/>
      <c r="H385" s="36"/>
      <c r="I385" s="36"/>
      <c r="J385" s="36"/>
      <c r="K385" s="35"/>
      <c r="L385" s="35"/>
      <c r="M385" s="36"/>
      <c r="N385" s="36"/>
      <c r="O385" s="36"/>
      <c r="P385" s="36"/>
      <c r="Q385" s="36"/>
      <c r="R385" s="36"/>
      <c r="S385" s="36"/>
      <c r="T385" s="36"/>
      <c r="U385" s="36"/>
    </row>
    <row r="386">
      <c r="D386" s="34"/>
      <c r="H386" s="36"/>
      <c r="I386" s="36"/>
      <c r="J386" s="36"/>
      <c r="K386" s="35"/>
      <c r="L386" s="35"/>
      <c r="M386" s="36"/>
      <c r="N386" s="36"/>
      <c r="O386" s="36"/>
      <c r="P386" s="36"/>
      <c r="Q386" s="36"/>
      <c r="R386" s="36"/>
      <c r="S386" s="36"/>
      <c r="T386" s="36"/>
      <c r="U386" s="36"/>
    </row>
    <row r="387">
      <c r="D387" s="34"/>
      <c r="H387" s="36"/>
      <c r="I387" s="36"/>
      <c r="J387" s="36"/>
      <c r="K387" s="35"/>
      <c r="L387" s="35"/>
      <c r="M387" s="36"/>
      <c r="N387" s="36"/>
      <c r="O387" s="36"/>
      <c r="P387" s="36"/>
      <c r="Q387" s="36"/>
      <c r="R387" s="36"/>
      <c r="S387" s="36"/>
      <c r="T387" s="36"/>
      <c r="U387" s="36"/>
    </row>
    <row r="388">
      <c r="D388" s="34"/>
      <c r="H388" s="36"/>
      <c r="I388" s="36"/>
      <c r="J388" s="36"/>
      <c r="K388" s="35"/>
      <c r="L388" s="35"/>
      <c r="M388" s="36"/>
      <c r="N388" s="36"/>
      <c r="O388" s="36"/>
      <c r="P388" s="36"/>
      <c r="Q388" s="36"/>
      <c r="R388" s="36"/>
      <c r="S388" s="36"/>
      <c r="T388" s="36"/>
      <c r="U388" s="36"/>
    </row>
    <row r="389">
      <c r="D389" s="34"/>
      <c r="H389" s="36"/>
      <c r="I389" s="36"/>
      <c r="J389" s="36"/>
      <c r="K389" s="35"/>
      <c r="L389" s="35"/>
      <c r="M389" s="36"/>
      <c r="N389" s="36"/>
      <c r="O389" s="36"/>
      <c r="P389" s="36"/>
      <c r="Q389" s="36"/>
      <c r="R389" s="36"/>
      <c r="S389" s="36"/>
      <c r="T389" s="36"/>
      <c r="U389" s="36"/>
    </row>
    <row r="390">
      <c r="D390" s="34"/>
      <c r="H390" s="36"/>
      <c r="I390" s="36"/>
      <c r="J390" s="36"/>
      <c r="K390" s="35"/>
      <c r="L390" s="35"/>
      <c r="M390" s="36"/>
      <c r="N390" s="36"/>
      <c r="O390" s="36"/>
      <c r="P390" s="36"/>
      <c r="Q390" s="36"/>
      <c r="R390" s="36"/>
      <c r="S390" s="36"/>
      <c r="T390" s="36"/>
      <c r="U390" s="36"/>
    </row>
    <row r="391">
      <c r="D391" s="34"/>
      <c r="H391" s="36"/>
      <c r="I391" s="36"/>
      <c r="J391" s="36"/>
      <c r="K391" s="35"/>
      <c r="L391" s="35"/>
      <c r="M391" s="36"/>
      <c r="N391" s="36"/>
      <c r="O391" s="36"/>
      <c r="P391" s="36"/>
      <c r="Q391" s="36"/>
      <c r="R391" s="36"/>
      <c r="S391" s="36"/>
      <c r="T391" s="36"/>
      <c r="U391" s="36"/>
    </row>
    <row r="392">
      <c r="D392" s="34"/>
      <c r="H392" s="36"/>
      <c r="I392" s="36"/>
      <c r="J392" s="36"/>
      <c r="K392" s="35"/>
      <c r="L392" s="35"/>
      <c r="M392" s="36"/>
      <c r="N392" s="36"/>
      <c r="O392" s="36"/>
      <c r="P392" s="36"/>
      <c r="Q392" s="36"/>
      <c r="R392" s="36"/>
      <c r="S392" s="36"/>
      <c r="T392" s="36"/>
      <c r="U392" s="36"/>
    </row>
    <row r="393">
      <c r="D393" s="34"/>
      <c r="H393" s="36"/>
      <c r="I393" s="36"/>
      <c r="J393" s="36"/>
      <c r="K393" s="35"/>
      <c r="L393" s="35"/>
      <c r="M393" s="36"/>
      <c r="N393" s="36"/>
      <c r="O393" s="36"/>
      <c r="P393" s="36"/>
      <c r="Q393" s="36"/>
      <c r="R393" s="36"/>
      <c r="S393" s="36"/>
      <c r="T393" s="36"/>
      <c r="U393" s="36"/>
    </row>
    <row r="394">
      <c r="D394" s="34"/>
      <c r="H394" s="36"/>
      <c r="I394" s="36"/>
      <c r="J394" s="36"/>
      <c r="K394" s="35"/>
      <c r="L394" s="35"/>
      <c r="M394" s="36"/>
      <c r="N394" s="36"/>
      <c r="O394" s="36"/>
      <c r="P394" s="36"/>
      <c r="Q394" s="36"/>
      <c r="R394" s="36"/>
      <c r="S394" s="36"/>
      <c r="T394" s="36"/>
      <c r="U394" s="36"/>
    </row>
    <row r="395">
      <c r="D395" s="34"/>
      <c r="H395" s="36"/>
      <c r="I395" s="36"/>
      <c r="J395" s="36"/>
      <c r="K395" s="35"/>
      <c r="L395" s="35"/>
      <c r="M395" s="36"/>
      <c r="N395" s="36"/>
      <c r="O395" s="36"/>
      <c r="P395" s="36"/>
      <c r="Q395" s="36"/>
      <c r="R395" s="36"/>
      <c r="S395" s="36"/>
      <c r="T395" s="36"/>
      <c r="U395" s="36"/>
    </row>
    <row r="396">
      <c r="D396" s="34"/>
      <c r="H396" s="36"/>
      <c r="I396" s="36"/>
      <c r="J396" s="36"/>
      <c r="K396" s="35"/>
      <c r="L396" s="35"/>
      <c r="M396" s="36"/>
      <c r="N396" s="36"/>
      <c r="O396" s="36"/>
      <c r="P396" s="36"/>
      <c r="Q396" s="36"/>
      <c r="R396" s="36"/>
      <c r="S396" s="36"/>
      <c r="T396" s="36"/>
      <c r="U396" s="36"/>
    </row>
    <row r="397">
      <c r="D397" s="34"/>
      <c r="H397" s="36"/>
      <c r="I397" s="36"/>
      <c r="J397" s="36"/>
      <c r="K397" s="35"/>
      <c r="L397" s="35"/>
      <c r="M397" s="36"/>
      <c r="N397" s="36"/>
      <c r="O397" s="36"/>
      <c r="P397" s="36"/>
      <c r="Q397" s="36"/>
      <c r="R397" s="36"/>
      <c r="S397" s="36"/>
      <c r="T397" s="36"/>
      <c r="U397" s="36"/>
    </row>
    <row r="398">
      <c r="D398" s="34"/>
      <c r="H398" s="36"/>
      <c r="I398" s="36"/>
      <c r="J398" s="36"/>
      <c r="K398" s="35"/>
      <c r="L398" s="35"/>
      <c r="M398" s="36"/>
      <c r="N398" s="36"/>
      <c r="O398" s="36"/>
      <c r="P398" s="36"/>
      <c r="Q398" s="36"/>
      <c r="R398" s="36"/>
      <c r="S398" s="36"/>
      <c r="T398" s="36"/>
      <c r="U398" s="36"/>
    </row>
    <row r="399">
      <c r="D399" s="34"/>
      <c r="H399" s="36"/>
      <c r="I399" s="36"/>
      <c r="J399" s="36"/>
      <c r="K399" s="35"/>
      <c r="L399" s="35"/>
      <c r="M399" s="36"/>
      <c r="N399" s="36"/>
      <c r="O399" s="36"/>
      <c r="P399" s="36"/>
      <c r="Q399" s="36"/>
      <c r="R399" s="36"/>
      <c r="S399" s="36"/>
      <c r="T399" s="36"/>
      <c r="U399" s="36"/>
    </row>
    <row r="400">
      <c r="D400" s="34"/>
      <c r="H400" s="36"/>
      <c r="I400" s="36"/>
      <c r="J400" s="36"/>
      <c r="K400" s="35"/>
      <c r="L400" s="35"/>
      <c r="M400" s="36"/>
      <c r="N400" s="36"/>
      <c r="O400" s="36"/>
      <c r="P400" s="36"/>
      <c r="Q400" s="36"/>
      <c r="R400" s="36"/>
      <c r="S400" s="36"/>
      <c r="T400" s="36"/>
      <c r="U400" s="36"/>
    </row>
    <row r="401">
      <c r="D401" s="34"/>
      <c r="H401" s="36"/>
      <c r="I401" s="36"/>
      <c r="J401" s="36"/>
      <c r="K401" s="35"/>
      <c r="L401" s="35"/>
      <c r="M401" s="36"/>
      <c r="N401" s="36"/>
      <c r="O401" s="36"/>
      <c r="P401" s="36"/>
      <c r="Q401" s="36"/>
      <c r="R401" s="36"/>
      <c r="S401" s="36"/>
      <c r="T401" s="36"/>
      <c r="U401" s="36"/>
    </row>
    <row r="402">
      <c r="D402" s="34"/>
      <c r="H402" s="36"/>
      <c r="I402" s="36"/>
      <c r="J402" s="36"/>
      <c r="K402" s="35"/>
      <c r="L402" s="35"/>
      <c r="M402" s="36"/>
      <c r="N402" s="36"/>
      <c r="O402" s="36"/>
      <c r="P402" s="36"/>
      <c r="Q402" s="36"/>
      <c r="R402" s="36"/>
      <c r="S402" s="36"/>
      <c r="T402" s="36"/>
      <c r="U402" s="36"/>
    </row>
    <row r="403">
      <c r="D403" s="34"/>
      <c r="H403" s="36"/>
      <c r="I403" s="36"/>
      <c r="J403" s="36"/>
      <c r="K403" s="35"/>
      <c r="L403" s="35"/>
      <c r="M403" s="36"/>
      <c r="N403" s="36"/>
      <c r="O403" s="36"/>
      <c r="P403" s="36"/>
      <c r="Q403" s="36"/>
      <c r="R403" s="36"/>
      <c r="S403" s="36"/>
      <c r="T403" s="36"/>
      <c r="U403" s="36"/>
    </row>
    <row r="404">
      <c r="D404" s="34"/>
      <c r="H404" s="36"/>
      <c r="I404" s="36"/>
      <c r="J404" s="36"/>
      <c r="K404" s="35"/>
      <c r="L404" s="35"/>
      <c r="M404" s="36"/>
      <c r="N404" s="36"/>
      <c r="O404" s="36"/>
      <c r="P404" s="36"/>
      <c r="Q404" s="36"/>
      <c r="R404" s="36"/>
      <c r="S404" s="36"/>
      <c r="T404" s="36"/>
      <c r="U404" s="36"/>
    </row>
    <row r="405">
      <c r="D405" s="34"/>
      <c r="H405" s="36"/>
      <c r="I405" s="36"/>
      <c r="J405" s="36"/>
      <c r="K405" s="35"/>
      <c r="L405" s="35"/>
      <c r="M405" s="36"/>
      <c r="N405" s="36"/>
      <c r="O405" s="36"/>
      <c r="P405" s="36"/>
      <c r="Q405" s="36"/>
      <c r="R405" s="36"/>
      <c r="S405" s="36"/>
      <c r="T405" s="36"/>
      <c r="U405" s="36"/>
    </row>
    <row r="406">
      <c r="D406" s="34"/>
      <c r="H406" s="36"/>
      <c r="I406" s="36"/>
      <c r="J406" s="36"/>
      <c r="K406" s="35"/>
      <c r="L406" s="35"/>
      <c r="M406" s="36"/>
      <c r="N406" s="36"/>
      <c r="O406" s="36"/>
      <c r="P406" s="36"/>
      <c r="Q406" s="36"/>
      <c r="R406" s="36"/>
      <c r="S406" s="36"/>
      <c r="T406" s="36"/>
      <c r="U406" s="36"/>
    </row>
    <row r="407">
      <c r="D407" s="34"/>
      <c r="H407" s="36"/>
      <c r="I407" s="36"/>
      <c r="J407" s="36"/>
      <c r="K407" s="35"/>
      <c r="L407" s="35"/>
      <c r="M407" s="36"/>
      <c r="N407" s="36"/>
      <c r="O407" s="36"/>
      <c r="P407" s="36"/>
      <c r="Q407" s="36"/>
      <c r="R407" s="36"/>
      <c r="S407" s="36"/>
      <c r="T407" s="36"/>
      <c r="U407" s="36"/>
    </row>
    <row r="408">
      <c r="D408" s="34"/>
      <c r="H408" s="36"/>
      <c r="I408" s="36"/>
      <c r="J408" s="36"/>
      <c r="K408" s="35"/>
      <c r="L408" s="35"/>
      <c r="M408" s="36"/>
      <c r="N408" s="36"/>
      <c r="O408" s="36"/>
      <c r="P408" s="36"/>
      <c r="Q408" s="36"/>
      <c r="R408" s="36"/>
      <c r="S408" s="36"/>
      <c r="T408" s="36"/>
      <c r="U408" s="36"/>
    </row>
    <row r="409">
      <c r="D409" s="34"/>
      <c r="H409" s="36"/>
      <c r="I409" s="36"/>
      <c r="J409" s="36"/>
      <c r="K409" s="35"/>
      <c r="L409" s="35"/>
      <c r="M409" s="36"/>
      <c r="N409" s="36"/>
      <c r="O409" s="36"/>
      <c r="P409" s="36"/>
      <c r="Q409" s="36"/>
      <c r="R409" s="36"/>
      <c r="S409" s="36"/>
      <c r="T409" s="36"/>
      <c r="U409" s="36"/>
    </row>
    <row r="410">
      <c r="D410" s="34"/>
      <c r="H410" s="36"/>
      <c r="I410" s="36"/>
      <c r="J410" s="36"/>
      <c r="K410" s="35"/>
      <c r="L410" s="35"/>
      <c r="M410" s="36"/>
      <c r="N410" s="36"/>
      <c r="O410" s="36"/>
      <c r="P410" s="36"/>
      <c r="Q410" s="36"/>
      <c r="R410" s="36"/>
      <c r="S410" s="36"/>
      <c r="T410" s="36"/>
      <c r="U410" s="36"/>
    </row>
    <row r="411">
      <c r="D411" s="34"/>
      <c r="H411" s="36"/>
      <c r="I411" s="36"/>
      <c r="J411" s="36"/>
      <c r="K411" s="35"/>
      <c r="L411" s="35"/>
      <c r="M411" s="36"/>
      <c r="N411" s="36"/>
      <c r="O411" s="36"/>
      <c r="P411" s="36"/>
      <c r="Q411" s="36"/>
      <c r="R411" s="36"/>
      <c r="S411" s="36"/>
      <c r="T411" s="36"/>
      <c r="U411" s="36"/>
    </row>
    <row r="412">
      <c r="D412" s="34"/>
      <c r="H412" s="36"/>
      <c r="I412" s="36"/>
      <c r="J412" s="36"/>
      <c r="K412" s="35"/>
      <c r="L412" s="35"/>
      <c r="M412" s="36"/>
      <c r="N412" s="36"/>
      <c r="O412" s="36"/>
      <c r="P412" s="36"/>
      <c r="Q412" s="36"/>
      <c r="R412" s="36"/>
      <c r="S412" s="36"/>
      <c r="T412" s="36"/>
      <c r="U412" s="36"/>
    </row>
    <row r="413">
      <c r="D413" s="34"/>
      <c r="H413" s="36"/>
      <c r="I413" s="36"/>
      <c r="J413" s="36"/>
      <c r="K413" s="35"/>
      <c r="L413" s="35"/>
      <c r="M413" s="36"/>
      <c r="N413" s="36"/>
      <c r="O413" s="36"/>
      <c r="P413" s="36"/>
      <c r="Q413" s="36"/>
      <c r="R413" s="36"/>
      <c r="S413" s="36"/>
      <c r="T413" s="36"/>
      <c r="U413" s="36"/>
    </row>
    <row r="414">
      <c r="D414" s="34"/>
      <c r="H414" s="36"/>
      <c r="I414" s="36"/>
      <c r="J414" s="36"/>
      <c r="K414" s="35"/>
      <c r="L414" s="35"/>
      <c r="M414" s="36"/>
      <c r="N414" s="36"/>
      <c r="O414" s="36"/>
      <c r="P414" s="36"/>
      <c r="Q414" s="36"/>
      <c r="R414" s="36"/>
      <c r="S414" s="36"/>
      <c r="T414" s="36"/>
      <c r="U414" s="36"/>
    </row>
    <row r="415">
      <c r="D415" s="34"/>
      <c r="H415" s="36"/>
      <c r="I415" s="36"/>
      <c r="J415" s="36"/>
      <c r="K415" s="35"/>
      <c r="L415" s="35"/>
      <c r="M415" s="36"/>
      <c r="N415" s="36"/>
      <c r="O415" s="36"/>
      <c r="P415" s="36"/>
      <c r="Q415" s="36"/>
      <c r="R415" s="36"/>
      <c r="S415" s="36"/>
      <c r="T415" s="36"/>
      <c r="U415" s="36"/>
    </row>
    <row r="416">
      <c r="D416" s="34"/>
      <c r="H416" s="36"/>
      <c r="I416" s="36"/>
      <c r="J416" s="36"/>
      <c r="K416" s="35"/>
      <c r="L416" s="35"/>
      <c r="M416" s="36"/>
      <c r="N416" s="36"/>
      <c r="O416" s="36"/>
      <c r="P416" s="36"/>
      <c r="Q416" s="36"/>
      <c r="R416" s="36"/>
      <c r="S416" s="36"/>
      <c r="T416" s="36"/>
      <c r="U416" s="36"/>
    </row>
    <row r="417">
      <c r="D417" s="34"/>
      <c r="H417" s="36"/>
      <c r="I417" s="36"/>
      <c r="J417" s="36"/>
      <c r="K417" s="35"/>
      <c r="L417" s="35"/>
      <c r="M417" s="36"/>
      <c r="N417" s="36"/>
      <c r="O417" s="36"/>
      <c r="P417" s="36"/>
      <c r="Q417" s="36"/>
      <c r="R417" s="36"/>
      <c r="S417" s="36"/>
      <c r="T417" s="36"/>
      <c r="U417" s="36"/>
    </row>
    <row r="418">
      <c r="D418" s="34"/>
      <c r="H418" s="36"/>
      <c r="I418" s="36"/>
      <c r="J418" s="36"/>
      <c r="K418" s="35"/>
      <c r="L418" s="35"/>
      <c r="M418" s="36"/>
      <c r="N418" s="36"/>
      <c r="O418" s="36"/>
      <c r="P418" s="36"/>
      <c r="Q418" s="36"/>
      <c r="R418" s="36"/>
      <c r="S418" s="36"/>
      <c r="T418" s="36"/>
      <c r="U418" s="36"/>
    </row>
    <row r="419">
      <c r="D419" s="34"/>
      <c r="H419" s="36"/>
      <c r="I419" s="36"/>
      <c r="J419" s="36"/>
      <c r="K419" s="35"/>
      <c r="L419" s="35"/>
      <c r="M419" s="36"/>
      <c r="N419" s="36"/>
      <c r="O419" s="36"/>
      <c r="P419" s="36"/>
      <c r="Q419" s="36"/>
      <c r="R419" s="36"/>
      <c r="S419" s="36"/>
      <c r="T419" s="36"/>
      <c r="U419" s="36"/>
    </row>
    <row r="420">
      <c r="D420" s="34"/>
      <c r="H420" s="36"/>
      <c r="I420" s="36"/>
      <c r="J420" s="36"/>
      <c r="K420" s="35"/>
      <c r="L420" s="35"/>
      <c r="M420" s="36"/>
      <c r="N420" s="36"/>
      <c r="O420" s="36"/>
      <c r="P420" s="36"/>
      <c r="Q420" s="36"/>
      <c r="R420" s="36"/>
      <c r="S420" s="36"/>
      <c r="T420" s="36"/>
      <c r="U420" s="36"/>
    </row>
    <row r="421">
      <c r="D421" s="34"/>
      <c r="H421" s="36"/>
      <c r="I421" s="36"/>
      <c r="J421" s="36"/>
      <c r="K421" s="35"/>
      <c r="L421" s="35"/>
      <c r="M421" s="36"/>
      <c r="N421" s="36"/>
      <c r="O421" s="36"/>
      <c r="P421" s="36"/>
      <c r="Q421" s="36"/>
      <c r="R421" s="36"/>
      <c r="S421" s="36"/>
      <c r="T421" s="36"/>
      <c r="U421" s="36"/>
    </row>
    <row r="422">
      <c r="D422" s="34"/>
      <c r="H422" s="36"/>
      <c r="I422" s="36"/>
      <c r="J422" s="36"/>
      <c r="K422" s="35"/>
      <c r="L422" s="35"/>
      <c r="M422" s="36"/>
      <c r="N422" s="36"/>
      <c r="O422" s="36"/>
      <c r="P422" s="36"/>
      <c r="Q422" s="36"/>
      <c r="R422" s="36"/>
      <c r="S422" s="36"/>
      <c r="T422" s="36"/>
      <c r="U422" s="36"/>
    </row>
    <row r="423">
      <c r="D423" s="34"/>
      <c r="H423" s="36"/>
      <c r="I423" s="36"/>
      <c r="J423" s="36"/>
      <c r="K423" s="35"/>
      <c r="L423" s="35"/>
      <c r="M423" s="36"/>
      <c r="N423" s="36"/>
      <c r="O423" s="36"/>
      <c r="P423" s="36"/>
      <c r="Q423" s="36"/>
      <c r="R423" s="36"/>
      <c r="S423" s="36"/>
      <c r="T423" s="36"/>
      <c r="U423" s="36"/>
    </row>
    <row r="424">
      <c r="D424" s="34"/>
      <c r="H424" s="36"/>
      <c r="I424" s="36"/>
      <c r="J424" s="36"/>
      <c r="K424" s="35"/>
      <c r="L424" s="35"/>
      <c r="M424" s="36"/>
      <c r="N424" s="36"/>
      <c r="O424" s="36"/>
      <c r="P424" s="36"/>
      <c r="Q424" s="36"/>
      <c r="R424" s="36"/>
      <c r="S424" s="36"/>
      <c r="T424" s="36"/>
      <c r="U424" s="36"/>
    </row>
    <row r="425">
      <c r="D425" s="34"/>
      <c r="H425" s="36"/>
      <c r="I425" s="36"/>
      <c r="J425" s="36"/>
      <c r="K425" s="35"/>
      <c r="L425" s="35"/>
      <c r="M425" s="36"/>
      <c r="N425" s="36"/>
      <c r="O425" s="36"/>
      <c r="P425" s="36"/>
      <c r="Q425" s="36"/>
      <c r="R425" s="36"/>
      <c r="S425" s="36"/>
      <c r="T425" s="36"/>
      <c r="U425" s="36"/>
    </row>
    <row r="426">
      <c r="D426" s="34"/>
      <c r="H426" s="36"/>
      <c r="I426" s="36"/>
      <c r="J426" s="36"/>
      <c r="K426" s="35"/>
      <c r="L426" s="35"/>
      <c r="M426" s="36"/>
      <c r="N426" s="36"/>
      <c r="O426" s="36"/>
      <c r="P426" s="36"/>
      <c r="Q426" s="36"/>
      <c r="R426" s="36"/>
      <c r="S426" s="36"/>
      <c r="T426" s="36"/>
      <c r="U426" s="36"/>
    </row>
    <row r="427">
      <c r="H427" s="36"/>
      <c r="I427" s="36"/>
      <c r="J427" s="36"/>
      <c r="K427" s="35"/>
      <c r="L427" s="35"/>
      <c r="M427" s="36"/>
      <c r="N427" s="36"/>
      <c r="O427" s="36"/>
      <c r="P427" s="36"/>
      <c r="Q427" s="36"/>
      <c r="R427" s="36"/>
      <c r="S427" s="36"/>
      <c r="T427" s="36"/>
      <c r="U427" s="36"/>
    </row>
    <row r="428">
      <c r="H428" s="36"/>
      <c r="I428" s="36"/>
      <c r="J428" s="36"/>
      <c r="K428" s="35"/>
      <c r="L428" s="35"/>
      <c r="M428" s="36"/>
      <c r="N428" s="36"/>
      <c r="O428" s="36"/>
      <c r="P428" s="36"/>
      <c r="Q428" s="36"/>
      <c r="R428" s="36"/>
      <c r="S428" s="36"/>
      <c r="T428" s="36"/>
      <c r="U428" s="36"/>
    </row>
    <row r="429">
      <c r="H429" s="36"/>
      <c r="I429" s="36"/>
      <c r="J429" s="36"/>
      <c r="K429" s="35"/>
      <c r="L429" s="35"/>
      <c r="M429" s="36"/>
      <c r="N429" s="36"/>
      <c r="O429" s="36"/>
      <c r="P429" s="36"/>
      <c r="Q429" s="36"/>
      <c r="R429" s="36"/>
      <c r="S429" s="36"/>
      <c r="T429" s="36"/>
      <c r="U429" s="36"/>
    </row>
    <row r="430">
      <c r="H430" s="36"/>
      <c r="I430" s="36"/>
      <c r="J430" s="36"/>
      <c r="K430" s="35"/>
      <c r="L430" s="35"/>
      <c r="M430" s="36"/>
      <c r="N430" s="36"/>
      <c r="O430" s="36"/>
      <c r="P430" s="36"/>
      <c r="Q430" s="36"/>
      <c r="R430" s="36"/>
      <c r="S430" s="36"/>
      <c r="T430" s="36"/>
      <c r="U430" s="36"/>
    </row>
    <row r="431">
      <c r="H431" s="36"/>
      <c r="I431" s="36"/>
      <c r="J431" s="36"/>
      <c r="K431" s="35"/>
      <c r="L431" s="35"/>
      <c r="M431" s="36"/>
      <c r="N431" s="36"/>
      <c r="O431" s="36"/>
      <c r="P431" s="36"/>
      <c r="Q431" s="36"/>
      <c r="R431" s="36"/>
      <c r="S431" s="36"/>
      <c r="T431" s="36"/>
      <c r="U431" s="36"/>
    </row>
    <row r="432">
      <c r="H432" s="36"/>
      <c r="I432" s="36"/>
      <c r="J432" s="36"/>
      <c r="K432" s="35"/>
      <c r="L432" s="35"/>
      <c r="M432" s="36"/>
      <c r="N432" s="36"/>
      <c r="O432" s="36"/>
      <c r="P432" s="36"/>
      <c r="Q432" s="36"/>
      <c r="R432" s="36"/>
      <c r="S432" s="36"/>
      <c r="T432" s="36"/>
      <c r="U432" s="36"/>
    </row>
    <row r="433">
      <c r="H433" s="36"/>
      <c r="I433" s="36"/>
      <c r="J433" s="36"/>
      <c r="K433" s="35"/>
      <c r="L433" s="35"/>
      <c r="M433" s="36"/>
      <c r="N433" s="36"/>
      <c r="O433" s="36"/>
      <c r="P433" s="36"/>
      <c r="Q433" s="36"/>
      <c r="R433" s="36"/>
      <c r="S433" s="36"/>
      <c r="T433" s="36"/>
      <c r="U433" s="36"/>
    </row>
    <row r="434">
      <c r="H434" s="36"/>
      <c r="I434" s="36"/>
      <c r="J434" s="36"/>
      <c r="K434" s="35"/>
      <c r="L434" s="35"/>
      <c r="M434" s="36"/>
      <c r="N434" s="36"/>
      <c r="O434" s="36"/>
      <c r="P434" s="36"/>
      <c r="Q434" s="36"/>
      <c r="R434" s="36"/>
      <c r="S434" s="36"/>
      <c r="T434" s="36"/>
      <c r="U434" s="36"/>
    </row>
    <row r="435">
      <c r="H435" s="36"/>
      <c r="I435" s="36"/>
      <c r="J435" s="36"/>
      <c r="K435" s="35"/>
      <c r="L435" s="35"/>
      <c r="M435" s="36"/>
      <c r="N435" s="36"/>
      <c r="O435" s="36"/>
      <c r="P435" s="36"/>
      <c r="Q435" s="36"/>
      <c r="R435" s="36"/>
      <c r="S435" s="36"/>
      <c r="T435" s="36"/>
      <c r="U435" s="36"/>
    </row>
    <row r="436">
      <c r="H436" s="36"/>
      <c r="I436" s="36"/>
      <c r="J436" s="36"/>
      <c r="K436" s="35"/>
      <c r="L436" s="35"/>
      <c r="M436" s="36"/>
      <c r="N436" s="36"/>
      <c r="O436" s="36"/>
      <c r="P436" s="36"/>
      <c r="Q436" s="36"/>
      <c r="R436" s="36"/>
      <c r="S436" s="36"/>
      <c r="T436" s="36"/>
      <c r="U436" s="36"/>
    </row>
    <row r="437">
      <c r="H437" s="36"/>
      <c r="I437" s="36"/>
      <c r="J437" s="36"/>
      <c r="K437" s="35"/>
      <c r="L437" s="35"/>
      <c r="M437" s="36"/>
      <c r="N437" s="36"/>
      <c r="O437" s="36"/>
      <c r="P437" s="36"/>
      <c r="Q437" s="36"/>
      <c r="R437" s="36"/>
      <c r="S437" s="36"/>
      <c r="T437" s="36"/>
      <c r="U437" s="36"/>
    </row>
    <row r="438">
      <c r="H438" s="36"/>
      <c r="I438" s="36"/>
      <c r="J438" s="36"/>
      <c r="K438" s="35"/>
      <c r="L438" s="35"/>
      <c r="M438" s="36"/>
      <c r="N438" s="36"/>
      <c r="O438" s="36"/>
      <c r="P438" s="36"/>
      <c r="Q438" s="36"/>
      <c r="R438" s="36"/>
      <c r="S438" s="36"/>
      <c r="T438" s="36"/>
      <c r="U438" s="36"/>
    </row>
    <row r="439">
      <c r="H439" s="36"/>
      <c r="I439" s="36"/>
      <c r="J439" s="36"/>
      <c r="K439" s="35"/>
      <c r="L439" s="35"/>
      <c r="M439" s="36"/>
      <c r="N439" s="36"/>
      <c r="O439" s="36"/>
      <c r="P439" s="36"/>
      <c r="Q439" s="36"/>
      <c r="R439" s="36"/>
      <c r="S439" s="36"/>
      <c r="T439" s="36"/>
      <c r="U439" s="36"/>
    </row>
    <row r="440">
      <c r="H440" s="36"/>
      <c r="I440" s="36"/>
      <c r="J440" s="36"/>
      <c r="K440" s="35"/>
      <c r="L440" s="35"/>
      <c r="M440" s="36"/>
      <c r="N440" s="36"/>
      <c r="O440" s="36"/>
      <c r="P440" s="36"/>
      <c r="Q440" s="36"/>
      <c r="R440" s="36"/>
      <c r="S440" s="36"/>
      <c r="T440" s="36"/>
      <c r="U440" s="36"/>
    </row>
    <row r="441">
      <c r="H441" s="36"/>
      <c r="I441" s="36"/>
      <c r="J441" s="36"/>
      <c r="K441" s="35"/>
      <c r="L441" s="35"/>
      <c r="M441" s="36"/>
      <c r="N441" s="36"/>
      <c r="O441" s="36"/>
      <c r="P441" s="36"/>
      <c r="Q441" s="36"/>
      <c r="R441" s="36"/>
      <c r="S441" s="36"/>
      <c r="T441" s="36"/>
      <c r="U441" s="36"/>
    </row>
    <row r="442">
      <c r="H442" s="36"/>
      <c r="I442" s="36"/>
      <c r="J442" s="36"/>
      <c r="K442" s="35"/>
      <c r="L442" s="35"/>
      <c r="M442" s="36"/>
      <c r="N442" s="36"/>
      <c r="O442" s="36"/>
      <c r="P442" s="36"/>
      <c r="Q442" s="36"/>
      <c r="R442" s="36"/>
      <c r="S442" s="36"/>
      <c r="T442" s="36"/>
      <c r="U442" s="36"/>
    </row>
    <row r="443">
      <c r="H443" s="36"/>
      <c r="I443" s="36"/>
      <c r="J443" s="36"/>
      <c r="K443" s="35"/>
      <c r="L443" s="35"/>
      <c r="M443" s="36"/>
      <c r="N443" s="36"/>
      <c r="O443" s="36"/>
      <c r="P443" s="36"/>
      <c r="Q443" s="36"/>
      <c r="R443" s="36"/>
      <c r="S443" s="36"/>
      <c r="T443" s="36"/>
      <c r="U443" s="36"/>
    </row>
    <row r="444"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</row>
    <row r="445"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</row>
    <row r="446"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</row>
    <row r="447"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</row>
    <row r="448"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</row>
    <row r="449"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</row>
    <row r="450"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</row>
    <row r="451"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</row>
    <row r="452"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</row>
    <row r="453"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</row>
    <row r="454"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</row>
    <row r="455"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</row>
    <row r="456"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</row>
    <row r="457"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</row>
    <row r="458"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</row>
    <row r="459"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</row>
    <row r="460"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</row>
    <row r="461"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</row>
    <row r="462"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</row>
    <row r="463"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</row>
    <row r="464"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</row>
    <row r="465"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</row>
    <row r="466"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</row>
    <row r="467"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</row>
    <row r="468"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</row>
    <row r="469"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</row>
    <row r="470"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</row>
    <row r="471"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</row>
    <row r="472"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</row>
    <row r="473"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</row>
    <row r="474"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</row>
    <row r="475"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</row>
    <row r="476"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</row>
    <row r="477"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</row>
    <row r="478"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</row>
    <row r="479"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</row>
    <row r="480"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</row>
    <row r="481"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</row>
    <row r="482"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</row>
    <row r="483"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</row>
    <row r="484"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</row>
    <row r="485"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</row>
    <row r="486"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</row>
    <row r="487"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</row>
    <row r="488"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</row>
    <row r="489"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</row>
    <row r="490"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</row>
    <row r="491"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</row>
    <row r="492"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</row>
    <row r="493"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</row>
    <row r="494"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</row>
    <row r="495"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</row>
    <row r="496"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</row>
    <row r="497"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</row>
    <row r="498"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</row>
    <row r="499"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</row>
    <row r="500"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</row>
    <row r="501"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</row>
    <row r="502"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</row>
    <row r="503"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</row>
    <row r="504"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</row>
    <row r="505"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</row>
    <row r="506"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</row>
    <row r="507"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</row>
    <row r="508"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</row>
    <row r="509"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</row>
    <row r="510"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</row>
    <row r="511"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</row>
    <row r="512"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</row>
    <row r="513"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</row>
    <row r="514"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</row>
    <row r="515"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</row>
    <row r="516"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</row>
    <row r="517"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</row>
    <row r="518"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</row>
    <row r="519"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</row>
    <row r="520"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</row>
    <row r="521"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</row>
    <row r="522"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</row>
    <row r="523"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</row>
    <row r="524"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</row>
    <row r="525"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</row>
    <row r="526"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</row>
    <row r="527"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</row>
    <row r="528"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</row>
    <row r="529"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</row>
    <row r="530"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</row>
    <row r="531"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</row>
    <row r="532"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</row>
    <row r="533"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</row>
    <row r="534"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</row>
    <row r="535"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</row>
    <row r="536"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</row>
    <row r="537"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</row>
    <row r="538"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</row>
    <row r="539"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</row>
    <row r="540"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</row>
    <row r="541"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</row>
    <row r="542"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</row>
    <row r="543"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</row>
    <row r="544"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</row>
    <row r="545"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</row>
    <row r="546"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</row>
    <row r="547"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</row>
    <row r="548"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</row>
    <row r="549"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</row>
    <row r="550"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</row>
    <row r="551"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</row>
    <row r="552"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</row>
    <row r="553"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</row>
    <row r="554"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</row>
    <row r="555"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</row>
    <row r="556"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</row>
    <row r="557"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</row>
    <row r="558"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</row>
    <row r="559"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</row>
    <row r="560"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</row>
    <row r="561"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</row>
    <row r="562"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</row>
    <row r="563"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</row>
    <row r="564"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</row>
    <row r="565"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</row>
    <row r="566"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</row>
    <row r="567"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</row>
    <row r="568"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</row>
    <row r="569"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</row>
    <row r="570"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</row>
    <row r="571"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</row>
    <row r="572"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</row>
    <row r="573"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</row>
    <row r="574"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</row>
    <row r="575"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</row>
    <row r="576"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</row>
    <row r="577"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</row>
    <row r="578"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</row>
    <row r="579"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</row>
    <row r="580"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</row>
    <row r="581"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</row>
    <row r="582"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</row>
    <row r="583"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</row>
    <row r="584"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</row>
    <row r="585"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</row>
    <row r="586"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</row>
    <row r="587"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</row>
    <row r="588"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</row>
    <row r="589"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</row>
    <row r="590"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</row>
    <row r="591"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</row>
    <row r="592"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</row>
    <row r="593"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</row>
    <row r="594"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</row>
    <row r="595"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</row>
    <row r="596"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</row>
    <row r="597"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</row>
    <row r="598"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</row>
    <row r="599"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</row>
    <row r="600"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</row>
    <row r="601"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</row>
    <row r="602"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</row>
    <row r="603"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</row>
    <row r="604"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</row>
    <row r="605"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</row>
    <row r="606"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</row>
    <row r="607"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</row>
    <row r="608"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</row>
    <row r="609"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</row>
    <row r="610"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</row>
    <row r="611"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</row>
    <row r="612"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</row>
    <row r="613"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</row>
    <row r="614"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</row>
    <row r="615"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</row>
    <row r="616"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</row>
    <row r="617"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</row>
    <row r="618"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</row>
    <row r="619"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</row>
    <row r="620"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</row>
    <row r="621"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</row>
    <row r="622"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</row>
    <row r="623"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</row>
    <row r="624"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</row>
    <row r="625"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</row>
    <row r="626"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</row>
    <row r="627"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</row>
    <row r="628"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</row>
    <row r="629"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</row>
    <row r="630"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</row>
    <row r="631"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</row>
    <row r="632"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</row>
    <row r="633"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</row>
    <row r="634"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</row>
    <row r="635"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</row>
    <row r="636"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</row>
    <row r="637"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</row>
    <row r="638"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</row>
    <row r="639"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</row>
    <row r="640"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</row>
    <row r="641"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</row>
    <row r="642"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</row>
    <row r="643"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</row>
    <row r="644"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</row>
    <row r="645"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</row>
    <row r="646"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</row>
    <row r="647"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</row>
    <row r="648"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</row>
    <row r="649"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</row>
    <row r="650"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</row>
    <row r="651"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</row>
    <row r="652"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</row>
    <row r="653"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</row>
    <row r="654"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</row>
    <row r="655"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</row>
    <row r="656"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</row>
    <row r="657"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</row>
    <row r="658"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</row>
    <row r="659"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</row>
    <row r="660"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</row>
    <row r="661"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</row>
    <row r="662"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</row>
    <row r="663"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</row>
    <row r="664"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</row>
    <row r="665"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</row>
    <row r="666"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</row>
    <row r="667"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</row>
    <row r="668"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</row>
    <row r="669"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</row>
    <row r="670"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</row>
    <row r="671"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</row>
    <row r="672"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</row>
    <row r="673"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</row>
    <row r="674"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</row>
    <row r="675"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</row>
    <row r="676"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</row>
    <row r="677"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</row>
    <row r="678"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</row>
    <row r="679"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</row>
    <row r="680"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</row>
    <row r="681"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</row>
    <row r="682"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</row>
    <row r="683"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</row>
    <row r="684"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</row>
    <row r="685"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</row>
    <row r="686"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</row>
    <row r="687"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</row>
    <row r="688"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</row>
    <row r="689"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</row>
    <row r="690"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</row>
    <row r="691"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</row>
    <row r="692"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</row>
    <row r="693"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</row>
    <row r="694"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</row>
    <row r="695"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</row>
    <row r="696"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</row>
    <row r="697"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</row>
    <row r="698"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</row>
    <row r="699"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</row>
    <row r="700"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</row>
    <row r="701"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</row>
    <row r="702"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</row>
    <row r="703"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</row>
    <row r="704"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</row>
    <row r="705"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</row>
    <row r="706"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</row>
    <row r="707"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</row>
    <row r="708"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</row>
    <row r="709"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</row>
    <row r="710"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</row>
    <row r="711"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</row>
    <row r="712"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</row>
    <row r="713"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</row>
    <row r="714"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</row>
    <row r="715"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</row>
    <row r="716"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</row>
    <row r="717"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</row>
    <row r="718"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</row>
    <row r="719"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</row>
    <row r="720"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</row>
    <row r="721"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</row>
    <row r="722"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</row>
    <row r="723"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</row>
    <row r="724"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</row>
    <row r="725"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</row>
    <row r="726"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</row>
    <row r="727"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</row>
    <row r="728"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</row>
    <row r="729"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</row>
    <row r="730"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</row>
    <row r="731"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</row>
    <row r="732"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</row>
    <row r="733"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</row>
    <row r="734"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</row>
    <row r="735"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</row>
    <row r="736"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</row>
    <row r="737"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</row>
    <row r="738"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</row>
    <row r="739"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</row>
    <row r="740"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</row>
    <row r="741"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</row>
    <row r="742"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</row>
    <row r="743"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</row>
    <row r="744"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</row>
    <row r="745"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</row>
    <row r="746"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</row>
    <row r="747"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</row>
    <row r="748"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</row>
    <row r="749"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</row>
    <row r="750"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</row>
    <row r="751"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</row>
    <row r="752"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</row>
    <row r="753"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</row>
    <row r="754"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</row>
    <row r="755"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</row>
    <row r="756"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</row>
    <row r="757"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</row>
    <row r="758"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</row>
    <row r="759"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</row>
    <row r="760"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</row>
    <row r="761"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</row>
    <row r="762"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</row>
    <row r="763"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</row>
    <row r="764"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</row>
    <row r="765"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</row>
    <row r="766"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</row>
    <row r="767"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</row>
    <row r="768"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</row>
    <row r="769"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</row>
    <row r="770"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</row>
    <row r="771"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</row>
    <row r="772"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</row>
    <row r="773"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</row>
    <row r="774"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</row>
    <row r="775"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</row>
    <row r="776"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</row>
    <row r="777"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</row>
    <row r="778"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</row>
    <row r="779"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</row>
    <row r="780"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</row>
    <row r="781"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</row>
    <row r="782"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</row>
    <row r="783"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</row>
    <row r="784"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</row>
    <row r="785"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</row>
    <row r="786"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</row>
    <row r="787"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</row>
    <row r="788"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</row>
    <row r="789"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</row>
    <row r="790"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</row>
    <row r="791"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</row>
    <row r="792"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</row>
    <row r="793"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</row>
    <row r="794"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</row>
    <row r="795"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</row>
    <row r="796"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</row>
    <row r="797"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</row>
    <row r="798"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</row>
    <row r="799"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</row>
    <row r="800"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</row>
    <row r="801"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</row>
    <row r="802"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</row>
    <row r="803"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</row>
    <row r="804"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</row>
    <row r="805"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</row>
    <row r="806"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</row>
    <row r="807"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</row>
    <row r="808"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</row>
    <row r="809"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</row>
    <row r="810"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</row>
    <row r="811"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</row>
    <row r="812"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</row>
    <row r="813"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</row>
    <row r="814"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</row>
    <row r="815"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</row>
    <row r="816"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</row>
    <row r="817"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</row>
    <row r="818"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</row>
    <row r="819"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</row>
    <row r="820"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</row>
    <row r="821"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</row>
    <row r="822"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</row>
    <row r="823"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</row>
    <row r="824"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</row>
    <row r="825"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</row>
    <row r="826"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</row>
    <row r="827"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</row>
    <row r="828"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</row>
    <row r="829"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</row>
    <row r="830"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</row>
    <row r="831"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</row>
    <row r="832"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</row>
    <row r="833"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</row>
    <row r="834"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</row>
    <row r="835"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</row>
    <row r="836"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</row>
    <row r="837"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</row>
    <row r="838"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</row>
    <row r="839"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</row>
    <row r="840"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</row>
    <row r="841"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</row>
    <row r="842"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</row>
    <row r="843"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</row>
    <row r="844"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</row>
    <row r="845"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</row>
    <row r="846"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</row>
    <row r="847"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</row>
    <row r="848"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</row>
    <row r="849"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</row>
    <row r="850"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</row>
    <row r="851"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</row>
    <row r="852"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</row>
    <row r="853"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</row>
    <row r="854"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</row>
    <row r="855"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</row>
    <row r="856"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</row>
    <row r="857"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</row>
    <row r="858"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</row>
    <row r="859"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</row>
    <row r="860"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</row>
    <row r="861"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</row>
    <row r="862"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</row>
    <row r="863"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</row>
    <row r="864"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</row>
    <row r="865"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</row>
    <row r="866"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</row>
    <row r="867"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</row>
    <row r="868"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</row>
    <row r="869"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</row>
    <row r="870"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</row>
    <row r="871"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</row>
    <row r="872"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</row>
    <row r="873"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</row>
    <row r="874"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</row>
    <row r="875"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</row>
    <row r="876"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</row>
    <row r="877"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</row>
    <row r="878"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</row>
    <row r="879"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</row>
    <row r="880"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</row>
    <row r="881"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</row>
    <row r="882"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</row>
    <row r="883"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</row>
    <row r="884"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</row>
    <row r="885"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</row>
    <row r="886"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</row>
    <row r="887"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</row>
    <row r="888"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</row>
    <row r="889"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</row>
    <row r="890"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</row>
    <row r="891"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</row>
    <row r="892"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</row>
    <row r="893"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</row>
    <row r="894"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</row>
    <row r="895"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</row>
    <row r="896"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</row>
    <row r="897"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</row>
    <row r="898"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</row>
    <row r="899"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</row>
    <row r="900"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</row>
    <row r="901"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</row>
    <row r="902"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</row>
    <row r="903"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</row>
    <row r="904"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</row>
    <row r="905"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</row>
    <row r="906"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</row>
    <row r="907"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</row>
    <row r="908"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</row>
    <row r="909"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</row>
    <row r="910"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</row>
    <row r="911"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</row>
    <row r="912"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</row>
    <row r="913"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</row>
    <row r="914"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</row>
    <row r="915"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</row>
    <row r="916"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</row>
    <row r="917"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</row>
    <row r="918"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</row>
    <row r="919"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</row>
    <row r="920"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</row>
    <row r="921"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</row>
    <row r="922"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</row>
    <row r="923"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</row>
    <row r="924"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</row>
    <row r="925"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</row>
    <row r="926"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</row>
    <row r="927"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</row>
    <row r="928"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</row>
    <row r="929"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</row>
    <row r="930"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</row>
    <row r="931"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</row>
    <row r="932"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</row>
    <row r="933"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</row>
    <row r="934"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</row>
    <row r="935"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</row>
    <row r="936"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</row>
    <row r="937"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</row>
    <row r="938"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</row>
    <row r="939"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</row>
    <row r="940"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</row>
    <row r="941"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</row>
    <row r="942"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</row>
    <row r="943"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</row>
    <row r="944"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</row>
    <row r="945"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</row>
    <row r="946"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</row>
    <row r="947"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</row>
    <row r="948"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</row>
    <row r="949"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</row>
    <row r="950"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</row>
    <row r="951"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</row>
    <row r="952"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</row>
    <row r="953"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</row>
    <row r="954"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</row>
    <row r="955"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</row>
    <row r="956"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</row>
    <row r="957"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</row>
    <row r="958"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</row>
    <row r="959"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</row>
    <row r="960"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</row>
    <row r="961"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</row>
    <row r="962"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</row>
    <row r="963"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</row>
    <row r="964"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</row>
    <row r="965"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</row>
    <row r="966"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</row>
    <row r="967"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</row>
    <row r="968"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</row>
    <row r="969"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</row>
    <row r="970"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</row>
    <row r="971"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</row>
    <row r="972"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</row>
    <row r="973"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</row>
    <row r="974"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</row>
    <row r="975"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</row>
    <row r="976"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</row>
    <row r="977"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</row>
    <row r="978"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</row>
    <row r="979"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</row>
    <row r="980"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</row>
    <row r="981"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</row>
    <row r="982"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</row>
    <row r="983"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</row>
    <row r="984"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</row>
    <row r="985"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</row>
    <row r="986"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</row>
    <row r="987"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</row>
    <row r="988"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</row>
    <row r="989"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</row>
    <row r="990"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</row>
    <row r="991"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</row>
    <row r="992"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</row>
    <row r="993"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</row>
    <row r="994"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</row>
    <row r="995"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</row>
    <row r="996"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</row>
    <row r="997"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</row>
    <row r="998"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</row>
  </sheetData>
  <autoFilter ref="$A$1:$U$426">
    <sortState ref="A1:U426">
      <sortCondition ref="U1:U426"/>
    </sortState>
  </autoFilter>
  <conditionalFormatting sqref="B92:C92 D92:D426 E92 G92:H92 J92 M92 P92:Q92 S92">
    <cfRule type="expression" dxfId="0" priority="1">
      <formula>COUNTIF($A$2:$A$268,B92)&gt;0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88"/>
  </cols>
  <sheetData>
    <row r="1">
      <c r="A1" s="1" t="s">
        <v>110</v>
      </c>
      <c r="B1" s="1" t="s">
        <v>1</v>
      </c>
      <c r="C1" s="1" t="s">
        <v>2</v>
      </c>
      <c r="D1" s="2" t="s">
        <v>3</v>
      </c>
      <c r="E1" s="2" t="s">
        <v>111</v>
      </c>
      <c r="F1" s="2" t="s">
        <v>112</v>
      </c>
      <c r="G1" s="3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8" t="s">
        <v>15</v>
      </c>
      <c r="Q1" s="8" t="s">
        <v>16</v>
      </c>
      <c r="R1" s="2" t="s">
        <v>17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>
      <c r="A2" s="40" t="s">
        <v>20</v>
      </c>
      <c r="B2" s="41">
        <f>IFERROR(__xludf.DUMMYFUNCTION("VLOOKUP(A2,IMPORTRANGE(""1EmrnCz2gLVTx5Cbj0e5tfuHPhTtmru8KTGuQvh7STl0/edit#gid=2147150001"",""Whole Data Set!$A$2:$NQ$253""),381,FALSE)"),83.25)</f>
        <v>83.25</v>
      </c>
      <c r="C2" s="13">
        <f t="shared" ref="C2:C137" si="1">B2/250</f>
        <v>0.333</v>
      </c>
      <c r="D2" s="12">
        <f>IFERROR(__xludf.DUMMYFUNCTION("VLOOKUP(A2,IMPORTRANGE(""1aFCnJY1qhIj8-JckJhDJ18aqmVo17tofpQmOjcYa3u8/edit#gid=948248086"",""Whole Data Set!$A$2:$NG$253""),371,FALSE)"),46.75)</f>
        <v>46.75</v>
      </c>
      <c r="E2" s="13">
        <f t="shared" ref="E2:E137" si="2">D2/250</f>
        <v>0.187</v>
      </c>
      <c r="F2" s="13">
        <f t="shared" ref="F2:F138" si="3">C2-E2</f>
        <v>0.146</v>
      </c>
      <c r="G2" s="12">
        <f>IFERROR(__xludf.DUMMYFUNCTION("VLOOKUP(A2,IMPORTRANGE(""1QZ5UxyNCwadreQAXnQ7oCoH982DjIA-QnZdO7ZoqkC0/edit#gid=0"",""2018-2021!$A$2:$O$250""),2,FALSE)"),49.75)</f>
        <v>49.75</v>
      </c>
      <c r="H2" s="14">
        <f t="shared" ref="H2:H137" si="4">G2/250</f>
        <v>0.199</v>
      </c>
      <c r="I2" s="15">
        <f t="shared" ref="I2:I138" si="5">C2-H2</f>
        <v>0.134</v>
      </c>
      <c r="J2" s="16">
        <f>IFERROR(__xludf.DUMMYFUNCTION("VLOOKUP(A2,IMPORTRANGE(""1QZ5UxyNCwadreQAXnQ7oCoH982DjIA-QnZdO7ZoqkC0/edit#gid=0"",""2018-2021!$A$2:$O$250""),4,FALSE)"),62.0)</f>
        <v>62</v>
      </c>
      <c r="K2" s="17">
        <f t="shared" ref="K2:K137" si="6">J2/250</f>
        <v>0.248</v>
      </c>
      <c r="L2" s="17">
        <f t="shared" ref="L2:L18" si="7">C2-K2</f>
        <v>0.085</v>
      </c>
      <c r="M2" s="16">
        <f>IFERROR(__xludf.DUMMYFUNCTION("VLOOKUP(A2,IMPORTRANGE(""1QZ5UxyNCwadreQAXnQ7oCoH982DjIA-QnZdO7ZoqkC0/edit#gid=0"",""2018-2021!$A$2:$O$250""),7,FALSE)"),51.0)</f>
        <v>51</v>
      </c>
      <c r="N2" s="17">
        <f t="shared" ref="N2:N137" si="8">M2/250</f>
        <v>0.204</v>
      </c>
      <c r="O2" s="17">
        <f t="shared" ref="O2:O138" si="9">C2-N2</f>
        <v>0.129</v>
      </c>
      <c r="P2" s="16">
        <f>IFERROR(__xludf.DUMMYFUNCTION("VLOOKUP(A2,IMPORTRANGE(""1QZ5UxyNCwadreQAXnQ7oCoH982DjIA-QnZdO7ZoqkC0/edit#gid=0"",""2018-2021!$A$2:$O$250""),10,FALSE)"),36.0)</f>
        <v>36</v>
      </c>
      <c r="Q2" s="17">
        <f t="shared" ref="Q2:Q137" si="10">P2/250</f>
        <v>0.144</v>
      </c>
      <c r="R2" s="17">
        <f t="shared" ref="R2:R138" si="11">C2-Q2</f>
        <v>0.189</v>
      </c>
      <c r="S2" s="16"/>
      <c r="T2" s="17"/>
      <c r="U2" s="17"/>
      <c r="V2" s="17"/>
    </row>
    <row r="3">
      <c r="A3" s="19" t="s">
        <v>89</v>
      </c>
      <c r="B3" s="41">
        <f>IFERROR(__xludf.DUMMYFUNCTION("VLOOKUP(A3,IMPORTRANGE(""1EmrnCz2gLVTx5Cbj0e5tfuHPhTtmru8KTGuQvh7STl0/edit#gid=2147150001"",""Whole Data Set!$A$2:$NQ$253""),381,FALSE)"),140.0)</f>
        <v>140</v>
      </c>
      <c r="C3" s="13">
        <f t="shared" si="1"/>
        <v>0.56</v>
      </c>
      <c r="D3" s="12">
        <f>IFERROR(__xludf.DUMMYFUNCTION("VLOOKUP(A3,IMPORTRANGE(""1aFCnJY1qhIj8-JckJhDJ18aqmVo17tofpQmOjcYa3u8/edit#gid=948248086"",""Whole Data Set!$A$2:$NG$253""),371,FALSE)"),128.0)</f>
        <v>128</v>
      </c>
      <c r="E3" s="13">
        <f t="shared" si="2"/>
        <v>0.512</v>
      </c>
      <c r="F3" s="13">
        <f t="shared" si="3"/>
        <v>0.048</v>
      </c>
      <c r="G3" s="12">
        <f>IFERROR(__xludf.DUMMYFUNCTION("VLOOKUP(A3,IMPORTRANGE(""1QZ5UxyNCwadreQAXnQ7oCoH982DjIA-QnZdO7ZoqkC0/edit#gid=0"",""2018-2021!$A$2:$O$250""),2,FALSE)"),136.0)</f>
        <v>136</v>
      </c>
      <c r="H3" s="14">
        <f t="shared" si="4"/>
        <v>0.544</v>
      </c>
      <c r="I3" s="15">
        <f t="shared" si="5"/>
        <v>0.016</v>
      </c>
      <c r="J3" s="16">
        <f>IFERROR(__xludf.DUMMYFUNCTION("VLOOKUP(A3,IMPORTRANGE(""1QZ5UxyNCwadreQAXnQ7oCoH982DjIA-QnZdO7ZoqkC0/edit#gid=0"",""2018-2021!$A$2:$O$250""),4,FALSE)"),173.5)</f>
        <v>173.5</v>
      </c>
      <c r="K3" s="17">
        <f t="shared" si="6"/>
        <v>0.694</v>
      </c>
      <c r="L3" s="17">
        <f t="shared" si="7"/>
        <v>-0.134</v>
      </c>
      <c r="M3" s="16">
        <f>IFERROR(__xludf.DUMMYFUNCTION("VLOOKUP(A3,IMPORTRANGE(""1QZ5UxyNCwadreQAXnQ7oCoH982DjIA-QnZdO7ZoqkC0/edit#gid=0"",""2018-2021!$A$2:$O$250""),7,FALSE)"),160.5)</f>
        <v>160.5</v>
      </c>
      <c r="N3" s="17">
        <f t="shared" si="8"/>
        <v>0.642</v>
      </c>
      <c r="O3" s="17">
        <f t="shared" si="9"/>
        <v>-0.082</v>
      </c>
      <c r="P3" s="16">
        <f>IFERROR(__xludf.DUMMYFUNCTION("VLOOKUP(A3,IMPORTRANGE(""1QZ5UxyNCwadreQAXnQ7oCoH982DjIA-QnZdO7ZoqkC0/edit#gid=0"",""2018-2021!$A$2:$O$250""),10,FALSE)"),144.5)</f>
        <v>144.5</v>
      </c>
      <c r="Q3" s="17">
        <f t="shared" si="10"/>
        <v>0.578</v>
      </c>
      <c r="R3" s="17">
        <f t="shared" si="11"/>
        <v>-0.018</v>
      </c>
    </row>
    <row r="4">
      <c r="A4" s="19" t="s">
        <v>27</v>
      </c>
      <c r="B4" s="41">
        <f>IFERROR(__xludf.DUMMYFUNCTION("VLOOKUP(A4,IMPORTRANGE(""1EmrnCz2gLVTx5Cbj0e5tfuHPhTtmru8KTGuQvh7STl0/edit#gid=2147150001"",""Whole Data Set!$A$2:$NQ$253""),381,FALSE)"),7.5)</f>
        <v>7.5</v>
      </c>
      <c r="C4" s="13">
        <f t="shared" si="1"/>
        <v>0.03</v>
      </c>
      <c r="D4" s="12">
        <f>IFERROR(__xludf.DUMMYFUNCTION("VLOOKUP(A4,IMPORTRANGE(""1aFCnJY1qhIj8-JckJhDJ18aqmVo17tofpQmOjcYa3u8/edit#gid=948248086"",""Whole Data Set!$A$2:$NG$253""),371,FALSE)"),6.5)</f>
        <v>6.5</v>
      </c>
      <c r="E4" s="13">
        <f t="shared" si="2"/>
        <v>0.026</v>
      </c>
      <c r="F4" s="13">
        <f t="shared" si="3"/>
        <v>0.004</v>
      </c>
      <c r="G4" s="12">
        <f>IFERROR(__xludf.DUMMYFUNCTION("VLOOKUP(A4,IMPORTRANGE(""1QZ5UxyNCwadreQAXnQ7oCoH982DjIA-QnZdO7ZoqkC0/edit#gid=0"",""2018-2021!$A$2:$O$250""),2,FALSE)"),8.5)</f>
        <v>8.5</v>
      </c>
      <c r="H4" s="14">
        <f t="shared" si="4"/>
        <v>0.034</v>
      </c>
      <c r="I4" s="15">
        <f t="shared" si="5"/>
        <v>-0.004</v>
      </c>
      <c r="J4" s="16">
        <f>IFERROR(__xludf.DUMMYFUNCTION("VLOOKUP(A4,IMPORTRANGE(""1QZ5UxyNCwadreQAXnQ7oCoH982DjIA-QnZdO7ZoqkC0/edit#gid=0"",""2018-2021!$A$2:$O$250""),4,FALSE)"),10.0)</f>
        <v>10</v>
      </c>
      <c r="K4" s="17">
        <f t="shared" si="6"/>
        <v>0.04</v>
      </c>
      <c r="L4" s="17">
        <f t="shared" si="7"/>
        <v>-0.01</v>
      </c>
      <c r="M4" s="16">
        <f>IFERROR(__xludf.DUMMYFUNCTION("VLOOKUP(A4,IMPORTRANGE(""1QZ5UxyNCwadreQAXnQ7oCoH982DjIA-QnZdO7ZoqkC0/edit#gid=0"",""2018-2021!$A$2:$O$250""),7,FALSE)"),10.5)</f>
        <v>10.5</v>
      </c>
      <c r="N4" s="17">
        <f t="shared" si="8"/>
        <v>0.042</v>
      </c>
      <c r="O4" s="17">
        <f t="shared" si="9"/>
        <v>-0.012</v>
      </c>
      <c r="P4" s="16">
        <f>IFERROR(__xludf.DUMMYFUNCTION("VLOOKUP(A4,IMPORTRANGE(""1QZ5UxyNCwadreQAXnQ7oCoH982DjIA-QnZdO7ZoqkC0/edit#gid=0"",""2018-2021!$A$2:$O$250""),10,FALSE)"),13.5)</f>
        <v>13.5</v>
      </c>
      <c r="Q4" s="17">
        <f t="shared" si="10"/>
        <v>0.054</v>
      </c>
      <c r="R4" s="17">
        <f t="shared" si="11"/>
        <v>-0.024</v>
      </c>
    </row>
    <row r="5">
      <c r="A5" s="19" t="s">
        <v>23</v>
      </c>
      <c r="B5" s="41">
        <f>IFERROR(__xludf.DUMMYFUNCTION("VLOOKUP(A5,IMPORTRANGE(""1EmrnCz2gLVTx5Cbj0e5tfuHPhTtmru8KTGuQvh7STl0/edit#gid=2147150001"",""Whole Data Set!$A$2:$NQ$253""),381,FALSE)"),64.25)</f>
        <v>64.25</v>
      </c>
      <c r="C5" s="13">
        <f t="shared" si="1"/>
        <v>0.257</v>
      </c>
      <c r="D5" s="12">
        <f>IFERROR(__xludf.DUMMYFUNCTION("VLOOKUP(A5,IMPORTRANGE(""1aFCnJY1qhIj8-JckJhDJ18aqmVo17tofpQmOjcYa3u8/edit#gid=948248086"",""Whole Data Set!$A$2:$NG$253""),371,FALSE)"),77.25)</f>
        <v>77.25</v>
      </c>
      <c r="E5" s="13">
        <f t="shared" si="2"/>
        <v>0.309</v>
      </c>
      <c r="F5" s="13">
        <f t="shared" si="3"/>
        <v>-0.052</v>
      </c>
      <c r="G5" s="12">
        <f>IFERROR(__xludf.DUMMYFUNCTION("VLOOKUP(A5,IMPORTRANGE(""1QZ5UxyNCwadreQAXnQ7oCoH982DjIA-QnZdO7ZoqkC0/edit#gid=0"",""2018-2021!$A$2:$O$250""),2,FALSE)"),68.25)</f>
        <v>68.25</v>
      </c>
      <c r="H5" s="14">
        <f t="shared" si="4"/>
        <v>0.273</v>
      </c>
      <c r="I5" s="15">
        <f t="shared" si="5"/>
        <v>-0.016</v>
      </c>
      <c r="J5" s="16">
        <f>IFERROR(__xludf.DUMMYFUNCTION("VLOOKUP(A5,IMPORTRANGE(""1QZ5UxyNCwadreQAXnQ7oCoH982DjIA-QnZdO7ZoqkC0/edit#gid=0"",""2018-2021!$A$2:$O$250""),4,FALSE)"),63.5)</f>
        <v>63.5</v>
      </c>
      <c r="K5" s="17">
        <f t="shared" si="6"/>
        <v>0.254</v>
      </c>
      <c r="L5" s="17">
        <f t="shared" si="7"/>
        <v>0.003</v>
      </c>
      <c r="M5" s="16">
        <f>IFERROR(__xludf.DUMMYFUNCTION("VLOOKUP(A5,IMPORTRANGE(""1QZ5UxyNCwadreQAXnQ7oCoH982DjIA-QnZdO7ZoqkC0/edit#gid=0"",""2018-2021!$A$2:$O$250""),7,FALSE)"),34.0)</f>
        <v>34</v>
      </c>
      <c r="N5" s="17">
        <f t="shared" si="8"/>
        <v>0.136</v>
      </c>
      <c r="O5" s="17">
        <f t="shared" si="9"/>
        <v>0.121</v>
      </c>
      <c r="P5" s="16">
        <f>IFERROR(__xludf.DUMMYFUNCTION("VLOOKUP(A5,IMPORTRANGE(""1QZ5UxyNCwadreQAXnQ7oCoH982DjIA-QnZdO7ZoqkC0/edit#gid=0"",""2018-2021!$A$2:$O$250""),10,FALSE)"),26.0)</f>
        <v>26</v>
      </c>
      <c r="Q5" s="17">
        <f t="shared" si="10"/>
        <v>0.104</v>
      </c>
      <c r="R5" s="17">
        <f t="shared" si="11"/>
        <v>0.153</v>
      </c>
    </row>
    <row r="6">
      <c r="A6" s="42" t="s">
        <v>24</v>
      </c>
      <c r="B6" s="41">
        <f>IFERROR(__xludf.DUMMYFUNCTION("VLOOKUP(A6,IMPORTRANGE(""1EmrnCz2gLVTx5Cbj0e5tfuHPhTtmru8KTGuQvh7STl0/edit#gid=2147150001"",""Whole Data Set!$A$2:$NQ$253""),381,FALSE)"),53.5)</f>
        <v>53.5</v>
      </c>
      <c r="C6" s="13">
        <f t="shared" si="1"/>
        <v>0.214</v>
      </c>
      <c r="D6" s="12">
        <f>IFERROR(__xludf.DUMMYFUNCTION("VLOOKUP(A6,IMPORTRANGE(""1aFCnJY1qhIj8-JckJhDJ18aqmVo17tofpQmOjcYa3u8/edit#gid=948248086"",""Whole Data Set!$A$2:$NG$253""),371,FALSE)"),45.75)</f>
        <v>45.75</v>
      </c>
      <c r="E6" s="13">
        <f t="shared" si="2"/>
        <v>0.183</v>
      </c>
      <c r="F6" s="13">
        <f t="shared" si="3"/>
        <v>0.031</v>
      </c>
      <c r="G6" s="12">
        <f>IFERROR(__xludf.DUMMYFUNCTION("VLOOKUP(A6,IMPORTRANGE(""1QZ5UxyNCwadreQAXnQ7oCoH982DjIA-QnZdO7ZoqkC0/edit#gid=0"",""2018-2021!$A$2:$O$250""),2,FALSE)"),38.75)</f>
        <v>38.75</v>
      </c>
      <c r="H6" s="14">
        <f t="shared" si="4"/>
        <v>0.155</v>
      </c>
      <c r="I6" s="15">
        <f t="shared" si="5"/>
        <v>0.059</v>
      </c>
      <c r="J6" s="16">
        <f>IFERROR(__xludf.DUMMYFUNCTION("VLOOKUP(A6,IMPORTRANGE(""1QZ5UxyNCwadreQAXnQ7oCoH982DjIA-QnZdO7ZoqkC0/edit#gid=0"",""2018-2021!$A$2:$O$250""),4,FALSE)"),43.0)</f>
        <v>43</v>
      </c>
      <c r="K6" s="17">
        <f t="shared" si="6"/>
        <v>0.172</v>
      </c>
      <c r="L6" s="17">
        <f t="shared" si="7"/>
        <v>0.042</v>
      </c>
      <c r="M6" s="16">
        <f>IFERROR(__xludf.DUMMYFUNCTION("VLOOKUP(A6,IMPORTRANGE(""1QZ5UxyNCwadreQAXnQ7oCoH982DjIA-QnZdO7ZoqkC0/edit#gid=0"",""2018-2021!$A$2:$O$250""),7,FALSE)"),34.5)</f>
        <v>34.5</v>
      </c>
      <c r="N6" s="17">
        <f t="shared" si="8"/>
        <v>0.138</v>
      </c>
      <c r="O6" s="17">
        <f t="shared" si="9"/>
        <v>0.076</v>
      </c>
      <c r="P6" s="16">
        <f>IFERROR(__xludf.DUMMYFUNCTION("VLOOKUP(A6,IMPORTRANGE(""1QZ5UxyNCwadreQAXnQ7oCoH982DjIA-QnZdO7ZoqkC0/edit#gid=0"",""2018-2021!$A$2:$O$250""),10,FALSE)"),36.5)</f>
        <v>36.5</v>
      </c>
      <c r="Q6" s="17">
        <f t="shared" si="10"/>
        <v>0.146</v>
      </c>
      <c r="R6" s="17">
        <f t="shared" si="11"/>
        <v>0.068</v>
      </c>
    </row>
    <row r="7">
      <c r="A7" s="19" t="s">
        <v>113</v>
      </c>
      <c r="B7" s="41">
        <f>IFERROR(__xludf.DUMMYFUNCTION("VLOOKUP(A7,IMPORTRANGE(""1EmrnCz2gLVTx5Cbj0e5tfuHPhTtmru8KTGuQvh7STl0/edit#gid=2147150001"",""Whole Data Set!$A$2:$NQ$253""),381,FALSE)"),0.25)</f>
        <v>0.25</v>
      </c>
      <c r="C7" s="13">
        <f t="shared" si="1"/>
        <v>0.001</v>
      </c>
      <c r="D7" s="12">
        <f>IFERROR(__xludf.DUMMYFUNCTION("VLOOKUP(A7,IMPORTRANGE(""1aFCnJY1qhIj8-JckJhDJ18aqmVo17tofpQmOjcYa3u8/edit#gid=948248086"",""Whole Data Set!$A$2:$NG$253""),371,FALSE)"),13.25)</f>
        <v>13.25</v>
      </c>
      <c r="E7" s="13">
        <f t="shared" si="2"/>
        <v>0.053</v>
      </c>
      <c r="F7" s="13">
        <f t="shared" si="3"/>
        <v>-0.052</v>
      </c>
      <c r="G7" s="12">
        <f>IFERROR(__xludf.DUMMYFUNCTION("VLOOKUP(A7,IMPORTRANGE(""1QZ5UxyNCwadreQAXnQ7oCoH982DjIA-QnZdO7ZoqkC0/edit#gid=0"",""2018-2021!$A$2:$O$250""),2,FALSE)"),17.5)</f>
        <v>17.5</v>
      </c>
      <c r="H7" s="14">
        <f t="shared" si="4"/>
        <v>0.07</v>
      </c>
      <c r="I7" s="15">
        <f t="shared" si="5"/>
        <v>-0.069</v>
      </c>
      <c r="J7" s="16">
        <f>IFERROR(__xludf.DUMMYFUNCTION("VLOOKUP(A7,IMPORTRANGE(""1QZ5UxyNCwadreQAXnQ7oCoH982DjIA-QnZdO7ZoqkC0/edit#gid=0"",""2018-2021!$A$2:$O$250""),4,FALSE)"),21.0)</f>
        <v>21</v>
      </c>
      <c r="K7" s="17">
        <f t="shared" si="6"/>
        <v>0.084</v>
      </c>
      <c r="L7" s="17">
        <f t="shared" si="7"/>
        <v>-0.083</v>
      </c>
      <c r="M7" s="16">
        <f>IFERROR(__xludf.DUMMYFUNCTION("VLOOKUP(A7,IMPORTRANGE(""1QZ5UxyNCwadreQAXnQ7oCoH982DjIA-QnZdO7ZoqkC0/edit#gid=0"",""2018-2021!$A$2:$O$250""),7,FALSE)"),26.0)</f>
        <v>26</v>
      </c>
      <c r="N7" s="17">
        <f t="shared" si="8"/>
        <v>0.104</v>
      </c>
      <c r="O7" s="17">
        <f t="shared" si="9"/>
        <v>-0.103</v>
      </c>
      <c r="P7" s="16">
        <f>IFERROR(__xludf.DUMMYFUNCTION("VLOOKUP(A7,IMPORTRANGE(""1QZ5UxyNCwadreQAXnQ7oCoH982DjIA-QnZdO7ZoqkC0/edit#gid=0"",""2018-2021!$A$2:$O$250""),10,FALSE)"),6.0)</f>
        <v>6</v>
      </c>
      <c r="Q7" s="17">
        <f t="shared" si="10"/>
        <v>0.024</v>
      </c>
      <c r="R7" s="17">
        <f t="shared" si="11"/>
        <v>-0.023</v>
      </c>
    </row>
    <row r="8">
      <c r="A8" s="19" t="s">
        <v>25</v>
      </c>
      <c r="B8" s="41">
        <f>IFERROR(__xludf.DUMMYFUNCTION("VLOOKUP(A8,IMPORTRANGE(""1EmrnCz2gLVTx5Cbj0e5tfuHPhTtmru8KTGuQvh7STl0/edit#gid=2147150001"",""Whole Data Set!$A$2:$NQ$253""),381,FALSE)"),32.5)</f>
        <v>32.5</v>
      </c>
      <c r="C8" s="13">
        <f t="shared" si="1"/>
        <v>0.13</v>
      </c>
      <c r="D8" s="12">
        <f>IFERROR(__xludf.DUMMYFUNCTION("VLOOKUP(A8,IMPORTRANGE(""1aFCnJY1qhIj8-JckJhDJ18aqmVo17tofpQmOjcYa3u8/edit#gid=948248086"",""Whole Data Set!$A$2:$NG$253""),371,FALSE)"),34.75)</f>
        <v>34.75</v>
      </c>
      <c r="E8" s="13">
        <f t="shared" si="2"/>
        <v>0.139</v>
      </c>
      <c r="F8" s="13">
        <f t="shared" si="3"/>
        <v>-0.009</v>
      </c>
      <c r="G8" s="12">
        <f>IFERROR(__xludf.DUMMYFUNCTION("VLOOKUP(A8,IMPORTRANGE(""1QZ5UxyNCwadreQAXnQ7oCoH982DjIA-QnZdO7ZoqkC0/edit#gid=0"",""2018-2021!$A$2:$O$250""),2,FALSE)"),39.25)</f>
        <v>39.25</v>
      </c>
      <c r="H8" s="14">
        <f t="shared" si="4"/>
        <v>0.157</v>
      </c>
      <c r="I8" s="15">
        <f t="shared" si="5"/>
        <v>-0.027</v>
      </c>
      <c r="J8" s="16">
        <f>IFERROR(__xludf.DUMMYFUNCTION("VLOOKUP(A8,IMPORTRANGE(""1QZ5UxyNCwadreQAXnQ7oCoH982DjIA-QnZdO7ZoqkC0/edit#gid=0"",""2018-2021!$A$2:$O$250""),4,FALSE)"),50.5)</f>
        <v>50.5</v>
      </c>
      <c r="K8" s="17">
        <f t="shared" si="6"/>
        <v>0.202</v>
      </c>
      <c r="L8" s="17">
        <f t="shared" si="7"/>
        <v>-0.072</v>
      </c>
      <c r="M8" s="16">
        <f>IFERROR(__xludf.DUMMYFUNCTION("VLOOKUP(A8,IMPORTRANGE(""1QZ5UxyNCwadreQAXnQ7oCoH982DjIA-QnZdO7ZoqkC0/edit#gid=0"",""2018-2021!$A$2:$O$250""),7,FALSE)"),13.5)</f>
        <v>13.5</v>
      </c>
      <c r="N8" s="17">
        <f t="shared" si="8"/>
        <v>0.054</v>
      </c>
      <c r="O8" s="17">
        <f t="shared" si="9"/>
        <v>0.076</v>
      </c>
      <c r="P8" s="16">
        <f>IFERROR(__xludf.DUMMYFUNCTION("VLOOKUP(A8,IMPORTRANGE(""1QZ5UxyNCwadreQAXnQ7oCoH982DjIA-QnZdO7ZoqkC0/edit#gid=0"",""2018-2021!$A$2:$O$250""),10,FALSE)"),14.5)</f>
        <v>14.5</v>
      </c>
      <c r="Q8" s="17">
        <f t="shared" si="10"/>
        <v>0.058</v>
      </c>
      <c r="R8" s="17">
        <f t="shared" si="11"/>
        <v>0.072</v>
      </c>
    </row>
    <row r="9">
      <c r="A9" s="19" t="s">
        <v>26</v>
      </c>
      <c r="B9" s="41">
        <f>IFERROR(__xludf.DUMMYFUNCTION("VLOOKUP(A9,IMPORTRANGE(""1EmrnCz2gLVTx5Cbj0e5tfuHPhTtmru8KTGuQvh7STl0/edit#gid=2147150001"",""Whole Data Set!$A$2:$NQ$253""),381,FALSE)"),95.75)</f>
        <v>95.75</v>
      </c>
      <c r="C9" s="13">
        <f t="shared" si="1"/>
        <v>0.383</v>
      </c>
      <c r="D9" s="12">
        <f>IFERROR(__xludf.DUMMYFUNCTION("VLOOKUP(A9,IMPORTRANGE(""1aFCnJY1qhIj8-JckJhDJ18aqmVo17tofpQmOjcYa3u8/edit#gid=948248086"",""Whole Data Set!$A$2:$NG$253""),371,FALSE)"),48.5)</f>
        <v>48.5</v>
      </c>
      <c r="E9" s="13">
        <f t="shared" si="2"/>
        <v>0.194</v>
      </c>
      <c r="F9" s="13">
        <f t="shared" si="3"/>
        <v>0.189</v>
      </c>
      <c r="G9" s="12">
        <f>IFERROR(__xludf.DUMMYFUNCTION("VLOOKUP(A9,IMPORTRANGE(""1QZ5UxyNCwadreQAXnQ7oCoH982DjIA-QnZdO7ZoqkC0/edit#gid=0"",""2018-2021!$A$2:$O$250""),2,FALSE)"),34.75)</f>
        <v>34.75</v>
      </c>
      <c r="H9" s="14">
        <f t="shared" si="4"/>
        <v>0.139</v>
      </c>
      <c r="I9" s="15">
        <f t="shared" si="5"/>
        <v>0.244</v>
      </c>
      <c r="J9" s="16">
        <f>IFERROR(__xludf.DUMMYFUNCTION("VLOOKUP(A9,IMPORTRANGE(""1QZ5UxyNCwadreQAXnQ7oCoH982DjIA-QnZdO7ZoqkC0/edit#gid=0"",""2018-2021!$A$2:$O$250""),4,FALSE)"),22.0)</f>
        <v>22</v>
      </c>
      <c r="K9" s="17">
        <f t="shared" si="6"/>
        <v>0.088</v>
      </c>
      <c r="L9" s="17">
        <f t="shared" si="7"/>
        <v>0.295</v>
      </c>
      <c r="M9" s="16">
        <f>IFERROR(__xludf.DUMMYFUNCTION("VLOOKUP(A9,IMPORTRANGE(""1QZ5UxyNCwadreQAXnQ7oCoH982DjIA-QnZdO7ZoqkC0/edit#gid=0"",""2018-2021!$A$2:$O$250""),7,FALSE)"),18.0)</f>
        <v>18</v>
      </c>
      <c r="N9" s="17">
        <f t="shared" si="8"/>
        <v>0.072</v>
      </c>
      <c r="O9" s="17">
        <f t="shared" si="9"/>
        <v>0.311</v>
      </c>
      <c r="P9" s="16">
        <f>IFERROR(__xludf.DUMMYFUNCTION("VLOOKUP(A9,IMPORTRANGE(""1QZ5UxyNCwadreQAXnQ7oCoH982DjIA-QnZdO7ZoqkC0/edit#gid=0"",""2018-2021!$A$2:$O$250""),10,FALSE)"),20.5)</f>
        <v>20.5</v>
      </c>
      <c r="Q9" s="17">
        <f t="shared" si="10"/>
        <v>0.082</v>
      </c>
      <c r="R9" s="17">
        <f t="shared" si="11"/>
        <v>0.301</v>
      </c>
    </row>
    <row r="10">
      <c r="A10" s="19" t="s">
        <v>75</v>
      </c>
      <c r="B10" s="41">
        <f>IFERROR(__xludf.DUMMYFUNCTION("VLOOKUP(A10,IMPORTRANGE(""1EmrnCz2gLVTx5Cbj0e5tfuHPhTtmru8KTGuQvh7STl0/edit#gid=2147150001"",""Whole Data Set!$A$2:$NQ$253""),381,FALSE)"),69.75)</f>
        <v>69.75</v>
      </c>
      <c r="C10" s="13">
        <f t="shared" si="1"/>
        <v>0.279</v>
      </c>
      <c r="D10" s="12">
        <f>IFERROR(__xludf.DUMMYFUNCTION("VLOOKUP(A10,IMPORTRANGE(""1aFCnJY1qhIj8-JckJhDJ18aqmVo17tofpQmOjcYa3u8/edit#gid=948248086"",""Whole Data Set!$A$2:$NG$253""),371,FALSE)"),68.5)</f>
        <v>68.5</v>
      </c>
      <c r="E10" s="13">
        <f t="shared" si="2"/>
        <v>0.274</v>
      </c>
      <c r="F10" s="13">
        <f t="shared" si="3"/>
        <v>0.005</v>
      </c>
      <c r="G10" s="12">
        <f>IFERROR(__xludf.DUMMYFUNCTION("VLOOKUP(A10,IMPORTRANGE(""1QZ5UxyNCwadreQAXnQ7oCoH982DjIA-QnZdO7ZoqkC0/edit#gid=0"",""2018-2021!$A$2:$O$250""),2,FALSE)"),95.5)</f>
        <v>95.5</v>
      </c>
      <c r="H10" s="14">
        <f t="shared" si="4"/>
        <v>0.382</v>
      </c>
      <c r="I10" s="15">
        <f t="shared" si="5"/>
        <v>-0.103</v>
      </c>
      <c r="J10" s="16">
        <f>IFERROR(__xludf.DUMMYFUNCTION("VLOOKUP(A10,IMPORTRANGE(""1QZ5UxyNCwadreQAXnQ7oCoH982DjIA-QnZdO7ZoqkC0/edit#gid=0"",""2018-2021!$A$2:$O$250""),4,FALSE)"),84.5)</f>
        <v>84.5</v>
      </c>
      <c r="K10" s="17">
        <f t="shared" si="6"/>
        <v>0.338</v>
      </c>
      <c r="L10" s="17">
        <f t="shared" si="7"/>
        <v>-0.059</v>
      </c>
      <c r="M10" s="16">
        <f>IFERROR(__xludf.DUMMYFUNCTION("VLOOKUP(A10,IMPORTRANGE(""1QZ5UxyNCwadreQAXnQ7oCoH982DjIA-QnZdO7ZoqkC0/edit#gid=0"",""2018-2021!$A$2:$O$250""),7,FALSE)"),94.0)</f>
        <v>94</v>
      </c>
      <c r="N10" s="17">
        <f t="shared" si="8"/>
        <v>0.376</v>
      </c>
      <c r="O10" s="17">
        <f t="shared" si="9"/>
        <v>-0.097</v>
      </c>
      <c r="P10" s="16">
        <f>IFERROR(__xludf.DUMMYFUNCTION("VLOOKUP(A10,IMPORTRANGE(""1QZ5UxyNCwadreQAXnQ7oCoH982DjIA-QnZdO7ZoqkC0/edit#gid=0"",""2018-2021!$A$2:$O$250""),10,FALSE)"),76.0)</f>
        <v>76</v>
      </c>
      <c r="Q10" s="17">
        <f t="shared" si="10"/>
        <v>0.304</v>
      </c>
      <c r="R10" s="17">
        <f t="shared" si="11"/>
        <v>-0.025</v>
      </c>
    </row>
    <row r="11">
      <c r="A11" s="19" t="s">
        <v>28</v>
      </c>
      <c r="B11" s="41">
        <f>IFERROR(__xludf.DUMMYFUNCTION("VLOOKUP(A11,IMPORTRANGE(""1EmrnCz2gLVTx5Cbj0e5tfuHPhTtmru8KTGuQvh7STl0/edit#gid=2147150001"",""Whole Data Set!$A$2:$NQ$253""),381,FALSE)"),113.25)</f>
        <v>113.25</v>
      </c>
      <c r="C11" s="13">
        <f t="shared" si="1"/>
        <v>0.453</v>
      </c>
      <c r="D11" s="12">
        <f>IFERROR(__xludf.DUMMYFUNCTION("VLOOKUP(A11,IMPORTRANGE(""1aFCnJY1qhIj8-JckJhDJ18aqmVo17tofpQmOjcYa3u8/edit#gid=948248086"",""Whole Data Set!$A$2:$NG$253""),371,FALSE)"),110.25)</f>
        <v>110.25</v>
      </c>
      <c r="E11" s="13">
        <f t="shared" si="2"/>
        <v>0.441</v>
      </c>
      <c r="F11" s="13">
        <f t="shared" si="3"/>
        <v>0.012</v>
      </c>
      <c r="G11" s="12">
        <f>IFERROR(__xludf.DUMMYFUNCTION("VLOOKUP(A11,IMPORTRANGE(""1QZ5UxyNCwadreQAXnQ7oCoH982DjIA-QnZdO7ZoqkC0/edit#gid=0"",""2018-2021!$A$2:$O$250""),2,FALSE)"),122.25)</f>
        <v>122.25</v>
      </c>
      <c r="H11" s="14">
        <f t="shared" si="4"/>
        <v>0.489</v>
      </c>
      <c r="I11" s="15">
        <f t="shared" si="5"/>
        <v>-0.036</v>
      </c>
      <c r="J11" s="16">
        <f>IFERROR(__xludf.DUMMYFUNCTION("VLOOKUP(A11,IMPORTRANGE(""1QZ5UxyNCwadreQAXnQ7oCoH982DjIA-QnZdO7ZoqkC0/edit#gid=0"",""2018-2021!$A$2:$O$250""),4,FALSE)"),114.5)</f>
        <v>114.5</v>
      </c>
      <c r="K11" s="17">
        <f t="shared" si="6"/>
        <v>0.458</v>
      </c>
      <c r="L11" s="17">
        <f t="shared" si="7"/>
        <v>-0.005</v>
      </c>
      <c r="M11" s="16">
        <f>IFERROR(__xludf.DUMMYFUNCTION("VLOOKUP(A11,IMPORTRANGE(""1QZ5UxyNCwadreQAXnQ7oCoH982DjIA-QnZdO7ZoqkC0/edit#gid=0"",""2018-2021!$A$2:$O$250""),7,FALSE)"),76.0)</f>
        <v>76</v>
      </c>
      <c r="N11" s="17">
        <f t="shared" si="8"/>
        <v>0.304</v>
      </c>
      <c r="O11" s="17">
        <f t="shared" si="9"/>
        <v>0.149</v>
      </c>
      <c r="P11" s="16">
        <f>IFERROR(__xludf.DUMMYFUNCTION("VLOOKUP(A11,IMPORTRANGE(""1QZ5UxyNCwadreQAXnQ7oCoH982DjIA-QnZdO7ZoqkC0/edit#gid=0"",""2018-2021!$A$2:$O$250""),10,FALSE)"),66.0)</f>
        <v>66</v>
      </c>
      <c r="Q11" s="17">
        <f t="shared" si="10"/>
        <v>0.264</v>
      </c>
      <c r="R11" s="17">
        <f t="shared" si="11"/>
        <v>0.189</v>
      </c>
    </row>
    <row r="12">
      <c r="A12" s="19" t="s">
        <v>29</v>
      </c>
      <c r="B12" s="41">
        <f>IFERROR(__xludf.DUMMYFUNCTION("VLOOKUP(A12,IMPORTRANGE(""1EmrnCz2gLVTx5Cbj0e5tfuHPhTtmru8KTGuQvh7STl0/edit#gid=2147150001"",""Whole Data Set!$A$2:$NQ$253""),381,FALSE)"),125.0)</f>
        <v>125</v>
      </c>
      <c r="C12" s="13">
        <f t="shared" si="1"/>
        <v>0.5</v>
      </c>
      <c r="D12" s="12">
        <f>IFERROR(__xludf.DUMMYFUNCTION("VLOOKUP(A12,IMPORTRANGE(""1aFCnJY1qhIj8-JckJhDJ18aqmVo17tofpQmOjcYa3u8/edit#gid=948248086"",""Whole Data Set!$A$2:$NG$253""),371,FALSE)"),126.5)</f>
        <v>126.5</v>
      </c>
      <c r="E12" s="13">
        <f t="shared" si="2"/>
        <v>0.506</v>
      </c>
      <c r="F12" s="13">
        <f t="shared" si="3"/>
        <v>-0.006</v>
      </c>
      <c r="G12" s="12">
        <f>IFERROR(__xludf.DUMMYFUNCTION("VLOOKUP(A12,IMPORTRANGE(""1QZ5UxyNCwadreQAXnQ7oCoH982DjIA-QnZdO7ZoqkC0/edit#gid=0"",""2018-2021!$A$2:$O$250""),2,FALSE)"),118.25)</f>
        <v>118.25</v>
      </c>
      <c r="H12" s="14">
        <f t="shared" si="4"/>
        <v>0.473</v>
      </c>
      <c r="I12" s="15">
        <f t="shared" si="5"/>
        <v>0.027</v>
      </c>
      <c r="J12" s="16">
        <f>IFERROR(__xludf.DUMMYFUNCTION("VLOOKUP(A12,IMPORTRANGE(""1QZ5UxyNCwadreQAXnQ7oCoH982DjIA-QnZdO7ZoqkC0/edit#gid=0"",""2018-2021!$A$2:$O$250""),4,FALSE)"),137.0)</f>
        <v>137</v>
      </c>
      <c r="K12" s="17">
        <f t="shared" si="6"/>
        <v>0.548</v>
      </c>
      <c r="L12" s="17">
        <f t="shared" si="7"/>
        <v>-0.048</v>
      </c>
      <c r="M12" s="16">
        <f>IFERROR(__xludf.DUMMYFUNCTION("VLOOKUP(A12,IMPORTRANGE(""1QZ5UxyNCwadreQAXnQ7oCoH982DjIA-QnZdO7ZoqkC0/edit#gid=0"",""2018-2021!$A$2:$O$250""),7,FALSE)"),147.0)</f>
        <v>147</v>
      </c>
      <c r="N12" s="17">
        <f t="shared" si="8"/>
        <v>0.588</v>
      </c>
      <c r="O12" s="17">
        <f t="shared" si="9"/>
        <v>-0.088</v>
      </c>
      <c r="P12" s="16">
        <f>IFERROR(__xludf.DUMMYFUNCTION("VLOOKUP(A12,IMPORTRANGE(""1QZ5UxyNCwadreQAXnQ7oCoH982DjIA-QnZdO7ZoqkC0/edit#gid=0"",""2018-2021!$A$2:$O$250""),10,FALSE)"),125.5)</f>
        <v>125.5</v>
      </c>
      <c r="Q12" s="17">
        <f t="shared" si="10"/>
        <v>0.502</v>
      </c>
      <c r="R12" s="17">
        <f t="shared" si="11"/>
        <v>-0.002</v>
      </c>
    </row>
    <row r="13">
      <c r="A13" s="42" t="s">
        <v>57</v>
      </c>
      <c r="B13" s="41">
        <f>IFERROR(__xludf.DUMMYFUNCTION("VLOOKUP(A13,IMPORTRANGE(""1EmrnCz2gLVTx5Cbj0e5tfuHPhTtmru8KTGuQvh7STl0/edit#gid=2147150001"",""Whole Data Set!$A$2:$NQ$253""),381,FALSE)"),120.25)</f>
        <v>120.25</v>
      </c>
      <c r="C13" s="13">
        <f t="shared" si="1"/>
        <v>0.481</v>
      </c>
      <c r="D13" s="12">
        <f>IFERROR(__xludf.DUMMYFUNCTION("VLOOKUP(A13,IMPORTRANGE(""1aFCnJY1qhIj8-JckJhDJ18aqmVo17tofpQmOjcYa3u8/edit#gid=948248086"",""Whole Data Set!$A$2:$NG$253""),371,FALSE)"),109.5)</f>
        <v>109.5</v>
      </c>
      <c r="E13" s="13">
        <f t="shared" si="2"/>
        <v>0.438</v>
      </c>
      <c r="F13" s="13">
        <f t="shared" si="3"/>
        <v>0.043</v>
      </c>
      <c r="G13" s="12">
        <f>IFERROR(__xludf.DUMMYFUNCTION("VLOOKUP(A13,IMPORTRANGE(""1QZ5UxyNCwadreQAXnQ7oCoH982DjIA-QnZdO7ZoqkC0/edit#gid=0"",""2018-2021!$A$2:$O$250""),2,FALSE)"),123.0)</f>
        <v>123</v>
      </c>
      <c r="H13" s="14">
        <f t="shared" si="4"/>
        <v>0.492</v>
      </c>
      <c r="I13" s="15">
        <f t="shared" si="5"/>
        <v>-0.011</v>
      </c>
      <c r="J13" s="16">
        <f>IFERROR(__xludf.DUMMYFUNCTION("VLOOKUP(A13,IMPORTRANGE(""1QZ5UxyNCwadreQAXnQ7oCoH982DjIA-QnZdO7ZoqkC0/edit#gid=0"",""2018-2021!$A$2:$O$250""),4,FALSE)"),125.0)</f>
        <v>125</v>
      </c>
      <c r="K13" s="17">
        <f t="shared" si="6"/>
        <v>0.5</v>
      </c>
      <c r="L13" s="17">
        <f t="shared" si="7"/>
        <v>-0.019</v>
      </c>
      <c r="M13" s="16">
        <f>IFERROR(__xludf.DUMMYFUNCTION("VLOOKUP(A13,IMPORTRANGE(""1QZ5UxyNCwadreQAXnQ7oCoH982DjIA-QnZdO7ZoqkC0/edit#gid=0"",""2018-2021!$A$2:$O$250""),7,FALSE)"),134.5)</f>
        <v>134.5</v>
      </c>
      <c r="N13" s="17">
        <f t="shared" si="8"/>
        <v>0.538</v>
      </c>
      <c r="O13" s="17">
        <f t="shared" si="9"/>
        <v>-0.057</v>
      </c>
      <c r="P13" s="16">
        <f>IFERROR(__xludf.DUMMYFUNCTION("VLOOKUP(A13,IMPORTRANGE(""1QZ5UxyNCwadreQAXnQ7oCoH982DjIA-QnZdO7ZoqkC0/edit#gid=0"",""2018-2021!$A$2:$O$250""),10,FALSE)"),134.5)</f>
        <v>134.5</v>
      </c>
      <c r="Q13" s="17">
        <f t="shared" si="10"/>
        <v>0.538</v>
      </c>
      <c r="R13" s="17">
        <f t="shared" si="11"/>
        <v>-0.057</v>
      </c>
    </row>
    <row r="14">
      <c r="A14" s="19" t="s">
        <v>31</v>
      </c>
      <c r="B14" s="41">
        <f>IFERROR(__xludf.DUMMYFUNCTION("VLOOKUP(A14,IMPORTRANGE(""1EmrnCz2gLVTx5Cbj0e5tfuHPhTtmru8KTGuQvh7STl0/edit#gid=2147150001"",""Whole Data Set!$A$2:$NQ$253""),381,FALSE)"),124.5)</f>
        <v>124.5</v>
      </c>
      <c r="C14" s="13">
        <f t="shared" si="1"/>
        <v>0.498</v>
      </c>
      <c r="D14" s="12">
        <f>IFERROR(__xludf.DUMMYFUNCTION("VLOOKUP(A14,IMPORTRANGE(""1aFCnJY1qhIj8-JckJhDJ18aqmVo17tofpQmOjcYa3u8/edit#gid=948248086"",""Whole Data Set!$A$2:$NG$253""),371,FALSE)"),107.75)</f>
        <v>107.75</v>
      </c>
      <c r="E14" s="13">
        <f t="shared" si="2"/>
        <v>0.431</v>
      </c>
      <c r="F14" s="13">
        <f t="shared" si="3"/>
        <v>0.067</v>
      </c>
      <c r="G14" s="12">
        <f>IFERROR(__xludf.DUMMYFUNCTION("VLOOKUP(A14,IMPORTRANGE(""1QZ5UxyNCwadreQAXnQ7oCoH982DjIA-QnZdO7ZoqkC0/edit#gid=0"",""2018-2021!$A$2:$O$250""),2,FALSE)"),89.5)</f>
        <v>89.5</v>
      </c>
      <c r="H14" s="14">
        <f t="shared" si="4"/>
        <v>0.358</v>
      </c>
      <c r="I14" s="15">
        <f t="shared" si="5"/>
        <v>0.14</v>
      </c>
      <c r="J14" s="16">
        <f>IFERROR(__xludf.DUMMYFUNCTION("VLOOKUP(A14,IMPORTRANGE(""1QZ5UxyNCwadreQAXnQ7oCoH982DjIA-QnZdO7ZoqkC0/edit#gid=0"",""2018-2021!$A$2:$O$250""),4,FALSE)"),110.5)</f>
        <v>110.5</v>
      </c>
      <c r="K14" s="17">
        <f t="shared" si="6"/>
        <v>0.442</v>
      </c>
      <c r="L14" s="17">
        <f t="shared" si="7"/>
        <v>0.056</v>
      </c>
      <c r="M14" s="16">
        <f>IFERROR(__xludf.DUMMYFUNCTION("VLOOKUP(A14,IMPORTRANGE(""1QZ5UxyNCwadreQAXnQ7oCoH982DjIA-QnZdO7ZoqkC0/edit#gid=0"",""2018-2021!$A$2:$O$250""),7,FALSE)"),114.0)</f>
        <v>114</v>
      </c>
      <c r="N14" s="17">
        <f t="shared" si="8"/>
        <v>0.456</v>
      </c>
      <c r="O14" s="17">
        <f t="shared" si="9"/>
        <v>0.042</v>
      </c>
      <c r="P14" s="16">
        <f>IFERROR(__xludf.DUMMYFUNCTION("VLOOKUP(A14,IMPORTRANGE(""1QZ5UxyNCwadreQAXnQ7oCoH982DjIA-QnZdO7ZoqkC0/edit#gid=0"",""2018-2021!$A$2:$O$250""),10,FALSE)"),105.0)</f>
        <v>105</v>
      </c>
      <c r="Q14" s="17">
        <f t="shared" si="10"/>
        <v>0.42</v>
      </c>
      <c r="R14" s="17">
        <f t="shared" si="11"/>
        <v>0.078</v>
      </c>
    </row>
    <row r="15">
      <c r="A15" s="42" t="s">
        <v>114</v>
      </c>
      <c r="B15" s="41">
        <f>IFERROR(__xludf.DUMMYFUNCTION("VLOOKUP(A15,IMPORTRANGE(""1EmrnCz2gLVTx5Cbj0e5tfuHPhTtmru8KTGuQvh7STl0/edit#gid=2147150001"",""Whole Data Set!$A$2:$NQ$253""),381,FALSE)"),16.5)</f>
        <v>16.5</v>
      </c>
      <c r="C15" s="13">
        <f t="shared" si="1"/>
        <v>0.066</v>
      </c>
      <c r="D15" s="12">
        <f>IFERROR(__xludf.DUMMYFUNCTION("VLOOKUP(A15,IMPORTRANGE(""1aFCnJY1qhIj8-JckJhDJ18aqmVo17tofpQmOjcYa3u8/edit#gid=948248086"",""Whole Data Set!$A$2:$NG$253""),371,FALSE)"),14.25)</f>
        <v>14.25</v>
      </c>
      <c r="E15" s="13">
        <f t="shared" si="2"/>
        <v>0.057</v>
      </c>
      <c r="F15" s="13">
        <f t="shared" si="3"/>
        <v>0.009</v>
      </c>
      <c r="G15" s="12">
        <f>IFERROR(__xludf.DUMMYFUNCTION("VLOOKUP(A15,IMPORTRANGE(""1QZ5UxyNCwadreQAXnQ7oCoH982DjIA-QnZdO7ZoqkC0/edit#gid=0"",""2018-2021!$A$2:$O$250""),2,FALSE)"),25.0)</f>
        <v>25</v>
      </c>
      <c r="H15" s="14">
        <f t="shared" si="4"/>
        <v>0.1</v>
      </c>
      <c r="I15" s="15">
        <f t="shared" si="5"/>
        <v>-0.034</v>
      </c>
      <c r="J15" s="16">
        <f>IFERROR(__xludf.DUMMYFUNCTION("VLOOKUP(A15,IMPORTRANGE(""1QZ5UxyNCwadreQAXnQ7oCoH982DjIA-QnZdO7ZoqkC0/edit#gid=0"",""2018-2021!$A$2:$O$250""),4,FALSE)"),39.0)</f>
        <v>39</v>
      </c>
      <c r="K15" s="17">
        <f t="shared" si="6"/>
        <v>0.156</v>
      </c>
      <c r="L15" s="17">
        <f t="shared" si="7"/>
        <v>-0.09</v>
      </c>
      <c r="M15" s="16">
        <f>IFERROR(__xludf.DUMMYFUNCTION("VLOOKUP(A15,IMPORTRANGE(""1QZ5UxyNCwadreQAXnQ7oCoH982DjIA-QnZdO7ZoqkC0/edit#gid=0"",""2018-2021!$A$2:$O$250""),7,FALSE)"),32.5)</f>
        <v>32.5</v>
      </c>
      <c r="N15" s="17">
        <f t="shared" si="8"/>
        <v>0.13</v>
      </c>
      <c r="O15" s="17">
        <f t="shared" si="9"/>
        <v>-0.064</v>
      </c>
      <c r="P15" s="16">
        <f>IFERROR(__xludf.DUMMYFUNCTION("VLOOKUP(A15,IMPORTRANGE(""1QZ5UxyNCwadreQAXnQ7oCoH982DjIA-QnZdO7ZoqkC0/edit#gid=0"",""2018-2021!$A$2:$O$250""),10,FALSE)"),44.0)</f>
        <v>44</v>
      </c>
      <c r="Q15" s="17">
        <f t="shared" si="10"/>
        <v>0.176</v>
      </c>
      <c r="R15" s="17">
        <f t="shared" si="11"/>
        <v>-0.11</v>
      </c>
    </row>
    <row r="16">
      <c r="A16" s="19" t="s">
        <v>115</v>
      </c>
      <c r="B16" s="41">
        <f>IFERROR(__xludf.DUMMYFUNCTION("VLOOKUP(A16,IMPORTRANGE(""1EmrnCz2gLVTx5Cbj0e5tfuHPhTtmru8KTGuQvh7STl0/edit#gid=2147150001"",""Whole Data Set!$A$2:$NQ$253""),381,FALSE)"),93.0)</f>
        <v>93</v>
      </c>
      <c r="C16" s="13">
        <f t="shared" si="1"/>
        <v>0.372</v>
      </c>
      <c r="D16" s="12">
        <f>IFERROR(__xludf.DUMMYFUNCTION("VLOOKUP(A16,IMPORTRANGE(""1aFCnJY1qhIj8-JckJhDJ18aqmVo17tofpQmOjcYa3u8/edit#gid=948248086"",""Whole Data Set!$A$2:$NG$253""),371,FALSE)"),89.25)</f>
        <v>89.25</v>
      </c>
      <c r="E16" s="13">
        <f t="shared" si="2"/>
        <v>0.357</v>
      </c>
      <c r="F16" s="13">
        <f t="shared" si="3"/>
        <v>0.015</v>
      </c>
      <c r="G16" s="12">
        <f>IFERROR(__xludf.DUMMYFUNCTION("VLOOKUP(A16,IMPORTRANGE(""1QZ5UxyNCwadreQAXnQ7oCoH982DjIA-QnZdO7ZoqkC0/edit#gid=0"",""2018-2021!$A$2:$O$250""),2,FALSE)"),88.25)</f>
        <v>88.25</v>
      </c>
      <c r="H16" s="14">
        <f t="shared" si="4"/>
        <v>0.353</v>
      </c>
      <c r="I16" s="15">
        <f t="shared" si="5"/>
        <v>0.019</v>
      </c>
      <c r="J16" s="16">
        <f>IFERROR(__xludf.DUMMYFUNCTION("VLOOKUP(A16,IMPORTRANGE(""1QZ5UxyNCwadreQAXnQ7oCoH982DjIA-QnZdO7ZoqkC0/edit#gid=0"",""2018-2021!$A$2:$O$250""),4,FALSE)"),107.5)</f>
        <v>107.5</v>
      </c>
      <c r="K16" s="17">
        <f t="shared" si="6"/>
        <v>0.43</v>
      </c>
      <c r="L16" s="17">
        <f t="shared" si="7"/>
        <v>-0.058</v>
      </c>
      <c r="M16" s="16">
        <f>IFERROR(__xludf.DUMMYFUNCTION("VLOOKUP(A16,IMPORTRANGE(""1QZ5UxyNCwadreQAXnQ7oCoH982DjIA-QnZdO7ZoqkC0/edit#gid=0"",""2018-2021!$A$2:$O$250""),7,FALSE)"),96.0)</f>
        <v>96</v>
      </c>
      <c r="N16" s="17">
        <f t="shared" si="8"/>
        <v>0.384</v>
      </c>
      <c r="O16" s="17">
        <f t="shared" si="9"/>
        <v>-0.012</v>
      </c>
      <c r="P16" s="16">
        <f>IFERROR(__xludf.DUMMYFUNCTION("VLOOKUP(A16,IMPORTRANGE(""1QZ5UxyNCwadreQAXnQ7oCoH982DjIA-QnZdO7ZoqkC0/edit#gid=0"",""2018-2021!$A$2:$O$250""),10,FALSE)"),73.0)</f>
        <v>73</v>
      </c>
      <c r="Q16" s="17">
        <f t="shared" si="10"/>
        <v>0.292</v>
      </c>
      <c r="R16" s="17">
        <f t="shared" si="11"/>
        <v>0.08</v>
      </c>
    </row>
    <row r="17">
      <c r="A17" s="42" t="s">
        <v>32</v>
      </c>
      <c r="B17" s="41">
        <f>IFERROR(__xludf.DUMMYFUNCTION("VLOOKUP(A17,IMPORTRANGE(""1EmrnCz2gLVTx5Cbj0e5tfuHPhTtmru8KTGuQvh7STl0/edit#gid=2147150001"",""Whole Data Set!$A$2:$NQ$253""),381,FALSE)"),126.25)</f>
        <v>126.25</v>
      </c>
      <c r="C17" s="13">
        <f t="shared" si="1"/>
        <v>0.505</v>
      </c>
      <c r="D17" s="12">
        <f>IFERROR(__xludf.DUMMYFUNCTION("VLOOKUP(A17,IMPORTRANGE(""1aFCnJY1qhIj8-JckJhDJ18aqmVo17tofpQmOjcYa3u8/edit#gid=948248086"",""Whole Data Set!$A$2:$NG$253""),371,FALSE)"),115.5)</f>
        <v>115.5</v>
      </c>
      <c r="E17" s="13">
        <f t="shared" si="2"/>
        <v>0.462</v>
      </c>
      <c r="F17" s="13">
        <f t="shared" si="3"/>
        <v>0.043</v>
      </c>
      <c r="G17" s="12">
        <f>IFERROR(__xludf.DUMMYFUNCTION("VLOOKUP(A17,IMPORTRANGE(""1QZ5UxyNCwadreQAXnQ7oCoH982DjIA-QnZdO7ZoqkC0/edit#gid=0"",""2018-2021!$A$2:$O$250""),2,FALSE)"),106.0)</f>
        <v>106</v>
      </c>
      <c r="H17" s="14">
        <f t="shared" si="4"/>
        <v>0.424</v>
      </c>
      <c r="I17" s="15">
        <f t="shared" si="5"/>
        <v>0.081</v>
      </c>
      <c r="J17" s="16">
        <f>IFERROR(__xludf.DUMMYFUNCTION("VLOOKUP(A17,IMPORTRANGE(""1QZ5UxyNCwadreQAXnQ7oCoH982DjIA-QnZdO7ZoqkC0/edit#gid=0"",""2018-2021!$A$2:$O$250""),4,FALSE)"),116.0)</f>
        <v>116</v>
      </c>
      <c r="K17" s="17">
        <f t="shared" si="6"/>
        <v>0.464</v>
      </c>
      <c r="L17" s="17">
        <f t="shared" si="7"/>
        <v>0.041</v>
      </c>
      <c r="M17" s="16">
        <f>IFERROR(__xludf.DUMMYFUNCTION("VLOOKUP(A17,IMPORTRANGE(""1QZ5UxyNCwadreQAXnQ7oCoH982DjIA-QnZdO7ZoqkC0/edit#gid=0"",""2018-2021!$A$2:$O$250""),7,FALSE)"),98.0)</f>
        <v>98</v>
      </c>
      <c r="N17" s="17">
        <f t="shared" si="8"/>
        <v>0.392</v>
      </c>
      <c r="O17" s="17">
        <f t="shared" si="9"/>
        <v>0.113</v>
      </c>
      <c r="P17" s="16">
        <f>IFERROR(__xludf.DUMMYFUNCTION("VLOOKUP(A17,IMPORTRANGE(""1QZ5UxyNCwadreQAXnQ7oCoH982DjIA-QnZdO7ZoqkC0/edit#gid=0"",""2018-2021!$A$2:$O$250""),10,FALSE)"),91.0)</f>
        <v>91</v>
      </c>
      <c r="Q17" s="17">
        <f t="shared" si="10"/>
        <v>0.364</v>
      </c>
      <c r="R17" s="17">
        <f t="shared" si="11"/>
        <v>0.141</v>
      </c>
    </row>
    <row r="18">
      <c r="A18" s="19" t="s">
        <v>116</v>
      </c>
      <c r="B18" s="41">
        <f>IFERROR(__xludf.DUMMYFUNCTION("VLOOKUP(A18,IMPORTRANGE(""1EmrnCz2gLVTx5Cbj0e5tfuHPhTtmru8KTGuQvh7STl0/edit#gid=2147150001"",""Whole Data Set!$A$2:$NQ$253""),381,FALSE)"),10.0)</f>
        <v>10</v>
      </c>
      <c r="C18" s="13">
        <f t="shared" si="1"/>
        <v>0.04</v>
      </c>
      <c r="D18" s="12">
        <f>IFERROR(__xludf.DUMMYFUNCTION("VLOOKUP(A18,IMPORTRANGE(""1aFCnJY1qhIj8-JckJhDJ18aqmVo17tofpQmOjcYa3u8/edit#gid=948248086"",""Whole Data Set!$A$2:$NG$253""),371,FALSE)"),12.75)</f>
        <v>12.75</v>
      </c>
      <c r="E18" s="13">
        <f t="shared" si="2"/>
        <v>0.051</v>
      </c>
      <c r="F18" s="13">
        <f t="shared" si="3"/>
        <v>-0.011</v>
      </c>
      <c r="G18" s="12">
        <f>IFERROR(__xludf.DUMMYFUNCTION("VLOOKUP(A18,IMPORTRANGE(""1QZ5UxyNCwadreQAXnQ7oCoH982DjIA-QnZdO7ZoqkC0/edit#gid=0"",""2018-2021!$A$2:$O$250""),2,FALSE)"),17.75)</f>
        <v>17.75</v>
      </c>
      <c r="H18" s="14">
        <f t="shared" si="4"/>
        <v>0.071</v>
      </c>
      <c r="I18" s="15">
        <f t="shared" si="5"/>
        <v>-0.031</v>
      </c>
      <c r="J18" s="16">
        <f>IFERROR(__xludf.DUMMYFUNCTION("VLOOKUP(A18,IMPORTRANGE(""1QZ5UxyNCwadreQAXnQ7oCoH982DjIA-QnZdO7ZoqkC0/edit#gid=0"",""2018-2021!$A$2:$O$250""),4,FALSE)"),24.0)</f>
        <v>24</v>
      </c>
      <c r="K18" s="17">
        <f t="shared" si="6"/>
        <v>0.096</v>
      </c>
      <c r="L18" s="17">
        <f t="shared" si="7"/>
        <v>-0.056</v>
      </c>
      <c r="M18" s="16">
        <f>IFERROR(__xludf.DUMMYFUNCTION("VLOOKUP(A18,IMPORTRANGE(""1QZ5UxyNCwadreQAXnQ7oCoH982DjIA-QnZdO7ZoqkC0/edit#gid=0"",""2018-2021!$A$2:$O$250""),7,FALSE)"),24.0)</f>
        <v>24</v>
      </c>
      <c r="N18" s="17">
        <f t="shared" si="8"/>
        <v>0.096</v>
      </c>
      <c r="O18" s="17">
        <f t="shared" si="9"/>
        <v>-0.056</v>
      </c>
      <c r="P18" s="16">
        <f>IFERROR(__xludf.DUMMYFUNCTION("VLOOKUP(A18,IMPORTRANGE(""1QZ5UxyNCwadreQAXnQ7oCoH982DjIA-QnZdO7ZoqkC0/edit#gid=0"",""2018-2021!$A$2:$O$250""),10,FALSE)"),27.5)</f>
        <v>27.5</v>
      </c>
      <c r="Q18" s="17">
        <f t="shared" si="10"/>
        <v>0.11</v>
      </c>
      <c r="R18" s="17">
        <f t="shared" si="11"/>
        <v>-0.07</v>
      </c>
    </row>
    <row r="19">
      <c r="A19" s="19" t="s">
        <v>33</v>
      </c>
      <c r="B19" s="41">
        <f>IFERROR(__xludf.DUMMYFUNCTION("VLOOKUP(A19,IMPORTRANGE(""1EmrnCz2gLVTx5Cbj0e5tfuHPhTtmru8KTGuQvh7STl0/edit#gid=2147150001"",""Whole Data Set!$A$2:$NQ$253""),381,FALSE)"),95.75)</f>
        <v>95.75</v>
      </c>
      <c r="C19" s="13">
        <f t="shared" si="1"/>
        <v>0.383</v>
      </c>
      <c r="D19" s="12">
        <f>IFERROR(__xludf.DUMMYFUNCTION("VLOOKUP(A19,IMPORTRANGE(""1aFCnJY1qhIj8-JckJhDJ18aqmVo17tofpQmOjcYa3u8/edit#gid=948248086"",""Whole Data Set!$A$2:$NG$253""),371,FALSE)"),98.75)</f>
        <v>98.75</v>
      </c>
      <c r="E19" s="13">
        <f t="shared" si="2"/>
        <v>0.395</v>
      </c>
      <c r="F19" s="13">
        <f t="shared" si="3"/>
        <v>-0.012</v>
      </c>
      <c r="G19" s="12">
        <f>IFERROR(__xludf.DUMMYFUNCTION("VLOOKUP(A19,IMPORTRANGE(""1QZ5UxyNCwadreQAXnQ7oCoH982DjIA-QnZdO7ZoqkC0/edit#gid=0"",""2018-2021!$A$2:$O$250""),2,FALSE)"),84.5)</f>
        <v>84.5</v>
      </c>
      <c r="H19" s="14">
        <f t="shared" si="4"/>
        <v>0.338</v>
      </c>
      <c r="I19" s="15">
        <f t="shared" si="5"/>
        <v>0.045</v>
      </c>
      <c r="J19" s="16">
        <f>IFERROR(__xludf.DUMMYFUNCTION("VLOOKUP(A19,IMPORTRANGE(""1QZ5UxyNCwadreQAXnQ7oCoH982DjIA-QnZdO7ZoqkC0/edit#gid=0"",""2018-2021!$A$2:$O$250""),4,FALSE)"),90.0)</f>
        <v>90</v>
      </c>
      <c r="K19" s="17">
        <f t="shared" si="6"/>
        <v>0.36</v>
      </c>
      <c r="L19" s="17">
        <f t="shared" ref="L19:L137" si="12">E19-K19</f>
        <v>0.035</v>
      </c>
      <c r="M19" s="16">
        <f>IFERROR(__xludf.DUMMYFUNCTION("VLOOKUP(A19,IMPORTRANGE(""1QZ5UxyNCwadreQAXnQ7oCoH982DjIA-QnZdO7ZoqkC0/edit#gid=0"",""2018-2021!$A$2:$O$250""),7,FALSE)"),83.0)</f>
        <v>83</v>
      </c>
      <c r="N19" s="17">
        <f t="shared" si="8"/>
        <v>0.332</v>
      </c>
      <c r="O19" s="17">
        <f t="shared" si="9"/>
        <v>0.051</v>
      </c>
      <c r="P19" s="16">
        <f>IFERROR(__xludf.DUMMYFUNCTION("VLOOKUP(A19,IMPORTRANGE(""1QZ5UxyNCwadreQAXnQ7oCoH982DjIA-QnZdO7ZoqkC0/edit#gid=0"",""2018-2021!$A$2:$O$250""),10,FALSE)"),81.5)</f>
        <v>81.5</v>
      </c>
      <c r="Q19" s="17">
        <f t="shared" si="10"/>
        <v>0.326</v>
      </c>
      <c r="R19" s="17">
        <f t="shared" si="11"/>
        <v>0.057</v>
      </c>
    </row>
    <row r="20">
      <c r="A20" s="19" t="s">
        <v>106</v>
      </c>
      <c r="B20" s="41">
        <f>IFERROR(__xludf.DUMMYFUNCTION("VLOOKUP(A20,IMPORTRANGE(""1EmrnCz2gLVTx5Cbj0e5tfuHPhTtmru8KTGuQvh7STl0/edit#gid=2147150001"",""Whole Data Set!$A$2:$NQ$253""),381,FALSE)"),36.0)</f>
        <v>36</v>
      </c>
      <c r="C20" s="13">
        <f t="shared" si="1"/>
        <v>0.144</v>
      </c>
      <c r="D20" s="12">
        <f>IFERROR(__xludf.DUMMYFUNCTION("VLOOKUP(A20,IMPORTRANGE(""1aFCnJY1qhIj8-JckJhDJ18aqmVo17tofpQmOjcYa3u8/edit#gid=948248086"",""Whole Data Set!$A$2:$NG$253""),371,FALSE)"),31.75)</f>
        <v>31.75</v>
      </c>
      <c r="E20" s="13">
        <f t="shared" si="2"/>
        <v>0.127</v>
      </c>
      <c r="F20" s="13">
        <f t="shared" si="3"/>
        <v>0.017</v>
      </c>
      <c r="G20" s="12">
        <f>IFERROR(__xludf.DUMMYFUNCTION("VLOOKUP(A20,IMPORTRANGE(""1QZ5UxyNCwadreQAXnQ7oCoH982DjIA-QnZdO7ZoqkC0/edit#gid=0"",""2018-2021!$A$2:$O$250""),2,FALSE)"),36.5)</f>
        <v>36.5</v>
      </c>
      <c r="H20" s="14">
        <f t="shared" si="4"/>
        <v>0.146</v>
      </c>
      <c r="I20" s="15">
        <f t="shared" si="5"/>
        <v>-0.002</v>
      </c>
      <c r="J20" s="16">
        <f>IFERROR(__xludf.DUMMYFUNCTION("VLOOKUP(A20,IMPORTRANGE(""1QZ5UxyNCwadreQAXnQ7oCoH982DjIA-QnZdO7ZoqkC0/edit#gid=0"",""2018-2021!$A$2:$O$250""),4,FALSE)"),36.0)</f>
        <v>36</v>
      </c>
      <c r="K20" s="17">
        <f t="shared" si="6"/>
        <v>0.144</v>
      </c>
      <c r="L20" s="17">
        <f t="shared" si="12"/>
        <v>-0.017</v>
      </c>
      <c r="M20" s="16">
        <f>IFERROR(__xludf.DUMMYFUNCTION("VLOOKUP(A20,IMPORTRANGE(""1QZ5UxyNCwadreQAXnQ7oCoH982DjIA-QnZdO7ZoqkC0/edit#gid=0"",""2018-2021!$A$2:$O$250""),7,FALSE)"),24.0)</f>
        <v>24</v>
      </c>
      <c r="N20" s="17">
        <f t="shared" si="8"/>
        <v>0.096</v>
      </c>
      <c r="O20" s="17">
        <f t="shared" si="9"/>
        <v>0.048</v>
      </c>
      <c r="P20" s="16">
        <f>IFERROR(__xludf.DUMMYFUNCTION("VLOOKUP(A20,IMPORTRANGE(""1QZ5UxyNCwadreQAXnQ7oCoH982DjIA-QnZdO7ZoqkC0/edit#gid=0"",""2018-2021!$A$2:$O$250""),10,FALSE)"),29.5)</f>
        <v>29.5</v>
      </c>
      <c r="Q20" s="17">
        <f t="shared" si="10"/>
        <v>0.118</v>
      </c>
      <c r="R20" s="17">
        <f t="shared" si="11"/>
        <v>0.026</v>
      </c>
    </row>
    <row r="21">
      <c r="A21" s="19" t="s">
        <v>35</v>
      </c>
      <c r="B21" s="41">
        <f>IFERROR(__xludf.DUMMYFUNCTION("VLOOKUP(A21,IMPORTRANGE(""1EmrnCz2gLVTx5Cbj0e5tfuHPhTtmru8KTGuQvh7STl0/edit#gid=2147150001"",""Whole Data Set!$A$2:$NQ$253""),381,FALSE)"),169.0)</f>
        <v>169</v>
      </c>
      <c r="C21" s="13">
        <f t="shared" si="1"/>
        <v>0.676</v>
      </c>
      <c r="D21" s="12">
        <f>IFERROR(__xludf.DUMMYFUNCTION("VLOOKUP(A21,IMPORTRANGE(""1aFCnJY1qhIj8-JckJhDJ18aqmVo17tofpQmOjcYa3u8/edit#gid=948248086"",""Whole Data Set!$A$2:$NG$253""),371,FALSE)"),147.75)</f>
        <v>147.75</v>
      </c>
      <c r="E21" s="13">
        <f t="shared" si="2"/>
        <v>0.591</v>
      </c>
      <c r="F21" s="13">
        <f t="shared" si="3"/>
        <v>0.085</v>
      </c>
      <c r="G21" s="12">
        <f>IFERROR(__xludf.DUMMYFUNCTION("VLOOKUP(A21,IMPORTRANGE(""1QZ5UxyNCwadreQAXnQ7oCoH982DjIA-QnZdO7ZoqkC0/edit#gid=0"",""2018-2021!$A$2:$O$250""),2,FALSE)"),162.75)</f>
        <v>162.75</v>
      </c>
      <c r="H21" s="14">
        <f t="shared" si="4"/>
        <v>0.651</v>
      </c>
      <c r="I21" s="15">
        <f t="shared" si="5"/>
        <v>0.025</v>
      </c>
      <c r="J21" s="16">
        <f>IFERROR(__xludf.DUMMYFUNCTION("VLOOKUP(A21,IMPORTRANGE(""1QZ5UxyNCwadreQAXnQ7oCoH982DjIA-QnZdO7ZoqkC0/edit#gid=0"",""2018-2021!$A$2:$O$250""),4,FALSE)"),174.5)</f>
        <v>174.5</v>
      </c>
      <c r="K21" s="17">
        <f t="shared" si="6"/>
        <v>0.698</v>
      </c>
      <c r="L21" s="17">
        <f t="shared" si="12"/>
        <v>-0.107</v>
      </c>
      <c r="M21" s="16">
        <f>IFERROR(__xludf.DUMMYFUNCTION("VLOOKUP(A21,IMPORTRANGE(""1QZ5UxyNCwadreQAXnQ7oCoH982DjIA-QnZdO7ZoqkC0/edit#gid=0"",""2018-2021!$A$2:$O$250""),7,FALSE)"),150.5)</f>
        <v>150.5</v>
      </c>
      <c r="N21" s="17">
        <f t="shared" si="8"/>
        <v>0.602</v>
      </c>
      <c r="O21" s="17">
        <f t="shared" si="9"/>
        <v>0.074</v>
      </c>
      <c r="P21" s="16">
        <f>IFERROR(__xludf.DUMMYFUNCTION("VLOOKUP(A21,IMPORTRANGE(""1QZ5UxyNCwadreQAXnQ7oCoH982DjIA-QnZdO7ZoqkC0/edit#gid=0"",""2018-2021!$A$2:$O$250""),10,FALSE)"),133.0)</f>
        <v>133</v>
      </c>
      <c r="Q21" s="17">
        <f t="shared" si="10"/>
        <v>0.532</v>
      </c>
      <c r="R21" s="17">
        <f t="shared" si="11"/>
        <v>0.144</v>
      </c>
    </row>
    <row r="22">
      <c r="A22" s="19" t="s">
        <v>36</v>
      </c>
      <c r="B22" s="41">
        <f>IFERROR(__xludf.DUMMYFUNCTION("VLOOKUP(A22,IMPORTRANGE(""1EmrnCz2gLVTx5Cbj0e5tfuHPhTtmru8KTGuQvh7STl0/edit#gid=2147150001"",""Whole Data Set!$A$2:$NQ$253""),381,FALSE)"),120.25)</f>
        <v>120.25</v>
      </c>
      <c r="C22" s="13">
        <f t="shared" si="1"/>
        <v>0.481</v>
      </c>
      <c r="D22" s="12">
        <f>IFERROR(__xludf.DUMMYFUNCTION("VLOOKUP(A22,IMPORTRANGE(""1aFCnJY1qhIj8-JckJhDJ18aqmVo17tofpQmOjcYa3u8/edit#gid=948248086"",""Whole Data Set!$A$2:$NG$253""),371,FALSE)"),140.75)</f>
        <v>140.75</v>
      </c>
      <c r="E22" s="13">
        <f t="shared" si="2"/>
        <v>0.563</v>
      </c>
      <c r="F22" s="13">
        <f t="shared" si="3"/>
        <v>-0.082</v>
      </c>
      <c r="G22" s="12">
        <f>IFERROR(__xludf.DUMMYFUNCTION("VLOOKUP(A22,IMPORTRANGE(""1QZ5UxyNCwadreQAXnQ7oCoH982DjIA-QnZdO7ZoqkC0/edit#gid=0"",""2018-2021!$A$2:$O$250""),2,FALSE)"),147.5)</f>
        <v>147.5</v>
      </c>
      <c r="H22" s="14">
        <f t="shared" si="4"/>
        <v>0.59</v>
      </c>
      <c r="I22" s="15">
        <f t="shared" si="5"/>
        <v>-0.109</v>
      </c>
      <c r="J22" s="16">
        <f>IFERROR(__xludf.DUMMYFUNCTION("VLOOKUP(A22,IMPORTRANGE(""1QZ5UxyNCwadreQAXnQ7oCoH982DjIA-QnZdO7ZoqkC0/edit#gid=0"",""2018-2021!$A$2:$O$250""),4,FALSE)"),134.5)</f>
        <v>134.5</v>
      </c>
      <c r="K22" s="17">
        <f t="shared" si="6"/>
        <v>0.538</v>
      </c>
      <c r="L22" s="17">
        <f t="shared" si="12"/>
        <v>0.025</v>
      </c>
      <c r="M22" s="16">
        <f>IFERROR(__xludf.DUMMYFUNCTION("VLOOKUP(A22,IMPORTRANGE(""1QZ5UxyNCwadreQAXnQ7oCoH982DjIA-QnZdO7ZoqkC0/edit#gid=0"",""2018-2021!$A$2:$O$250""),7,FALSE)"),103.0)</f>
        <v>103</v>
      </c>
      <c r="N22" s="17">
        <f t="shared" si="8"/>
        <v>0.412</v>
      </c>
      <c r="O22" s="17">
        <f t="shared" si="9"/>
        <v>0.069</v>
      </c>
      <c r="P22" s="16">
        <f>IFERROR(__xludf.DUMMYFUNCTION("VLOOKUP(A22,IMPORTRANGE(""1QZ5UxyNCwadreQAXnQ7oCoH982DjIA-QnZdO7ZoqkC0/edit#gid=0"",""2018-2021!$A$2:$O$250""),10,FALSE)"),94.5)</f>
        <v>94.5</v>
      </c>
      <c r="Q22" s="17">
        <f t="shared" si="10"/>
        <v>0.378</v>
      </c>
      <c r="R22" s="17">
        <f t="shared" si="11"/>
        <v>0.103</v>
      </c>
    </row>
    <row r="23">
      <c r="A23" s="19" t="s">
        <v>37</v>
      </c>
      <c r="B23" s="41">
        <f>IFERROR(__xludf.DUMMYFUNCTION("VLOOKUP(A23,IMPORTRANGE(""1EmrnCz2gLVTx5Cbj0e5tfuHPhTtmru8KTGuQvh7STl0/edit#gid=2147150001"",""Whole Data Set!$A$2:$NQ$253""),381,FALSE)"),156.25)</f>
        <v>156.25</v>
      </c>
      <c r="C23" s="13">
        <f t="shared" si="1"/>
        <v>0.625</v>
      </c>
      <c r="D23" s="12">
        <f>IFERROR(__xludf.DUMMYFUNCTION("VLOOKUP(A23,IMPORTRANGE(""1aFCnJY1qhIj8-JckJhDJ18aqmVo17tofpQmOjcYa3u8/edit#gid=948248086"",""Whole Data Set!$A$2:$NG$253""),371,FALSE)"),134.75)</f>
        <v>134.75</v>
      </c>
      <c r="E23" s="13">
        <f t="shared" si="2"/>
        <v>0.539</v>
      </c>
      <c r="F23" s="13">
        <f t="shared" si="3"/>
        <v>0.086</v>
      </c>
      <c r="G23" s="12">
        <f>IFERROR(__xludf.DUMMYFUNCTION("VLOOKUP(A23,IMPORTRANGE(""1QZ5UxyNCwadreQAXnQ7oCoH982DjIA-QnZdO7ZoqkC0/edit#gid=0"",""2018-2021!$A$2:$O$250""),2,FALSE)"),26.75)</f>
        <v>26.75</v>
      </c>
      <c r="H23" s="14">
        <f t="shared" si="4"/>
        <v>0.107</v>
      </c>
      <c r="I23" s="15">
        <f t="shared" si="5"/>
        <v>0.518</v>
      </c>
      <c r="J23" s="16">
        <f>IFERROR(__xludf.DUMMYFUNCTION("VLOOKUP(A23,IMPORTRANGE(""1QZ5UxyNCwadreQAXnQ7oCoH982DjIA-QnZdO7ZoqkC0/edit#gid=0"",""2018-2021!$A$2:$O$250""),4,FALSE)"),33.0)</f>
        <v>33</v>
      </c>
      <c r="K23" s="17">
        <f t="shared" si="6"/>
        <v>0.132</v>
      </c>
      <c r="L23" s="17">
        <f t="shared" si="12"/>
        <v>0.407</v>
      </c>
      <c r="M23" s="16">
        <f>IFERROR(__xludf.DUMMYFUNCTION("VLOOKUP(A23,IMPORTRANGE(""1QZ5UxyNCwadreQAXnQ7oCoH982DjIA-QnZdO7ZoqkC0/edit#gid=0"",""2018-2021!$A$2:$O$250""),7,FALSE)"),13.5)</f>
        <v>13.5</v>
      </c>
      <c r="N23" s="17">
        <f t="shared" si="8"/>
        <v>0.054</v>
      </c>
      <c r="O23" s="17">
        <f t="shared" si="9"/>
        <v>0.571</v>
      </c>
      <c r="P23" s="16">
        <f>IFERROR(__xludf.DUMMYFUNCTION("VLOOKUP(A23,IMPORTRANGE(""1QZ5UxyNCwadreQAXnQ7oCoH982DjIA-QnZdO7ZoqkC0/edit#gid=0"",""2018-2021!$A$2:$O$250""),10,FALSE)"),16.0)</f>
        <v>16</v>
      </c>
      <c r="Q23" s="17">
        <f t="shared" si="10"/>
        <v>0.064</v>
      </c>
      <c r="R23" s="17">
        <f t="shared" si="11"/>
        <v>0.561</v>
      </c>
    </row>
    <row r="24">
      <c r="A24" s="42" t="s">
        <v>117</v>
      </c>
      <c r="B24" s="41">
        <f>IFERROR(__xludf.DUMMYFUNCTION("VLOOKUP(A24,IMPORTRANGE(""1EmrnCz2gLVTx5Cbj0e5tfuHPhTtmru8KTGuQvh7STl0/edit#gid=2147150001"",""Whole Data Set!$A$2:$NQ$253""),381,FALSE)"),39.25)</f>
        <v>39.25</v>
      </c>
      <c r="C24" s="13">
        <f t="shared" si="1"/>
        <v>0.157</v>
      </c>
      <c r="D24" s="12">
        <f>IFERROR(__xludf.DUMMYFUNCTION("VLOOKUP(A24,IMPORTRANGE(""1aFCnJY1qhIj8-JckJhDJ18aqmVo17tofpQmOjcYa3u8/edit#gid=948248086"",""Whole Data Set!$A$2:$NG$253""),371,FALSE)"),20.5)</f>
        <v>20.5</v>
      </c>
      <c r="E24" s="13">
        <f t="shared" si="2"/>
        <v>0.082</v>
      </c>
      <c r="F24" s="13">
        <f t="shared" si="3"/>
        <v>0.075</v>
      </c>
      <c r="G24" s="12">
        <f>IFERROR(__xludf.DUMMYFUNCTION("VLOOKUP(A24,IMPORTRANGE(""1QZ5UxyNCwadreQAXnQ7oCoH982DjIA-QnZdO7ZoqkC0/edit#gid=0"",""2018-2021!$A$2:$O$250""),2,FALSE)"),35.5)</f>
        <v>35.5</v>
      </c>
      <c r="H24" s="14">
        <f t="shared" si="4"/>
        <v>0.142</v>
      </c>
      <c r="I24" s="15">
        <f t="shared" si="5"/>
        <v>0.015</v>
      </c>
      <c r="J24" s="16">
        <f>IFERROR(__xludf.DUMMYFUNCTION("VLOOKUP(A24,IMPORTRANGE(""1QZ5UxyNCwadreQAXnQ7oCoH982DjIA-QnZdO7ZoqkC0/edit#gid=0"",""2018-2021!$A$2:$O$250""),4,FALSE)"),30.0)</f>
        <v>30</v>
      </c>
      <c r="K24" s="17">
        <f t="shared" si="6"/>
        <v>0.12</v>
      </c>
      <c r="L24" s="17">
        <f t="shared" si="12"/>
        <v>-0.038</v>
      </c>
      <c r="M24" s="16">
        <f>IFERROR(__xludf.DUMMYFUNCTION("VLOOKUP(A24,IMPORTRANGE(""1QZ5UxyNCwadreQAXnQ7oCoH982DjIA-QnZdO7ZoqkC0/edit#gid=0"",""2018-2021!$A$2:$O$250""),7,FALSE)"),25.0)</f>
        <v>25</v>
      </c>
      <c r="N24" s="17">
        <f t="shared" si="8"/>
        <v>0.1</v>
      </c>
      <c r="O24" s="17">
        <f t="shared" si="9"/>
        <v>0.057</v>
      </c>
      <c r="P24" s="16">
        <f>IFERROR(__xludf.DUMMYFUNCTION("VLOOKUP(A24,IMPORTRANGE(""1QZ5UxyNCwadreQAXnQ7oCoH982DjIA-QnZdO7ZoqkC0/edit#gid=0"",""2018-2021!$A$2:$O$250""),10,FALSE)"),13.0)</f>
        <v>13</v>
      </c>
      <c r="Q24" s="17">
        <f t="shared" si="10"/>
        <v>0.052</v>
      </c>
      <c r="R24" s="17">
        <f t="shared" si="11"/>
        <v>0.105</v>
      </c>
    </row>
    <row r="25">
      <c r="A25" s="19" t="s">
        <v>38</v>
      </c>
      <c r="B25" s="41">
        <f>IFERROR(__xludf.DUMMYFUNCTION("VLOOKUP(A25,IMPORTRANGE(""1EmrnCz2gLVTx5Cbj0e5tfuHPhTtmru8KTGuQvh7STl0/edit#gid=2147150001"",""Whole Data Set!$A$2:$NQ$253""),381,FALSE)"),93.75)</f>
        <v>93.75</v>
      </c>
      <c r="C25" s="13">
        <f t="shared" si="1"/>
        <v>0.375</v>
      </c>
      <c r="D25" s="12">
        <f>IFERROR(__xludf.DUMMYFUNCTION("VLOOKUP(A25,IMPORTRANGE(""1aFCnJY1qhIj8-JckJhDJ18aqmVo17tofpQmOjcYa3u8/edit#gid=948248086"",""Whole Data Set!$A$2:$NG$253""),371,FALSE)"),67.75)</f>
        <v>67.75</v>
      </c>
      <c r="E25" s="13">
        <f t="shared" si="2"/>
        <v>0.271</v>
      </c>
      <c r="F25" s="13">
        <f t="shared" si="3"/>
        <v>0.104</v>
      </c>
      <c r="G25" s="12">
        <f>IFERROR(__xludf.DUMMYFUNCTION("VLOOKUP(A25,IMPORTRANGE(""1QZ5UxyNCwadreQAXnQ7oCoH982DjIA-QnZdO7ZoqkC0/edit#gid=0"",""2018-2021!$A$2:$O$250""),2,FALSE)"),98.25)</f>
        <v>98.25</v>
      </c>
      <c r="H25" s="14">
        <f t="shared" si="4"/>
        <v>0.393</v>
      </c>
      <c r="I25" s="15">
        <f t="shared" si="5"/>
        <v>-0.018</v>
      </c>
      <c r="J25" s="16">
        <f>IFERROR(__xludf.DUMMYFUNCTION("VLOOKUP(A25,IMPORTRANGE(""1QZ5UxyNCwadreQAXnQ7oCoH982DjIA-QnZdO7ZoqkC0/edit#gid=0"",""2018-2021!$A$2:$O$250""),4,FALSE)"),97.0)</f>
        <v>97</v>
      </c>
      <c r="K25" s="17">
        <f t="shared" si="6"/>
        <v>0.388</v>
      </c>
      <c r="L25" s="17">
        <f t="shared" si="12"/>
        <v>-0.117</v>
      </c>
      <c r="M25" s="16">
        <f>IFERROR(__xludf.DUMMYFUNCTION("VLOOKUP(A25,IMPORTRANGE(""1QZ5UxyNCwadreQAXnQ7oCoH982DjIA-QnZdO7ZoqkC0/edit#gid=0"",""2018-2021!$A$2:$O$250""),7,FALSE)"),77.0)</f>
        <v>77</v>
      </c>
      <c r="N25" s="17">
        <f t="shared" si="8"/>
        <v>0.308</v>
      </c>
      <c r="O25" s="17">
        <f t="shared" si="9"/>
        <v>0.067</v>
      </c>
      <c r="P25" s="16">
        <f>IFERROR(__xludf.DUMMYFUNCTION("VLOOKUP(A25,IMPORTRANGE(""1QZ5UxyNCwadreQAXnQ7oCoH982DjIA-QnZdO7ZoqkC0/edit#gid=0"",""2018-2021!$A$2:$O$250""),10,FALSE)"),60.0)</f>
        <v>60</v>
      </c>
      <c r="Q25" s="17">
        <f t="shared" si="10"/>
        <v>0.24</v>
      </c>
      <c r="R25" s="17">
        <f t="shared" si="11"/>
        <v>0.135</v>
      </c>
    </row>
    <row r="26">
      <c r="A26" s="19" t="s">
        <v>39</v>
      </c>
      <c r="B26" s="41">
        <f>IFERROR(__xludf.DUMMYFUNCTION("VLOOKUP(A26,IMPORTRANGE(""1EmrnCz2gLVTx5Cbj0e5tfuHPhTtmru8KTGuQvh7STl0/edit#gid=2147150001"",""Whole Data Set!$A$2:$NQ$253""),381,FALSE)"),26.5)</f>
        <v>26.5</v>
      </c>
      <c r="C26" s="13">
        <f t="shared" si="1"/>
        <v>0.106</v>
      </c>
      <c r="D26" s="12">
        <f>IFERROR(__xludf.DUMMYFUNCTION("VLOOKUP(A26,IMPORTRANGE(""1aFCnJY1qhIj8-JckJhDJ18aqmVo17tofpQmOjcYa3u8/edit#gid=948248086"",""Whole Data Set!$A$2:$NG$253""),371,FALSE)"),36.75)</f>
        <v>36.75</v>
      </c>
      <c r="E26" s="13">
        <f t="shared" si="2"/>
        <v>0.147</v>
      </c>
      <c r="F26" s="13">
        <f t="shared" si="3"/>
        <v>-0.041</v>
      </c>
      <c r="G26" s="12">
        <f>IFERROR(__xludf.DUMMYFUNCTION("VLOOKUP(A26,IMPORTRANGE(""1QZ5UxyNCwadreQAXnQ7oCoH982DjIA-QnZdO7ZoqkC0/edit#gid=0"",""2018-2021!$A$2:$O$250""),2,FALSE)"),27.0)</f>
        <v>27</v>
      </c>
      <c r="H26" s="14">
        <f t="shared" si="4"/>
        <v>0.108</v>
      </c>
      <c r="I26" s="15">
        <f t="shared" si="5"/>
        <v>-0.002</v>
      </c>
      <c r="J26" s="16">
        <f>IFERROR(__xludf.DUMMYFUNCTION("VLOOKUP(A26,IMPORTRANGE(""1QZ5UxyNCwadreQAXnQ7oCoH982DjIA-QnZdO7ZoqkC0/edit#gid=0"",""2018-2021!$A$2:$O$250""),4,FALSE)"),26.5)</f>
        <v>26.5</v>
      </c>
      <c r="K26" s="17">
        <f t="shared" si="6"/>
        <v>0.106</v>
      </c>
      <c r="L26" s="17">
        <f t="shared" si="12"/>
        <v>0.041</v>
      </c>
      <c r="M26" s="16">
        <f>IFERROR(__xludf.DUMMYFUNCTION("VLOOKUP(A26,IMPORTRANGE(""1QZ5UxyNCwadreQAXnQ7oCoH982DjIA-QnZdO7ZoqkC0/edit#gid=0"",""2018-2021!$A$2:$O$250""),7,FALSE)"),25.5)</f>
        <v>25.5</v>
      </c>
      <c r="N26" s="17">
        <f t="shared" si="8"/>
        <v>0.102</v>
      </c>
      <c r="O26" s="17">
        <f t="shared" si="9"/>
        <v>0.004</v>
      </c>
      <c r="P26" s="16">
        <f>IFERROR(__xludf.DUMMYFUNCTION("VLOOKUP(A26,IMPORTRANGE(""1QZ5UxyNCwadreQAXnQ7oCoH982DjIA-QnZdO7ZoqkC0/edit#gid=0"",""2018-2021!$A$2:$O$250""),10,FALSE)"),7.5)</f>
        <v>7.5</v>
      </c>
      <c r="Q26" s="17">
        <f t="shared" si="10"/>
        <v>0.03</v>
      </c>
      <c r="R26" s="17">
        <f t="shared" si="11"/>
        <v>0.076</v>
      </c>
    </row>
    <row r="27">
      <c r="A27" s="19" t="s">
        <v>94</v>
      </c>
      <c r="B27" s="41">
        <f>IFERROR(__xludf.DUMMYFUNCTION("VLOOKUP(A27,IMPORTRANGE(""1EmrnCz2gLVTx5Cbj0e5tfuHPhTtmru8KTGuQvh7STl0/edit#gid=2147150001"",""Whole Data Set!$A$2:$NQ$253""),381,FALSE)"),34.25)</f>
        <v>34.25</v>
      </c>
      <c r="C27" s="13">
        <f t="shared" si="1"/>
        <v>0.137</v>
      </c>
      <c r="D27" s="12">
        <f>IFERROR(__xludf.DUMMYFUNCTION("VLOOKUP(A27,IMPORTRANGE(""1aFCnJY1qhIj8-JckJhDJ18aqmVo17tofpQmOjcYa3u8/edit#gid=948248086"",""Whole Data Set!$A$2:$NG$253""),371,FALSE)"),16.5)</f>
        <v>16.5</v>
      </c>
      <c r="E27" s="13">
        <f t="shared" si="2"/>
        <v>0.066</v>
      </c>
      <c r="F27" s="13">
        <f t="shared" si="3"/>
        <v>0.071</v>
      </c>
      <c r="G27" s="12">
        <f>IFERROR(__xludf.DUMMYFUNCTION("VLOOKUP(A27,IMPORTRANGE(""1QZ5UxyNCwadreQAXnQ7oCoH982DjIA-QnZdO7ZoqkC0/edit#gid=0"",""2018-2021!$A$2:$O$250""),2,FALSE)"),21.0)</f>
        <v>21</v>
      </c>
      <c r="H27" s="14">
        <f t="shared" si="4"/>
        <v>0.084</v>
      </c>
      <c r="I27" s="15">
        <f t="shared" si="5"/>
        <v>0.053</v>
      </c>
      <c r="J27" s="16">
        <f>IFERROR(__xludf.DUMMYFUNCTION("VLOOKUP(A27,IMPORTRANGE(""1QZ5UxyNCwadreQAXnQ7oCoH982DjIA-QnZdO7ZoqkC0/edit#gid=0"",""2018-2021!$A$2:$O$250""),4,FALSE)"),29.5)</f>
        <v>29.5</v>
      </c>
      <c r="K27" s="17">
        <f t="shared" si="6"/>
        <v>0.118</v>
      </c>
      <c r="L27" s="17">
        <f t="shared" si="12"/>
        <v>-0.052</v>
      </c>
      <c r="M27" s="16">
        <f>IFERROR(__xludf.DUMMYFUNCTION("VLOOKUP(A27,IMPORTRANGE(""1QZ5UxyNCwadreQAXnQ7oCoH982DjIA-QnZdO7ZoqkC0/edit#gid=0"",""2018-2021!$A$2:$O$250""),7,FALSE)"),23.0)</f>
        <v>23</v>
      </c>
      <c r="N27" s="17">
        <f t="shared" si="8"/>
        <v>0.092</v>
      </c>
      <c r="O27" s="17">
        <f t="shared" si="9"/>
        <v>0.045</v>
      </c>
      <c r="P27" s="16">
        <f>IFERROR(__xludf.DUMMYFUNCTION("VLOOKUP(A27,IMPORTRANGE(""1QZ5UxyNCwadreQAXnQ7oCoH982DjIA-QnZdO7ZoqkC0/edit#gid=0"",""2018-2021!$A$2:$O$250""),10,FALSE)"),28.0)</f>
        <v>28</v>
      </c>
      <c r="Q27" s="17">
        <f t="shared" si="10"/>
        <v>0.112</v>
      </c>
      <c r="R27" s="17">
        <f t="shared" si="11"/>
        <v>0.025</v>
      </c>
    </row>
    <row r="28">
      <c r="A28" s="19" t="s">
        <v>41</v>
      </c>
      <c r="B28" s="41">
        <f>IFERROR(__xludf.DUMMYFUNCTION("VLOOKUP(A28,IMPORTRANGE(""1EmrnCz2gLVTx5Cbj0e5tfuHPhTtmru8KTGuQvh7STl0/edit#gid=2147150001"",""Whole Data Set!$A$2:$NQ$253""),381,FALSE)"),103.75)</f>
        <v>103.75</v>
      </c>
      <c r="C28" s="13">
        <f t="shared" si="1"/>
        <v>0.415</v>
      </c>
      <c r="D28" s="12">
        <f>IFERROR(__xludf.DUMMYFUNCTION("VLOOKUP(A28,IMPORTRANGE(""1aFCnJY1qhIj8-JckJhDJ18aqmVo17tofpQmOjcYa3u8/edit#gid=948248086"",""Whole Data Set!$A$2:$NG$253""),371,FALSE)"),66.25)</f>
        <v>66.25</v>
      </c>
      <c r="E28" s="13">
        <f t="shared" si="2"/>
        <v>0.265</v>
      </c>
      <c r="F28" s="13">
        <f t="shared" si="3"/>
        <v>0.15</v>
      </c>
      <c r="G28" s="12">
        <f>IFERROR(__xludf.DUMMYFUNCTION("VLOOKUP(A28,IMPORTRANGE(""1QZ5UxyNCwadreQAXnQ7oCoH982DjIA-QnZdO7ZoqkC0/edit#gid=0"",""2018-2021!$A$2:$O$250""),2,FALSE)"),54.0)</f>
        <v>54</v>
      </c>
      <c r="H28" s="14">
        <f t="shared" si="4"/>
        <v>0.216</v>
      </c>
      <c r="I28" s="15">
        <f t="shared" si="5"/>
        <v>0.199</v>
      </c>
      <c r="J28" s="16">
        <f>IFERROR(__xludf.DUMMYFUNCTION("VLOOKUP(A28,IMPORTRANGE(""1QZ5UxyNCwadreQAXnQ7oCoH982DjIA-QnZdO7ZoqkC0/edit#gid=0"",""2018-2021!$A$2:$O$250""),4,FALSE)"),47.0)</f>
        <v>47</v>
      </c>
      <c r="K28" s="17">
        <f t="shared" si="6"/>
        <v>0.188</v>
      </c>
      <c r="L28" s="17">
        <f t="shared" si="12"/>
        <v>0.077</v>
      </c>
      <c r="M28" s="16">
        <f>IFERROR(__xludf.DUMMYFUNCTION("VLOOKUP(A28,IMPORTRANGE(""1QZ5UxyNCwadreQAXnQ7oCoH982DjIA-QnZdO7ZoqkC0/edit#gid=0"",""2018-2021!$A$2:$O$250""),7,FALSE)"),55.0)</f>
        <v>55</v>
      </c>
      <c r="N28" s="17">
        <f t="shared" si="8"/>
        <v>0.22</v>
      </c>
      <c r="O28" s="17">
        <f t="shared" si="9"/>
        <v>0.195</v>
      </c>
      <c r="P28" s="16">
        <f>IFERROR(__xludf.DUMMYFUNCTION("VLOOKUP(A28,IMPORTRANGE(""1QZ5UxyNCwadreQAXnQ7oCoH982DjIA-QnZdO7ZoqkC0/edit#gid=0"",""2018-2021!$A$2:$O$250""),10,FALSE)"),53.0)</f>
        <v>53</v>
      </c>
      <c r="Q28" s="17">
        <f t="shared" si="10"/>
        <v>0.212</v>
      </c>
      <c r="R28" s="17">
        <f t="shared" si="11"/>
        <v>0.203</v>
      </c>
    </row>
    <row r="29">
      <c r="A29" s="42" t="s">
        <v>42</v>
      </c>
      <c r="B29" s="41">
        <f>IFERROR(__xludf.DUMMYFUNCTION("VLOOKUP(A29,IMPORTRANGE(""1EmrnCz2gLVTx5Cbj0e5tfuHPhTtmru8KTGuQvh7STl0/edit#gid=2147150001"",""Whole Data Set!$A$2:$NQ$253""),381,FALSE)"),91.75)</f>
        <v>91.75</v>
      </c>
      <c r="C29" s="13">
        <f t="shared" si="1"/>
        <v>0.367</v>
      </c>
      <c r="D29" s="12">
        <f>IFERROR(__xludf.DUMMYFUNCTION("VLOOKUP(A29,IMPORTRANGE(""1aFCnJY1qhIj8-JckJhDJ18aqmVo17tofpQmOjcYa3u8/edit#gid=948248086"",""Whole Data Set!$A$2:$NG$253""),371,FALSE)"),92.25)</f>
        <v>92.25</v>
      </c>
      <c r="E29" s="13">
        <f t="shared" si="2"/>
        <v>0.369</v>
      </c>
      <c r="F29" s="13">
        <f t="shared" si="3"/>
        <v>-0.002</v>
      </c>
      <c r="G29" s="12">
        <f>IFERROR(__xludf.DUMMYFUNCTION("VLOOKUP(A29,IMPORTRANGE(""1QZ5UxyNCwadreQAXnQ7oCoH982DjIA-QnZdO7ZoqkC0/edit#gid=0"",""2018-2021!$A$2:$O$250""),2,FALSE)"),62.25)</f>
        <v>62.25</v>
      </c>
      <c r="H29" s="14">
        <f t="shared" si="4"/>
        <v>0.249</v>
      </c>
      <c r="I29" s="15">
        <f t="shared" si="5"/>
        <v>0.118</v>
      </c>
      <c r="J29" s="16">
        <f>IFERROR(__xludf.DUMMYFUNCTION("VLOOKUP(A29,IMPORTRANGE(""1QZ5UxyNCwadreQAXnQ7oCoH982DjIA-QnZdO7ZoqkC0/edit#gid=0"",""2018-2021!$A$2:$O$250""),4,FALSE)"),70.5)</f>
        <v>70.5</v>
      </c>
      <c r="K29" s="17">
        <f t="shared" si="6"/>
        <v>0.282</v>
      </c>
      <c r="L29" s="17">
        <f t="shared" si="12"/>
        <v>0.087</v>
      </c>
      <c r="M29" s="16">
        <f>IFERROR(__xludf.DUMMYFUNCTION("VLOOKUP(A29,IMPORTRANGE(""1QZ5UxyNCwadreQAXnQ7oCoH982DjIA-QnZdO7ZoqkC0/edit#gid=0"",""2018-2021!$A$2:$O$250""),7,FALSE)"),53.0)</f>
        <v>53</v>
      </c>
      <c r="N29" s="17">
        <f t="shared" si="8"/>
        <v>0.212</v>
      </c>
      <c r="O29" s="17">
        <f t="shared" si="9"/>
        <v>0.155</v>
      </c>
      <c r="P29" s="16">
        <f>IFERROR(__xludf.DUMMYFUNCTION("VLOOKUP(A29,IMPORTRANGE(""1QZ5UxyNCwadreQAXnQ7oCoH982DjIA-QnZdO7ZoqkC0/edit#gid=0"",""2018-2021!$A$2:$O$250""),10,FALSE)"),56.0)</f>
        <v>56</v>
      </c>
      <c r="Q29" s="17">
        <f t="shared" si="10"/>
        <v>0.224</v>
      </c>
      <c r="R29" s="17">
        <f t="shared" si="11"/>
        <v>0.143</v>
      </c>
    </row>
    <row r="30">
      <c r="A30" s="19" t="s">
        <v>43</v>
      </c>
      <c r="B30" s="41">
        <f>IFERROR(__xludf.DUMMYFUNCTION("VLOOKUP(A30,IMPORTRANGE(""1EmrnCz2gLVTx5Cbj0e5tfuHPhTtmru8KTGuQvh7STl0/edit#gid=2147150001"",""Whole Data Set!$A$2:$NQ$253""),381,FALSE)"),124.75)</f>
        <v>124.75</v>
      </c>
      <c r="C30" s="13">
        <f t="shared" si="1"/>
        <v>0.499</v>
      </c>
      <c r="D30" s="12">
        <f>IFERROR(__xludf.DUMMYFUNCTION("VLOOKUP(A30,IMPORTRANGE(""1aFCnJY1qhIj8-JckJhDJ18aqmVo17tofpQmOjcYa3u8/edit#gid=948248086"",""Whole Data Set!$A$2:$NG$253""),371,FALSE)"),133.5)</f>
        <v>133.5</v>
      </c>
      <c r="E30" s="13">
        <f t="shared" si="2"/>
        <v>0.534</v>
      </c>
      <c r="F30" s="13">
        <f t="shared" si="3"/>
        <v>-0.035</v>
      </c>
      <c r="G30" s="12">
        <f>IFERROR(__xludf.DUMMYFUNCTION("VLOOKUP(A30,IMPORTRANGE(""1QZ5UxyNCwadreQAXnQ7oCoH982DjIA-QnZdO7ZoqkC0/edit#gid=0"",""2018-2021!$A$2:$O$250""),2,FALSE)"),138.5)</f>
        <v>138.5</v>
      </c>
      <c r="H30" s="14">
        <f t="shared" si="4"/>
        <v>0.554</v>
      </c>
      <c r="I30" s="15">
        <f t="shared" si="5"/>
        <v>-0.055</v>
      </c>
      <c r="J30" s="16">
        <f>IFERROR(__xludf.DUMMYFUNCTION("VLOOKUP(A30,IMPORTRANGE(""1QZ5UxyNCwadreQAXnQ7oCoH982DjIA-QnZdO7ZoqkC0/edit#gid=0"",""2018-2021!$A$2:$O$250""),4,FALSE)"),138.0)</f>
        <v>138</v>
      </c>
      <c r="K30" s="17">
        <f t="shared" si="6"/>
        <v>0.552</v>
      </c>
      <c r="L30" s="17">
        <f t="shared" si="12"/>
        <v>-0.018</v>
      </c>
      <c r="M30" s="16">
        <f>IFERROR(__xludf.DUMMYFUNCTION("VLOOKUP(A30,IMPORTRANGE(""1QZ5UxyNCwadreQAXnQ7oCoH982DjIA-QnZdO7ZoqkC0/edit#gid=0"",""2018-2021!$A$2:$O$250""),7,FALSE)"),143.0)</f>
        <v>143</v>
      </c>
      <c r="N30" s="17">
        <f t="shared" si="8"/>
        <v>0.572</v>
      </c>
      <c r="O30" s="17">
        <f t="shared" si="9"/>
        <v>-0.073</v>
      </c>
      <c r="P30" s="16">
        <f>IFERROR(__xludf.DUMMYFUNCTION("VLOOKUP(A30,IMPORTRANGE(""1QZ5UxyNCwadreQAXnQ7oCoH982DjIA-QnZdO7ZoqkC0/edit#gid=0"",""2018-2021!$A$2:$O$250""),10,FALSE)"),91.0)</f>
        <v>91</v>
      </c>
      <c r="Q30" s="17">
        <f t="shared" si="10"/>
        <v>0.364</v>
      </c>
      <c r="R30" s="17">
        <f t="shared" si="11"/>
        <v>0.135</v>
      </c>
    </row>
    <row r="31">
      <c r="A31" s="19" t="s">
        <v>118</v>
      </c>
      <c r="B31" s="41">
        <f>IFERROR(__xludf.DUMMYFUNCTION("VLOOKUP(A31,IMPORTRANGE(""1EmrnCz2gLVTx5Cbj0e5tfuHPhTtmru8KTGuQvh7STl0/edit#gid=2147150001"",""Whole Data Set!$A$2:$NQ$253""),381,FALSE)"),51.25)</f>
        <v>51.25</v>
      </c>
      <c r="C31" s="13">
        <f t="shared" si="1"/>
        <v>0.205</v>
      </c>
      <c r="D31" s="12">
        <f>IFERROR(__xludf.DUMMYFUNCTION("VLOOKUP(A31,IMPORTRANGE(""1aFCnJY1qhIj8-JckJhDJ18aqmVo17tofpQmOjcYa3u8/edit#gid=948248086"",""Whole Data Set!$A$2:$NG$253""),371,FALSE)"),41.75)</f>
        <v>41.75</v>
      </c>
      <c r="E31" s="13">
        <f t="shared" si="2"/>
        <v>0.167</v>
      </c>
      <c r="F31" s="13">
        <f t="shared" si="3"/>
        <v>0.038</v>
      </c>
      <c r="G31" s="12">
        <f>IFERROR(__xludf.DUMMYFUNCTION("VLOOKUP(A31,IMPORTRANGE(""1QZ5UxyNCwadreQAXnQ7oCoH982DjIA-QnZdO7ZoqkC0/edit#gid=0"",""2018-2021!$A$2:$O$250""),2,FALSE)"),37.0)</f>
        <v>37</v>
      </c>
      <c r="H31" s="14">
        <f t="shared" si="4"/>
        <v>0.148</v>
      </c>
      <c r="I31" s="15">
        <f t="shared" si="5"/>
        <v>0.057</v>
      </c>
      <c r="J31" s="16">
        <f>IFERROR(__xludf.DUMMYFUNCTION("VLOOKUP(A31,IMPORTRANGE(""1QZ5UxyNCwadreQAXnQ7oCoH982DjIA-QnZdO7ZoqkC0/edit#gid=0"",""2018-2021!$A$2:$O$250""),4,FALSE)"),40.5)</f>
        <v>40.5</v>
      </c>
      <c r="K31" s="17">
        <f t="shared" si="6"/>
        <v>0.162</v>
      </c>
      <c r="L31" s="17">
        <f t="shared" si="12"/>
        <v>0.005</v>
      </c>
      <c r="M31" s="16">
        <f>IFERROR(__xludf.DUMMYFUNCTION("VLOOKUP(A31,IMPORTRANGE(""1QZ5UxyNCwadreQAXnQ7oCoH982DjIA-QnZdO7ZoqkC0/edit#gid=0"",""2018-2021!$A$2:$O$250""),7,FALSE)"),38.5)</f>
        <v>38.5</v>
      </c>
      <c r="N31" s="17">
        <f t="shared" si="8"/>
        <v>0.154</v>
      </c>
      <c r="O31" s="17">
        <f t="shared" si="9"/>
        <v>0.051</v>
      </c>
      <c r="P31" s="16">
        <f>IFERROR(__xludf.DUMMYFUNCTION("VLOOKUP(A31,IMPORTRANGE(""1QZ5UxyNCwadreQAXnQ7oCoH982DjIA-QnZdO7ZoqkC0/edit#gid=0"",""2018-2021!$A$2:$O$250""),10,FALSE)"),37.5)</f>
        <v>37.5</v>
      </c>
      <c r="Q31" s="17">
        <f t="shared" si="10"/>
        <v>0.15</v>
      </c>
      <c r="R31" s="17">
        <f t="shared" si="11"/>
        <v>0.055</v>
      </c>
    </row>
    <row r="32">
      <c r="A32" s="19" t="s">
        <v>40</v>
      </c>
      <c r="B32" s="41">
        <f>IFERROR(__xludf.DUMMYFUNCTION("VLOOKUP(A32,IMPORTRANGE(""1EmrnCz2gLVTx5Cbj0e5tfuHPhTtmru8KTGuQvh7STl0/edit#gid=2147150001"",""Whole Data Set!$A$2:$NQ$253""),381,FALSE)"),24.25)</f>
        <v>24.25</v>
      </c>
      <c r="C32" s="13">
        <f t="shared" si="1"/>
        <v>0.097</v>
      </c>
      <c r="D32" s="12">
        <f>IFERROR(__xludf.DUMMYFUNCTION("VLOOKUP(A32,IMPORTRANGE(""1aFCnJY1qhIj8-JckJhDJ18aqmVo17tofpQmOjcYa3u8/edit#gid=948248086"",""Whole Data Set!$A$2:$NG$253""),371,FALSE)"),25.25)</f>
        <v>25.25</v>
      </c>
      <c r="E32" s="13">
        <f t="shared" si="2"/>
        <v>0.101</v>
      </c>
      <c r="F32" s="13">
        <f t="shared" si="3"/>
        <v>-0.004</v>
      </c>
      <c r="G32" s="12">
        <f>IFERROR(__xludf.DUMMYFUNCTION("VLOOKUP(A32,IMPORTRANGE(""1QZ5UxyNCwadreQAXnQ7oCoH982DjIA-QnZdO7ZoqkC0/edit#gid=0"",""2018-2021!$A$2:$O$250""),2,FALSE)"),29.25)</f>
        <v>29.25</v>
      </c>
      <c r="H32" s="14">
        <f t="shared" si="4"/>
        <v>0.117</v>
      </c>
      <c r="I32" s="15">
        <f t="shared" si="5"/>
        <v>-0.02</v>
      </c>
      <c r="J32" s="16">
        <f>IFERROR(__xludf.DUMMYFUNCTION("VLOOKUP(A32,IMPORTRANGE(""1QZ5UxyNCwadreQAXnQ7oCoH982DjIA-QnZdO7ZoqkC0/edit#gid=0"",""2018-2021!$A$2:$O$250""),4,FALSE)"),38.0)</f>
        <v>38</v>
      </c>
      <c r="K32" s="17">
        <f t="shared" si="6"/>
        <v>0.152</v>
      </c>
      <c r="L32" s="17">
        <f t="shared" si="12"/>
        <v>-0.051</v>
      </c>
      <c r="M32" s="16">
        <f>IFERROR(__xludf.DUMMYFUNCTION("VLOOKUP(A32,IMPORTRANGE(""1QZ5UxyNCwadreQAXnQ7oCoH982DjIA-QnZdO7ZoqkC0/edit#gid=0"",""2018-2021!$A$2:$O$250""),7,FALSE)"),36.5)</f>
        <v>36.5</v>
      </c>
      <c r="N32" s="17">
        <f t="shared" si="8"/>
        <v>0.146</v>
      </c>
      <c r="O32" s="17">
        <f t="shared" si="9"/>
        <v>-0.049</v>
      </c>
      <c r="P32" s="16">
        <f>IFERROR(__xludf.DUMMYFUNCTION("VLOOKUP(A32,IMPORTRANGE(""1QZ5UxyNCwadreQAXnQ7oCoH982DjIA-QnZdO7ZoqkC0/edit#gid=0"",""2018-2021!$A$2:$O$250""),10,FALSE)"),37.5)</f>
        <v>37.5</v>
      </c>
      <c r="Q32" s="17">
        <f t="shared" si="10"/>
        <v>0.15</v>
      </c>
      <c r="R32" s="17">
        <f t="shared" si="11"/>
        <v>-0.053</v>
      </c>
    </row>
    <row r="33">
      <c r="A33" s="19" t="s">
        <v>119</v>
      </c>
      <c r="B33" s="41">
        <f>IFERROR(__xludf.DUMMYFUNCTION("VLOOKUP(A33,IMPORTRANGE(""1EmrnCz2gLVTx5Cbj0e5tfuHPhTtmru8KTGuQvh7STl0/edit#gid=2147150001"",""Whole Data Set!$A$2:$NQ$253""),381,FALSE)"),64.5)</f>
        <v>64.5</v>
      </c>
      <c r="C33" s="13">
        <f t="shared" si="1"/>
        <v>0.258</v>
      </c>
      <c r="D33" s="12">
        <f>IFERROR(__xludf.DUMMYFUNCTION("VLOOKUP(A33,IMPORTRANGE(""1aFCnJY1qhIj8-JckJhDJ18aqmVo17tofpQmOjcYa3u8/edit#gid=948248086"",""Whole Data Set!$A$2:$NG$253""),371,FALSE)"),52.75)</f>
        <v>52.75</v>
      </c>
      <c r="E33" s="13">
        <f t="shared" si="2"/>
        <v>0.211</v>
      </c>
      <c r="F33" s="13">
        <f t="shared" si="3"/>
        <v>0.047</v>
      </c>
      <c r="G33" s="12">
        <f>IFERROR(__xludf.DUMMYFUNCTION("VLOOKUP(A33,IMPORTRANGE(""1QZ5UxyNCwadreQAXnQ7oCoH982DjIA-QnZdO7ZoqkC0/edit#gid=0"",""2018-2021!$A$2:$O$250""),2,FALSE)"),59.0)</f>
        <v>59</v>
      </c>
      <c r="H33" s="14">
        <f t="shared" si="4"/>
        <v>0.236</v>
      </c>
      <c r="I33" s="15">
        <f t="shared" si="5"/>
        <v>0.022</v>
      </c>
      <c r="J33" s="16">
        <f>IFERROR(__xludf.DUMMYFUNCTION("VLOOKUP(A33,IMPORTRANGE(""1QZ5UxyNCwadreQAXnQ7oCoH982DjIA-QnZdO7ZoqkC0/edit#gid=0"",""2018-2021!$A$2:$O$250""),4,FALSE)"),58.5)</f>
        <v>58.5</v>
      </c>
      <c r="K33" s="17">
        <f t="shared" si="6"/>
        <v>0.234</v>
      </c>
      <c r="L33" s="17">
        <f t="shared" si="12"/>
        <v>-0.023</v>
      </c>
      <c r="M33" s="16">
        <f>IFERROR(__xludf.DUMMYFUNCTION("VLOOKUP(A33,IMPORTRANGE(""1QZ5UxyNCwadreQAXnQ7oCoH982DjIA-QnZdO7ZoqkC0/edit#gid=0"",""2018-2021!$A$2:$O$250""),7,FALSE)"),46.5)</f>
        <v>46.5</v>
      </c>
      <c r="N33" s="17">
        <f t="shared" si="8"/>
        <v>0.186</v>
      </c>
      <c r="O33" s="17">
        <f t="shared" si="9"/>
        <v>0.072</v>
      </c>
      <c r="P33" s="16">
        <f>IFERROR(__xludf.DUMMYFUNCTION("VLOOKUP(A33,IMPORTRANGE(""1QZ5UxyNCwadreQAXnQ7oCoH982DjIA-QnZdO7ZoqkC0/edit#gid=0"",""2018-2021!$A$2:$O$250""),10,FALSE)"),43.0)</f>
        <v>43</v>
      </c>
      <c r="Q33" s="17">
        <f t="shared" si="10"/>
        <v>0.172</v>
      </c>
      <c r="R33" s="17">
        <f t="shared" si="11"/>
        <v>0.086</v>
      </c>
    </row>
    <row r="34">
      <c r="A34" s="19" t="s">
        <v>120</v>
      </c>
      <c r="B34" s="41">
        <f>IFERROR(__xludf.DUMMYFUNCTION("VLOOKUP(A34,IMPORTRANGE(""1EmrnCz2gLVTx5Cbj0e5tfuHPhTtmru8KTGuQvh7STl0/edit#gid=2147150001"",""Whole Data Set!$A$2:$NQ$253""),381,FALSE)"),61.5)</f>
        <v>61.5</v>
      </c>
      <c r="C34" s="13">
        <f t="shared" si="1"/>
        <v>0.246</v>
      </c>
      <c r="D34" s="12">
        <f>IFERROR(__xludf.DUMMYFUNCTION("VLOOKUP(A34,IMPORTRANGE(""1aFCnJY1qhIj8-JckJhDJ18aqmVo17tofpQmOjcYa3u8/edit#gid=948248086"",""Whole Data Set!$A$2:$NG$253""),371,FALSE)"),42.25)</f>
        <v>42.25</v>
      </c>
      <c r="E34" s="13">
        <f t="shared" si="2"/>
        <v>0.169</v>
      </c>
      <c r="F34" s="13">
        <f t="shared" si="3"/>
        <v>0.077</v>
      </c>
      <c r="G34" s="12">
        <f>IFERROR(__xludf.DUMMYFUNCTION("VLOOKUP(A34,IMPORTRANGE(""1QZ5UxyNCwadreQAXnQ7oCoH982DjIA-QnZdO7ZoqkC0/edit#gid=0"",""2018-2021!$A$2:$O$250""),2,FALSE)"),52.5)</f>
        <v>52.5</v>
      </c>
      <c r="H34" s="14">
        <f t="shared" si="4"/>
        <v>0.21</v>
      </c>
      <c r="I34" s="15">
        <f t="shared" si="5"/>
        <v>0.036</v>
      </c>
      <c r="J34" s="16">
        <f>IFERROR(__xludf.DUMMYFUNCTION("VLOOKUP(A34,IMPORTRANGE(""1QZ5UxyNCwadreQAXnQ7oCoH982DjIA-QnZdO7ZoqkC0/edit#gid=0"",""2018-2021!$A$2:$O$250""),4,FALSE)"),42.0)</f>
        <v>42</v>
      </c>
      <c r="K34" s="17">
        <f t="shared" si="6"/>
        <v>0.168</v>
      </c>
      <c r="L34" s="17">
        <f t="shared" si="12"/>
        <v>0.001</v>
      </c>
      <c r="M34" s="16">
        <f>IFERROR(__xludf.DUMMYFUNCTION("VLOOKUP(A34,IMPORTRANGE(""1QZ5UxyNCwadreQAXnQ7oCoH982DjIA-QnZdO7ZoqkC0/edit#gid=0"",""2018-2021!$A$2:$O$250""),7,FALSE)"),18.5)</f>
        <v>18.5</v>
      </c>
      <c r="N34" s="17">
        <f t="shared" si="8"/>
        <v>0.074</v>
      </c>
      <c r="O34" s="17">
        <f t="shared" si="9"/>
        <v>0.172</v>
      </c>
      <c r="P34" s="16">
        <f>IFERROR(__xludf.DUMMYFUNCTION("VLOOKUP(A34,IMPORTRANGE(""1QZ5UxyNCwadreQAXnQ7oCoH982DjIA-QnZdO7ZoqkC0/edit#gid=0"",""2018-2021!$A$2:$O$250""),10,FALSE)"),0.0)</f>
        <v>0</v>
      </c>
      <c r="Q34" s="17">
        <f t="shared" si="10"/>
        <v>0</v>
      </c>
      <c r="R34" s="17">
        <f t="shared" si="11"/>
        <v>0.246</v>
      </c>
    </row>
    <row r="35">
      <c r="A35" s="42" t="s">
        <v>121</v>
      </c>
      <c r="B35" s="41">
        <f>IFERROR(__xludf.DUMMYFUNCTION("VLOOKUP(A35,IMPORTRANGE(""1EmrnCz2gLVTx5Cbj0e5tfuHPhTtmru8KTGuQvh7STl0/edit#gid=2147150001"",""Whole Data Set!$A$2:$NQ$253""),381,FALSE)"),68.5)</f>
        <v>68.5</v>
      </c>
      <c r="C35" s="13">
        <f t="shared" si="1"/>
        <v>0.274</v>
      </c>
      <c r="D35" s="12">
        <f>IFERROR(__xludf.DUMMYFUNCTION("VLOOKUP(A35,IMPORTRANGE(""1aFCnJY1qhIj8-JckJhDJ18aqmVo17tofpQmOjcYa3u8/edit#gid=948248086"",""Whole Data Set!$A$2:$NG$253""),371,FALSE)"),60.5)</f>
        <v>60.5</v>
      </c>
      <c r="E35" s="13">
        <f t="shared" si="2"/>
        <v>0.242</v>
      </c>
      <c r="F35" s="13">
        <f t="shared" si="3"/>
        <v>0.032</v>
      </c>
      <c r="G35" s="12">
        <f>IFERROR(__xludf.DUMMYFUNCTION("VLOOKUP(A35,IMPORTRANGE(""1QZ5UxyNCwadreQAXnQ7oCoH982DjIA-QnZdO7ZoqkC0/edit#gid=0"",""2018-2021!$A$2:$O$250""),2,FALSE)"),77.75)</f>
        <v>77.75</v>
      </c>
      <c r="H35" s="14">
        <f t="shared" si="4"/>
        <v>0.311</v>
      </c>
      <c r="I35" s="15">
        <f t="shared" si="5"/>
        <v>-0.037</v>
      </c>
      <c r="J35" s="16">
        <f>IFERROR(__xludf.DUMMYFUNCTION("VLOOKUP(A35,IMPORTRANGE(""1QZ5UxyNCwadreQAXnQ7oCoH982DjIA-QnZdO7ZoqkC0/edit#gid=0"",""2018-2021!$A$2:$O$250""),4,FALSE)"),41.0)</f>
        <v>41</v>
      </c>
      <c r="K35" s="17">
        <f t="shared" si="6"/>
        <v>0.164</v>
      </c>
      <c r="L35" s="17">
        <f t="shared" si="12"/>
        <v>0.078</v>
      </c>
      <c r="M35" s="16">
        <f>IFERROR(__xludf.DUMMYFUNCTION("VLOOKUP(A35,IMPORTRANGE(""1QZ5UxyNCwadreQAXnQ7oCoH982DjIA-QnZdO7ZoqkC0/edit#gid=0"",""2018-2021!$A$2:$O$250""),7,FALSE)"),22.0)</f>
        <v>22</v>
      </c>
      <c r="N35" s="17">
        <f t="shared" si="8"/>
        <v>0.088</v>
      </c>
      <c r="O35" s="17">
        <f t="shared" si="9"/>
        <v>0.186</v>
      </c>
      <c r="P35" s="16">
        <f>IFERROR(__xludf.DUMMYFUNCTION("VLOOKUP(A35,IMPORTRANGE(""1QZ5UxyNCwadreQAXnQ7oCoH982DjIA-QnZdO7ZoqkC0/edit#gid=0"",""2018-2021!$A$2:$O$250""),10,FALSE)"),29.0)</f>
        <v>29</v>
      </c>
      <c r="Q35" s="17">
        <f t="shared" si="10"/>
        <v>0.116</v>
      </c>
      <c r="R35" s="17">
        <f t="shared" si="11"/>
        <v>0.158</v>
      </c>
    </row>
    <row r="36">
      <c r="A36" s="19" t="s">
        <v>122</v>
      </c>
      <c r="B36" s="41">
        <f>IFERROR(__xludf.DUMMYFUNCTION("VLOOKUP(A36,IMPORTRANGE(""1EmrnCz2gLVTx5Cbj0e5tfuHPhTtmru8KTGuQvh7STl0/edit#gid=2147150001"",""Whole Data Set!$A$2:$NQ$253""),381,FALSE)"),47.25)</f>
        <v>47.25</v>
      </c>
      <c r="C36" s="13">
        <f t="shared" si="1"/>
        <v>0.189</v>
      </c>
      <c r="D36" s="12">
        <f>IFERROR(__xludf.DUMMYFUNCTION("VLOOKUP(A36,IMPORTRANGE(""1aFCnJY1qhIj8-JckJhDJ18aqmVo17tofpQmOjcYa3u8/edit#gid=948248086"",""Whole Data Set!$A$2:$NG$253""),371,FALSE)"),16.5)</f>
        <v>16.5</v>
      </c>
      <c r="E36" s="13">
        <f t="shared" si="2"/>
        <v>0.066</v>
      </c>
      <c r="F36" s="13">
        <f t="shared" si="3"/>
        <v>0.123</v>
      </c>
      <c r="G36" s="12">
        <f>IFERROR(__xludf.DUMMYFUNCTION("VLOOKUP(A36,IMPORTRANGE(""1QZ5UxyNCwadreQAXnQ7oCoH982DjIA-QnZdO7ZoqkC0/edit#gid=0"",""2018-2021!$A$2:$O$250""),2,FALSE)"),18.0)</f>
        <v>18</v>
      </c>
      <c r="H36" s="14">
        <f t="shared" si="4"/>
        <v>0.072</v>
      </c>
      <c r="I36" s="15">
        <f t="shared" si="5"/>
        <v>0.117</v>
      </c>
      <c r="J36" s="16">
        <f>IFERROR(__xludf.DUMMYFUNCTION("VLOOKUP(A36,IMPORTRANGE(""1QZ5UxyNCwadreQAXnQ7oCoH982DjIA-QnZdO7ZoqkC0/edit#gid=0"",""2018-2021!$A$2:$O$250""),4,FALSE)"),26.5)</f>
        <v>26.5</v>
      </c>
      <c r="K36" s="17">
        <f t="shared" si="6"/>
        <v>0.106</v>
      </c>
      <c r="L36" s="17">
        <f t="shared" si="12"/>
        <v>-0.04</v>
      </c>
      <c r="M36" s="16">
        <f>IFERROR(__xludf.DUMMYFUNCTION("VLOOKUP(A36,IMPORTRANGE(""1QZ5UxyNCwadreQAXnQ7oCoH982DjIA-QnZdO7ZoqkC0/edit#gid=0"",""2018-2021!$A$2:$O$250""),7,FALSE)"),26.5)</f>
        <v>26.5</v>
      </c>
      <c r="N36" s="17">
        <f t="shared" si="8"/>
        <v>0.106</v>
      </c>
      <c r="O36" s="17">
        <f t="shared" si="9"/>
        <v>0.083</v>
      </c>
      <c r="P36" s="16">
        <f>IFERROR(__xludf.DUMMYFUNCTION("VLOOKUP(A36,IMPORTRANGE(""1QZ5UxyNCwadreQAXnQ7oCoH982DjIA-QnZdO7ZoqkC0/edit#gid=0"",""2018-2021!$A$2:$O$250""),10,FALSE)"),9.0)</f>
        <v>9</v>
      </c>
      <c r="Q36" s="17">
        <f t="shared" si="10"/>
        <v>0.036</v>
      </c>
      <c r="R36" s="17">
        <f t="shared" si="11"/>
        <v>0.153</v>
      </c>
    </row>
    <row r="37">
      <c r="A37" s="22" t="s">
        <v>45</v>
      </c>
      <c r="B37" s="41">
        <f>IFERROR(__xludf.DUMMYFUNCTION("VLOOKUP(A37,IMPORTRANGE(""1EmrnCz2gLVTx5Cbj0e5tfuHPhTtmru8KTGuQvh7STl0/edit#gid=2147150001"",""Whole Data Set!$A$2:$NQ$253""),381,FALSE)"),8.25)</f>
        <v>8.25</v>
      </c>
      <c r="C37" s="13">
        <f t="shared" si="1"/>
        <v>0.033</v>
      </c>
      <c r="D37" s="12">
        <f>IFERROR(__xludf.DUMMYFUNCTION("VLOOKUP(A37,IMPORTRANGE(""1aFCnJY1qhIj8-JckJhDJ18aqmVo17tofpQmOjcYa3u8/edit#gid=948248086"",""Whole Data Set!$A$2:$NG$253""),371,FALSE)"),11.0)</f>
        <v>11</v>
      </c>
      <c r="E37" s="13">
        <f t="shared" si="2"/>
        <v>0.044</v>
      </c>
      <c r="F37" s="13">
        <f t="shared" si="3"/>
        <v>-0.011</v>
      </c>
      <c r="G37" s="12">
        <f>IFERROR(__xludf.DUMMYFUNCTION("VLOOKUP(A37,IMPORTRANGE(""1QZ5UxyNCwadreQAXnQ7oCoH982DjIA-QnZdO7ZoqkC0/edit#gid=0"",""2018-2021!$A$2:$O$250""),2,FALSE)"),15.25)</f>
        <v>15.25</v>
      </c>
      <c r="H37" s="14">
        <f t="shared" si="4"/>
        <v>0.061</v>
      </c>
      <c r="I37" s="15">
        <f t="shared" si="5"/>
        <v>-0.028</v>
      </c>
      <c r="J37" s="16">
        <f>IFERROR(__xludf.DUMMYFUNCTION("VLOOKUP(A37,IMPORTRANGE(""1QZ5UxyNCwadreQAXnQ7oCoH982DjIA-QnZdO7ZoqkC0/edit#gid=0"",""2018-2021!$A$2:$O$250""),4,FALSE)"),24.0)</f>
        <v>24</v>
      </c>
      <c r="K37" s="17">
        <f t="shared" si="6"/>
        <v>0.096</v>
      </c>
      <c r="L37" s="17">
        <f t="shared" si="12"/>
        <v>-0.052</v>
      </c>
      <c r="M37" s="16">
        <f>IFERROR(__xludf.DUMMYFUNCTION("VLOOKUP(A37,IMPORTRANGE(""1QZ5UxyNCwadreQAXnQ7oCoH982DjIA-QnZdO7ZoqkC0/edit#gid=0"",""2018-2021!$A$2:$O$250""),7,FALSE)"),16.5)</f>
        <v>16.5</v>
      </c>
      <c r="N37" s="17">
        <f t="shared" si="8"/>
        <v>0.066</v>
      </c>
      <c r="O37" s="17">
        <f t="shared" si="9"/>
        <v>-0.033</v>
      </c>
      <c r="P37" s="16">
        <f>IFERROR(__xludf.DUMMYFUNCTION("VLOOKUP(A37,IMPORTRANGE(""1QZ5UxyNCwadreQAXnQ7oCoH982DjIA-QnZdO7ZoqkC0/edit#gid=0"",""2018-2021!$A$2:$O$250""),10,FALSE)"),27.5)</f>
        <v>27.5</v>
      </c>
      <c r="Q37" s="17">
        <f t="shared" si="10"/>
        <v>0.11</v>
      </c>
      <c r="R37" s="17">
        <f t="shared" si="11"/>
        <v>-0.077</v>
      </c>
    </row>
    <row r="38">
      <c r="A38" s="23" t="s">
        <v>46</v>
      </c>
      <c r="B38" s="41">
        <f>IFERROR(__xludf.DUMMYFUNCTION("VLOOKUP(A38,IMPORTRANGE(""1EmrnCz2gLVTx5Cbj0e5tfuHPhTtmru8KTGuQvh7STl0/edit#gid=2147150001"",""Whole Data Set!$A$2:$NQ$253""),381,FALSE)"),73.0)</f>
        <v>73</v>
      </c>
      <c r="C38" s="13">
        <f t="shared" si="1"/>
        <v>0.292</v>
      </c>
      <c r="D38" s="12">
        <f>IFERROR(__xludf.DUMMYFUNCTION("VLOOKUP(A38,IMPORTRANGE(""1aFCnJY1qhIj8-JckJhDJ18aqmVo17tofpQmOjcYa3u8/edit#gid=948248086"",""Whole Data Set!$A$2:$NG$253""),371,FALSE)"),71.25)</f>
        <v>71.25</v>
      </c>
      <c r="E38" s="13">
        <f t="shared" si="2"/>
        <v>0.285</v>
      </c>
      <c r="F38" s="13">
        <f t="shared" si="3"/>
        <v>0.007</v>
      </c>
      <c r="G38" s="12">
        <f>IFERROR(__xludf.DUMMYFUNCTION("VLOOKUP(A38,IMPORTRANGE(""1QZ5UxyNCwadreQAXnQ7oCoH982DjIA-QnZdO7ZoqkC0/edit#gid=0"",""2018-2021!$A$2:$O$250""),2,FALSE)"),55.5)</f>
        <v>55.5</v>
      </c>
      <c r="H38" s="14">
        <f t="shared" si="4"/>
        <v>0.222</v>
      </c>
      <c r="I38" s="15">
        <f t="shared" si="5"/>
        <v>0.07</v>
      </c>
      <c r="J38" s="16">
        <f>IFERROR(__xludf.DUMMYFUNCTION("VLOOKUP(A38,IMPORTRANGE(""1QZ5UxyNCwadreQAXnQ7oCoH982DjIA-QnZdO7ZoqkC0/edit#gid=0"",""2018-2021!$A$2:$O$250""),4,FALSE)"),65.0)</f>
        <v>65</v>
      </c>
      <c r="K38" s="17">
        <f t="shared" si="6"/>
        <v>0.26</v>
      </c>
      <c r="L38" s="17">
        <f t="shared" si="12"/>
        <v>0.025</v>
      </c>
      <c r="M38" s="16">
        <f>IFERROR(__xludf.DUMMYFUNCTION("VLOOKUP(A38,IMPORTRANGE(""1QZ5UxyNCwadreQAXnQ7oCoH982DjIA-QnZdO7ZoqkC0/edit#gid=0"",""2018-2021!$A$2:$O$250""),7,FALSE)"),54.0)</f>
        <v>54</v>
      </c>
      <c r="N38" s="17">
        <f t="shared" si="8"/>
        <v>0.216</v>
      </c>
      <c r="O38" s="17">
        <f t="shared" si="9"/>
        <v>0.076</v>
      </c>
      <c r="P38" s="16">
        <f>IFERROR(__xludf.DUMMYFUNCTION("VLOOKUP(A38,IMPORTRANGE(""1QZ5UxyNCwadreQAXnQ7oCoH982DjIA-QnZdO7ZoqkC0/edit#gid=0"",""2018-2021!$A$2:$O$250""),10,FALSE)"),0.0)</f>
        <v>0</v>
      </c>
      <c r="Q38" s="17">
        <f t="shared" si="10"/>
        <v>0</v>
      </c>
      <c r="R38" s="17">
        <f t="shared" si="11"/>
        <v>0.292</v>
      </c>
    </row>
    <row r="39">
      <c r="A39" s="42" t="s">
        <v>123</v>
      </c>
      <c r="B39" s="41">
        <f>IFERROR(__xludf.DUMMYFUNCTION("VLOOKUP(A39,IMPORTRANGE(""1EmrnCz2gLVTx5Cbj0e5tfuHPhTtmru8KTGuQvh7STl0/edit#gid=2147150001"",""Whole Data Set!$A$2:$NQ$253""),381,FALSE)"),4.25)</f>
        <v>4.25</v>
      </c>
      <c r="C39" s="13">
        <f t="shared" si="1"/>
        <v>0.017</v>
      </c>
      <c r="D39" s="12">
        <f>IFERROR(__xludf.DUMMYFUNCTION("VLOOKUP(A39,IMPORTRANGE(""1aFCnJY1qhIj8-JckJhDJ18aqmVo17tofpQmOjcYa3u8/edit#gid=948248086"",""Whole Data Set!$A$2:$NG$253""),371,FALSE)"),4.25)</f>
        <v>4.25</v>
      </c>
      <c r="E39" s="13">
        <f t="shared" si="2"/>
        <v>0.017</v>
      </c>
      <c r="F39" s="13">
        <f t="shared" si="3"/>
        <v>0</v>
      </c>
      <c r="G39" s="12">
        <f>IFERROR(__xludf.DUMMYFUNCTION("VLOOKUP(A39,IMPORTRANGE(""1QZ5UxyNCwadreQAXnQ7oCoH982DjIA-QnZdO7ZoqkC0/edit#gid=0"",""2018-2021!$A$2:$O$250""),2,FALSE)"),4.0)</f>
        <v>4</v>
      </c>
      <c r="H39" s="14">
        <f t="shared" si="4"/>
        <v>0.016</v>
      </c>
      <c r="I39" s="15">
        <f t="shared" si="5"/>
        <v>0.001</v>
      </c>
      <c r="J39" s="16">
        <f>IFERROR(__xludf.DUMMYFUNCTION("VLOOKUP(A39,IMPORTRANGE(""1QZ5UxyNCwadreQAXnQ7oCoH982DjIA-QnZdO7ZoqkC0/edit#gid=0"",""2018-2021!$A$2:$O$250""),4,FALSE)"),8.5)</f>
        <v>8.5</v>
      </c>
      <c r="K39" s="17">
        <f t="shared" si="6"/>
        <v>0.034</v>
      </c>
      <c r="L39" s="17">
        <f t="shared" si="12"/>
        <v>-0.017</v>
      </c>
      <c r="M39" s="16">
        <f>IFERROR(__xludf.DUMMYFUNCTION("VLOOKUP(A39,IMPORTRANGE(""1QZ5UxyNCwadreQAXnQ7oCoH982DjIA-QnZdO7ZoqkC0/edit#gid=0"",""2018-2021!$A$2:$O$250""),7,FALSE)"),8.5)</f>
        <v>8.5</v>
      </c>
      <c r="N39" s="17">
        <f t="shared" si="8"/>
        <v>0.034</v>
      </c>
      <c r="O39" s="17">
        <f t="shared" si="9"/>
        <v>-0.017</v>
      </c>
      <c r="P39" s="16">
        <f>IFERROR(__xludf.DUMMYFUNCTION("VLOOKUP(A39,IMPORTRANGE(""1QZ5UxyNCwadreQAXnQ7oCoH982DjIA-QnZdO7ZoqkC0/edit#gid=0"",""2018-2021!$A$2:$O$250""),10,FALSE)"),3.0)</f>
        <v>3</v>
      </c>
      <c r="Q39" s="17">
        <f t="shared" si="10"/>
        <v>0.012</v>
      </c>
      <c r="R39" s="17">
        <f t="shared" si="11"/>
        <v>0.005</v>
      </c>
    </row>
    <row r="40">
      <c r="A40" s="19" t="s">
        <v>124</v>
      </c>
      <c r="B40" s="41">
        <f>IFERROR(__xludf.DUMMYFUNCTION("VLOOKUP(A40,IMPORTRANGE(""1EmrnCz2gLVTx5Cbj0e5tfuHPhTtmru8KTGuQvh7STl0/edit#gid=2147150001"",""Whole Data Set!$A$2:$NQ$253""),381,FALSE)"),161.25)</f>
        <v>161.25</v>
      </c>
      <c r="C40" s="13">
        <f t="shared" si="1"/>
        <v>0.645</v>
      </c>
      <c r="D40" s="12">
        <f>IFERROR(__xludf.DUMMYFUNCTION("VLOOKUP(A40,IMPORTRANGE(""1aFCnJY1qhIj8-JckJhDJ18aqmVo17tofpQmOjcYa3u8/edit#gid=948248086"",""Whole Data Set!$A$2:$NG$253""),371,FALSE)"),143.0)</f>
        <v>143</v>
      </c>
      <c r="E40" s="13">
        <f t="shared" si="2"/>
        <v>0.572</v>
      </c>
      <c r="F40" s="13">
        <f t="shared" si="3"/>
        <v>0.073</v>
      </c>
      <c r="G40" s="12">
        <f>IFERROR(__xludf.DUMMYFUNCTION("VLOOKUP(A40,IMPORTRANGE(""1QZ5UxyNCwadreQAXnQ7oCoH982DjIA-QnZdO7ZoqkC0/edit#gid=0"",""2018-2021!$A$2:$O$250""),2,FALSE)"),119.0)</f>
        <v>119</v>
      </c>
      <c r="H40" s="14">
        <f t="shared" si="4"/>
        <v>0.476</v>
      </c>
      <c r="I40" s="15">
        <f t="shared" si="5"/>
        <v>0.169</v>
      </c>
      <c r="J40" s="16">
        <f>IFERROR(__xludf.DUMMYFUNCTION("VLOOKUP(A40,IMPORTRANGE(""1QZ5UxyNCwadreQAXnQ7oCoH982DjIA-QnZdO7ZoqkC0/edit#gid=0"",""2018-2021!$A$2:$O$250""),4,FALSE)"),120.0)</f>
        <v>120</v>
      </c>
      <c r="K40" s="17">
        <f t="shared" si="6"/>
        <v>0.48</v>
      </c>
      <c r="L40" s="17">
        <f t="shared" si="12"/>
        <v>0.092</v>
      </c>
      <c r="M40" s="16">
        <f>IFERROR(__xludf.DUMMYFUNCTION("VLOOKUP(A40,IMPORTRANGE(""1QZ5UxyNCwadreQAXnQ7oCoH982DjIA-QnZdO7ZoqkC0/edit#gid=0"",""2018-2021!$A$2:$O$250""),7,FALSE)"),77.0)</f>
        <v>77</v>
      </c>
      <c r="N40" s="17">
        <f t="shared" si="8"/>
        <v>0.308</v>
      </c>
      <c r="O40" s="17">
        <f t="shared" si="9"/>
        <v>0.337</v>
      </c>
      <c r="P40" s="16">
        <f>IFERROR(__xludf.DUMMYFUNCTION("VLOOKUP(A40,IMPORTRANGE(""1QZ5UxyNCwadreQAXnQ7oCoH982DjIA-QnZdO7ZoqkC0/edit#gid=0"",""2018-2021!$A$2:$O$250""),10,FALSE)"),61.0)</f>
        <v>61</v>
      </c>
      <c r="Q40" s="17">
        <f t="shared" si="10"/>
        <v>0.244</v>
      </c>
      <c r="R40" s="17">
        <f t="shared" si="11"/>
        <v>0.401</v>
      </c>
    </row>
    <row r="41">
      <c r="A41" s="19" t="s">
        <v>125</v>
      </c>
      <c r="B41" s="41">
        <f>IFERROR(__xludf.DUMMYFUNCTION("VLOOKUP(A41,IMPORTRANGE(""1EmrnCz2gLVTx5Cbj0e5tfuHPhTtmru8KTGuQvh7STl0/edit#gid=2147150001"",""Whole Data Set!$A$2:$NQ$253""),381,FALSE)"),59.5)</f>
        <v>59.5</v>
      </c>
      <c r="C41" s="13">
        <f t="shared" si="1"/>
        <v>0.238</v>
      </c>
      <c r="D41" s="12">
        <f>IFERROR(__xludf.DUMMYFUNCTION("VLOOKUP(A41,IMPORTRANGE(""1aFCnJY1qhIj8-JckJhDJ18aqmVo17tofpQmOjcYa3u8/edit#gid=948248086"",""Whole Data Set!$A$2:$NG$253""),371,FALSE)"),64.5)</f>
        <v>64.5</v>
      </c>
      <c r="E41" s="13">
        <f t="shared" si="2"/>
        <v>0.258</v>
      </c>
      <c r="F41" s="13">
        <f t="shared" si="3"/>
        <v>-0.02</v>
      </c>
      <c r="G41" s="12">
        <f>IFERROR(__xludf.DUMMYFUNCTION("VLOOKUP(A41,IMPORTRANGE(""1QZ5UxyNCwadreQAXnQ7oCoH982DjIA-QnZdO7ZoqkC0/edit#gid=0"",""2018-2021!$A$2:$O$250""),2,FALSE)"),70.25)</f>
        <v>70.25</v>
      </c>
      <c r="H41" s="14">
        <f t="shared" si="4"/>
        <v>0.281</v>
      </c>
      <c r="I41" s="15">
        <f t="shared" si="5"/>
        <v>-0.043</v>
      </c>
      <c r="J41" s="16">
        <f>IFERROR(__xludf.DUMMYFUNCTION("VLOOKUP(A41,IMPORTRANGE(""1QZ5UxyNCwadreQAXnQ7oCoH982DjIA-QnZdO7ZoqkC0/edit#gid=0"",""2018-2021!$A$2:$O$250""),4,FALSE)"),69.5)</f>
        <v>69.5</v>
      </c>
      <c r="K41" s="17">
        <f t="shared" si="6"/>
        <v>0.278</v>
      </c>
      <c r="L41" s="17">
        <f t="shared" si="12"/>
        <v>-0.02</v>
      </c>
      <c r="M41" s="16">
        <f>IFERROR(__xludf.DUMMYFUNCTION("VLOOKUP(A41,IMPORTRANGE(""1QZ5UxyNCwadreQAXnQ7oCoH982DjIA-QnZdO7ZoqkC0/edit#gid=0"",""2018-2021!$A$2:$O$250""),7,FALSE)"),47.5)</f>
        <v>47.5</v>
      </c>
      <c r="N41" s="17">
        <f t="shared" si="8"/>
        <v>0.19</v>
      </c>
      <c r="O41" s="17">
        <f t="shared" si="9"/>
        <v>0.048</v>
      </c>
      <c r="P41" s="16">
        <f>IFERROR(__xludf.DUMMYFUNCTION("VLOOKUP(A41,IMPORTRANGE(""1QZ5UxyNCwadreQAXnQ7oCoH982DjIA-QnZdO7ZoqkC0/edit#gid=0"",""2018-2021!$A$2:$O$250""),10,FALSE)"),31.5)</f>
        <v>31.5</v>
      </c>
      <c r="Q41" s="17">
        <f t="shared" si="10"/>
        <v>0.126</v>
      </c>
      <c r="R41" s="17">
        <f t="shared" si="11"/>
        <v>0.112</v>
      </c>
    </row>
    <row r="42">
      <c r="A42" s="42" t="s">
        <v>47</v>
      </c>
      <c r="B42" s="41">
        <f>IFERROR(__xludf.DUMMYFUNCTION("VLOOKUP(A42,IMPORTRANGE(""1EmrnCz2gLVTx5Cbj0e5tfuHPhTtmru8KTGuQvh7STl0/edit#gid=2147150001"",""Whole Data Set!$A$2:$NQ$253""),381,FALSE)"),81.5)</f>
        <v>81.5</v>
      </c>
      <c r="C42" s="13">
        <f t="shared" si="1"/>
        <v>0.326</v>
      </c>
      <c r="D42" s="12">
        <f>IFERROR(__xludf.DUMMYFUNCTION("VLOOKUP(A42,IMPORTRANGE(""1aFCnJY1qhIj8-JckJhDJ18aqmVo17tofpQmOjcYa3u8/edit#gid=948248086"",""Whole Data Set!$A$2:$NG$253""),371,FALSE)"),92.25)</f>
        <v>92.25</v>
      </c>
      <c r="E42" s="13">
        <f t="shared" si="2"/>
        <v>0.369</v>
      </c>
      <c r="F42" s="13">
        <f t="shared" si="3"/>
        <v>-0.043</v>
      </c>
      <c r="G42" s="12">
        <f>IFERROR(__xludf.DUMMYFUNCTION("VLOOKUP(A42,IMPORTRANGE(""1QZ5UxyNCwadreQAXnQ7oCoH982DjIA-QnZdO7ZoqkC0/edit#gid=0"",""2018-2021!$A$2:$O$250""),2,FALSE)"),82.0)</f>
        <v>82</v>
      </c>
      <c r="H42" s="14">
        <f t="shared" si="4"/>
        <v>0.328</v>
      </c>
      <c r="I42" s="15">
        <f t="shared" si="5"/>
        <v>-0.002</v>
      </c>
      <c r="J42" s="16">
        <f>IFERROR(__xludf.DUMMYFUNCTION("VLOOKUP(A42,IMPORTRANGE(""1QZ5UxyNCwadreQAXnQ7oCoH982DjIA-QnZdO7ZoqkC0/edit#gid=0"",""2018-2021!$A$2:$O$250""),4,FALSE)"),67.0)</f>
        <v>67</v>
      </c>
      <c r="K42" s="17">
        <f t="shared" si="6"/>
        <v>0.268</v>
      </c>
      <c r="L42" s="17">
        <f t="shared" si="12"/>
        <v>0.101</v>
      </c>
      <c r="M42" s="16">
        <f>IFERROR(__xludf.DUMMYFUNCTION("VLOOKUP(A42,IMPORTRANGE(""1QZ5UxyNCwadreQAXnQ7oCoH982DjIA-QnZdO7ZoqkC0/edit#gid=0"",""2018-2021!$A$2:$O$250""),7,FALSE)"),11.0)</f>
        <v>11</v>
      </c>
      <c r="N42" s="17">
        <f t="shared" si="8"/>
        <v>0.044</v>
      </c>
      <c r="O42" s="17">
        <f t="shared" si="9"/>
        <v>0.282</v>
      </c>
      <c r="P42" s="16">
        <f>IFERROR(__xludf.DUMMYFUNCTION("VLOOKUP(A42,IMPORTRANGE(""1QZ5UxyNCwadreQAXnQ7oCoH982DjIA-QnZdO7ZoqkC0/edit#gid=0"",""2018-2021!$A$2:$O$250""),10,FALSE)"),13.0)</f>
        <v>13</v>
      </c>
      <c r="Q42" s="17">
        <f t="shared" si="10"/>
        <v>0.052</v>
      </c>
      <c r="R42" s="17">
        <f t="shared" si="11"/>
        <v>0.274</v>
      </c>
    </row>
    <row r="43">
      <c r="A43" s="19" t="s">
        <v>48</v>
      </c>
      <c r="B43" s="41">
        <f>IFERROR(__xludf.DUMMYFUNCTION("VLOOKUP(A43,IMPORTRANGE(""1EmrnCz2gLVTx5Cbj0e5tfuHPhTtmru8KTGuQvh7STl0/edit#gid=2147150001"",""Whole Data Set!$A$2:$NQ$253""),381,FALSE)"),112.0)</f>
        <v>112</v>
      </c>
      <c r="C43" s="13">
        <f t="shared" si="1"/>
        <v>0.448</v>
      </c>
      <c r="D43" s="12">
        <f>IFERROR(__xludf.DUMMYFUNCTION("VLOOKUP(A43,IMPORTRANGE(""1aFCnJY1qhIj8-JckJhDJ18aqmVo17tofpQmOjcYa3u8/edit#gid=948248086"",""Whole Data Set!$A$2:$NG$253""),371,FALSE)"),140.5)</f>
        <v>140.5</v>
      </c>
      <c r="E43" s="13">
        <f t="shared" si="2"/>
        <v>0.562</v>
      </c>
      <c r="F43" s="13">
        <f t="shared" si="3"/>
        <v>-0.114</v>
      </c>
      <c r="G43" s="12">
        <f>IFERROR(__xludf.DUMMYFUNCTION("VLOOKUP(A43,IMPORTRANGE(""1QZ5UxyNCwadreQAXnQ7oCoH982DjIA-QnZdO7ZoqkC0/edit#gid=0"",""2018-2021!$A$2:$O$250""),2,FALSE)"),150.75)</f>
        <v>150.75</v>
      </c>
      <c r="H43" s="14">
        <f t="shared" si="4"/>
        <v>0.603</v>
      </c>
      <c r="I43" s="15">
        <f t="shared" si="5"/>
        <v>-0.155</v>
      </c>
      <c r="J43" s="16">
        <f>IFERROR(__xludf.DUMMYFUNCTION("VLOOKUP(A43,IMPORTRANGE(""1QZ5UxyNCwadreQAXnQ7oCoH982DjIA-QnZdO7ZoqkC0/edit#gid=0"",""2018-2021!$A$2:$O$250""),4,FALSE)"),160.5)</f>
        <v>160.5</v>
      </c>
      <c r="K43" s="17">
        <f t="shared" si="6"/>
        <v>0.642</v>
      </c>
      <c r="L43" s="17">
        <f t="shared" si="12"/>
        <v>-0.08</v>
      </c>
      <c r="M43" s="16">
        <f>IFERROR(__xludf.DUMMYFUNCTION("VLOOKUP(A43,IMPORTRANGE(""1QZ5UxyNCwadreQAXnQ7oCoH982DjIA-QnZdO7ZoqkC0/edit#gid=0"",""2018-2021!$A$2:$O$250""),7,FALSE)"),155.5)</f>
        <v>155.5</v>
      </c>
      <c r="N43" s="17">
        <f t="shared" si="8"/>
        <v>0.622</v>
      </c>
      <c r="O43" s="17">
        <f t="shared" si="9"/>
        <v>-0.174</v>
      </c>
      <c r="P43" s="16">
        <f>IFERROR(__xludf.DUMMYFUNCTION("VLOOKUP(A43,IMPORTRANGE(""1QZ5UxyNCwadreQAXnQ7oCoH982DjIA-QnZdO7ZoqkC0/edit#gid=0"",""2018-2021!$A$2:$O$250""),10,FALSE)"),136.0)</f>
        <v>136</v>
      </c>
      <c r="Q43" s="17">
        <f t="shared" si="10"/>
        <v>0.544</v>
      </c>
      <c r="R43" s="17">
        <f t="shared" si="11"/>
        <v>-0.096</v>
      </c>
    </row>
    <row r="44">
      <c r="A44" s="19" t="s">
        <v>71</v>
      </c>
      <c r="B44" s="41">
        <f>IFERROR(__xludf.DUMMYFUNCTION("VLOOKUP(A44,IMPORTRANGE(""1EmrnCz2gLVTx5Cbj0e5tfuHPhTtmru8KTGuQvh7STl0/edit#gid=2147150001"",""Whole Data Set!$A$2:$NQ$253""),381,FALSE)"),15.25)</f>
        <v>15.25</v>
      </c>
      <c r="C44" s="13">
        <f t="shared" si="1"/>
        <v>0.061</v>
      </c>
      <c r="D44" s="12">
        <f>IFERROR(__xludf.DUMMYFUNCTION("VLOOKUP(A44,IMPORTRANGE(""1aFCnJY1qhIj8-JckJhDJ18aqmVo17tofpQmOjcYa3u8/edit#gid=948248086"",""Whole Data Set!$A$2:$NG$253""),371,FALSE)"),12.0)</f>
        <v>12</v>
      </c>
      <c r="E44" s="13">
        <f t="shared" si="2"/>
        <v>0.048</v>
      </c>
      <c r="F44" s="13">
        <f t="shared" si="3"/>
        <v>0.013</v>
      </c>
      <c r="G44" s="12">
        <f>IFERROR(__xludf.DUMMYFUNCTION("VLOOKUP(A44,IMPORTRANGE(""1QZ5UxyNCwadreQAXnQ7oCoH982DjIA-QnZdO7ZoqkC0/edit#gid=0"",""2018-2021!$A$2:$O$250""),2,FALSE)"),14.75)</f>
        <v>14.75</v>
      </c>
      <c r="H44" s="14">
        <f t="shared" si="4"/>
        <v>0.059</v>
      </c>
      <c r="I44" s="15">
        <f t="shared" si="5"/>
        <v>0.002</v>
      </c>
      <c r="J44" s="16">
        <f>IFERROR(__xludf.DUMMYFUNCTION("VLOOKUP(A44,IMPORTRANGE(""1QZ5UxyNCwadreQAXnQ7oCoH982DjIA-QnZdO7ZoqkC0/edit#gid=0"",""2018-2021!$A$2:$O$250""),4,FALSE)"),20.0)</f>
        <v>20</v>
      </c>
      <c r="K44" s="17">
        <f t="shared" si="6"/>
        <v>0.08</v>
      </c>
      <c r="L44" s="17">
        <f t="shared" si="12"/>
        <v>-0.032</v>
      </c>
      <c r="M44" s="16">
        <f>IFERROR(__xludf.DUMMYFUNCTION("VLOOKUP(A44,IMPORTRANGE(""1QZ5UxyNCwadreQAXnQ7oCoH982DjIA-QnZdO7ZoqkC0/edit#gid=0"",""2018-2021!$A$2:$O$250""),7,FALSE)"),14.0)</f>
        <v>14</v>
      </c>
      <c r="N44" s="17">
        <f t="shared" si="8"/>
        <v>0.056</v>
      </c>
      <c r="O44" s="17">
        <f t="shared" si="9"/>
        <v>0.005</v>
      </c>
      <c r="P44" s="16">
        <f>IFERROR(__xludf.DUMMYFUNCTION("VLOOKUP(A44,IMPORTRANGE(""1QZ5UxyNCwadreQAXnQ7oCoH982DjIA-QnZdO7ZoqkC0/edit#gid=0"",""2018-2021!$A$2:$O$250""),10,FALSE)"),18.0)</f>
        <v>18</v>
      </c>
      <c r="Q44" s="17">
        <f t="shared" si="10"/>
        <v>0.072</v>
      </c>
      <c r="R44" s="17">
        <f t="shared" si="11"/>
        <v>-0.011</v>
      </c>
    </row>
    <row r="45">
      <c r="A45" s="19" t="s">
        <v>126</v>
      </c>
      <c r="B45" s="41">
        <f>IFERROR(__xludf.DUMMYFUNCTION("VLOOKUP(A45,IMPORTRANGE(""1EmrnCz2gLVTx5Cbj0e5tfuHPhTtmru8KTGuQvh7STl0/edit#gid=2147150001"",""Whole Data Set!$A$2:$NQ$253""),381,FALSE)"),26.5)</f>
        <v>26.5</v>
      </c>
      <c r="C45" s="13">
        <f t="shared" si="1"/>
        <v>0.106</v>
      </c>
      <c r="D45" s="12">
        <f>IFERROR(__xludf.DUMMYFUNCTION("VLOOKUP(A45,IMPORTRANGE(""1aFCnJY1qhIj8-JckJhDJ18aqmVo17tofpQmOjcYa3u8/edit#gid=948248086"",""Whole Data Set!$A$2:$NG$253""),371,FALSE)"),32.25)</f>
        <v>32.25</v>
      </c>
      <c r="E45" s="13">
        <f t="shared" si="2"/>
        <v>0.129</v>
      </c>
      <c r="F45" s="13">
        <f t="shared" si="3"/>
        <v>-0.023</v>
      </c>
      <c r="G45" s="12">
        <f>IFERROR(__xludf.DUMMYFUNCTION("VLOOKUP(A45,IMPORTRANGE(""1QZ5UxyNCwadreQAXnQ7oCoH982DjIA-QnZdO7ZoqkC0/edit#gid=0"",""2018-2021!$A$2:$O$250""),2,FALSE)"),43.25)</f>
        <v>43.25</v>
      </c>
      <c r="H45" s="14">
        <f t="shared" si="4"/>
        <v>0.173</v>
      </c>
      <c r="I45" s="15">
        <f t="shared" si="5"/>
        <v>-0.067</v>
      </c>
      <c r="J45" s="16">
        <f>IFERROR(__xludf.DUMMYFUNCTION("VLOOKUP(A45,IMPORTRANGE(""1QZ5UxyNCwadreQAXnQ7oCoH982DjIA-QnZdO7ZoqkC0/edit#gid=0"",""2018-2021!$A$2:$O$250""),4,FALSE)"),42.5)</f>
        <v>42.5</v>
      </c>
      <c r="K45" s="17">
        <f t="shared" si="6"/>
        <v>0.17</v>
      </c>
      <c r="L45" s="17">
        <f t="shared" si="12"/>
        <v>-0.041</v>
      </c>
      <c r="M45" s="16">
        <f>IFERROR(__xludf.DUMMYFUNCTION("VLOOKUP(A45,IMPORTRANGE(""1QZ5UxyNCwadreQAXnQ7oCoH982DjIA-QnZdO7ZoqkC0/edit#gid=0"",""2018-2021!$A$2:$O$250""),7,FALSE)"),39.0)</f>
        <v>39</v>
      </c>
      <c r="N45" s="17">
        <f t="shared" si="8"/>
        <v>0.156</v>
      </c>
      <c r="O45" s="17">
        <f t="shared" si="9"/>
        <v>-0.05</v>
      </c>
      <c r="P45" s="16">
        <f>IFERROR(__xludf.DUMMYFUNCTION("VLOOKUP(A45,IMPORTRANGE(""1QZ5UxyNCwadreQAXnQ7oCoH982DjIA-QnZdO7ZoqkC0/edit#gid=0"",""2018-2021!$A$2:$O$250""),10,FALSE)"),40.0)</f>
        <v>40</v>
      </c>
      <c r="Q45" s="17">
        <f t="shared" si="10"/>
        <v>0.16</v>
      </c>
      <c r="R45" s="17">
        <f t="shared" si="11"/>
        <v>-0.054</v>
      </c>
    </row>
    <row r="46">
      <c r="A46" s="19" t="s">
        <v>127</v>
      </c>
      <c r="B46" s="41">
        <f>IFERROR(__xludf.DUMMYFUNCTION("VLOOKUP(A46,IMPORTRANGE(""1EmrnCz2gLVTx5Cbj0e5tfuHPhTtmru8KTGuQvh7STl0/edit#gid=2147150001"",""Whole Data Set!$A$2:$NQ$253""),381,FALSE)"),145.5)</f>
        <v>145.5</v>
      </c>
      <c r="C46" s="13">
        <f t="shared" si="1"/>
        <v>0.582</v>
      </c>
      <c r="D46" s="12">
        <f>IFERROR(__xludf.DUMMYFUNCTION("VLOOKUP(A46,IMPORTRANGE(""1aFCnJY1qhIj8-JckJhDJ18aqmVo17tofpQmOjcYa3u8/edit#gid=948248086"",""Whole Data Set!$A$2:$NG$253""),371,FALSE)"),133.25)</f>
        <v>133.25</v>
      </c>
      <c r="E46" s="13">
        <f t="shared" si="2"/>
        <v>0.533</v>
      </c>
      <c r="F46" s="13">
        <f t="shared" si="3"/>
        <v>0.049</v>
      </c>
      <c r="G46" s="12">
        <f>IFERROR(__xludf.DUMMYFUNCTION("VLOOKUP(A46,IMPORTRANGE(""1QZ5UxyNCwadreQAXnQ7oCoH982DjIA-QnZdO7ZoqkC0/edit#gid=0"",""2018-2021!$A$2:$O$250""),2,FALSE)"),108.5)</f>
        <v>108.5</v>
      </c>
      <c r="H46" s="14">
        <f t="shared" si="4"/>
        <v>0.434</v>
      </c>
      <c r="I46" s="15">
        <f t="shared" si="5"/>
        <v>0.148</v>
      </c>
      <c r="J46" s="16">
        <f>IFERROR(__xludf.DUMMYFUNCTION("VLOOKUP(A46,IMPORTRANGE(""1QZ5UxyNCwadreQAXnQ7oCoH982DjIA-QnZdO7ZoqkC0/edit#gid=0"",""2018-2021!$A$2:$O$250""),4,FALSE)"),63.0)</f>
        <v>63</v>
      </c>
      <c r="K46" s="17">
        <f t="shared" si="6"/>
        <v>0.252</v>
      </c>
      <c r="L46" s="17">
        <f t="shared" si="12"/>
        <v>0.281</v>
      </c>
      <c r="M46" s="16">
        <f>IFERROR(__xludf.DUMMYFUNCTION("VLOOKUP(A46,IMPORTRANGE(""1QZ5UxyNCwadreQAXnQ7oCoH982DjIA-QnZdO7ZoqkC0/edit#gid=0"",""2018-2021!$A$2:$O$250""),7,FALSE)"),50.5)</f>
        <v>50.5</v>
      </c>
      <c r="N46" s="17">
        <f t="shared" si="8"/>
        <v>0.202</v>
      </c>
      <c r="O46" s="17">
        <f t="shared" si="9"/>
        <v>0.38</v>
      </c>
      <c r="P46" s="16">
        <f>IFERROR(__xludf.DUMMYFUNCTION("VLOOKUP(A46,IMPORTRANGE(""1QZ5UxyNCwadreQAXnQ7oCoH982DjIA-QnZdO7ZoqkC0/edit#gid=0"",""2018-2021!$A$2:$O$250""),10,FALSE)"),38.0)</f>
        <v>38</v>
      </c>
      <c r="Q46" s="17">
        <f t="shared" si="10"/>
        <v>0.152</v>
      </c>
      <c r="R46" s="17">
        <f t="shared" si="11"/>
        <v>0.43</v>
      </c>
    </row>
    <row r="47">
      <c r="A47" s="19" t="s">
        <v>128</v>
      </c>
      <c r="B47" s="41">
        <f>IFERROR(__xludf.DUMMYFUNCTION("VLOOKUP(A47,IMPORTRANGE(""1EmrnCz2gLVTx5Cbj0e5tfuHPhTtmru8KTGuQvh7STl0/edit#gid=2147150001"",""Whole Data Set!$A$2:$NQ$253""),381,FALSE)"),23.0)</f>
        <v>23</v>
      </c>
      <c r="C47" s="13">
        <f t="shared" si="1"/>
        <v>0.092</v>
      </c>
      <c r="D47" s="12">
        <f>IFERROR(__xludf.DUMMYFUNCTION("VLOOKUP(A47,IMPORTRANGE(""1aFCnJY1qhIj8-JckJhDJ18aqmVo17tofpQmOjcYa3u8/edit#gid=948248086"",""Whole Data Set!$A$2:$NG$253""),371,FALSE)"),19.0)</f>
        <v>19</v>
      </c>
      <c r="E47" s="13">
        <f t="shared" si="2"/>
        <v>0.076</v>
      </c>
      <c r="F47" s="13">
        <f t="shared" si="3"/>
        <v>0.016</v>
      </c>
      <c r="G47" s="12">
        <f>IFERROR(__xludf.DUMMYFUNCTION("VLOOKUP(A47,IMPORTRANGE(""1QZ5UxyNCwadreQAXnQ7oCoH982DjIA-QnZdO7ZoqkC0/edit#gid=0"",""2018-2021!$A$2:$O$250""),2,FALSE)"),18.25)</f>
        <v>18.25</v>
      </c>
      <c r="H47" s="14">
        <f t="shared" si="4"/>
        <v>0.073</v>
      </c>
      <c r="I47" s="15">
        <f t="shared" si="5"/>
        <v>0.019</v>
      </c>
      <c r="J47" s="16">
        <f>IFERROR(__xludf.DUMMYFUNCTION("VLOOKUP(A47,IMPORTRANGE(""1QZ5UxyNCwadreQAXnQ7oCoH982DjIA-QnZdO7ZoqkC0/edit#gid=0"",""2018-2021!$A$2:$O$250""),4,FALSE)"),18.5)</f>
        <v>18.5</v>
      </c>
      <c r="K47" s="17">
        <f t="shared" si="6"/>
        <v>0.074</v>
      </c>
      <c r="L47" s="17">
        <f t="shared" si="12"/>
        <v>0.002</v>
      </c>
      <c r="M47" s="16">
        <f>IFERROR(__xludf.DUMMYFUNCTION("VLOOKUP(A47,IMPORTRANGE(""1QZ5UxyNCwadreQAXnQ7oCoH982DjIA-QnZdO7ZoqkC0/edit#gid=0"",""2018-2021!$A$2:$O$250""),7,FALSE)"),15.0)</f>
        <v>15</v>
      </c>
      <c r="N47" s="17">
        <f t="shared" si="8"/>
        <v>0.06</v>
      </c>
      <c r="O47" s="17">
        <f t="shared" si="9"/>
        <v>0.032</v>
      </c>
      <c r="P47" s="16">
        <f>IFERROR(__xludf.DUMMYFUNCTION("VLOOKUP(A47,IMPORTRANGE(""1QZ5UxyNCwadreQAXnQ7oCoH982DjIA-QnZdO7ZoqkC0/edit#gid=0"",""2018-2021!$A$2:$O$250""),10,FALSE)"),12.0)</f>
        <v>12</v>
      </c>
      <c r="Q47" s="17">
        <f t="shared" si="10"/>
        <v>0.048</v>
      </c>
      <c r="R47" s="17">
        <f t="shared" si="11"/>
        <v>0.044</v>
      </c>
    </row>
    <row r="48">
      <c r="A48" s="19" t="s">
        <v>129</v>
      </c>
      <c r="B48" s="41">
        <f>IFERROR(__xludf.DUMMYFUNCTION("VLOOKUP(A48,IMPORTRANGE(""1EmrnCz2gLVTx5Cbj0e5tfuHPhTtmru8KTGuQvh7STl0/edit#gid=2147150001"",""Whole Data Set!$A$2:$NQ$253""),381,FALSE)"),122.5)</f>
        <v>122.5</v>
      </c>
      <c r="C48" s="13">
        <f t="shared" si="1"/>
        <v>0.49</v>
      </c>
      <c r="D48" s="12">
        <f>IFERROR(__xludf.DUMMYFUNCTION("VLOOKUP(A48,IMPORTRANGE(""1aFCnJY1qhIj8-JckJhDJ18aqmVo17tofpQmOjcYa3u8/edit#gid=948248086"",""Whole Data Set!$A$2:$NG$253""),371,FALSE)"),109.0)</f>
        <v>109</v>
      </c>
      <c r="E48" s="13">
        <f t="shared" si="2"/>
        <v>0.436</v>
      </c>
      <c r="F48" s="13">
        <f t="shared" si="3"/>
        <v>0.054</v>
      </c>
      <c r="G48" s="12">
        <f>IFERROR(__xludf.DUMMYFUNCTION("VLOOKUP(A48,IMPORTRANGE(""1QZ5UxyNCwadreQAXnQ7oCoH982DjIA-QnZdO7ZoqkC0/edit#gid=0"",""2018-2021!$A$2:$O$250""),2,FALSE)"),107.75)</f>
        <v>107.75</v>
      </c>
      <c r="H48" s="14">
        <f t="shared" si="4"/>
        <v>0.431</v>
      </c>
      <c r="I48" s="15">
        <f t="shared" si="5"/>
        <v>0.059</v>
      </c>
      <c r="J48" s="16">
        <f>IFERROR(__xludf.DUMMYFUNCTION("VLOOKUP(A48,IMPORTRANGE(""1QZ5UxyNCwadreQAXnQ7oCoH982DjIA-QnZdO7ZoqkC0/edit#gid=0"",""2018-2021!$A$2:$O$250""),4,FALSE)"),122.0)</f>
        <v>122</v>
      </c>
      <c r="K48" s="17">
        <f t="shared" si="6"/>
        <v>0.488</v>
      </c>
      <c r="L48" s="17">
        <f t="shared" si="12"/>
        <v>-0.052</v>
      </c>
      <c r="M48" s="16">
        <f>IFERROR(__xludf.DUMMYFUNCTION("VLOOKUP(A48,IMPORTRANGE(""1QZ5UxyNCwadreQAXnQ7oCoH982DjIA-QnZdO7ZoqkC0/edit#gid=0"",""2018-2021!$A$2:$O$250""),7,FALSE)"),113.0)</f>
        <v>113</v>
      </c>
      <c r="N48" s="17">
        <f t="shared" si="8"/>
        <v>0.452</v>
      </c>
      <c r="O48" s="17">
        <f t="shared" si="9"/>
        <v>0.038</v>
      </c>
      <c r="P48" s="16">
        <f>IFERROR(__xludf.DUMMYFUNCTION("VLOOKUP(A48,IMPORTRANGE(""1QZ5UxyNCwadreQAXnQ7oCoH982DjIA-QnZdO7ZoqkC0/edit#gid=0"",""2018-2021!$A$2:$O$250""),10,FALSE)"),113.0)</f>
        <v>113</v>
      </c>
      <c r="Q48" s="17">
        <f t="shared" si="10"/>
        <v>0.452</v>
      </c>
      <c r="R48" s="17">
        <f t="shared" si="11"/>
        <v>0.038</v>
      </c>
    </row>
    <row r="49">
      <c r="A49" s="19" t="s">
        <v>64</v>
      </c>
      <c r="B49" s="41">
        <f>IFERROR(__xludf.DUMMYFUNCTION("VLOOKUP(A49,IMPORTRANGE(""1EmrnCz2gLVTx5Cbj0e5tfuHPhTtmru8KTGuQvh7STl0/edit#gid=2147150001"",""Whole Data Set!$A$2:$NQ$253""),381,FALSE)"),120.25)</f>
        <v>120.25</v>
      </c>
      <c r="C49" s="13">
        <f t="shared" si="1"/>
        <v>0.481</v>
      </c>
      <c r="D49" s="12">
        <f>IFERROR(__xludf.DUMMYFUNCTION("VLOOKUP(A49,IMPORTRANGE(""1aFCnJY1qhIj8-JckJhDJ18aqmVo17tofpQmOjcYa3u8/edit#gid=948248086"",""Whole Data Set!$A$2:$NG$253""),371,FALSE)"),109.5)</f>
        <v>109.5</v>
      </c>
      <c r="E49" s="13">
        <f t="shared" si="2"/>
        <v>0.438</v>
      </c>
      <c r="F49" s="13">
        <f t="shared" si="3"/>
        <v>0.043</v>
      </c>
      <c r="G49" s="12">
        <f>IFERROR(__xludf.DUMMYFUNCTION("VLOOKUP(A49,IMPORTRANGE(""1QZ5UxyNCwadreQAXnQ7oCoH982DjIA-QnZdO7ZoqkC0/edit#gid=0"",""2018-2021!$A$2:$O$250""),2,FALSE)"),123.0)</f>
        <v>123</v>
      </c>
      <c r="H49" s="14">
        <f t="shared" si="4"/>
        <v>0.492</v>
      </c>
      <c r="I49" s="15">
        <f t="shared" si="5"/>
        <v>-0.011</v>
      </c>
      <c r="J49" s="16">
        <f>IFERROR(__xludf.DUMMYFUNCTION("VLOOKUP(A49,IMPORTRANGE(""1QZ5UxyNCwadreQAXnQ7oCoH982DjIA-QnZdO7ZoqkC0/edit#gid=0"",""2018-2021!$A$2:$O$250""),4,FALSE)"),125.0)</f>
        <v>125</v>
      </c>
      <c r="K49" s="17">
        <f t="shared" si="6"/>
        <v>0.5</v>
      </c>
      <c r="L49" s="17">
        <f t="shared" si="12"/>
        <v>-0.062</v>
      </c>
      <c r="M49" s="16">
        <f>IFERROR(__xludf.DUMMYFUNCTION("VLOOKUP(A49,IMPORTRANGE(""1QZ5UxyNCwadreQAXnQ7oCoH982DjIA-QnZdO7ZoqkC0/edit#gid=0"",""2018-2021!$A$2:$O$250""),7,FALSE)"),134.5)</f>
        <v>134.5</v>
      </c>
      <c r="N49" s="17">
        <f t="shared" si="8"/>
        <v>0.538</v>
      </c>
      <c r="O49" s="17">
        <f t="shared" si="9"/>
        <v>-0.057</v>
      </c>
      <c r="P49" s="16">
        <f>IFERROR(__xludf.DUMMYFUNCTION("VLOOKUP(A49,IMPORTRANGE(""1QZ5UxyNCwadreQAXnQ7oCoH982DjIA-QnZdO7ZoqkC0/edit#gid=0"",""2018-2021!$A$2:$O$250""),10,FALSE)"),134.5)</f>
        <v>134.5</v>
      </c>
      <c r="Q49" s="17">
        <f t="shared" si="10"/>
        <v>0.538</v>
      </c>
      <c r="R49" s="17">
        <f t="shared" si="11"/>
        <v>-0.057</v>
      </c>
    </row>
    <row r="50">
      <c r="A50" s="19" t="s">
        <v>51</v>
      </c>
      <c r="B50" s="41">
        <f>IFERROR(__xludf.DUMMYFUNCTION("VLOOKUP(A50,IMPORTRANGE(""1EmrnCz2gLVTx5Cbj0e5tfuHPhTtmru8KTGuQvh7STl0/edit#gid=2147150001"",""Whole Data Set!$A$2:$NQ$253""),381,FALSE)"),133.75)</f>
        <v>133.75</v>
      </c>
      <c r="C50" s="13">
        <f t="shared" si="1"/>
        <v>0.535</v>
      </c>
      <c r="D50" s="12">
        <f>IFERROR(__xludf.DUMMYFUNCTION("VLOOKUP(A50,IMPORTRANGE(""1aFCnJY1qhIj8-JckJhDJ18aqmVo17tofpQmOjcYa3u8/edit#gid=948248086"",""Whole Data Set!$A$2:$NG$253""),371,FALSE)"),156.0)</f>
        <v>156</v>
      </c>
      <c r="E50" s="13">
        <f t="shared" si="2"/>
        <v>0.624</v>
      </c>
      <c r="F50" s="13">
        <f t="shared" si="3"/>
        <v>-0.089</v>
      </c>
      <c r="G50" s="12">
        <f>IFERROR(__xludf.DUMMYFUNCTION("VLOOKUP(A50,IMPORTRANGE(""1QZ5UxyNCwadreQAXnQ7oCoH982DjIA-QnZdO7ZoqkC0/edit#gid=0"",""2018-2021!$A$2:$O$250""),2,FALSE)"),157.75)</f>
        <v>157.75</v>
      </c>
      <c r="H50" s="14">
        <f t="shared" si="4"/>
        <v>0.631</v>
      </c>
      <c r="I50" s="15">
        <f t="shared" si="5"/>
        <v>-0.096</v>
      </c>
      <c r="J50" s="16">
        <f>IFERROR(__xludf.DUMMYFUNCTION("VLOOKUP(A50,IMPORTRANGE(""1QZ5UxyNCwadreQAXnQ7oCoH982DjIA-QnZdO7ZoqkC0/edit#gid=0"",""2018-2021!$A$2:$O$250""),4,FALSE)"),123.0)</f>
        <v>123</v>
      </c>
      <c r="K50" s="17">
        <f t="shared" si="6"/>
        <v>0.492</v>
      </c>
      <c r="L50" s="17">
        <f t="shared" si="12"/>
        <v>0.132</v>
      </c>
      <c r="M50" s="16">
        <f>IFERROR(__xludf.DUMMYFUNCTION("VLOOKUP(A50,IMPORTRANGE(""1QZ5UxyNCwadreQAXnQ7oCoH982DjIA-QnZdO7ZoqkC0/edit#gid=0"",""2018-2021!$A$2:$O$250""),7,FALSE)"),102.5)</f>
        <v>102.5</v>
      </c>
      <c r="N50" s="17">
        <f t="shared" si="8"/>
        <v>0.41</v>
      </c>
      <c r="O50" s="17">
        <f t="shared" si="9"/>
        <v>0.125</v>
      </c>
      <c r="P50" s="16">
        <f>IFERROR(__xludf.DUMMYFUNCTION("VLOOKUP(A50,IMPORTRANGE(""1QZ5UxyNCwadreQAXnQ7oCoH982DjIA-QnZdO7ZoqkC0/edit#gid=0"",""2018-2021!$A$2:$O$250""),10,FALSE)"),82.5)</f>
        <v>82.5</v>
      </c>
      <c r="Q50" s="17">
        <f t="shared" si="10"/>
        <v>0.33</v>
      </c>
      <c r="R50" s="17">
        <f t="shared" si="11"/>
        <v>0.205</v>
      </c>
    </row>
    <row r="51">
      <c r="A51" s="19" t="s">
        <v>52</v>
      </c>
      <c r="B51" s="41">
        <f>IFERROR(__xludf.DUMMYFUNCTION("VLOOKUP(A51,IMPORTRANGE(""1EmrnCz2gLVTx5Cbj0e5tfuHPhTtmru8KTGuQvh7STl0/edit#gid=2147150001"",""Whole Data Set!$A$2:$NQ$253""),381,FALSE)"),199.25)</f>
        <v>199.25</v>
      </c>
      <c r="C51" s="13">
        <f t="shared" si="1"/>
        <v>0.797</v>
      </c>
      <c r="D51" s="12">
        <f>IFERROR(__xludf.DUMMYFUNCTION("VLOOKUP(A51,IMPORTRANGE(""1aFCnJY1qhIj8-JckJhDJ18aqmVo17tofpQmOjcYa3u8/edit#gid=948248086"",""Whole Data Set!$A$2:$NG$253""),371,FALSE)"),147.5)</f>
        <v>147.5</v>
      </c>
      <c r="E51" s="13">
        <f t="shared" si="2"/>
        <v>0.59</v>
      </c>
      <c r="F51" s="13">
        <f t="shared" si="3"/>
        <v>0.207</v>
      </c>
      <c r="G51" s="12">
        <f>IFERROR(__xludf.DUMMYFUNCTION("VLOOKUP(A51,IMPORTRANGE(""1QZ5UxyNCwadreQAXnQ7oCoH982DjIA-QnZdO7ZoqkC0/edit#gid=0"",""2018-2021!$A$2:$O$250""),2,FALSE)"),139.25)</f>
        <v>139.25</v>
      </c>
      <c r="H51" s="14">
        <f t="shared" si="4"/>
        <v>0.557</v>
      </c>
      <c r="I51" s="15">
        <f t="shared" si="5"/>
        <v>0.24</v>
      </c>
      <c r="J51" s="16">
        <f>IFERROR(__xludf.DUMMYFUNCTION("VLOOKUP(A51,IMPORTRANGE(""1QZ5UxyNCwadreQAXnQ7oCoH982DjIA-QnZdO7ZoqkC0/edit#gid=0"",""2018-2021!$A$2:$O$250""),4,FALSE)"),121.0)</f>
        <v>121</v>
      </c>
      <c r="K51" s="17">
        <f t="shared" si="6"/>
        <v>0.484</v>
      </c>
      <c r="L51" s="17">
        <f t="shared" si="12"/>
        <v>0.106</v>
      </c>
      <c r="M51" s="16">
        <f>IFERROR(__xludf.DUMMYFUNCTION("VLOOKUP(A51,IMPORTRANGE(""1QZ5UxyNCwadreQAXnQ7oCoH982DjIA-QnZdO7ZoqkC0/edit#gid=0"",""2018-2021!$A$2:$O$250""),7,FALSE)"),100.0)</f>
        <v>100</v>
      </c>
      <c r="N51" s="17">
        <f t="shared" si="8"/>
        <v>0.4</v>
      </c>
      <c r="O51" s="17">
        <f t="shared" si="9"/>
        <v>0.397</v>
      </c>
      <c r="P51" s="16">
        <f>IFERROR(__xludf.DUMMYFUNCTION("VLOOKUP(A51,IMPORTRANGE(""1QZ5UxyNCwadreQAXnQ7oCoH982DjIA-QnZdO7ZoqkC0/edit#gid=0"",""2018-2021!$A$2:$O$250""),10,FALSE)"),92.0)</f>
        <v>92</v>
      </c>
      <c r="Q51" s="17">
        <f t="shared" si="10"/>
        <v>0.368</v>
      </c>
      <c r="R51" s="17">
        <f t="shared" si="11"/>
        <v>0.429</v>
      </c>
    </row>
    <row r="52">
      <c r="A52" s="19" t="s">
        <v>53</v>
      </c>
      <c r="B52" s="41">
        <f>IFERROR(__xludf.DUMMYFUNCTION("VLOOKUP(A52,IMPORTRANGE(""1EmrnCz2gLVTx5Cbj0e5tfuHPhTtmru8KTGuQvh7STl0/edit#gid=2147150001"",""Whole Data Set!$A$2:$NQ$253""),381,FALSE)"),77.25)</f>
        <v>77.25</v>
      </c>
      <c r="C52" s="13">
        <f t="shared" si="1"/>
        <v>0.309</v>
      </c>
      <c r="D52" s="12">
        <f>IFERROR(__xludf.DUMMYFUNCTION("VLOOKUP(A52,IMPORTRANGE(""1aFCnJY1qhIj8-JckJhDJ18aqmVo17tofpQmOjcYa3u8/edit#gid=948248086"",""Whole Data Set!$A$2:$NG$253""),371,FALSE)"),75.0)</f>
        <v>75</v>
      </c>
      <c r="E52" s="13">
        <f t="shared" si="2"/>
        <v>0.3</v>
      </c>
      <c r="F52" s="13">
        <f t="shared" si="3"/>
        <v>0.009</v>
      </c>
      <c r="G52" s="12">
        <f>IFERROR(__xludf.DUMMYFUNCTION("VLOOKUP(A52,IMPORTRANGE(""1QZ5UxyNCwadreQAXnQ7oCoH982DjIA-QnZdO7ZoqkC0/edit#gid=0"",""2018-2021!$A$2:$O$250""),2,FALSE)"),29.75)</f>
        <v>29.75</v>
      </c>
      <c r="H52" s="14">
        <f t="shared" si="4"/>
        <v>0.119</v>
      </c>
      <c r="I52" s="15">
        <f t="shared" si="5"/>
        <v>0.19</v>
      </c>
      <c r="J52" s="16">
        <f>IFERROR(__xludf.DUMMYFUNCTION("VLOOKUP(A52,IMPORTRANGE(""1QZ5UxyNCwadreQAXnQ7oCoH982DjIA-QnZdO7ZoqkC0/edit#gid=0"",""2018-2021!$A$2:$O$250""),4,FALSE)"),48.0)</f>
        <v>48</v>
      </c>
      <c r="K52" s="17">
        <f t="shared" si="6"/>
        <v>0.192</v>
      </c>
      <c r="L52" s="17">
        <f t="shared" si="12"/>
        <v>0.108</v>
      </c>
      <c r="M52" s="16">
        <f>IFERROR(__xludf.DUMMYFUNCTION("VLOOKUP(A52,IMPORTRANGE(""1QZ5UxyNCwadreQAXnQ7oCoH982DjIA-QnZdO7ZoqkC0/edit#gid=0"",""2018-2021!$A$2:$O$250""),7,FALSE)"),50.0)</f>
        <v>50</v>
      </c>
      <c r="N52" s="17">
        <f t="shared" si="8"/>
        <v>0.2</v>
      </c>
      <c r="O52" s="17">
        <f t="shared" si="9"/>
        <v>0.109</v>
      </c>
      <c r="P52" s="16">
        <f>IFERROR(__xludf.DUMMYFUNCTION("VLOOKUP(A52,IMPORTRANGE(""1QZ5UxyNCwadreQAXnQ7oCoH982DjIA-QnZdO7ZoqkC0/edit#gid=0"",""2018-2021!$A$2:$O$250""),10,FALSE)"),47.5)</f>
        <v>47.5</v>
      </c>
      <c r="Q52" s="17">
        <f t="shared" si="10"/>
        <v>0.19</v>
      </c>
      <c r="R52" s="17">
        <f t="shared" si="11"/>
        <v>0.119</v>
      </c>
    </row>
    <row r="53">
      <c r="A53" s="19" t="s">
        <v>54</v>
      </c>
      <c r="B53" s="41">
        <f>IFERROR(__xludf.DUMMYFUNCTION("VLOOKUP(A53,IMPORTRANGE(""1EmrnCz2gLVTx5Cbj0e5tfuHPhTtmru8KTGuQvh7STl0/edit#gid=2147150001"",""Whole Data Set!$A$2:$NQ$253""),381,FALSE)"),177.75)</f>
        <v>177.75</v>
      </c>
      <c r="C53" s="13">
        <f t="shared" si="1"/>
        <v>0.711</v>
      </c>
      <c r="D53" s="12">
        <f>IFERROR(__xludf.DUMMYFUNCTION("VLOOKUP(A53,IMPORTRANGE(""1aFCnJY1qhIj8-JckJhDJ18aqmVo17tofpQmOjcYa3u8/edit#gid=948248086"",""Whole Data Set!$A$2:$NG$253""),371,FALSE)"),164.75)</f>
        <v>164.75</v>
      </c>
      <c r="E53" s="13">
        <f t="shared" si="2"/>
        <v>0.659</v>
      </c>
      <c r="F53" s="13">
        <f t="shared" si="3"/>
        <v>0.052</v>
      </c>
      <c r="G53" s="12">
        <f>IFERROR(__xludf.DUMMYFUNCTION("VLOOKUP(A53,IMPORTRANGE(""1QZ5UxyNCwadreQAXnQ7oCoH982DjIA-QnZdO7ZoqkC0/edit#gid=0"",""2018-2021!$A$2:$O$250""),2,FALSE)"),168.75)</f>
        <v>168.75</v>
      </c>
      <c r="H53" s="14">
        <f t="shared" si="4"/>
        <v>0.675</v>
      </c>
      <c r="I53" s="15">
        <f t="shared" si="5"/>
        <v>0.036</v>
      </c>
      <c r="J53" s="16">
        <f>IFERROR(__xludf.DUMMYFUNCTION("VLOOKUP(A53,IMPORTRANGE(""1QZ5UxyNCwadreQAXnQ7oCoH982DjIA-QnZdO7ZoqkC0/edit#gid=0"",""2018-2021!$A$2:$O$250""),4,FALSE)"),182.0)</f>
        <v>182</v>
      </c>
      <c r="K53" s="17">
        <f t="shared" si="6"/>
        <v>0.728</v>
      </c>
      <c r="L53" s="17">
        <f t="shared" si="12"/>
        <v>-0.069</v>
      </c>
      <c r="M53" s="16">
        <f>IFERROR(__xludf.DUMMYFUNCTION("VLOOKUP(A53,IMPORTRANGE(""1QZ5UxyNCwadreQAXnQ7oCoH982DjIA-QnZdO7ZoqkC0/edit#gid=0"",""2018-2021!$A$2:$O$250""),7,FALSE)"),153.0)</f>
        <v>153</v>
      </c>
      <c r="N53" s="17">
        <f t="shared" si="8"/>
        <v>0.612</v>
      </c>
      <c r="O53" s="17">
        <f t="shared" si="9"/>
        <v>0.099</v>
      </c>
      <c r="P53" s="16">
        <f>IFERROR(__xludf.DUMMYFUNCTION("VLOOKUP(A53,IMPORTRANGE(""1QZ5UxyNCwadreQAXnQ7oCoH982DjIA-QnZdO7ZoqkC0/edit#gid=0"",""2018-2021!$A$2:$O$250""),10,FALSE)"),137.0)</f>
        <v>137</v>
      </c>
      <c r="Q53" s="17">
        <f t="shared" si="10"/>
        <v>0.548</v>
      </c>
      <c r="R53" s="17">
        <f t="shared" si="11"/>
        <v>0.163</v>
      </c>
    </row>
    <row r="54">
      <c r="A54" s="19" t="s">
        <v>55</v>
      </c>
      <c r="B54" s="41">
        <f>IFERROR(__xludf.DUMMYFUNCTION("VLOOKUP(A54,IMPORTRANGE(""1EmrnCz2gLVTx5Cbj0e5tfuHPhTtmru8KTGuQvh7STl0/edit#gid=2147150001"",""Whole Data Set!$A$2:$NQ$253""),381,FALSE)"),93.75)</f>
        <v>93.75</v>
      </c>
      <c r="C54" s="13">
        <f t="shared" si="1"/>
        <v>0.375</v>
      </c>
      <c r="D54" s="12">
        <f>IFERROR(__xludf.DUMMYFUNCTION("VLOOKUP(A54,IMPORTRANGE(""1aFCnJY1qhIj8-JckJhDJ18aqmVo17tofpQmOjcYa3u8/edit#gid=948248086"",""Whole Data Set!$A$2:$NG$253""),371,FALSE)"),68.0)</f>
        <v>68</v>
      </c>
      <c r="E54" s="13">
        <f t="shared" si="2"/>
        <v>0.272</v>
      </c>
      <c r="F54" s="13">
        <f t="shared" si="3"/>
        <v>0.103</v>
      </c>
      <c r="G54" s="12">
        <f>IFERROR(__xludf.DUMMYFUNCTION("VLOOKUP(A54,IMPORTRANGE(""1QZ5UxyNCwadreQAXnQ7oCoH982DjIA-QnZdO7ZoqkC0/edit#gid=0"",""2018-2021!$A$2:$O$250""),2,FALSE)"),98.25)</f>
        <v>98.25</v>
      </c>
      <c r="H54" s="14">
        <f t="shared" si="4"/>
        <v>0.393</v>
      </c>
      <c r="I54" s="15">
        <f t="shared" si="5"/>
        <v>-0.018</v>
      </c>
      <c r="J54" s="16">
        <f>IFERROR(__xludf.DUMMYFUNCTION("VLOOKUP(A54,IMPORTRANGE(""1QZ5UxyNCwadreQAXnQ7oCoH982DjIA-QnZdO7ZoqkC0/edit#gid=0"",""2018-2021!$A$2:$O$250""),4,FALSE)"),97.0)</f>
        <v>97</v>
      </c>
      <c r="K54" s="17">
        <f t="shared" si="6"/>
        <v>0.388</v>
      </c>
      <c r="L54" s="17">
        <f t="shared" si="12"/>
        <v>-0.116</v>
      </c>
      <c r="M54" s="16">
        <f>IFERROR(__xludf.DUMMYFUNCTION("VLOOKUP(A54,IMPORTRANGE(""1QZ5UxyNCwadreQAXnQ7oCoH982DjIA-QnZdO7ZoqkC0/edit#gid=0"",""2018-2021!$A$2:$O$250""),7,FALSE)"),77.0)</f>
        <v>77</v>
      </c>
      <c r="N54" s="17">
        <f t="shared" si="8"/>
        <v>0.308</v>
      </c>
      <c r="O54" s="17">
        <f t="shared" si="9"/>
        <v>0.067</v>
      </c>
      <c r="P54" s="16">
        <f>IFERROR(__xludf.DUMMYFUNCTION("VLOOKUP(A54,IMPORTRANGE(""1QZ5UxyNCwadreQAXnQ7oCoH982DjIA-QnZdO7ZoqkC0/edit#gid=0"",""2018-2021!$A$2:$O$250""),10,FALSE)"),60.0)</f>
        <v>60</v>
      </c>
      <c r="Q54" s="17">
        <f t="shared" si="10"/>
        <v>0.24</v>
      </c>
      <c r="R54" s="17">
        <f t="shared" si="11"/>
        <v>0.135</v>
      </c>
    </row>
    <row r="55">
      <c r="A55" s="19" t="s">
        <v>50</v>
      </c>
      <c r="B55" s="41">
        <f>IFERROR(__xludf.DUMMYFUNCTION("VLOOKUP(A55,IMPORTRANGE(""1EmrnCz2gLVTx5Cbj0e5tfuHPhTtmru8KTGuQvh7STl0/edit#gid=2147150001"",""Whole Data Set!$A$2:$NQ$253""),381,FALSE)"),0.0)</f>
        <v>0</v>
      </c>
      <c r="C55" s="13">
        <f t="shared" si="1"/>
        <v>0</v>
      </c>
      <c r="D55" s="12">
        <f>IFERROR(__xludf.DUMMYFUNCTION("VLOOKUP(A55,IMPORTRANGE(""1aFCnJY1qhIj8-JckJhDJ18aqmVo17tofpQmOjcYa3u8/edit#gid=948248086"",""Whole Data Set!$A$2:$NG$253""),371,FALSE)"),0.25)</f>
        <v>0.25</v>
      </c>
      <c r="E55" s="13">
        <f t="shared" si="2"/>
        <v>0.001</v>
      </c>
      <c r="F55" s="13">
        <f t="shared" si="3"/>
        <v>-0.001</v>
      </c>
      <c r="G55" s="12">
        <f>IFERROR(__xludf.DUMMYFUNCTION("VLOOKUP(A55,IMPORTRANGE(""1QZ5UxyNCwadreQAXnQ7oCoH982DjIA-QnZdO7ZoqkC0/edit#gid=0"",""2018-2021!$A$2:$O$250""),2,FALSE)"),0.75)</f>
        <v>0.75</v>
      </c>
      <c r="H55" s="14">
        <f t="shared" si="4"/>
        <v>0.003</v>
      </c>
      <c r="I55" s="15">
        <f t="shared" si="5"/>
        <v>-0.003</v>
      </c>
      <c r="J55" s="16">
        <f>IFERROR(__xludf.DUMMYFUNCTION("VLOOKUP(A55,IMPORTRANGE(""1QZ5UxyNCwadreQAXnQ7oCoH982DjIA-QnZdO7ZoqkC0/edit#gid=0"",""2018-2021!$A$2:$O$250""),4,FALSE)"),0.0)</f>
        <v>0</v>
      </c>
      <c r="K55" s="17">
        <f t="shared" si="6"/>
        <v>0</v>
      </c>
      <c r="L55" s="17">
        <f t="shared" si="12"/>
        <v>0.001</v>
      </c>
      <c r="M55" s="16">
        <f>IFERROR(__xludf.DUMMYFUNCTION("VLOOKUP(A55,IMPORTRANGE(""1QZ5UxyNCwadreQAXnQ7oCoH982DjIA-QnZdO7ZoqkC0/edit#gid=0"",""2018-2021!$A$2:$O$250""),7,FALSE)"),0.5)</f>
        <v>0.5</v>
      </c>
      <c r="N55" s="17">
        <f t="shared" si="8"/>
        <v>0.002</v>
      </c>
      <c r="O55" s="17">
        <f t="shared" si="9"/>
        <v>-0.002</v>
      </c>
      <c r="P55" s="16">
        <f>IFERROR(__xludf.DUMMYFUNCTION("VLOOKUP(A55,IMPORTRANGE(""1QZ5UxyNCwadreQAXnQ7oCoH982DjIA-QnZdO7ZoqkC0/edit#gid=0"",""2018-2021!$A$2:$O$250""),10,FALSE)"),0.0)</f>
        <v>0</v>
      </c>
      <c r="Q55" s="17">
        <f t="shared" si="10"/>
        <v>0</v>
      </c>
      <c r="R55" s="17">
        <f t="shared" si="11"/>
        <v>0</v>
      </c>
    </row>
    <row r="56">
      <c r="A56" s="19" t="s">
        <v>98</v>
      </c>
      <c r="B56" s="41">
        <f>IFERROR(__xludf.DUMMYFUNCTION("VLOOKUP(A56,IMPORTRANGE(""1EmrnCz2gLVTx5Cbj0e5tfuHPhTtmru8KTGuQvh7STl0/edit#gid=2147150001"",""Whole Data Set!$A$2:$NQ$253""),381,FALSE)"),69.75)</f>
        <v>69.75</v>
      </c>
      <c r="C56" s="13">
        <f t="shared" si="1"/>
        <v>0.279</v>
      </c>
      <c r="D56" s="12">
        <f>IFERROR(__xludf.DUMMYFUNCTION("VLOOKUP(A56,IMPORTRANGE(""1aFCnJY1qhIj8-JckJhDJ18aqmVo17tofpQmOjcYa3u8/edit#gid=948248086"",""Whole Data Set!$A$2:$NG$253""),371,FALSE)"),77.25)</f>
        <v>77.25</v>
      </c>
      <c r="E56" s="13">
        <f t="shared" si="2"/>
        <v>0.309</v>
      </c>
      <c r="F56" s="13">
        <f t="shared" si="3"/>
        <v>-0.03</v>
      </c>
      <c r="G56" s="12">
        <f>IFERROR(__xludf.DUMMYFUNCTION("VLOOKUP(A56,IMPORTRANGE(""1QZ5UxyNCwadreQAXnQ7oCoH982DjIA-QnZdO7ZoqkC0/edit#gid=0"",""2018-2021!$A$2:$O$250""),2,FALSE)"),92.75)</f>
        <v>92.75</v>
      </c>
      <c r="H56" s="14">
        <f t="shared" si="4"/>
        <v>0.371</v>
      </c>
      <c r="I56" s="15">
        <f t="shared" si="5"/>
        <v>-0.092</v>
      </c>
      <c r="J56" s="16">
        <f>IFERROR(__xludf.DUMMYFUNCTION("VLOOKUP(A56,IMPORTRANGE(""1QZ5UxyNCwadreQAXnQ7oCoH982DjIA-QnZdO7ZoqkC0/edit#gid=0"",""2018-2021!$A$2:$O$250""),4,FALSE)"),82.5)</f>
        <v>82.5</v>
      </c>
      <c r="K56" s="17">
        <f t="shared" si="6"/>
        <v>0.33</v>
      </c>
      <c r="L56" s="17">
        <f t="shared" si="12"/>
        <v>-0.021</v>
      </c>
      <c r="M56" s="16">
        <f>IFERROR(__xludf.DUMMYFUNCTION("VLOOKUP(A56,IMPORTRANGE(""1QZ5UxyNCwadreQAXnQ7oCoH982DjIA-QnZdO7ZoqkC0/edit#gid=0"",""2018-2021!$A$2:$O$250""),7,FALSE)"),78.5)</f>
        <v>78.5</v>
      </c>
      <c r="N56" s="17">
        <f t="shared" si="8"/>
        <v>0.314</v>
      </c>
      <c r="O56" s="17">
        <f t="shared" si="9"/>
        <v>-0.035</v>
      </c>
      <c r="P56" s="16">
        <f>IFERROR(__xludf.DUMMYFUNCTION("VLOOKUP(A56,IMPORTRANGE(""1QZ5UxyNCwadreQAXnQ7oCoH982DjIA-QnZdO7ZoqkC0/edit#gid=0"",""2018-2021!$A$2:$O$250""),10,FALSE)"),65.0)</f>
        <v>65</v>
      </c>
      <c r="Q56" s="17">
        <f t="shared" si="10"/>
        <v>0.26</v>
      </c>
      <c r="R56" s="17">
        <f t="shared" si="11"/>
        <v>0.019</v>
      </c>
    </row>
    <row r="57">
      <c r="A57" s="19" t="s">
        <v>58</v>
      </c>
      <c r="B57" s="41">
        <f>IFERROR(__xludf.DUMMYFUNCTION("VLOOKUP(A57,IMPORTRANGE(""1EmrnCz2gLVTx5Cbj0e5tfuHPhTtmru8KTGuQvh7STl0/edit#gid=2147150001"",""Whole Data Set!$A$2:$NQ$253""),381,FALSE)"),21.5)</f>
        <v>21.5</v>
      </c>
      <c r="C57" s="13">
        <f t="shared" si="1"/>
        <v>0.086</v>
      </c>
      <c r="D57" s="12">
        <f>IFERROR(__xludf.DUMMYFUNCTION("VLOOKUP(A57,IMPORTRANGE(""1aFCnJY1qhIj8-JckJhDJ18aqmVo17tofpQmOjcYa3u8/edit#gid=948248086"",""Whole Data Set!$A$2:$NG$253""),371,FALSE)"),19.0)</f>
        <v>19</v>
      </c>
      <c r="E57" s="13">
        <f t="shared" si="2"/>
        <v>0.076</v>
      </c>
      <c r="F57" s="13">
        <f t="shared" si="3"/>
        <v>0.01</v>
      </c>
      <c r="G57" s="12">
        <f>IFERROR(__xludf.DUMMYFUNCTION("VLOOKUP(A57,IMPORTRANGE(""1QZ5UxyNCwadreQAXnQ7oCoH982DjIA-QnZdO7ZoqkC0/edit#gid=0"",""2018-2021!$A$2:$O$250""),2,FALSE)"),33.0)</f>
        <v>33</v>
      </c>
      <c r="H57" s="14">
        <f t="shared" si="4"/>
        <v>0.132</v>
      </c>
      <c r="I57" s="15">
        <f t="shared" si="5"/>
        <v>-0.046</v>
      </c>
      <c r="J57" s="16">
        <f>IFERROR(__xludf.DUMMYFUNCTION("VLOOKUP(A57,IMPORTRANGE(""1QZ5UxyNCwadreQAXnQ7oCoH982DjIA-QnZdO7ZoqkC0/edit#gid=0"",""2018-2021!$A$2:$O$250""),4,FALSE)"),47.5)</f>
        <v>47.5</v>
      </c>
      <c r="K57" s="17">
        <f t="shared" si="6"/>
        <v>0.19</v>
      </c>
      <c r="L57" s="17">
        <f t="shared" si="12"/>
        <v>-0.114</v>
      </c>
      <c r="M57" s="16">
        <f>IFERROR(__xludf.DUMMYFUNCTION("VLOOKUP(A57,IMPORTRANGE(""1QZ5UxyNCwadreQAXnQ7oCoH982DjIA-QnZdO7ZoqkC0/edit#gid=0"",""2018-2021!$A$2:$O$250""),7,FALSE)"),53.0)</f>
        <v>53</v>
      </c>
      <c r="N57" s="17">
        <f t="shared" si="8"/>
        <v>0.212</v>
      </c>
      <c r="O57" s="17">
        <f t="shared" si="9"/>
        <v>-0.126</v>
      </c>
      <c r="P57" s="16">
        <f>IFERROR(__xludf.DUMMYFUNCTION("VLOOKUP(A57,IMPORTRANGE(""1QZ5UxyNCwadreQAXnQ7oCoH982DjIA-QnZdO7ZoqkC0/edit#gid=0"",""2018-2021!$A$2:$O$250""),10,FALSE)"),54.5)</f>
        <v>54.5</v>
      </c>
      <c r="Q57" s="17">
        <f t="shared" si="10"/>
        <v>0.218</v>
      </c>
      <c r="R57" s="17">
        <f t="shared" si="11"/>
        <v>-0.132</v>
      </c>
    </row>
    <row r="58">
      <c r="A58" s="19" t="s">
        <v>59</v>
      </c>
      <c r="B58" s="41">
        <f>IFERROR(__xludf.DUMMYFUNCTION("VLOOKUP(A58,IMPORTRANGE(""1EmrnCz2gLVTx5Cbj0e5tfuHPhTtmru8KTGuQvh7STl0/edit#gid=2147150001"",""Whole Data Set!$A$2:$NQ$253""),381,FALSE)"),137.0)</f>
        <v>137</v>
      </c>
      <c r="C58" s="13">
        <f t="shared" si="1"/>
        <v>0.548</v>
      </c>
      <c r="D58" s="12">
        <f>IFERROR(__xludf.DUMMYFUNCTION("VLOOKUP(A58,IMPORTRANGE(""1aFCnJY1qhIj8-JckJhDJ18aqmVo17tofpQmOjcYa3u8/edit#gid=948248086"",""Whole Data Set!$A$2:$NG$253""),371,FALSE)"),123.25)</f>
        <v>123.25</v>
      </c>
      <c r="E58" s="13">
        <f t="shared" si="2"/>
        <v>0.493</v>
      </c>
      <c r="F58" s="13">
        <f t="shared" si="3"/>
        <v>0.055</v>
      </c>
      <c r="G58" s="12">
        <f>IFERROR(__xludf.DUMMYFUNCTION("VLOOKUP(A58,IMPORTRANGE(""1QZ5UxyNCwadreQAXnQ7oCoH982DjIA-QnZdO7ZoqkC0/edit#gid=0"",""2018-2021!$A$2:$O$250""),2,FALSE)"),84.25)</f>
        <v>84.25</v>
      </c>
      <c r="H58" s="14">
        <f t="shared" si="4"/>
        <v>0.337</v>
      </c>
      <c r="I58" s="15">
        <f t="shared" si="5"/>
        <v>0.211</v>
      </c>
      <c r="J58" s="16">
        <f>IFERROR(__xludf.DUMMYFUNCTION("VLOOKUP(A58,IMPORTRANGE(""1QZ5UxyNCwadreQAXnQ7oCoH982DjIA-QnZdO7ZoqkC0/edit#gid=0"",""2018-2021!$A$2:$O$250""),4,FALSE)"),102.5)</f>
        <v>102.5</v>
      </c>
      <c r="K58" s="17">
        <f t="shared" si="6"/>
        <v>0.41</v>
      </c>
      <c r="L58" s="17">
        <f t="shared" si="12"/>
        <v>0.083</v>
      </c>
      <c r="M58" s="16">
        <f>IFERROR(__xludf.DUMMYFUNCTION("VLOOKUP(A58,IMPORTRANGE(""1QZ5UxyNCwadreQAXnQ7oCoH982DjIA-QnZdO7ZoqkC0/edit#gid=0"",""2018-2021!$A$2:$O$250""),7,FALSE)"),103.5)</f>
        <v>103.5</v>
      </c>
      <c r="N58" s="17">
        <f t="shared" si="8"/>
        <v>0.414</v>
      </c>
      <c r="O58" s="17">
        <f t="shared" si="9"/>
        <v>0.134</v>
      </c>
      <c r="P58" s="16">
        <f>IFERROR(__xludf.DUMMYFUNCTION("VLOOKUP(A58,IMPORTRANGE(""1QZ5UxyNCwadreQAXnQ7oCoH982DjIA-QnZdO7ZoqkC0/edit#gid=0"",""2018-2021!$A$2:$O$250""),10,FALSE)"),94.0)</f>
        <v>94</v>
      </c>
      <c r="Q58" s="17">
        <f t="shared" si="10"/>
        <v>0.376</v>
      </c>
      <c r="R58" s="17">
        <f t="shared" si="11"/>
        <v>0.172</v>
      </c>
    </row>
    <row r="59">
      <c r="A59" s="19" t="s">
        <v>60</v>
      </c>
      <c r="B59" s="41">
        <f>IFERROR(__xludf.DUMMYFUNCTION("VLOOKUP(A59,IMPORTRANGE(""1EmrnCz2gLVTx5Cbj0e5tfuHPhTtmru8KTGuQvh7STl0/edit#gid=2147150001"",""Whole Data Set!$A$2:$NQ$253""),381,FALSE)"),102.0)</f>
        <v>102</v>
      </c>
      <c r="C59" s="13">
        <f t="shared" si="1"/>
        <v>0.408</v>
      </c>
      <c r="D59" s="12">
        <f>IFERROR(__xludf.DUMMYFUNCTION("VLOOKUP(A59,IMPORTRANGE(""1aFCnJY1qhIj8-JckJhDJ18aqmVo17tofpQmOjcYa3u8/edit#gid=948248086"",""Whole Data Set!$A$2:$NG$253""),371,FALSE)"),90.75)</f>
        <v>90.75</v>
      </c>
      <c r="E59" s="13">
        <f t="shared" si="2"/>
        <v>0.363</v>
      </c>
      <c r="F59" s="13">
        <f t="shared" si="3"/>
        <v>0.045</v>
      </c>
      <c r="G59" s="12">
        <f>IFERROR(__xludf.DUMMYFUNCTION("VLOOKUP(A59,IMPORTRANGE(""1QZ5UxyNCwadreQAXnQ7oCoH982DjIA-QnZdO7ZoqkC0/edit#gid=0"",""2018-2021!$A$2:$O$250""),2,FALSE)"),63.0)</f>
        <v>63</v>
      </c>
      <c r="H59" s="14">
        <f t="shared" si="4"/>
        <v>0.252</v>
      </c>
      <c r="I59" s="15">
        <f t="shared" si="5"/>
        <v>0.156</v>
      </c>
      <c r="J59" s="16">
        <f>IFERROR(__xludf.DUMMYFUNCTION("VLOOKUP(A59,IMPORTRANGE(""1QZ5UxyNCwadreQAXnQ7oCoH982DjIA-QnZdO7ZoqkC0/edit#gid=0"",""2018-2021!$A$2:$O$250""),4,FALSE)"),73.0)</f>
        <v>73</v>
      </c>
      <c r="K59" s="17">
        <f t="shared" si="6"/>
        <v>0.292</v>
      </c>
      <c r="L59" s="17">
        <f t="shared" si="12"/>
        <v>0.071</v>
      </c>
      <c r="M59" s="16">
        <f>IFERROR(__xludf.DUMMYFUNCTION("VLOOKUP(A59,IMPORTRANGE(""1QZ5UxyNCwadreQAXnQ7oCoH982DjIA-QnZdO7ZoqkC0/edit#gid=0"",""2018-2021!$A$2:$O$250""),7,FALSE)"),70.5)</f>
        <v>70.5</v>
      </c>
      <c r="N59" s="17">
        <f t="shared" si="8"/>
        <v>0.282</v>
      </c>
      <c r="O59" s="17">
        <f t="shared" si="9"/>
        <v>0.126</v>
      </c>
      <c r="P59" s="16">
        <f>IFERROR(__xludf.DUMMYFUNCTION("VLOOKUP(A59,IMPORTRANGE(""1QZ5UxyNCwadreQAXnQ7oCoH982DjIA-QnZdO7ZoqkC0/edit#gid=0"",""2018-2021!$A$2:$O$250""),10,FALSE)"),50.0)</f>
        <v>50</v>
      </c>
      <c r="Q59" s="17">
        <f t="shared" si="10"/>
        <v>0.2</v>
      </c>
      <c r="R59" s="17">
        <f t="shared" si="11"/>
        <v>0.208</v>
      </c>
    </row>
    <row r="60">
      <c r="A60" s="19" t="s">
        <v>130</v>
      </c>
      <c r="B60" s="41">
        <f>IFERROR(__xludf.DUMMYFUNCTION("VLOOKUP(A60,IMPORTRANGE(""1EmrnCz2gLVTx5Cbj0e5tfuHPhTtmru8KTGuQvh7STl0/edit#gid=2147150001"",""Whole Data Set!$A$2:$NQ$253""),381,FALSE)"),73.5)</f>
        <v>73.5</v>
      </c>
      <c r="C60" s="13">
        <f t="shared" si="1"/>
        <v>0.294</v>
      </c>
      <c r="D60" s="12">
        <f>IFERROR(__xludf.DUMMYFUNCTION("VLOOKUP(A60,IMPORTRANGE(""1aFCnJY1qhIj8-JckJhDJ18aqmVo17tofpQmOjcYa3u8/edit#gid=948248086"",""Whole Data Set!$A$2:$NG$253""),371,FALSE)"),58.0)</f>
        <v>58</v>
      </c>
      <c r="E60" s="13">
        <f t="shared" si="2"/>
        <v>0.232</v>
      </c>
      <c r="F60" s="13">
        <f t="shared" si="3"/>
        <v>0.062</v>
      </c>
      <c r="G60" s="12">
        <f>IFERROR(__xludf.DUMMYFUNCTION("VLOOKUP(A60,IMPORTRANGE(""1QZ5UxyNCwadreQAXnQ7oCoH982DjIA-QnZdO7ZoqkC0/edit#gid=0"",""2018-2021!$A$2:$O$250""),2,FALSE)"),66.5)</f>
        <v>66.5</v>
      </c>
      <c r="H60" s="14">
        <f t="shared" si="4"/>
        <v>0.266</v>
      </c>
      <c r="I60" s="15">
        <f t="shared" si="5"/>
        <v>0.028</v>
      </c>
      <c r="J60" s="16">
        <f>IFERROR(__xludf.DUMMYFUNCTION("VLOOKUP(A60,IMPORTRANGE(""1QZ5UxyNCwadreQAXnQ7oCoH982DjIA-QnZdO7ZoqkC0/edit#gid=0"",""2018-2021!$A$2:$O$250""),4,FALSE)"),40.0)</f>
        <v>40</v>
      </c>
      <c r="K60" s="17">
        <f t="shared" si="6"/>
        <v>0.16</v>
      </c>
      <c r="L60" s="17">
        <f t="shared" si="12"/>
        <v>0.072</v>
      </c>
      <c r="M60" s="16">
        <f>IFERROR(__xludf.DUMMYFUNCTION("VLOOKUP(A60,IMPORTRANGE(""1QZ5UxyNCwadreQAXnQ7oCoH982DjIA-QnZdO7ZoqkC0/edit#gid=0"",""2018-2021!$A$2:$O$250""),7,FALSE)"),27.5)</f>
        <v>27.5</v>
      </c>
      <c r="N60" s="17">
        <f t="shared" si="8"/>
        <v>0.11</v>
      </c>
      <c r="O60" s="17">
        <f t="shared" si="9"/>
        <v>0.184</v>
      </c>
      <c r="P60" s="16">
        <f>IFERROR(__xludf.DUMMYFUNCTION("VLOOKUP(A60,IMPORTRANGE(""1QZ5UxyNCwadreQAXnQ7oCoH982DjIA-QnZdO7ZoqkC0/edit#gid=0"",""2018-2021!$A$2:$O$250""),10,FALSE)"),31.5)</f>
        <v>31.5</v>
      </c>
      <c r="Q60" s="17">
        <f t="shared" si="10"/>
        <v>0.126</v>
      </c>
      <c r="R60" s="17">
        <f t="shared" si="11"/>
        <v>0.168</v>
      </c>
    </row>
    <row r="61">
      <c r="A61" s="19" t="s">
        <v>131</v>
      </c>
      <c r="B61" s="41">
        <f>IFERROR(__xludf.DUMMYFUNCTION("VLOOKUP(A61,IMPORTRANGE(""1EmrnCz2gLVTx5Cbj0e5tfuHPhTtmru8KTGuQvh7STl0/edit#gid=2147150001"",""Whole Data Set!$A$2:$NQ$253""),381,FALSE)"),44.5)</f>
        <v>44.5</v>
      </c>
      <c r="C61" s="13">
        <f t="shared" si="1"/>
        <v>0.178</v>
      </c>
      <c r="D61" s="12">
        <f>IFERROR(__xludf.DUMMYFUNCTION("VLOOKUP(A61,IMPORTRANGE(""1aFCnJY1qhIj8-JckJhDJ18aqmVo17tofpQmOjcYa3u8/edit#gid=948248086"",""Whole Data Set!$A$2:$NG$253""),371,FALSE)"),44.5)</f>
        <v>44.5</v>
      </c>
      <c r="E61" s="13">
        <f t="shared" si="2"/>
        <v>0.178</v>
      </c>
      <c r="F61" s="13">
        <f t="shared" si="3"/>
        <v>0</v>
      </c>
      <c r="G61" s="12">
        <f>IFERROR(__xludf.DUMMYFUNCTION("VLOOKUP(A61,IMPORTRANGE(""1QZ5UxyNCwadreQAXnQ7oCoH982DjIA-QnZdO7ZoqkC0/edit#gid=0"",""2018-2021!$A$2:$O$250""),2,FALSE)"),33.5)</f>
        <v>33.5</v>
      </c>
      <c r="H61" s="14">
        <f t="shared" si="4"/>
        <v>0.134</v>
      </c>
      <c r="I61" s="15">
        <f t="shared" si="5"/>
        <v>0.044</v>
      </c>
      <c r="J61" s="16">
        <f>IFERROR(__xludf.DUMMYFUNCTION("VLOOKUP(A61,IMPORTRANGE(""1QZ5UxyNCwadreQAXnQ7oCoH982DjIA-QnZdO7ZoqkC0/edit#gid=0"",""2018-2021!$A$2:$O$250""),4,FALSE)"),33.5)</f>
        <v>33.5</v>
      </c>
      <c r="K61" s="17">
        <f t="shared" si="6"/>
        <v>0.134</v>
      </c>
      <c r="L61" s="17">
        <f t="shared" si="12"/>
        <v>0.044</v>
      </c>
      <c r="M61" s="16">
        <f>IFERROR(__xludf.DUMMYFUNCTION("VLOOKUP(A61,IMPORTRANGE(""1QZ5UxyNCwadreQAXnQ7oCoH982DjIA-QnZdO7ZoqkC0/edit#gid=0"",""2018-2021!$A$2:$O$250""),7,FALSE)"),27.5)</f>
        <v>27.5</v>
      </c>
      <c r="N61" s="17">
        <f t="shared" si="8"/>
        <v>0.11</v>
      </c>
      <c r="O61" s="17">
        <f t="shared" si="9"/>
        <v>0.068</v>
      </c>
      <c r="P61" s="16">
        <f>IFERROR(__xludf.DUMMYFUNCTION("VLOOKUP(A61,IMPORTRANGE(""1QZ5UxyNCwadreQAXnQ7oCoH982DjIA-QnZdO7ZoqkC0/edit#gid=0"",""2018-2021!$A$2:$O$250""),10,FALSE)"),29.0)</f>
        <v>29</v>
      </c>
      <c r="Q61" s="17">
        <f t="shared" si="10"/>
        <v>0.116</v>
      </c>
      <c r="R61" s="17">
        <f t="shared" si="11"/>
        <v>0.062</v>
      </c>
    </row>
    <row r="62">
      <c r="A62" s="19" t="s">
        <v>132</v>
      </c>
      <c r="B62" s="41">
        <f>IFERROR(__xludf.DUMMYFUNCTION("VLOOKUP(A62,IMPORTRANGE(""1EmrnCz2gLVTx5Cbj0e5tfuHPhTtmru8KTGuQvh7STl0/edit#gid=2147150001"",""Whole Data Set!$A$2:$NQ$253""),381,FALSE)"),80.0)</f>
        <v>80</v>
      </c>
      <c r="C62" s="13">
        <f t="shared" si="1"/>
        <v>0.32</v>
      </c>
      <c r="D62" s="12">
        <f>IFERROR(__xludf.DUMMYFUNCTION("VLOOKUP(A62,IMPORTRANGE(""1aFCnJY1qhIj8-JckJhDJ18aqmVo17tofpQmOjcYa3u8/edit#gid=948248086"",""Whole Data Set!$A$2:$NG$253""),371,FALSE)"),85.5)</f>
        <v>85.5</v>
      </c>
      <c r="E62" s="13">
        <f t="shared" si="2"/>
        <v>0.342</v>
      </c>
      <c r="F62" s="13">
        <f t="shared" si="3"/>
        <v>-0.022</v>
      </c>
      <c r="G62" s="12">
        <f>IFERROR(__xludf.DUMMYFUNCTION("VLOOKUP(A62,IMPORTRANGE(""1QZ5UxyNCwadreQAXnQ7oCoH982DjIA-QnZdO7ZoqkC0/edit#gid=0"",""2018-2021!$A$2:$O$250""),2,FALSE)"),66.25)</f>
        <v>66.25</v>
      </c>
      <c r="H62" s="14">
        <f t="shared" si="4"/>
        <v>0.265</v>
      </c>
      <c r="I62" s="15">
        <f t="shared" si="5"/>
        <v>0.055</v>
      </c>
      <c r="J62" s="16">
        <f>IFERROR(__xludf.DUMMYFUNCTION("VLOOKUP(A62,IMPORTRANGE(""1QZ5UxyNCwadreQAXnQ7oCoH982DjIA-QnZdO7ZoqkC0/edit#gid=0"",""2018-2021!$A$2:$O$250""),4,FALSE)"),74.0)</f>
        <v>74</v>
      </c>
      <c r="K62" s="17">
        <f t="shared" si="6"/>
        <v>0.296</v>
      </c>
      <c r="L62" s="17">
        <f t="shared" si="12"/>
        <v>0.046</v>
      </c>
      <c r="M62" s="16">
        <f>IFERROR(__xludf.DUMMYFUNCTION("VLOOKUP(A62,IMPORTRANGE(""1QZ5UxyNCwadreQAXnQ7oCoH982DjIA-QnZdO7ZoqkC0/edit#gid=0"",""2018-2021!$A$2:$O$250""),7,FALSE)"),71.0)</f>
        <v>71</v>
      </c>
      <c r="N62" s="17">
        <f t="shared" si="8"/>
        <v>0.284</v>
      </c>
      <c r="O62" s="17">
        <f t="shared" si="9"/>
        <v>0.036</v>
      </c>
      <c r="P62" s="16">
        <f>IFERROR(__xludf.DUMMYFUNCTION("VLOOKUP(A62,IMPORTRANGE(""1QZ5UxyNCwadreQAXnQ7oCoH982DjIA-QnZdO7ZoqkC0/edit#gid=0"",""2018-2021!$A$2:$O$250""),10,FALSE)"),59.0)</f>
        <v>59</v>
      </c>
      <c r="Q62" s="17">
        <f t="shared" si="10"/>
        <v>0.236</v>
      </c>
      <c r="R62" s="17">
        <f t="shared" si="11"/>
        <v>0.084</v>
      </c>
    </row>
    <row r="63">
      <c r="A63" s="19" t="s">
        <v>61</v>
      </c>
      <c r="B63" s="41">
        <f>IFERROR(__xludf.DUMMYFUNCTION("VLOOKUP(A63,IMPORTRANGE(""1EmrnCz2gLVTx5Cbj0e5tfuHPhTtmru8KTGuQvh7STl0/edit#gid=2147150001"",""Whole Data Set!$A$2:$NQ$253""),381,FALSE)"),124.75)</f>
        <v>124.75</v>
      </c>
      <c r="C63" s="13">
        <f t="shared" si="1"/>
        <v>0.499</v>
      </c>
      <c r="D63" s="12">
        <f>IFERROR(__xludf.DUMMYFUNCTION("VLOOKUP(A63,IMPORTRANGE(""1aFCnJY1qhIj8-JckJhDJ18aqmVo17tofpQmOjcYa3u8/edit#gid=948248086"",""Whole Data Set!$A$2:$NG$253""),371,FALSE)"),133.5)</f>
        <v>133.5</v>
      </c>
      <c r="E63" s="13">
        <f t="shared" si="2"/>
        <v>0.534</v>
      </c>
      <c r="F63" s="13">
        <f t="shared" si="3"/>
        <v>-0.035</v>
      </c>
      <c r="G63" s="12">
        <f>IFERROR(__xludf.DUMMYFUNCTION("VLOOKUP(A63,IMPORTRANGE(""1QZ5UxyNCwadreQAXnQ7oCoH982DjIA-QnZdO7ZoqkC0/edit#gid=0"",""2018-2021!$A$2:$O$250""),2,FALSE)"),138.5)</f>
        <v>138.5</v>
      </c>
      <c r="H63" s="14">
        <f t="shared" si="4"/>
        <v>0.554</v>
      </c>
      <c r="I63" s="15">
        <f t="shared" si="5"/>
        <v>-0.055</v>
      </c>
      <c r="J63" s="16">
        <f>IFERROR(__xludf.DUMMYFUNCTION("VLOOKUP(A63,IMPORTRANGE(""1QZ5UxyNCwadreQAXnQ7oCoH982DjIA-QnZdO7ZoqkC0/edit#gid=0"",""2018-2021!$A$2:$O$250""),4,FALSE)"),138.0)</f>
        <v>138</v>
      </c>
      <c r="K63" s="17">
        <f t="shared" si="6"/>
        <v>0.552</v>
      </c>
      <c r="L63" s="17">
        <f t="shared" si="12"/>
        <v>-0.018</v>
      </c>
      <c r="M63" s="16">
        <f>IFERROR(__xludf.DUMMYFUNCTION("VLOOKUP(A63,IMPORTRANGE(""1QZ5UxyNCwadreQAXnQ7oCoH982DjIA-QnZdO7ZoqkC0/edit#gid=0"",""2018-2021!$A$2:$O$250""),7,FALSE)"),143.0)</f>
        <v>143</v>
      </c>
      <c r="N63" s="17">
        <f t="shared" si="8"/>
        <v>0.572</v>
      </c>
      <c r="O63" s="17">
        <f t="shared" si="9"/>
        <v>-0.073</v>
      </c>
      <c r="P63" s="16">
        <f>IFERROR(__xludf.DUMMYFUNCTION("VLOOKUP(A63,IMPORTRANGE(""1QZ5UxyNCwadreQAXnQ7oCoH982DjIA-QnZdO7ZoqkC0/edit#gid=0"",""2018-2021!$A$2:$O$250""),10,FALSE)"),91.0)</f>
        <v>91</v>
      </c>
      <c r="Q63" s="17">
        <f t="shared" si="10"/>
        <v>0.364</v>
      </c>
      <c r="R63" s="17">
        <f t="shared" si="11"/>
        <v>0.135</v>
      </c>
    </row>
    <row r="64">
      <c r="A64" s="19" t="s">
        <v>133</v>
      </c>
      <c r="B64" s="41">
        <f>IFERROR(__xludf.DUMMYFUNCTION("VLOOKUP(A64,IMPORTRANGE(""1EmrnCz2gLVTx5Cbj0e5tfuHPhTtmru8KTGuQvh7STl0/edit#gid=2147150001"",""Whole Data Set!$A$2:$NQ$253""),381,FALSE)"),101.75)</f>
        <v>101.75</v>
      </c>
      <c r="C64" s="13">
        <f t="shared" si="1"/>
        <v>0.407</v>
      </c>
      <c r="D64" s="12">
        <f>IFERROR(__xludf.DUMMYFUNCTION("VLOOKUP(A64,IMPORTRANGE(""1aFCnJY1qhIj8-JckJhDJ18aqmVo17tofpQmOjcYa3u8/edit#gid=948248086"",""Whole Data Set!$A$2:$NG$253""),371,FALSE)"),62.25)</f>
        <v>62.25</v>
      </c>
      <c r="E64" s="13">
        <f t="shared" si="2"/>
        <v>0.249</v>
      </c>
      <c r="F64" s="13">
        <f t="shared" si="3"/>
        <v>0.158</v>
      </c>
      <c r="G64" s="12">
        <f>IFERROR(__xludf.DUMMYFUNCTION("VLOOKUP(A64,IMPORTRANGE(""1QZ5UxyNCwadreQAXnQ7oCoH982DjIA-QnZdO7ZoqkC0/edit#gid=0"",""2018-2021!$A$2:$O$250""),2,FALSE)"),54.0)</f>
        <v>54</v>
      </c>
      <c r="H64" s="14">
        <f t="shared" si="4"/>
        <v>0.216</v>
      </c>
      <c r="I64" s="15">
        <f t="shared" si="5"/>
        <v>0.191</v>
      </c>
      <c r="J64" s="16">
        <f>IFERROR(__xludf.DUMMYFUNCTION("VLOOKUP(A64,IMPORTRANGE(""1QZ5UxyNCwadreQAXnQ7oCoH982DjIA-QnZdO7ZoqkC0/edit#gid=0"",""2018-2021!$A$2:$O$250""),4,FALSE)"),47.0)</f>
        <v>47</v>
      </c>
      <c r="K64" s="17">
        <f t="shared" si="6"/>
        <v>0.188</v>
      </c>
      <c r="L64" s="17">
        <f t="shared" si="12"/>
        <v>0.061</v>
      </c>
      <c r="M64" s="16">
        <f>IFERROR(__xludf.DUMMYFUNCTION("VLOOKUP(A64,IMPORTRANGE(""1QZ5UxyNCwadreQAXnQ7oCoH982DjIA-QnZdO7ZoqkC0/edit#gid=0"",""2018-2021!$A$2:$O$250""),7,FALSE)"),50.0)</f>
        <v>50</v>
      </c>
      <c r="N64" s="17">
        <f t="shared" si="8"/>
        <v>0.2</v>
      </c>
      <c r="O64" s="17">
        <f t="shared" si="9"/>
        <v>0.207</v>
      </c>
      <c r="P64" s="16">
        <f>IFERROR(__xludf.DUMMYFUNCTION("VLOOKUP(A64,IMPORTRANGE(""1QZ5UxyNCwadreQAXnQ7oCoH982DjIA-QnZdO7ZoqkC0/edit#gid=0"",""2018-2021!$A$2:$O$250""),10,FALSE)"),30.0)</f>
        <v>30</v>
      </c>
      <c r="Q64" s="17">
        <f t="shared" si="10"/>
        <v>0.12</v>
      </c>
      <c r="R64" s="17">
        <f t="shared" si="11"/>
        <v>0.287</v>
      </c>
    </row>
    <row r="65">
      <c r="A65" s="19" t="s">
        <v>134</v>
      </c>
      <c r="B65" s="41">
        <f>IFERROR(__xludf.DUMMYFUNCTION("VLOOKUP(A65,IMPORTRANGE(""1EmrnCz2gLVTx5Cbj0e5tfuHPhTtmru8KTGuQvh7STl0/edit#gid=2147150001"",""Whole Data Set!$A$2:$NQ$253""),381,FALSE)"),41.5)</f>
        <v>41.5</v>
      </c>
      <c r="C65" s="13">
        <f t="shared" si="1"/>
        <v>0.166</v>
      </c>
      <c r="D65" s="12">
        <f>IFERROR(__xludf.DUMMYFUNCTION("VLOOKUP(A65,IMPORTRANGE(""1aFCnJY1qhIj8-JckJhDJ18aqmVo17tofpQmOjcYa3u8/edit#gid=948248086"",""Whole Data Set!$A$2:$NG$253""),371,FALSE)"),29.0)</f>
        <v>29</v>
      </c>
      <c r="E65" s="13">
        <f t="shared" si="2"/>
        <v>0.116</v>
      </c>
      <c r="F65" s="13">
        <f t="shared" si="3"/>
        <v>0.05</v>
      </c>
      <c r="G65" s="12">
        <f>IFERROR(__xludf.DUMMYFUNCTION("VLOOKUP(A65,IMPORTRANGE(""1QZ5UxyNCwadreQAXnQ7oCoH982DjIA-QnZdO7ZoqkC0/edit#gid=0"",""2018-2021!$A$2:$O$250""),2,FALSE)"),35.75)</f>
        <v>35.75</v>
      </c>
      <c r="H65" s="14">
        <f t="shared" si="4"/>
        <v>0.143</v>
      </c>
      <c r="I65" s="15">
        <f t="shared" si="5"/>
        <v>0.023</v>
      </c>
      <c r="J65" s="16">
        <f>IFERROR(__xludf.DUMMYFUNCTION("VLOOKUP(A65,IMPORTRANGE(""1QZ5UxyNCwadreQAXnQ7oCoH982DjIA-QnZdO7ZoqkC0/edit#gid=0"",""2018-2021!$A$2:$O$250""),4,FALSE)"),46.0)</f>
        <v>46</v>
      </c>
      <c r="K65" s="17">
        <f t="shared" si="6"/>
        <v>0.184</v>
      </c>
      <c r="L65" s="17">
        <f t="shared" si="12"/>
        <v>-0.068</v>
      </c>
      <c r="M65" s="16">
        <f>IFERROR(__xludf.DUMMYFUNCTION("VLOOKUP(A65,IMPORTRANGE(""1QZ5UxyNCwadreQAXnQ7oCoH982DjIA-QnZdO7ZoqkC0/edit#gid=0"",""2018-2021!$A$2:$O$250""),7,FALSE)"),33.0)</f>
        <v>33</v>
      </c>
      <c r="N65" s="17">
        <f t="shared" si="8"/>
        <v>0.132</v>
      </c>
      <c r="O65" s="17">
        <f t="shared" si="9"/>
        <v>0.034</v>
      </c>
      <c r="P65" s="16">
        <f>IFERROR(__xludf.DUMMYFUNCTION("VLOOKUP(A65,IMPORTRANGE(""1QZ5UxyNCwadreQAXnQ7oCoH982DjIA-QnZdO7ZoqkC0/edit#gid=0"",""2018-2021!$A$2:$O$250""),10,FALSE)"),40.0)</f>
        <v>40</v>
      </c>
      <c r="Q65" s="17">
        <f t="shared" si="10"/>
        <v>0.16</v>
      </c>
      <c r="R65" s="17">
        <f t="shared" si="11"/>
        <v>0.006</v>
      </c>
    </row>
    <row r="66">
      <c r="A66" s="19" t="s">
        <v>74</v>
      </c>
      <c r="B66" s="41">
        <f>IFERROR(__xludf.DUMMYFUNCTION("VLOOKUP(A66,IMPORTRANGE(""1EmrnCz2gLVTx5Cbj0e5tfuHPhTtmru8KTGuQvh7STl0/edit#gid=2147150001"",""Whole Data Set!$A$2:$NQ$253""),381,FALSE)"),41.75)</f>
        <v>41.75</v>
      </c>
      <c r="C66" s="13">
        <f t="shared" si="1"/>
        <v>0.167</v>
      </c>
      <c r="D66" s="12">
        <f>IFERROR(__xludf.DUMMYFUNCTION("VLOOKUP(A66,IMPORTRANGE(""1aFCnJY1qhIj8-JckJhDJ18aqmVo17tofpQmOjcYa3u8/edit#gid=948248086"",""Whole Data Set!$A$2:$NG$253""),371,FALSE)"),36.0)</f>
        <v>36</v>
      </c>
      <c r="E66" s="13">
        <f t="shared" si="2"/>
        <v>0.144</v>
      </c>
      <c r="F66" s="13">
        <f t="shared" si="3"/>
        <v>0.023</v>
      </c>
      <c r="G66" s="12">
        <f>IFERROR(__xludf.DUMMYFUNCTION("VLOOKUP(A66,IMPORTRANGE(""1QZ5UxyNCwadreQAXnQ7oCoH982DjIA-QnZdO7ZoqkC0/edit#gid=0"",""2018-2021!$A$2:$O$250""),2,FALSE)"),37.25)</f>
        <v>37.25</v>
      </c>
      <c r="H66" s="14">
        <f t="shared" si="4"/>
        <v>0.149</v>
      </c>
      <c r="I66" s="15">
        <f t="shared" si="5"/>
        <v>0.018</v>
      </c>
      <c r="J66" s="16">
        <f>IFERROR(__xludf.DUMMYFUNCTION("VLOOKUP(A66,IMPORTRANGE(""1QZ5UxyNCwadreQAXnQ7oCoH982DjIA-QnZdO7ZoqkC0/edit#gid=0"",""2018-2021!$A$2:$O$250""),4,FALSE)"),41.0)</f>
        <v>41</v>
      </c>
      <c r="K66" s="17">
        <f t="shared" si="6"/>
        <v>0.164</v>
      </c>
      <c r="L66" s="17">
        <f t="shared" si="12"/>
        <v>-0.02</v>
      </c>
      <c r="M66" s="16">
        <f>IFERROR(__xludf.DUMMYFUNCTION("VLOOKUP(A66,IMPORTRANGE(""1QZ5UxyNCwadreQAXnQ7oCoH982DjIA-QnZdO7ZoqkC0/edit#gid=0"",""2018-2021!$A$2:$O$250""),7,FALSE)"),26.0)</f>
        <v>26</v>
      </c>
      <c r="N66" s="17">
        <f t="shared" si="8"/>
        <v>0.104</v>
      </c>
      <c r="O66" s="17">
        <f t="shared" si="9"/>
        <v>0.063</v>
      </c>
      <c r="P66" s="16">
        <f>IFERROR(__xludf.DUMMYFUNCTION("VLOOKUP(A66,IMPORTRANGE(""1QZ5UxyNCwadreQAXnQ7oCoH982DjIA-QnZdO7ZoqkC0/edit#gid=0"",""2018-2021!$A$2:$O$250""),10,FALSE)"),20.5)</f>
        <v>20.5</v>
      </c>
      <c r="Q66" s="17">
        <f t="shared" si="10"/>
        <v>0.082</v>
      </c>
      <c r="R66" s="17">
        <f t="shared" si="11"/>
        <v>0.085</v>
      </c>
    </row>
    <row r="67">
      <c r="A67" s="19" t="s">
        <v>63</v>
      </c>
      <c r="B67" s="41">
        <f>IFERROR(__xludf.DUMMYFUNCTION("VLOOKUP(A67,IMPORTRANGE(""1EmrnCz2gLVTx5Cbj0e5tfuHPhTtmru8KTGuQvh7STl0/edit#gid=2147150001"",""Whole Data Set!$A$2:$NQ$253""),381,FALSE)"),93.75)</f>
        <v>93.75</v>
      </c>
      <c r="C67" s="13">
        <f t="shared" si="1"/>
        <v>0.375</v>
      </c>
      <c r="D67" s="12">
        <f>IFERROR(__xludf.DUMMYFUNCTION("VLOOKUP(A67,IMPORTRANGE(""1aFCnJY1qhIj8-JckJhDJ18aqmVo17tofpQmOjcYa3u8/edit#gid=948248086"",""Whole Data Set!$A$2:$NG$253""),371,FALSE)"),95.75)</f>
        <v>95.75</v>
      </c>
      <c r="E67" s="13">
        <f t="shared" si="2"/>
        <v>0.383</v>
      </c>
      <c r="F67" s="13">
        <f t="shared" si="3"/>
        <v>-0.008</v>
      </c>
      <c r="G67" s="12">
        <f>IFERROR(__xludf.DUMMYFUNCTION("VLOOKUP(A67,IMPORTRANGE(""1QZ5UxyNCwadreQAXnQ7oCoH982DjIA-QnZdO7ZoqkC0/edit#gid=0"",""2018-2021!$A$2:$O$250""),2,FALSE)"),86.75)</f>
        <v>86.75</v>
      </c>
      <c r="H67" s="14">
        <f t="shared" si="4"/>
        <v>0.347</v>
      </c>
      <c r="I67" s="15">
        <f t="shared" si="5"/>
        <v>0.028</v>
      </c>
      <c r="J67" s="16">
        <f>IFERROR(__xludf.DUMMYFUNCTION("VLOOKUP(A67,IMPORTRANGE(""1QZ5UxyNCwadreQAXnQ7oCoH982DjIA-QnZdO7ZoqkC0/edit#gid=0"",""2018-2021!$A$2:$O$250""),4,FALSE)"),61.5)</f>
        <v>61.5</v>
      </c>
      <c r="K67" s="17">
        <f t="shared" si="6"/>
        <v>0.246</v>
      </c>
      <c r="L67" s="17">
        <f t="shared" si="12"/>
        <v>0.137</v>
      </c>
      <c r="M67" s="16">
        <f>IFERROR(__xludf.DUMMYFUNCTION("VLOOKUP(A67,IMPORTRANGE(""1QZ5UxyNCwadreQAXnQ7oCoH982DjIA-QnZdO7ZoqkC0/edit#gid=0"",""2018-2021!$A$2:$O$250""),7,FALSE)"),32.5)</f>
        <v>32.5</v>
      </c>
      <c r="N67" s="17">
        <f t="shared" si="8"/>
        <v>0.13</v>
      </c>
      <c r="O67" s="17">
        <f t="shared" si="9"/>
        <v>0.245</v>
      </c>
      <c r="P67" s="16">
        <f>IFERROR(__xludf.DUMMYFUNCTION("VLOOKUP(A67,IMPORTRANGE(""1QZ5UxyNCwadreQAXnQ7oCoH982DjIA-QnZdO7ZoqkC0/edit#gid=0"",""2018-2021!$A$2:$O$250""),10,FALSE)"),15.0)</f>
        <v>15</v>
      </c>
      <c r="Q67" s="17">
        <f t="shared" si="10"/>
        <v>0.06</v>
      </c>
      <c r="R67" s="17">
        <f t="shared" si="11"/>
        <v>0.315</v>
      </c>
    </row>
    <row r="68">
      <c r="A68" s="19" t="s">
        <v>34</v>
      </c>
      <c r="B68" s="41">
        <f>IFERROR(__xludf.DUMMYFUNCTION("VLOOKUP(A68,IMPORTRANGE(""1EmrnCz2gLVTx5Cbj0e5tfuHPhTtmru8KTGuQvh7STl0/edit#gid=2147150001"",""Whole Data Set!$A$2:$NQ$253""),381,FALSE)"),31.0)</f>
        <v>31</v>
      </c>
      <c r="C68" s="13">
        <f t="shared" si="1"/>
        <v>0.124</v>
      </c>
      <c r="D68" s="12">
        <f>IFERROR(__xludf.DUMMYFUNCTION("VLOOKUP(A68,IMPORTRANGE(""1aFCnJY1qhIj8-JckJhDJ18aqmVo17tofpQmOjcYa3u8/edit#gid=948248086"",""Whole Data Set!$A$2:$NG$253""),371,FALSE)"),32.5)</f>
        <v>32.5</v>
      </c>
      <c r="E68" s="13">
        <f t="shared" si="2"/>
        <v>0.13</v>
      </c>
      <c r="F68" s="13">
        <f t="shared" si="3"/>
        <v>-0.006</v>
      </c>
      <c r="G68" s="12">
        <f>IFERROR(__xludf.DUMMYFUNCTION("VLOOKUP(A68,IMPORTRANGE(""1QZ5UxyNCwadreQAXnQ7oCoH982DjIA-QnZdO7ZoqkC0/edit#gid=0"",""2018-2021!$A$2:$O$250""),2,FALSE)"),36.0)</f>
        <v>36</v>
      </c>
      <c r="H68" s="14">
        <f t="shared" si="4"/>
        <v>0.144</v>
      </c>
      <c r="I68" s="15">
        <f t="shared" si="5"/>
        <v>-0.02</v>
      </c>
      <c r="J68" s="16">
        <f>IFERROR(__xludf.DUMMYFUNCTION("VLOOKUP(A68,IMPORTRANGE(""1QZ5UxyNCwadreQAXnQ7oCoH982DjIA-QnZdO7ZoqkC0/edit#gid=0"",""2018-2021!$A$2:$O$250""),4,FALSE)"),46.5)</f>
        <v>46.5</v>
      </c>
      <c r="K68" s="17">
        <f t="shared" si="6"/>
        <v>0.186</v>
      </c>
      <c r="L68" s="17">
        <f t="shared" si="12"/>
        <v>-0.056</v>
      </c>
      <c r="M68" s="16">
        <f>IFERROR(__xludf.DUMMYFUNCTION("VLOOKUP(A68,IMPORTRANGE(""1QZ5UxyNCwadreQAXnQ7oCoH982DjIA-QnZdO7ZoqkC0/edit#gid=0"",""2018-2021!$A$2:$O$250""),7,FALSE)"),46.0)</f>
        <v>46</v>
      </c>
      <c r="N68" s="17">
        <f t="shared" si="8"/>
        <v>0.184</v>
      </c>
      <c r="O68" s="17">
        <f t="shared" si="9"/>
        <v>-0.06</v>
      </c>
      <c r="P68" s="16">
        <f>IFERROR(__xludf.DUMMYFUNCTION("VLOOKUP(A68,IMPORTRANGE(""1QZ5UxyNCwadreQAXnQ7oCoH982DjIA-QnZdO7ZoqkC0/edit#gid=0"",""2018-2021!$A$2:$O$250""),10,FALSE)"),51.5)</f>
        <v>51.5</v>
      </c>
      <c r="Q68" s="17">
        <f t="shared" si="10"/>
        <v>0.206</v>
      </c>
      <c r="R68" s="17">
        <f t="shared" si="11"/>
        <v>-0.082</v>
      </c>
    </row>
    <row r="69">
      <c r="A69" s="42" t="s">
        <v>65</v>
      </c>
      <c r="B69" s="41">
        <f>IFERROR(__xludf.DUMMYFUNCTION("VLOOKUP(A69,IMPORTRANGE(""1EmrnCz2gLVTx5Cbj0e5tfuHPhTtmru8KTGuQvh7STl0/edit#gid=2147150001"",""Whole Data Set!$A$2:$NQ$253""),381,FALSE)"),151.0)</f>
        <v>151</v>
      </c>
      <c r="C69" s="13">
        <f t="shared" si="1"/>
        <v>0.604</v>
      </c>
      <c r="D69" s="12">
        <f>IFERROR(__xludf.DUMMYFUNCTION("VLOOKUP(A69,IMPORTRANGE(""1aFCnJY1qhIj8-JckJhDJ18aqmVo17tofpQmOjcYa3u8/edit#gid=948248086"",""Whole Data Set!$A$2:$NG$253""),371,FALSE)"),123.5)</f>
        <v>123.5</v>
      </c>
      <c r="E69" s="13">
        <f t="shared" si="2"/>
        <v>0.494</v>
      </c>
      <c r="F69" s="13">
        <f t="shared" si="3"/>
        <v>0.11</v>
      </c>
      <c r="G69" s="12">
        <f>IFERROR(__xludf.DUMMYFUNCTION("VLOOKUP(A69,IMPORTRANGE(""1QZ5UxyNCwadreQAXnQ7oCoH982DjIA-QnZdO7ZoqkC0/edit#gid=0"",""2018-2021!$A$2:$O$250""),2,FALSE)"),110.75)</f>
        <v>110.75</v>
      </c>
      <c r="H69" s="14">
        <f t="shared" si="4"/>
        <v>0.443</v>
      </c>
      <c r="I69" s="15">
        <f t="shared" si="5"/>
        <v>0.161</v>
      </c>
      <c r="J69" s="16">
        <f>IFERROR(__xludf.DUMMYFUNCTION("VLOOKUP(A69,IMPORTRANGE(""1QZ5UxyNCwadreQAXnQ7oCoH982DjIA-QnZdO7ZoqkC0/edit#gid=0"",""2018-2021!$A$2:$O$250""),4,FALSE)"),119.5)</f>
        <v>119.5</v>
      </c>
      <c r="K69" s="17">
        <f t="shared" si="6"/>
        <v>0.478</v>
      </c>
      <c r="L69" s="17">
        <f t="shared" si="12"/>
        <v>0.016</v>
      </c>
      <c r="M69" s="16">
        <f>IFERROR(__xludf.DUMMYFUNCTION("VLOOKUP(A69,IMPORTRANGE(""1QZ5UxyNCwadreQAXnQ7oCoH982DjIA-QnZdO7ZoqkC0/edit#gid=0"",""2018-2021!$A$2:$O$250""),7,FALSE)"),127.5)</f>
        <v>127.5</v>
      </c>
      <c r="N69" s="17">
        <f t="shared" si="8"/>
        <v>0.51</v>
      </c>
      <c r="O69" s="17">
        <f t="shared" si="9"/>
        <v>0.094</v>
      </c>
      <c r="P69" s="16">
        <f>IFERROR(__xludf.DUMMYFUNCTION("VLOOKUP(A69,IMPORTRANGE(""1QZ5UxyNCwadreQAXnQ7oCoH982DjIA-QnZdO7ZoqkC0/edit#gid=0"",""2018-2021!$A$2:$O$250""),10,FALSE)"),118.0)</f>
        <v>118</v>
      </c>
      <c r="Q69" s="17">
        <f t="shared" si="10"/>
        <v>0.472</v>
      </c>
      <c r="R69" s="17">
        <f t="shared" si="11"/>
        <v>0.132</v>
      </c>
    </row>
    <row r="70">
      <c r="A70" s="19" t="s">
        <v>135</v>
      </c>
      <c r="B70" s="41">
        <f>IFERROR(__xludf.DUMMYFUNCTION("VLOOKUP(A70,IMPORTRANGE(""1EmrnCz2gLVTx5Cbj0e5tfuHPhTtmru8KTGuQvh7STl0/edit#gid=2147150001"",""Whole Data Set!$A$2:$NQ$253""),381,FALSE)"),62.5)</f>
        <v>62.5</v>
      </c>
      <c r="C70" s="13">
        <f t="shared" si="1"/>
        <v>0.25</v>
      </c>
      <c r="D70" s="12">
        <f>IFERROR(__xludf.DUMMYFUNCTION("VLOOKUP(A70,IMPORTRANGE(""1aFCnJY1qhIj8-JckJhDJ18aqmVo17tofpQmOjcYa3u8/edit#gid=948248086"",""Whole Data Set!$A$2:$NG$253""),371,FALSE)"),74.75)</f>
        <v>74.75</v>
      </c>
      <c r="E70" s="13">
        <f t="shared" si="2"/>
        <v>0.299</v>
      </c>
      <c r="F70" s="13">
        <f t="shared" si="3"/>
        <v>-0.049</v>
      </c>
      <c r="G70" s="12">
        <f>IFERROR(__xludf.DUMMYFUNCTION("VLOOKUP(A70,IMPORTRANGE(""1QZ5UxyNCwadreQAXnQ7oCoH982DjIA-QnZdO7ZoqkC0/edit#gid=0"",""2018-2021!$A$2:$O$250""),2,FALSE)"),68.0)</f>
        <v>68</v>
      </c>
      <c r="H70" s="14">
        <f t="shared" si="4"/>
        <v>0.272</v>
      </c>
      <c r="I70" s="15">
        <f t="shared" si="5"/>
        <v>-0.022</v>
      </c>
      <c r="J70" s="16">
        <f>IFERROR(__xludf.DUMMYFUNCTION("VLOOKUP(A70,IMPORTRANGE(""1QZ5UxyNCwadreQAXnQ7oCoH982DjIA-QnZdO7ZoqkC0/edit#gid=0"",""2018-2021!$A$2:$O$250""),4,FALSE)"),67.0)</f>
        <v>67</v>
      </c>
      <c r="K70" s="17">
        <f t="shared" si="6"/>
        <v>0.268</v>
      </c>
      <c r="L70" s="17">
        <f t="shared" si="12"/>
        <v>0.031</v>
      </c>
      <c r="M70" s="16">
        <f>IFERROR(__xludf.DUMMYFUNCTION("VLOOKUP(A70,IMPORTRANGE(""1QZ5UxyNCwadreQAXnQ7oCoH982DjIA-QnZdO7ZoqkC0/edit#gid=0"",""2018-2021!$A$2:$O$250""),7,FALSE)"),47.5)</f>
        <v>47.5</v>
      </c>
      <c r="N70" s="17">
        <f t="shared" si="8"/>
        <v>0.19</v>
      </c>
      <c r="O70" s="17">
        <f t="shared" si="9"/>
        <v>0.06</v>
      </c>
      <c r="P70" s="16">
        <f>IFERROR(__xludf.DUMMYFUNCTION("VLOOKUP(A70,IMPORTRANGE(""1QZ5UxyNCwadreQAXnQ7oCoH982DjIA-QnZdO7ZoqkC0/edit#gid=0"",""2018-2021!$A$2:$O$250""),10,FALSE)"),37.0)</f>
        <v>37</v>
      </c>
      <c r="Q70" s="17">
        <f t="shared" si="10"/>
        <v>0.148</v>
      </c>
      <c r="R70" s="17">
        <f t="shared" si="11"/>
        <v>0.102</v>
      </c>
    </row>
    <row r="71">
      <c r="A71" s="19" t="s">
        <v>136</v>
      </c>
      <c r="B71" s="41">
        <f>IFERROR(__xludf.DUMMYFUNCTION("VLOOKUP(A71,IMPORTRANGE(""1EmrnCz2gLVTx5Cbj0e5tfuHPhTtmru8KTGuQvh7STl0/edit#gid=2147150001"",""Whole Data Set!$A$2:$NQ$253""),381,FALSE)"),108.75)</f>
        <v>108.75</v>
      </c>
      <c r="C71" s="13">
        <f t="shared" si="1"/>
        <v>0.435</v>
      </c>
      <c r="D71" s="12">
        <f>IFERROR(__xludf.DUMMYFUNCTION("VLOOKUP(A71,IMPORTRANGE(""1aFCnJY1qhIj8-JckJhDJ18aqmVo17tofpQmOjcYa3u8/edit#gid=948248086"",""Whole Data Set!$A$2:$NG$253""),371,FALSE)"),106.0)</f>
        <v>106</v>
      </c>
      <c r="E71" s="13">
        <f t="shared" si="2"/>
        <v>0.424</v>
      </c>
      <c r="F71" s="13">
        <f t="shared" si="3"/>
        <v>0.011</v>
      </c>
      <c r="G71" s="12">
        <f>IFERROR(__xludf.DUMMYFUNCTION("VLOOKUP(A71,IMPORTRANGE(""1QZ5UxyNCwadreQAXnQ7oCoH982DjIA-QnZdO7ZoqkC0/edit#gid=0"",""2018-2021!$A$2:$O$250""),2,FALSE)"),126.0)</f>
        <v>126</v>
      </c>
      <c r="H71" s="14">
        <f t="shared" si="4"/>
        <v>0.504</v>
      </c>
      <c r="I71" s="15">
        <f t="shared" si="5"/>
        <v>-0.069</v>
      </c>
      <c r="J71" s="16">
        <f>IFERROR(__xludf.DUMMYFUNCTION("VLOOKUP(A71,IMPORTRANGE(""1QZ5UxyNCwadreQAXnQ7oCoH982DjIA-QnZdO7ZoqkC0/edit#gid=0"",""2018-2021!$A$2:$O$250""),4,FALSE)"),124.0)</f>
        <v>124</v>
      </c>
      <c r="K71" s="17">
        <f t="shared" si="6"/>
        <v>0.496</v>
      </c>
      <c r="L71" s="17">
        <f t="shared" si="12"/>
        <v>-0.072</v>
      </c>
      <c r="M71" s="16">
        <f>IFERROR(__xludf.DUMMYFUNCTION("VLOOKUP(A71,IMPORTRANGE(""1QZ5UxyNCwadreQAXnQ7oCoH982DjIA-QnZdO7ZoqkC0/edit#gid=0"",""2018-2021!$A$2:$O$250""),7,FALSE)"),109.0)</f>
        <v>109</v>
      </c>
      <c r="N71" s="17">
        <f t="shared" si="8"/>
        <v>0.436</v>
      </c>
      <c r="O71" s="17">
        <f t="shared" si="9"/>
        <v>-0.001</v>
      </c>
      <c r="P71" s="16">
        <f>IFERROR(__xludf.DUMMYFUNCTION("VLOOKUP(A71,IMPORTRANGE(""1QZ5UxyNCwadreQAXnQ7oCoH982DjIA-QnZdO7ZoqkC0/edit#gid=0"",""2018-2021!$A$2:$O$250""),10,FALSE)"),93.5)</f>
        <v>93.5</v>
      </c>
      <c r="Q71" s="17">
        <f t="shared" si="10"/>
        <v>0.374</v>
      </c>
      <c r="R71" s="17">
        <f t="shared" si="11"/>
        <v>0.061</v>
      </c>
    </row>
    <row r="72">
      <c r="A72" s="19" t="s">
        <v>88</v>
      </c>
      <c r="B72" s="41">
        <f>IFERROR(__xludf.DUMMYFUNCTION("VLOOKUP(A72,IMPORTRANGE(""1EmrnCz2gLVTx5Cbj0e5tfuHPhTtmru8KTGuQvh7STl0/edit#gid=2147150001"",""Whole Data Set!$A$2:$NQ$253""),381,FALSE)"),21.0)</f>
        <v>21</v>
      </c>
      <c r="C72" s="13">
        <f t="shared" si="1"/>
        <v>0.084</v>
      </c>
      <c r="D72" s="12">
        <f>IFERROR(__xludf.DUMMYFUNCTION("VLOOKUP(A72,IMPORTRANGE(""1aFCnJY1qhIj8-JckJhDJ18aqmVo17tofpQmOjcYa3u8/edit#gid=948248086"",""Whole Data Set!$A$2:$NG$253""),371,FALSE)"),24.5)</f>
        <v>24.5</v>
      </c>
      <c r="E72" s="13">
        <f t="shared" si="2"/>
        <v>0.098</v>
      </c>
      <c r="F72" s="13">
        <f t="shared" si="3"/>
        <v>-0.014</v>
      </c>
      <c r="G72" s="12">
        <f>IFERROR(__xludf.DUMMYFUNCTION("VLOOKUP(A72,IMPORTRANGE(""1QZ5UxyNCwadreQAXnQ7oCoH982DjIA-QnZdO7ZoqkC0/edit#gid=0"",""2018-2021!$A$2:$O$250""),2,FALSE)"),21.5)</f>
        <v>21.5</v>
      </c>
      <c r="H72" s="14">
        <f t="shared" si="4"/>
        <v>0.086</v>
      </c>
      <c r="I72" s="15">
        <f t="shared" si="5"/>
        <v>-0.002</v>
      </c>
      <c r="J72" s="16">
        <f>IFERROR(__xludf.DUMMYFUNCTION("VLOOKUP(A72,IMPORTRANGE(""1QZ5UxyNCwadreQAXnQ7oCoH982DjIA-QnZdO7ZoqkC0/edit#gid=0"",""2018-2021!$A$2:$O$250""),4,FALSE)"),15.0)</f>
        <v>15</v>
      </c>
      <c r="K72" s="17">
        <f t="shared" si="6"/>
        <v>0.06</v>
      </c>
      <c r="L72" s="17">
        <f t="shared" si="12"/>
        <v>0.038</v>
      </c>
      <c r="M72" s="16">
        <f>IFERROR(__xludf.DUMMYFUNCTION("VLOOKUP(A72,IMPORTRANGE(""1QZ5UxyNCwadreQAXnQ7oCoH982DjIA-QnZdO7ZoqkC0/edit#gid=0"",""2018-2021!$A$2:$O$250""),7,FALSE)"),9.5)</f>
        <v>9.5</v>
      </c>
      <c r="N72" s="17">
        <f t="shared" si="8"/>
        <v>0.038</v>
      </c>
      <c r="O72" s="17">
        <f t="shared" si="9"/>
        <v>0.046</v>
      </c>
      <c r="P72" s="16">
        <f>IFERROR(__xludf.DUMMYFUNCTION("VLOOKUP(A72,IMPORTRANGE(""1QZ5UxyNCwadreQAXnQ7oCoH982DjIA-QnZdO7ZoqkC0/edit#gid=0"",""2018-2021!$A$2:$O$250""),10,FALSE)"),7.0)</f>
        <v>7</v>
      </c>
      <c r="Q72" s="17">
        <f t="shared" si="10"/>
        <v>0.028</v>
      </c>
      <c r="R72" s="17">
        <f t="shared" si="11"/>
        <v>0.056</v>
      </c>
    </row>
    <row r="73">
      <c r="A73" s="19" t="s">
        <v>137</v>
      </c>
      <c r="B73" s="41">
        <f>IFERROR(__xludf.DUMMYFUNCTION("VLOOKUP(A73,IMPORTRANGE(""1EmrnCz2gLVTx5Cbj0e5tfuHPhTtmru8KTGuQvh7STl0/edit#gid=2147150001"",""Whole Data Set!$A$2:$NQ$253""),381,FALSE)"),6.0)</f>
        <v>6</v>
      </c>
      <c r="C73" s="13">
        <f t="shared" si="1"/>
        <v>0.024</v>
      </c>
      <c r="D73" s="12">
        <f>IFERROR(__xludf.DUMMYFUNCTION("VLOOKUP(A73,IMPORTRANGE(""1aFCnJY1qhIj8-JckJhDJ18aqmVo17tofpQmOjcYa3u8/edit#gid=948248086"",""Whole Data Set!$A$2:$NG$253""),371,FALSE)"),8.25)</f>
        <v>8.25</v>
      </c>
      <c r="E73" s="13">
        <f t="shared" si="2"/>
        <v>0.033</v>
      </c>
      <c r="F73" s="13">
        <f t="shared" si="3"/>
        <v>-0.009</v>
      </c>
      <c r="G73" s="12">
        <f>IFERROR(__xludf.DUMMYFUNCTION("VLOOKUP(A73,IMPORTRANGE(""1QZ5UxyNCwadreQAXnQ7oCoH982DjIA-QnZdO7ZoqkC0/edit#gid=0"",""2018-2021!$A$2:$O$250""),2,FALSE)"),7.0)</f>
        <v>7</v>
      </c>
      <c r="H73" s="14">
        <f t="shared" si="4"/>
        <v>0.028</v>
      </c>
      <c r="I73" s="15">
        <f t="shared" si="5"/>
        <v>-0.004</v>
      </c>
      <c r="J73" s="16">
        <f>IFERROR(__xludf.DUMMYFUNCTION("VLOOKUP(A73,IMPORTRANGE(""1QZ5UxyNCwadreQAXnQ7oCoH982DjIA-QnZdO7ZoqkC0/edit#gid=0"",""2018-2021!$A$2:$O$250""),4,FALSE)"),7.5)</f>
        <v>7.5</v>
      </c>
      <c r="K73" s="17">
        <f t="shared" si="6"/>
        <v>0.03</v>
      </c>
      <c r="L73" s="17">
        <f t="shared" si="12"/>
        <v>0.003</v>
      </c>
      <c r="M73" s="16">
        <f>IFERROR(__xludf.DUMMYFUNCTION("VLOOKUP(A73,IMPORTRANGE(""1QZ5UxyNCwadreQAXnQ7oCoH982DjIA-QnZdO7ZoqkC0/edit#gid=0"",""2018-2021!$A$2:$O$250""),7,FALSE)"),1.0)</f>
        <v>1</v>
      </c>
      <c r="N73" s="17">
        <f t="shared" si="8"/>
        <v>0.004</v>
      </c>
      <c r="O73" s="17">
        <f t="shared" si="9"/>
        <v>0.02</v>
      </c>
      <c r="P73" s="16">
        <f>IFERROR(__xludf.DUMMYFUNCTION("VLOOKUP(A73,IMPORTRANGE(""1QZ5UxyNCwadreQAXnQ7oCoH982DjIA-QnZdO7ZoqkC0/edit#gid=0"",""2018-2021!$A$2:$O$250""),10,FALSE)"),1.0)</f>
        <v>1</v>
      </c>
      <c r="Q73" s="17">
        <f t="shared" si="10"/>
        <v>0.004</v>
      </c>
      <c r="R73" s="17">
        <f t="shared" si="11"/>
        <v>0.02</v>
      </c>
    </row>
    <row r="74">
      <c r="A74" s="19" t="s">
        <v>67</v>
      </c>
      <c r="B74" s="41">
        <f>IFERROR(__xludf.DUMMYFUNCTION("VLOOKUP(A74,IMPORTRANGE(""1EmrnCz2gLVTx5Cbj0e5tfuHPhTtmru8KTGuQvh7STl0/edit#gid=2147150001"",""Whole Data Set!$A$2:$NQ$253""),381,FALSE)"),72.0)</f>
        <v>72</v>
      </c>
      <c r="C74" s="13">
        <f t="shared" si="1"/>
        <v>0.288</v>
      </c>
      <c r="D74" s="12">
        <f>IFERROR(__xludf.DUMMYFUNCTION("VLOOKUP(A74,IMPORTRANGE(""1aFCnJY1qhIj8-JckJhDJ18aqmVo17tofpQmOjcYa3u8/edit#gid=948248086"",""Whole Data Set!$A$2:$NG$253""),371,FALSE)"),72.25)</f>
        <v>72.25</v>
      </c>
      <c r="E74" s="13">
        <f t="shared" si="2"/>
        <v>0.289</v>
      </c>
      <c r="F74" s="13">
        <f t="shared" si="3"/>
        <v>-0.001</v>
      </c>
      <c r="G74" s="12">
        <f>IFERROR(__xludf.DUMMYFUNCTION("VLOOKUP(A74,IMPORTRANGE(""1QZ5UxyNCwadreQAXnQ7oCoH982DjIA-QnZdO7ZoqkC0/edit#gid=0"",""2018-2021!$A$2:$O$250""),2,FALSE)"),55.5)</f>
        <v>55.5</v>
      </c>
      <c r="H74" s="14">
        <f t="shared" si="4"/>
        <v>0.222</v>
      </c>
      <c r="I74" s="15">
        <f t="shared" si="5"/>
        <v>0.066</v>
      </c>
      <c r="J74" s="16">
        <f>IFERROR(__xludf.DUMMYFUNCTION("VLOOKUP(A74,IMPORTRANGE(""1QZ5UxyNCwadreQAXnQ7oCoH982DjIA-QnZdO7ZoqkC0/edit#gid=0"",""2018-2021!$A$2:$O$250""),4,FALSE)"),65.0)</f>
        <v>65</v>
      </c>
      <c r="K74" s="17">
        <f t="shared" si="6"/>
        <v>0.26</v>
      </c>
      <c r="L74" s="17">
        <f t="shared" si="12"/>
        <v>0.029</v>
      </c>
      <c r="M74" s="16">
        <f>IFERROR(__xludf.DUMMYFUNCTION("VLOOKUP(A74,IMPORTRANGE(""1QZ5UxyNCwadreQAXnQ7oCoH982DjIA-QnZdO7ZoqkC0/edit#gid=0"",""2018-2021!$A$2:$O$250""),7,FALSE)"),54.5)</f>
        <v>54.5</v>
      </c>
      <c r="N74" s="17">
        <f t="shared" si="8"/>
        <v>0.218</v>
      </c>
      <c r="O74" s="17">
        <f t="shared" si="9"/>
        <v>0.07</v>
      </c>
      <c r="P74" s="16">
        <f>IFERROR(__xludf.DUMMYFUNCTION("VLOOKUP(A74,IMPORTRANGE(""1QZ5UxyNCwadreQAXnQ7oCoH982DjIA-QnZdO7ZoqkC0/edit#gid=0"",""2018-2021!$A$2:$O$250""),10,FALSE)"),36.5)</f>
        <v>36.5</v>
      </c>
      <c r="Q74" s="17">
        <f t="shared" si="10"/>
        <v>0.146</v>
      </c>
      <c r="R74" s="17">
        <f t="shared" si="11"/>
        <v>0.142</v>
      </c>
    </row>
    <row r="75">
      <c r="A75" s="19" t="s">
        <v>68</v>
      </c>
      <c r="B75" s="41">
        <f>IFERROR(__xludf.DUMMYFUNCTION("VLOOKUP(A75,IMPORTRANGE(""1EmrnCz2gLVTx5Cbj0e5tfuHPhTtmru8KTGuQvh7STl0/edit#gid=2147150001"",""Whole Data Set!$A$2:$NQ$253""),381,FALSE)"),129.75)</f>
        <v>129.75</v>
      </c>
      <c r="C75" s="13">
        <f t="shared" si="1"/>
        <v>0.519</v>
      </c>
      <c r="D75" s="12">
        <f>IFERROR(__xludf.DUMMYFUNCTION("VLOOKUP(A75,IMPORTRANGE(""1aFCnJY1qhIj8-JckJhDJ18aqmVo17tofpQmOjcYa3u8/edit#gid=948248086"",""Whole Data Set!$A$2:$NG$253""),371,FALSE)"),129.75)</f>
        <v>129.75</v>
      </c>
      <c r="E75" s="13">
        <f t="shared" si="2"/>
        <v>0.519</v>
      </c>
      <c r="F75" s="13">
        <f t="shared" si="3"/>
        <v>0</v>
      </c>
      <c r="G75" s="12">
        <f>IFERROR(__xludf.DUMMYFUNCTION("VLOOKUP(A75,IMPORTRANGE(""1QZ5UxyNCwadreQAXnQ7oCoH982DjIA-QnZdO7ZoqkC0/edit#gid=0"",""2018-2021!$A$2:$O$250""),2,FALSE)"),105.75)</f>
        <v>105.75</v>
      </c>
      <c r="H75" s="14">
        <f t="shared" si="4"/>
        <v>0.423</v>
      </c>
      <c r="I75" s="15">
        <f t="shared" si="5"/>
        <v>0.096</v>
      </c>
      <c r="J75" s="16">
        <f>IFERROR(__xludf.DUMMYFUNCTION("VLOOKUP(A75,IMPORTRANGE(""1QZ5UxyNCwadreQAXnQ7oCoH982DjIA-QnZdO7ZoqkC0/edit#gid=0"",""2018-2021!$A$2:$O$250""),4,FALSE)"),114.0)</f>
        <v>114</v>
      </c>
      <c r="K75" s="17">
        <f t="shared" si="6"/>
        <v>0.456</v>
      </c>
      <c r="L75" s="17">
        <f t="shared" si="12"/>
        <v>0.063</v>
      </c>
      <c r="M75" s="16">
        <f>IFERROR(__xludf.DUMMYFUNCTION("VLOOKUP(A75,IMPORTRANGE(""1QZ5UxyNCwadreQAXnQ7oCoH982DjIA-QnZdO7ZoqkC0/edit#gid=0"",""2018-2021!$A$2:$O$250""),7,FALSE)"),102.0)</f>
        <v>102</v>
      </c>
      <c r="N75" s="17">
        <f t="shared" si="8"/>
        <v>0.408</v>
      </c>
      <c r="O75" s="17">
        <f t="shared" si="9"/>
        <v>0.111</v>
      </c>
      <c r="P75" s="16">
        <f>IFERROR(__xludf.DUMMYFUNCTION("VLOOKUP(A75,IMPORTRANGE(""1QZ5UxyNCwadreQAXnQ7oCoH982DjIA-QnZdO7ZoqkC0/edit#gid=0"",""2018-2021!$A$2:$O$250""),10,FALSE)"),88.5)</f>
        <v>88.5</v>
      </c>
      <c r="Q75" s="17">
        <f t="shared" si="10"/>
        <v>0.354</v>
      </c>
      <c r="R75" s="17">
        <f t="shared" si="11"/>
        <v>0.165</v>
      </c>
    </row>
    <row r="76">
      <c r="A76" s="19" t="s">
        <v>69</v>
      </c>
      <c r="B76" s="41">
        <f>IFERROR(__xludf.DUMMYFUNCTION("VLOOKUP(A76,IMPORTRANGE(""1EmrnCz2gLVTx5Cbj0e5tfuHPhTtmru8KTGuQvh7STl0/edit#gid=2147150001"",""Whole Data Set!$A$2:$NQ$253""),381,FALSE)"),16.5)</f>
        <v>16.5</v>
      </c>
      <c r="C76" s="13">
        <f t="shared" si="1"/>
        <v>0.066</v>
      </c>
      <c r="D76" s="12">
        <f>IFERROR(__xludf.DUMMYFUNCTION("VLOOKUP(A76,IMPORTRANGE(""1aFCnJY1qhIj8-JckJhDJ18aqmVo17tofpQmOjcYa3u8/edit#gid=948248086"",""Whole Data Set!$A$2:$NG$253""),371,FALSE)"),14.25)</f>
        <v>14.25</v>
      </c>
      <c r="E76" s="13">
        <f t="shared" si="2"/>
        <v>0.057</v>
      </c>
      <c r="F76" s="13">
        <f t="shared" si="3"/>
        <v>0.009</v>
      </c>
      <c r="G76" s="12">
        <f>IFERROR(__xludf.DUMMYFUNCTION("VLOOKUP(A76,IMPORTRANGE(""1QZ5UxyNCwadreQAXnQ7oCoH982DjIA-QnZdO7ZoqkC0/edit#gid=0"",""2018-2021!$A$2:$O$250""),2,FALSE)"),25.0)</f>
        <v>25</v>
      </c>
      <c r="H76" s="14">
        <f t="shared" si="4"/>
        <v>0.1</v>
      </c>
      <c r="I76" s="15">
        <f t="shared" si="5"/>
        <v>-0.034</v>
      </c>
      <c r="J76" s="16">
        <f>IFERROR(__xludf.DUMMYFUNCTION("VLOOKUP(A76,IMPORTRANGE(""1QZ5UxyNCwadreQAXnQ7oCoH982DjIA-QnZdO7ZoqkC0/edit#gid=0"",""2018-2021!$A$2:$O$250""),4,FALSE)"),39.0)</f>
        <v>39</v>
      </c>
      <c r="K76" s="17">
        <f t="shared" si="6"/>
        <v>0.156</v>
      </c>
      <c r="L76" s="17">
        <f t="shared" si="12"/>
        <v>-0.099</v>
      </c>
      <c r="M76" s="16">
        <f>IFERROR(__xludf.DUMMYFUNCTION("VLOOKUP(A76,IMPORTRANGE(""1QZ5UxyNCwadreQAXnQ7oCoH982DjIA-QnZdO7ZoqkC0/edit#gid=0"",""2018-2021!$A$2:$O$250""),7,FALSE)"),32.5)</f>
        <v>32.5</v>
      </c>
      <c r="N76" s="17">
        <f t="shared" si="8"/>
        <v>0.13</v>
      </c>
      <c r="O76" s="17">
        <f t="shared" si="9"/>
        <v>-0.064</v>
      </c>
      <c r="P76" s="16">
        <f>IFERROR(__xludf.DUMMYFUNCTION("VLOOKUP(A76,IMPORTRANGE(""1QZ5UxyNCwadreQAXnQ7oCoH982DjIA-QnZdO7ZoqkC0/edit#gid=0"",""2018-2021!$A$2:$O$250""),10,FALSE)"),44.0)</f>
        <v>44</v>
      </c>
      <c r="Q76" s="17">
        <f t="shared" si="10"/>
        <v>0.176</v>
      </c>
      <c r="R76" s="17">
        <f t="shared" si="11"/>
        <v>-0.11</v>
      </c>
    </row>
    <row r="77">
      <c r="A77" s="19" t="s">
        <v>70</v>
      </c>
      <c r="B77" s="41">
        <f>IFERROR(__xludf.DUMMYFUNCTION("VLOOKUP(A77,IMPORTRANGE(""1EmrnCz2gLVTx5Cbj0e5tfuHPhTtmru8KTGuQvh7STl0/edit#gid=2147150001"",""Whole Data Set!$A$2:$NQ$253""),381,FALSE)"),122.0)</f>
        <v>122</v>
      </c>
      <c r="C77" s="13">
        <f t="shared" si="1"/>
        <v>0.488</v>
      </c>
      <c r="D77" s="12">
        <f>IFERROR(__xludf.DUMMYFUNCTION("VLOOKUP(A77,IMPORTRANGE(""1aFCnJY1qhIj8-JckJhDJ18aqmVo17tofpQmOjcYa3u8/edit#gid=948248086"",""Whole Data Set!$A$2:$NG$253""),371,FALSE)"),108.75)</f>
        <v>108.75</v>
      </c>
      <c r="E77" s="13">
        <f t="shared" si="2"/>
        <v>0.435</v>
      </c>
      <c r="F77" s="13">
        <f t="shared" si="3"/>
        <v>0.053</v>
      </c>
      <c r="G77" s="12">
        <f>IFERROR(__xludf.DUMMYFUNCTION("VLOOKUP(A77,IMPORTRANGE(""1QZ5UxyNCwadreQAXnQ7oCoH982DjIA-QnZdO7ZoqkC0/edit#gid=0"",""2018-2021!$A$2:$O$250""),2,FALSE)"),64.5)</f>
        <v>64.5</v>
      </c>
      <c r="H77" s="14">
        <f t="shared" si="4"/>
        <v>0.258</v>
      </c>
      <c r="I77" s="15">
        <f t="shared" si="5"/>
        <v>0.23</v>
      </c>
      <c r="J77" s="16">
        <f>IFERROR(__xludf.DUMMYFUNCTION("VLOOKUP(A77,IMPORTRANGE(""1QZ5UxyNCwadreQAXnQ7oCoH982DjIA-QnZdO7ZoqkC0/edit#gid=0"",""2018-2021!$A$2:$O$250""),4,FALSE)"),54.0)</f>
        <v>54</v>
      </c>
      <c r="K77" s="17">
        <f t="shared" si="6"/>
        <v>0.216</v>
      </c>
      <c r="L77" s="17">
        <f t="shared" si="12"/>
        <v>0.219</v>
      </c>
      <c r="M77" s="16">
        <f>IFERROR(__xludf.DUMMYFUNCTION("VLOOKUP(A77,IMPORTRANGE(""1QZ5UxyNCwadreQAXnQ7oCoH982DjIA-QnZdO7ZoqkC0/edit#gid=0"",""2018-2021!$A$2:$O$250""),7,FALSE)"),44.5)</f>
        <v>44.5</v>
      </c>
      <c r="N77" s="17">
        <f t="shared" si="8"/>
        <v>0.178</v>
      </c>
      <c r="O77" s="17">
        <f t="shared" si="9"/>
        <v>0.31</v>
      </c>
      <c r="P77" s="16">
        <f>IFERROR(__xludf.DUMMYFUNCTION("VLOOKUP(A77,IMPORTRANGE(""1QZ5UxyNCwadreQAXnQ7oCoH982DjIA-QnZdO7ZoqkC0/edit#gid=0"",""2018-2021!$A$2:$O$250""),10,FALSE)"),44.5)</f>
        <v>44.5</v>
      </c>
      <c r="Q77" s="17">
        <f t="shared" si="10"/>
        <v>0.178</v>
      </c>
      <c r="R77" s="17">
        <f t="shared" si="11"/>
        <v>0.31</v>
      </c>
    </row>
    <row r="78">
      <c r="A78" s="19" t="s">
        <v>138</v>
      </c>
      <c r="B78" s="41">
        <f>IFERROR(__xludf.DUMMYFUNCTION("VLOOKUP(A78,IMPORTRANGE(""1EmrnCz2gLVTx5Cbj0e5tfuHPhTtmru8KTGuQvh7STl0/edit#gid=2147150001"",""Whole Data Set!$A$2:$NQ$253""),381,FALSE)"),71.0)</f>
        <v>71</v>
      </c>
      <c r="C78" s="13">
        <f t="shared" si="1"/>
        <v>0.284</v>
      </c>
      <c r="D78" s="12">
        <f>IFERROR(__xludf.DUMMYFUNCTION("VLOOKUP(A78,IMPORTRANGE(""1aFCnJY1qhIj8-JckJhDJ18aqmVo17tofpQmOjcYa3u8/edit#gid=948248086"",""Whole Data Set!$A$2:$NG$253""),371,FALSE)"),70.25)</f>
        <v>70.25</v>
      </c>
      <c r="E78" s="13">
        <f t="shared" si="2"/>
        <v>0.281</v>
      </c>
      <c r="F78" s="13">
        <f t="shared" si="3"/>
        <v>0.003</v>
      </c>
      <c r="G78" s="12">
        <f>IFERROR(__xludf.DUMMYFUNCTION("VLOOKUP(A78,IMPORTRANGE(""1QZ5UxyNCwadreQAXnQ7oCoH982DjIA-QnZdO7ZoqkC0/edit#gid=0"",""2018-2021!$A$2:$O$250""),2,FALSE)"),54.5)</f>
        <v>54.5</v>
      </c>
      <c r="H78" s="14">
        <f t="shared" si="4"/>
        <v>0.218</v>
      </c>
      <c r="I78" s="15">
        <f t="shared" si="5"/>
        <v>0.066</v>
      </c>
      <c r="J78" s="16">
        <f>IFERROR(__xludf.DUMMYFUNCTION("VLOOKUP(A78,IMPORTRANGE(""1QZ5UxyNCwadreQAXnQ7oCoH982DjIA-QnZdO7ZoqkC0/edit#gid=0"",""2018-2021!$A$2:$O$250""),4,FALSE)"),63.0)</f>
        <v>63</v>
      </c>
      <c r="K78" s="17">
        <f t="shared" si="6"/>
        <v>0.252</v>
      </c>
      <c r="L78" s="17">
        <f t="shared" si="12"/>
        <v>0.029</v>
      </c>
      <c r="M78" s="16">
        <f>IFERROR(__xludf.DUMMYFUNCTION("VLOOKUP(A78,IMPORTRANGE(""1QZ5UxyNCwadreQAXnQ7oCoH982DjIA-QnZdO7ZoqkC0/edit#gid=0"",""2018-2021!$A$2:$O$250""),7,FALSE)"),50.5)</f>
        <v>50.5</v>
      </c>
      <c r="N78" s="17">
        <f t="shared" si="8"/>
        <v>0.202</v>
      </c>
      <c r="O78" s="17">
        <f t="shared" si="9"/>
        <v>0.082</v>
      </c>
      <c r="P78" s="16">
        <f>IFERROR(__xludf.DUMMYFUNCTION("VLOOKUP(A78,IMPORTRANGE(""1QZ5UxyNCwadreQAXnQ7oCoH982DjIA-QnZdO7ZoqkC0/edit#gid=0"",""2018-2021!$A$2:$O$250""),10,FALSE)"),8.0)</f>
        <v>8</v>
      </c>
      <c r="Q78" s="17">
        <f t="shared" si="10"/>
        <v>0.032</v>
      </c>
      <c r="R78" s="17">
        <f t="shared" si="11"/>
        <v>0.252</v>
      </c>
    </row>
    <row r="79">
      <c r="A79" s="42" t="s">
        <v>21</v>
      </c>
      <c r="B79" s="41">
        <f>IFERROR(__xludf.DUMMYFUNCTION("VLOOKUP(A79,IMPORTRANGE(""1EmrnCz2gLVTx5Cbj0e5tfuHPhTtmru8KTGuQvh7STl0/edit#gid=2147150001"",""Whole Data Set!$A$2:$NQ$253""),381,FALSE)"),95.25)</f>
        <v>95.25</v>
      </c>
      <c r="C79" s="13">
        <f t="shared" si="1"/>
        <v>0.381</v>
      </c>
      <c r="D79" s="12">
        <f>IFERROR(__xludf.DUMMYFUNCTION("VLOOKUP(A79,IMPORTRANGE(""1aFCnJY1qhIj8-JckJhDJ18aqmVo17tofpQmOjcYa3u8/edit#gid=948248086"",""Whole Data Set!$A$2:$NG$253""),371,FALSE)"),108.75)</f>
        <v>108.75</v>
      </c>
      <c r="E79" s="13">
        <f t="shared" si="2"/>
        <v>0.435</v>
      </c>
      <c r="F79" s="13">
        <f t="shared" si="3"/>
        <v>-0.054</v>
      </c>
      <c r="G79" s="12">
        <f>IFERROR(__xludf.DUMMYFUNCTION("VLOOKUP(A79,IMPORTRANGE(""1QZ5UxyNCwadreQAXnQ7oCoH982DjIA-QnZdO7ZoqkC0/edit#gid=0"",""2018-2021!$A$2:$O$250""),2,FALSE)"),120.25)</f>
        <v>120.25</v>
      </c>
      <c r="H79" s="14">
        <f t="shared" si="4"/>
        <v>0.481</v>
      </c>
      <c r="I79" s="15">
        <f t="shared" si="5"/>
        <v>-0.1</v>
      </c>
      <c r="J79" s="16">
        <f>IFERROR(__xludf.DUMMYFUNCTION("VLOOKUP(A79,IMPORTRANGE(""1QZ5UxyNCwadreQAXnQ7oCoH982DjIA-QnZdO7ZoqkC0/edit#gid=0"",""2018-2021!$A$2:$O$250""),4,FALSE)"),149.0)</f>
        <v>149</v>
      </c>
      <c r="K79" s="17">
        <f t="shared" si="6"/>
        <v>0.596</v>
      </c>
      <c r="L79" s="17">
        <f t="shared" si="12"/>
        <v>-0.161</v>
      </c>
      <c r="M79" s="16">
        <f>IFERROR(__xludf.DUMMYFUNCTION("VLOOKUP(A79,IMPORTRANGE(""1QZ5UxyNCwadreQAXnQ7oCoH982DjIA-QnZdO7ZoqkC0/edit#gid=0"",""2018-2021!$A$2:$O$250""),7,FALSE)"),140.5)</f>
        <v>140.5</v>
      </c>
      <c r="N79" s="17">
        <f t="shared" si="8"/>
        <v>0.562</v>
      </c>
      <c r="O79" s="17">
        <f t="shared" si="9"/>
        <v>-0.181</v>
      </c>
      <c r="P79" s="16">
        <f>IFERROR(__xludf.DUMMYFUNCTION("VLOOKUP(A79,IMPORTRANGE(""1QZ5UxyNCwadreQAXnQ7oCoH982DjIA-QnZdO7ZoqkC0/edit#gid=0"",""2018-2021!$A$2:$O$250""),10,FALSE)"),128.5)</f>
        <v>128.5</v>
      </c>
      <c r="Q79" s="17">
        <f t="shared" si="10"/>
        <v>0.514</v>
      </c>
      <c r="R79" s="17">
        <f t="shared" si="11"/>
        <v>-0.133</v>
      </c>
    </row>
    <row r="80">
      <c r="A80" s="19" t="s">
        <v>72</v>
      </c>
      <c r="B80" s="41">
        <f>IFERROR(__xludf.DUMMYFUNCTION("VLOOKUP(A80,IMPORTRANGE(""1EmrnCz2gLVTx5Cbj0e5tfuHPhTtmru8KTGuQvh7STl0/edit#gid=2147150001"",""Whole Data Set!$A$2:$NQ$253""),381,FALSE)"),124.5)</f>
        <v>124.5</v>
      </c>
      <c r="C80" s="13">
        <f t="shared" si="1"/>
        <v>0.498</v>
      </c>
      <c r="D80" s="12">
        <f>IFERROR(__xludf.DUMMYFUNCTION("VLOOKUP(A80,IMPORTRANGE(""1aFCnJY1qhIj8-JckJhDJ18aqmVo17tofpQmOjcYa3u8/edit#gid=948248086"",""Whole Data Set!$A$2:$NG$253""),371,FALSE)"),107.75)</f>
        <v>107.75</v>
      </c>
      <c r="E80" s="13">
        <f t="shared" si="2"/>
        <v>0.431</v>
      </c>
      <c r="F80" s="13">
        <f t="shared" si="3"/>
        <v>0.067</v>
      </c>
      <c r="G80" s="12">
        <f>IFERROR(__xludf.DUMMYFUNCTION("VLOOKUP(A80,IMPORTRANGE(""1QZ5UxyNCwadreQAXnQ7oCoH982DjIA-QnZdO7ZoqkC0/edit#gid=0"",""2018-2021!$A$2:$O$250""),2,FALSE)"),89.5)</f>
        <v>89.5</v>
      </c>
      <c r="H80" s="14">
        <f t="shared" si="4"/>
        <v>0.358</v>
      </c>
      <c r="I80" s="15">
        <f t="shared" si="5"/>
        <v>0.14</v>
      </c>
      <c r="J80" s="16">
        <f>IFERROR(__xludf.DUMMYFUNCTION("VLOOKUP(A80,IMPORTRANGE(""1QZ5UxyNCwadreQAXnQ7oCoH982DjIA-QnZdO7ZoqkC0/edit#gid=0"",""2018-2021!$A$2:$O$250""),4,FALSE)"),110.5)</f>
        <v>110.5</v>
      </c>
      <c r="K80" s="17">
        <f t="shared" si="6"/>
        <v>0.442</v>
      </c>
      <c r="L80" s="17">
        <f t="shared" si="12"/>
        <v>-0.011</v>
      </c>
      <c r="M80" s="16">
        <f>IFERROR(__xludf.DUMMYFUNCTION("VLOOKUP(A80,IMPORTRANGE(""1QZ5UxyNCwadreQAXnQ7oCoH982DjIA-QnZdO7ZoqkC0/edit#gid=0"",""2018-2021!$A$2:$O$250""),7,FALSE)"),114.0)</f>
        <v>114</v>
      </c>
      <c r="N80" s="17">
        <f t="shared" si="8"/>
        <v>0.456</v>
      </c>
      <c r="O80" s="17">
        <f t="shared" si="9"/>
        <v>0.042</v>
      </c>
      <c r="P80" s="16">
        <f>IFERROR(__xludf.DUMMYFUNCTION("VLOOKUP(A80,IMPORTRANGE(""1QZ5UxyNCwadreQAXnQ7oCoH982DjIA-QnZdO7ZoqkC0/edit#gid=0"",""2018-2021!$A$2:$O$250""),10,FALSE)"),105.0)</f>
        <v>105</v>
      </c>
      <c r="Q80" s="17">
        <f t="shared" si="10"/>
        <v>0.42</v>
      </c>
      <c r="R80" s="17">
        <f t="shared" si="11"/>
        <v>0.078</v>
      </c>
    </row>
    <row r="81">
      <c r="A81" s="19" t="s">
        <v>73</v>
      </c>
      <c r="B81" s="41">
        <f>IFERROR(__xludf.DUMMYFUNCTION("VLOOKUP(A81,IMPORTRANGE(""1EmrnCz2gLVTx5Cbj0e5tfuHPhTtmru8KTGuQvh7STl0/edit#gid=2147150001"",""Whole Data Set!$A$2:$NQ$253""),381,FALSE)"),73.5)</f>
        <v>73.5</v>
      </c>
      <c r="C81" s="13">
        <f t="shared" si="1"/>
        <v>0.294</v>
      </c>
      <c r="D81" s="12">
        <f>IFERROR(__xludf.DUMMYFUNCTION("VLOOKUP(A81,IMPORTRANGE(""1aFCnJY1qhIj8-JckJhDJ18aqmVo17tofpQmOjcYa3u8/edit#gid=948248086"",""Whole Data Set!$A$2:$NG$253""),371,FALSE)"),62.0)</f>
        <v>62</v>
      </c>
      <c r="E81" s="13">
        <f t="shared" si="2"/>
        <v>0.248</v>
      </c>
      <c r="F81" s="13">
        <f t="shared" si="3"/>
        <v>0.046</v>
      </c>
      <c r="G81" s="12">
        <f>IFERROR(__xludf.DUMMYFUNCTION("VLOOKUP(A81,IMPORTRANGE(""1QZ5UxyNCwadreQAXnQ7oCoH982DjIA-QnZdO7ZoqkC0/edit#gid=0"",""2018-2021!$A$2:$O$250""),2,FALSE)"),43.0)</f>
        <v>43</v>
      </c>
      <c r="H81" s="14">
        <f t="shared" si="4"/>
        <v>0.172</v>
      </c>
      <c r="I81" s="15">
        <f t="shared" si="5"/>
        <v>0.122</v>
      </c>
      <c r="J81" s="16">
        <f>IFERROR(__xludf.DUMMYFUNCTION("VLOOKUP(A81,IMPORTRANGE(""1QZ5UxyNCwadreQAXnQ7oCoH982DjIA-QnZdO7ZoqkC0/edit#gid=0"",""2018-2021!$A$2:$O$250""),4,FALSE)"),44.0)</f>
        <v>44</v>
      </c>
      <c r="K81" s="17">
        <f t="shared" si="6"/>
        <v>0.176</v>
      </c>
      <c r="L81" s="17">
        <f t="shared" si="12"/>
        <v>0.072</v>
      </c>
      <c r="M81" s="16">
        <f>IFERROR(__xludf.DUMMYFUNCTION("VLOOKUP(A81,IMPORTRANGE(""1QZ5UxyNCwadreQAXnQ7oCoH982DjIA-QnZdO7ZoqkC0/edit#gid=0"",""2018-2021!$A$2:$O$250""),7,FALSE)"),25.0)</f>
        <v>25</v>
      </c>
      <c r="N81" s="17">
        <f t="shared" si="8"/>
        <v>0.1</v>
      </c>
      <c r="O81" s="17">
        <f t="shared" si="9"/>
        <v>0.194</v>
      </c>
      <c r="P81" s="16">
        <f>IFERROR(__xludf.DUMMYFUNCTION("VLOOKUP(A81,IMPORTRANGE(""1QZ5UxyNCwadreQAXnQ7oCoH982DjIA-QnZdO7ZoqkC0/edit#gid=0"",""2018-2021!$A$2:$O$250""),10,FALSE)"),11.5)</f>
        <v>11.5</v>
      </c>
      <c r="Q81" s="17">
        <f t="shared" si="10"/>
        <v>0.046</v>
      </c>
      <c r="R81" s="17">
        <f t="shared" si="11"/>
        <v>0.248</v>
      </c>
    </row>
    <row r="82">
      <c r="A82" s="19" t="s">
        <v>139</v>
      </c>
      <c r="B82" s="41">
        <f>IFERROR(__xludf.DUMMYFUNCTION("VLOOKUP(A82,IMPORTRANGE(""1EmrnCz2gLVTx5Cbj0e5tfuHPhTtmru8KTGuQvh7STl0/edit#gid=2147150001"",""Whole Data Set!$A$2:$NQ$253""),381,FALSE)"),0.75)</f>
        <v>0.75</v>
      </c>
      <c r="C82" s="13">
        <f t="shared" si="1"/>
        <v>0.003</v>
      </c>
      <c r="D82" s="12">
        <f>IFERROR(__xludf.DUMMYFUNCTION("VLOOKUP(A82,IMPORTRANGE(""1aFCnJY1qhIj8-JckJhDJ18aqmVo17tofpQmOjcYa3u8/edit#gid=948248086"",""Whole Data Set!$A$2:$NG$253""),371,FALSE)"),0.5)</f>
        <v>0.5</v>
      </c>
      <c r="E82" s="13">
        <f t="shared" si="2"/>
        <v>0.002</v>
      </c>
      <c r="F82" s="13">
        <f t="shared" si="3"/>
        <v>0.001</v>
      </c>
      <c r="G82" s="12">
        <f>IFERROR(__xludf.DUMMYFUNCTION("VLOOKUP(A82,IMPORTRANGE(""1QZ5UxyNCwadreQAXnQ7oCoH982DjIA-QnZdO7ZoqkC0/edit#gid=0"",""2018-2021!$A$2:$O$250""),2,FALSE)"),1.0)</f>
        <v>1</v>
      </c>
      <c r="H82" s="14">
        <f t="shared" si="4"/>
        <v>0.004</v>
      </c>
      <c r="I82" s="15">
        <f t="shared" si="5"/>
        <v>-0.001</v>
      </c>
      <c r="J82" s="16">
        <f>IFERROR(__xludf.DUMMYFUNCTION("VLOOKUP(A82,IMPORTRANGE(""1QZ5UxyNCwadreQAXnQ7oCoH982DjIA-QnZdO7ZoqkC0/edit#gid=0"",""2018-2021!$A$2:$O$250""),4,FALSE)"),1.0)</f>
        <v>1</v>
      </c>
      <c r="K82" s="17">
        <f t="shared" si="6"/>
        <v>0.004</v>
      </c>
      <c r="L82" s="17">
        <f t="shared" si="12"/>
        <v>-0.002</v>
      </c>
      <c r="M82" s="16">
        <f>IFERROR(__xludf.DUMMYFUNCTION("VLOOKUP(A82,IMPORTRANGE(""1QZ5UxyNCwadreQAXnQ7oCoH982DjIA-QnZdO7ZoqkC0/edit#gid=0"",""2018-2021!$A$2:$O$250""),7,FALSE)"),1.0)</f>
        <v>1</v>
      </c>
      <c r="N82" s="17">
        <f t="shared" si="8"/>
        <v>0.004</v>
      </c>
      <c r="O82" s="17">
        <f t="shared" si="9"/>
        <v>-0.001</v>
      </c>
      <c r="P82" s="16">
        <f>IFERROR(__xludf.DUMMYFUNCTION("VLOOKUP(A82,IMPORTRANGE(""1QZ5UxyNCwadreQAXnQ7oCoH982DjIA-QnZdO7ZoqkC0/edit#gid=0"",""2018-2021!$A$2:$O$250""),10,FALSE)"),1.0)</f>
        <v>1</v>
      </c>
      <c r="Q82" s="17">
        <f t="shared" si="10"/>
        <v>0.004</v>
      </c>
      <c r="R82" s="17">
        <f t="shared" si="11"/>
        <v>-0.001</v>
      </c>
    </row>
    <row r="83">
      <c r="A83" s="19" t="s">
        <v>22</v>
      </c>
      <c r="B83" s="41">
        <f>IFERROR(__xludf.DUMMYFUNCTION("VLOOKUP(A83,IMPORTRANGE(""1EmrnCz2gLVTx5Cbj0e5tfuHPhTtmru8KTGuQvh7STl0/edit#gid=2147150001"",""Whole Data Set!$A$2:$NQ$253""),381,FALSE)"),0.0)</f>
        <v>0</v>
      </c>
      <c r="C83" s="13">
        <f t="shared" si="1"/>
        <v>0</v>
      </c>
      <c r="D83" s="12">
        <f>IFERROR(__xludf.DUMMYFUNCTION("VLOOKUP(A83,IMPORTRANGE(""1aFCnJY1qhIj8-JckJhDJ18aqmVo17tofpQmOjcYa3u8/edit#gid=948248086"",""Whole Data Set!$A$2:$NG$253""),371,FALSE)"),0.0)</f>
        <v>0</v>
      </c>
      <c r="E83" s="13">
        <f t="shared" si="2"/>
        <v>0</v>
      </c>
      <c r="F83" s="13">
        <f t="shared" si="3"/>
        <v>0</v>
      </c>
      <c r="G83" s="12">
        <f>IFERROR(__xludf.DUMMYFUNCTION("VLOOKUP(A83,IMPORTRANGE(""1QZ5UxyNCwadreQAXnQ7oCoH982DjIA-QnZdO7ZoqkC0/edit#gid=0"",""2018-2021!$A$2:$O$250""),2,FALSE)"),0.0)</f>
        <v>0</v>
      </c>
      <c r="H83" s="14">
        <f t="shared" si="4"/>
        <v>0</v>
      </c>
      <c r="I83" s="15">
        <f t="shared" si="5"/>
        <v>0</v>
      </c>
      <c r="J83" s="16">
        <f>IFERROR(__xludf.DUMMYFUNCTION("VLOOKUP(A83,IMPORTRANGE(""1QZ5UxyNCwadreQAXnQ7oCoH982DjIA-QnZdO7ZoqkC0/edit#gid=0"",""2018-2021!$A$2:$O$250""),4,FALSE)"),0.0)</f>
        <v>0</v>
      </c>
      <c r="K83" s="17">
        <f t="shared" si="6"/>
        <v>0</v>
      </c>
      <c r="L83" s="17">
        <f t="shared" si="12"/>
        <v>0</v>
      </c>
      <c r="M83" s="16">
        <f>IFERROR(__xludf.DUMMYFUNCTION("VLOOKUP(A83,IMPORTRANGE(""1QZ5UxyNCwadreQAXnQ7oCoH982DjIA-QnZdO7ZoqkC0/edit#gid=0"",""2018-2021!$A$2:$O$250""),7,FALSE)"),0.0)</f>
        <v>0</v>
      </c>
      <c r="N83" s="17">
        <f t="shared" si="8"/>
        <v>0</v>
      </c>
      <c r="O83" s="17">
        <f t="shared" si="9"/>
        <v>0</v>
      </c>
      <c r="P83" s="16">
        <f>IFERROR(__xludf.DUMMYFUNCTION("VLOOKUP(A83,IMPORTRANGE(""1QZ5UxyNCwadreQAXnQ7oCoH982DjIA-QnZdO7ZoqkC0/edit#gid=0"",""2018-2021!$A$2:$O$250""),10,FALSE)"),0.0)</f>
        <v>0</v>
      </c>
      <c r="Q83" s="17">
        <f t="shared" si="10"/>
        <v>0</v>
      </c>
      <c r="R83" s="17">
        <f t="shared" si="11"/>
        <v>0</v>
      </c>
    </row>
    <row r="84">
      <c r="A84" s="19" t="s">
        <v>100</v>
      </c>
      <c r="B84" s="41">
        <f>IFERROR(__xludf.DUMMYFUNCTION("VLOOKUP(A84,IMPORTRANGE(""1EmrnCz2gLVTx5Cbj0e5tfuHPhTtmru8KTGuQvh7STl0/edit#gid=2147150001"",""Whole Data Set!$A$2:$NQ$253""),381,FALSE)"),58.5)</f>
        <v>58.5</v>
      </c>
      <c r="C84" s="13">
        <f t="shared" si="1"/>
        <v>0.234</v>
      </c>
      <c r="D84" s="12">
        <f>IFERROR(__xludf.DUMMYFUNCTION("VLOOKUP(A84,IMPORTRANGE(""1aFCnJY1qhIj8-JckJhDJ18aqmVo17tofpQmOjcYa3u8/edit#gid=948248086"",""Whole Data Set!$A$2:$NG$253""),371,FALSE)"),33.0)</f>
        <v>33</v>
      </c>
      <c r="E84" s="13">
        <f t="shared" si="2"/>
        <v>0.132</v>
      </c>
      <c r="F84" s="13">
        <f t="shared" si="3"/>
        <v>0.102</v>
      </c>
      <c r="G84" s="12">
        <f>IFERROR(__xludf.DUMMYFUNCTION("VLOOKUP(A84,IMPORTRANGE(""1QZ5UxyNCwadreQAXnQ7oCoH982DjIA-QnZdO7ZoqkC0/edit#gid=0"",""2018-2021!$A$2:$O$250""),2,FALSE)"),39.0)</f>
        <v>39</v>
      </c>
      <c r="H84" s="14">
        <f t="shared" si="4"/>
        <v>0.156</v>
      </c>
      <c r="I84" s="15">
        <f t="shared" si="5"/>
        <v>0.078</v>
      </c>
      <c r="J84" s="16">
        <f>IFERROR(__xludf.DUMMYFUNCTION("VLOOKUP(A84,IMPORTRANGE(""1QZ5UxyNCwadreQAXnQ7oCoH982DjIA-QnZdO7ZoqkC0/edit#gid=0"",""2018-2021!$A$2:$O$250""),4,FALSE)"),19.0)</f>
        <v>19</v>
      </c>
      <c r="K84" s="17">
        <f t="shared" si="6"/>
        <v>0.076</v>
      </c>
      <c r="L84" s="17">
        <f t="shared" si="12"/>
        <v>0.056</v>
      </c>
      <c r="M84" s="16">
        <f>IFERROR(__xludf.DUMMYFUNCTION("VLOOKUP(A84,IMPORTRANGE(""1QZ5UxyNCwadreQAXnQ7oCoH982DjIA-QnZdO7ZoqkC0/edit#gid=0"",""2018-2021!$A$2:$O$250""),7,FALSE)"),17.0)</f>
        <v>17</v>
      </c>
      <c r="N84" s="17">
        <f t="shared" si="8"/>
        <v>0.068</v>
      </c>
      <c r="O84" s="17">
        <f t="shared" si="9"/>
        <v>0.166</v>
      </c>
      <c r="P84" s="16">
        <f>IFERROR(__xludf.DUMMYFUNCTION("VLOOKUP(A84,IMPORTRANGE(""1QZ5UxyNCwadreQAXnQ7oCoH982DjIA-QnZdO7ZoqkC0/edit#gid=0"",""2018-2021!$A$2:$O$250""),10,FALSE)"),18.5)</f>
        <v>18.5</v>
      </c>
      <c r="Q84" s="17">
        <f t="shared" si="10"/>
        <v>0.074</v>
      </c>
      <c r="R84" s="17">
        <f t="shared" si="11"/>
        <v>0.16</v>
      </c>
    </row>
    <row r="85">
      <c r="A85" s="19" t="s">
        <v>76</v>
      </c>
      <c r="B85" s="41">
        <f>IFERROR(__xludf.DUMMYFUNCTION("VLOOKUP(A85,IMPORTRANGE(""1EmrnCz2gLVTx5Cbj0e5tfuHPhTtmru8KTGuQvh7STl0/edit#gid=2147150001"",""Whole Data Set!$A$2:$NQ$253""),381,FALSE)"),85.5)</f>
        <v>85.5</v>
      </c>
      <c r="C85" s="13">
        <f t="shared" si="1"/>
        <v>0.342</v>
      </c>
      <c r="D85" s="12">
        <f>IFERROR(__xludf.DUMMYFUNCTION("VLOOKUP(A85,IMPORTRANGE(""1aFCnJY1qhIj8-JckJhDJ18aqmVo17tofpQmOjcYa3u8/edit#gid=948248086"",""Whole Data Set!$A$2:$NG$253""),371,FALSE)"),44.25)</f>
        <v>44.25</v>
      </c>
      <c r="E85" s="13">
        <f t="shared" si="2"/>
        <v>0.177</v>
      </c>
      <c r="F85" s="13">
        <f t="shared" si="3"/>
        <v>0.165</v>
      </c>
      <c r="G85" s="12">
        <f>IFERROR(__xludf.DUMMYFUNCTION("VLOOKUP(A85,IMPORTRANGE(""1QZ5UxyNCwadreQAXnQ7oCoH982DjIA-QnZdO7ZoqkC0/edit#gid=0"",""2018-2021!$A$2:$O$250""),2,FALSE)"),46.0)</f>
        <v>46</v>
      </c>
      <c r="H85" s="14">
        <f t="shared" si="4"/>
        <v>0.184</v>
      </c>
      <c r="I85" s="15">
        <f t="shared" si="5"/>
        <v>0.158</v>
      </c>
      <c r="J85" s="16">
        <f>IFERROR(__xludf.DUMMYFUNCTION("VLOOKUP(A85,IMPORTRANGE(""1QZ5UxyNCwadreQAXnQ7oCoH982DjIA-QnZdO7ZoqkC0/edit#gid=0"",""2018-2021!$A$2:$O$250""),4,FALSE)"),45.5)</f>
        <v>45.5</v>
      </c>
      <c r="K85" s="17">
        <f t="shared" si="6"/>
        <v>0.182</v>
      </c>
      <c r="L85" s="17">
        <f t="shared" si="12"/>
        <v>-0.005</v>
      </c>
      <c r="M85" s="16">
        <f>IFERROR(__xludf.DUMMYFUNCTION("VLOOKUP(A85,IMPORTRANGE(""1QZ5UxyNCwadreQAXnQ7oCoH982DjIA-QnZdO7ZoqkC0/edit#gid=0"",""2018-2021!$A$2:$O$250""),7,FALSE)"),49.0)</f>
        <v>49</v>
      </c>
      <c r="N85" s="17">
        <f t="shared" si="8"/>
        <v>0.196</v>
      </c>
      <c r="O85" s="17">
        <f t="shared" si="9"/>
        <v>0.146</v>
      </c>
      <c r="P85" s="16">
        <f>IFERROR(__xludf.DUMMYFUNCTION("VLOOKUP(A85,IMPORTRANGE(""1QZ5UxyNCwadreQAXnQ7oCoH982DjIA-QnZdO7ZoqkC0/edit#gid=0"",""2018-2021!$A$2:$O$250""),10,FALSE)"),37.0)</f>
        <v>37</v>
      </c>
      <c r="Q85" s="17">
        <f t="shared" si="10"/>
        <v>0.148</v>
      </c>
      <c r="R85" s="17">
        <f t="shared" si="11"/>
        <v>0.194</v>
      </c>
    </row>
    <row r="86">
      <c r="A86" s="19" t="s">
        <v>140</v>
      </c>
      <c r="B86" s="41">
        <f>IFERROR(__xludf.DUMMYFUNCTION("VLOOKUP(A86,IMPORTRANGE(""1EmrnCz2gLVTx5Cbj0e5tfuHPhTtmru8KTGuQvh7STl0/edit#gid=2147150001"",""Whole Data Set!$A$2:$NQ$253""),381,FALSE)"),44.0)</f>
        <v>44</v>
      </c>
      <c r="C86" s="13">
        <f t="shared" si="1"/>
        <v>0.176</v>
      </c>
      <c r="D86" s="12">
        <f>IFERROR(__xludf.DUMMYFUNCTION("VLOOKUP(A86,IMPORTRANGE(""1aFCnJY1qhIj8-JckJhDJ18aqmVo17tofpQmOjcYa3u8/edit#gid=948248086"",""Whole Data Set!$A$2:$NG$253""),371,FALSE)"),46.25)</f>
        <v>46.25</v>
      </c>
      <c r="E86" s="13">
        <f t="shared" si="2"/>
        <v>0.185</v>
      </c>
      <c r="F86" s="13">
        <f t="shared" si="3"/>
        <v>-0.009</v>
      </c>
      <c r="G86" s="12">
        <f>IFERROR(__xludf.DUMMYFUNCTION("VLOOKUP(A86,IMPORTRANGE(""1QZ5UxyNCwadreQAXnQ7oCoH982DjIA-QnZdO7ZoqkC0/edit#gid=0"",""2018-2021!$A$2:$O$250""),2,FALSE)"),45.0)</f>
        <v>45</v>
      </c>
      <c r="H86" s="14">
        <f t="shared" si="4"/>
        <v>0.18</v>
      </c>
      <c r="I86" s="15">
        <f t="shared" si="5"/>
        <v>-0.004</v>
      </c>
      <c r="J86" s="16">
        <f>IFERROR(__xludf.DUMMYFUNCTION("VLOOKUP(A86,IMPORTRANGE(""1QZ5UxyNCwadreQAXnQ7oCoH982DjIA-QnZdO7ZoqkC0/edit#gid=0"",""2018-2021!$A$2:$O$250""),4,FALSE)"),55.0)</f>
        <v>55</v>
      </c>
      <c r="K86" s="17">
        <f t="shared" si="6"/>
        <v>0.22</v>
      </c>
      <c r="L86" s="17">
        <f t="shared" si="12"/>
        <v>-0.035</v>
      </c>
      <c r="M86" s="16">
        <f>IFERROR(__xludf.DUMMYFUNCTION("VLOOKUP(A86,IMPORTRANGE(""1QZ5UxyNCwadreQAXnQ7oCoH982DjIA-QnZdO7ZoqkC0/edit#gid=0"",""2018-2021!$A$2:$O$250""),7,FALSE)"),47.0)</f>
        <v>47</v>
      </c>
      <c r="N86" s="17">
        <f t="shared" si="8"/>
        <v>0.188</v>
      </c>
      <c r="O86" s="17">
        <f t="shared" si="9"/>
        <v>-0.012</v>
      </c>
      <c r="P86" s="16">
        <f>IFERROR(__xludf.DUMMYFUNCTION("VLOOKUP(A86,IMPORTRANGE(""1QZ5UxyNCwadreQAXnQ7oCoH982DjIA-QnZdO7ZoqkC0/edit#gid=0"",""2018-2021!$A$2:$O$250""),10,FALSE)"),32.5)</f>
        <v>32.5</v>
      </c>
      <c r="Q86" s="17">
        <f t="shared" si="10"/>
        <v>0.13</v>
      </c>
      <c r="R86" s="17">
        <f t="shared" si="11"/>
        <v>0.046</v>
      </c>
    </row>
    <row r="87">
      <c r="A87" s="19" t="s">
        <v>77</v>
      </c>
      <c r="B87" s="41">
        <f>IFERROR(__xludf.DUMMYFUNCTION("VLOOKUP(A87,IMPORTRANGE(""1EmrnCz2gLVTx5Cbj0e5tfuHPhTtmru8KTGuQvh7STl0/edit#gid=2147150001"",""Whole Data Set!$A$2:$NQ$253""),381,FALSE)"),113.75)</f>
        <v>113.75</v>
      </c>
      <c r="C87" s="13">
        <f t="shared" si="1"/>
        <v>0.455</v>
      </c>
      <c r="D87" s="12">
        <f>IFERROR(__xludf.DUMMYFUNCTION("VLOOKUP(A87,IMPORTRANGE(""1aFCnJY1qhIj8-JckJhDJ18aqmVo17tofpQmOjcYa3u8/edit#gid=948248086"",""Whole Data Set!$A$2:$NG$253""),371,FALSE)"),103.5)</f>
        <v>103.5</v>
      </c>
      <c r="E87" s="13">
        <f t="shared" si="2"/>
        <v>0.414</v>
      </c>
      <c r="F87" s="13">
        <f t="shared" si="3"/>
        <v>0.041</v>
      </c>
      <c r="G87" s="12">
        <f>IFERROR(__xludf.DUMMYFUNCTION("VLOOKUP(A87,IMPORTRANGE(""1QZ5UxyNCwadreQAXnQ7oCoH982DjIA-QnZdO7ZoqkC0/edit#gid=0"",""2018-2021!$A$2:$O$250""),2,FALSE)"),105.75)</f>
        <v>105.75</v>
      </c>
      <c r="H87" s="14">
        <f t="shared" si="4"/>
        <v>0.423</v>
      </c>
      <c r="I87" s="15">
        <f t="shared" si="5"/>
        <v>0.032</v>
      </c>
      <c r="J87" s="16">
        <f>IFERROR(__xludf.DUMMYFUNCTION("VLOOKUP(A87,IMPORTRANGE(""1QZ5UxyNCwadreQAXnQ7oCoH982DjIA-QnZdO7ZoqkC0/edit#gid=0"",""2018-2021!$A$2:$O$250""),4,FALSE)"),121.0)</f>
        <v>121</v>
      </c>
      <c r="K87" s="17">
        <f t="shared" si="6"/>
        <v>0.484</v>
      </c>
      <c r="L87" s="17">
        <f t="shared" si="12"/>
        <v>-0.07</v>
      </c>
      <c r="M87" s="16">
        <f>IFERROR(__xludf.DUMMYFUNCTION("VLOOKUP(A87,IMPORTRANGE(""1QZ5UxyNCwadreQAXnQ7oCoH982DjIA-QnZdO7ZoqkC0/edit#gid=0"",""2018-2021!$A$2:$O$250""),7,FALSE)"),118.0)</f>
        <v>118</v>
      </c>
      <c r="N87" s="17">
        <f t="shared" si="8"/>
        <v>0.472</v>
      </c>
      <c r="O87" s="17">
        <f t="shared" si="9"/>
        <v>-0.017</v>
      </c>
      <c r="P87" s="16">
        <f>IFERROR(__xludf.DUMMYFUNCTION("VLOOKUP(A87,IMPORTRANGE(""1QZ5UxyNCwadreQAXnQ7oCoH982DjIA-QnZdO7ZoqkC0/edit#gid=0"",""2018-2021!$A$2:$O$250""),10,FALSE)"),73.0)</f>
        <v>73</v>
      </c>
      <c r="Q87" s="17">
        <f t="shared" si="10"/>
        <v>0.292</v>
      </c>
      <c r="R87" s="17">
        <f t="shared" si="11"/>
        <v>0.163</v>
      </c>
    </row>
    <row r="88">
      <c r="A88" s="19" t="s">
        <v>78</v>
      </c>
      <c r="B88" s="41">
        <f>IFERROR(__xludf.DUMMYFUNCTION("VLOOKUP(A88,IMPORTRANGE(""1EmrnCz2gLVTx5Cbj0e5tfuHPhTtmru8KTGuQvh7STl0/edit#gid=2147150001"",""Whole Data Set!$A$2:$NQ$253""),381,FALSE)"),105.0)</f>
        <v>105</v>
      </c>
      <c r="C88" s="13">
        <f t="shared" si="1"/>
        <v>0.42</v>
      </c>
      <c r="D88" s="12">
        <f>IFERROR(__xludf.DUMMYFUNCTION("VLOOKUP(A88,IMPORTRANGE(""1aFCnJY1qhIj8-JckJhDJ18aqmVo17tofpQmOjcYa3u8/edit#gid=948248086"",""Whole Data Set!$A$2:$NG$253""),371,FALSE)"),100.25)</f>
        <v>100.25</v>
      </c>
      <c r="E88" s="13">
        <f t="shared" si="2"/>
        <v>0.401</v>
      </c>
      <c r="F88" s="13">
        <f t="shared" si="3"/>
        <v>0.019</v>
      </c>
      <c r="G88" s="12">
        <f>IFERROR(__xludf.DUMMYFUNCTION("VLOOKUP(A88,IMPORTRANGE(""1QZ5UxyNCwadreQAXnQ7oCoH982DjIA-QnZdO7ZoqkC0/edit#gid=0"",""2018-2021!$A$2:$O$250""),2,FALSE)"),85.5)</f>
        <v>85.5</v>
      </c>
      <c r="H88" s="14">
        <f t="shared" si="4"/>
        <v>0.342</v>
      </c>
      <c r="I88" s="15">
        <f t="shared" si="5"/>
        <v>0.078</v>
      </c>
      <c r="J88" s="16">
        <f>IFERROR(__xludf.DUMMYFUNCTION("VLOOKUP(A88,IMPORTRANGE(""1QZ5UxyNCwadreQAXnQ7oCoH982DjIA-QnZdO7ZoqkC0/edit#gid=0"",""2018-2021!$A$2:$O$250""),4,FALSE)"),106.5)</f>
        <v>106.5</v>
      </c>
      <c r="K88" s="17">
        <f t="shared" si="6"/>
        <v>0.426</v>
      </c>
      <c r="L88" s="17">
        <f t="shared" si="12"/>
        <v>-0.025</v>
      </c>
      <c r="M88" s="16">
        <f>IFERROR(__xludf.DUMMYFUNCTION("VLOOKUP(A88,IMPORTRANGE(""1QZ5UxyNCwadreQAXnQ7oCoH982DjIA-QnZdO7ZoqkC0/edit#gid=0"",""2018-2021!$A$2:$O$250""),7,FALSE)"),75.5)</f>
        <v>75.5</v>
      </c>
      <c r="N88" s="17">
        <f t="shared" si="8"/>
        <v>0.302</v>
      </c>
      <c r="O88" s="17">
        <f t="shared" si="9"/>
        <v>0.118</v>
      </c>
      <c r="P88" s="16">
        <f>IFERROR(__xludf.DUMMYFUNCTION("VLOOKUP(A88,IMPORTRANGE(""1QZ5UxyNCwadreQAXnQ7oCoH982DjIA-QnZdO7ZoqkC0/edit#gid=0"",""2018-2021!$A$2:$O$250""),10,FALSE)"),73.5)</f>
        <v>73.5</v>
      </c>
      <c r="Q88" s="17">
        <f t="shared" si="10"/>
        <v>0.294</v>
      </c>
      <c r="R88" s="17">
        <f t="shared" si="11"/>
        <v>0.126</v>
      </c>
    </row>
    <row r="89">
      <c r="A89" s="19" t="s">
        <v>141</v>
      </c>
      <c r="B89" s="41">
        <f>IFERROR(__xludf.DUMMYFUNCTION("VLOOKUP(A89,IMPORTRANGE(""1EmrnCz2gLVTx5Cbj0e5tfuHPhTtmru8KTGuQvh7STl0/edit#gid=2147150001"",""Whole Data Set!$A$2:$NQ$253""),381,FALSE)"),0.75)</f>
        <v>0.75</v>
      </c>
      <c r="C89" s="13">
        <f t="shared" si="1"/>
        <v>0.003</v>
      </c>
      <c r="D89" s="12">
        <f>IFERROR(__xludf.DUMMYFUNCTION("VLOOKUP(A89,IMPORTRANGE(""1aFCnJY1qhIj8-JckJhDJ18aqmVo17tofpQmOjcYa3u8/edit#gid=948248086"",""Whole Data Set!$A$2:$NG$253""),371,FALSE)"),0.75)</f>
        <v>0.75</v>
      </c>
      <c r="E89" s="13">
        <f t="shared" si="2"/>
        <v>0.003</v>
      </c>
      <c r="F89" s="13">
        <f t="shared" si="3"/>
        <v>0</v>
      </c>
      <c r="G89" s="12">
        <f>IFERROR(__xludf.DUMMYFUNCTION("VLOOKUP(A89,IMPORTRANGE(""1QZ5UxyNCwadreQAXnQ7oCoH982DjIA-QnZdO7ZoqkC0/edit#gid=0"",""2018-2021!$A$2:$O$250""),2,FALSE)"),1.0)</f>
        <v>1</v>
      </c>
      <c r="H89" s="14">
        <f t="shared" si="4"/>
        <v>0.004</v>
      </c>
      <c r="I89" s="15">
        <f t="shared" si="5"/>
        <v>-0.001</v>
      </c>
      <c r="J89" s="16">
        <f>IFERROR(__xludf.DUMMYFUNCTION("VLOOKUP(A89,IMPORTRANGE(""1QZ5UxyNCwadreQAXnQ7oCoH982DjIA-QnZdO7ZoqkC0/edit#gid=0"",""2018-2021!$A$2:$O$250""),4,FALSE)"),1.5)</f>
        <v>1.5</v>
      </c>
      <c r="K89" s="17">
        <f t="shared" si="6"/>
        <v>0.006</v>
      </c>
      <c r="L89" s="17">
        <f t="shared" si="12"/>
        <v>-0.003</v>
      </c>
      <c r="M89" s="16">
        <f>IFERROR(__xludf.DUMMYFUNCTION("VLOOKUP(A89,IMPORTRANGE(""1QZ5UxyNCwadreQAXnQ7oCoH982DjIA-QnZdO7ZoqkC0/edit#gid=0"",""2018-2021!$A$2:$O$250""),7,FALSE)"),1.5)</f>
        <v>1.5</v>
      </c>
      <c r="N89" s="17">
        <f t="shared" si="8"/>
        <v>0.006</v>
      </c>
      <c r="O89" s="17">
        <f t="shared" si="9"/>
        <v>-0.003</v>
      </c>
      <c r="P89" s="16">
        <f>IFERROR(__xludf.DUMMYFUNCTION("VLOOKUP(A89,IMPORTRANGE(""1QZ5UxyNCwadreQAXnQ7oCoH982DjIA-QnZdO7ZoqkC0/edit#gid=0"",""2018-2021!$A$2:$O$250""),10,FALSE)"),1.5)</f>
        <v>1.5</v>
      </c>
      <c r="Q89" s="17">
        <f t="shared" si="10"/>
        <v>0.006</v>
      </c>
      <c r="R89" s="17">
        <f t="shared" si="11"/>
        <v>-0.003</v>
      </c>
    </row>
    <row r="90">
      <c r="A90" s="19" t="s">
        <v>79</v>
      </c>
      <c r="B90" s="41">
        <f>IFERROR(__xludf.DUMMYFUNCTION("VLOOKUP(A90,IMPORTRANGE(""1EmrnCz2gLVTx5Cbj0e5tfuHPhTtmru8KTGuQvh7STl0/edit#gid=2147150001"",""Whole Data Set!$A$2:$NQ$253""),381,FALSE)"),90.5)</f>
        <v>90.5</v>
      </c>
      <c r="C90" s="13">
        <f t="shared" si="1"/>
        <v>0.362</v>
      </c>
      <c r="D90" s="12">
        <f>IFERROR(__xludf.DUMMYFUNCTION("VLOOKUP(A90,IMPORTRANGE(""1aFCnJY1qhIj8-JckJhDJ18aqmVo17tofpQmOjcYa3u8/edit#gid=948248086"",""Whole Data Set!$A$2:$NG$253""),371,FALSE)"),92.75)</f>
        <v>92.75</v>
      </c>
      <c r="E90" s="13">
        <f t="shared" si="2"/>
        <v>0.371</v>
      </c>
      <c r="F90" s="13">
        <f t="shared" si="3"/>
        <v>-0.009</v>
      </c>
      <c r="G90" s="12">
        <f>IFERROR(__xludf.DUMMYFUNCTION("VLOOKUP(A90,IMPORTRANGE(""1QZ5UxyNCwadreQAXnQ7oCoH982DjIA-QnZdO7ZoqkC0/edit#gid=0"",""2018-2021!$A$2:$O$250""),2,FALSE)"),99.25)</f>
        <v>99.25</v>
      </c>
      <c r="H90" s="14">
        <f t="shared" si="4"/>
        <v>0.397</v>
      </c>
      <c r="I90" s="15">
        <f t="shared" si="5"/>
        <v>-0.035</v>
      </c>
      <c r="J90" s="16">
        <f>IFERROR(__xludf.DUMMYFUNCTION("VLOOKUP(A90,IMPORTRANGE(""1QZ5UxyNCwadreQAXnQ7oCoH982DjIA-QnZdO7ZoqkC0/edit#gid=0"",""2018-2021!$A$2:$O$250""),4,FALSE)"),90.5)</f>
        <v>90.5</v>
      </c>
      <c r="K90" s="17">
        <f t="shared" si="6"/>
        <v>0.362</v>
      </c>
      <c r="L90" s="17">
        <f t="shared" si="12"/>
        <v>0.009</v>
      </c>
      <c r="M90" s="16">
        <f>IFERROR(__xludf.DUMMYFUNCTION("VLOOKUP(A90,IMPORTRANGE(""1QZ5UxyNCwadreQAXnQ7oCoH982DjIA-QnZdO7ZoqkC0/edit#gid=0"",""2018-2021!$A$2:$O$250""),7,FALSE)"),82.5)</f>
        <v>82.5</v>
      </c>
      <c r="N90" s="17">
        <f t="shared" si="8"/>
        <v>0.33</v>
      </c>
      <c r="O90" s="17">
        <f t="shared" si="9"/>
        <v>0.032</v>
      </c>
      <c r="P90" s="16">
        <f>IFERROR(__xludf.DUMMYFUNCTION("VLOOKUP(A90,IMPORTRANGE(""1QZ5UxyNCwadreQAXnQ7oCoH982DjIA-QnZdO7ZoqkC0/edit#gid=0"",""2018-2021!$A$2:$O$250""),10,FALSE)"),81.5)</f>
        <v>81.5</v>
      </c>
      <c r="Q90" s="17">
        <f t="shared" si="10"/>
        <v>0.326</v>
      </c>
      <c r="R90" s="17">
        <f t="shared" si="11"/>
        <v>0.036</v>
      </c>
    </row>
    <row r="91">
      <c r="A91" s="19" t="s">
        <v>80</v>
      </c>
      <c r="B91" s="41">
        <f>IFERROR(__xludf.DUMMYFUNCTION("VLOOKUP(A91,IMPORTRANGE(""1EmrnCz2gLVTx5Cbj0e5tfuHPhTtmru8KTGuQvh7STl0/edit#gid=2147150001"",""Whole Data Set!$A$2:$NQ$253""),381,FALSE)"),124.75)</f>
        <v>124.75</v>
      </c>
      <c r="C91" s="13">
        <f t="shared" si="1"/>
        <v>0.499</v>
      </c>
      <c r="D91" s="12">
        <f>IFERROR(__xludf.DUMMYFUNCTION("VLOOKUP(A91,IMPORTRANGE(""1aFCnJY1qhIj8-JckJhDJ18aqmVo17tofpQmOjcYa3u8/edit#gid=948248086"",""Whole Data Set!$A$2:$NG$253""),371,FALSE)"),133.5)</f>
        <v>133.5</v>
      </c>
      <c r="E91" s="13">
        <f t="shared" si="2"/>
        <v>0.534</v>
      </c>
      <c r="F91" s="13">
        <f t="shared" si="3"/>
        <v>-0.035</v>
      </c>
      <c r="G91" s="12">
        <f>IFERROR(__xludf.DUMMYFUNCTION("VLOOKUP(A91,IMPORTRANGE(""1QZ5UxyNCwadreQAXnQ7oCoH982DjIA-QnZdO7ZoqkC0/edit#gid=0"",""2018-2021!$A$2:$O$250""),2,FALSE)"),138.5)</f>
        <v>138.5</v>
      </c>
      <c r="H91" s="14">
        <f t="shared" si="4"/>
        <v>0.554</v>
      </c>
      <c r="I91" s="15">
        <f t="shared" si="5"/>
        <v>-0.055</v>
      </c>
      <c r="J91" s="16">
        <f>IFERROR(__xludf.DUMMYFUNCTION("VLOOKUP(A91,IMPORTRANGE(""1QZ5UxyNCwadreQAXnQ7oCoH982DjIA-QnZdO7ZoqkC0/edit#gid=0"",""2018-2021!$A$2:$O$250""),4,FALSE)"),138.0)</f>
        <v>138</v>
      </c>
      <c r="K91" s="17">
        <f t="shared" si="6"/>
        <v>0.552</v>
      </c>
      <c r="L91" s="17">
        <f t="shared" si="12"/>
        <v>-0.018</v>
      </c>
      <c r="M91" s="16">
        <f>IFERROR(__xludf.DUMMYFUNCTION("VLOOKUP(A91,IMPORTRANGE(""1QZ5UxyNCwadreQAXnQ7oCoH982DjIA-QnZdO7ZoqkC0/edit#gid=0"",""2018-2021!$A$2:$O$250""),7,FALSE)"),143.0)</f>
        <v>143</v>
      </c>
      <c r="N91" s="17">
        <f t="shared" si="8"/>
        <v>0.572</v>
      </c>
      <c r="O91" s="17">
        <f t="shared" si="9"/>
        <v>-0.073</v>
      </c>
      <c r="P91" s="16">
        <f>IFERROR(__xludf.DUMMYFUNCTION("VLOOKUP(A91,IMPORTRANGE(""1QZ5UxyNCwadreQAXnQ7oCoH982DjIA-QnZdO7ZoqkC0/edit#gid=0"",""2018-2021!$A$2:$O$250""),10,FALSE)"),91.0)</f>
        <v>91</v>
      </c>
      <c r="Q91" s="17">
        <f t="shared" si="10"/>
        <v>0.364</v>
      </c>
      <c r="R91" s="17">
        <f t="shared" si="11"/>
        <v>0.135</v>
      </c>
    </row>
    <row r="92">
      <c r="A92" s="19" t="s">
        <v>142</v>
      </c>
      <c r="B92" s="41">
        <f>IFERROR(__xludf.DUMMYFUNCTION("VLOOKUP(A92,IMPORTRANGE(""1EmrnCz2gLVTx5Cbj0e5tfuHPhTtmru8KTGuQvh7STl0/edit#gid=2147150001"",""Whole Data Set!$A$2:$NQ$253""),381,FALSE)"),1.5)</f>
        <v>1.5</v>
      </c>
      <c r="C92" s="13">
        <f t="shared" si="1"/>
        <v>0.006</v>
      </c>
      <c r="D92" s="12">
        <f>IFERROR(__xludf.DUMMYFUNCTION("VLOOKUP(A92,IMPORTRANGE(""1aFCnJY1qhIj8-JckJhDJ18aqmVo17tofpQmOjcYa3u8/edit#gid=948248086"",""Whole Data Set!$A$2:$NG$253""),371,FALSE)"),1.5)</f>
        <v>1.5</v>
      </c>
      <c r="E92" s="13">
        <f t="shared" si="2"/>
        <v>0.006</v>
      </c>
      <c r="F92" s="13">
        <f t="shared" si="3"/>
        <v>0</v>
      </c>
      <c r="G92" s="12">
        <f>IFERROR(__xludf.DUMMYFUNCTION("VLOOKUP(A92,IMPORTRANGE(""1QZ5UxyNCwadreQAXnQ7oCoH982DjIA-QnZdO7ZoqkC0/edit#gid=0"",""2018-2021!$A$2:$O$250""),2,FALSE)"),3.5)</f>
        <v>3.5</v>
      </c>
      <c r="H92" s="14">
        <f t="shared" si="4"/>
        <v>0.014</v>
      </c>
      <c r="I92" s="15">
        <f t="shared" si="5"/>
        <v>-0.008</v>
      </c>
      <c r="J92" s="16">
        <f>IFERROR(__xludf.DUMMYFUNCTION("VLOOKUP(A92,IMPORTRANGE(""1QZ5UxyNCwadreQAXnQ7oCoH982DjIA-QnZdO7ZoqkC0/edit#gid=0"",""2018-2021!$A$2:$O$250""),4,FALSE)"),8.0)</f>
        <v>8</v>
      </c>
      <c r="K92" s="17">
        <f t="shared" si="6"/>
        <v>0.032</v>
      </c>
      <c r="L92" s="17">
        <f t="shared" si="12"/>
        <v>-0.026</v>
      </c>
      <c r="M92" s="16">
        <f>IFERROR(__xludf.DUMMYFUNCTION("VLOOKUP(A92,IMPORTRANGE(""1QZ5UxyNCwadreQAXnQ7oCoH982DjIA-QnZdO7ZoqkC0/edit#gid=0"",""2018-2021!$A$2:$O$250""),7,FALSE)"),6.0)</f>
        <v>6</v>
      </c>
      <c r="N92" s="17">
        <f t="shared" si="8"/>
        <v>0.024</v>
      </c>
      <c r="O92" s="17">
        <f t="shared" si="9"/>
        <v>-0.018</v>
      </c>
      <c r="P92" s="16">
        <f>IFERROR(__xludf.DUMMYFUNCTION("VLOOKUP(A92,IMPORTRANGE(""1QZ5UxyNCwadreQAXnQ7oCoH982DjIA-QnZdO7ZoqkC0/edit#gid=0"",""2018-2021!$A$2:$O$250""),10,FALSE)"),0.0)</f>
        <v>0</v>
      </c>
      <c r="Q92" s="17">
        <f t="shared" si="10"/>
        <v>0</v>
      </c>
      <c r="R92" s="17">
        <f t="shared" si="11"/>
        <v>0.006</v>
      </c>
    </row>
    <row r="93">
      <c r="A93" s="19" t="s">
        <v>82</v>
      </c>
      <c r="B93" s="41">
        <f>IFERROR(__xludf.DUMMYFUNCTION("VLOOKUP(A93,IMPORTRANGE(""1EmrnCz2gLVTx5Cbj0e5tfuHPhTtmru8KTGuQvh7STl0/edit#gid=2147150001"",""Whole Data Set!$A$2:$NQ$253""),381,FALSE)"),65.25)</f>
        <v>65.25</v>
      </c>
      <c r="C93" s="13">
        <f t="shared" si="1"/>
        <v>0.261</v>
      </c>
      <c r="D93" s="12">
        <f>IFERROR(__xludf.DUMMYFUNCTION("VLOOKUP(A93,IMPORTRANGE(""1aFCnJY1qhIj8-JckJhDJ18aqmVo17tofpQmOjcYa3u8/edit#gid=948248086"",""Whole Data Set!$A$2:$NG$253""),371,FALSE)"),42.75)</f>
        <v>42.75</v>
      </c>
      <c r="E93" s="13">
        <f t="shared" si="2"/>
        <v>0.171</v>
      </c>
      <c r="F93" s="13">
        <f t="shared" si="3"/>
        <v>0.09</v>
      </c>
      <c r="G93" s="12">
        <f>IFERROR(__xludf.DUMMYFUNCTION("VLOOKUP(A93,IMPORTRANGE(""1QZ5UxyNCwadreQAXnQ7oCoH982DjIA-QnZdO7ZoqkC0/edit#gid=0"",""2018-2021!$A$2:$O$250""),2,FALSE)"),70.25)</f>
        <v>70.25</v>
      </c>
      <c r="H93" s="14">
        <f t="shared" si="4"/>
        <v>0.281</v>
      </c>
      <c r="I93" s="15">
        <f t="shared" si="5"/>
        <v>-0.02</v>
      </c>
      <c r="J93" s="16">
        <f>IFERROR(__xludf.DUMMYFUNCTION("VLOOKUP(A93,IMPORTRANGE(""1QZ5UxyNCwadreQAXnQ7oCoH982DjIA-QnZdO7ZoqkC0/edit#gid=0"",""2018-2021!$A$2:$O$250""),4,FALSE)"),55.5)</f>
        <v>55.5</v>
      </c>
      <c r="K93" s="17">
        <f t="shared" si="6"/>
        <v>0.222</v>
      </c>
      <c r="L93" s="17">
        <f t="shared" si="12"/>
        <v>-0.051</v>
      </c>
      <c r="M93" s="16">
        <f>IFERROR(__xludf.DUMMYFUNCTION("VLOOKUP(A93,IMPORTRANGE(""1QZ5UxyNCwadreQAXnQ7oCoH982DjIA-QnZdO7ZoqkC0/edit#gid=0"",""2018-2021!$A$2:$O$250""),7,FALSE)"),44.0)</f>
        <v>44</v>
      </c>
      <c r="N93" s="17">
        <f t="shared" si="8"/>
        <v>0.176</v>
      </c>
      <c r="O93" s="17">
        <f t="shared" si="9"/>
        <v>0.085</v>
      </c>
      <c r="P93" s="16">
        <f>IFERROR(__xludf.DUMMYFUNCTION("VLOOKUP(A93,IMPORTRANGE(""1QZ5UxyNCwadreQAXnQ7oCoH982DjIA-QnZdO7ZoqkC0/edit#gid=0"",""2018-2021!$A$2:$O$250""),10,FALSE)"),43.5)</f>
        <v>43.5</v>
      </c>
      <c r="Q93" s="17">
        <f t="shared" si="10"/>
        <v>0.174</v>
      </c>
      <c r="R93" s="17">
        <f t="shared" si="11"/>
        <v>0.087</v>
      </c>
    </row>
    <row r="94">
      <c r="A94" s="19" t="s">
        <v>66</v>
      </c>
      <c r="B94" s="41">
        <f>IFERROR(__xludf.DUMMYFUNCTION("VLOOKUP(A94,IMPORTRANGE(""1EmrnCz2gLVTx5Cbj0e5tfuHPhTtmru8KTGuQvh7STl0/edit#gid=2147150001"",""Whole Data Set!$A$2:$NQ$253""),381,FALSE)"),120.25)</f>
        <v>120.25</v>
      </c>
      <c r="C94" s="13">
        <f t="shared" si="1"/>
        <v>0.481</v>
      </c>
      <c r="D94" s="12">
        <f>IFERROR(__xludf.DUMMYFUNCTION("VLOOKUP(A94,IMPORTRANGE(""1aFCnJY1qhIj8-JckJhDJ18aqmVo17tofpQmOjcYa3u8/edit#gid=948248086"",""Whole Data Set!$A$2:$NG$253""),371,FALSE)"),109.5)</f>
        <v>109.5</v>
      </c>
      <c r="E94" s="13">
        <f t="shared" si="2"/>
        <v>0.438</v>
      </c>
      <c r="F94" s="13">
        <f t="shared" si="3"/>
        <v>0.043</v>
      </c>
      <c r="G94" s="12">
        <f>IFERROR(__xludf.DUMMYFUNCTION("VLOOKUP(A94,IMPORTRANGE(""1QZ5UxyNCwadreQAXnQ7oCoH982DjIA-QnZdO7ZoqkC0/edit#gid=0"",""2018-2021!$A$2:$O$250""),2,FALSE)"),123.0)</f>
        <v>123</v>
      </c>
      <c r="H94" s="14">
        <f t="shared" si="4"/>
        <v>0.492</v>
      </c>
      <c r="I94" s="15">
        <f t="shared" si="5"/>
        <v>-0.011</v>
      </c>
      <c r="J94" s="16">
        <f>IFERROR(__xludf.DUMMYFUNCTION("VLOOKUP(A94,IMPORTRANGE(""1QZ5UxyNCwadreQAXnQ7oCoH982DjIA-QnZdO7ZoqkC0/edit#gid=0"",""2018-2021!$A$2:$O$250""),4,FALSE)"),125.0)</f>
        <v>125</v>
      </c>
      <c r="K94" s="17">
        <f t="shared" si="6"/>
        <v>0.5</v>
      </c>
      <c r="L94" s="17">
        <f t="shared" si="12"/>
        <v>-0.062</v>
      </c>
      <c r="M94" s="16">
        <f>IFERROR(__xludf.DUMMYFUNCTION("VLOOKUP(A94,IMPORTRANGE(""1QZ5UxyNCwadreQAXnQ7oCoH982DjIA-QnZdO7ZoqkC0/edit#gid=0"",""2018-2021!$A$2:$O$250""),7,FALSE)"),134.5)</f>
        <v>134.5</v>
      </c>
      <c r="N94" s="17">
        <f t="shared" si="8"/>
        <v>0.538</v>
      </c>
      <c r="O94" s="17">
        <f t="shared" si="9"/>
        <v>-0.057</v>
      </c>
      <c r="P94" s="16">
        <f>IFERROR(__xludf.DUMMYFUNCTION("VLOOKUP(A94,IMPORTRANGE(""1QZ5UxyNCwadreQAXnQ7oCoH982DjIA-QnZdO7ZoqkC0/edit#gid=0"",""2018-2021!$A$2:$O$250""),10,FALSE)"),134.5)</f>
        <v>134.5</v>
      </c>
      <c r="Q94" s="17">
        <f t="shared" si="10"/>
        <v>0.538</v>
      </c>
      <c r="R94" s="17">
        <f t="shared" si="11"/>
        <v>-0.057</v>
      </c>
    </row>
    <row r="95">
      <c r="A95" s="19" t="s">
        <v>143</v>
      </c>
      <c r="B95" s="41">
        <f>IFERROR(__xludf.DUMMYFUNCTION("VLOOKUP(A95,IMPORTRANGE(""1EmrnCz2gLVTx5Cbj0e5tfuHPhTtmru8KTGuQvh7STl0/edit#gid=2147150001"",""Whole Data Set!$A$2:$NQ$253""),381,FALSE)"),207.5)</f>
        <v>207.5</v>
      </c>
      <c r="C95" s="13">
        <f t="shared" si="1"/>
        <v>0.83</v>
      </c>
      <c r="D95" s="12">
        <f>IFERROR(__xludf.DUMMYFUNCTION("VLOOKUP(A95,IMPORTRANGE(""1aFCnJY1qhIj8-JckJhDJ18aqmVo17tofpQmOjcYa3u8/edit#gid=948248086"",""Whole Data Set!$A$2:$NG$253""),371,FALSE)"),195.5)</f>
        <v>195.5</v>
      </c>
      <c r="E95" s="13">
        <f t="shared" si="2"/>
        <v>0.782</v>
      </c>
      <c r="F95" s="13">
        <f t="shared" si="3"/>
        <v>0.048</v>
      </c>
      <c r="G95" s="12">
        <f>IFERROR(__xludf.DUMMYFUNCTION("VLOOKUP(A95,IMPORTRANGE(""1QZ5UxyNCwadreQAXnQ7oCoH982DjIA-QnZdO7ZoqkC0/edit#gid=0"",""2018-2021!$A$2:$O$250""),2,FALSE)"),196.0)</f>
        <v>196</v>
      </c>
      <c r="H95" s="14">
        <f t="shared" si="4"/>
        <v>0.784</v>
      </c>
      <c r="I95" s="15">
        <f t="shared" si="5"/>
        <v>0.046</v>
      </c>
      <c r="J95" s="16">
        <f>IFERROR(__xludf.DUMMYFUNCTION("VLOOKUP(A95,IMPORTRANGE(""1QZ5UxyNCwadreQAXnQ7oCoH982DjIA-QnZdO7ZoqkC0/edit#gid=0"",""2018-2021!$A$2:$O$250""),4,FALSE)"),86.5)</f>
        <v>86.5</v>
      </c>
      <c r="K95" s="17">
        <f t="shared" si="6"/>
        <v>0.346</v>
      </c>
      <c r="L95" s="17">
        <f t="shared" si="12"/>
        <v>0.436</v>
      </c>
      <c r="M95" s="16">
        <f>IFERROR(__xludf.DUMMYFUNCTION("VLOOKUP(A95,IMPORTRANGE(""1QZ5UxyNCwadreQAXnQ7oCoH982DjIA-QnZdO7ZoqkC0/edit#gid=0"",""2018-2021!$A$2:$O$250""),7,FALSE)"),63.0)</f>
        <v>63</v>
      </c>
      <c r="N95" s="17">
        <f t="shared" si="8"/>
        <v>0.252</v>
      </c>
      <c r="O95" s="17">
        <f t="shared" si="9"/>
        <v>0.578</v>
      </c>
      <c r="P95" s="16">
        <f>IFERROR(__xludf.DUMMYFUNCTION("VLOOKUP(A95,IMPORTRANGE(""1QZ5UxyNCwadreQAXnQ7oCoH982DjIA-QnZdO7ZoqkC0/edit#gid=0"",""2018-2021!$A$2:$O$250""),10,FALSE)"),57.0)</f>
        <v>57</v>
      </c>
      <c r="Q95" s="17">
        <f t="shared" si="10"/>
        <v>0.228</v>
      </c>
      <c r="R95" s="17">
        <f t="shared" si="11"/>
        <v>0.602</v>
      </c>
    </row>
    <row r="96">
      <c r="A96" s="19" t="s">
        <v>83</v>
      </c>
      <c r="B96" s="41">
        <f>IFERROR(__xludf.DUMMYFUNCTION("VLOOKUP(A96,IMPORTRANGE(""1EmrnCz2gLVTx5Cbj0e5tfuHPhTtmru8KTGuQvh7STl0/edit#gid=2147150001"",""Whole Data Set!$A$2:$NQ$253""),381,FALSE)"),85.5)</f>
        <v>85.5</v>
      </c>
      <c r="C96" s="13">
        <f t="shared" si="1"/>
        <v>0.342</v>
      </c>
      <c r="D96" s="12">
        <f>IFERROR(__xludf.DUMMYFUNCTION("VLOOKUP(A96,IMPORTRANGE(""1aFCnJY1qhIj8-JckJhDJ18aqmVo17tofpQmOjcYa3u8/edit#gid=948248086"",""Whole Data Set!$A$2:$NG$253""),371,FALSE)"),44.25)</f>
        <v>44.25</v>
      </c>
      <c r="E96" s="13">
        <f t="shared" si="2"/>
        <v>0.177</v>
      </c>
      <c r="F96" s="13">
        <f t="shared" si="3"/>
        <v>0.165</v>
      </c>
      <c r="G96" s="12">
        <f>IFERROR(__xludf.DUMMYFUNCTION("VLOOKUP(A96,IMPORTRANGE(""1QZ5UxyNCwadreQAXnQ7oCoH982DjIA-QnZdO7ZoqkC0/edit#gid=0"",""2018-2021!$A$2:$O$250""),2,FALSE)"),46.0)</f>
        <v>46</v>
      </c>
      <c r="H96" s="14">
        <f t="shared" si="4"/>
        <v>0.184</v>
      </c>
      <c r="I96" s="15">
        <f t="shared" si="5"/>
        <v>0.158</v>
      </c>
      <c r="J96" s="16">
        <f>IFERROR(__xludf.DUMMYFUNCTION("VLOOKUP(A96,IMPORTRANGE(""1QZ5UxyNCwadreQAXnQ7oCoH982DjIA-QnZdO7ZoqkC0/edit#gid=0"",""2018-2021!$A$2:$O$250""),4,FALSE)"),45.5)</f>
        <v>45.5</v>
      </c>
      <c r="K96" s="17">
        <f t="shared" si="6"/>
        <v>0.182</v>
      </c>
      <c r="L96" s="17">
        <f t="shared" si="12"/>
        <v>-0.005</v>
      </c>
      <c r="M96" s="16">
        <f>IFERROR(__xludf.DUMMYFUNCTION("VLOOKUP(A96,IMPORTRANGE(""1QZ5UxyNCwadreQAXnQ7oCoH982DjIA-QnZdO7ZoqkC0/edit#gid=0"",""2018-2021!$A$2:$O$250""),7,FALSE)"),49.0)</f>
        <v>49</v>
      </c>
      <c r="N96" s="17">
        <f t="shared" si="8"/>
        <v>0.196</v>
      </c>
      <c r="O96" s="17">
        <f t="shared" si="9"/>
        <v>0.146</v>
      </c>
      <c r="P96" s="16">
        <f>IFERROR(__xludf.DUMMYFUNCTION("VLOOKUP(A96,IMPORTRANGE(""1QZ5UxyNCwadreQAXnQ7oCoH982DjIA-QnZdO7ZoqkC0/edit#gid=0"",""2018-2021!$A$2:$O$250""),10,FALSE)"),37.0)</f>
        <v>37</v>
      </c>
      <c r="Q96" s="17">
        <f t="shared" si="10"/>
        <v>0.148</v>
      </c>
      <c r="R96" s="17">
        <f t="shared" si="11"/>
        <v>0.194</v>
      </c>
    </row>
    <row r="97">
      <c r="A97" s="19" t="s">
        <v>84</v>
      </c>
      <c r="B97" s="41">
        <f>IFERROR(__xludf.DUMMYFUNCTION("VLOOKUP(A97,IMPORTRANGE(""1EmrnCz2gLVTx5Cbj0e5tfuHPhTtmru8KTGuQvh7STl0/edit#gid=2147150001"",""Whole Data Set!$A$2:$NQ$253""),381,FALSE)"),99.25)</f>
        <v>99.25</v>
      </c>
      <c r="C97" s="13">
        <f t="shared" si="1"/>
        <v>0.397</v>
      </c>
      <c r="D97" s="12">
        <f>IFERROR(__xludf.DUMMYFUNCTION("VLOOKUP(A97,IMPORTRANGE(""1aFCnJY1qhIj8-JckJhDJ18aqmVo17tofpQmOjcYa3u8/edit#gid=948248086"",""Whole Data Set!$A$2:$NG$253""),371,FALSE)"),88.0)</f>
        <v>88</v>
      </c>
      <c r="E97" s="13">
        <f t="shared" si="2"/>
        <v>0.352</v>
      </c>
      <c r="F97" s="13">
        <f t="shared" si="3"/>
        <v>0.045</v>
      </c>
      <c r="G97" s="12">
        <f>IFERROR(__xludf.DUMMYFUNCTION("VLOOKUP(A97,IMPORTRANGE(""1QZ5UxyNCwadreQAXnQ7oCoH982DjIA-QnZdO7ZoqkC0/edit#gid=0"",""2018-2021!$A$2:$O$250""),2,FALSE)"),95.0)</f>
        <v>95</v>
      </c>
      <c r="H97" s="14">
        <f t="shared" si="4"/>
        <v>0.38</v>
      </c>
      <c r="I97" s="15">
        <f t="shared" si="5"/>
        <v>0.017</v>
      </c>
      <c r="J97" s="16">
        <f>IFERROR(__xludf.DUMMYFUNCTION("VLOOKUP(A97,IMPORTRANGE(""1QZ5UxyNCwadreQAXnQ7oCoH982DjIA-QnZdO7ZoqkC0/edit#gid=0"",""2018-2021!$A$2:$O$250""),4,FALSE)"),96.0)</f>
        <v>96</v>
      </c>
      <c r="K97" s="17">
        <f t="shared" si="6"/>
        <v>0.384</v>
      </c>
      <c r="L97" s="17">
        <f t="shared" si="12"/>
        <v>-0.032</v>
      </c>
      <c r="M97" s="16">
        <f>IFERROR(__xludf.DUMMYFUNCTION("VLOOKUP(A97,IMPORTRANGE(""1QZ5UxyNCwadreQAXnQ7oCoH982DjIA-QnZdO7ZoqkC0/edit#gid=0"",""2018-2021!$A$2:$O$250""),7,FALSE)"),88.5)</f>
        <v>88.5</v>
      </c>
      <c r="N97" s="17">
        <f t="shared" si="8"/>
        <v>0.354</v>
      </c>
      <c r="O97" s="17">
        <f t="shared" si="9"/>
        <v>0.043</v>
      </c>
      <c r="P97" s="16">
        <f>IFERROR(__xludf.DUMMYFUNCTION("VLOOKUP(A97,IMPORTRANGE(""1QZ5UxyNCwadreQAXnQ7oCoH982DjIA-QnZdO7ZoqkC0/edit#gid=0"",""2018-2021!$A$2:$O$250""),10,FALSE)"),90.5)</f>
        <v>90.5</v>
      </c>
      <c r="Q97" s="17">
        <f t="shared" si="10"/>
        <v>0.362</v>
      </c>
      <c r="R97" s="17">
        <f t="shared" si="11"/>
        <v>0.035</v>
      </c>
    </row>
    <row r="98">
      <c r="A98" s="19" t="s">
        <v>85</v>
      </c>
      <c r="B98" s="41">
        <f>IFERROR(__xludf.DUMMYFUNCTION("VLOOKUP(A98,IMPORTRANGE(""1EmrnCz2gLVTx5Cbj0e5tfuHPhTtmru8KTGuQvh7STl0/edit#gid=2147150001"",""Whole Data Set!$A$2:$NQ$253""),381,FALSE)"),124.5)</f>
        <v>124.5</v>
      </c>
      <c r="C98" s="13">
        <f t="shared" si="1"/>
        <v>0.498</v>
      </c>
      <c r="D98" s="12">
        <f>IFERROR(__xludf.DUMMYFUNCTION("VLOOKUP(A98,IMPORTRANGE(""1aFCnJY1qhIj8-JckJhDJ18aqmVo17tofpQmOjcYa3u8/edit#gid=948248086"",""Whole Data Set!$A$2:$NG$253""),371,FALSE)"),107.75)</f>
        <v>107.75</v>
      </c>
      <c r="E98" s="13">
        <f t="shared" si="2"/>
        <v>0.431</v>
      </c>
      <c r="F98" s="13">
        <f t="shared" si="3"/>
        <v>0.067</v>
      </c>
      <c r="G98" s="12">
        <f>IFERROR(__xludf.DUMMYFUNCTION("VLOOKUP(A98,IMPORTRANGE(""1QZ5UxyNCwadreQAXnQ7oCoH982DjIA-QnZdO7ZoqkC0/edit#gid=0"",""2018-2021!$A$2:$O$250""),2,FALSE)"),90.5)</f>
        <v>90.5</v>
      </c>
      <c r="H98" s="14">
        <f t="shared" si="4"/>
        <v>0.362</v>
      </c>
      <c r="I98" s="15">
        <f t="shared" si="5"/>
        <v>0.136</v>
      </c>
      <c r="J98" s="16">
        <f>IFERROR(__xludf.DUMMYFUNCTION("VLOOKUP(A98,IMPORTRANGE(""1QZ5UxyNCwadreQAXnQ7oCoH982DjIA-QnZdO7ZoqkC0/edit#gid=0"",""2018-2021!$A$2:$O$250""),4,FALSE)"),110.5)</f>
        <v>110.5</v>
      </c>
      <c r="K98" s="17">
        <f t="shared" si="6"/>
        <v>0.442</v>
      </c>
      <c r="L98" s="17">
        <f t="shared" si="12"/>
        <v>-0.011</v>
      </c>
      <c r="M98" s="16">
        <f>IFERROR(__xludf.DUMMYFUNCTION("VLOOKUP(A98,IMPORTRANGE(""1QZ5UxyNCwadreQAXnQ7oCoH982DjIA-QnZdO7ZoqkC0/edit#gid=0"",""2018-2021!$A$2:$O$250""),7,FALSE)"),114.0)</f>
        <v>114</v>
      </c>
      <c r="N98" s="17">
        <f t="shared" si="8"/>
        <v>0.456</v>
      </c>
      <c r="O98" s="17">
        <f t="shared" si="9"/>
        <v>0.042</v>
      </c>
      <c r="P98" s="16">
        <f>IFERROR(__xludf.DUMMYFUNCTION("VLOOKUP(A98,IMPORTRANGE(""1QZ5UxyNCwadreQAXnQ7oCoH982DjIA-QnZdO7ZoqkC0/edit#gid=0"",""2018-2021!$A$2:$O$250""),10,FALSE)"),105.0)</f>
        <v>105</v>
      </c>
      <c r="Q98" s="17">
        <f t="shared" si="10"/>
        <v>0.42</v>
      </c>
      <c r="R98" s="17">
        <f t="shared" si="11"/>
        <v>0.078</v>
      </c>
    </row>
    <row r="99">
      <c r="A99" s="19" t="s">
        <v>86</v>
      </c>
      <c r="B99" s="41">
        <f>IFERROR(__xludf.DUMMYFUNCTION("VLOOKUP(A99,IMPORTRANGE(""1EmrnCz2gLVTx5Cbj0e5tfuHPhTtmru8KTGuQvh7STl0/edit#gid=2147150001"",""Whole Data Set!$A$2:$NQ$253""),381,FALSE)"),166.0)</f>
        <v>166</v>
      </c>
      <c r="C99" s="13">
        <f t="shared" si="1"/>
        <v>0.664</v>
      </c>
      <c r="D99" s="12">
        <f>IFERROR(__xludf.DUMMYFUNCTION("VLOOKUP(A99,IMPORTRANGE(""1aFCnJY1qhIj8-JckJhDJ18aqmVo17tofpQmOjcYa3u8/edit#gid=948248086"",""Whole Data Set!$A$2:$NG$253""),371,FALSE)"),146.0)</f>
        <v>146</v>
      </c>
      <c r="E99" s="13">
        <f t="shared" si="2"/>
        <v>0.584</v>
      </c>
      <c r="F99" s="13">
        <f t="shared" si="3"/>
        <v>0.08</v>
      </c>
      <c r="G99" s="12">
        <f>IFERROR(__xludf.DUMMYFUNCTION("VLOOKUP(A99,IMPORTRANGE(""1QZ5UxyNCwadreQAXnQ7oCoH982DjIA-QnZdO7ZoqkC0/edit#gid=0"",""2018-2021!$A$2:$O$250""),2,FALSE)"),127.0)</f>
        <v>127</v>
      </c>
      <c r="H99" s="14">
        <f t="shared" si="4"/>
        <v>0.508</v>
      </c>
      <c r="I99" s="15">
        <f t="shared" si="5"/>
        <v>0.156</v>
      </c>
      <c r="J99" s="16">
        <f>IFERROR(__xludf.DUMMYFUNCTION("VLOOKUP(A99,IMPORTRANGE(""1QZ5UxyNCwadreQAXnQ7oCoH982DjIA-QnZdO7ZoqkC0/edit#gid=0"",""2018-2021!$A$2:$O$250""),4,FALSE)"),141.5)</f>
        <v>141.5</v>
      </c>
      <c r="K99" s="17">
        <f t="shared" si="6"/>
        <v>0.566</v>
      </c>
      <c r="L99" s="17">
        <f t="shared" si="12"/>
        <v>0.018</v>
      </c>
      <c r="M99" s="16">
        <f>IFERROR(__xludf.DUMMYFUNCTION("VLOOKUP(A99,IMPORTRANGE(""1QZ5UxyNCwadreQAXnQ7oCoH982DjIA-QnZdO7ZoqkC0/edit#gid=0"",""2018-2021!$A$2:$O$250""),7,FALSE)"),145.5)</f>
        <v>145.5</v>
      </c>
      <c r="N99" s="17">
        <f t="shared" si="8"/>
        <v>0.582</v>
      </c>
      <c r="O99" s="17">
        <f t="shared" si="9"/>
        <v>0.082</v>
      </c>
      <c r="P99" s="16">
        <f>IFERROR(__xludf.DUMMYFUNCTION("VLOOKUP(A99,IMPORTRANGE(""1QZ5UxyNCwadreQAXnQ7oCoH982DjIA-QnZdO7ZoqkC0/edit#gid=0"",""2018-2021!$A$2:$O$250""),10,FALSE)"),140.0)</f>
        <v>140</v>
      </c>
      <c r="Q99" s="17">
        <f t="shared" si="10"/>
        <v>0.56</v>
      </c>
      <c r="R99" s="17">
        <f t="shared" si="11"/>
        <v>0.104</v>
      </c>
    </row>
    <row r="100">
      <c r="A100" s="19" t="s">
        <v>87</v>
      </c>
      <c r="B100" s="41">
        <f>IFERROR(__xludf.DUMMYFUNCTION("VLOOKUP(A100,IMPORTRANGE(""1EmrnCz2gLVTx5Cbj0e5tfuHPhTtmru8KTGuQvh7STl0/edit#gid=2147150001"",""Whole Data Set!$A$2:$NQ$253""),381,FALSE)"),134.75)</f>
        <v>134.75</v>
      </c>
      <c r="C100" s="13">
        <f t="shared" si="1"/>
        <v>0.539</v>
      </c>
      <c r="D100" s="12">
        <f>IFERROR(__xludf.DUMMYFUNCTION("VLOOKUP(A100,IMPORTRANGE(""1aFCnJY1qhIj8-JckJhDJ18aqmVo17tofpQmOjcYa3u8/edit#gid=948248086"",""Whole Data Set!$A$2:$NG$253""),371,FALSE)"),123.0)</f>
        <v>123</v>
      </c>
      <c r="E100" s="13">
        <f t="shared" si="2"/>
        <v>0.492</v>
      </c>
      <c r="F100" s="13">
        <f t="shared" si="3"/>
        <v>0.047</v>
      </c>
      <c r="G100" s="12">
        <f>IFERROR(__xludf.DUMMYFUNCTION("VLOOKUP(A100,IMPORTRANGE(""1QZ5UxyNCwadreQAXnQ7oCoH982DjIA-QnZdO7ZoqkC0/edit#gid=0"",""2018-2021!$A$2:$O$250""),2,FALSE)"),71.5)</f>
        <v>71.5</v>
      </c>
      <c r="H100" s="14">
        <f t="shared" si="4"/>
        <v>0.286</v>
      </c>
      <c r="I100" s="15">
        <f t="shared" si="5"/>
        <v>0.253</v>
      </c>
      <c r="J100" s="16">
        <f>IFERROR(__xludf.DUMMYFUNCTION("VLOOKUP(A100,IMPORTRANGE(""1QZ5UxyNCwadreQAXnQ7oCoH982DjIA-QnZdO7ZoqkC0/edit#gid=0"",""2018-2021!$A$2:$O$250""),4,FALSE)"),67.5)</f>
        <v>67.5</v>
      </c>
      <c r="K100" s="17">
        <f t="shared" si="6"/>
        <v>0.27</v>
      </c>
      <c r="L100" s="17">
        <f t="shared" si="12"/>
        <v>0.222</v>
      </c>
      <c r="M100" s="16">
        <f>IFERROR(__xludf.DUMMYFUNCTION("VLOOKUP(A100,IMPORTRANGE(""1QZ5UxyNCwadreQAXnQ7oCoH982DjIA-QnZdO7ZoqkC0/edit#gid=0"",""2018-2021!$A$2:$O$250""),7,FALSE)"),52.0)</f>
        <v>52</v>
      </c>
      <c r="N100" s="17">
        <f t="shared" si="8"/>
        <v>0.208</v>
      </c>
      <c r="O100" s="17">
        <f t="shared" si="9"/>
        <v>0.331</v>
      </c>
      <c r="P100" s="16">
        <f>IFERROR(__xludf.DUMMYFUNCTION("VLOOKUP(A100,IMPORTRANGE(""1QZ5UxyNCwadreQAXnQ7oCoH982DjIA-QnZdO7ZoqkC0/edit#gid=0"",""2018-2021!$A$2:$O$250""),10,FALSE)"),35.0)</f>
        <v>35</v>
      </c>
      <c r="Q100" s="17">
        <f t="shared" si="10"/>
        <v>0.14</v>
      </c>
      <c r="R100" s="17">
        <f t="shared" si="11"/>
        <v>0.399</v>
      </c>
    </row>
    <row r="101">
      <c r="A101" s="19" t="s">
        <v>62</v>
      </c>
      <c r="B101" s="41">
        <f>IFERROR(__xludf.DUMMYFUNCTION("VLOOKUP(A101,IMPORTRANGE(""1EmrnCz2gLVTx5Cbj0e5tfuHPhTtmru8KTGuQvh7STl0/edit#gid=2147150001"",""Whole Data Set!$A$2:$NQ$253""),381,FALSE)"),3.0)</f>
        <v>3</v>
      </c>
      <c r="C101" s="13">
        <f t="shared" si="1"/>
        <v>0.012</v>
      </c>
      <c r="D101" s="12">
        <f>IFERROR(__xludf.DUMMYFUNCTION("VLOOKUP(A101,IMPORTRANGE(""1aFCnJY1qhIj8-JckJhDJ18aqmVo17tofpQmOjcYa3u8/edit#gid=948248086"",""Whole Data Set!$A$2:$NG$253""),371,FALSE)"),119.0)</f>
        <v>119</v>
      </c>
      <c r="E101" s="13">
        <f t="shared" si="2"/>
        <v>0.476</v>
      </c>
      <c r="F101" s="13">
        <f t="shared" si="3"/>
        <v>-0.464</v>
      </c>
      <c r="G101" s="12">
        <f>IFERROR(__xludf.DUMMYFUNCTION("VLOOKUP(A101,IMPORTRANGE(""1QZ5UxyNCwadreQAXnQ7oCoH982DjIA-QnZdO7ZoqkC0/edit#gid=0"",""2018-2021!$A$2:$O$250""),2,FALSE)"),136.0)</f>
        <v>136</v>
      </c>
      <c r="H101" s="14">
        <f t="shared" si="4"/>
        <v>0.544</v>
      </c>
      <c r="I101" s="15">
        <f t="shared" si="5"/>
        <v>-0.532</v>
      </c>
      <c r="J101" s="16">
        <f>IFERROR(__xludf.DUMMYFUNCTION("VLOOKUP(A101,IMPORTRANGE(""1QZ5UxyNCwadreQAXnQ7oCoH982DjIA-QnZdO7ZoqkC0/edit#gid=0"",""2018-2021!$A$2:$O$250""),4,FALSE)"),173.5)</f>
        <v>173.5</v>
      </c>
      <c r="K101" s="17">
        <f t="shared" si="6"/>
        <v>0.694</v>
      </c>
      <c r="L101" s="17">
        <f t="shared" si="12"/>
        <v>-0.218</v>
      </c>
      <c r="M101" s="16">
        <f>IFERROR(__xludf.DUMMYFUNCTION("VLOOKUP(A101,IMPORTRANGE(""1QZ5UxyNCwadreQAXnQ7oCoH982DjIA-QnZdO7ZoqkC0/edit#gid=0"",""2018-2021!$A$2:$O$250""),7,FALSE)"),160.5)</f>
        <v>160.5</v>
      </c>
      <c r="N101" s="17">
        <f t="shared" si="8"/>
        <v>0.642</v>
      </c>
      <c r="O101" s="17">
        <f t="shared" si="9"/>
        <v>-0.63</v>
      </c>
      <c r="P101" s="16">
        <f>IFERROR(__xludf.DUMMYFUNCTION("VLOOKUP(A101,IMPORTRANGE(""1QZ5UxyNCwadreQAXnQ7oCoH982DjIA-QnZdO7ZoqkC0/edit#gid=0"",""2018-2021!$A$2:$O$250""),10,FALSE)"),144.5)</f>
        <v>144.5</v>
      </c>
      <c r="Q101" s="17">
        <f t="shared" si="10"/>
        <v>0.578</v>
      </c>
      <c r="R101" s="17">
        <f t="shared" si="11"/>
        <v>-0.566</v>
      </c>
    </row>
    <row r="102">
      <c r="A102" s="42" t="s">
        <v>44</v>
      </c>
      <c r="B102" s="41">
        <f>IFERROR(__xludf.DUMMYFUNCTION("VLOOKUP(A102,IMPORTRANGE(""1EmrnCz2gLVTx5Cbj0e5tfuHPhTtmru8KTGuQvh7STl0/edit#gid=2147150001"",""Whole Data Set!$A$2:$NQ$253""),381,FALSE)"),15.25)</f>
        <v>15.25</v>
      </c>
      <c r="C102" s="13">
        <f t="shared" si="1"/>
        <v>0.061</v>
      </c>
      <c r="D102" s="12">
        <f>IFERROR(__xludf.DUMMYFUNCTION("VLOOKUP(A102,IMPORTRANGE(""1aFCnJY1qhIj8-JckJhDJ18aqmVo17tofpQmOjcYa3u8/edit#gid=948248086"",""Whole Data Set!$A$2:$NG$253""),371,FALSE)"),16.5)</f>
        <v>16.5</v>
      </c>
      <c r="E102" s="13">
        <f t="shared" si="2"/>
        <v>0.066</v>
      </c>
      <c r="F102" s="13">
        <f t="shared" si="3"/>
        <v>-0.005</v>
      </c>
      <c r="G102" s="12">
        <f>IFERROR(__xludf.DUMMYFUNCTION("VLOOKUP(A102,IMPORTRANGE(""1QZ5UxyNCwadreQAXnQ7oCoH982DjIA-QnZdO7ZoqkC0/edit#gid=0"",""2018-2021!$A$2:$O$250""),2,FALSE)"),15.25)</f>
        <v>15.25</v>
      </c>
      <c r="H102" s="14">
        <f t="shared" si="4"/>
        <v>0.061</v>
      </c>
      <c r="I102" s="15">
        <f t="shared" si="5"/>
        <v>0</v>
      </c>
      <c r="J102" s="16">
        <f>IFERROR(__xludf.DUMMYFUNCTION("VLOOKUP(A102,IMPORTRANGE(""1QZ5UxyNCwadreQAXnQ7oCoH982DjIA-QnZdO7ZoqkC0/edit#gid=0"",""2018-2021!$A$2:$O$250""),4,FALSE)"),21.0)</f>
        <v>21</v>
      </c>
      <c r="K102" s="17">
        <f t="shared" si="6"/>
        <v>0.084</v>
      </c>
      <c r="L102" s="17">
        <f t="shared" si="12"/>
        <v>-0.018</v>
      </c>
      <c r="M102" s="16">
        <f>IFERROR(__xludf.DUMMYFUNCTION("VLOOKUP(A102,IMPORTRANGE(""1QZ5UxyNCwadreQAXnQ7oCoH982DjIA-QnZdO7ZoqkC0/edit#gid=0"",""2018-2021!$A$2:$O$250""),7,FALSE)"),20.0)</f>
        <v>20</v>
      </c>
      <c r="N102" s="17">
        <f t="shared" si="8"/>
        <v>0.08</v>
      </c>
      <c r="O102" s="17">
        <f t="shared" si="9"/>
        <v>-0.019</v>
      </c>
      <c r="P102" s="16">
        <f>IFERROR(__xludf.DUMMYFUNCTION("VLOOKUP(A102,IMPORTRANGE(""1QZ5UxyNCwadreQAXnQ7oCoH982DjIA-QnZdO7ZoqkC0/edit#gid=0"",""2018-2021!$A$2:$O$250""),10,FALSE)"),26.0)</f>
        <v>26</v>
      </c>
      <c r="Q102" s="17">
        <f t="shared" si="10"/>
        <v>0.104</v>
      </c>
      <c r="R102" s="17">
        <f t="shared" si="11"/>
        <v>-0.043</v>
      </c>
    </row>
    <row r="103">
      <c r="A103" s="42" t="s">
        <v>90</v>
      </c>
      <c r="B103" s="41">
        <f>IFERROR(__xludf.DUMMYFUNCTION("VLOOKUP(A103,IMPORTRANGE(""1EmrnCz2gLVTx5Cbj0e5tfuHPhTtmru8KTGuQvh7STl0/edit#gid=2147150001"",""Whole Data Set!$A$2:$NQ$253""),381,FALSE)"),83.75)</f>
        <v>83.75</v>
      </c>
      <c r="C103" s="13">
        <f t="shared" si="1"/>
        <v>0.335</v>
      </c>
      <c r="D103" s="12">
        <f>IFERROR(__xludf.DUMMYFUNCTION("VLOOKUP(A103,IMPORTRANGE(""1aFCnJY1qhIj8-JckJhDJ18aqmVo17tofpQmOjcYa3u8/edit#gid=948248086"",""Whole Data Set!$A$2:$NG$253""),371,FALSE)"),94.5)</f>
        <v>94.5</v>
      </c>
      <c r="E103" s="13">
        <f t="shared" si="2"/>
        <v>0.378</v>
      </c>
      <c r="F103" s="13">
        <f t="shared" si="3"/>
        <v>-0.043</v>
      </c>
      <c r="G103" s="12">
        <f>IFERROR(__xludf.DUMMYFUNCTION("VLOOKUP(A103,IMPORTRANGE(""1QZ5UxyNCwadreQAXnQ7oCoH982DjIA-QnZdO7ZoqkC0/edit#gid=0"",""2018-2021!$A$2:$O$250""),2,FALSE)"),85.0)</f>
        <v>85</v>
      </c>
      <c r="H103" s="14">
        <f t="shared" si="4"/>
        <v>0.34</v>
      </c>
      <c r="I103" s="15">
        <f t="shared" si="5"/>
        <v>-0.005</v>
      </c>
      <c r="J103" s="16">
        <f>IFERROR(__xludf.DUMMYFUNCTION("VLOOKUP(A103,IMPORTRANGE(""1QZ5UxyNCwadreQAXnQ7oCoH982DjIA-QnZdO7ZoqkC0/edit#gid=0"",""2018-2021!$A$2:$O$250""),4,FALSE)"),90.5)</f>
        <v>90.5</v>
      </c>
      <c r="K103" s="17">
        <f t="shared" si="6"/>
        <v>0.362</v>
      </c>
      <c r="L103" s="17">
        <f t="shared" si="12"/>
        <v>0.016</v>
      </c>
      <c r="M103" s="16">
        <f>IFERROR(__xludf.DUMMYFUNCTION("VLOOKUP(A103,IMPORTRANGE(""1QZ5UxyNCwadreQAXnQ7oCoH982DjIA-QnZdO7ZoqkC0/edit#gid=0"",""2018-2021!$A$2:$O$250""),7,FALSE)"),57.5)</f>
        <v>57.5</v>
      </c>
      <c r="N103" s="17">
        <f t="shared" si="8"/>
        <v>0.23</v>
      </c>
      <c r="O103" s="17">
        <f t="shared" si="9"/>
        <v>0.105</v>
      </c>
      <c r="P103" s="16">
        <f>IFERROR(__xludf.DUMMYFUNCTION("VLOOKUP(A103,IMPORTRANGE(""1QZ5UxyNCwadreQAXnQ7oCoH982DjIA-QnZdO7ZoqkC0/edit#gid=0"",""2018-2021!$A$2:$O$250""),10,FALSE)"),43.5)</f>
        <v>43.5</v>
      </c>
      <c r="Q103" s="17">
        <f t="shared" si="10"/>
        <v>0.174</v>
      </c>
      <c r="R103" s="17">
        <f t="shared" si="11"/>
        <v>0.161</v>
      </c>
    </row>
    <row r="104">
      <c r="A104" s="19" t="s">
        <v>91</v>
      </c>
      <c r="B104" s="41">
        <f>IFERROR(__xludf.DUMMYFUNCTION("VLOOKUP(A104,IMPORTRANGE(""1EmrnCz2gLVTx5Cbj0e5tfuHPhTtmru8KTGuQvh7STl0/edit#gid=2147150001"",""Whole Data Set!$A$2:$NQ$253""),381,FALSE)"),106.5)</f>
        <v>106.5</v>
      </c>
      <c r="C104" s="13">
        <f t="shared" si="1"/>
        <v>0.426</v>
      </c>
      <c r="D104" s="12">
        <f>IFERROR(__xludf.DUMMYFUNCTION("VLOOKUP(A104,IMPORTRANGE(""1aFCnJY1qhIj8-JckJhDJ18aqmVo17tofpQmOjcYa3u8/edit#gid=948248086"",""Whole Data Set!$A$2:$NG$253""),371,FALSE)"),67.25)</f>
        <v>67.25</v>
      </c>
      <c r="E104" s="13">
        <f t="shared" si="2"/>
        <v>0.269</v>
      </c>
      <c r="F104" s="13">
        <f t="shared" si="3"/>
        <v>0.157</v>
      </c>
      <c r="G104" s="12">
        <f>IFERROR(__xludf.DUMMYFUNCTION("VLOOKUP(A104,IMPORTRANGE(""1QZ5UxyNCwadreQAXnQ7oCoH982DjIA-QnZdO7ZoqkC0/edit#gid=0"",""2018-2021!$A$2:$O$250""),2,FALSE)"),27.0)</f>
        <v>27</v>
      </c>
      <c r="H104" s="14">
        <f t="shared" si="4"/>
        <v>0.108</v>
      </c>
      <c r="I104" s="15">
        <f t="shared" si="5"/>
        <v>0.318</v>
      </c>
      <c r="J104" s="16">
        <f>IFERROR(__xludf.DUMMYFUNCTION("VLOOKUP(A104,IMPORTRANGE(""1QZ5UxyNCwadreQAXnQ7oCoH982DjIA-QnZdO7ZoqkC0/edit#gid=0"",""2018-2021!$A$2:$O$250""),4,FALSE)"),40.5)</f>
        <v>40.5</v>
      </c>
      <c r="K104" s="17">
        <f t="shared" si="6"/>
        <v>0.162</v>
      </c>
      <c r="L104" s="17">
        <f t="shared" si="12"/>
        <v>0.107</v>
      </c>
      <c r="M104" s="16">
        <f>IFERROR(__xludf.DUMMYFUNCTION("VLOOKUP(A104,IMPORTRANGE(""1QZ5UxyNCwadreQAXnQ7oCoH982DjIA-QnZdO7ZoqkC0/edit#gid=0"",""2018-2021!$A$2:$O$250""),7,FALSE)"),23.0)</f>
        <v>23</v>
      </c>
      <c r="N104" s="17">
        <f t="shared" si="8"/>
        <v>0.092</v>
      </c>
      <c r="O104" s="17">
        <f t="shared" si="9"/>
        <v>0.334</v>
      </c>
      <c r="P104" s="16">
        <f>IFERROR(__xludf.DUMMYFUNCTION("VLOOKUP(A104,IMPORTRANGE(""1QZ5UxyNCwadreQAXnQ7oCoH982DjIA-QnZdO7ZoqkC0/edit#gid=0"",""2018-2021!$A$2:$O$250""),10,FALSE)"),0.0)</f>
        <v>0</v>
      </c>
      <c r="Q104" s="17">
        <f t="shared" si="10"/>
        <v>0</v>
      </c>
      <c r="R104" s="17">
        <f t="shared" si="11"/>
        <v>0.426</v>
      </c>
    </row>
    <row r="105">
      <c r="A105" s="19" t="s">
        <v>144</v>
      </c>
      <c r="B105" s="41">
        <f>IFERROR(__xludf.DUMMYFUNCTION("VLOOKUP(A105,IMPORTRANGE(""1EmrnCz2gLVTx5Cbj0e5tfuHPhTtmru8KTGuQvh7STl0/edit#gid=2147150001"",""Whole Data Set!$A$2:$NQ$253""),381,FALSE)"),126.5)</f>
        <v>126.5</v>
      </c>
      <c r="C105" s="13">
        <f t="shared" si="1"/>
        <v>0.506</v>
      </c>
      <c r="D105" s="12">
        <f>IFERROR(__xludf.DUMMYFUNCTION("VLOOKUP(A105,IMPORTRANGE(""1aFCnJY1qhIj8-JckJhDJ18aqmVo17tofpQmOjcYa3u8/edit#gid=948248086"",""Whole Data Set!$A$2:$NG$253""),371,FALSE)"),111.25)</f>
        <v>111.25</v>
      </c>
      <c r="E105" s="13">
        <f t="shared" si="2"/>
        <v>0.445</v>
      </c>
      <c r="F105" s="13">
        <f t="shared" si="3"/>
        <v>0.061</v>
      </c>
      <c r="G105" s="12">
        <f>IFERROR(__xludf.DUMMYFUNCTION("VLOOKUP(A105,IMPORTRANGE(""1QZ5UxyNCwadreQAXnQ7oCoH982DjIA-QnZdO7ZoqkC0/edit#gid=0"",""2018-2021!$A$2:$O$250""),2,FALSE)"),120.75)</f>
        <v>120.75</v>
      </c>
      <c r="H105" s="14">
        <f t="shared" si="4"/>
        <v>0.483</v>
      </c>
      <c r="I105" s="15">
        <f t="shared" si="5"/>
        <v>0.023</v>
      </c>
      <c r="J105" s="16">
        <f>IFERROR(__xludf.DUMMYFUNCTION("VLOOKUP(A105,IMPORTRANGE(""1QZ5UxyNCwadreQAXnQ7oCoH982DjIA-QnZdO7ZoqkC0/edit#gid=0"",""2018-2021!$A$2:$O$250""),4,FALSE)"),117.5)</f>
        <v>117.5</v>
      </c>
      <c r="K105" s="17">
        <f t="shared" si="6"/>
        <v>0.47</v>
      </c>
      <c r="L105" s="17">
        <f t="shared" si="12"/>
        <v>-0.025</v>
      </c>
      <c r="M105" s="16">
        <f>IFERROR(__xludf.DUMMYFUNCTION("VLOOKUP(A105,IMPORTRANGE(""1QZ5UxyNCwadreQAXnQ7oCoH982DjIA-QnZdO7ZoqkC0/edit#gid=0"",""2018-2021!$A$2:$O$250""),7,FALSE)"),70.5)</f>
        <v>70.5</v>
      </c>
      <c r="N105" s="17">
        <f t="shared" si="8"/>
        <v>0.282</v>
      </c>
      <c r="O105" s="17">
        <f t="shared" si="9"/>
        <v>0.224</v>
      </c>
      <c r="P105" s="16">
        <f>IFERROR(__xludf.DUMMYFUNCTION("VLOOKUP(A105,IMPORTRANGE(""1QZ5UxyNCwadreQAXnQ7oCoH982DjIA-QnZdO7ZoqkC0/edit#gid=0"",""2018-2021!$A$2:$O$250""),10,FALSE)"),18.0)</f>
        <v>18</v>
      </c>
      <c r="Q105" s="17">
        <f t="shared" si="10"/>
        <v>0.072</v>
      </c>
      <c r="R105" s="17">
        <f t="shared" si="11"/>
        <v>0.434</v>
      </c>
    </row>
    <row r="106">
      <c r="A106" s="42" t="s">
        <v>92</v>
      </c>
      <c r="B106" s="41">
        <f>IFERROR(__xludf.DUMMYFUNCTION("VLOOKUP(A106,IMPORTRANGE(""1EmrnCz2gLVTx5Cbj0e5tfuHPhTtmru8KTGuQvh7STl0/edit#gid=2147150001"",""Whole Data Set!$A$2:$NQ$253""),381,FALSE)"),126.25)</f>
        <v>126.25</v>
      </c>
      <c r="C106" s="13">
        <f t="shared" si="1"/>
        <v>0.505</v>
      </c>
      <c r="D106" s="12">
        <f>IFERROR(__xludf.DUMMYFUNCTION("VLOOKUP(A106,IMPORTRANGE(""1aFCnJY1qhIj8-JckJhDJ18aqmVo17tofpQmOjcYa3u8/edit#gid=948248086"",""Whole Data Set!$A$2:$NG$253""),371,FALSE)"),116.5)</f>
        <v>116.5</v>
      </c>
      <c r="E106" s="13">
        <f t="shared" si="2"/>
        <v>0.466</v>
      </c>
      <c r="F106" s="13">
        <f t="shared" si="3"/>
        <v>0.039</v>
      </c>
      <c r="G106" s="12">
        <f>IFERROR(__xludf.DUMMYFUNCTION("VLOOKUP(A106,IMPORTRANGE(""1QZ5UxyNCwadreQAXnQ7oCoH982DjIA-QnZdO7ZoqkC0/edit#gid=0"",""2018-2021!$A$2:$O$250""),2,FALSE)"),107.0)</f>
        <v>107</v>
      </c>
      <c r="H106" s="14">
        <f t="shared" si="4"/>
        <v>0.428</v>
      </c>
      <c r="I106" s="15">
        <f t="shared" si="5"/>
        <v>0.077</v>
      </c>
      <c r="J106" s="16">
        <f>IFERROR(__xludf.DUMMYFUNCTION("VLOOKUP(A106,IMPORTRANGE(""1QZ5UxyNCwadreQAXnQ7oCoH982DjIA-QnZdO7ZoqkC0/edit#gid=0"",""2018-2021!$A$2:$O$250""),4,FALSE)"),117.0)</f>
        <v>117</v>
      </c>
      <c r="K106" s="17">
        <f t="shared" si="6"/>
        <v>0.468</v>
      </c>
      <c r="L106" s="17">
        <f t="shared" si="12"/>
        <v>-0.002</v>
      </c>
      <c r="M106" s="16">
        <f>IFERROR(__xludf.DUMMYFUNCTION("VLOOKUP(A106,IMPORTRANGE(""1QZ5UxyNCwadreQAXnQ7oCoH982DjIA-QnZdO7ZoqkC0/edit#gid=0"",""2018-2021!$A$2:$O$250""),7,FALSE)"),94.5)</f>
        <v>94.5</v>
      </c>
      <c r="N106" s="17">
        <f t="shared" si="8"/>
        <v>0.378</v>
      </c>
      <c r="O106" s="17">
        <f t="shared" si="9"/>
        <v>0.127</v>
      </c>
      <c r="P106" s="16">
        <f>IFERROR(__xludf.DUMMYFUNCTION("VLOOKUP(A106,IMPORTRANGE(""1QZ5UxyNCwadreQAXnQ7oCoH982DjIA-QnZdO7ZoqkC0/edit#gid=0"",""2018-2021!$A$2:$O$250""),10,FALSE)"),91.0)</f>
        <v>91</v>
      </c>
      <c r="Q106" s="17">
        <f t="shared" si="10"/>
        <v>0.364</v>
      </c>
      <c r="R106" s="17">
        <f t="shared" si="11"/>
        <v>0.141</v>
      </c>
    </row>
    <row r="107">
      <c r="A107" s="42" t="s">
        <v>93</v>
      </c>
      <c r="B107" s="41">
        <f>IFERROR(__xludf.DUMMYFUNCTION("VLOOKUP(A107,IMPORTRANGE(""1EmrnCz2gLVTx5Cbj0e5tfuHPhTtmru8KTGuQvh7STl0/edit#gid=2147150001"",""Whole Data Set!$A$2:$NQ$253""),381,FALSE)"),23.5)</f>
        <v>23.5</v>
      </c>
      <c r="C107" s="13">
        <f t="shared" si="1"/>
        <v>0.094</v>
      </c>
      <c r="D107" s="12">
        <f>IFERROR(__xludf.DUMMYFUNCTION("VLOOKUP(A107,IMPORTRANGE(""1aFCnJY1qhIj8-JckJhDJ18aqmVo17tofpQmOjcYa3u8/edit#gid=948248086"",""Whole Data Set!$A$2:$NG$253""),371,FALSE)"),21.0)</f>
        <v>21</v>
      </c>
      <c r="E107" s="13">
        <f t="shared" si="2"/>
        <v>0.084</v>
      </c>
      <c r="F107" s="13">
        <f t="shared" si="3"/>
        <v>0.01</v>
      </c>
      <c r="G107" s="12">
        <f>IFERROR(__xludf.DUMMYFUNCTION("VLOOKUP(A107,IMPORTRANGE(""1QZ5UxyNCwadreQAXnQ7oCoH982DjIA-QnZdO7ZoqkC0/edit#gid=0"",""2018-2021!$A$2:$O$250""),2,FALSE)"),33.0)</f>
        <v>33</v>
      </c>
      <c r="H107" s="14">
        <f t="shared" si="4"/>
        <v>0.132</v>
      </c>
      <c r="I107" s="15">
        <f t="shared" si="5"/>
        <v>-0.038</v>
      </c>
      <c r="J107" s="16">
        <f>IFERROR(__xludf.DUMMYFUNCTION("VLOOKUP(A107,IMPORTRANGE(""1QZ5UxyNCwadreQAXnQ7oCoH982DjIA-QnZdO7ZoqkC0/edit#gid=0"",""2018-2021!$A$2:$O$250""),4,FALSE)"),47.5)</f>
        <v>47.5</v>
      </c>
      <c r="K107" s="17">
        <f t="shared" si="6"/>
        <v>0.19</v>
      </c>
      <c r="L107" s="17">
        <f t="shared" si="12"/>
        <v>-0.106</v>
      </c>
      <c r="M107" s="16">
        <f>IFERROR(__xludf.DUMMYFUNCTION("VLOOKUP(A107,IMPORTRANGE(""1QZ5UxyNCwadreQAXnQ7oCoH982DjIA-QnZdO7ZoqkC0/edit#gid=0"",""2018-2021!$A$2:$O$250""),7,FALSE)"),53.0)</f>
        <v>53</v>
      </c>
      <c r="N107" s="17">
        <f t="shared" si="8"/>
        <v>0.212</v>
      </c>
      <c r="O107" s="17">
        <f t="shared" si="9"/>
        <v>-0.118</v>
      </c>
      <c r="P107" s="16">
        <f>IFERROR(__xludf.DUMMYFUNCTION("VLOOKUP(A107,IMPORTRANGE(""1QZ5UxyNCwadreQAXnQ7oCoH982DjIA-QnZdO7ZoqkC0/edit#gid=0"",""2018-2021!$A$2:$O$250""),10,FALSE)"),54.5)</f>
        <v>54.5</v>
      </c>
      <c r="Q107" s="17">
        <f t="shared" si="10"/>
        <v>0.218</v>
      </c>
      <c r="R107" s="17">
        <f t="shared" si="11"/>
        <v>-0.124</v>
      </c>
    </row>
    <row r="108">
      <c r="A108" s="42" t="s">
        <v>145</v>
      </c>
      <c r="B108" s="41">
        <f>IFERROR(__xludf.DUMMYFUNCTION("VLOOKUP(A108,IMPORTRANGE(""1EmrnCz2gLVTx5Cbj0e5tfuHPhTtmru8KTGuQvh7STl0/edit#gid=2147150001"",""Whole Data Set!$A$2:$NQ$253""),381,FALSE)"),60.0)</f>
        <v>60</v>
      </c>
      <c r="C108" s="13">
        <f t="shared" si="1"/>
        <v>0.24</v>
      </c>
      <c r="D108" s="12">
        <f>IFERROR(__xludf.DUMMYFUNCTION("VLOOKUP(A108,IMPORTRANGE(""1aFCnJY1qhIj8-JckJhDJ18aqmVo17tofpQmOjcYa3u8/edit#gid=948248086"",""Whole Data Set!$A$2:$NG$253""),371,FALSE)"),60.0)</f>
        <v>60</v>
      </c>
      <c r="E108" s="13">
        <f t="shared" si="2"/>
        <v>0.24</v>
      </c>
      <c r="F108" s="13">
        <f t="shared" si="3"/>
        <v>0</v>
      </c>
      <c r="G108" s="12">
        <f>IFERROR(__xludf.DUMMYFUNCTION("VLOOKUP(A108,IMPORTRANGE(""1QZ5UxyNCwadreQAXnQ7oCoH982DjIA-QnZdO7ZoqkC0/edit#gid=0"",""2018-2021!$A$2:$O$250""),2,FALSE)"),63.25)</f>
        <v>63.25</v>
      </c>
      <c r="H108" s="14">
        <f t="shared" si="4"/>
        <v>0.253</v>
      </c>
      <c r="I108" s="15">
        <f t="shared" si="5"/>
        <v>-0.013</v>
      </c>
      <c r="J108" s="16">
        <f>IFERROR(__xludf.DUMMYFUNCTION("VLOOKUP(A108,IMPORTRANGE(""1QZ5UxyNCwadreQAXnQ7oCoH982DjIA-QnZdO7ZoqkC0/edit#gid=0"",""2018-2021!$A$2:$O$250""),4,FALSE)"),51.5)</f>
        <v>51.5</v>
      </c>
      <c r="K108" s="17">
        <f t="shared" si="6"/>
        <v>0.206</v>
      </c>
      <c r="L108" s="17">
        <f t="shared" si="12"/>
        <v>0.034</v>
      </c>
      <c r="M108" s="16">
        <f>IFERROR(__xludf.DUMMYFUNCTION("VLOOKUP(A108,IMPORTRANGE(""1QZ5UxyNCwadreQAXnQ7oCoH982DjIA-QnZdO7ZoqkC0/edit#gid=0"",""2018-2021!$A$2:$O$250""),7,FALSE)"),50.0)</f>
        <v>50</v>
      </c>
      <c r="N108" s="17">
        <f t="shared" si="8"/>
        <v>0.2</v>
      </c>
      <c r="O108" s="17">
        <f t="shared" si="9"/>
        <v>0.04</v>
      </c>
      <c r="P108" s="16">
        <f>IFERROR(__xludf.DUMMYFUNCTION("VLOOKUP(A108,IMPORTRANGE(""1QZ5UxyNCwadreQAXnQ7oCoH982DjIA-QnZdO7ZoqkC0/edit#gid=0"",""2018-2021!$A$2:$O$250""),10,FALSE)"),50.0)</f>
        <v>50</v>
      </c>
      <c r="Q108" s="17">
        <f t="shared" si="10"/>
        <v>0.2</v>
      </c>
      <c r="R108" s="17">
        <f t="shared" si="11"/>
        <v>0.04</v>
      </c>
    </row>
    <row r="109">
      <c r="A109" s="19" t="s">
        <v>146</v>
      </c>
      <c r="B109" s="41">
        <f>IFERROR(__xludf.DUMMYFUNCTION("VLOOKUP(A109,IMPORTRANGE(""1EmrnCz2gLVTx5Cbj0e5tfuHPhTtmru8KTGuQvh7STl0/edit#gid=2147150001"",""Whole Data Set!$A$2:$NQ$253""),381,FALSE)"),54.25)</f>
        <v>54.25</v>
      </c>
      <c r="C109" s="13">
        <f t="shared" si="1"/>
        <v>0.217</v>
      </c>
      <c r="D109" s="12">
        <f>IFERROR(__xludf.DUMMYFUNCTION("VLOOKUP(A109,IMPORTRANGE(""1aFCnJY1qhIj8-JckJhDJ18aqmVo17tofpQmOjcYa3u8/edit#gid=948248086"",""Whole Data Set!$A$2:$NG$253""),371,FALSE)"),20.5)</f>
        <v>20.5</v>
      </c>
      <c r="E109" s="13">
        <f t="shared" si="2"/>
        <v>0.082</v>
      </c>
      <c r="F109" s="13">
        <f t="shared" si="3"/>
        <v>0.135</v>
      </c>
      <c r="G109" s="12">
        <f>IFERROR(__xludf.DUMMYFUNCTION("VLOOKUP(A109,IMPORTRANGE(""1QZ5UxyNCwadreQAXnQ7oCoH982DjIA-QnZdO7ZoqkC0/edit#gid=0"",""2018-2021!$A$2:$O$250""),2,FALSE)"),22.0)</f>
        <v>22</v>
      </c>
      <c r="H109" s="14">
        <f t="shared" si="4"/>
        <v>0.088</v>
      </c>
      <c r="I109" s="15">
        <f t="shared" si="5"/>
        <v>0.129</v>
      </c>
      <c r="J109" s="16">
        <f>IFERROR(__xludf.DUMMYFUNCTION("VLOOKUP(A109,IMPORTRANGE(""1QZ5UxyNCwadreQAXnQ7oCoH982DjIA-QnZdO7ZoqkC0/edit#gid=0"",""2018-2021!$A$2:$O$250""),4,FALSE)"),28.5)</f>
        <v>28.5</v>
      </c>
      <c r="K109" s="17">
        <f t="shared" si="6"/>
        <v>0.114</v>
      </c>
      <c r="L109" s="17">
        <f t="shared" si="12"/>
        <v>-0.032</v>
      </c>
      <c r="M109" s="16">
        <f>IFERROR(__xludf.DUMMYFUNCTION("VLOOKUP(A109,IMPORTRANGE(""1QZ5UxyNCwadreQAXnQ7oCoH982DjIA-QnZdO7ZoqkC0/edit#gid=0"",""2018-2021!$A$2:$O$250""),7,FALSE)"),23.0)</f>
        <v>23</v>
      </c>
      <c r="N109" s="17">
        <f t="shared" si="8"/>
        <v>0.092</v>
      </c>
      <c r="O109" s="17">
        <f t="shared" si="9"/>
        <v>0.125</v>
      </c>
      <c r="P109" s="16">
        <f>IFERROR(__xludf.DUMMYFUNCTION("VLOOKUP(A109,IMPORTRANGE(""1QZ5UxyNCwadreQAXnQ7oCoH982DjIA-QnZdO7ZoqkC0/edit#gid=0"",""2018-2021!$A$2:$O$250""),10,FALSE)"),0.0)</f>
        <v>0</v>
      </c>
      <c r="Q109" s="17">
        <f t="shared" si="10"/>
        <v>0</v>
      </c>
      <c r="R109" s="17">
        <f t="shared" si="11"/>
        <v>0.217</v>
      </c>
    </row>
    <row r="110">
      <c r="A110" s="19" t="s">
        <v>147</v>
      </c>
      <c r="B110" s="41">
        <f>IFERROR(__xludf.DUMMYFUNCTION("VLOOKUP(A110,IMPORTRANGE(""1EmrnCz2gLVTx5Cbj0e5tfuHPhTtmru8KTGuQvh7STl0/edit#gid=2147150001"",""Whole Data Set!$A$2:$NQ$253""),381,FALSE)"),17.5)</f>
        <v>17.5</v>
      </c>
      <c r="C110" s="13">
        <f t="shared" si="1"/>
        <v>0.07</v>
      </c>
      <c r="D110" s="12">
        <f>IFERROR(__xludf.DUMMYFUNCTION("VLOOKUP(A110,IMPORTRANGE(""1aFCnJY1qhIj8-JckJhDJ18aqmVo17tofpQmOjcYa3u8/edit#gid=948248086"",""Whole Data Set!$A$2:$NG$253""),371,FALSE)"),14.5)</f>
        <v>14.5</v>
      </c>
      <c r="E110" s="13">
        <f t="shared" si="2"/>
        <v>0.058</v>
      </c>
      <c r="F110" s="13">
        <f t="shared" si="3"/>
        <v>0.012</v>
      </c>
      <c r="G110" s="12">
        <f>IFERROR(__xludf.DUMMYFUNCTION("VLOOKUP(A110,IMPORTRANGE(""1QZ5UxyNCwadreQAXnQ7oCoH982DjIA-QnZdO7ZoqkC0/edit#gid=0"",""2018-2021!$A$2:$O$250""),2,FALSE)"),12.25)</f>
        <v>12.25</v>
      </c>
      <c r="H110" s="14">
        <f t="shared" si="4"/>
        <v>0.049</v>
      </c>
      <c r="I110" s="15">
        <f t="shared" si="5"/>
        <v>0.021</v>
      </c>
      <c r="J110" s="16">
        <f>IFERROR(__xludf.DUMMYFUNCTION("VLOOKUP(A110,IMPORTRANGE(""1QZ5UxyNCwadreQAXnQ7oCoH982DjIA-QnZdO7ZoqkC0/edit#gid=0"",""2018-2021!$A$2:$O$250""),4,FALSE)"),15.0)</f>
        <v>15</v>
      </c>
      <c r="K110" s="17">
        <f t="shared" si="6"/>
        <v>0.06</v>
      </c>
      <c r="L110" s="17">
        <f t="shared" si="12"/>
        <v>-0.002</v>
      </c>
      <c r="M110" s="16">
        <f>IFERROR(__xludf.DUMMYFUNCTION("VLOOKUP(A110,IMPORTRANGE(""1QZ5UxyNCwadreQAXnQ7oCoH982DjIA-QnZdO7ZoqkC0/edit#gid=0"",""2018-2021!$A$2:$O$250""),7,FALSE)"),16.5)</f>
        <v>16.5</v>
      </c>
      <c r="N110" s="17">
        <f t="shared" si="8"/>
        <v>0.066</v>
      </c>
      <c r="O110" s="17">
        <f t="shared" si="9"/>
        <v>0.004</v>
      </c>
      <c r="P110" s="16">
        <f>IFERROR(__xludf.DUMMYFUNCTION("VLOOKUP(A110,IMPORTRANGE(""1QZ5UxyNCwadreQAXnQ7oCoH982DjIA-QnZdO7ZoqkC0/edit#gid=0"",""2018-2021!$A$2:$O$250""),10,FALSE)"),13.5)</f>
        <v>13.5</v>
      </c>
      <c r="Q110" s="17">
        <f t="shared" si="10"/>
        <v>0.054</v>
      </c>
      <c r="R110" s="17">
        <f t="shared" si="11"/>
        <v>0.016</v>
      </c>
    </row>
    <row r="111">
      <c r="A111" s="19" t="s">
        <v>148</v>
      </c>
      <c r="B111" s="41">
        <f>IFERROR(__xludf.DUMMYFUNCTION("VLOOKUP(A111,IMPORTRANGE(""1EmrnCz2gLVTx5Cbj0e5tfuHPhTtmru8KTGuQvh7STl0/edit#gid=2147150001"",""Whole Data Set!$A$2:$NQ$253""),381,FALSE)"),124.5)</f>
        <v>124.5</v>
      </c>
      <c r="C111" s="13">
        <f t="shared" si="1"/>
        <v>0.498</v>
      </c>
      <c r="D111" s="12">
        <f>IFERROR(__xludf.DUMMYFUNCTION("VLOOKUP(A111,IMPORTRANGE(""1aFCnJY1qhIj8-JckJhDJ18aqmVo17tofpQmOjcYa3u8/edit#gid=948248086"",""Whole Data Set!$A$2:$NG$253""),371,FALSE)"),107.75)</f>
        <v>107.75</v>
      </c>
      <c r="E111" s="13">
        <f t="shared" si="2"/>
        <v>0.431</v>
      </c>
      <c r="F111" s="13">
        <f t="shared" si="3"/>
        <v>0.067</v>
      </c>
      <c r="G111" s="12">
        <f>IFERROR(__xludf.DUMMYFUNCTION("VLOOKUP(A111,IMPORTRANGE(""1QZ5UxyNCwadreQAXnQ7oCoH982DjIA-QnZdO7ZoqkC0/edit#gid=0"",""2018-2021!$A$2:$O$250""),2,FALSE)"),89.5)</f>
        <v>89.5</v>
      </c>
      <c r="H111" s="14">
        <f t="shared" si="4"/>
        <v>0.358</v>
      </c>
      <c r="I111" s="15">
        <f t="shared" si="5"/>
        <v>0.14</v>
      </c>
      <c r="J111" s="16">
        <f>IFERROR(__xludf.DUMMYFUNCTION("VLOOKUP(A111,IMPORTRANGE(""1QZ5UxyNCwadreQAXnQ7oCoH982DjIA-QnZdO7ZoqkC0/edit#gid=0"",""2018-2021!$A$2:$O$250""),4,FALSE)"),110.5)</f>
        <v>110.5</v>
      </c>
      <c r="K111" s="17">
        <f t="shared" si="6"/>
        <v>0.442</v>
      </c>
      <c r="L111" s="17">
        <f t="shared" si="12"/>
        <v>-0.011</v>
      </c>
      <c r="M111" s="16">
        <f>IFERROR(__xludf.DUMMYFUNCTION("VLOOKUP(A111,IMPORTRANGE(""1QZ5UxyNCwadreQAXnQ7oCoH982DjIA-QnZdO7ZoqkC0/edit#gid=0"",""2018-2021!$A$2:$O$250""),7,FALSE)"),114.0)</f>
        <v>114</v>
      </c>
      <c r="N111" s="17">
        <f t="shared" si="8"/>
        <v>0.456</v>
      </c>
      <c r="O111" s="17">
        <f t="shared" si="9"/>
        <v>0.042</v>
      </c>
      <c r="P111" s="16">
        <f>IFERROR(__xludf.DUMMYFUNCTION("VLOOKUP(A111,IMPORTRANGE(""1QZ5UxyNCwadreQAXnQ7oCoH982DjIA-QnZdO7ZoqkC0/edit#gid=0"",""2018-2021!$A$2:$O$250""),10,FALSE)"),105.0)</f>
        <v>105</v>
      </c>
      <c r="Q111" s="17">
        <f t="shared" si="10"/>
        <v>0.42</v>
      </c>
      <c r="R111" s="17">
        <f t="shared" si="11"/>
        <v>0.078</v>
      </c>
    </row>
    <row r="112">
      <c r="A112" s="19" t="s">
        <v>149</v>
      </c>
      <c r="B112" s="41">
        <f>IFERROR(__xludf.DUMMYFUNCTION("VLOOKUP(A112,IMPORTRANGE(""1EmrnCz2gLVTx5Cbj0e5tfuHPhTtmru8KTGuQvh7STl0/edit#gid=2147150001"",""Whole Data Set!$A$2:$NQ$253""),381,FALSE)"),121.5)</f>
        <v>121.5</v>
      </c>
      <c r="C112" s="13">
        <f t="shared" si="1"/>
        <v>0.486</v>
      </c>
      <c r="D112" s="12">
        <f>IFERROR(__xludf.DUMMYFUNCTION("VLOOKUP(A112,IMPORTRANGE(""1aFCnJY1qhIj8-JckJhDJ18aqmVo17tofpQmOjcYa3u8/edit#gid=948248086"",""Whole Data Set!$A$2:$NG$253""),371,FALSE)"),99.0)</f>
        <v>99</v>
      </c>
      <c r="E112" s="13">
        <f t="shared" si="2"/>
        <v>0.396</v>
      </c>
      <c r="F112" s="13">
        <f t="shared" si="3"/>
        <v>0.09</v>
      </c>
      <c r="G112" s="12">
        <f>IFERROR(__xludf.DUMMYFUNCTION("VLOOKUP(A112,IMPORTRANGE(""1QZ5UxyNCwadreQAXnQ7oCoH982DjIA-QnZdO7ZoqkC0/edit#gid=0"",""2018-2021!$A$2:$O$250""),2,FALSE)"),79.25)</f>
        <v>79.25</v>
      </c>
      <c r="H112" s="14">
        <f t="shared" si="4"/>
        <v>0.317</v>
      </c>
      <c r="I112" s="15">
        <f t="shared" si="5"/>
        <v>0.169</v>
      </c>
      <c r="J112" s="16">
        <f>IFERROR(__xludf.DUMMYFUNCTION("VLOOKUP(A112,IMPORTRANGE(""1QZ5UxyNCwadreQAXnQ7oCoH982DjIA-QnZdO7ZoqkC0/edit#gid=0"",""2018-2021!$A$2:$O$250""),4,FALSE)"),50.5)</f>
        <v>50.5</v>
      </c>
      <c r="K112" s="17">
        <f t="shared" si="6"/>
        <v>0.202</v>
      </c>
      <c r="L112" s="17">
        <f t="shared" si="12"/>
        <v>0.194</v>
      </c>
      <c r="M112" s="16">
        <f>IFERROR(__xludf.DUMMYFUNCTION("VLOOKUP(A112,IMPORTRANGE(""1QZ5UxyNCwadreQAXnQ7oCoH982DjIA-QnZdO7ZoqkC0/edit#gid=0"",""2018-2021!$A$2:$O$250""),7,FALSE)"),51.5)</f>
        <v>51.5</v>
      </c>
      <c r="N112" s="17">
        <f t="shared" si="8"/>
        <v>0.206</v>
      </c>
      <c r="O112" s="17">
        <f t="shared" si="9"/>
        <v>0.28</v>
      </c>
      <c r="P112" s="16">
        <f>IFERROR(__xludf.DUMMYFUNCTION("VLOOKUP(A112,IMPORTRANGE(""1QZ5UxyNCwadreQAXnQ7oCoH982DjIA-QnZdO7ZoqkC0/edit#gid=0"",""2018-2021!$A$2:$O$250""),10,FALSE)"),51.0)</f>
        <v>51</v>
      </c>
      <c r="Q112" s="17">
        <f t="shared" si="10"/>
        <v>0.204</v>
      </c>
      <c r="R112" s="17">
        <f t="shared" si="11"/>
        <v>0.282</v>
      </c>
    </row>
    <row r="113">
      <c r="A113" s="19" t="s">
        <v>150</v>
      </c>
      <c r="B113" s="41">
        <f>IFERROR(__xludf.DUMMYFUNCTION("VLOOKUP(A113,IMPORTRANGE(""1EmrnCz2gLVTx5Cbj0e5tfuHPhTtmru8KTGuQvh7STl0/edit#gid=2147150001"",""Whole Data Set!$A$2:$NQ$253""),381,FALSE)"),17.75)</f>
        <v>17.75</v>
      </c>
      <c r="C113" s="13">
        <f t="shared" si="1"/>
        <v>0.071</v>
      </c>
      <c r="D113" s="12">
        <f>IFERROR(__xludf.DUMMYFUNCTION("VLOOKUP(A113,IMPORTRANGE(""1aFCnJY1qhIj8-JckJhDJ18aqmVo17tofpQmOjcYa3u8/edit#gid=948248086"",""Whole Data Set!$A$2:$NG$253""),371,FALSE)"),21.25)</f>
        <v>21.25</v>
      </c>
      <c r="E113" s="13">
        <f t="shared" si="2"/>
        <v>0.085</v>
      </c>
      <c r="F113" s="13">
        <f t="shared" si="3"/>
        <v>-0.014</v>
      </c>
      <c r="G113" s="12">
        <f>IFERROR(__xludf.DUMMYFUNCTION("VLOOKUP(A113,IMPORTRANGE(""1QZ5UxyNCwadreQAXnQ7oCoH982DjIA-QnZdO7ZoqkC0/edit#gid=0"",""2018-2021!$A$2:$O$250""),2,FALSE)"),29.25)</f>
        <v>29.25</v>
      </c>
      <c r="H113" s="14">
        <f t="shared" si="4"/>
        <v>0.117</v>
      </c>
      <c r="I113" s="15">
        <f t="shared" si="5"/>
        <v>-0.046</v>
      </c>
      <c r="J113" s="16">
        <f>IFERROR(__xludf.DUMMYFUNCTION("VLOOKUP(A113,IMPORTRANGE(""1QZ5UxyNCwadreQAXnQ7oCoH982DjIA-QnZdO7ZoqkC0/edit#gid=0"",""2018-2021!$A$2:$O$250""),4,FALSE)"),29.0)</f>
        <v>29</v>
      </c>
      <c r="K113" s="17">
        <f t="shared" si="6"/>
        <v>0.116</v>
      </c>
      <c r="L113" s="17">
        <f t="shared" si="12"/>
        <v>-0.031</v>
      </c>
      <c r="M113" s="16">
        <f>IFERROR(__xludf.DUMMYFUNCTION("VLOOKUP(A113,IMPORTRANGE(""1QZ5UxyNCwadreQAXnQ7oCoH982DjIA-QnZdO7ZoqkC0/edit#gid=0"",""2018-2021!$A$2:$O$250""),7,FALSE)"),24.5)</f>
        <v>24.5</v>
      </c>
      <c r="N113" s="17">
        <f t="shared" si="8"/>
        <v>0.098</v>
      </c>
      <c r="O113" s="17">
        <f t="shared" si="9"/>
        <v>-0.027</v>
      </c>
      <c r="P113" s="16">
        <f>IFERROR(__xludf.DUMMYFUNCTION("VLOOKUP(A113,IMPORTRANGE(""1QZ5UxyNCwadreQAXnQ7oCoH982DjIA-QnZdO7ZoqkC0/edit#gid=0"",""2018-2021!$A$2:$O$250""),10,FALSE)"),22.5)</f>
        <v>22.5</v>
      </c>
      <c r="Q113" s="17">
        <f t="shared" si="10"/>
        <v>0.09</v>
      </c>
      <c r="R113" s="17">
        <f t="shared" si="11"/>
        <v>-0.019</v>
      </c>
    </row>
    <row r="114">
      <c r="A114" s="19" t="s">
        <v>81</v>
      </c>
      <c r="B114" s="41">
        <f>IFERROR(__xludf.DUMMYFUNCTION("VLOOKUP(A114,IMPORTRANGE(""1EmrnCz2gLVTx5Cbj0e5tfuHPhTtmru8KTGuQvh7STl0/edit#gid=2147150001"",""Whole Data Set!$A$2:$NQ$253""),381,FALSE)"),93.0)</f>
        <v>93</v>
      </c>
      <c r="C114" s="13">
        <f t="shared" si="1"/>
        <v>0.372</v>
      </c>
      <c r="D114" s="12">
        <f>IFERROR(__xludf.DUMMYFUNCTION("VLOOKUP(A114,IMPORTRANGE(""1aFCnJY1qhIj8-JckJhDJ18aqmVo17tofpQmOjcYa3u8/edit#gid=948248086"",""Whole Data Set!$A$2:$NG$253""),371,FALSE)"),90.0)</f>
        <v>90</v>
      </c>
      <c r="E114" s="13">
        <f t="shared" si="2"/>
        <v>0.36</v>
      </c>
      <c r="F114" s="13">
        <f t="shared" si="3"/>
        <v>0.012</v>
      </c>
      <c r="G114" s="12">
        <f>IFERROR(__xludf.DUMMYFUNCTION("VLOOKUP(A114,IMPORTRANGE(""1QZ5UxyNCwadreQAXnQ7oCoH982DjIA-QnZdO7ZoqkC0/edit#gid=0"",""2018-2021!$A$2:$O$250""),2,FALSE)"),105.25)</f>
        <v>105.25</v>
      </c>
      <c r="H114" s="14">
        <f t="shared" si="4"/>
        <v>0.421</v>
      </c>
      <c r="I114" s="15">
        <f t="shared" si="5"/>
        <v>-0.049</v>
      </c>
      <c r="J114" s="16">
        <f>IFERROR(__xludf.DUMMYFUNCTION("VLOOKUP(A114,IMPORTRANGE(""1QZ5UxyNCwadreQAXnQ7oCoH982DjIA-QnZdO7ZoqkC0/edit#gid=0"",""2018-2021!$A$2:$O$250""),4,FALSE)"),93.5)</f>
        <v>93.5</v>
      </c>
      <c r="K114" s="17">
        <f t="shared" si="6"/>
        <v>0.374</v>
      </c>
      <c r="L114" s="17">
        <f t="shared" si="12"/>
        <v>-0.014</v>
      </c>
      <c r="M114" s="16">
        <f>IFERROR(__xludf.DUMMYFUNCTION("VLOOKUP(A114,IMPORTRANGE(""1QZ5UxyNCwadreQAXnQ7oCoH982DjIA-QnZdO7ZoqkC0/edit#gid=0"",""2018-2021!$A$2:$O$250""),7,FALSE)"),90.5)</f>
        <v>90.5</v>
      </c>
      <c r="N114" s="17">
        <f t="shared" si="8"/>
        <v>0.362</v>
      </c>
      <c r="O114" s="17">
        <f t="shared" si="9"/>
        <v>0.01</v>
      </c>
      <c r="P114" s="16">
        <f>IFERROR(__xludf.DUMMYFUNCTION("VLOOKUP(A114,IMPORTRANGE(""1QZ5UxyNCwadreQAXnQ7oCoH982DjIA-QnZdO7ZoqkC0/edit#gid=0"",""2018-2021!$A$2:$O$250""),10,FALSE)"),86.5)</f>
        <v>86.5</v>
      </c>
      <c r="Q114" s="17">
        <f t="shared" si="10"/>
        <v>0.346</v>
      </c>
      <c r="R114" s="17">
        <f t="shared" si="11"/>
        <v>0.026</v>
      </c>
    </row>
    <row r="115">
      <c r="A115" s="19" t="s">
        <v>151</v>
      </c>
      <c r="B115" s="41">
        <f>IFERROR(__xludf.DUMMYFUNCTION("VLOOKUP(A115,IMPORTRANGE(""1EmrnCz2gLVTx5Cbj0e5tfuHPhTtmru8KTGuQvh7STl0/edit#gid=2147150001"",""Whole Data Set!$A$2:$NQ$253""),381,FALSE)"),107.0)</f>
        <v>107</v>
      </c>
      <c r="C115" s="13">
        <f t="shared" si="1"/>
        <v>0.428</v>
      </c>
      <c r="D115" s="12">
        <f>IFERROR(__xludf.DUMMYFUNCTION("VLOOKUP(A115,IMPORTRANGE(""1aFCnJY1qhIj8-JckJhDJ18aqmVo17tofpQmOjcYa3u8/edit#gid=948248086"",""Whole Data Set!$A$2:$NG$253""),371,FALSE)"),111.75)</f>
        <v>111.75</v>
      </c>
      <c r="E115" s="13">
        <f t="shared" si="2"/>
        <v>0.447</v>
      </c>
      <c r="F115" s="13">
        <f t="shared" si="3"/>
        <v>-0.019</v>
      </c>
      <c r="G115" s="12">
        <f>IFERROR(__xludf.DUMMYFUNCTION("VLOOKUP(A115,IMPORTRANGE(""1QZ5UxyNCwadreQAXnQ7oCoH982DjIA-QnZdO7ZoqkC0/edit#gid=0"",""2018-2021!$A$2:$O$250""),2,FALSE)"),133.5)</f>
        <v>133.5</v>
      </c>
      <c r="H115" s="14">
        <f t="shared" si="4"/>
        <v>0.534</v>
      </c>
      <c r="I115" s="15">
        <f t="shared" si="5"/>
        <v>-0.106</v>
      </c>
      <c r="J115" s="16">
        <f>IFERROR(__xludf.DUMMYFUNCTION("VLOOKUP(A115,IMPORTRANGE(""1QZ5UxyNCwadreQAXnQ7oCoH982DjIA-QnZdO7ZoqkC0/edit#gid=0"",""2018-2021!$A$2:$O$250""),4,FALSE)"),121.0)</f>
        <v>121</v>
      </c>
      <c r="K115" s="17">
        <f t="shared" si="6"/>
        <v>0.484</v>
      </c>
      <c r="L115" s="17">
        <f t="shared" si="12"/>
        <v>-0.037</v>
      </c>
      <c r="M115" s="16">
        <f>IFERROR(__xludf.DUMMYFUNCTION("VLOOKUP(A115,IMPORTRANGE(""1QZ5UxyNCwadreQAXnQ7oCoH982DjIA-QnZdO7ZoqkC0/edit#gid=0"",""2018-2021!$A$2:$O$250""),7,FALSE)"),122.0)</f>
        <v>122</v>
      </c>
      <c r="N115" s="17">
        <f t="shared" si="8"/>
        <v>0.488</v>
      </c>
      <c r="O115" s="17">
        <f t="shared" si="9"/>
        <v>-0.06</v>
      </c>
      <c r="P115" s="16">
        <f>IFERROR(__xludf.DUMMYFUNCTION("VLOOKUP(A115,IMPORTRANGE(""1QZ5UxyNCwadreQAXnQ7oCoH982DjIA-QnZdO7ZoqkC0/edit#gid=0"",""2018-2021!$A$2:$O$250""),10,FALSE)"),105.5)</f>
        <v>105.5</v>
      </c>
      <c r="Q115" s="17">
        <f t="shared" si="10"/>
        <v>0.422</v>
      </c>
      <c r="R115" s="17">
        <f t="shared" si="11"/>
        <v>0.006</v>
      </c>
    </row>
    <row r="116">
      <c r="A116" s="22" t="s">
        <v>95</v>
      </c>
      <c r="B116" s="41">
        <f>IFERROR(__xludf.DUMMYFUNCTION("VLOOKUP(A116,IMPORTRANGE(""1EmrnCz2gLVTx5Cbj0e5tfuHPhTtmru8KTGuQvh7STl0/edit#gid=2147150001"",""Whole Data Set!$A$2:$NQ$253""),381,FALSE)"),119.75)</f>
        <v>119.75</v>
      </c>
      <c r="C116" s="13">
        <f t="shared" si="1"/>
        <v>0.479</v>
      </c>
      <c r="D116" s="12">
        <f>IFERROR(__xludf.DUMMYFUNCTION("VLOOKUP(A116,IMPORTRANGE(""1aFCnJY1qhIj8-JckJhDJ18aqmVo17tofpQmOjcYa3u8/edit#gid=948248086"",""Whole Data Set!$A$2:$NG$253""),371,FALSE)"),123.5)</f>
        <v>123.5</v>
      </c>
      <c r="E116" s="13">
        <f t="shared" si="2"/>
        <v>0.494</v>
      </c>
      <c r="F116" s="13">
        <f t="shared" si="3"/>
        <v>-0.015</v>
      </c>
      <c r="G116" s="12">
        <f>IFERROR(__xludf.DUMMYFUNCTION("VLOOKUP(A116,IMPORTRANGE(""1QZ5UxyNCwadreQAXnQ7oCoH982DjIA-QnZdO7ZoqkC0/edit#gid=0"",""2018-2021!$A$2:$O$250""),2,FALSE)"),83.75)</f>
        <v>83.75</v>
      </c>
      <c r="H116" s="14">
        <f t="shared" si="4"/>
        <v>0.335</v>
      </c>
      <c r="I116" s="15">
        <f t="shared" si="5"/>
        <v>0.144</v>
      </c>
      <c r="J116" s="16">
        <f>IFERROR(__xludf.DUMMYFUNCTION("VLOOKUP(A116,IMPORTRANGE(""1QZ5UxyNCwadreQAXnQ7oCoH982DjIA-QnZdO7ZoqkC0/edit#gid=0"",""2018-2021!$A$2:$O$250""),4,FALSE)"),108.5)</f>
        <v>108.5</v>
      </c>
      <c r="K116" s="17">
        <f t="shared" si="6"/>
        <v>0.434</v>
      </c>
      <c r="L116" s="17">
        <f t="shared" si="12"/>
        <v>0.06</v>
      </c>
      <c r="M116" s="16">
        <f>IFERROR(__xludf.DUMMYFUNCTION("VLOOKUP(A116,IMPORTRANGE(""1QZ5UxyNCwadreQAXnQ7oCoH982DjIA-QnZdO7ZoqkC0/edit#gid=0"",""2018-2021!$A$2:$O$250""),7,FALSE)"),98.0)</f>
        <v>98</v>
      </c>
      <c r="N116" s="17">
        <f t="shared" si="8"/>
        <v>0.392</v>
      </c>
      <c r="O116" s="17">
        <f t="shared" si="9"/>
        <v>0.087</v>
      </c>
      <c r="P116" s="16">
        <f>IFERROR(__xludf.DUMMYFUNCTION("VLOOKUP(A116,IMPORTRANGE(""1QZ5UxyNCwadreQAXnQ7oCoH982DjIA-QnZdO7ZoqkC0/edit#gid=0"",""2018-2021!$A$2:$O$250""),10,FALSE)"),77.0)</f>
        <v>77</v>
      </c>
      <c r="Q116" s="17">
        <f t="shared" si="10"/>
        <v>0.308</v>
      </c>
      <c r="R116" s="17">
        <f t="shared" si="11"/>
        <v>0.171</v>
      </c>
    </row>
    <row r="117">
      <c r="A117" s="42" t="s">
        <v>96</v>
      </c>
      <c r="B117" s="41">
        <f>IFERROR(__xludf.DUMMYFUNCTION("VLOOKUP(A117,IMPORTRANGE(""1EmrnCz2gLVTx5Cbj0e5tfuHPhTtmru8KTGuQvh7STl0/edit#gid=2147150001"",""Whole Data Set!$A$2:$NQ$253""),381,FALSE)"),163.75)</f>
        <v>163.75</v>
      </c>
      <c r="C117" s="13">
        <f t="shared" si="1"/>
        <v>0.655</v>
      </c>
      <c r="D117" s="12">
        <f>IFERROR(__xludf.DUMMYFUNCTION("VLOOKUP(A117,IMPORTRANGE(""1aFCnJY1qhIj8-JckJhDJ18aqmVo17tofpQmOjcYa3u8/edit#gid=948248086"",""Whole Data Set!$A$2:$NG$253""),371,FALSE)"),164.5)</f>
        <v>164.5</v>
      </c>
      <c r="E117" s="13">
        <f t="shared" si="2"/>
        <v>0.658</v>
      </c>
      <c r="F117" s="13">
        <f t="shared" si="3"/>
        <v>-0.003</v>
      </c>
      <c r="G117" s="12">
        <f>IFERROR(__xludf.DUMMYFUNCTION("VLOOKUP(A117,IMPORTRANGE(""1QZ5UxyNCwadreQAXnQ7oCoH982DjIA-QnZdO7ZoqkC0/edit#gid=0"",""2018-2021!$A$2:$O$250""),2,FALSE)"),164.25)</f>
        <v>164.25</v>
      </c>
      <c r="H117" s="14">
        <f t="shared" si="4"/>
        <v>0.657</v>
      </c>
      <c r="I117" s="15">
        <f t="shared" si="5"/>
        <v>-0.002</v>
      </c>
      <c r="J117" s="16">
        <f>IFERROR(__xludf.DUMMYFUNCTION("VLOOKUP(A117,IMPORTRANGE(""1QZ5UxyNCwadreQAXnQ7oCoH982DjIA-QnZdO7ZoqkC0/edit#gid=0"",""2018-2021!$A$2:$O$250""),4,FALSE)"),146.5)</f>
        <v>146.5</v>
      </c>
      <c r="K117" s="17">
        <f t="shared" si="6"/>
        <v>0.586</v>
      </c>
      <c r="L117" s="17">
        <f t="shared" si="12"/>
        <v>0.072</v>
      </c>
      <c r="M117" s="16">
        <f>IFERROR(__xludf.DUMMYFUNCTION("VLOOKUP(A117,IMPORTRANGE(""1QZ5UxyNCwadreQAXnQ7oCoH982DjIA-QnZdO7ZoqkC0/edit#gid=0"",""2018-2021!$A$2:$O$250""),7,FALSE)"),141.5)</f>
        <v>141.5</v>
      </c>
      <c r="N117" s="17">
        <f t="shared" si="8"/>
        <v>0.566</v>
      </c>
      <c r="O117" s="17">
        <f t="shared" si="9"/>
        <v>0.089</v>
      </c>
      <c r="P117" s="16">
        <f>IFERROR(__xludf.DUMMYFUNCTION("VLOOKUP(A117,IMPORTRANGE(""1QZ5UxyNCwadreQAXnQ7oCoH982DjIA-QnZdO7ZoqkC0/edit#gid=0"",""2018-2021!$A$2:$O$250""),10,FALSE)"),114.5)</f>
        <v>114.5</v>
      </c>
      <c r="Q117" s="17">
        <f t="shared" si="10"/>
        <v>0.458</v>
      </c>
      <c r="R117" s="17">
        <f t="shared" si="11"/>
        <v>0.197</v>
      </c>
    </row>
    <row r="118">
      <c r="A118" s="23" t="s">
        <v>97</v>
      </c>
      <c r="B118" s="41">
        <f>IFERROR(__xludf.DUMMYFUNCTION("VLOOKUP(A118,IMPORTRANGE(""1EmrnCz2gLVTx5Cbj0e5tfuHPhTtmru8KTGuQvh7STl0/edit#gid=2147150001"",""Whole Data Set!$A$2:$NQ$253""),381,FALSE)"),163.75)</f>
        <v>163.75</v>
      </c>
      <c r="C118" s="13">
        <f t="shared" si="1"/>
        <v>0.655</v>
      </c>
      <c r="D118" s="12">
        <f>IFERROR(__xludf.DUMMYFUNCTION("VLOOKUP(A118,IMPORTRANGE(""1aFCnJY1qhIj8-JckJhDJ18aqmVo17tofpQmOjcYa3u8/edit#gid=948248086"",""Whole Data Set!$A$2:$NG$253""),371,FALSE)"),164.5)</f>
        <v>164.5</v>
      </c>
      <c r="E118" s="13">
        <f t="shared" si="2"/>
        <v>0.658</v>
      </c>
      <c r="F118" s="13">
        <f t="shared" si="3"/>
        <v>-0.003</v>
      </c>
      <c r="G118" s="12">
        <f>IFERROR(__xludf.DUMMYFUNCTION("VLOOKUP(A118,IMPORTRANGE(""1QZ5UxyNCwadreQAXnQ7oCoH982DjIA-QnZdO7ZoqkC0/edit#gid=0"",""2018-2021!$A$2:$O$250""),2,FALSE)"),164.25)</f>
        <v>164.25</v>
      </c>
      <c r="H118" s="14">
        <f t="shared" si="4"/>
        <v>0.657</v>
      </c>
      <c r="I118" s="15">
        <f t="shared" si="5"/>
        <v>-0.002</v>
      </c>
      <c r="J118" s="16">
        <f>IFERROR(__xludf.DUMMYFUNCTION("VLOOKUP(A118,IMPORTRANGE(""1QZ5UxyNCwadreQAXnQ7oCoH982DjIA-QnZdO7ZoqkC0/edit#gid=0"",""2018-2021!$A$2:$O$250""),4,FALSE)"),146.5)</f>
        <v>146.5</v>
      </c>
      <c r="K118" s="17">
        <f t="shared" si="6"/>
        <v>0.586</v>
      </c>
      <c r="L118" s="17">
        <f t="shared" si="12"/>
        <v>0.072</v>
      </c>
      <c r="M118" s="16">
        <f>IFERROR(__xludf.DUMMYFUNCTION("VLOOKUP(A118,IMPORTRANGE(""1QZ5UxyNCwadreQAXnQ7oCoH982DjIA-QnZdO7ZoqkC0/edit#gid=0"",""2018-2021!$A$2:$O$250""),7,FALSE)"),141.5)</f>
        <v>141.5</v>
      </c>
      <c r="N118" s="17">
        <f t="shared" si="8"/>
        <v>0.566</v>
      </c>
      <c r="O118" s="17">
        <f t="shared" si="9"/>
        <v>0.089</v>
      </c>
      <c r="P118" s="16">
        <f>IFERROR(__xludf.DUMMYFUNCTION("VLOOKUP(A118,IMPORTRANGE(""1QZ5UxyNCwadreQAXnQ7oCoH982DjIA-QnZdO7ZoqkC0/edit#gid=0"",""2018-2021!$A$2:$O$250""),10,FALSE)"),114.5)</f>
        <v>114.5</v>
      </c>
      <c r="Q118" s="17">
        <f t="shared" si="10"/>
        <v>0.458</v>
      </c>
      <c r="R118" s="17">
        <f t="shared" si="11"/>
        <v>0.197</v>
      </c>
    </row>
    <row r="119">
      <c r="A119" s="19" t="s">
        <v>30</v>
      </c>
      <c r="B119" s="41">
        <f>IFERROR(__xludf.DUMMYFUNCTION("VLOOKUP(A119,IMPORTRANGE(""1EmrnCz2gLVTx5Cbj0e5tfuHPhTtmru8KTGuQvh7STl0/edit#gid=2147150001"",""Whole Data Set!$A$2:$NQ$253""),381,FALSE)"),32.75)</f>
        <v>32.75</v>
      </c>
      <c r="C119" s="13">
        <f t="shared" si="1"/>
        <v>0.131</v>
      </c>
      <c r="D119" s="12">
        <f>IFERROR(__xludf.DUMMYFUNCTION("VLOOKUP(A119,IMPORTRANGE(""1aFCnJY1qhIj8-JckJhDJ18aqmVo17tofpQmOjcYa3u8/edit#gid=948248086"",""Whole Data Set!$A$2:$NG$253""),371,FALSE)"),31.75)</f>
        <v>31.75</v>
      </c>
      <c r="E119" s="13">
        <f t="shared" si="2"/>
        <v>0.127</v>
      </c>
      <c r="F119" s="13">
        <f t="shared" si="3"/>
        <v>0.004</v>
      </c>
      <c r="G119" s="12">
        <f>IFERROR(__xludf.DUMMYFUNCTION("VLOOKUP(A119,IMPORTRANGE(""1QZ5UxyNCwadreQAXnQ7oCoH982DjIA-QnZdO7ZoqkC0/edit#gid=0"",""2018-2021!$A$2:$O$250""),2,FALSE)"),32.5)</f>
        <v>32.5</v>
      </c>
      <c r="H119" s="14">
        <f t="shared" si="4"/>
        <v>0.13</v>
      </c>
      <c r="I119" s="15">
        <f t="shared" si="5"/>
        <v>0.001</v>
      </c>
      <c r="J119" s="16">
        <f>IFERROR(__xludf.DUMMYFUNCTION("VLOOKUP(A119,IMPORTRANGE(""1QZ5UxyNCwadreQAXnQ7oCoH982DjIA-QnZdO7ZoqkC0/edit#gid=0"",""2018-2021!$A$2:$O$250""),4,FALSE)"),38.0)</f>
        <v>38</v>
      </c>
      <c r="K119" s="17">
        <f t="shared" si="6"/>
        <v>0.152</v>
      </c>
      <c r="L119" s="17">
        <f t="shared" si="12"/>
        <v>-0.025</v>
      </c>
      <c r="M119" s="16">
        <f>IFERROR(__xludf.DUMMYFUNCTION("VLOOKUP(A119,IMPORTRANGE(""1QZ5UxyNCwadreQAXnQ7oCoH982DjIA-QnZdO7ZoqkC0/edit#gid=0"",""2018-2021!$A$2:$O$250""),7,FALSE)"),37.5)</f>
        <v>37.5</v>
      </c>
      <c r="N119" s="17">
        <f t="shared" si="8"/>
        <v>0.15</v>
      </c>
      <c r="O119" s="17">
        <f t="shared" si="9"/>
        <v>-0.019</v>
      </c>
      <c r="P119" s="16">
        <f>IFERROR(__xludf.DUMMYFUNCTION("VLOOKUP(A119,IMPORTRANGE(""1QZ5UxyNCwadreQAXnQ7oCoH982DjIA-QnZdO7ZoqkC0/edit#gid=0"",""2018-2021!$A$2:$O$250""),10,FALSE)"),44.0)</f>
        <v>44</v>
      </c>
      <c r="Q119" s="17">
        <f t="shared" si="10"/>
        <v>0.176</v>
      </c>
      <c r="R119" s="17">
        <f t="shared" si="11"/>
        <v>-0.045</v>
      </c>
    </row>
    <row r="120">
      <c r="A120" s="42" t="s">
        <v>99</v>
      </c>
      <c r="B120" s="41">
        <f>IFERROR(__xludf.DUMMYFUNCTION("VLOOKUP(A120,IMPORTRANGE(""1EmrnCz2gLVTx5Cbj0e5tfuHPhTtmru8KTGuQvh7STl0/edit#gid=2147150001"",""Whole Data Set!$A$2:$NQ$253""),381,FALSE)"),123.75)</f>
        <v>123.75</v>
      </c>
      <c r="C120" s="13">
        <f t="shared" si="1"/>
        <v>0.495</v>
      </c>
      <c r="D120" s="12">
        <f>IFERROR(__xludf.DUMMYFUNCTION("VLOOKUP(A120,IMPORTRANGE(""1aFCnJY1qhIj8-JckJhDJ18aqmVo17tofpQmOjcYa3u8/edit#gid=948248086"",""Whole Data Set!$A$2:$NG$253""),371,FALSE)"),140.75)</f>
        <v>140.75</v>
      </c>
      <c r="E120" s="13">
        <f t="shared" si="2"/>
        <v>0.563</v>
      </c>
      <c r="F120" s="13">
        <f t="shared" si="3"/>
        <v>-0.068</v>
      </c>
      <c r="G120" s="12">
        <f>IFERROR(__xludf.DUMMYFUNCTION("VLOOKUP(A120,IMPORTRANGE(""1QZ5UxyNCwadreQAXnQ7oCoH982DjIA-QnZdO7ZoqkC0/edit#gid=0"",""2018-2021!$A$2:$O$250""),2,FALSE)"),147.5)</f>
        <v>147.5</v>
      </c>
      <c r="H120" s="14">
        <f t="shared" si="4"/>
        <v>0.59</v>
      </c>
      <c r="I120" s="15">
        <f t="shared" si="5"/>
        <v>-0.095</v>
      </c>
      <c r="J120" s="16">
        <f>IFERROR(__xludf.DUMMYFUNCTION("VLOOKUP(A120,IMPORTRANGE(""1QZ5UxyNCwadreQAXnQ7oCoH982DjIA-QnZdO7ZoqkC0/edit#gid=0"",""2018-2021!$A$2:$O$250""),4,FALSE)"),134.5)</f>
        <v>134.5</v>
      </c>
      <c r="K120" s="17">
        <f t="shared" si="6"/>
        <v>0.538</v>
      </c>
      <c r="L120" s="17">
        <f t="shared" si="12"/>
        <v>0.025</v>
      </c>
      <c r="M120" s="16">
        <f>IFERROR(__xludf.DUMMYFUNCTION("VLOOKUP(A120,IMPORTRANGE(""1QZ5UxyNCwadreQAXnQ7oCoH982DjIA-QnZdO7ZoqkC0/edit#gid=0"",""2018-2021!$A$2:$O$250""),7,FALSE)"),103.0)</f>
        <v>103</v>
      </c>
      <c r="N120" s="17">
        <f t="shared" si="8"/>
        <v>0.412</v>
      </c>
      <c r="O120" s="17">
        <f t="shared" si="9"/>
        <v>0.083</v>
      </c>
      <c r="P120" s="16">
        <f>IFERROR(__xludf.DUMMYFUNCTION("VLOOKUP(A120,IMPORTRANGE(""1QZ5UxyNCwadreQAXnQ7oCoH982DjIA-QnZdO7ZoqkC0/edit#gid=0"",""2018-2021!$A$2:$O$250""),10,FALSE)"),94.5)</f>
        <v>94.5</v>
      </c>
      <c r="Q120" s="17">
        <f t="shared" si="10"/>
        <v>0.378</v>
      </c>
      <c r="R120" s="17">
        <f t="shared" si="11"/>
        <v>0.117</v>
      </c>
    </row>
    <row r="121">
      <c r="A121" s="19" t="s">
        <v>152</v>
      </c>
      <c r="B121" s="41">
        <f>IFERROR(__xludf.DUMMYFUNCTION("VLOOKUP(A121,IMPORTRANGE(""1EmrnCz2gLVTx5Cbj0e5tfuHPhTtmru8KTGuQvh7STl0/edit#gid=2147150001"",""Whole Data Set!$A$2:$NQ$253""),381,FALSE)"),1.25)</f>
        <v>1.25</v>
      </c>
      <c r="C121" s="13">
        <f t="shared" si="1"/>
        <v>0.005</v>
      </c>
      <c r="D121" s="12">
        <f>IFERROR(__xludf.DUMMYFUNCTION("VLOOKUP(A121,IMPORTRANGE(""1aFCnJY1qhIj8-JckJhDJ18aqmVo17tofpQmOjcYa3u8/edit#gid=948248086"",""Whole Data Set!$A$2:$NG$253""),371,FALSE)"),1.25)</f>
        <v>1.25</v>
      </c>
      <c r="E121" s="13">
        <f t="shared" si="2"/>
        <v>0.005</v>
      </c>
      <c r="F121" s="13">
        <f t="shared" si="3"/>
        <v>0</v>
      </c>
      <c r="G121" s="12">
        <f>IFERROR(__xludf.DUMMYFUNCTION("VLOOKUP(A121,IMPORTRANGE(""1QZ5UxyNCwadreQAXnQ7oCoH982DjIA-QnZdO7ZoqkC0/edit#gid=0"",""2018-2021!$A$2:$O$250""),2,FALSE)"),1.0)</f>
        <v>1</v>
      </c>
      <c r="H121" s="14">
        <f t="shared" si="4"/>
        <v>0.004</v>
      </c>
      <c r="I121" s="15">
        <f t="shared" si="5"/>
        <v>0.001</v>
      </c>
      <c r="J121" s="16">
        <f>IFERROR(__xludf.DUMMYFUNCTION("VLOOKUP(A121,IMPORTRANGE(""1QZ5UxyNCwadreQAXnQ7oCoH982DjIA-QnZdO7ZoqkC0/edit#gid=0"",""2018-2021!$A$2:$O$250""),4,FALSE)"),9.0)</f>
        <v>9</v>
      </c>
      <c r="K121" s="17">
        <f t="shared" si="6"/>
        <v>0.036</v>
      </c>
      <c r="L121" s="17">
        <f t="shared" si="12"/>
        <v>-0.031</v>
      </c>
      <c r="M121" s="16">
        <f>IFERROR(__xludf.DUMMYFUNCTION("VLOOKUP(A121,IMPORTRANGE(""1QZ5UxyNCwadreQAXnQ7oCoH982DjIA-QnZdO7ZoqkC0/edit#gid=0"",""2018-2021!$A$2:$O$250""),7,FALSE)"),8.0)</f>
        <v>8</v>
      </c>
      <c r="N121" s="17">
        <f t="shared" si="8"/>
        <v>0.032</v>
      </c>
      <c r="O121" s="17">
        <f t="shared" si="9"/>
        <v>-0.027</v>
      </c>
      <c r="P121" s="16">
        <f>IFERROR(__xludf.DUMMYFUNCTION("VLOOKUP(A121,IMPORTRANGE(""1QZ5UxyNCwadreQAXnQ7oCoH982DjIA-QnZdO7ZoqkC0/edit#gid=0"",""2018-2021!$A$2:$O$250""),10,FALSE)"),8.0)</f>
        <v>8</v>
      </c>
      <c r="Q121" s="17">
        <f t="shared" si="10"/>
        <v>0.032</v>
      </c>
      <c r="R121" s="17">
        <f t="shared" si="11"/>
        <v>-0.027</v>
      </c>
    </row>
    <row r="122">
      <c r="A122" s="19" t="s">
        <v>49</v>
      </c>
      <c r="B122" s="41">
        <f>IFERROR(__xludf.DUMMYFUNCTION("VLOOKUP(A122,IMPORTRANGE(""1EmrnCz2gLVTx5Cbj0e5tfuHPhTtmru8KTGuQvh7STl0/edit#gid=2147150001"",""Whole Data Set!$A$2:$NQ$253""),381,FALSE)"),18.0)</f>
        <v>18</v>
      </c>
      <c r="C122" s="13">
        <f t="shared" si="1"/>
        <v>0.072</v>
      </c>
      <c r="D122" s="12">
        <f>IFERROR(__xludf.DUMMYFUNCTION("VLOOKUP(A122,IMPORTRANGE(""1aFCnJY1qhIj8-JckJhDJ18aqmVo17tofpQmOjcYa3u8/edit#gid=948248086"",""Whole Data Set!$A$2:$NG$253""),371,FALSE)"),11.75)</f>
        <v>11.75</v>
      </c>
      <c r="E122" s="13">
        <f t="shared" si="2"/>
        <v>0.047</v>
      </c>
      <c r="F122" s="13">
        <f t="shared" si="3"/>
        <v>0.025</v>
      </c>
      <c r="G122" s="12">
        <f>IFERROR(__xludf.DUMMYFUNCTION("VLOOKUP(A122,IMPORTRANGE(""1QZ5UxyNCwadreQAXnQ7oCoH982DjIA-QnZdO7ZoqkC0/edit#gid=0"",""2018-2021!$A$2:$O$250""),2,FALSE)"),14.5)</f>
        <v>14.5</v>
      </c>
      <c r="H122" s="14">
        <f t="shared" si="4"/>
        <v>0.058</v>
      </c>
      <c r="I122" s="15">
        <f t="shared" si="5"/>
        <v>0.014</v>
      </c>
      <c r="J122" s="16">
        <f>IFERROR(__xludf.DUMMYFUNCTION("VLOOKUP(A122,IMPORTRANGE(""1QZ5UxyNCwadreQAXnQ7oCoH982DjIA-QnZdO7ZoqkC0/edit#gid=0"",""2018-2021!$A$2:$O$250""),4,FALSE)"),25.0)</f>
        <v>25</v>
      </c>
      <c r="K122" s="17">
        <f t="shared" si="6"/>
        <v>0.1</v>
      </c>
      <c r="L122" s="17">
        <f t="shared" si="12"/>
        <v>-0.053</v>
      </c>
      <c r="M122" s="16">
        <f>IFERROR(__xludf.DUMMYFUNCTION("VLOOKUP(A122,IMPORTRANGE(""1QZ5UxyNCwadreQAXnQ7oCoH982DjIA-QnZdO7ZoqkC0/edit#gid=0"",""2018-2021!$A$2:$O$250""),7,FALSE)"),21.5)</f>
        <v>21.5</v>
      </c>
      <c r="N122" s="17">
        <f t="shared" si="8"/>
        <v>0.086</v>
      </c>
      <c r="O122" s="17">
        <f t="shared" si="9"/>
        <v>-0.014</v>
      </c>
      <c r="P122" s="16">
        <f>IFERROR(__xludf.DUMMYFUNCTION("VLOOKUP(A122,IMPORTRANGE(""1QZ5UxyNCwadreQAXnQ7oCoH982DjIA-QnZdO7ZoqkC0/edit#gid=0"",""2018-2021!$A$2:$O$250""),10,FALSE)"),23.0)</f>
        <v>23</v>
      </c>
      <c r="Q122" s="17">
        <f t="shared" si="10"/>
        <v>0.092</v>
      </c>
      <c r="R122" s="17">
        <f t="shared" si="11"/>
        <v>-0.02</v>
      </c>
    </row>
    <row r="123">
      <c r="A123" s="19" t="s">
        <v>101</v>
      </c>
      <c r="B123" s="41">
        <f>IFERROR(__xludf.DUMMYFUNCTION("VLOOKUP(A123,IMPORTRANGE(""1EmrnCz2gLVTx5Cbj0e5tfuHPhTtmru8KTGuQvh7STl0/edit#gid=2147150001"",""Whole Data Set!$A$2:$NQ$253""),381,FALSE)"),69.25)</f>
        <v>69.25</v>
      </c>
      <c r="C123" s="13">
        <f t="shared" si="1"/>
        <v>0.277</v>
      </c>
      <c r="D123" s="12">
        <f>IFERROR(__xludf.DUMMYFUNCTION("VLOOKUP(A123,IMPORTRANGE(""1aFCnJY1qhIj8-JckJhDJ18aqmVo17tofpQmOjcYa3u8/edit#gid=948248086"",""Whole Data Set!$A$2:$NG$253""),371,FALSE)"),54.75)</f>
        <v>54.75</v>
      </c>
      <c r="E123" s="13">
        <f t="shared" si="2"/>
        <v>0.219</v>
      </c>
      <c r="F123" s="13">
        <f t="shared" si="3"/>
        <v>0.058</v>
      </c>
      <c r="G123" s="12">
        <f>IFERROR(__xludf.DUMMYFUNCTION("VLOOKUP(A123,IMPORTRANGE(""1QZ5UxyNCwadreQAXnQ7oCoH982DjIA-QnZdO7ZoqkC0/edit#gid=0"",""2018-2021!$A$2:$O$250""),2,FALSE)"),53.75)</f>
        <v>53.75</v>
      </c>
      <c r="H123" s="14">
        <f t="shared" si="4"/>
        <v>0.215</v>
      </c>
      <c r="I123" s="15">
        <f t="shared" si="5"/>
        <v>0.062</v>
      </c>
      <c r="J123" s="16">
        <f>IFERROR(__xludf.DUMMYFUNCTION("VLOOKUP(A123,IMPORTRANGE(""1QZ5UxyNCwadreQAXnQ7oCoH982DjIA-QnZdO7ZoqkC0/edit#gid=0"",""2018-2021!$A$2:$O$250""),4,FALSE)"),73.0)</f>
        <v>73</v>
      </c>
      <c r="K123" s="17">
        <f t="shared" si="6"/>
        <v>0.292</v>
      </c>
      <c r="L123" s="17">
        <f t="shared" si="12"/>
        <v>-0.073</v>
      </c>
      <c r="M123" s="16">
        <f>IFERROR(__xludf.DUMMYFUNCTION("VLOOKUP(A123,IMPORTRANGE(""1QZ5UxyNCwadreQAXnQ7oCoH982DjIA-QnZdO7ZoqkC0/edit#gid=0"",""2018-2021!$A$2:$O$250""),7,FALSE)"),69.0)</f>
        <v>69</v>
      </c>
      <c r="N123" s="17">
        <f t="shared" si="8"/>
        <v>0.276</v>
      </c>
      <c r="O123" s="17">
        <f t="shared" si="9"/>
        <v>0.001</v>
      </c>
      <c r="P123" s="16">
        <f>IFERROR(__xludf.DUMMYFUNCTION("VLOOKUP(A123,IMPORTRANGE(""1QZ5UxyNCwadreQAXnQ7oCoH982DjIA-QnZdO7ZoqkC0/edit#gid=0"",""2018-2021!$A$2:$O$250""),10,FALSE)"),54.5)</f>
        <v>54.5</v>
      </c>
      <c r="Q123" s="17">
        <f t="shared" si="10"/>
        <v>0.218</v>
      </c>
      <c r="R123" s="17">
        <f t="shared" si="11"/>
        <v>0.059</v>
      </c>
    </row>
    <row r="124">
      <c r="A124" s="19" t="s">
        <v>102</v>
      </c>
      <c r="B124" s="41">
        <f>IFERROR(__xludf.DUMMYFUNCTION("VLOOKUP(A124,IMPORTRANGE(""1EmrnCz2gLVTx5Cbj0e5tfuHPhTtmru8KTGuQvh7STl0/edit#gid=2147150001"",""Whole Data Set!$A$2:$NQ$253""),381,FALSE)"),126.5)</f>
        <v>126.5</v>
      </c>
      <c r="C124" s="13">
        <f t="shared" si="1"/>
        <v>0.506</v>
      </c>
      <c r="D124" s="12">
        <f>IFERROR(__xludf.DUMMYFUNCTION("VLOOKUP(A124,IMPORTRANGE(""1aFCnJY1qhIj8-JckJhDJ18aqmVo17tofpQmOjcYa3u8/edit#gid=948248086"",""Whole Data Set!$A$2:$NG$253""),371,FALSE)"),123.5)</f>
        <v>123.5</v>
      </c>
      <c r="E124" s="13">
        <f t="shared" si="2"/>
        <v>0.494</v>
      </c>
      <c r="F124" s="13">
        <f t="shared" si="3"/>
        <v>0.012</v>
      </c>
      <c r="G124" s="12">
        <f>IFERROR(__xludf.DUMMYFUNCTION("VLOOKUP(A124,IMPORTRANGE(""1QZ5UxyNCwadreQAXnQ7oCoH982DjIA-QnZdO7ZoqkC0/edit#gid=0"",""2018-2021!$A$2:$O$250""),2,FALSE)"),105.25)</f>
        <v>105.25</v>
      </c>
      <c r="H124" s="14">
        <f t="shared" si="4"/>
        <v>0.421</v>
      </c>
      <c r="I124" s="15">
        <f t="shared" si="5"/>
        <v>0.085</v>
      </c>
      <c r="J124" s="16">
        <f>IFERROR(__xludf.DUMMYFUNCTION("VLOOKUP(A124,IMPORTRANGE(""1QZ5UxyNCwadreQAXnQ7oCoH982DjIA-QnZdO7ZoqkC0/edit#gid=0"",""2018-2021!$A$2:$O$250""),4,FALSE)"),99.0)</f>
        <v>99</v>
      </c>
      <c r="K124" s="17">
        <f t="shared" si="6"/>
        <v>0.396</v>
      </c>
      <c r="L124" s="17">
        <f t="shared" si="12"/>
        <v>0.098</v>
      </c>
      <c r="M124" s="16">
        <f>IFERROR(__xludf.DUMMYFUNCTION("VLOOKUP(A124,IMPORTRANGE(""1QZ5UxyNCwadreQAXnQ7oCoH982DjIA-QnZdO7ZoqkC0/edit#gid=0"",""2018-2021!$A$2:$O$250""),7,FALSE)"),95.5)</f>
        <v>95.5</v>
      </c>
      <c r="N124" s="17">
        <f t="shared" si="8"/>
        <v>0.382</v>
      </c>
      <c r="O124" s="17">
        <f t="shared" si="9"/>
        <v>0.124</v>
      </c>
      <c r="P124" s="16">
        <f>IFERROR(__xludf.DUMMYFUNCTION("VLOOKUP(A124,IMPORTRANGE(""1QZ5UxyNCwadreQAXnQ7oCoH982DjIA-QnZdO7ZoqkC0/edit#gid=0"",""2018-2021!$A$2:$O$250""),10,FALSE)"),71.5)</f>
        <v>71.5</v>
      </c>
      <c r="Q124" s="17">
        <f t="shared" si="10"/>
        <v>0.286</v>
      </c>
      <c r="R124" s="17">
        <f t="shared" si="11"/>
        <v>0.22</v>
      </c>
    </row>
    <row r="125">
      <c r="A125" s="42" t="s">
        <v>103</v>
      </c>
      <c r="B125" s="41">
        <f>IFERROR(__xludf.DUMMYFUNCTION("VLOOKUP(A125,IMPORTRANGE(""1EmrnCz2gLVTx5Cbj0e5tfuHPhTtmru8KTGuQvh7STl0/edit#gid=2147150001"",""Whole Data Set!$A$2:$NQ$253""),381,FALSE)"),182.5)</f>
        <v>182.5</v>
      </c>
      <c r="C125" s="13">
        <f t="shared" si="1"/>
        <v>0.73</v>
      </c>
      <c r="D125" s="12">
        <f>IFERROR(__xludf.DUMMYFUNCTION("VLOOKUP(A125,IMPORTRANGE(""1aFCnJY1qhIj8-JckJhDJ18aqmVo17tofpQmOjcYa3u8/edit#gid=948248086"",""Whole Data Set!$A$2:$NG$253""),371,FALSE)"),158.0)</f>
        <v>158</v>
      </c>
      <c r="E125" s="13">
        <f t="shared" si="2"/>
        <v>0.632</v>
      </c>
      <c r="F125" s="13">
        <f t="shared" si="3"/>
        <v>0.098</v>
      </c>
      <c r="G125" s="12">
        <f>IFERROR(__xludf.DUMMYFUNCTION("VLOOKUP(A125,IMPORTRANGE(""1QZ5UxyNCwadreQAXnQ7oCoH982DjIA-QnZdO7ZoqkC0/edit#gid=0"",""2018-2021!$A$2:$O$250""),2,FALSE)"),149.25)</f>
        <v>149.25</v>
      </c>
      <c r="H125" s="14">
        <f t="shared" si="4"/>
        <v>0.597</v>
      </c>
      <c r="I125" s="15">
        <f t="shared" si="5"/>
        <v>0.133</v>
      </c>
      <c r="J125" s="16">
        <f>IFERROR(__xludf.DUMMYFUNCTION("VLOOKUP(A125,IMPORTRANGE(""1QZ5UxyNCwadreQAXnQ7oCoH982DjIA-QnZdO7ZoqkC0/edit#gid=0"",""2018-2021!$A$2:$O$250""),4,FALSE)"),136.5)</f>
        <v>136.5</v>
      </c>
      <c r="K125" s="17">
        <f t="shared" si="6"/>
        <v>0.546</v>
      </c>
      <c r="L125" s="17">
        <f t="shared" si="12"/>
        <v>0.086</v>
      </c>
      <c r="M125" s="16">
        <f>IFERROR(__xludf.DUMMYFUNCTION("VLOOKUP(A125,IMPORTRANGE(""1QZ5UxyNCwadreQAXnQ7oCoH982DjIA-QnZdO7ZoqkC0/edit#gid=0"",""2018-2021!$A$2:$O$250""),7,FALSE)"),110.0)</f>
        <v>110</v>
      </c>
      <c r="N125" s="17">
        <f t="shared" si="8"/>
        <v>0.44</v>
      </c>
      <c r="O125" s="17">
        <f t="shared" si="9"/>
        <v>0.29</v>
      </c>
      <c r="P125" s="16">
        <f>IFERROR(__xludf.DUMMYFUNCTION("VLOOKUP(A125,IMPORTRANGE(""1QZ5UxyNCwadreQAXnQ7oCoH982DjIA-QnZdO7ZoqkC0/edit#gid=0"",""2018-2021!$A$2:$O$250""),10,FALSE)"),87.0)</f>
        <v>87</v>
      </c>
      <c r="Q125" s="17">
        <f t="shared" si="10"/>
        <v>0.348</v>
      </c>
      <c r="R125" s="17">
        <f t="shared" si="11"/>
        <v>0.382</v>
      </c>
    </row>
    <row r="126">
      <c r="A126" s="42" t="s">
        <v>104</v>
      </c>
      <c r="B126" s="41">
        <f>IFERROR(__xludf.DUMMYFUNCTION("VLOOKUP(A126,IMPORTRANGE(""1EmrnCz2gLVTx5Cbj0e5tfuHPhTtmru8KTGuQvh7STl0/edit#gid=2147150001"",""Whole Data Set!$A$2:$NQ$253""),381,FALSE)"),32.5)</f>
        <v>32.5</v>
      </c>
      <c r="C126" s="13">
        <f t="shared" si="1"/>
        <v>0.13</v>
      </c>
      <c r="D126" s="12">
        <f>IFERROR(__xludf.DUMMYFUNCTION("VLOOKUP(A126,IMPORTRANGE(""1aFCnJY1qhIj8-JckJhDJ18aqmVo17tofpQmOjcYa3u8/edit#gid=948248086"",""Whole Data Set!$A$2:$NG$253""),371,FALSE)"),34.75)</f>
        <v>34.75</v>
      </c>
      <c r="E126" s="13">
        <f t="shared" si="2"/>
        <v>0.139</v>
      </c>
      <c r="F126" s="13">
        <f t="shared" si="3"/>
        <v>-0.009</v>
      </c>
      <c r="G126" s="12">
        <f>IFERROR(__xludf.DUMMYFUNCTION("VLOOKUP(A126,IMPORTRANGE(""1QZ5UxyNCwadreQAXnQ7oCoH982DjIA-QnZdO7ZoqkC0/edit#gid=0"",""2018-2021!$A$2:$O$250""),2,FALSE)"),39.25)</f>
        <v>39.25</v>
      </c>
      <c r="H126" s="14">
        <f t="shared" si="4"/>
        <v>0.157</v>
      </c>
      <c r="I126" s="15">
        <f t="shared" si="5"/>
        <v>-0.027</v>
      </c>
      <c r="J126" s="16">
        <f>IFERROR(__xludf.DUMMYFUNCTION("VLOOKUP(A126,IMPORTRANGE(""1QZ5UxyNCwadreQAXnQ7oCoH982DjIA-QnZdO7ZoqkC0/edit#gid=0"",""2018-2021!$A$2:$O$250""),4,FALSE)"),50.5)</f>
        <v>50.5</v>
      </c>
      <c r="K126" s="17">
        <f t="shared" si="6"/>
        <v>0.202</v>
      </c>
      <c r="L126" s="17">
        <f t="shared" si="12"/>
        <v>-0.063</v>
      </c>
      <c r="M126" s="16">
        <f>IFERROR(__xludf.DUMMYFUNCTION("VLOOKUP(A126,IMPORTRANGE(""1QZ5UxyNCwadreQAXnQ7oCoH982DjIA-QnZdO7ZoqkC0/edit#gid=0"",""2018-2021!$A$2:$O$250""),7,FALSE)"),13.5)</f>
        <v>13.5</v>
      </c>
      <c r="N126" s="17">
        <f t="shared" si="8"/>
        <v>0.054</v>
      </c>
      <c r="O126" s="17">
        <f t="shared" si="9"/>
        <v>0.076</v>
      </c>
      <c r="P126" s="16">
        <f>IFERROR(__xludf.DUMMYFUNCTION("VLOOKUP(A126,IMPORTRANGE(""1QZ5UxyNCwadreQAXnQ7oCoH982DjIA-QnZdO7ZoqkC0/edit#gid=0"",""2018-2021!$A$2:$O$250""),10,FALSE)"),14.5)</f>
        <v>14.5</v>
      </c>
      <c r="Q126" s="17">
        <f t="shared" si="10"/>
        <v>0.058</v>
      </c>
      <c r="R126" s="17">
        <f t="shared" si="11"/>
        <v>0.072</v>
      </c>
    </row>
    <row r="127">
      <c r="A127" s="19" t="s">
        <v>153</v>
      </c>
      <c r="B127" s="41">
        <f>IFERROR(__xludf.DUMMYFUNCTION("VLOOKUP(A127,IMPORTRANGE(""1EmrnCz2gLVTx5Cbj0e5tfuHPhTtmru8KTGuQvh7STl0/edit#gid=2147150001"",""Whole Data Set!$A$2:$NQ$253""),381,FALSE)"),43.75)</f>
        <v>43.75</v>
      </c>
      <c r="C127" s="13">
        <f t="shared" si="1"/>
        <v>0.175</v>
      </c>
      <c r="D127" s="12">
        <f>IFERROR(__xludf.DUMMYFUNCTION("VLOOKUP(A127,IMPORTRANGE(""1aFCnJY1qhIj8-JckJhDJ18aqmVo17tofpQmOjcYa3u8/edit#gid=948248086"",""Whole Data Set!$A$2:$NG$253""),371,FALSE)"),12.25)</f>
        <v>12.25</v>
      </c>
      <c r="E127" s="13">
        <f t="shared" si="2"/>
        <v>0.049</v>
      </c>
      <c r="F127" s="13">
        <f t="shared" si="3"/>
        <v>0.126</v>
      </c>
      <c r="G127" s="12">
        <f>IFERROR(__xludf.DUMMYFUNCTION("VLOOKUP(A127,IMPORTRANGE(""1QZ5UxyNCwadreQAXnQ7oCoH982DjIA-QnZdO7ZoqkC0/edit#gid=0"",""2018-2021!$A$2:$O$250""),2,FALSE)"),20.25)</f>
        <v>20.25</v>
      </c>
      <c r="H127" s="14">
        <f t="shared" si="4"/>
        <v>0.081</v>
      </c>
      <c r="I127" s="15">
        <f t="shared" si="5"/>
        <v>0.094</v>
      </c>
      <c r="J127" s="16">
        <f>IFERROR(__xludf.DUMMYFUNCTION("VLOOKUP(A127,IMPORTRANGE(""1QZ5UxyNCwadreQAXnQ7oCoH982DjIA-QnZdO7ZoqkC0/edit#gid=0"",""2018-2021!$A$2:$O$250""),4,FALSE)"),24.5)</f>
        <v>24.5</v>
      </c>
      <c r="K127" s="17">
        <f t="shared" si="6"/>
        <v>0.098</v>
      </c>
      <c r="L127" s="17">
        <f t="shared" si="12"/>
        <v>-0.049</v>
      </c>
      <c r="M127" s="16">
        <f>IFERROR(__xludf.DUMMYFUNCTION("VLOOKUP(A127,IMPORTRANGE(""1QZ5UxyNCwadreQAXnQ7oCoH982DjIA-QnZdO7ZoqkC0/edit#gid=0"",""2018-2021!$A$2:$O$250""),7,FALSE)"),25.0)</f>
        <v>25</v>
      </c>
      <c r="N127" s="17">
        <f t="shared" si="8"/>
        <v>0.1</v>
      </c>
      <c r="O127" s="17">
        <f t="shared" si="9"/>
        <v>0.075</v>
      </c>
      <c r="P127" s="16">
        <f>IFERROR(__xludf.DUMMYFUNCTION("VLOOKUP(A127,IMPORTRANGE(""1QZ5UxyNCwadreQAXnQ7oCoH982DjIA-QnZdO7ZoqkC0/edit#gid=0"",""2018-2021!$A$2:$O$250""),10,FALSE)"),23.0)</f>
        <v>23</v>
      </c>
      <c r="Q127" s="17">
        <f t="shared" si="10"/>
        <v>0.092</v>
      </c>
      <c r="R127" s="17">
        <f t="shared" si="11"/>
        <v>0.083</v>
      </c>
    </row>
    <row r="128">
      <c r="A128" s="19" t="s">
        <v>154</v>
      </c>
      <c r="B128" s="41">
        <f>IFERROR(__xludf.DUMMYFUNCTION("VLOOKUP(A128,IMPORTRANGE(""1EmrnCz2gLVTx5Cbj0e5tfuHPhTtmru8KTGuQvh7STl0/edit#gid=2147150001"",""Whole Data Set!$A$2:$NQ$253""),381,FALSE)"),0.0)</f>
        <v>0</v>
      </c>
      <c r="C128" s="13">
        <f t="shared" si="1"/>
        <v>0</v>
      </c>
      <c r="D128" s="12">
        <f>IFERROR(__xludf.DUMMYFUNCTION("VLOOKUP(A128,IMPORTRANGE(""1aFCnJY1qhIj8-JckJhDJ18aqmVo17tofpQmOjcYa3u8/edit#gid=948248086"",""Whole Data Set!$A$2:$NG$253""),371,FALSE)"),1.75)</f>
        <v>1.75</v>
      </c>
      <c r="E128" s="13">
        <f t="shared" si="2"/>
        <v>0.007</v>
      </c>
      <c r="F128" s="13">
        <f t="shared" si="3"/>
        <v>-0.007</v>
      </c>
      <c r="G128" s="12">
        <f>IFERROR(__xludf.DUMMYFUNCTION("VLOOKUP(A128,IMPORTRANGE(""1QZ5UxyNCwadreQAXnQ7oCoH982DjIA-QnZdO7ZoqkC0/edit#gid=0"",""2018-2021!$A$2:$O$250""),2,FALSE)"),147.5)</f>
        <v>147.5</v>
      </c>
      <c r="H128" s="14">
        <f t="shared" si="4"/>
        <v>0.59</v>
      </c>
      <c r="I128" s="15">
        <f t="shared" si="5"/>
        <v>-0.59</v>
      </c>
      <c r="J128" s="16">
        <f>IFERROR(__xludf.DUMMYFUNCTION("VLOOKUP(A128,IMPORTRANGE(""1QZ5UxyNCwadreQAXnQ7oCoH982DjIA-QnZdO7ZoqkC0/edit#gid=0"",""2018-2021!$A$2:$O$250""),4,FALSE)"),134.5)</f>
        <v>134.5</v>
      </c>
      <c r="K128" s="17">
        <f t="shared" si="6"/>
        <v>0.538</v>
      </c>
      <c r="L128" s="17">
        <f t="shared" si="12"/>
        <v>-0.531</v>
      </c>
      <c r="M128" s="16">
        <f>IFERROR(__xludf.DUMMYFUNCTION("VLOOKUP(A128,IMPORTRANGE(""1QZ5UxyNCwadreQAXnQ7oCoH982DjIA-QnZdO7ZoqkC0/edit#gid=0"",""2018-2021!$A$2:$O$250""),7,FALSE)"),103.0)</f>
        <v>103</v>
      </c>
      <c r="N128" s="17">
        <f t="shared" si="8"/>
        <v>0.412</v>
      </c>
      <c r="O128" s="17">
        <f t="shared" si="9"/>
        <v>-0.412</v>
      </c>
      <c r="P128" s="16">
        <f>IFERROR(__xludf.DUMMYFUNCTION("VLOOKUP(A128,IMPORTRANGE(""1QZ5UxyNCwadreQAXnQ7oCoH982DjIA-QnZdO7ZoqkC0/edit#gid=0"",""2018-2021!$A$2:$O$250""),10,FALSE)"),94.5)</f>
        <v>94.5</v>
      </c>
      <c r="Q128" s="17">
        <f t="shared" si="10"/>
        <v>0.378</v>
      </c>
      <c r="R128" s="17">
        <f t="shared" si="11"/>
        <v>-0.378</v>
      </c>
    </row>
    <row r="129">
      <c r="A129" s="19" t="s">
        <v>155</v>
      </c>
      <c r="B129" s="41">
        <f>IFERROR(__xludf.DUMMYFUNCTION("VLOOKUP(A129,IMPORTRANGE(""1EmrnCz2gLVTx5Cbj0e5tfuHPhTtmru8KTGuQvh7STl0/edit#gid=2147150001"",""Whole Data Set!$A$2:$NQ$253""),381,FALSE)"),162.75)</f>
        <v>162.75</v>
      </c>
      <c r="C129" s="13">
        <f t="shared" si="1"/>
        <v>0.651</v>
      </c>
      <c r="D129" s="12">
        <f>IFERROR(__xludf.DUMMYFUNCTION("VLOOKUP(A129,IMPORTRANGE(""1aFCnJY1qhIj8-JckJhDJ18aqmVo17tofpQmOjcYa3u8/edit#gid=948248086"",""Whole Data Set!$A$2:$NG$253""),371,FALSE)"),161.5)</f>
        <v>161.5</v>
      </c>
      <c r="E129" s="13">
        <f t="shared" si="2"/>
        <v>0.646</v>
      </c>
      <c r="F129" s="13">
        <f t="shared" si="3"/>
        <v>0.005</v>
      </c>
      <c r="G129" s="12">
        <f>IFERROR(__xludf.DUMMYFUNCTION("VLOOKUP(A129,IMPORTRANGE(""1QZ5UxyNCwadreQAXnQ7oCoH982DjIA-QnZdO7ZoqkC0/edit#gid=0"",""2018-2021!$A$2:$O$250""),2,FALSE)"),162.25)</f>
        <v>162.25</v>
      </c>
      <c r="H129" s="14">
        <f t="shared" si="4"/>
        <v>0.649</v>
      </c>
      <c r="I129" s="15">
        <f t="shared" si="5"/>
        <v>0.002</v>
      </c>
      <c r="J129" s="16">
        <f>IFERROR(__xludf.DUMMYFUNCTION("VLOOKUP(A129,IMPORTRANGE(""1QZ5UxyNCwadreQAXnQ7oCoH982DjIA-QnZdO7ZoqkC0/edit#gid=0"",""2018-2021!$A$2:$O$250""),4,FALSE)"),146.5)</f>
        <v>146.5</v>
      </c>
      <c r="K129" s="17">
        <f t="shared" si="6"/>
        <v>0.586</v>
      </c>
      <c r="L129" s="17">
        <f t="shared" si="12"/>
        <v>0.06</v>
      </c>
      <c r="M129" s="16">
        <f>IFERROR(__xludf.DUMMYFUNCTION("VLOOKUP(A129,IMPORTRANGE(""1QZ5UxyNCwadreQAXnQ7oCoH982DjIA-QnZdO7ZoqkC0/edit#gid=0"",""2018-2021!$A$2:$O$250""),7,FALSE)"),141.5)</f>
        <v>141.5</v>
      </c>
      <c r="N129" s="17">
        <f t="shared" si="8"/>
        <v>0.566</v>
      </c>
      <c r="O129" s="17">
        <f t="shared" si="9"/>
        <v>0.085</v>
      </c>
      <c r="P129" s="16">
        <f>IFERROR(__xludf.DUMMYFUNCTION("VLOOKUP(A129,IMPORTRANGE(""1QZ5UxyNCwadreQAXnQ7oCoH982DjIA-QnZdO7ZoqkC0/edit#gid=0"",""2018-2021!$A$2:$O$250""),10,FALSE)"),114.5)</f>
        <v>114.5</v>
      </c>
      <c r="Q129" s="17">
        <f t="shared" si="10"/>
        <v>0.458</v>
      </c>
      <c r="R129" s="17">
        <f t="shared" si="11"/>
        <v>0.193</v>
      </c>
    </row>
    <row r="130">
      <c r="A130" s="19" t="s">
        <v>156</v>
      </c>
      <c r="B130" s="41">
        <f>IFERROR(__xludf.DUMMYFUNCTION("VLOOKUP(A130,IMPORTRANGE(""1EmrnCz2gLVTx5Cbj0e5tfuHPhTtmru8KTGuQvh7STl0/edit#gid=2147150001"",""Whole Data Set!$A$2:$NQ$253""),381,FALSE)"),102.0)</f>
        <v>102</v>
      </c>
      <c r="C130" s="13">
        <f t="shared" si="1"/>
        <v>0.408</v>
      </c>
      <c r="D130" s="12">
        <f>IFERROR(__xludf.DUMMYFUNCTION("VLOOKUP(A130,IMPORTRANGE(""1aFCnJY1qhIj8-JckJhDJ18aqmVo17tofpQmOjcYa3u8/edit#gid=948248086"",""Whole Data Set!$A$2:$NG$253""),371,FALSE)"),90.75)</f>
        <v>90.75</v>
      </c>
      <c r="E130" s="13">
        <f t="shared" si="2"/>
        <v>0.363</v>
      </c>
      <c r="F130" s="13">
        <f t="shared" si="3"/>
        <v>0.045</v>
      </c>
      <c r="G130" s="12">
        <f>IFERROR(__xludf.DUMMYFUNCTION("VLOOKUP(A130,IMPORTRANGE(""1QZ5UxyNCwadreQAXnQ7oCoH982DjIA-QnZdO7ZoqkC0/edit#gid=0"",""2018-2021!$A$2:$O$250""),2,FALSE)"),64.0)</f>
        <v>64</v>
      </c>
      <c r="H130" s="14">
        <f t="shared" si="4"/>
        <v>0.256</v>
      </c>
      <c r="I130" s="15">
        <f t="shared" si="5"/>
        <v>0.152</v>
      </c>
      <c r="J130" s="16">
        <f>IFERROR(__xludf.DUMMYFUNCTION("VLOOKUP(A130,IMPORTRANGE(""1QZ5UxyNCwadreQAXnQ7oCoH982DjIA-QnZdO7ZoqkC0/edit#gid=0"",""2018-2021!$A$2:$O$250""),4,FALSE)"),74.0)</f>
        <v>74</v>
      </c>
      <c r="K130" s="17">
        <f t="shared" si="6"/>
        <v>0.296</v>
      </c>
      <c r="L130" s="17">
        <f t="shared" si="12"/>
        <v>0.067</v>
      </c>
      <c r="M130" s="16">
        <f>IFERROR(__xludf.DUMMYFUNCTION("VLOOKUP(A130,IMPORTRANGE(""1QZ5UxyNCwadreQAXnQ7oCoH982DjIA-QnZdO7ZoqkC0/edit#gid=0"",""2018-2021!$A$2:$O$250""),7,FALSE)"),70.5)</f>
        <v>70.5</v>
      </c>
      <c r="N130" s="17">
        <f t="shared" si="8"/>
        <v>0.282</v>
      </c>
      <c r="O130" s="17">
        <f t="shared" si="9"/>
        <v>0.126</v>
      </c>
      <c r="P130" s="16">
        <f>IFERROR(__xludf.DUMMYFUNCTION("VLOOKUP(A130,IMPORTRANGE(""1QZ5UxyNCwadreQAXnQ7oCoH982DjIA-QnZdO7ZoqkC0/edit#gid=0"",""2018-2021!$A$2:$O$250""),10,FALSE)"),50.0)</f>
        <v>50</v>
      </c>
      <c r="Q130" s="17">
        <f t="shared" si="10"/>
        <v>0.2</v>
      </c>
      <c r="R130" s="17">
        <f t="shared" si="11"/>
        <v>0.208</v>
      </c>
    </row>
    <row r="131">
      <c r="A131" s="19" t="s">
        <v>157</v>
      </c>
      <c r="B131" s="41">
        <f>IFERROR(__xludf.DUMMYFUNCTION("VLOOKUP(A131,IMPORTRANGE(""1EmrnCz2gLVTx5Cbj0e5tfuHPhTtmru8KTGuQvh7STl0/edit#gid=2147150001"",""Whole Data Set!$A$2:$NQ$253""),381,FALSE)"),58.75)</f>
        <v>58.75</v>
      </c>
      <c r="C131" s="13">
        <f t="shared" si="1"/>
        <v>0.235</v>
      </c>
      <c r="D131" s="12">
        <f>IFERROR(__xludf.DUMMYFUNCTION("VLOOKUP(A131,IMPORTRANGE(""1aFCnJY1qhIj8-JckJhDJ18aqmVo17tofpQmOjcYa3u8/edit#gid=948248086"",""Whole Data Set!$A$2:$NG$253""),371,FALSE)"),33.0)</f>
        <v>33</v>
      </c>
      <c r="E131" s="13">
        <f t="shared" si="2"/>
        <v>0.132</v>
      </c>
      <c r="F131" s="13">
        <f t="shared" si="3"/>
        <v>0.103</v>
      </c>
      <c r="G131" s="12">
        <f>IFERROR(__xludf.DUMMYFUNCTION("VLOOKUP(A131,IMPORTRANGE(""1QZ5UxyNCwadreQAXnQ7oCoH982DjIA-QnZdO7ZoqkC0/edit#gid=0"",""2018-2021!$A$2:$O$250""),2,FALSE)"),39.0)</f>
        <v>39</v>
      </c>
      <c r="H131" s="14">
        <f t="shared" si="4"/>
        <v>0.156</v>
      </c>
      <c r="I131" s="15">
        <f t="shared" si="5"/>
        <v>0.079</v>
      </c>
      <c r="J131" s="16">
        <f>IFERROR(__xludf.DUMMYFUNCTION("VLOOKUP(A131,IMPORTRANGE(""1QZ5UxyNCwadreQAXnQ7oCoH982DjIA-QnZdO7ZoqkC0/edit#gid=0"",""2018-2021!$A$2:$O$250""),4,FALSE)"),14.5)</f>
        <v>14.5</v>
      </c>
      <c r="K131" s="17">
        <f t="shared" si="6"/>
        <v>0.058</v>
      </c>
      <c r="L131" s="17">
        <f t="shared" si="12"/>
        <v>0.074</v>
      </c>
      <c r="M131" s="16">
        <f>IFERROR(__xludf.DUMMYFUNCTION("VLOOKUP(A131,IMPORTRANGE(""1QZ5UxyNCwadreQAXnQ7oCoH982DjIA-QnZdO7ZoqkC0/edit#gid=0"",""2018-2021!$A$2:$O$250""),7,FALSE)"),21.5)</f>
        <v>21.5</v>
      </c>
      <c r="N131" s="17">
        <f t="shared" si="8"/>
        <v>0.086</v>
      </c>
      <c r="O131" s="17">
        <f t="shared" si="9"/>
        <v>0.149</v>
      </c>
      <c r="P131" s="16">
        <f>IFERROR(__xludf.DUMMYFUNCTION("VLOOKUP(A131,IMPORTRANGE(""1QZ5UxyNCwadreQAXnQ7oCoH982DjIA-QnZdO7ZoqkC0/edit#gid=0"",""2018-2021!$A$2:$O$250""),10,FALSE)"),10.5)</f>
        <v>10.5</v>
      </c>
      <c r="Q131" s="17">
        <f t="shared" si="10"/>
        <v>0.042</v>
      </c>
      <c r="R131" s="17">
        <f t="shared" si="11"/>
        <v>0.193</v>
      </c>
    </row>
    <row r="132">
      <c r="A132" s="42" t="s">
        <v>105</v>
      </c>
      <c r="B132" s="41">
        <f>IFERROR(__xludf.DUMMYFUNCTION("VLOOKUP(A132,IMPORTRANGE(""1EmrnCz2gLVTx5Cbj0e5tfuHPhTtmru8KTGuQvh7STl0/edit#gid=2147150001"",""Whole Data Set!$A$2:$NQ$253""),381,FALSE)"),47.25)</f>
        <v>47.25</v>
      </c>
      <c r="C132" s="13">
        <f t="shared" si="1"/>
        <v>0.189</v>
      </c>
      <c r="D132" s="12">
        <f>IFERROR(__xludf.DUMMYFUNCTION("VLOOKUP(A132,IMPORTRANGE(""1aFCnJY1qhIj8-JckJhDJ18aqmVo17tofpQmOjcYa3u8/edit#gid=948248086"",""Whole Data Set!$A$2:$NG$253""),371,FALSE)"),44.75)</f>
        <v>44.75</v>
      </c>
      <c r="E132" s="13">
        <f t="shared" si="2"/>
        <v>0.179</v>
      </c>
      <c r="F132" s="13">
        <f t="shared" si="3"/>
        <v>0.01</v>
      </c>
      <c r="G132" s="12">
        <f>IFERROR(__xludf.DUMMYFUNCTION("VLOOKUP(A132,IMPORTRANGE(""1QZ5UxyNCwadreQAXnQ7oCoH982DjIA-QnZdO7ZoqkC0/edit#gid=0"",""2018-2021!$A$2:$O$250""),2,FALSE)"),54.0)</f>
        <v>54</v>
      </c>
      <c r="H132" s="14">
        <f t="shared" si="4"/>
        <v>0.216</v>
      </c>
      <c r="I132" s="15">
        <f t="shared" si="5"/>
        <v>-0.027</v>
      </c>
      <c r="J132" s="16">
        <f>IFERROR(__xludf.DUMMYFUNCTION("VLOOKUP(A132,IMPORTRANGE(""1QZ5UxyNCwadreQAXnQ7oCoH982DjIA-QnZdO7ZoqkC0/edit#gid=0"",""2018-2021!$A$2:$O$250""),4,FALSE)"),53.0)</f>
        <v>53</v>
      </c>
      <c r="K132" s="17">
        <f t="shared" si="6"/>
        <v>0.212</v>
      </c>
      <c r="L132" s="17">
        <f t="shared" si="12"/>
        <v>-0.033</v>
      </c>
      <c r="M132" s="16">
        <f>IFERROR(__xludf.DUMMYFUNCTION("VLOOKUP(A132,IMPORTRANGE(""1QZ5UxyNCwadreQAXnQ7oCoH982DjIA-QnZdO7ZoqkC0/edit#gid=0"",""2018-2021!$A$2:$O$250""),7,FALSE)"),58.0)</f>
        <v>58</v>
      </c>
      <c r="N132" s="17">
        <f t="shared" si="8"/>
        <v>0.232</v>
      </c>
      <c r="O132" s="17">
        <f t="shared" si="9"/>
        <v>-0.043</v>
      </c>
      <c r="P132" s="16">
        <f>IFERROR(__xludf.DUMMYFUNCTION("VLOOKUP(A132,IMPORTRANGE(""1QZ5UxyNCwadreQAXnQ7oCoH982DjIA-QnZdO7ZoqkC0/edit#gid=0"",""2018-2021!$A$2:$O$250""),10,FALSE)"),48.0)</f>
        <v>48</v>
      </c>
      <c r="Q132" s="17">
        <f t="shared" si="10"/>
        <v>0.192</v>
      </c>
      <c r="R132" s="17">
        <f t="shared" si="11"/>
        <v>-0.003</v>
      </c>
    </row>
    <row r="133">
      <c r="A133" s="19" t="s">
        <v>56</v>
      </c>
      <c r="B133" s="41">
        <f>IFERROR(__xludf.DUMMYFUNCTION("VLOOKUP(A133,IMPORTRANGE(""1EmrnCz2gLVTx5Cbj0e5tfuHPhTtmru8KTGuQvh7STl0/edit#gid=2147150001"",""Whole Data Set!$A$2:$NQ$253""),381,FALSE)"),57.0)</f>
        <v>57</v>
      </c>
      <c r="C133" s="13">
        <f t="shared" si="1"/>
        <v>0.228</v>
      </c>
      <c r="D133" s="12">
        <f>IFERROR(__xludf.DUMMYFUNCTION("VLOOKUP(A133,IMPORTRANGE(""1aFCnJY1qhIj8-JckJhDJ18aqmVo17tofpQmOjcYa3u8/edit#gid=948248086"",""Whole Data Set!$A$2:$NG$253""),371,FALSE)"),60.5)</f>
        <v>60.5</v>
      </c>
      <c r="E133" s="13">
        <f t="shared" si="2"/>
        <v>0.242</v>
      </c>
      <c r="F133" s="13">
        <f t="shared" si="3"/>
        <v>-0.014</v>
      </c>
      <c r="G133" s="12">
        <f>IFERROR(__xludf.DUMMYFUNCTION("VLOOKUP(A133,IMPORTRANGE(""1QZ5UxyNCwadreQAXnQ7oCoH982DjIA-QnZdO7ZoqkC0/edit#gid=0"",""2018-2021!$A$2:$O$250""),2,FALSE)"),64.25)</f>
        <v>64.25</v>
      </c>
      <c r="H133" s="14">
        <f t="shared" si="4"/>
        <v>0.257</v>
      </c>
      <c r="I133" s="15">
        <f t="shared" si="5"/>
        <v>-0.029</v>
      </c>
      <c r="J133" s="16">
        <f>IFERROR(__xludf.DUMMYFUNCTION("VLOOKUP(A133,IMPORTRANGE(""1QZ5UxyNCwadreQAXnQ7oCoH982DjIA-QnZdO7ZoqkC0/edit#gid=0"",""2018-2021!$A$2:$O$250""),4,FALSE)"),70.0)</f>
        <v>70</v>
      </c>
      <c r="K133" s="17">
        <f t="shared" si="6"/>
        <v>0.28</v>
      </c>
      <c r="L133" s="17">
        <f t="shared" si="12"/>
        <v>-0.038</v>
      </c>
      <c r="M133" s="16">
        <f>IFERROR(__xludf.DUMMYFUNCTION("VLOOKUP(A133,IMPORTRANGE(""1QZ5UxyNCwadreQAXnQ7oCoH982DjIA-QnZdO7ZoqkC0/edit#gid=0"",""2018-2021!$A$2:$O$250""),7,FALSE)"),67.5)</f>
        <v>67.5</v>
      </c>
      <c r="N133" s="17">
        <f t="shared" si="8"/>
        <v>0.27</v>
      </c>
      <c r="O133" s="17">
        <f t="shared" si="9"/>
        <v>-0.042</v>
      </c>
      <c r="P133" s="16">
        <f>IFERROR(__xludf.DUMMYFUNCTION("VLOOKUP(A133,IMPORTRANGE(""1QZ5UxyNCwadreQAXnQ7oCoH982DjIA-QnZdO7ZoqkC0/edit#gid=0"",""2018-2021!$A$2:$O$250""),10,FALSE)"),62.5)</f>
        <v>62.5</v>
      </c>
      <c r="Q133" s="17">
        <f t="shared" si="10"/>
        <v>0.25</v>
      </c>
      <c r="R133" s="17">
        <f t="shared" si="11"/>
        <v>-0.022</v>
      </c>
    </row>
    <row r="134">
      <c r="A134" s="19" t="s">
        <v>107</v>
      </c>
      <c r="B134" s="41">
        <f>IFERROR(__xludf.DUMMYFUNCTION("VLOOKUP(A134,IMPORTRANGE(""1EmrnCz2gLVTx5Cbj0e5tfuHPhTtmru8KTGuQvh7STl0/edit#gid=2147150001"",""Whole Data Set!$A$2:$NQ$253""),381,FALSE)"),82.25)</f>
        <v>82.25</v>
      </c>
      <c r="C134" s="13">
        <f t="shared" si="1"/>
        <v>0.329</v>
      </c>
      <c r="D134" s="12">
        <f>IFERROR(__xludf.DUMMYFUNCTION("VLOOKUP(A134,IMPORTRANGE(""1aFCnJY1qhIj8-JckJhDJ18aqmVo17tofpQmOjcYa3u8/edit#gid=948248086"",""Whole Data Set!$A$2:$NG$253""),371,FALSE)"),111.25)</f>
        <v>111.25</v>
      </c>
      <c r="E134" s="13">
        <f t="shared" si="2"/>
        <v>0.445</v>
      </c>
      <c r="F134" s="13">
        <f t="shared" si="3"/>
        <v>-0.116</v>
      </c>
      <c r="G134" s="12">
        <f>IFERROR(__xludf.DUMMYFUNCTION("VLOOKUP(A134,IMPORTRANGE(""1QZ5UxyNCwadreQAXnQ7oCoH982DjIA-QnZdO7ZoqkC0/edit#gid=0"",""2018-2021!$A$2:$O$250""),2,FALSE)"),85.5)</f>
        <v>85.5</v>
      </c>
      <c r="H134" s="14">
        <f t="shared" si="4"/>
        <v>0.342</v>
      </c>
      <c r="I134" s="15">
        <f t="shared" si="5"/>
        <v>-0.013</v>
      </c>
      <c r="J134" s="16">
        <f>IFERROR(__xludf.DUMMYFUNCTION("VLOOKUP(A134,IMPORTRANGE(""1QZ5UxyNCwadreQAXnQ7oCoH982DjIA-QnZdO7ZoqkC0/edit#gid=0"",""2018-2021!$A$2:$O$250""),4,FALSE)"),146.5)</f>
        <v>146.5</v>
      </c>
      <c r="K134" s="17">
        <f t="shared" si="6"/>
        <v>0.586</v>
      </c>
      <c r="L134" s="17">
        <f t="shared" si="12"/>
        <v>-0.141</v>
      </c>
      <c r="M134" s="16">
        <f>IFERROR(__xludf.DUMMYFUNCTION("VLOOKUP(A134,IMPORTRANGE(""1QZ5UxyNCwadreQAXnQ7oCoH982DjIA-QnZdO7ZoqkC0/edit#gid=0"",""2018-2021!$A$2:$O$250""),7,FALSE)"),141.5)</f>
        <v>141.5</v>
      </c>
      <c r="N134" s="17">
        <f t="shared" si="8"/>
        <v>0.566</v>
      </c>
      <c r="O134" s="17">
        <f t="shared" si="9"/>
        <v>-0.237</v>
      </c>
      <c r="P134" s="16">
        <f>IFERROR(__xludf.DUMMYFUNCTION("VLOOKUP(A134,IMPORTRANGE(""1QZ5UxyNCwadreQAXnQ7oCoH982DjIA-QnZdO7ZoqkC0/edit#gid=0"",""2018-2021!$A$2:$O$250""),10,FALSE)"),114.5)</f>
        <v>114.5</v>
      </c>
      <c r="Q134" s="17">
        <f t="shared" si="10"/>
        <v>0.458</v>
      </c>
      <c r="R134" s="17">
        <f t="shared" si="11"/>
        <v>-0.129</v>
      </c>
    </row>
    <row r="135">
      <c r="A135" s="19" t="s">
        <v>158</v>
      </c>
      <c r="B135" s="41">
        <f>IFERROR(__xludf.DUMMYFUNCTION("VLOOKUP(A135,IMPORTRANGE(""1EmrnCz2gLVTx5Cbj0e5tfuHPhTtmru8KTGuQvh7STl0/edit#gid=2147150001"",""Whole Data Set!$A$2:$NQ$253""),381,FALSE)"),0.0)</f>
        <v>0</v>
      </c>
      <c r="C135" s="13">
        <f t="shared" si="1"/>
        <v>0</v>
      </c>
      <c r="D135" s="12">
        <f>IFERROR(__xludf.DUMMYFUNCTION("VLOOKUP(A135,IMPORTRANGE(""1aFCnJY1qhIj8-JckJhDJ18aqmVo17tofpQmOjcYa3u8/edit#gid=948248086"",""Whole Data Set!$A$2:$NG$253""),371,FALSE)"),0.0)</f>
        <v>0</v>
      </c>
      <c r="E135" s="13">
        <f t="shared" si="2"/>
        <v>0</v>
      </c>
      <c r="F135" s="13">
        <f t="shared" si="3"/>
        <v>0</v>
      </c>
      <c r="G135" s="12">
        <f>IFERROR(__xludf.DUMMYFUNCTION("VLOOKUP(A135,IMPORTRANGE(""1QZ5UxyNCwadreQAXnQ7oCoH982DjIA-QnZdO7ZoqkC0/edit#gid=0"",""2018-2021!$A$2:$O$250""),2,FALSE)"),0.0)</f>
        <v>0</v>
      </c>
      <c r="H135" s="14">
        <f t="shared" si="4"/>
        <v>0</v>
      </c>
      <c r="I135" s="15">
        <f t="shared" si="5"/>
        <v>0</v>
      </c>
      <c r="J135" s="16">
        <f>IFERROR(__xludf.DUMMYFUNCTION("VLOOKUP(A135,IMPORTRANGE(""1QZ5UxyNCwadreQAXnQ7oCoH982DjIA-QnZdO7ZoqkC0/edit#gid=0"",""2018-2021!$A$2:$O$250""),4,FALSE)"),0.0)</f>
        <v>0</v>
      </c>
      <c r="K135" s="17">
        <f t="shared" si="6"/>
        <v>0</v>
      </c>
      <c r="L135" s="17">
        <f t="shared" si="12"/>
        <v>0</v>
      </c>
      <c r="M135" s="16">
        <f>IFERROR(__xludf.DUMMYFUNCTION("VLOOKUP(A135,IMPORTRANGE(""1QZ5UxyNCwadreQAXnQ7oCoH982DjIA-QnZdO7ZoqkC0/edit#gid=0"",""2018-2021!$A$2:$O$250""),7,FALSE)"),0.0)</f>
        <v>0</v>
      </c>
      <c r="N135" s="17">
        <f t="shared" si="8"/>
        <v>0</v>
      </c>
      <c r="O135" s="17">
        <f t="shared" si="9"/>
        <v>0</v>
      </c>
      <c r="P135" s="16">
        <f>IFERROR(__xludf.DUMMYFUNCTION("VLOOKUP(A135,IMPORTRANGE(""1QZ5UxyNCwadreQAXnQ7oCoH982DjIA-QnZdO7ZoqkC0/edit#gid=0"",""2018-2021!$A$2:$O$250""),10,FALSE)"),6.5)</f>
        <v>6.5</v>
      </c>
      <c r="Q135" s="17">
        <f t="shared" si="10"/>
        <v>0.026</v>
      </c>
      <c r="R135" s="17">
        <f t="shared" si="11"/>
        <v>-0.026</v>
      </c>
    </row>
    <row r="136">
      <c r="A136" s="19" t="s">
        <v>108</v>
      </c>
      <c r="B136" s="41">
        <f>IFERROR(__xludf.DUMMYFUNCTION("VLOOKUP(A136,IMPORTRANGE(""1EmrnCz2gLVTx5Cbj0e5tfuHPhTtmru8KTGuQvh7STl0/edit#gid=2147150001"",""Whole Data Set!$A$2:$NQ$253""),381,FALSE)"),99.75)</f>
        <v>99.75</v>
      </c>
      <c r="C136" s="13">
        <f t="shared" si="1"/>
        <v>0.399</v>
      </c>
      <c r="D136" s="12">
        <f>IFERROR(__xludf.DUMMYFUNCTION("VLOOKUP(A136,IMPORTRANGE(""1aFCnJY1qhIj8-JckJhDJ18aqmVo17tofpQmOjcYa3u8/edit#gid=948248086"",""Whole Data Set!$A$2:$NG$253""),371,FALSE)"),110.0)</f>
        <v>110</v>
      </c>
      <c r="E136" s="13">
        <f t="shared" si="2"/>
        <v>0.44</v>
      </c>
      <c r="F136" s="13">
        <f t="shared" si="3"/>
        <v>-0.041</v>
      </c>
      <c r="G136" s="12">
        <f>IFERROR(__xludf.DUMMYFUNCTION("VLOOKUP(A136,IMPORTRANGE(""1QZ5UxyNCwadreQAXnQ7oCoH982DjIA-QnZdO7ZoqkC0/edit#gid=0"",""2018-2021!$A$2:$O$250""),2,FALSE)"),112.25)</f>
        <v>112.25</v>
      </c>
      <c r="H136" s="14">
        <f t="shared" si="4"/>
        <v>0.449</v>
      </c>
      <c r="I136" s="15">
        <f t="shared" si="5"/>
        <v>-0.05</v>
      </c>
      <c r="J136" s="16">
        <f>IFERROR(__xludf.DUMMYFUNCTION("VLOOKUP(A136,IMPORTRANGE(""1QZ5UxyNCwadreQAXnQ7oCoH982DjIA-QnZdO7ZoqkC0/edit#gid=0"",""2018-2021!$A$2:$O$250""),4,FALSE)"),97.5)</f>
        <v>97.5</v>
      </c>
      <c r="K136" s="17">
        <f t="shared" si="6"/>
        <v>0.39</v>
      </c>
      <c r="L136" s="17">
        <f t="shared" si="12"/>
        <v>0.05</v>
      </c>
      <c r="M136" s="16">
        <f>IFERROR(__xludf.DUMMYFUNCTION("VLOOKUP(A136,IMPORTRANGE(""1QZ5UxyNCwadreQAXnQ7oCoH982DjIA-QnZdO7ZoqkC0/edit#gid=0"",""2018-2021!$A$2:$O$250""),7,FALSE)"),70.0)</f>
        <v>70</v>
      </c>
      <c r="N136" s="17">
        <f t="shared" si="8"/>
        <v>0.28</v>
      </c>
      <c r="O136" s="17">
        <f t="shared" si="9"/>
        <v>0.119</v>
      </c>
      <c r="P136" s="16">
        <f>IFERROR(__xludf.DUMMYFUNCTION("VLOOKUP(A136,IMPORTRANGE(""1QZ5UxyNCwadreQAXnQ7oCoH982DjIA-QnZdO7ZoqkC0/edit#gid=0"",""2018-2021!$A$2:$O$250""),10,FALSE)"),67.5)</f>
        <v>67.5</v>
      </c>
      <c r="Q136" s="17">
        <f t="shared" si="10"/>
        <v>0.27</v>
      </c>
      <c r="R136" s="17">
        <f t="shared" si="11"/>
        <v>0.129</v>
      </c>
    </row>
    <row r="137">
      <c r="A137" s="19" t="s">
        <v>109</v>
      </c>
      <c r="B137" s="41">
        <f>IFERROR(__xludf.DUMMYFUNCTION("VLOOKUP(A137,IMPORTRANGE(""1EmrnCz2gLVTx5Cbj0e5tfuHPhTtmru8KTGuQvh7STl0/edit#gid=2147150001"",""Whole Data Set!$A$2:$NQ$253""),381,FALSE)"),124.5)</f>
        <v>124.5</v>
      </c>
      <c r="C137" s="13">
        <f t="shared" si="1"/>
        <v>0.498</v>
      </c>
      <c r="D137" s="12">
        <f>IFERROR(__xludf.DUMMYFUNCTION("VLOOKUP(A137,IMPORTRANGE(""1aFCnJY1qhIj8-JckJhDJ18aqmVo17tofpQmOjcYa3u8/edit#gid=948248086"",""Whole Data Set!$A$2:$NG$253""),371,FALSE)"),107.75)</f>
        <v>107.75</v>
      </c>
      <c r="E137" s="13">
        <f t="shared" si="2"/>
        <v>0.431</v>
      </c>
      <c r="F137" s="13">
        <f t="shared" si="3"/>
        <v>0.067</v>
      </c>
      <c r="G137" s="12">
        <f>IFERROR(__xludf.DUMMYFUNCTION("VLOOKUP(A137,IMPORTRANGE(""1QZ5UxyNCwadreQAXnQ7oCoH982DjIA-QnZdO7ZoqkC0/edit#gid=0"",""2018-2021!$A$2:$O$250""),2,FALSE)"),89.5)</f>
        <v>89.5</v>
      </c>
      <c r="H137" s="14">
        <f t="shared" si="4"/>
        <v>0.358</v>
      </c>
      <c r="I137" s="15">
        <f t="shared" si="5"/>
        <v>0.14</v>
      </c>
      <c r="J137" s="16">
        <f>IFERROR(__xludf.DUMMYFUNCTION("VLOOKUP(A137,IMPORTRANGE(""1QZ5UxyNCwadreQAXnQ7oCoH982DjIA-QnZdO7ZoqkC0/edit#gid=0"",""2018-2021!$A$2:$O$250""),4,FALSE)"),110.5)</f>
        <v>110.5</v>
      </c>
      <c r="K137" s="17">
        <f t="shared" si="6"/>
        <v>0.442</v>
      </c>
      <c r="L137" s="17">
        <f t="shared" si="12"/>
        <v>-0.011</v>
      </c>
      <c r="M137" s="16">
        <f>IFERROR(__xludf.DUMMYFUNCTION("VLOOKUP(A137,IMPORTRANGE(""1QZ5UxyNCwadreQAXnQ7oCoH982DjIA-QnZdO7ZoqkC0/edit#gid=0"",""2018-2021!$A$2:$O$250""),7,FALSE)"),114.0)</f>
        <v>114</v>
      </c>
      <c r="N137" s="17">
        <f t="shared" si="8"/>
        <v>0.456</v>
      </c>
      <c r="O137" s="17">
        <f t="shared" si="9"/>
        <v>0.042</v>
      </c>
      <c r="P137" s="16">
        <f>IFERROR(__xludf.DUMMYFUNCTION("VLOOKUP(A137,IMPORTRANGE(""1QZ5UxyNCwadreQAXnQ7oCoH982DjIA-QnZdO7ZoqkC0/edit#gid=0"",""2018-2021!$A$2:$O$250""),10,FALSE)"),105.0)</f>
        <v>105</v>
      </c>
      <c r="Q137" s="17">
        <f t="shared" si="10"/>
        <v>0.42</v>
      </c>
      <c r="R137" s="17">
        <f t="shared" si="11"/>
        <v>0.078</v>
      </c>
    </row>
    <row r="138">
      <c r="A138" s="43"/>
      <c r="B138" s="44">
        <f t="shared" ref="B138:E138" si="13">AVERAGE(B2:B137)</f>
        <v>79.81617647</v>
      </c>
      <c r="C138" s="45">
        <f t="shared" si="13"/>
        <v>0.3192647059</v>
      </c>
      <c r="D138" s="46">
        <f t="shared" si="13"/>
        <v>73.96139706</v>
      </c>
      <c r="E138" s="47">
        <f t="shared" si="13"/>
        <v>0.2958455882</v>
      </c>
      <c r="F138" s="28">
        <f t="shared" si="3"/>
        <v>0.02341911765</v>
      </c>
      <c r="G138" s="48">
        <f t="shared" ref="G138:H138" si="14">AVERAGE(G2:G137)</f>
        <v>72.11397059</v>
      </c>
      <c r="H138" s="49">
        <f t="shared" si="14"/>
        <v>0.2884558824</v>
      </c>
      <c r="I138" s="28">
        <f t="shared" si="5"/>
        <v>0.03080882353</v>
      </c>
      <c r="J138" s="50">
        <f t="shared" ref="J138:K138" si="15">AVERAGE(J2:J137)</f>
        <v>73.50735294</v>
      </c>
      <c r="K138" s="51">
        <f t="shared" si="15"/>
        <v>0.2940294118</v>
      </c>
      <c r="L138" s="28">
        <f>C138-K138</f>
        <v>0.02523529412</v>
      </c>
      <c r="M138" s="52">
        <f t="shared" ref="M138:N138" si="16">AVERAGE(M2:M137)</f>
        <v>64.85661765</v>
      </c>
      <c r="N138" s="30">
        <f t="shared" si="16"/>
        <v>0.2594264706</v>
      </c>
      <c r="O138" s="28">
        <f t="shared" si="9"/>
        <v>0.05983823529</v>
      </c>
      <c r="P138" s="53">
        <f t="shared" ref="P138:Q138" si="17">AVERAGE(P2:P137)</f>
        <v>55.3125</v>
      </c>
      <c r="Q138" s="54">
        <f t="shared" si="17"/>
        <v>0.22125</v>
      </c>
      <c r="R138" s="28">
        <f t="shared" si="11"/>
        <v>0.09801470588</v>
      </c>
    </row>
    <row r="139">
      <c r="A139" s="55"/>
      <c r="B139" s="55"/>
      <c r="C139" s="55"/>
      <c r="D139" s="34"/>
      <c r="H139" s="36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>
      <c r="D140" s="34"/>
      <c r="H140" s="36"/>
      <c r="I140" s="36"/>
      <c r="J140" s="36"/>
      <c r="K140" s="36"/>
      <c r="L140" s="36"/>
      <c r="M140" s="36"/>
      <c r="N140" s="10"/>
      <c r="O140" s="36"/>
      <c r="P140" s="36"/>
      <c r="Q140" s="36"/>
      <c r="R140" s="36"/>
    </row>
    <row r="141">
      <c r="A141" s="55"/>
      <c r="B141" s="55"/>
      <c r="C141" s="55"/>
      <c r="D141" s="34"/>
      <c r="H141" s="36"/>
      <c r="I141" s="36"/>
      <c r="J141" s="36"/>
      <c r="K141" s="36"/>
      <c r="L141" s="36"/>
      <c r="M141" s="36"/>
      <c r="N141" s="10"/>
      <c r="O141" s="36"/>
      <c r="P141" s="36"/>
      <c r="Q141" s="36"/>
      <c r="R141" s="36"/>
    </row>
    <row r="142">
      <c r="A142" s="55"/>
      <c r="B142" s="55"/>
      <c r="C142" s="55"/>
      <c r="D142" s="34"/>
      <c r="H142" s="36"/>
      <c r="I142" s="36"/>
      <c r="J142" s="36"/>
      <c r="K142" s="36"/>
      <c r="L142" s="36"/>
      <c r="M142" s="36"/>
      <c r="N142" s="10"/>
      <c r="O142" s="36"/>
      <c r="P142" s="36"/>
      <c r="Q142" s="36"/>
      <c r="R142" s="36"/>
    </row>
    <row r="143">
      <c r="A143" s="33"/>
      <c r="B143" s="33"/>
      <c r="C143" s="33"/>
      <c r="D143" s="34"/>
      <c r="H143" s="36"/>
      <c r="I143" s="36"/>
      <c r="J143" s="36"/>
      <c r="K143" s="36"/>
      <c r="L143" s="36"/>
      <c r="M143" s="36"/>
      <c r="N143" s="10"/>
      <c r="O143" s="36"/>
      <c r="P143" s="36"/>
      <c r="Q143" s="36"/>
      <c r="R143" s="36"/>
    </row>
    <row r="144">
      <c r="D144" s="34"/>
      <c r="H144" s="36"/>
      <c r="I144" s="36"/>
      <c r="J144" s="36"/>
      <c r="K144" s="36"/>
      <c r="L144" s="36"/>
      <c r="M144" s="36"/>
      <c r="N144" s="10"/>
      <c r="O144" s="36"/>
      <c r="P144" s="36"/>
      <c r="Q144" s="36"/>
      <c r="R144" s="36"/>
    </row>
    <row r="145">
      <c r="A145" s="33"/>
      <c r="B145" s="33"/>
      <c r="C145" s="33"/>
      <c r="D145" s="34"/>
      <c r="H145" s="36"/>
      <c r="I145" s="36"/>
      <c r="J145" s="36"/>
      <c r="K145" s="36"/>
      <c r="L145" s="36"/>
      <c r="M145" s="36"/>
      <c r="N145" s="10"/>
      <c r="O145" s="36"/>
      <c r="P145" s="36"/>
      <c r="Q145" s="36"/>
      <c r="R145" s="36"/>
    </row>
    <row r="146">
      <c r="A146" s="33"/>
      <c r="B146" s="33"/>
      <c r="C146" s="33"/>
      <c r="D146" s="34"/>
      <c r="H146" s="36"/>
      <c r="I146" s="36"/>
      <c r="J146" s="36"/>
      <c r="K146" s="36"/>
      <c r="L146" s="36"/>
      <c r="M146" s="36"/>
      <c r="N146" s="10"/>
      <c r="O146" s="36"/>
      <c r="P146" s="36"/>
      <c r="Q146" s="36"/>
      <c r="R146" s="36"/>
    </row>
    <row r="147">
      <c r="D147" s="34"/>
      <c r="H147" s="36"/>
      <c r="I147" s="36"/>
      <c r="J147" s="36"/>
      <c r="K147" s="36"/>
      <c r="L147" s="36"/>
      <c r="M147" s="36"/>
      <c r="N147" s="10"/>
      <c r="O147" s="36"/>
      <c r="P147" s="36"/>
      <c r="Q147" s="36"/>
      <c r="R147" s="36"/>
    </row>
    <row r="148">
      <c r="A148" s="55"/>
      <c r="B148" s="55"/>
      <c r="C148" s="55"/>
      <c r="D148" s="34"/>
      <c r="H148" s="36"/>
      <c r="I148" s="36"/>
      <c r="J148" s="36"/>
      <c r="K148" s="36"/>
      <c r="L148" s="36"/>
      <c r="M148" s="36"/>
      <c r="N148" s="10"/>
      <c r="O148" s="36"/>
      <c r="P148" s="36"/>
      <c r="Q148" s="36"/>
      <c r="R148" s="36"/>
    </row>
    <row r="149">
      <c r="D149" s="34"/>
      <c r="H149" s="36"/>
      <c r="I149" s="36"/>
      <c r="J149" s="36"/>
      <c r="K149" s="36"/>
      <c r="L149" s="36"/>
      <c r="M149" s="36"/>
      <c r="N149" s="10"/>
      <c r="O149" s="36"/>
      <c r="P149" s="36"/>
      <c r="Q149" s="36"/>
      <c r="R149" s="36"/>
    </row>
    <row r="150">
      <c r="D150" s="34"/>
      <c r="H150" s="36"/>
      <c r="I150" s="36"/>
      <c r="J150" s="36"/>
      <c r="K150" s="36"/>
      <c r="L150" s="36"/>
      <c r="M150" s="36"/>
      <c r="N150" s="10"/>
      <c r="O150" s="36"/>
      <c r="P150" s="36"/>
      <c r="Q150" s="36"/>
      <c r="R150" s="36"/>
    </row>
    <row r="151">
      <c r="A151" s="33"/>
      <c r="B151" s="33"/>
      <c r="C151" s="33"/>
      <c r="D151" s="34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>
      <c r="A152" s="33"/>
      <c r="B152" s="33"/>
      <c r="C152" s="33"/>
      <c r="D152" s="34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</row>
    <row r="153">
      <c r="A153" s="55"/>
      <c r="B153" s="55"/>
      <c r="C153" s="55"/>
      <c r="D153" s="34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>
      <c r="D154" s="34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>
      <c r="D155" s="34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>
      <c r="A156" s="33"/>
      <c r="B156" s="33"/>
      <c r="C156" s="33"/>
      <c r="D156" s="34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</row>
    <row r="157">
      <c r="D157" s="34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>
      <c r="D158" s="34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>
      <c r="D159" s="34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</row>
    <row r="160">
      <c r="A160" s="33"/>
      <c r="B160" s="33"/>
      <c r="C160" s="33"/>
      <c r="D160" s="34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</row>
    <row r="161">
      <c r="A161" s="33"/>
      <c r="B161" s="33"/>
      <c r="C161" s="33"/>
      <c r="D161" s="34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>
      <c r="A162" s="33"/>
      <c r="B162" s="33"/>
      <c r="C162" s="33"/>
      <c r="D162" s="34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>
      <c r="A163" s="33"/>
      <c r="B163" s="33"/>
      <c r="C163" s="33"/>
      <c r="D163" s="34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>
      <c r="A164" s="55"/>
      <c r="B164" s="55"/>
      <c r="C164" s="55"/>
      <c r="D164" s="34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>
      <c r="A165" s="55"/>
      <c r="B165" s="55"/>
      <c r="C165" s="55"/>
      <c r="D165" s="34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>
      <c r="A166" s="33"/>
      <c r="B166" s="33"/>
      <c r="C166" s="33"/>
      <c r="D166" s="34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>
      <c r="A167" s="55"/>
      <c r="B167" s="55"/>
      <c r="C167" s="55"/>
      <c r="D167" s="34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>
      <c r="D168" s="34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</row>
    <row r="169">
      <c r="A169" s="33"/>
      <c r="B169" s="33"/>
      <c r="C169" s="33"/>
      <c r="D169" s="34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>
      <c r="D170" s="34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>
      <c r="D171" s="34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>
      <c r="D172" s="34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>
      <c r="D173" s="34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>
      <c r="A174" s="55"/>
      <c r="B174" s="55"/>
      <c r="C174" s="55"/>
      <c r="D174" s="34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>
      <c r="D175" s="34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</row>
    <row r="176">
      <c r="A176" s="55"/>
      <c r="B176" s="55"/>
      <c r="C176" s="55"/>
      <c r="D176" s="34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>
      <c r="D177" s="34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>
      <c r="A178" s="55"/>
      <c r="B178" s="55"/>
      <c r="C178" s="55"/>
      <c r="D178" s="34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>
      <c r="A179" s="55"/>
      <c r="B179" s="55"/>
      <c r="C179" s="55"/>
      <c r="D179" s="34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</row>
    <row r="180">
      <c r="D180" s="34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</row>
    <row r="181">
      <c r="A181" s="55"/>
      <c r="B181" s="55"/>
      <c r="C181" s="55"/>
      <c r="D181" s="34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>
      <c r="A182" s="33"/>
      <c r="B182" s="33"/>
      <c r="C182" s="33"/>
      <c r="D182" s="34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>
      <c r="D183" s="34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</row>
    <row r="184">
      <c r="D184" s="34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>
      <c r="D185" s="34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>
      <c r="D186" s="34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>
      <c r="D187" s="34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>
      <c r="D188" s="34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>
      <c r="A189" s="33"/>
      <c r="B189" s="33"/>
      <c r="C189" s="33"/>
      <c r="D189" s="34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>
      <c r="D190" s="34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>
      <c r="A191" s="55"/>
      <c r="B191" s="55"/>
      <c r="C191" s="55"/>
      <c r="D191" s="34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</row>
    <row r="192">
      <c r="A192" s="33"/>
      <c r="B192" s="33"/>
      <c r="C192" s="33"/>
      <c r="D192" s="34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>
      <c r="A193" s="55"/>
      <c r="B193" s="55"/>
      <c r="C193" s="55"/>
      <c r="D193" s="34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>
      <c r="A194" s="55"/>
      <c r="B194" s="55"/>
      <c r="C194" s="55"/>
      <c r="D194" s="34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>
      <c r="A195" s="33"/>
      <c r="B195" s="33"/>
      <c r="C195" s="33"/>
      <c r="D195" s="34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>
      <c r="A196" s="33"/>
      <c r="B196" s="33"/>
      <c r="C196" s="33"/>
      <c r="D196" s="34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>
      <c r="A197" s="55"/>
      <c r="B197" s="55"/>
      <c r="C197" s="55"/>
      <c r="D197" s="34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>
      <c r="D198" s="34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>
      <c r="D199" s="34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>
      <c r="D200" s="34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>
      <c r="D201" s="34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>
      <c r="D202" s="34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>
      <c r="D203" s="34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>
      <c r="A204" s="33"/>
      <c r="B204" s="33"/>
      <c r="C204" s="33"/>
      <c r="D204" s="34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>
      <c r="D205" s="34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>
      <c r="A206" s="55"/>
      <c r="B206" s="55"/>
      <c r="C206" s="55"/>
      <c r="D206" s="34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>
      <c r="A207" s="33"/>
      <c r="B207" s="33"/>
      <c r="C207" s="33"/>
      <c r="D207" s="34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</row>
    <row r="208">
      <c r="A208" s="33"/>
      <c r="B208" s="33"/>
      <c r="C208" s="33"/>
      <c r="D208" s="34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>
      <c r="A209" s="55"/>
      <c r="B209" s="55"/>
      <c r="C209" s="55"/>
      <c r="D209" s="34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>
      <c r="D210" s="34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>
      <c r="A211" s="55"/>
      <c r="B211" s="55"/>
      <c r="C211" s="55"/>
      <c r="D211" s="34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</row>
    <row r="212">
      <c r="D212" s="34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>
      <c r="D213" s="34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>
      <c r="D214" s="34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>
      <c r="D215" s="34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</row>
    <row r="216">
      <c r="A216" s="33"/>
      <c r="B216" s="33"/>
      <c r="C216" s="33"/>
      <c r="D216" s="34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>
      <c r="D217" s="34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>
      <c r="A218" s="33"/>
      <c r="B218" s="33"/>
      <c r="C218" s="33"/>
      <c r="D218" s="34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>
      <c r="A219" s="55"/>
      <c r="B219" s="55"/>
      <c r="C219" s="55"/>
      <c r="D219" s="34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>
      <c r="D220" s="34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>
      <c r="D221" s="34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>
      <c r="D222" s="34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>
      <c r="D223" s="34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>
      <c r="A224" s="33"/>
      <c r="B224" s="33"/>
      <c r="C224" s="33"/>
      <c r="D224" s="34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>
      <c r="D225" s="34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>
      <c r="A226" s="33"/>
      <c r="B226" s="33"/>
      <c r="C226" s="33"/>
      <c r="D226" s="34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>
      <c r="A227" s="55"/>
      <c r="B227" s="55"/>
      <c r="C227" s="55"/>
      <c r="D227" s="34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>
      <c r="D228" s="34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</row>
    <row r="229">
      <c r="D229" s="34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>
      <c r="A230" s="33"/>
      <c r="B230" s="33"/>
      <c r="C230" s="33"/>
      <c r="D230" s="34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>
      <c r="A231" s="33"/>
      <c r="B231" s="33"/>
      <c r="C231" s="33"/>
      <c r="D231" s="34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</row>
    <row r="232">
      <c r="D232" s="34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>
      <c r="A233" s="55"/>
      <c r="B233" s="55"/>
      <c r="C233" s="55"/>
      <c r="D233" s="34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>
      <c r="A234" s="33"/>
      <c r="B234" s="33"/>
      <c r="C234" s="33"/>
      <c r="D234" s="34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>
      <c r="A235" s="33"/>
      <c r="B235" s="33"/>
      <c r="C235" s="33"/>
      <c r="D235" s="34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>
      <c r="A236" s="55"/>
      <c r="B236" s="55"/>
      <c r="C236" s="55"/>
      <c r="D236" s="34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</row>
    <row r="237">
      <c r="A237" s="55"/>
      <c r="B237" s="55"/>
      <c r="C237" s="55"/>
      <c r="D237" s="34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>
      <c r="A238" s="33"/>
      <c r="B238" s="33"/>
      <c r="C238" s="33"/>
      <c r="D238" s="34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>
      <c r="A239" s="55"/>
      <c r="B239" s="55"/>
      <c r="C239" s="55"/>
      <c r="D239" s="34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>
      <c r="D240" s="34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>
      <c r="A241" s="33"/>
      <c r="B241" s="33"/>
      <c r="C241" s="33"/>
      <c r="D241" s="34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>
      <c r="A242" s="55"/>
      <c r="B242" s="55"/>
      <c r="C242" s="55"/>
      <c r="D242" s="34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>
      <c r="D243" s="34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>
      <c r="A244" s="55"/>
      <c r="B244" s="55"/>
      <c r="C244" s="55"/>
      <c r="D244" s="34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>
      <c r="A245" s="55"/>
      <c r="B245" s="55"/>
      <c r="C245" s="55"/>
      <c r="D245" s="34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>
      <c r="A246" s="55"/>
      <c r="B246" s="55"/>
      <c r="C246" s="55"/>
      <c r="D246" s="34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>
      <c r="A247" s="55"/>
      <c r="B247" s="55"/>
      <c r="C247" s="55"/>
      <c r="D247" s="34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>
      <c r="D248" s="34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>
      <c r="A249" s="33"/>
      <c r="B249" s="33"/>
      <c r="C249" s="33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>
      <c r="A250" s="33"/>
      <c r="B250" s="33"/>
      <c r="C250" s="33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>
      <c r="A251" s="33"/>
      <c r="B251" s="33"/>
      <c r="C251" s="33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>
      <c r="A252" s="33"/>
      <c r="B252" s="33"/>
      <c r="C252" s="33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>
      <c r="A253" s="33"/>
      <c r="B253" s="33"/>
      <c r="C253" s="33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>
      <c r="A254" s="33"/>
      <c r="B254" s="33"/>
      <c r="C254" s="33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>
      <c r="A255" s="33"/>
      <c r="B255" s="33"/>
      <c r="C255" s="33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>
      <c r="A256" s="33"/>
      <c r="B256" s="33"/>
      <c r="C256" s="33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>
      <c r="A257" s="33"/>
      <c r="B257" s="33"/>
      <c r="C257" s="33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>
      <c r="A258" s="33"/>
      <c r="B258" s="33"/>
      <c r="C258" s="33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>
      <c r="A259" s="33"/>
      <c r="B259" s="33"/>
      <c r="C259" s="33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>
      <c r="A260" s="33"/>
      <c r="B260" s="33"/>
      <c r="C260" s="33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>
      <c r="A261" s="33"/>
      <c r="B261" s="33"/>
      <c r="C261" s="33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>
      <c r="A262" s="33"/>
      <c r="B262" s="33"/>
      <c r="C262" s="33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>
      <c r="A263" s="33"/>
      <c r="B263" s="33"/>
      <c r="C263" s="33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>
      <c r="A264" s="33"/>
      <c r="B264" s="33"/>
      <c r="C264" s="33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>
      <c r="A265" s="33"/>
      <c r="B265" s="33"/>
      <c r="C265" s="33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>
      <c r="A266" s="33"/>
      <c r="B266" s="33"/>
      <c r="C266" s="33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>
      <c r="A267" s="33"/>
      <c r="B267" s="33"/>
      <c r="C267" s="33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>
      <c r="A268" s="33"/>
      <c r="B268" s="33"/>
      <c r="C268" s="33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>
      <c r="A269" s="33"/>
      <c r="B269" s="33"/>
      <c r="C269" s="33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>
      <c r="A270" s="33"/>
      <c r="B270" s="33"/>
      <c r="C270" s="33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>
      <c r="A271" s="33"/>
      <c r="B271" s="33"/>
      <c r="C271" s="33"/>
      <c r="H271" s="36"/>
      <c r="I271" s="36"/>
      <c r="J271" s="36"/>
      <c r="K271" s="36"/>
      <c r="L271" s="36"/>
      <c r="M271" s="36"/>
      <c r="N271" s="36"/>
      <c r="O271" s="36"/>
      <c r="P271" s="10"/>
      <c r="Q271" s="36"/>
      <c r="R271" s="36"/>
    </row>
    <row r="272">
      <c r="A272" s="33"/>
      <c r="B272" s="33"/>
      <c r="C272" s="33"/>
      <c r="H272" s="36"/>
      <c r="I272" s="36"/>
      <c r="J272" s="36"/>
      <c r="K272" s="36"/>
      <c r="L272" s="36"/>
      <c r="M272" s="36"/>
      <c r="N272" s="36"/>
      <c r="O272" s="36"/>
      <c r="P272" s="10"/>
      <c r="Q272" s="36"/>
      <c r="R272" s="36"/>
    </row>
    <row r="273">
      <c r="A273" s="33"/>
      <c r="B273" s="33"/>
      <c r="C273" s="33"/>
      <c r="H273" s="36"/>
      <c r="I273" s="36"/>
      <c r="J273" s="36"/>
      <c r="K273" s="36"/>
      <c r="L273" s="36"/>
      <c r="M273" s="36"/>
      <c r="N273" s="36"/>
      <c r="O273" s="36"/>
      <c r="P273" s="10"/>
      <c r="Q273" s="36"/>
      <c r="R273" s="36"/>
    </row>
    <row r="274">
      <c r="A274" s="33"/>
      <c r="B274" s="33"/>
      <c r="C274" s="33"/>
      <c r="H274" s="36"/>
      <c r="I274" s="36"/>
      <c r="J274" s="36"/>
      <c r="K274" s="36"/>
      <c r="L274" s="36"/>
      <c r="M274" s="36"/>
      <c r="N274" s="36"/>
      <c r="O274" s="36"/>
      <c r="P274" s="10"/>
      <c r="Q274" s="36"/>
      <c r="R274" s="36"/>
    </row>
    <row r="275">
      <c r="A275" s="33"/>
      <c r="B275" s="33"/>
      <c r="C275" s="33"/>
      <c r="H275" s="36"/>
      <c r="I275" s="36"/>
      <c r="J275" s="36"/>
      <c r="K275" s="36"/>
      <c r="L275" s="36"/>
      <c r="M275" s="36"/>
      <c r="N275" s="36"/>
      <c r="O275" s="36"/>
      <c r="P275" s="10"/>
      <c r="Q275" s="36"/>
      <c r="R275" s="36"/>
    </row>
    <row r="276">
      <c r="A276" s="33"/>
      <c r="B276" s="33"/>
      <c r="C276" s="33"/>
      <c r="H276" s="36"/>
      <c r="I276" s="36"/>
      <c r="J276" s="36"/>
      <c r="K276" s="36"/>
      <c r="L276" s="36"/>
      <c r="M276" s="36"/>
      <c r="N276" s="36"/>
      <c r="O276" s="36"/>
      <c r="P276" s="10"/>
      <c r="Q276" s="36"/>
      <c r="R276" s="36"/>
    </row>
    <row r="277">
      <c r="A277" s="33"/>
      <c r="B277" s="33"/>
      <c r="C277" s="33"/>
      <c r="H277" s="36"/>
      <c r="I277" s="36"/>
      <c r="J277" s="36"/>
      <c r="K277" s="36"/>
      <c r="L277" s="36"/>
      <c r="M277" s="36"/>
      <c r="N277" s="36"/>
      <c r="O277" s="36"/>
      <c r="P277" s="10"/>
      <c r="Q277" s="36"/>
      <c r="R277" s="36"/>
    </row>
    <row r="278">
      <c r="A278" s="33"/>
      <c r="B278" s="33"/>
      <c r="C278" s="33"/>
      <c r="H278" s="36"/>
      <c r="I278" s="36"/>
      <c r="J278" s="36"/>
      <c r="K278" s="36"/>
      <c r="L278" s="36"/>
      <c r="M278" s="36"/>
      <c r="N278" s="36"/>
      <c r="O278" s="36"/>
      <c r="P278" s="10"/>
      <c r="Q278" s="36"/>
      <c r="R278" s="36"/>
    </row>
    <row r="279">
      <c r="A279" s="33"/>
      <c r="B279" s="33"/>
      <c r="C279" s="33"/>
      <c r="H279" s="36"/>
      <c r="I279" s="36"/>
      <c r="J279" s="36"/>
      <c r="K279" s="36"/>
      <c r="L279" s="36"/>
      <c r="M279" s="36"/>
      <c r="N279" s="36"/>
      <c r="O279" s="36"/>
      <c r="P279" s="10"/>
      <c r="Q279" s="36"/>
      <c r="R279" s="36"/>
    </row>
    <row r="280">
      <c r="A280" s="33"/>
      <c r="B280" s="33"/>
      <c r="C280" s="33"/>
      <c r="H280" s="36"/>
      <c r="I280" s="36"/>
      <c r="J280" s="36"/>
      <c r="K280" s="36"/>
      <c r="L280" s="36"/>
      <c r="M280" s="36"/>
      <c r="N280" s="36"/>
      <c r="O280" s="36"/>
      <c r="P280" s="10"/>
      <c r="Q280" s="36"/>
      <c r="R280" s="36"/>
    </row>
    <row r="281">
      <c r="A281" s="33"/>
      <c r="B281" s="33"/>
      <c r="C281" s="33"/>
      <c r="H281" s="36"/>
      <c r="I281" s="36"/>
      <c r="J281" s="36"/>
      <c r="K281" s="36"/>
      <c r="L281" s="36"/>
      <c r="M281" s="36"/>
      <c r="N281" s="36"/>
      <c r="O281" s="36"/>
      <c r="P281" s="10"/>
      <c r="Q281" s="36"/>
      <c r="R281" s="36"/>
    </row>
    <row r="282">
      <c r="A282" s="33"/>
      <c r="B282" s="33"/>
      <c r="C282" s="33"/>
      <c r="H282" s="36"/>
      <c r="I282" s="36"/>
      <c r="J282" s="36"/>
      <c r="K282" s="36"/>
      <c r="L282" s="36"/>
      <c r="M282" s="36"/>
      <c r="N282" s="36"/>
      <c r="O282" s="36"/>
      <c r="P282" s="10"/>
      <c r="Q282" s="36"/>
      <c r="R282" s="36"/>
    </row>
    <row r="283">
      <c r="A283" s="33"/>
      <c r="B283" s="33"/>
      <c r="C283" s="33"/>
      <c r="H283" s="36"/>
      <c r="I283" s="36"/>
      <c r="J283" s="36"/>
      <c r="K283" s="36"/>
      <c r="L283" s="36"/>
      <c r="M283" s="36"/>
      <c r="N283" s="36"/>
      <c r="O283" s="36"/>
      <c r="P283" s="10"/>
      <c r="Q283" s="36"/>
      <c r="R283" s="36"/>
    </row>
    <row r="284">
      <c r="A284" s="33"/>
      <c r="B284" s="33"/>
      <c r="C284" s="33"/>
      <c r="H284" s="36"/>
      <c r="I284" s="36"/>
      <c r="J284" s="36"/>
      <c r="K284" s="36"/>
      <c r="L284" s="36"/>
      <c r="M284" s="36"/>
      <c r="N284" s="36"/>
      <c r="O284" s="36"/>
      <c r="P284" s="10"/>
      <c r="Q284" s="36"/>
      <c r="R284" s="36"/>
    </row>
    <row r="285">
      <c r="A285" s="33"/>
      <c r="B285" s="33"/>
      <c r="C285" s="33"/>
      <c r="H285" s="36"/>
      <c r="I285" s="36"/>
      <c r="J285" s="36"/>
      <c r="K285" s="36"/>
      <c r="L285" s="36"/>
      <c r="M285" s="36"/>
      <c r="N285" s="36"/>
      <c r="O285" s="36"/>
      <c r="P285" s="10"/>
      <c r="Q285" s="36"/>
      <c r="R285" s="36"/>
    </row>
    <row r="286">
      <c r="H286" s="36"/>
      <c r="I286" s="36"/>
      <c r="J286" s="36"/>
      <c r="K286" s="36"/>
      <c r="L286" s="36"/>
      <c r="M286" s="36"/>
      <c r="N286" s="36"/>
      <c r="O286" s="36"/>
      <c r="P286" s="10"/>
      <c r="Q286" s="36"/>
      <c r="R286" s="36"/>
    </row>
    <row r="287">
      <c r="H287" s="36"/>
      <c r="I287" s="36"/>
      <c r="J287" s="36"/>
      <c r="K287" s="36"/>
      <c r="L287" s="36"/>
      <c r="M287" s="36"/>
      <c r="N287" s="36"/>
      <c r="O287" s="36"/>
      <c r="P287" s="10"/>
      <c r="Q287" s="36"/>
      <c r="R287" s="36"/>
    </row>
    <row r="288">
      <c r="H288" s="36"/>
      <c r="I288" s="36"/>
      <c r="J288" s="36"/>
      <c r="K288" s="36"/>
      <c r="L288" s="36"/>
      <c r="M288" s="36"/>
      <c r="N288" s="36"/>
      <c r="O288" s="36"/>
      <c r="P288" s="10"/>
      <c r="Q288" s="36"/>
      <c r="R288" s="36"/>
    </row>
    <row r="289">
      <c r="H289" s="36"/>
      <c r="I289" s="36"/>
      <c r="J289" s="36"/>
      <c r="K289" s="36"/>
      <c r="L289" s="36"/>
      <c r="M289" s="36"/>
      <c r="N289" s="36"/>
      <c r="O289" s="36"/>
      <c r="P289" s="10"/>
      <c r="Q289" s="36"/>
      <c r="R289" s="36"/>
    </row>
    <row r="290">
      <c r="H290" s="36"/>
      <c r="I290" s="36"/>
      <c r="J290" s="36"/>
      <c r="K290" s="36"/>
      <c r="L290" s="36"/>
      <c r="M290" s="36"/>
      <c r="N290" s="36"/>
      <c r="O290" s="36"/>
      <c r="P290" s="10"/>
      <c r="Q290" s="36"/>
      <c r="R290" s="36"/>
    </row>
    <row r="291">
      <c r="H291" s="36"/>
      <c r="I291" s="36"/>
      <c r="J291" s="36"/>
      <c r="K291" s="36"/>
      <c r="L291" s="36"/>
      <c r="M291" s="36"/>
      <c r="N291" s="36"/>
      <c r="O291" s="36"/>
      <c r="P291" s="10"/>
      <c r="Q291" s="36"/>
      <c r="R291" s="36"/>
    </row>
    <row r="292">
      <c r="H292" s="36"/>
      <c r="I292" s="36"/>
      <c r="J292" s="36"/>
      <c r="K292" s="36"/>
      <c r="L292" s="36"/>
      <c r="M292" s="36"/>
      <c r="N292" s="36"/>
      <c r="O292" s="36"/>
      <c r="P292" s="10"/>
      <c r="Q292" s="36"/>
      <c r="R292" s="36"/>
    </row>
    <row r="293">
      <c r="H293" s="36"/>
      <c r="I293" s="36"/>
      <c r="J293" s="36"/>
      <c r="K293" s="36"/>
      <c r="L293" s="36"/>
      <c r="M293" s="36"/>
      <c r="N293" s="36"/>
      <c r="O293" s="36"/>
      <c r="P293" s="10"/>
      <c r="Q293" s="36"/>
      <c r="R293" s="36"/>
    </row>
    <row r="294">
      <c r="H294" s="36"/>
      <c r="I294" s="36"/>
      <c r="J294" s="36"/>
      <c r="K294" s="36"/>
      <c r="L294" s="36"/>
      <c r="M294" s="36"/>
      <c r="N294" s="36"/>
      <c r="O294" s="36"/>
      <c r="P294" s="10"/>
      <c r="Q294" s="36"/>
      <c r="R294" s="36"/>
    </row>
    <row r="295">
      <c r="H295" s="36"/>
      <c r="I295" s="36"/>
      <c r="J295" s="36"/>
      <c r="K295" s="36"/>
      <c r="L295" s="36"/>
      <c r="M295" s="36"/>
      <c r="N295" s="36"/>
      <c r="O295" s="36"/>
      <c r="P295" s="10"/>
      <c r="Q295" s="36"/>
      <c r="R295" s="36"/>
    </row>
    <row r="296">
      <c r="H296" s="36"/>
      <c r="I296" s="36"/>
      <c r="J296" s="36"/>
      <c r="K296" s="36"/>
      <c r="L296" s="36"/>
      <c r="M296" s="36"/>
      <c r="N296" s="36"/>
      <c r="O296" s="36"/>
      <c r="P296" s="10"/>
      <c r="Q296" s="36"/>
      <c r="R296" s="36"/>
    </row>
    <row r="297">
      <c r="H297" s="36"/>
      <c r="I297" s="36"/>
      <c r="J297" s="36"/>
      <c r="K297" s="36"/>
      <c r="L297" s="36"/>
      <c r="M297" s="36"/>
      <c r="N297" s="36"/>
      <c r="O297" s="36"/>
      <c r="P297" s="10"/>
      <c r="Q297" s="36"/>
      <c r="R297" s="36"/>
    </row>
    <row r="298">
      <c r="H298" s="36"/>
      <c r="I298" s="36"/>
      <c r="J298" s="36"/>
      <c r="K298" s="36"/>
      <c r="L298" s="36"/>
      <c r="M298" s="36"/>
      <c r="N298" s="36"/>
      <c r="O298" s="36"/>
      <c r="P298" s="10"/>
      <c r="Q298" s="36"/>
      <c r="R298" s="36"/>
    </row>
    <row r="299">
      <c r="H299" s="36"/>
      <c r="I299" s="36"/>
      <c r="J299" s="36"/>
      <c r="K299" s="36"/>
      <c r="L299" s="36"/>
      <c r="M299" s="36"/>
      <c r="N299" s="36"/>
      <c r="O299" s="36"/>
      <c r="P299" s="10"/>
      <c r="Q299" s="36"/>
      <c r="R299" s="36"/>
    </row>
    <row r="300">
      <c r="H300" s="36"/>
      <c r="I300" s="36"/>
      <c r="J300" s="36"/>
      <c r="K300" s="36"/>
      <c r="L300" s="36"/>
      <c r="M300" s="36"/>
      <c r="N300" s="36"/>
      <c r="O300" s="36"/>
      <c r="P300" s="10"/>
      <c r="Q300" s="36"/>
      <c r="R300" s="36"/>
    </row>
    <row r="301">
      <c r="H301" s="36"/>
      <c r="I301" s="36"/>
      <c r="J301" s="36"/>
      <c r="K301" s="36"/>
      <c r="L301" s="36"/>
      <c r="M301" s="36"/>
      <c r="N301" s="36"/>
      <c r="O301" s="36"/>
      <c r="P301" s="10"/>
      <c r="Q301" s="36"/>
      <c r="R301" s="36"/>
    </row>
    <row r="302">
      <c r="H302" s="36"/>
      <c r="I302" s="36"/>
      <c r="J302" s="36"/>
      <c r="K302" s="36"/>
      <c r="L302" s="36"/>
      <c r="M302" s="36"/>
      <c r="N302" s="36"/>
      <c r="O302" s="36"/>
      <c r="P302" s="10"/>
      <c r="Q302" s="36"/>
      <c r="R302" s="36"/>
    </row>
    <row r="303">
      <c r="H303" s="36"/>
      <c r="I303" s="36"/>
      <c r="J303" s="36"/>
      <c r="K303" s="36"/>
      <c r="L303" s="36"/>
      <c r="M303" s="36"/>
      <c r="N303" s="36"/>
      <c r="O303" s="36"/>
      <c r="P303" s="10"/>
      <c r="Q303" s="36"/>
      <c r="R303" s="36"/>
    </row>
    <row r="304">
      <c r="H304" s="36"/>
      <c r="I304" s="36"/>
      <c r="J304" s="36"/>
      <c r="K304" s="36"/>
      <c r="L304" s="36"/>
      <c r="M304" s="36"/>
      <c r="N304" s="36"/>
      <c r="O304" s="36"/>
      <c r="P304" s="10"/>
      <c r="Q304" s="36"/>
      <c r="R304" s="36"/>
    </row>
    <row r="305">
      <c r="H305" s="36"/>
      <c r="I305" s="36"/>
      <c r="J305" s="36"/>
      <c r="K305" s="36"/>
      <c r="L305" s="36"/>
      <c r="M305" s="36"/>
      <c r="N305" s="36"/>
      <c r="O305" s="36"/>
      <c r="P305" s="10"/>
      <c r="Q305" s="36"/>
      <c r="R305" s="36"/>
    </row>
    <row r="306">
      <c r="H306" s="36"/>
      <c r="I306" s="36"/>
      <c r="J306" s="36"/>
      <c r="K306" s="36"/>
      <c r="L306" s="36"/>
      <c r="M306" s="36"/>
      <c r="N306" s="36"/>
      <c r="O306" s="36"/>
      <c r="P306" s="10"/>
      <c r="Q306" s="36"/>
      <c r="R306" s="36"/>
    </row>
    <row r="307">
      <c r="H307" s="36"/>
      <c r="I307" s="36"/>
      <c r="J307" s="36"/>
      <c r="K307" s="36"/>
      <c r="L307" s="36"/>
      <c r="M307" s="36"/>
      <c r="N307" s="36"/>
      <c r="O307" s="36"/>
      <c r="P307" s="10"/>
      <c r="Q307" s="36"/>
      <c r="R307" s="36"/>
    </row>
    <row r="308">
      <c r="H308" s="36"/>
      <c r="I308" s="36"/>
      <c r="J308" s="36"/>
      <c r="K308" s="36"/>
      <c r="L308" s="36"/>
      <c r="M308" s="36"/>
      <c r="N308" s="36"/>
      <c r="O308" s="36"/>
      <c r="P308" s="10"/>
      <c r="Q308" s="36"/>
      <c r="R308" s="36"/>
    </row>
    <row r="309">
      <c r="H309" s="36"/>
      <c r="I309" s="36"/>
      <c r="J309" s="36"/>
      <c r="K309" s="36"/>
      <c r="L309" s="36"/>
      <c r="M309" s="36"/>
      <c r="N309" s="36"/>
      <c r="O309" s="36"/>
      <c r="P309" s="10"/>
      <c r="Q309" s="36"/>
      <c r="R309" s="36"/>
    </row>
    <row r="310">
      <c r="H310" s="36"/>
      <c r="I310" s="36"/>
      <c r="J310" s="36"/>
      <c r="K310" s="36"/>
      <c r="L310" s="36"/>
      <c r="M310" s="36"/>
      <c r="N310" s="36"/>
      <c r="O310" s="36"/>
      <c r="P310" s="10"/>
      <c r="Q310" s="36"/>
      <c r="R310" s="36"/>
    </row>
    <row r="311">
      <c r="H311" s="36"/>
      <c r="I311" s="36"/>
      <c r="J311" s="36"/>
      <c r="K311" s="36"/>
      <c r="L311" s="36"/>
      <c r="M311" s="36"/>
      <c r="N311" s="36"/>
      <c r="O311" s="36"/>
      <c r="P311" s="10"/>
      <c r="Q311" s="36"/>
      <c r="R311" s="36"/>
    </row>
    <row r="312">
      <c r="H312" s="36"/>
      <c r="I312" s="36"/>
      <c r="J312" s="36"/>
      <c r="K312" s="36"/>
      <c r="L312" s="36"/>
      <c r="M312" s="36"/>
      <c r="N312" s="36"/>
      <c r="O312" s="36"/>
      <c r="P312" s="10"/>
      <c r="Q312" s="36"/>
      <c r="R312" s="36"/>
    </row>
    <row r="313">
      <c r="H313" s="36"/>
      <c r="I313" s="36"/>
      <c r="J313" s="36"/>
      <c r="K313" s="36"/>
      <c r="L313" s="36"/>
      <c r="M313" s="36"/>
      <c r="N313" s="36"/>
      <c r="O313" s="36"/>
      <c r="P313" s="10"/>
      <c r="Q313" s="36"/>
      <c r="R313" s="36"/>
    </row>
    <row r="314">
      <c r="H314" s="36"/>
      <c r="I314" s="36"/>
      <c r="J314" s="36"/>
      <c r="K314" s="36"/>
      <c r="L314" s="36"/>
      <c r="M314" s="36"/>
      <c r="N314" s="36"/>
      <c r="O314" s="36"/>
      <c r="P314" s="10"/>
      <c r="Q314" s="36"/>
      <c r="R314" s="36"/>
    </row>
    <row r="315">
      <c r="H315" s="36"/>
      <c r="I315" s="36"/>
      <c r="J315" s="36"/>
      <c r="K315" s="36"/>
      <c r="L315" s="36"/>
      <c r="M315" s="36"/>
      <c r="N315" s="36"/>
      <c r="O315" s="36"/>
      <c r="P315" s="10"/>
      <c r="Q315" s="36"/>
      <c r="R315" s="36"/>
    </row>
    <row r="316">
      <c r="H316" s="36"/>
      <c r="I316" s="36"/>
      <c r="J316" s="36"/>
      <c r="K316" s="36"/>
      <c r="L316" s="36"/>
      <c r="M316" s="36"/>
      <c r="N316" s="36"/>
      <c r="O316" s="36"/>
      <c r="P316" s="10"/>
      <c r="Q316" s="36"/>
      <c r="R316" s="36"/>
    </row>
    <row r="317">
      <c r="H317" s="36"/>
      <c r="I317" s="36"/>
      <c r="J317" s="36"/>
      <c r="K317" s="36"/>
      <c r="L317" s="36"/>
      <c r="M317" s="36"/>
      <c r="N317" s="36"/>
      <c r="O317" s="36"/>
      <c r="P317" s="10"/>
      <c r="Q317" s="36"/>
      <c r="R317" s="36"/>
    </row>
    <row r="318">
      <c r="H318" s="36"/>
      <c r="I318" s="36"/>
      <c r="J318" s="36"/>
      <c r="K318" s="36"/>
      <c r="L318" s="36"/>
      <c r="M318" s="36"/>
      <c r="N318" s="36"/>
      <c r="O318" s="36"/>
      <c r="P318" s="10"/>
      <c r="Q318" s="36"/>
      <c r="R318" s="36"/>
    </row>
    <row r="319">
      <c r="H319" s="36"/>
      <c r="I319" s="36"/>
      <c r="J319" s="36"/>
      <c r="K319" s="36"/>
      <c r="L319" s="36"/>
      <c r="M319" s="36"/>
      <c r="N319" s="36"/>
      <c r="O319" s="36"/>
      <c r="P319" s="10"/>
      <c r="Q319" s="36"/>
      <c r="R319" s="36"/>
    </row>
    <row r="320">
      <c r="H320" s="36"/>
      <c r="I320" s="36"/>
      <c r="J320" s="36"/>
      <c r="K320" s="36"/>
      <c r="L320" s="36"/>
      <c r="M320" s="36"/>
      <c r="N320" s="36"/>
      <c r="O320" s="36"/>
      <c r="P320" s="10"/>
      <c r="Q320" s="36"/>
      <c r="R320" s="36"/>
    </row>
    <row r="321">
      <c r="H321" s="36"/>
      <c r="I321" s="36"/>
      <c r="J321" s="36"/>
      <c r="K321" s="36"/>
      <c r="L321" s="36"/>
      <c r="M321" s="36"/>
      <c r="N321" s="36"/>
      <c r="O321" s="36"/>
      <c r="P321" s="10"/>
      <c r="Q321" s="36"/>
      <c r="R321" s="36"/>
    </row>
    <row r="322">
      <c r="H322" s="36"/>
      <c r="I322" s="36"/>
      <c r="J322" s="36"/>
      <c r="K322" s="36"/>
      <c r="L322" s="36"/>
      <c r="M322" s="36"/>
      <c r="N322" s="36"/>
      <c r="O322" s="36"/>
      <c r="P322" s="10"/>
      <c r="Q322" s="36"/>
      <c r="R322" s="36"/>
    </row>
    <row r="323">
      <c r="H323" s="36"/>
      <c r="I323" s="36"/>
      <c r="J323" s="36"/>
      <c r="K323" s="36"/>
      <c r="L323" s="36"/>
      <c r="M323" s="36"/>
      <c r="N323" s="36"/>
      <c r="O323" s="36"/>
      <c r="P323" s="10"/>
      <c r="Q323" s="36"/>
      <c r="R323" s="36"/>
    </row>
    <row r="324">
      <c r="H324" s="36"/>
      <c r="I324" s="36"/>
      <c r="J324" s="36"/>
      <c r="K324" s="36"/>
      <c r="L324" s="36"/>
      <c r="M324" s="36"/>
      <c r="N324" s="36"/>
      <c r="O324" s="36"/>
      <c r="P324" s="10"/>
      <c r="Q324" s="36"/>
      <c r="R324" s="36"/>
    </row>
    <row r="325">
      <c r="H325" s="36"/>
      <c r="I325" s="36"/>
      <c r="J325" s="36"/>
      <c r="K325" s="36"/>
      <c r="L325" s="36"/>
      <c r="M325" s="36"/>
      <c r="N325" s="36"/>
      <c r="O325" s="36"/>
      <c r="P325" s="10"/>
      <c r="Q325" s="36"/>
      <c r="R325" s="36"/>
    </row>
    <row r="326">
      <c r="H326" s="36"/>
      <c r="I326" s="36"/>
      <c r="J326" s="36"/>
      <c r="K326" s="36"/>
      <c r="L326" s="36"/>
      <c r="M326" s="36"/>
      <c r="N326" s="36"/>
      <c r="O326" s="36"/>
      <c r="P326" s="10"/>
      <c r="Q326" s="36"/>
      <c r="R326" s="36"/>
    </row>
    <row r="327">
      <c r="H327" s="36"/>
      <c r="I327" s="36"/>
      <c r="J327" s="36"/>
      <c r="K327" s="36"/>
      <c r="L327" s="36"/>
      <c r="M327" s="36"/>
      <c r="N327" s="36"/>
      <c r="O327" s="36"/>
      <c r="P327" s="10"/>
      <c r="Q327" s="36"/>
      <c r="R327" s="36"/>
    </row>
    <row r="328">
      <c r="H328" s="36"/>
      <c r="I328" s="36"/>
      <c r="J328" s="36"/>
      <c r="K328" s="36"/>
      <c r="L328" s="36"/>
      <c r="M328" s="36"/>
      <c r="N328" s="36"/>
      <c r="O328" s="36"/>
      <c r="P328" s="10"/>
      <c r="Q328" s="36"/>
      <c r="R328" s="36"/>
    </row>
    <row r="329">
      <c r="H329" s="36"/>
      <c r="I329" s="36"/>
      <c r="J329" s="36"/>
      <c r="K329" s="36"/>
      <c r="L329" s="36"/>
      <c r="M329" s="36"/>
      <c r="N329" s="36"/>
      <c r="O329" s="36"/>
      <c r="P329" s="10"/>
      <c r="Q329" s="36"/>
      <c r="R329" s="36"/>
    </row>
    <row r="330">
      <c r="H330" s="36"/>
      <c r="I330" s="36"/>
      <c r="J330" s="36"/>
      <c r="K330" s="36"/>
      <c r="L330" s="36"/>
      <c r="M330" s="36"/>
      <c r="N330" s="36"/>
      <c r="O330" s="36"/>
      <c r="P330" s="10"/>
      <c r="Q330" s="36"/>
      <c r="R330" s="36"/>
    </row>
    <row r="331">
      <c r="H331" s="36"/>
      <c r="I331" s="36"/>
      <c r="J331" s="36"/>
      <c r="K331" s="36"/>
      <c r="L331" s="36"/>
      <c r="M331" s="36"/>
      <c r="N331" s="36"/>
      <c r="O331" s="36"/>
      <c r="P331" s="10"/>
      <c r="Q331" s="36"/>
      <c r="R331" s="36"/>
    </row>
    <row r="332">
      <c r="H332" s="36"/>
      <c r="I332" s="36"/>
      <c r="J332" s="36"/>
      <c r="K332" s="36"/>
      <c r="L332" s="36"/>
      <c r="M332" s="36"/>
      <c r="N332" s="36"/>
      <c r="O332" s="36"/>
      <c r="P332" s="10"/>
      <c r="Q332" s="36"/>
      <c r="R332" s="36"/>
    </row>
    <row r="333">
      <c r="H333" s="36"/>
      <c r="I333" s="36"/>
      <c r="J333" s="36"/>
      <c r="K333" s="36"/>
      <c r="L333" s="36"/>
      <c r="M333" s="36"/>
      <c r="N333" s="36"/>
      <c r="O333" s="36"/>
      <c r="P333" s="10"/>
      <c r="Q333" s="36"/>
      <c r="R333" s="36"/>
    </row>
    <row r="334">
      <c r="H334" s="36"/>
      <c r="I334" s="36"/>
      <c r="J334" s="36"/>
      <c r="K334" s="36"/>
      <c r="L334" s="36"/>
      <c r="M334" s="36"/>
      <c r="N334" s="36"/>
      <c r="O334" s="36"/>
      <c r="P334" s="10"/>
      <c r="Q334" s="36"/>
      <c r="R334" s="36"/>
    </row>
    <row r="335">
      <c r="H335" s="36"/>
      <c r="I335" s="36"/>
      <c r="J335" s="36"/>
      <c r="K335" s="36"/>
      <c r="L335" s="36"/>
      <c r="M335" s="36"/>
      <c r="N335" s="36"/>
      <c r="O335" s="36"/>
      <c r="P335" s="10"/>
      <c r="Q335" s="36"/>
      <c r="R335" s="36"/>
    </row>
    <row r="336">
      <c r="H336" s="36"/>
      <c r="I336" s="36"/>
      <c r="J336" s="36"/>
      <c r="K336" s="36"/>
      <c r="L336" s="36"/>
      <c r="M336" s="36"/>
      <c r="N336" s="36"/>
      <c r="O336" s="36"/>
      <c r="P336" s="10"/>
      <c r="Q336" s="36"/>
      <c r="R336" s="36"/>
    </row>
    <row r="337">
      <c r="H337" s="36"/>
      <c r="I337" s="36"/>
      <c r="J337" s="36"/>
      <c r="K337" s="36"/>
      <c r="L337" s="36"/>
      <c r="M337" s="36"/>
      <c r="N337" s="36"/>
      <c r="O337" s="36"/>
      <c r="P337" s="10"/>
      <c r="Q337" s="36"/>
      <c r="R337" s="36"/>
    </row>
    <row r="338">
      <c r="H338" s="36"/>
      <c r="I338" s="36"/>
      <c r="J338" s="36"/>
      <c r="K338" s="36"/>
      <c r="L338" s="36"/>
      <c r="M338" s="36"/>
      <c r="N338" s="36"/>
      <c r="O338" s="36"/>
      <c r="P338" s="10"/>
      <c r="Q338" s="36"/>
      <c r="R338" s="36"/>
    </row>
    <row r="339">
      <c r="H339" s="36"/>
      <c r="I339" s="36"/>
      <c r="J339" s="36"/>
      <c r="K339" s="36"/>
      <c r="L339" s="36"/>
      <c r="M339" s="36"/>
      <c r="N339" s="36"/>
      <c r="O339" s="36"/>
      <c r="P339" s="10"/>
      <c r="Q339" s="36"/>
      <c r="R339" s="36"/>
    </row>
    <row r="340">
      <c r="H340" s="36"/>
      <c r="I340" s="36"/>
      <c r="J340" s="36"/>
      <c r="K340" s="36"/>
      <c r="L340" s="36"/>
      <c r="M340" s="36"/>
      <c r="N340" s="36"/>
      <c r="O340" s="36"/>
      <c r="P340" s="10"/>
      <c r="Q340" s="36"/>
      <c r="R340" s="36"/>
    </row>
    <row r="341">
      <c r="H341" s="36"/>
      <c r="I341" s="36"/>
      <c r="J341" s="36"/>
      <c r="K341" s="36"/>
      <c r="L341" s="36"/>
      <c r="M341" s="36"/>
      <c r="N341" s="36"/>
      <c r="O341" s="36"/>
      <c r="P341" s="10"/>
      <c r="Q341" s="36"/>
      <c r="R341" s="36"/>
    </row>
    <row r="342">
      <c r="H342" s="36"/>
      <c r="I342" s="36"/>
      <c r="J342" s="36"/>
      <c r="K342" s="36"/>
      <c r="L342" s="36"/>
      <c r="M342" s="36"/>
      <c r="N342" s="36"/>
      <c r="O342" s="36"/>
      <c r="P342" s="10"/>
      <c r="Q342" s="36"/>
      <c r="R342" s="36"/>
    </row>
    <row r="343">
      <c r="H343" s="36"/>
      <c r="I343" s="36"/>
      <c r="J343" s="36"/>
      <c r="K343" s="36"/>
      <c r="L343" s="36"/>
      <c r="M343" s="36"/>
      <c r="N343" s="36"/>
      <c r="O343" s="36"/>
      <c r="P343" s="10"/>
      <c r="Q343" s="36"/>
      <c r="R343" s="36"/>
    </row>
    <row r="344">
      <c r="H344" s="36"/>
      <c r="I344" s="36"/>
      <c r="J344" s="36"/>
      <c r="K344" s="36"/>
      <c r="L344" s="36"/>
      <c r="M344" s="36"/>
      <c r="N344" s="36"/>
      <c r="O344" s="36"/>
      <c r="P344" s="10"/>
      <c r="Q344" s="36"/>
      <c r="R344" s="36"/>
    </row>
    <row r="345">
      <c r="H345" s="36"/>
      <c r="I345" s="36"/>
      <c r="J345" s="36"/>
      <c r="K345" s="36"/>
      <c r="L345" s="36"/>
      <c r="M345" s="36"/>
      <c r="N345" s="36"/>
      <c r="O345" s="36"/>
      <c r="P345" s="10"/>
      <c r="Q345" s="36"/>
      <c r="R345" s="36"/>
    </row>
    <row r="346">
      <c r="H346" s="36"/>
      <c r="I346" s="36"/>
      <c r="J346" s="36"/>
      <c r="K346" s="36"/>
      <c r="L346" s="36"/>
      <c r="M346" s="36"/>
      <c r="N346" s="36"/>
      <c r="O346" s="36"/>
      <c r="P346" s="10"/>
      <c r="Q346" s="36"/>
      <c r="R346" s="36"/>
    </row>
    <row r="347">
      <c r="H347" s="36"/>
      <c r="I347" s="36"/>
      <c r="J347" s="36"/>
      <c r="K347" s="36"/>
      <c r="L347" s="36"/>
      <c r="M347" s="36"/>
      <c r="N347" s="36"/>
      <c r="O347" s="36"/>
      <c r="P347" s="10"/>
      <c r="Q347" s="36"/>
      <c r="R347" s="36"/>
    </row>
    <row r="348">
      <c r="H348" s="36"/>
      <c r="I348" s="36"/>
      <c r="J348" s="36"/>
      <c r="K348" s="36"/>
      <c r="L348" s="36"/>
      <c r="M348" s="36"/>
      <c r="N348" s="36"/>
      <c r="O348" s="36"/>
      <c r="P348" s="10"/>
      <c r="Q348" s="36"/>
      <c r="R348" s="36"/>
    </row>
    <row r="349">
      <c r="H349" s="36"/>
      <c r="I349" s="36"/>
      <c r="J349" s="36"/>
      <c r="K349" s="36"/>
      <c r="L349" s="36"/>
      <c r="M349" s="36"/>
      <c r="N349" s="36"/>
      <c r="O349" s="36"/>
      <c r="P349" s="10"/>
      <c r="Q349" s="36"/>
      <c r="R349" s="36"/>
    </row>
    <row r="350">
      <c r="H350" s="36"/>
      <c r="I350" s="36"/>
      <c r="J350" s="36"/>
      <c r="K350" s="36"/>
      <c r="L350" s="36"/>
      <c r="M350" s="36"/>
      <c r="N350" s="36"/>
      <c r="O350" s="36"/>
      <c r="P350" s="10"/>
      <c r="Q350" s="36"/>
      <c r="R350" s="36"/>
    </row>
    <row r="351">
      <c r="H351" s="36"/>
      <c r="I351" s="36"/>
      <c r="J351" s="36"/>
      <c r="K351" s="36"/>
      <c r="L351" s="36"/>
      <c r="M351" s="36"/>
      <c r="N351" s="36"/>
      <c r="O351" s="36"/>
      <c r="P351" s="10"/>
      <c r="Q351" s="36"/>
      <c r="R351" s="36"/>
    </row>
    <row r="352"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</sheetData>
  <autoFilter ref="$A$1:$R$285"/>
  <conditionalFormatting sqref="B138:E138 G138:H138 J138 M138 P138:Q138">
    <cfRule type="expression" dxfId="0" priority="1">
      <formula>COUNTIF($A$2:$A$268,B138)&gt;0</formula>
    </cfRule>
  </conditionalFormatting>
  <conditionalFormatting sqref="A2 B138 D138:D248 A244:C247">
    <cfRule type="expression" dxfId="0" priority="2">
      <formula>COUNTIF($A$2:$A$137,A2)&gt;0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0"/>
  </cols>
  <sheetData>
    <row r="1">
      <c r="A1" s="1" t="s">
        <v>159</v>
      </c>
      <c r="B1" s="1" t="s">
        <v>1</v>
      </c>
      <c r="C1" s="1" t="s">
        <v>2</v>
      </c>
      <c r="D1" s="2" t="s">
        <v>3</v>
      </c>
      <c r="E1" s="2" t="s">
        <v>111</v>
      </c>
      <c r="F1" s="2" t="s">
        <v>160</v>
      </c>
      <c r="G1" s="56" t="s">
        <v>6</v>
      </c>
      <c r="H1" s="57" t="s">
        <v>7</v>
      </c>
      <c r="I1" s="2" t="s">
        <v>8</v>
      </c>
      <c r="J1" s="5" t="s">
        <v>9</v>
      </c>
      <c r="K1" s="5" t="s">
        <v>10</v>
      </c>
      <c r="L1" s="2" t="s">
        <v>11</v>
      </c>
      <c r="M1" s="7" t="s">
        <v>12</v>
      </c>
      <c r="N1" s="7" t="s">
        <v>13</v>
      </c>
      <c r="O1" s="2" t="s">
        <v>14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40" t="s">
        <v>20</v>
      </c>
      <c r="B2" s="41">
        <f>IFERROR(__xludf.DUMMYFUNCTION("VLOOKUP(A2,IMPORTRANGE(""1EmrnCz2gLVTx5Cbj0e5tfuHPhTtmru8KTGuQvh7STl0/edit#gid=2147150001"",""Whole Data Set!$A$2:$NQ$253""),381,FALSE)"),83.25)</f>
        <v>83.25</v>
      </c>
      <c r="C2" s="58">
        <f t="shared" ref="C2:C183" si="1">B2/250</f>
        <v>0.333</v>
      </c>
      <c r="D2" s="12">
        <f>IFERROR(__xludf.DUMMYFUNCTION("VLOOKUP(A2,IMPORTRANGE(""1aFCnJY1qhIj8-JckJhDJ18aqmVo17tofpQmOjcYa3u8/edit#gid=948248086"",""Whole Data Set!$A$2:$NG$253""),371,FALSE)"),46.75)</f>
        <v>46.75</v>
      </c>
      <c r="E2" s="13">
        <f t="shared" ref="E2:E183" si="2">D2/250</f>
        <v>0.187</v>
      </c>
      <c r="F2" s="13">
        <f t="shared" ref="F2:F184" si="3">C2-E2</f>
        <v>0.146</v>
      </c>
      <c r="G2" s="12">
        <f>IFERROR(__xludf.DUMMYFUNCTION("VLOOKUP(A2,IMPORTRANGE(""1QZ5UxyNCwadreQAXnQ7oCoH982DjIA-QnZdO7ZoqkC0/edit#gid=0"",""2019-2021!$A$2:$O$250""),2,FALSE)"),49.75)</f>
        <v>49.75</v>
      </c>
      <c r="H2" s="14">
        <f t="shared" ref="H2:H183" si="4">G2/250</f>
        <v>0.199</v>
      </c>
      <c r="I2" s="15">
        <f t="shared" ref="I2:I184" si="5">C2-H2</f>
        <v>0.134</v>
      </c>
      <c r="J2" s="16">
        <f>IFERROR(__xludf.DUMMYFUNCTION("VLOOKUP(A2,IMPORTRANGE(""1QZ5UxyNCwadreQAXnQ7oCoH982DjIA-QnZdO7ZoqkC0/edit#gid=0"",""2019-2021!$A$2:$O$250""),4,FALSE)"),62.0)</f>
        <v>62</v>
      </c>
      <c r="K2" s="17">
        <f t="shared" ref="K2:K183" si="6">J2/250</f>
        <v>0.248</v>
      </c>
      <c r="L2" s="17">
        <f t="shared" ref="L2:L184" si="7">C2-K2</f>
        <v>0.085</v>
      </c>
      <c r="M2" s="16">
        <f>IFERROR(__xludf.DUMMYFUNCTION("VLOOKUP(A2,IMPORTRANGE(""1QZ5UxyNCwadreQAXnQ7oCoH982DjIA-QnZdO7ZoqkC0/edit#gid=0"",""2019-2021!$A$2:$O$250""),7,FALSE)"),51.0)</f>
        <v>51</v>
      </c>
      <c r="N2" s="17">
        <f t="shared" ref="N2:N183" si="8">M2/250</f>
        <v>0.204</v>
      </c>
      <c r="O2" s="17">
        <f t="shared" ref="O2:O184" si="9">C2-N2</f>
        <v>0.129</v>
      </c>
    </row>
    <row r="3">
      <c r="A3" s="19" t="s">
        <v>89</v>
      </c>
      <c r="B3" s="41">
        <f>IFERROR(__xludf.DUMMYFUNCTION("VLOOKUP(A3,IMPORTRANGE(""1EmrnCz2gLVTx5Cbj0e5tfuHPhTtmru8KTGuQvh7STl0/edit#gid=2147150001"",""Whole Data Set!$A$2:$NQ$253""),381,FALSE)"),140.0)</f>
        <v>140</v>
      </c>
      <c r="C3" s="58">
        <f t="shared" si="1"/>
        <v>0.56</v>
      </c>
      <c r="D3" s="12">
        <f>IFERROR(__xludf.DUMMYFUNCTION("VLOOKUP(A3,IMPORTRANGE(""1aFCnJY1qhIj8-JckJhDJ18aqmVo17tofpQmOjcYa3u8/edit#gid=948248086"",""Whole Data Set!$A$2:$NG$253""),371,FALSE)"),128.0)</f>
        <v>128</v>
      </c>
      <c r="E3" s="13">
        <f t="shared" si="2"/>
        <v>0.512</v>
      </c>
      <c r="F3" s="13">
        <f t="shared" si="3"/>
        <v>0.048</v>
      </c>
      <c r="G3" s="12">
        <f>IFERROR(__xludf.DUMMYFUNCTION("VLOOKUP(A3,IMPORTRANGE(""1QZ5UxyNCwadreQAXnQ7oCoH982DjIA-QnZdO7ZoqkC0/edit#gid=0"",""2019-2021!$A$2:$O$250""),2,FALSE)"),136.0)</f>
        <v>136</v>
      </c>
      <c r="H3" s="14">
        <f t="shared" si="4"/>
        <v>0.544</v>
      </c>
      <c r="I3" s="15">
        <f t="shared" si="5"/>
        <v>0.016</v>
      </c>
      <c r="J3" s="16">
        <f>IFERROR(__xludf.DUMMYFUNCTION("VLOOKUP(A3,IMPORTRANGE(""1QZ5UxyNCwadreQAXnQ7oCoH982DjIA-QnZdO7ZoqkC0/edit#gid=0"",""2019-2021!$A$2:$O$250""),4,FALSE)"),173.5)</f>
        <v>173.5</v>
      </c>
      <c r="K3" s="17">
        <f t="shared" si="6"/>
        <v>0.694</v>
      </c>
      <c r="L3" s="17">
        <f t="shared" si="7"/>
        <v>-0.134</v>
      </c>
      <c r="M3" s="16">
        <f>IFERROR(__xludf.DUMMYFUNCTION("VLOOKUP(A3,IMPORTRANGE(""1QZ5UxyNCwadreQAXnQ7oCoH982DjIA-QnZdO7ZoqkC0/edit#gid=0"",""2019-2021!$A$2:$O$250""),7,FALSE)"),160.5)</f>
        <v>160.5</v>
      </c>
      <c r="N3" s="17">
        <f t="shared" si="8"/>
        <v>0.642</v>
      </c>
      <c r="O3" s="17">
        <f t="shared" si="9"/>
        <v>-0.082</v>
      </c>
    </row>
    <row r="4">
      <c r="A4" s="19" t="s">
        <v>27</v>
      </c>
      <c r="B4" s="41">
        <f>IFERROR(__xludf.DUMMYFUNCTION("VLOOKUP(A4,IMPORTRANGE(""1EmrnCz2gLVTx5Cbj0e5tfuHPhTtmru8KTGuQvh7STl0/edit#gid=2147150001"",""Whole Data Set!$A$2:$NQ$253""),381,FALSE)"),7.5)</f>
        <v>7.5</v>
      </c>
      <c r="C4" s="58">
        <f t="shared" si="1"/>
        <v>0.03</v>
      </c>
      <c r="D4" s="12">
        <f>IFERROR(__xludf.DUMMYFUNCTION("VLOOKUP(A4,IMPORTRANGE(""1aFCnJY1qhIj8-JckJhDJ18aqmVo17tofpQmOjcYa3u8/edit#gid=948248086"",""Whole Data Set!$A$2:$NG$253""),371,FALSE)"),6.5)</f>
        <v>6.5</v>
      </c>
      <c r="E4" s="13">
        <f t="shared" si="2"/>
        <v>0.026</v>
      </c>
      <c r="F4" s="13">
        <f t="shared" si="3"/>
        <v>0.004</v>
      </c>
      <c r="G4" s="12">
        <f>IFERROR(__xludf.DUMMYFUNCTION("VLOOKUP(A4,IMPORTRANGE(""1QZ5UxyNCwadreQAXnQ7oCoH982DjIA-QnZdO7ZoqkC0/edit#gid=0"",""2019-2021!$A$2:$O$250""),2,FALSE)"),8.5)</f>
        <v>8.5</v>
      </c>
      <c r="H4" s="14">
        <f t="shared" si="4"/>
        <v>0.034</v>
      </c>
      <c r="I4" s="15">
        <f t="shared" si="5"/>
        <v>-0.004</v>
      </c>
      <c r="J4" s="16">
        <f>IFERROR(__xludf.DUMMYFUNCTION("VLOOKUP(A4,IMPORTRANGE(""1QZ5UxyNCwadreQAXnQ7oCoH982DjIA-QnZdO7ZoqkC0/edit#gid=0"",""2019-2021!$A$2:$O$250""),4,FALSE)"),10.0)</f>
        <v>10</v>
      </c>
      <c r="K4" s="17">
        <f t="shared" si="6"/>
        <v>0.04</v>
      </c>
      <c r="L4" s="17">
        <f t="shared" si="7"/>
        <v>-0.01</v>
      </c>
      <c r="M4" s="16">
        <f>IFERROR(__xludf.DUMMYFUNCTION("VLOOKUP(A4,IMPORTRANGE(""1QZ5UxyNCwadreQAXnQ7oCoH982DjIA-QnZdO7ZoqkC0/edit#gid=0"",""2019-2021!$A$2:$O$250""),7,FALSE)"),10.5)</f>
        <v>10.5</v>
      </c>
      <c r="N4" s="17">
        <f t="shared" si="8"/>
        <v>0.042</v>
      </c>
      <c r="O4" s="17">
        <f t="shared" si="9"/>
        <v>-0.012</v>
      </c>
    </row>
    <row r="5">
      <c r="A5" s="19" t="s">
        <v>161</v>
      </c>
      <c r="B5" s="41">
        <f>IFERROR(__xludf.DUMMYFUNCTION("VLOOKUP(A5,IMPORTRANGE(""1EmrnCz2gLVTx5Cbj0e5tfuHPhTtmru8KTGuQvh7STl0/edit#gid=2147150001"",""Whole Data Set!$A$2:$NQ$253""),381,FALSE)"),78.0)</f>
        <v>78</v>
      </c>
      <c r="C5" s="58">
        <f t="shared" si="1"/>
        <v>0.312</v>
      </c>
      <c r="D5" s="12">
        <f>IFERROR(__xludf.DUMMYFUNCTION("VLOOKUP(A5,IMPORTRANGE(""1aFCnJY1qhIj8-JckJhDJ18aqmVo17tofpQmOjcYa3u8/edit#gid=948248086"",""Whole Data Set!$A$2:$NG$253""),371,FALSE)"),77.5)</f>
        <v>77.5</v>
      </c>
      <c r="E5" s="13">
        <f t="shared" si="2"/>
        <v>0.31</v>
      </c>
      <c r="F5" s="13">
        <f t="shared" si="3"/>
        <v>0.002</v>
      </c>
      <c r="G5" s="12">
        <f>IFERROR(__xludf.DUMMYFUNCTION("VLOOKUP(A5,IMPORTRANGE(""1QZ5UxyNCwadreQAXnQ7oCoH982DjIA-QnZdO7ZoqkC0/edit#gid=0"",""2019-2021!$A$2:$O$250""),2,FALSE)"),62.0)</f>
        <v>62</v>
      </c>
      <c r="H5" s="14">
        <f t="shared" si="4"/>
        <v>0.248</v>
      </c>
      <c r="I5" s="15">
        <f t="shared" si="5"/>
        <v>0.064</v>
      </c>
      <c r="J5" s="16">
        <f>IFERROR(__xludf.DUMMYFUNCTION("VLOOKUP(A5,IMPORTRANGE(""1QZ5UxyNCwadreQAXnQ7oCoH982DjIA-QnZdO7ZoqkC0/edit#gid=0"",""2019-2021!$A$2:$O$250""),4,FALSE)"),63.0)</f>
        <v>63</v>
      </c>
      <c r="K5" s="17">
        <f t="shared" si="6"/>
        <v>0.252</v>
      </c>
      <c r="L5" s="17">
        <f t="shared" si="7"/>
        <v>0.06</v>
      </c>
      <c r="M5" s="16">
        <f>IFERROR(__xludf.DUMMYFUNCTION("VLOOKUP(A5,IMPORTRANGE(""1QZ5UxyNCwadreQAXnQ7oCoH982DjIA-QnZdO7ZoqkC0/edit#gid=0"",""2019-2021!$A$2:$O$250""),7,FALSE)"),53.5)</f>
        <v>53.5</v>
      </c>
      <c r="N5" s="17">
        <f t="shared" si="8"/>
        <v>0.214</v>
      </c>
      <c r="O5" s="17">
        <f t="shared" si="9"/>
        <v>0.098</v>
      </c>
    </row>
    <row r="6">
      <c r="A6" s="19" t="s">
        <v>162</v>
      </c>
      <c r="B6" s="41">
        <f>IFERROR(__xludf.DUMMYFUNCTION("VLOOKUP(A6,IMPORTRANGE(""1EmrnCz2gLVTx5Cbj0e5tfuHPhTtmru8KTGuQvh7STl0/edit#gid=2147150001"",""Whole Data Set!$A$2:$NQ$253""),381,FALSE)"),86.0)</f>
        <v>86</v>
      </c>
      <c r="C6" s="58">
        <f t="shared" si="1"/>
        <v>0.344</v>
      </c>
      <c r="D6" s="12">
        <f>IFERROR(__xludf.DUMMYFUNCTION("VLOOKUP(A6,IMPORTRANGE(""1aFCnJY1qhIj8-JckJhDJ18aqmVo17tofpQmOjcYa3u8/edit#gid=948248086"",""Whole Data Set!$A$2:$NG$253""),371,FALSE)"),76.0)</f>
        <v>76</v>
      </c>
      <c r="E6" s="13">
        <f t="shared" si="2"/>
        <v>0.304</v>
      </c>
      <c r="F6" s="13">
        <f t="shared" si="3"/>
        <v>0.04</v>
      </c>
      <c r="G6" s="12">
        <f>IFERROR(__xludf.DUMMYFUNCTION("VLOOKUP(A6,IMPORTRANGE(""1QZ5UxyNCwadreQAXnQ7oCoH982DjIA-QnZdO7ZoqkC0/edit#gid=0"",""2019-2021!$A$2:$O$250""),2,FALSE)"),77.0)</f>
        <v>77</v>
      </c>
      <c r="H6" s="14">
        <f t="shared" si="4"/>
        <v>0.308</v>
      </c>
      <c r="I6" s="15">
        <f t="shared" si="5"/>
        <v>0.036</v>
      </c>
      <c r="J6" s="16">
        <f>IFERROR(__xludf.DUMMYFUNCTION("VLOOKUP(A6,IMPORTRANGE(""1QZ5UxyNCwadreQAXnQ7oCoH982DjIA-QnZdO7ZoqkC0/edit#gid=0"",""2019-2021!$A$2:$O$250""),4,FALSE)"),75.0)</f>
        <v>75</v>
      </c>
      <c r="K6" s="17">
        <f t="shared" si="6"/>
        <v>0.3</v>
      </c>
      <c r="L6" s="17">
        <f t="shared" si="7"/>
        <v>0.044</v>
      </c>
      <c r="M6" s="16">
        <f>IFERROR(__xludf.DUMMYFUNCTION("VLOOKUP(A6,IMPORTRANGE(""1QZ5UxyNCwadreQAXnQ7oCoH982DjIA-QnZdO7ZoqkC0/edit#gid=0"",""2019-2021!$A$2:$O$250""),7,FALSE)"),53.5)</f>
        <v>53.5</v>
      </c>
      <c r="N6" s="17">
        <f t="shared" si="8"/>
        <v>0.214</v>
      </c>
      <c r="O6" s="17">
        <f t="shared" si="9"/>
        <v>0.13</v>
      </c>
    </row>
    <row r="7">
      <c r="A7" s="19" t="s">
        <v>163</v>
      </c>
      <c r="B7" s="41">
        <f>IFERROR(__xludf.DUMMYFUNCTION("VLOOKUP(A7,IMPORTRANGE(""1EmrnCz2gLVTx5Cbj0e5tfuHPhTtmru8KTGuQvh7STl0/edit#gid=2147150001"",""Whole Data Set!$A$2:$NQ$253""),381,FALSE)"),35.75)</f>
        <v>35.75</v>
      </c>
      <c r="C7" s="58">
        <f t="shared" si="1"/>
        <v>0.143</v>
      </c>
      <c r="D7" s="12">
        <f>IFERROR(__xludf.DUMMYFUNCTION("VLOOKUP(A7,IMPORTRANGE(""1aFCnJY1qhIj8-JckJhDJ18aqmVo17tofpQmOjcYa3u8/edit#gid=948248086"",""Whole Data Set!$A$2:$NG$253""),371,FALSE)"),35.0)</f>
        <v>35</v>
      </c>
      <c r="E7" s="13">
        <f t="shared" si="2"/>
        <v>0.14</v>
      </c>
      <c r="F7" s="13">
        <f t="shared" si="3"/>
        <v>0.003</v>
      </c>
      <c r="G7" s="12">
        <f>IFERROR(__xludf.DUMMYFUNCTION("VLOOKUP(A7,IMPORTRANGE(""1QZ5UxyNCwadreQAXnQ7oCoH982DjIA-QnZdO7ZoqkC0/edit#gid=0"",""2019-2021!$A$2:$O$250""),2,FALSE)"),35.5)</f>
        <v>35.5</v>
      </c>
      <c r="H7" s="14">
        <f t="shared" si="4"/>
        <v>0.142</v>
      </c>
      <c r="I7" s="15">
        <f t="shared" si="5"/>
        <v>0.001</v>
      </c>
      <c r="J7" s="16">
        <f>IFERROR(__xludf.DUMMYFUNCTION("VLOOKUP(A7,IMPORTRANGE(""1QZ5UxyNCwadreQAXnQ7oCoH982DjIA-QnZdO7ZoqkC0/edit#gid=0"",""2019-2021!$A$2:$O$250""),4,FALSE)"),43.5)</f>
        <v>43.5</v>
      </c>
      <c r="K7" s="17">
        <f t="shared" si="6"/>
        <v>0.174</v>
      </c>
      <c r="L7" s="17">
        <f t="shared" si="7"/>
        <v>-0.031</v>
      </c>
      <c r="M7" s="16">
        <f>IFERROR(__xludf.DUMMYFUNCTION("VLOOKUP(A7,IMPORTRANGE(""1QZ5UxyNCwadreQAXnQ7oCoH982DjIA-QnZdO7ZoqkC0/edit#gid=0"",""2019-2021!$A$2:$O$250""),7,FALSE)"),39.5)</f>
        <v>39.5</v>
      </c>
      <c r="N7" s="17">
        <f t="shared" si="8"/>
        <v>0.158</v>
      </c>
      <c r="O7" s="17">
        <f t="shared" si="9"/>
        <v>-0.015</v>
      </c>
    </row>
    <row r="8">
      <c r="A8" s="19" t="s">
        <v>23</v>
      </c>
      <c r="B8" s="41">
        <f>IFERROR(__xludf.DUMMYFUNCTION("VLOOKUP(A8,IMPORTRANGE(""1EmrnCz2gLVTx5Cbj0e5tfuHPhTtmru8KTGuQvh7STl0/edit#gid=2147150001"",""Whole Data Set!$A$2:$NQ$253""),381,FALSE)"),64.25)</f>
        <v>64.25</v>
      </c>
      <c r="C8" s="58">
        <f t="shared" si="1"/>
        <v>0.257</v>
      </c>
      <c r="D8" s="12">
        <f>IFERROR(__xludf.DUMMYFUNCTION("VLOOKUP(A8,IMPORTRANGE(""1aFCnJY1qhIj8-JckJhDJ18aqmVo17tofpQmOjcYa3u8/edit#gid=948248086"",""Whole Data Set!$A$2:$NG$253""),371,FALSE)"),77.25)</f>
        <v>77.25</v>
      </c>
      <c r="E8" s="13">
        <f t="shared" si="2"/>
        <v>0.309</v>
      </c>
      <c r="F8" s="13">
        <f t="shared" si="3"/>
        <v>-0.052</v>
      </c>
      <c r="G8" s="12">
        <f>IFERROR(__xludf.DUMMYFUNCTION("VLOOKUP(A8,IMPORTRANGE(""1QZ5UxyNCwadreQAXnQ7oCoH982DjIA-QnZdO7ZoqkC0/edit#gid=0"",""2019-2021!$A$2:$O$250""),2,FALSE)"),68.25)</f>
        <v>68.25</v>
      </c>
      <c r="H8" s="14">
        <f t="shared" si="4"/>
        <v>0.273</v>
      </c>
      <c r="I8" s="15">
        <f t="shared" si="5"/>
        <v>-0.016</v>
      </c>
      <c r="J8" s="16">
        <f>IFERROR(__xludf.DUMMYFUNCTION("VLOOKUP(A8,IMPORTRANGE(""1QZ5UxyNCwadreQAXnQ7oCoH982DjIA-QnZdO7ZoqkC0/edit#gid=0"",""2019-2021!$A$2:$O$250""),4,FALSE)"),63.5)</f>
        <v>63.5</v>
      </c>
      <c r="K8" s="17">
        <f t="shared" si="6"/>
        <v>0.254</v>
      </c>
      <c r="L8" s="17">
        <f t="shared" si="7"/>
        <v>0.003</v>
      </c>
      <c r="M8" s="16">
        <f>IFERROR(__xludf.DUMMYFUNCTION("VLOOKUP(A8,IMPORTRANGE(""1QZ5UxyNCwadreQAXnQ7oCoH982DjIA-QnZdO7ZoqkC0/edit#gid=0"",""2019-2021!$A$2:$O$250""),7,FALSE)"),34.0)</f>
        <v>34</v>
      </c>
      <c r="N8" s="17">
        <f t="shared" si="8"/>
        <v>0.136</v>
      </c>
      <c r="O8" s="17">
        <f t="shared" si="9"/>
        <v>0.121</v>
      </c>
    </row>
    <row r="9">
      <c r="A9" s="42" t="s">
        <v>24</v>
      </c>
      <c r="B9" s="41">
        <f>IFERROR(__xludf.DUMMYFUNCTION("VLOOKUP(A9,IMPORTRANGE(""1EmrnCz2gLVTx5Cbj0e5tfuHPhTtmru8KTGuQvh7STl0/edit#gid=2147150001"",""Whole Data Set!$A$2:$NQ$253""),381,FALSE)"),53.5)</f>
        <v>53.5</v>
      </c>
      <c r="C9" s="58">
        <f t="shared" si="1"/>
        <v>0.214</v>
      </c>
      <c r="D9" s="12">
        <f>IFERROR(__xludf.DUMMYFUNCTION("VLOOKUP(A9,IMPORTRANGE(""1aFCnJY1qhIj8-JckJhDJ18aqmVo17tofpQmOjcYa3u8/edit#gid=948248086"",""Whole Data Set!$A$2:$NG$253""),371,FALSE)"),45.75)</f>
        <v>45.75</v>
      </c>
      <c r="E9" s="13">
        <f t="shared" si="2"/>
        <v>0.183</v>
      </c>
      <c r="F9" s="13">
        <f t="shared" si="3"/>
        <v>0.031</v>
      </c>
      <c r="G9" s="12">
        <f>IFERROR(__xludf.DUMMYFUNCTION("VLOOKUP(A9,IMPORTRANGE(""1QZ5UxyNCwadreQAXnQ7oCoH982DjIA-QnZdO7ZoqkC0/edit#gid=0"",""2019-2021!$A$2:$O$250""),2,FALSE)"),38.75)</f>
        <v>38.75</v>
      </c>
      <c r="H9" s="14">
        <f t="shared" si="4"/>
        <v>0.155</v>
      </c>
      <c r="I9" s="15">
        <f t="shared" si="5"/>
        <v>0.059</v>
      </c>
      <c r="J9" s="16">
        <f>IFERROR(__xludf.DUMMYFUNCTION("VLOOKUP(A9,IMPORTRANGE(""1QZ5UxyNCwadreQAXnQ7oCoH982DjIA-QnZdO7ZoqkC0/edit#gid=0"",""2019-2021!$A$2:$O$250""),4,FALSE)"),43.0)</f>
        <v>43</v>
      </c>
      <c r="K9" s="17">
        <f t="shared" si="6"/>
        <v>0.172</v>
      </c>
      <c r="L9" s="17">
        <f t="shared" si="7"/>
        <v>0.042</v>
      </c>
      <c r="M9" s="16">
        <f>IFERROR(__xludf.DUMMYFUNCTION("VLOOKUP(A9,IMPORTRANGE(""1QZ5UxyNCwadreQAXnQ7oCoH982DjIA-QnZdO7ZoqkC0/edit#gid=0"",""2019-2021!$A$2:$O$250""),7,FALSE)"),34.5)</f>
        <v>34.5</v>
      </c>
      <c r="N9" s="17">
        <f t="shared" si="8"/>
        <v>0.138</v>
      </c>
      <c r="O9" s="17">
        <f t="shared" si="9"/>
        <v>0.076</v>
      </c>
    </row>
    <row r="10">
      <c r="A10" s="19" t="s">
        <v>113</v>
      </c>
      <c r="B10" s="41">
        <f>IFERROR(__xludf.DUMMYFUNCTION("VLOOKUP(A10,IMPORTRANGE(""1EmrnCz2gLVTx5Cbj0e5tfuHPhTtmru8KTGuQvh7STl0/edit#gid=2147150001"",""Whole Data Set!$A$2:$NQ$253""),381,FALSE)"),0.25)</f>
        <v>0.25</v>
      </c>
      <c r="C10" s="58">
        <f t="shared" si="1"/>
        <v>0.001</v>
      </c>
      <c r="D10" s="12">
        <f>IFERROR(__xludf.DUMMYFUNCTION("VLOOKUP(A10,IMPORTRANGE(""1aFCnJY1qhIj8-JckJhDJ18aqmVo17tofpQmOjcYa3u8/edit#gid=948248086"",""Whole Data Set!$A$2:$NG$253""),371,FALSE)"),13.25)</f>
        <v>13.25</v>
      </c>
      <c r="E10" s="13">
        <f t="shared" si="2"/>
        <v>0.053</v>
      </c>
      <c r="F10" s="13">
        <f t="shared" si="3"/>
        <v>-0.052</v>
      </c>
      <c r="G10" s="12">
        <f>IFERROR(__xludf.DUMMYFUNCTION("VLOOKUP(A10,IMPORTRANGE(""1QZ5UxyNCwadreQAXnQ7oCoH982DjIA-QnZdO7ZoqkC0/edit#gid=0"",""2019-2021!$A$2:$O$250""),2,FALSE)"),17.5)</f>
        <v>17.5</v>
      </c>
      <c r="H10" s="14">
        <f t="shared" si="4"/>
        <v>0.07</v>
      </c>
      <c r="I10" s="15">
        <f t="shared" si="5"/>
        <v>-0.069</v>
      </c>
      <c r="J10" s="16">
        <f>IFERROR(__xludf.DUMMYFUNCTION("VLOOKUP(A10,IMPORTRANGE(""1QZ5UxyNCwadreQAXnQ7oCoH982DjIA-QnZdO7ZoqkC0/edit#gid=0"",""2019-2021!$A$2:$O$250""),4,FALSE)"),21.0)</f>
        <v>21</v>
      </c>
      <c r="K10" s="17">
        <f t="shared" si="6"/>
        <v>0.084</v>
      </c>
      <c r="L10" s="17">
        <f t="shared" si="7"/>
        <v>-0.083</v>
      </c>
      <c r="M10" s="16">
        <f>IFERROR(__xludf.DUMMYFUNCTION("VLOOKUP(A10,IMPORTRANGE(""1QZ5UxyNCwadreQAXnQ7oCoH982DjIA-QnZdO7ZoqkC0/edit#gid=0"",""2019-2021!$A$2:$O$250""),7,FALSE)"),26.0)</f>
        <v>26</v>
      </c>
      <c r="N10" s="17">
        <f t="shared" si="8"/>
        <v>0.104</v>
      </c>
      <c r="O10" s="17">
        <f t="shared" si="9"/>
        <v>-0.103</v>
      </c>
    </row>
    <row r="11">
      <c r="A11" s="19" t="s">
        <v>25</v>
      </c>
      <c r="B11" s="41">
        <f>IFERROR(__xludf.DUMMYFUNCTION("VLOOKUP(A11,IMPORTRANGE(""1EmrnCz2gLVTx5Cbj0e5tfuHPhTtmru8KTGuQvh7STl0/edit#gid=2147150001"",""Whole Data Set!$A$2:$NQ$253""),381,FALSE)"),32.5)</f>
        <v>32.5</v>
      </c>
      <c r="C11" s="58">
        <f t="shared" si="1"/>
        <v>0.13</v>
      </c>
      <c r="D11" s="12">
        <f>IFERROR(__xludf.DUMMYFUNCTION("VLOOKUP(A11,IMPORTRANGE(""1aFCnJY1qhIj8-JckJhDJ18aqmVo17tofpQmOjcYa3u8/edit#gid=948248086"",""Whole Data Set!$A$2:$NG$253""),371,FALSE)"),34.75)</f>
        <v>34.75</v>
      </c>
      <c r="E11" s="13">
        <f t="shared" si="2"/>
        <v>0.139</v>
      </c>
      <c r="F11" s="13">
        <f t="shared" si="3"/>
        <v>-0.009</v>
      </c>
      <c r="G11" s="12">
        <f>IFERROR(__xludf.DUMMYFUNCTION("VLOOKUP(A11,IMPORTRANGE(""1QZ5UxyNCwadreQAXnQ7oCoH982DjIA-QnZdO7ZoqkC0/edit#gid=0"",""2019-2021!$A$2:$O$250""),2,FALSE)"),39.25)</f>
        <v>39.25</v>
      </c>
      <c r="H11" s="14">
        <f t="shared" si="4"/>
        <v>0.157</v>
      </c>
      <c r="I11" s="15">
        <f t="shared" si="5"/>
        <v>-0.027</v>
      </c>
      <c r="J11" s="16">
        <f>IFERROR(__xludf.DUMMYFUNCTION("VLOOKUP(A11,IMPORTRANGE(""1QZ5UxyNCwadreQAXnQ7oCoH982DjIA-QnZdO7ZoqkC0/edit#gid=0"",""2019-2021!$A$2:$O$250""),4,FALSE)"),50.5)</f>
        <v>50.5</v>
      </c>
      <c r="K11" s="17">
        <f t="shared" si="6"/>
        <v>0.202</v>
      </c>
      <c r="L11" s="17">
        <f t="shared" si="7"/>
        <v>-0.072</v>
      </c>
      <c r="M11" s="16">
        <f>IFERROR(__xludf.DUMMYFUNCTION("VLOOKUP(A11,IMPORTRANGE(""1QZ5UxyNCwadreQAXnQ7oCoH982DjIA-QnZdO7ZoqkC0/edit#gid=0"",""2019-2021!$A$2:$O$250""),7,FALSE)"),13.5)</f>
        <v>13.5</v>
      </c>
      <c r="N11" s="17">
        <f t="shared" si="8"/>
        <v>0.054</v>
      </c>
      <c r="O11" s="17">
        <f t="shared" si="9"/>
        <v>0.076</v>
      </c>
    </row>
    <row r="12">
      <c r="A12" s="19" t="s">
        <v>26</v>
      </c>
      <c r="B12" s="41">
        <f>IFERROR(__xludf.DUMMYFUNCTION("VLOOKUP(A12,IMPORTRANGE(""1EmrnCz2gLVTx5Cbj0e5tfuHPhTtmru8KTGuQvh7STl0/edit#gid=2147150001"",""Whole Data Set!$A$2:$NQ$253""),381,FALSE)"),95.75)</f>
        <v>95.75</v>
      </c>
      <c r="C12" s="58">
        <f t="shared" si="1"/>
        <v>0.383</v>
      </c>
      <c r="D12" s="12">
        <f>IFERROR(__xludf.DUMMYFUNCTION("VLOOKUP(A12,IMPORTRANGE(""1aFCnJY1qhIj8-JckJhDJ18aqmVo17tofpQmOjcYa3u8/edit#gid=948248086"",""Whole Data Set!$A$2:$NG$253""),371,FALSE)"),48.5)</f>
        <v>48.5</v>
      </c>
      <c r="E12" s="13">
        <f t="shared" si="2"/>
        <v>0.194</v>
      </c>
      <c r="F12" s="13">
        <f t="shared" si="3"/>
        <v>0.189</v>
      </c>
      <c r="G12" s="12">
        <f>IFERROR(__xludf.DUMMYFUNCTION("VLOOKUP(A12,IMPORTRANGE(""1QZ5UxyNCwadreQAXnQ7oCoH982DjIA-QnZdO7ZoqkC0/edit#gid=0"",""2019-2021!$A$2:$O$250""),2,FALSE)"),34.75)</f>
        <v>34.75</v>
      </c>
      <c r="H12" s="14">
        <f t="shared" si="4"/>
        <v>0.139</v>
      </c>
      <c r="I12" s="15">
        <f t="shared" si="5"/>
        <v>0.244</v>
      </c>
      <c r="J12" s="16">
        <f>IFERROR(__xludf.DUMMYFUNCTION("VLOOKUP(A12,IMPORTRANGE(""1QZ5UxyNCwadreQAXnQ7oCoH982DjIA-QnZdO7ZoqkC0/edit#gid=0"",""2019-2021!$A$2:$O$250""),4,FALSE)"),22.0)</f>
        <v>22</v>
      </c>
      <c r="K12" s="17">
        <f t="shared" si="6"/>
        <v>0.088</v>
      </c>
      <c r="L12" s="17">
        <f t="shared" si="7"/>
        <v>0.295</v>
      </c>
      <c r="M12" s="16">
        <f>IFERROR(__xludf.DUMMYFUNCTION("VLOOKUP(A12,IMPORTRANGE(""1QZ5UxyNCwadreQAXnQ7oCoH982DjIA-QnZdO7ZoqkC0/edit#gid=0"",""2019-2021!$A$2:$O$250""),7,FALSE)"),18.0)</f>
        <v>18</v>
      </c>
      <c r="N12" s="17">
        <f t="shared" si="8"/>
        <v>0.072</v>
      </c>
      <c r="O12" s="17">
        <f t="shared" si="9"/>
        <v>0.311</v>
      </c>
    </row>
    <row r="13">
      <c r="A13" s="19" t="s">
        <v>75</v>
      </c>
      <c r="B13" s="41">
        <f>IFERROR(__xludf.DUMMYFUNCTION("VLOOKUP(A13,IMPORTRANGE(""1EmrnCz2gLVTx5Cbj0e5tfuHPhTtmru8KTGuQvh7STl0/edit#gid=2147150001"",""Whole Data Set!$A$2:$NQ$253""),381,FALSE)"),69.75)</f>
        <v>69.75</v>
      </c>
      <c r="C13" s="58">
        <f t="shared" si="1"/>
        <v>0.279</v>
      </c>
      <c r="D13" s="12">
        <f>IFERROR(__xludf.DUMMYFUNCTION("VLOOKUP(A13,IMPORTRANGE(""1aFCnJY1qhIj8-JckJhDJ18aqmVo17tofpQmOjcYa3u8/edit#gid=948248086"",""Whole Data Set!$A$2:$NG$253""),371,FALSE)"),68.5)</f>
        <v>68.5</v>
      </c>
      <c r="E13" s="13">
        <f t="shared" si="2"/>
        <v>0.274</v>
      </c>
      <c r="F13" s="13">
        <f t="shared" si="3"/>
        <v>0.005</v>
      </c>
      <c r="G13" s="12">
        <f>IFERROR(__xludf.DUMMYFUNCTION("VLOOKUP(A13,IMPORTRANGE(""1QZ5UxyNCwadreQAXnQ7oCoH982DjIA-QnZdO7ZoqkC0/edit#gid=0"",""2019-2021!$A$2:$O$250""),2,FALSE)"),95.5)</f>
        <v>95.5</v>
      </c>
      <c r="H13" s="14">
        <f t="shared" si="4"/>
        <v>0.382</v>
      </c>
      <c r="I13" s="15">
        <f t="shared" si="5"/>
        <v>-0.103</v>
      </c>
      <c r="J13" s="16">
        <f>IFERROR(__xludf.DUMMYFUNCTION("VLOOKUP(A13,IMPORTRANGE(""1QZ5UxyNCwadreQAXnQ7oCoH982DjIA-QnZdO7ZoqkC0/edit#gid=0"",""2019-2021!$A$2:$O$250""),4,FALSE)"),84.5)</f>
        <v>84.5</v>
      </c>
      <c r="K13" s="17">
        <f t="shared" si="6"/>
        <v>0.338</v>
      </c>
      <c r="L13" s="17">
        <f t="shared" si="7"/>
        <v>-0.059</v>
      </c>
      <c r="M13" s="16">
        <f>IFERROR(__xludf.DUMMYFUNCTION("VLOOKUP(A13,IMPORTRANGE(""1QZ5UxyNCwadreQAXnQ7oCoH982DjIA-QnZdO7ZoqkC0/edit#gid=0"",""2019-2021!$A$2:$O$250""),7,FALSE)"),94.0)</f>
        <v>94</v>
      </c>
      <c r="N13" s="17">
        <f t="shared" si="8"/>
        <v>0.376</v>
      </c>
      <c r="O13" s="17">
        <f t="shared" si="9"/>
        <v>-0.097</v>
      </c>
    </row>
    <row r="14">
      <c r="A14" s="19" t="s">
        <v>28</v>
      </c>
      <c r="B14" s="41">
        <f>IFERROR(__xludf.DUMMYFUNCTION("VLOOKUP(A14,IMPORTRANGE(""1EmrnCz2gLVTx5Cbj0e5tfuHPhTtmru8KTGuQvh7STl0/edit#gid=2147150001"",""Whole Data Set!$A$2:$NQ$253""),381,FALSE)"),113.25)</f>
        <v>113.25</v>
      </c>
      <c r="C14" s="58">
        <f t="shared" si="1"/>
        <v>0.453</v>
      </c>
      <c r="D14" s="12">
        <f>IFERROR(__xludf.DUMMYFUNCTION("VLOOKUP(A14,IMPORTRANGE(""1aFCnJY1qhIj8-JckJhDJ18aqmVo17tofpQmOjcYa3u8/edit#gid=948248086"",""Whole Data Set!$A$2:$NG$253""),371,FALSE)"),110.25)</f>
        <v>110.25</v>
      </c>
      <c r="E14" s="13">
        <f t="shared" si="2"/>
        <v>0.441</v>
      </c>
      <c r="F14" s="13">
        <f t="shared" si="3"/>
        <v>0.012</v>
      </c>
      <c r="G14" s="12">
        <f>IFERROR(__xludf.DUMMYFUNCTION("VLOOKUP(A14,IMPORTRANGE(""1QZ5UxyNCwadreQAXnQ7oCoH982DjIA-QnZdO7ZoqkC0/edit#gid=0"",""2019-2021!$A$2:$O$250""),2,FALSE)"),122.25)</f>
        <v>122.25</v>
      </c>
      <c r="H14" s="14">
        <f t="shared" si="4"/>
        <v>0.489</v>
      </c>
      <c r="I14" s="15">
        <f t="shared" si="5"/>
        <v>-0.036</v>
      </c>
      <c r="J14" s="16">
        <f>IFERROR(__xludf.DUMMYFUNCTION("VLOOKUP(A14,IMPORTRANGE(""1QZ5UxyNCwadreQAXnQ7oCoH982DjIA-QnZdO7ZoqkC0/edit#gid=0"",""2019-2021!$A$2:$O$250""),4,FALSE)"),114.5)</f>
        <v>114.5</v>
      </c>
      <c r="K14" s="17">
        <f t="shared" si="6"/>
        <v>0.458</v>
      </c>
      <c r="L14" s="17">
        <f t="shared" si="7"/>
        <v>-0.005</v>
      </c>
      <c r="M14" s="16">
        <f>IFERROR(__xludf.DUMMYFUNCTION("VLOOKUP(A14,IMPORTRANGE(""1QZ5UxyNCwadreQAXnQ7oCoH982DjIA-QnZdO7ZoqkC0/edit#gid=0"",""2019-2021!$A$2:$O$250""),7,FALSE)"),76.0)</f>
        <v>76</v>
      </c>
      <c r="N14" s="17">
        <f t="shared" si="8"/>
        <v>0.304</v>
      </c>
      <c r="O14" s="17">
        <f t="shared" si="9"/>
        <v>0.149</v>
      </c>
    </row>
    <row r="15">
      <c r="A15" s="19" t="s">
        <v>29</v>
      </c>
      <c r="B15" s="41">
        <f>IFERROR(__xludf.DUMMYFUNCTION("VLOOKUP(A15,IMPORTRANGE(""1EmrnCz2gLVTx5Cbj0e5tfuHPhTtmru8KTGuQvh7STl0/edit#gid=2147150001"",""Whole Data Set!$A$2:$NQ$253""),381,FALSE)"),125.0)</f>
        <v>125</v>
      </c>
      <c r="C15" s="58">
        <f t="shared" si="1"/>
        <v>0.5</v>
      </c>
      <c r="D15" s="12">
        <f>IFERROR(__xludf.DUMMYFUNCTION("VLOOKUP(A15,IMPORTRANGE(""1aFCnJY1qhIj8-JckJhDJ18aqmVo17tofpQmOjcYa3u8/edit#gid=948248086"",""Whole Data Set!$A$2:$NG$253""),371,FALSE)"),126.5)</f>
        <v>126.5</v>
      </c>
      <c r="E15" s="13">
        <f t="shared" si="2"/>
        <v>0.506</v>
      </c>
      <c r="F15" s="13">
        <f t="shared" si="3"/>
        <v>-0.006</v>
      </c>
      <c r="G15" s="12">
        <f>IFERROR(__xludf.DUMMYFUNCTION("VLOOKUP(A15,IMPORTRANGE(""1QZ5UxyNCwadreQAXnQ7oCoH982DjIA-QnZdO7ZoqkC0/edit#gid=0"",""2019-2021!$A$2:$O$250""),2,FALSE)"),118.25)</f>
        <v>118.25</v>
      </c>
      <c r="H15" s="14">
        <f t="shared" si="4"/>
        <v>0.473</v>
      </c>
      <c r="I15" s="15">
        <f t="shared" si="5"/>
        <v>0.027</v>
      </c>
      <c r="J15" s="16">
        <f>IFERROR(__xludf.DUMMYFUNCTION("VLOOKUP(A15,IMPORTRANGE(""1QZ5UxyNCwadreQAXnQ7oCoH982DjIA-QnZdO7ZoqkC0/edit#gid=0"",""2019-2021!$A$2:$O$250""),4,FALSE)"),137.0)</f>
        <v>137</v>
      </c>
      <c r="K15" s="17">
        <f t="shared" si="6"/>
        <v>0.548</v>
      </c>
      <c r="L15" s="17">
        <f t="shared" si="7"/>
        <v>-0.048</v>
      </c>
      <c r="M15" s="16">
        <f>IFERROR(__xludf.DUMMYFUNCTION("VLOOKUP(A15,IMPORTRANGE(""1QZ5UxyNCwadreQAXnQ7oCoH982DjIA-QnZdO7ZoqkC0/edit#gid=0"",""2019-2021!$A$2:$O$250""),7,FALSE)"),147.0)</f>
        <v>147</v>
      </c>
      <c r="N15" s="17">
        <f t="shared" si="8"/>
        <v>0.588</v>
      </c>
      <c r="O15" s="17">
        <f t="shared" si="9"/>
        <v>-0.088</v>
      </c>
    </row>
    <row r="16">
      <c r="A16" s="42" t="s">
        <v>57</v>
      </c>
      <c r="B16" s="41">
        <f>IFERROR(__xludf.DUMMYFUNCTION("VLOOKUP(A16,IMPORTRANGE(""1EmrnCz2gLVTx5Cbj0e5tfuHPhTtmru8KTGuQvh7STl0/edit#gid=2147150001"",""Whole Data Set!$A$2:$NQ$253""),381,FALSE)"),120.25)</f>
        <v>120.25</v>
      </c>
      <c r="C16" s="58">
        <f t="shared" si="1"/>
        <v>0.481</v>
      </c>
      <c r="D16" s="12">
        <f>IFERROR(__xludf.DUMMYFUNCTION("VLOOKUP(A16,IMPORTRANGE(""1aFCnJY1qhIj8-JckJhDJ18aqmVo17tofpQmOjcYa3u8/edit#gid=948248086"",""Whole Data Set!$A$2:$NG$253""),371,FALSE)"),109.5)</f>
        <v>109.5</v>
      </c>
      <c r="E16" s="13">
        <f t="shared" si="2"/>
        <v>0.438</v>
      </c>
      <c r="F16" s="13">
        <f t="shared" si="3"/>
        <v>0.043</v>
      </c>
      <c r="G16" s="12">
        <f>IFERROR(__xludf.DUMMYFUNCTION("VLOOKUP(A16,IMPORTRANGE(""1QZ5UxyNCwadreQAXnQ7oCoH982DjIA-QnZdO7ZoqkC0/edit#gid=0"",""2019-2021!$A$2:$O$250""),2,FALSE)"),123.0)</f>
        <v>123</v>
      </c>
      <c r="H16" s="14">
        <f t="shared" si="4"/>
        <v>0.492</v>
      </c>
      <c r="I16" s="15">
        <f t="shared" si="5"/>
        <v>-0.011</v>
      </c>
      <c r="J16" s="16">
        <f>IFERROR(__xludf.DUMMYFUNCTION("VLOOKUP(A16,IMPORTRANGE(""1QZ5UxyNCwadreQAXnQ7oCoH982DjIA-QnZdO7ZoqkC0/edit#gid=0"",""2019-2021!$A$2:$O$250""),4,FALSE)"),125.0)</f>
        <v>125</v>
      </c>
      <c r="K16" s="17">
        <f t="shared" si="6"/>
        <v>0.5</v>
      </c>
      <c r="L16" s="17">
        <f t="shared" si="7"/>
        <v>-0.019</v>
      </c>
      <c r="M16" s="16">
        <f>IFERROR(__xludf.DUMMYFUNCTION("VLOOKUP(A16,IMPORTRANGE(""1QZ5UxyNCwadreQAXnQ7oCoH982DjIA-QnZdO7ZoqkC0/edit#gid=0"",""2019-2021!$A$2:$O$250""),7,FALSE)"),134.5)</f>
        <v>134.5</v>
      </c>
      <c r="N16" s="17">
        <f t="shared" si="8"/>
        <v>0.538</v>
      </c>
      <c r="O16" s="17">
        <f t="shared" si="9"/>
        <v>-0.057</v>
      </c>
    </row>
    <row r="17">
      <c r="A17" s="42" t="s">
        <v>164</v>
      </c>
      <c r="B17" s="41">
        <f>IFERROR(__xludf.DUMMYFUNCTION("VLOOKUP(A17,IMPORTRANGE(""1EmrnCz2gLVTx5Cbj0e5tfuHPhTtmru8KTGuQvh7STl0/edit#gid=2147150001"",""Whole Data Set!$A$2:$NQ$253""),381,FALSE)"),3.25)</f>
        <v>3.25</v>
      </c>
      <c r="C17" s="58">
        <f t="shared" si="1"/>
        <v>0.013</v>
      </c>
      <c r="D17" s="12">
        <f>IFERROR(__xludf.DUMMYFUNCTION("VLOOKUP(A17,IMPORTRANGE(""1aFCnJY1qhIj8-JckJhDJ18aqmVo17tofpQmOjcYa3u8/edit#gid=948248086"",""Whole Data Set!$A$2:$NG$253""),371,FALSE)"),3.25)</f>
        <v>3.25</v>
      </c>
      <c r="E17" s="13">
        <f t="shared" si="2"/>
        <v>0.013</v>
      </c>
      <c r="F17" s="13">
        <f t="shared" si="3"/>
        <v>0</v>
      </c>
      <c r="G17" s="12">
        <f>IFERROR(__xludf.DUMMYFUNCTION("VLOOKUP(A17,IMPORTRANGE(""1QZ5UxyNCwadreQAXnQ7oCoH982DjIA-QnZdO7ZoqkC0/edit#gid=0"",""2019-2021!$A$2:$O$250""),2,FALSE)"),4.75)</f>
        <v>4.75</v>
      </c>
      <c r="H17" s="14">
        <f t="shared" si="4"/>
        <v>0.019</v>
      </c>
      <c r="I17" s="15">
        <f t="shared" si="5"/>
        <v>-0.006</v>
      </c>
      <c r="J17" s="16">
        <f>IFERROR(__xludf.DUMMYFUNCTION("VLOOKUP(A17,IMPORTRANGE(""1QZ5UxyNCwadreQAXnQ7oCoH982DjIA-QnZdO7ZoqkC0/edit#gid=0"",""2019-2021!$A$2:$O$250""),4,FALSE)"),8.0)</f>
        <v>8</v>
      </c>
      <c r="K17" s="17">
        <f t="shared" si="6"/>
        <v>0.032</v>
      </c>
      <c r="L17" s="17">
        <f t="shared" si="7"/>
        <v>-0.019</v>
      </c>
      <c r="M17" s="16">
        <f>IFERROR(__xludf.DUMMYFUNCTION("VLOOKUP(A17,IMPORTRANGE(""1QZ5UxyNCwadreQAXnQ7oCoH982DjIA-QnZdO7ZoqkC0/edit#gid=0"",""2019-2021!$A$2:$O$250""),7,FALSE)"),4.5)</f>
        <v>4.5</v>
      </c>
      <c r="N17" s="17">
        <f t="shared" si="8"/>
        <v>0.018</v>
      </c>
      <c r="O17" s="17">
        <f t="shared" si="9"/>
        <v>-0.005</v>
      </c>
    </row>
    <row r="18">
      <c r="A18" s="19" t="s">
        <v>165</v>
      </c>
      <c r="B18" s="41">
        <f>IFERROR(__xludf.DUMMYFUNCTION("VLOOKUP(A18,IMPORTRANGE(""1EmrnCz2gLVTx5Cbj0e5tfuHPhTtmru8KTGuQvh7STl0/edit#gid=2147150001"",""Whole Data Set!$A$2:$NQ$253""),381,FALSE)"),17.0)</f>
        <v>17</v>
      </c>
      <c r="C18" s="58">
        <f t="shared" si="1"/>
        <v>0.068</v>
      </c>
      <c r="D18" s="12">
        <f>IFERROR(__xludf.DUMMYFUNCTION("VLOOKUP(A18,IMPORTRANGE(""1aFCnJY1qhIj8-JckJhDJ18aqmVo17tofpQmOjcYa3u8/edit#gid=948248086"",""Whole Data Set!$A$2:$NG$253""),371,FALSE)"),17.75)</f>
        <v>17.75</v>
      </c>
      <c r="E18" s="13">
        <f t="shared" si="2"/>
        <v>0.071</v>
      </c>
      <c r="F18" s="13">
        <f t="shared" si="3"/>
        <v>-0.003</v>
      </c>
      <c r="G18" s="12">
        <f>IFERROR(__xludf.DUMMYFUNCTION("VLOOKUP(A18,IMPORTRANGE(""1QZ5UxyNCwadreQAXnQ7oCoH982DjIA-QnZdO7ZoqkC0/edit#gid=0"",""2019-2021!$A$2:$O$250""),2,FALSE)"),17.5)</f>
        <v>17.5</v>
      </c>
      <c r="H18" s="14">
        <f t="shared" si="4"/>
        <v>0.07</v>
      </c>
      <c r="I18" s="15">
        <f t="shared" si="5"/>
        <v>-0.002</v>
      </c>
      <c r="J18" s="16">
        <f>IFERROR(__xludf.DUMMYFUNCTION("VLOOKUP(A18,IMPORTRANGE(""1QZ5UxyNCwadreQAXnQ7oCoH982DjIA-QnZdO7ZoqkC0/edit#gid=0"",""2019-2021!$A$2:$O$250""),4,FALSE)"),19.0)</f>
        <v>19</v>
      </c>
      <c r="K18" s="17">
        <f t="shared" si="6"/>
        <v>0.076</v>
      </c>
      <c r="L18" s="17">
        <f t="shared" si="7"/>
        <v>-0.008</v>
      </c>
      <c r="M18" s="16">
        <f>IFERROR(__xludf.DUMMYFUNCTION("VLOOKUP(A18,IMPORTRANGE(""1QZ5UxyNCwadreQAXnQ7oCoH982DjIA-QnZdO7ZoqkC0/edit#gid=0"",""2019-2021!$A$2:$O$250""),7,FALSE)"),0.5)</f>
        <v>0.5</v>
      </c>
      <c r="N18" s="17">
        <f t="shared" si="8"/>
        <v>0.002</v>
      </c>
      <c r="O18" s="17">
        <f t="shared" si="9"/>
        <v>0.066</v>
      </c>
    </row>
    <row r="19">
      <c r="A19" s="19" t="s">
        <v>31</v>
      </c>
      <c r="B19" s="41">
        <f>IFERROR(__xludf.DUMMYFUNCTION("VLOOKUP(A19,IMPORTRANGE(""1EmrnCz2gLVTx5Cbj0e5tfuHPhTtmru8KTGuQvh7STl0/edit#gid=2147150001"",""Whole Data Set!$A$2:$NQ$253""),381,FALSE)"),124.5)</f>
        <v>124.5</v>
      </c>
      <c r="C19" s="58">
        <f t="shared" si="1"/>
        <v>0.498</v>
      </c>
      <c r="D19" s="12">
        <f>IFERROR(__xludf.DUMMYFUNCTION("VLOOKUP(A19,IMPORTRANGE(""1aFCnJY1qhIj8-JckJhDJ18aqmVo17tofpQmOjcYa3u8/edit#gid=948248086"",""Whole Data Set!$A$2:$NG$253""),371,FALSE)"),107.75)</f>
        <v>107.75</v>
      </c>
      <c r="E19" s="13">
        <f t="shared" si="2"/>
        <v>0.431</v>
      </c>
      <c r="F19" s="13">
        <f t="shared" si="3"/>
        <v>0.067</v>
      </c>
      <c r="G19" s="12">
        <f>IFERROR(__xludf.DUMMYFUNCTION("VLOOKUP(A19,IMPORTRANGE(""1QZ5UxyNCwadreQAXnQ7oCoH982DjIA-QnZdO7ZoqkC0/edit#gid=0"",""2019-2021!$A$2:$O$250""),2,FALSE)"),89.5)</f>
        <v>89.5</v>
      </c>
      <c r="H19" s="14">
        <f t="shared" si="4"/>
        <v>0.358</v>
      </c>
      <c r="I19" s="15">
        <f t="shared" si="5"/>
        <v>0.14</v>
      </c>
      <c r="J19" s="16">
        <f>IFERROR(__xludf.DUMMYFUNCTION("VLOOKUP(A19,IMPORTRANGE(""1QZ5UxyNCwadreQAXnQ7oCoH982DjIA-QnZdO7ZoqkC0/edit#gid=0"",""2019-2021!$A$2:$O$250""),4,FALSE)"),110.5)</f>
        <v>110.5</v>
      </c>
      <c r="K19" s="17">
        <f t="shared" si="6"/>
        <v>0.442</v>
      </c>
      <c r="L19" s="17">
        <f t="shared" si="7"/>
        <v>0.056</v>
      </c>
      <c r="M19" s="16">
        <f>IFERROR(__xludf.DUMMYFUNCTION("VLOOKUP(A19,IMPORTRANGE(""1QZ5UxyNCwadreQAXnQ7oCoH982DjIA-QnZdO7ZoqkC0/edit#gid=0"",""2019-2021!$A$2:$O$250""),7,FALSE)"),114.0)</f>
        <v>114</v>
      </c>
      <c r="N19" s="17">
        <f t="shared" si="8"/>
        <v>0.456</v>
      </c>
      <c r="O19" s="17">
        <f t="shared" si="9"/>
        <v>0.042</v>
      </c>
    </row>
    <row r="20">
      <c r="A20" s="42" t="s">
        <v>114</v>
      </c>
      <c r="B20" s="41">
        <f>IFERROR(__xludf.DUMMYFUNCTION("VLOOKUP(A20,IMPORTRANGE(""1EmrnCz2gLVTx5Cbj0e5tfuHPhTtmru8KTGuQvh7STl0/edit#gid=2147150001"",""Whole Data Set!$A$2:$NQ$253""),381,FALSE)"),16.5)</f>
        <v>16.5</v>
      </c>
      <c r="C20" s="58">
        <f t="shared" si="1"/>
        <v>0.066</v>
      </c>
      <c r="D20" s="12">
        <f>IFERROR(__xludf.DUMMYFUNCTION("VLOOKUP(A20,IMPORTRANGE(""1aFCnJY1qhIj8-JckJhDJ18aqmVo17tofpQmOjcYa3u8/edit#gid=948248086"",""Whole Data Set!$A$2:$NG$253""),371,FALSE)"),14.25)</f>
        <v>14.25</v>
      </c>
      <c r="E20" s="13">
        <f t="shared" si="2"/>
        <v>0.057</v>
      </c>
      <c r="F20" s="13">
        <f t="shared" si="3"/>
        <v>0.009</v>
      </c>
      <c r="G20" s="12">
        <f>IFERROR(__xludf.DUMMYFUNCTION("VLOOKUP(A20,IMPORTRANGE(""1QZ5UxyNCwadreQAXnQ7oCoH982DjIA-QnZdO7ZoqkC0/edit#gid=0"",""2019-2021!$A$2:$O$250""),2,FALSE)"),25.0)</f>
        <v>25</v>
      </c>
      <c r="H20" s="14">
        <f t="shared" si="4"/>
        <v>0.1</v>
      </c>
      <c r="I20" s="15">
        <f t="shared" si="5"/>
        <v>-0.034</v>
      </c>
      <c r="J20" s="16">
        <f>IFERROR(__xludf.DUMMYFUNCTION("VLOOKUP(A20,IMPORTRANGE(""1QZ5UxyNCwadreQAXnQ7oCoH982DjIA-QnZdO7ZoqkC0/edit#gid=0"",""2019-2021!$A$2:$O$250""),4,FALSE)"),39.0)</f>
        <v>39</v>
      </c>
      <c r="K20" s="17">
        <f t="shared" si="6"/>
        <v>0.156</v>
      </c>
      <c r="L20" s="17">
        <f t="shared" si="7"/>
        <v>-0.09</v>
      </c>
      <c r="M20" s="16">
        <f>IFERROR(__xludf.DUMMYFUNCTION("VLOOKUP(A20,IMPORTRANGE(""1QZ5UxyNCwadreQAXnQ7oCoH982DjIA-QnZdO7ZoqkC0/edit#gid=0"",""2019-2021!$A$2:$O$250""),7,FALSE)"),32.5)</f>
        <v>32.5</v>
      </c>
      <c r="N20" s="17">
        <f t="shared" si="8"/>
        <v>0.13</v>
      </c>
      <c r="O20" s="17">
        <f t="shared" si="9"/>
        <v>-0.064</v>
      </c>
    </row>
    <row r="21">
      <c r="A21" s="19" t="s">
        <v>115</v>
      </c>
      <c r="B21" s="41">
        <f>IFERROR(__xludf.DUMMYFUNCTION("VLOOKUP(A21,IMPORTRANGE(""1EmrnCz2gLVTx5Cbj0e5tfuHPhTtmru8KTGuQvh7STl0/edit#gid=2147150001"",""Whole Data Set!$A$2:$NQ$253""),381,FALSE)"),93.0)</f>
        <v>93</v>
      </c>
      <c r="C21" s="58">
        <f t="shared" si="1"/>
        <v>0.372</v>
      </c>
      <c r="D21" s="12">
        <f>IFERROR(__xludf.DUMMYFUNCTION("VLOOKUP(A21,IMPORTRANGE(""1aFCnJY1qhIj8-JckJhDJ18aqmVo17tofpQmOjcYa3u8/edit#gid=948248086"",""Whole Data Set!$A$2:$NG$253""),371,FALSE)"),89.25)</f>
        <v>89.25</v>
      </c>
      <c r="E21" s="13">
        <f t="shared" si="2"/>
        <v>0.357</v>
      </c>
      <c r="F21" s="13">
        <f t="shared" si="3"/>
        <v>0.015</v>
      </c>
      <c r="G21" s="12">
        <f>IFERROR(__xludf.DUMMYFUNCTION("VLOOKUP(A21,IMPORTRANGE(""1QZ5UxyNCwadreQAXnQ7oCoH982DjIA-QnZdO7ZoqkC0/edit#gid=0"",""2019-2021!$A$2:$O$250""),2,FALSE)"),88.25)</f>
        <v>88.25</v>
      </c>
      <c r="H21" s="14">
        <f t="shared" si="4"/>
        <v>0.353</v>
      </c>
      <c r="I21" s="15">
        <f t="shared" si="5"/>
        <v>0.019</v>
      </c>
      <c r="J21" s="16">
        <f>IFERROR(__xludf.DUMMYFUNCTION("VLOOKUP(A21,IMPORTRANGE(""1QZ5UxyNCwadreQAXnQ7oCoH982DjIA-QnZdO7ZoqkC0/edit#gid=0"",""2019-2021!$A$2:$O$250""),4,FALSE)"),107.5)</f>
        <v>107.5</v>
      </c>
      <c r="K21" s="17">
        <f t="shared" si="6"/>
        <v>0.43</v>
      </c>
      <c r="L21" s="17">
        <f t="shared" si="7"/>
        <v>-0.058</v>
      </c>
      <c r="M21" s="16">
        <f>IFERROR(__xludf.DUMMYFUNCTION("VLOOKUP(A21,IMPORTRANGE(""1QZ5UxyNCwadreQAXnQ7oCoH982DjIA-QnZdO7ZoqkC0/edit#gid=0"",""2019-2021!$A$2:$O$250""),7,FALSE)"),96.0)</f>
        <v>96</v>
      </c>
      <c r="N21" s="17">
        <f t="shared" si="8"/>
        <v>0.384</v>
      </c>
      <c r="O21" s="17">
        <f t="shared" si="9"/>
        <v>-0.012</v>
      </c>
    </row>
    <row r="22">
      <c r="A22" s="19" t="s">
        <v>166</v>
      </c>
      <c r="B22" s="41">
        <f>IFERROR(__xludf.DUMMYFUNCTION("VLOOKUP(A22,IMPORTRANGE(""1EmrnCz2gLVTx5Cbj0e5tfuHPhTtmru8KTGuQvh7STl0/edit#gid=2147150001"",""Whole Data Set!$A$2:$NQ$253""),381,FALSE)"),60.75)</f>
        <v>60.75</v>
      </c>
      <c r="C22" s="58">
        <f t="shared" si="1"/>
        <v>0.243</v>
      </c>
      <c r="D22" s="12">
        <f>IFERROR(__xludf.DUMMYFUNCTION("VLOOKUP(A22,IMPORTRANGE(""1aFCnJY1qhIj8-JckJhDJ18aqmVo17tofpQmOjcYa3u8/edit#gid=948248086"",""Whole Data Set!$A$2:$NG$253""),371,FALSE)"),70.25)</f>
        <v>70.25</v>
      </c>
      <c r="E22" s="13">
        <f t="shared" si="2"/>
        <v>0.281</v>
      </c>
      <c r="F22" s="13">
        <f t="shared" si="3"/>
        <v>-0.038</v>
      </c>
      <c r="G22" s="12">
        <f>IFERROR(__xludf.DUMMYFUNCTION("VLOOKUP(A22,IMPORTRANGE(""1QZ5UxyNCwadreQAXnQ7oCoH982DjIA-QnZdO7ZoqkC0/edit#gid=0"",""2019-2021!$A$2:$O$250""),2,FALSE)"),49.25)</f>
        <v>49.25</v>
      </c>
      <c r="H22" s="14">
        <f t="shared" si="4"/>
        <v>0.197</v>
      </c>
      <c r="I22" s="15">
        <f t="shared" si="5"/>
        <v>0.046</v>
      </c>
      <c r="J22" s="16">
        <f>IFERROR(__xludf.DUMMYFUNCTION("VLOOKUP(A22,IMPORTRANGE(""1QZ5UxyNCwadreQAXnQ7oCoH982DjIA-QnZdO7ZoqkC0/edit#gid=0"",""2019-2021!$A$2:$O$250""),4,FALSE)"),23.0)</f>
        <v>23</v>
      </c>
      <c r="K22" s="17">
        <f t="shared" si="6"/>
        <v>0.092</v>
      </c>
      <c r="L22" s="17">
        <f t="shared" si="7"/>
        <v>0.151</v>
      </c>
      <c r="M22" s="16">
        <f>IFERROR(__xludf.DUMMYFUNCTION("VLOOKUP(A22,IMPORTRANGE(""1QZ5UxyNCwadreQAXnQ7oCoH982DjIA-QnZdO7ZoqkC0/edit#gid=0"",""2019-2021!$A$2:$O$250""),7,FALSE)"),28.0)</f>
        <v>28</v>
      </c>
      <c r="N22" s="17">
        <f t="shared" si="8"/>
        <v>0.112</v>
      </c>
      <c r="O22" s="17">
        <f t="shared" si="9"/>
        <v>0.131</v>
      </c>
    </row>
    <row r="23">
      <c r="A23" s="42" t="s">
        <v>32</v>
      </c>
      <c r="B23" s="41">
        <f>IFERROR(__xludf.DUMMYFUNCTION("VLOOKUP(A23,IMPORTRANGE(""1EmrnCz2gLVTx5Cbj0e5tfuHPhTtmru8KTGuQvh7STl0/edit#gid=2147150001"",""Whole Data Set!$A$2:$NQ$253""),381,FALSE)"),126.25)</f>
        <v>126.25</v>
      </c>
      <c r="C23" s="58">
        <f t="shared" si="1"/>
        <v>0.505</v>
      </c>
      <c r="D23" s="12">
        <f>IFERROR(__xludf.DUMMYFUNCTION("VLOOKUP(A23,IMPORTRANGE(""1aFCnJY1qhIj8-JckJhDJ18aqmVo17tofpQmOjcYa3u8/edit#gid=948248086"",""Whole Data Set!$A$2:$NG$253""),371,FALSE)"),115.5)</f>
        <v>115.5</v>
      </c>
      <c r="E23" s="13">
        <f t="shared" si="2"/>
        <v>0.462</v>
      </c>
      <c r="F23" s="13">
        <f t="shared" si="3"/>
        <v>0.043</v>
      </c>
      <c r="G23" s="12">
        <f>IFERROR(__xludf.DUMMYFUNCTION("VLOOKUP(A23,IMPORTRANGE(""1QZ5UxyNCwadreQAXnQ7oCoH982DjIA-QnZdO7ZoqkC0/edit#gid=0"",""2019-2021!$A$2:$O$250""),2,FALSE)"),106.0)</f>
        <v>106</v>
      </c>
      <c r="H23" s="14">
        <f t="shared" si="4"/>
        <v>0.424</v>
      </c>
      <c r="I23" s="15">
        <f t="shared" si="5"/>
        <v>0.081</v>
      </c>
      <c r="J23" s="16">
        <f>IFERROR(__xludf.DUMMYFUNCTION("VLOOKUP(A23,IMPORTRANGE(""1QZ5UxyNCwadreQAXnQ7oCoH982DjIA-QnZdO7ZoqkC0/edit#gid=0"",""2019-2021!$A$2:$O$250""),4,FALSE)"),116.0)</f>
        <v>116</v>
      </c>
      <c r="K23" s="17">
        <f t="shared" si="6"/>
        <v>0.464</v>
      </c>
      <c r="L23" s="17">
        <f t="shared" si="7"/>
        <v>0.041</v>
      </c>
      <c r="M23" s="16">
        <f>IFERROR(__xludf.DUMMYFUNCTION("VLOOKUP(A23,IMPORTRANGE(""1QZ5UxyNCwadreQAXnQ7oCoH982DjIA-QnZdO7ZoqkC0/edit#gid=0"",""2019-2021!$A$2:$O$250""),7,FALSE)"),98.0)</f>
        <v>98</v>
      </c>
      <c r="N23" s="17">
        <f t="shared" si="8"/>
        <v>0.392</v>
      </c>
      <c r="O23" s="17">
        <f t="shared" si="9"/>
        <v>0.113</v>
      </c>
    </row>
    <row r="24">
      <c r="A24" s="42" t="s">
        <v>167</v>
      </c>
      <c r="B24" s="41">
        <f>IFERROR(__xludf.DUMMYFUNCTION("VLOOKUP(A24,IMPORTRANGE(""1EmrnCz2gLVTx5Cbj0e5tfuHPhTtmru8KTGuQvh7STl0/edit#gid=2147150001"",""Whole Data Set!$A$2:$NQ$253""),381,FALSE)"),34.75)</f>
        <v>34.75</v>
      </c>
      <c r="C24" s="58">
        <f t="shared" si="1"/>
        <v>0.139</v>
      </c>
      <c r="D24" s="12">
        <f>IFERROR(__xludf.DUMMYFUNCTION("VLOOKUP(A24,IMPORTRANGE(""1aFCnJY1qhIj8-JckJhDJ18aqmVo17tofpQmOjcYa3u8/edit#gid=948248086"",""Whole Data Set!$A$2:$NG$253""),371,FALSE)"),36.0)</f>
        <v>36</v>
      </c>
      <c r="E24" s="13">
        <f t="shared" si="2"/>
        <v>0.144</v>
      </c>
      <c r="F24" s="13">
        <f t="shared" si="3"/>
        <v>-0.005</v>
      </c>
      <c r="G24" s="12">
        <f>IFERROR(__xludf.DUMMYFUNCTION("VLOOKUP(A24,IMPORTRANGE(""1QZ5UxyNCwadreQAXnQ7oCoH982DjIA-QnZdO7ZoqkC0/edit#gid=0"",""2019-2021!$A$2:$O$250""),2,FALSE)"),12.5)</f>
        <v>12.5</v>
      </c>
      <c r="H24" s="14">
        <f t="shared" si="4"/>
        <v>0.05</v>
      </c>
      <c r="I24" s="15">
        <f t="shared" si="5"/>
        <v>0.089</v>
      </c>
      <c r="J24" s="16">
        <f>IFERROR(__xludf.DUMMYFUNCTION("VLOOKUP(A24,IMPORTRANGE(""1QZ5UxyNCwadreQAXnQ7oCoH982DjIA-QnZdO7ZoqkC0/edit#gid=0"",""2019-2021!$A$2:$O$250""),4,FALSE)"),26.5)</f>
        <v>26.5</v>
      </c>
      <c r="K24" s="17">
        <f t="shared" si="6"/>
        <v>0.106</v>
      </c>
      <c r="L24" s="17">
        <f t="shared" si="7"/>
        <v>0.033</v>
      </c>
      <c r="M24" s="16">
        <f>IFERROR(__xludf.DUMMYFUNCTION("VLOOKUP(A24,IMPORTRANGE(""1QZ5UxyNCwadreQAXnQ7oCoH982DjIA-QnZdO7ZoqkC0/edit#gid=0"",""2019-2021!$A$2:$O$250""),7,FALSE)"),26.5)</f>
        <v>26.5</v>
      </c>
      <c r="N24" s="17">
        <f t="shared" si="8"/>
        <v>0.106</v>
      </c>
      <c r="O24" s="17">
        <f t="shared" si="9"/>
        <v>0.033</v>
      </c>
    </row>
    <row r="25">
      <c r="A25" s="19" t="s">
        <v>116</v>
      </c>
      <c r="B25" s="41">
        <f>IFERROR(__xludf.DUMMYFUNCTION("VLOOKUP(A25,IMPORTRANGE(""1EmrnCz2gLVTx5Cbj0e5tfuHPhTtmru8KTGuQvh7STl0/edit#gid=2147150001"",""Whole Data Set!$A$2:$NQ$253""),381,FALSE)"),10.0)</f>
        <v>10</v>
      </c>
      <c r="C25" s="58">
        <f t="shared" si="1"/>
        <v>0.04</v>
      </c>
      <c r="D25" s="12">
        <f>IFERROR(__xludf.DUMMYFUNCTION("VLOOKUP(A25,IMPORTRANGE(""1aFCnJY1qhIj8-JckJhDJ18aqmVo17tofpQmOjcYa3u8/edit#gid=948248086"",""Whole Data Set!$A$2:$NG$253""),371,FALSE)"),12.75)</f>
        <v>12.75</v>
      </c>
      <c r="E25" s="13">
        <f t="shared" si="2"/>
        <v>0.051</v>
      </c>
      <c r="F25" s="13">
        <f t="shared" si="3"/>
        <v>-0.011</v>
      </c>
      <c r="G25" s="12">
        <f>IFERROR(__xludf.DUMMYFUNCTION("VLOOKUP(A25,IMPORTRANGE(""1QZ5UxyNCwadreQAXnQ7oCoH982DjIA-QnZdO7ZoqkC0/edit#gid=0"",""2019-2021!$A$2:$O$250""),2,FALSE)"),17.75)</f>
        <v>17.75</v>
      </c>
      <c r="H25" s="14">
        <f t="shared" si="4"/>
        <v>0.071</v>
      </c>
      <c r="I25" s="15">
        <f t="shared" si="5"/>
        <v>-0.031</v>
      </c>
      <c r="J25" s="16">
        <f>IFERROR(__xludf.DUMMYFUNCTION("VLOOKUP(A25,IMPORTRANGE(""1QZ5UxyNCwadreQAXnQ7oCoH982DjIA-QnZdO7ZoqkC0/edit#gid=0"",""2019-2021!$A$2:$O$250""),4,FALSE)"),24.0)</f>
        <v>24</v>
      </c>
      <c r="K25" s="17">
        <f t="shared" si="6"/>
        <v>0.096</v>
      </c>
      <c r="L25" s="17">
        <f t="shared" si="7"/>
        <v>-0.056</v>
      </c>
      <c r="M25" s="16">
        <f>IFERROR(__xludf.DUMMYFUNCTION("VLOOKUP(A25,IMPORTRANGE(""1QZ5UxyNCwadreQAXnQ7oCoH982DjIA-QnZdO7ZoqkC0/edit#gid=0"",""2019-2021!$A$2:$O$250""),7,FALSE)"),24.0)</f>
        <v>24</v>
      </c>
      <c r="N25" s="17">
        <f t="shared" si="8"/>
        <v>0.096</v>
      </c>
      <c r="O25" s="17">
        <f t="shared" si="9"/>
        <v>-0.056</v>
      </c>
    </row>
    <row r="26">
      <c r="A26" s="19" t="s">
        <v>33</v>
      </c>
      <c r="B26" s="41">
        <f>IFERROR(__xludf.DUMMYFUNCTION("VLOOKUP(A26,IMPORTRANGE(""1EmrnCz2gLVTx5Cbj0e5tfuHPhTtmru8KTGuQvh7STl0/edit#gid=2147150001"",""Whole Data Set!$A$2:$NQ$253""),381,FALSE)"),95.75)</f>
        <v>95.75</v>
      </c>
      <c r="C26" s="58">
        <f t="shared" si="1"/>
        <v>0.383</v>
      </c>
      <c r="D26" s="12">
        <f>IFERROR(__xludf.DUMMYFUNCTION("VLOOKUP(A26,IMPORTRANGE(""1aFCnJY1qhIj8-JckJhDJ18aqmVo17tofpQmOjcYa3u8/edit#gid=948248086"",""Whole Data Set!$A$2:$NG$253""),371,FALSE)"),98.75)</f>
        <v>98.75</v>
      </c>
      <c r="E26" s="13">
        <f t="shared" si="2"/>
        <v>0.395</v>
      </c>
      <c r="F26" s="13">
        <f t="shared" si="3"/>
        <v>-0.012</v>
      </c>
      <c r="G26" s="12">
        <f>IFERROR(__xludf.DUMMYFUNCTION("VLOOKUP(A26,IMPORTRANGE(""1QZ5UxyNCwadreQAXnQ7oCoH982DjIA-QnZdO7ZoqkC0/edit#gid=0"",""2019-2021!$A$2:$O$250""),2,FALSE)"),84.5)</f>
        <v>84.5</v>
      </c>
      <c r="H26" s="14">
        <f t="shared" si="4"/>
        <v>0.338</v>
      </c>
      <c r="I26" s="15">
        <f t="shared" si="5"/>
        <v>0.045</v>
      </c>
      <c r="J26" s="16">
        <f>IFERROR(__xludf.DUMMYFUNCTION("VLOOKUP(A26,IMPORTRANGE(""1QZ5UxyNCwadreQAXnQ7oCoH982DjIA-QnZdO7ZoqkC0/edit#gid=0"",""2019-2021!$A$2:$O$250""),4,FALSE)"),90.0)</f>
        <v>90</v>
      </c>
      <c r="K26" s="17">
        <f t="shared" si="6"/>
        <v>0.36</v>
      </c>
      <c r="L26" s="17">
        <f t="shared" si="7"/>
        <v>0.023</v>
      </c>
      <c r="M26" s="16">
        <f>IFERROR(__xludf.DUMMYFUNCTION("VLOOKUP(A26,IMPORTRANGE(""1QZ5UxyNCwadreQAXnQ7oCoH982DjIA-QnZdO7ZoqkC0/edit#gid=0"",""2019-2021!$A$2:$O$250""),7,FALSE)"),83.0)</f>
        <v>83</v>
      </c>
      <c r="N26" s="17">
        <f t="shared" si="8"/>
        <v>0.332</v>
      </c>
      <c r="O26" s="17">
        <f t="shared" si="9"/>
        <v>0.051</v>
      </c>
    </row>
    <row r="27">
      <c r="A27" s="19" t="s">
        <v>106</v>
      </c>
      <c r="B27" s="41">
        <f>IFERROR(__xludf.DUMMYFUNCTION("VLOOKUP(A27,IMPORTRANGE(""1EmrnCz2gLVTx5Cbj0e5tfuHPhTtmru8KTGuQvh7STl0/edit#gid=2147150001"",""Whole Data Set!$A$2:$NQ$253""),381,FALSE)"),36.0)</f>
        <v>36</v>
      </c>
      <c r="C27" s="58">
        <f t="shared" si="1"/>
        <v>0.144</v>
      </c>
      <c r="D27" s="12">
        <f>IFERROR(__xludf.DUMMYFUNCTION("VLOOKUP(A27,IMPORTRANGE(""1aFCnJY1qhIj8-JckJhDJ18aqmVo17tofpQmOjcYa3u8/edit#gid=948248086"",""Whole Data Set!$A$2:$NG$253""),371,FALSE)"),31.75)</f>
        <v>31.75</v>
      </c>
      <c r="E27" s="13">
        <f t="shared" si="2"/>
        <v>0.127</v>
      </c>
      <c r="F27" s="13">
        <f t="shared" si="3"/>
        <v>0.017</v>
      </c>
      <c r="G27" s="12">
        <f>IFERROR(__xludf.DUMMYFUNCTION("VLOOKUP(A27,IMPORTRANGE(""1QZ5UxyNCwadreQAXnQ7oCoH982DjIA-QnZdO7ZoqkC0/edit#gid=0"",""2019-2021!$A$2:$O$250""),2,FALSE)"),36.5)</f>
        <v>36.5</v>
      </c>
      <c r="H27" s="14">
        <f t="shared" si="4"/>
        <v>0.146</v>
      </c>
      <c r="I27" s="15">
        <f t="shared" si="5"/>
        <v>-0.002</v>
      </c>
      <c r="J27" s="16">
        <f>IFERROR(__xludf.DUMMYFUNCTION("VLOOKUP(A27,IMPORTRANGE(""1QZ5UxyNCwadreQAXnQ7oCoH982DjIA-QnZdO7ZoqkC0/edit#gid=0"",""2019-2021!$A$2:$O$250""),4,FALSE)"),36.0)</f>
        <v>36</v>
      </c>
      <c r="K27" s="17">
        <f t="shared" si="6"/>
        <v>0.144</v>
      </c>
      <c r="L27" s="17">
        <f t="shared" si="7"/>
        <v>0</v>
      </c>
      <c r="M27" s="16">
        <f>IFERROR(__xludf.DUMMYFUNCTION("VLOOKUP(A27,IMPORTRANGE(""1QZ5UxyNCwadreQAXnQ7oCoH982DjIA-QnZdO7ZoqkC0/edit#gid=0"",""2019-2021!$A$2:$O$250""),7,FALSE)"),24.0)</f>
        <v>24</v>
      </c>
      <c r="N27" s="17">
        <f t="shared" si="8"/>
        <v>0.096</v>
      </c>
      <c r="O27" s="17">
        <f t="shared" si="9"/>
        <v>0.048</v>
      </c>
    </row>
    <row r="28">
      <c r="A28" s="19" t="s">
        <v>35</v>
      </c>
      <c r="B28" s="41">
        <f>IFERROR(__xludf.DUMMYFUNCTION("VLOOKUP(A28,IMPORTRANGE(""1EmrnCz2gLVTx5Cbj0e5tfuHPhTtmru8KTGuQvh7STl0/edit#gid=2147150001"",""Whole Data Set!$A$2:$NQ$253""),381,FALSE)"),169.0)</f>
        <v>169</v>
      </c>
      <c r="C28" s="58">
        <f t="shared" si="1"/>
        <v>0.676</v>
      </c>
      <c r="D28" s="12">
        <f>IFERROR(__xludf.DUMMYFUNCTION("VLOOKUP(A28,IMPORTRANGE(""1aFCnJY1qhIj8-JckJhDJ18aqmVo17tofpQmOjcYa3u8/edit#gid=948248086"",""Whole Data Set!$A$2:$NG$253""),371,FALSE)"),147.75)</f>
        <v>147.75</v>
      </c>
      <c r="E28" s="13">
        <f t="shared" si="2"/>
        <v>0.591</v>
      </c>
      <c r="F28" s="13">
        <f t="shared" si="3"/>
        <v>0.085</v>
      </c>
      <c r="G28" s="12">
        <f>IFERROR(__xludf.DUMMYFUNCTION("VLOOKUP(A28,IMPORTRANGE(""1QZ5UxyNCwadreQAXnQ7oCoH982DjIA-QnZdO7ZoqkC0/edit#gid=0"",""2019-2021!$A$2:$O$250""),2,FALSE)"),162.75)</f>
        <v>162.75</v>
      </c>
      <c r="H28" s="14">
        <f t="shared" si="4"/>
        <v>0.651</v>
      </c>
      <c r="I28" s="15">
        <f t="shared" si="5"/>
        <v>0.025</v>
      </c>
      <c r="J28" s="16">
        <f>IFERROR(__xludf.DUMMYFUNCTION("VLOOKUP(A28,IMPORTRANGE(""1QZ5UxyNCwadreQAXnQ7oCoH982DjIA-QnZdO7ZoqkC0/edit#gid=0"",""2019-2021!$A$2:$O$250""),4,FALSE)"),174.5)</f>
        <v>174.5</v>
      </c>
      <c r="K28" s="17">
        <f t="shared" si="6"/>
        <v>0.698</v>
      </c>
      <c r="L28" s="17">
        <f t="shared" si="7"/>
        <v>-0.022</v>
      </c>
      <c r="M28" s="16">
        <f>IFERROR(__xludf.DUMMYFUNCTION("VLOOKUP(A28,IMPORTRANGE(""1QZ5UxyNCwadreQAXnQ7oCoH982DjIA-QnZdO7ZoqkC0/edit#gid=0"",""2019-2021!$A$2:$O$250""),7,FALSE)"),150.5)</f>
        <v>150.5</v>
      </c>
      <c r="N28" s="17">
        <f t="shared" si="8"/>
        <v>0.602</v>
      </c>
      <c r="O28" s="17">
        <f t="shared" si="9"/>
        <v>0.074</v>
      </c>
    </row>
    <row r="29">
      <c r="A29" s="19" t="s">
        <v>36</v>
      </c>
      <c r="B29" s="41">
        <f>IFERROR(__xludf.DUMMYFUNCTION("VLOOKUP(A29,IMPORTRANGE(""1EmrnCz2gLVTx5Cbj0e5tfuHPhTtmru8KTGuQvh7STl0/edit#gid=2147150001"",""Whole Data Set!$A$2:$NQ$253""),381,FALSE)"),120.25)</f>
        <v>120.25</v>
      </c>
      <c r="C29" s="58">
        <f t="shared" si="1"/>
        <v>0.481</v>
      </c>
      <c r="D29" s="12">
        <f>IFERROR(__xludf.DUMMYFUNCTION("VLOOKUP(A29,IMPORTRANGE(""1aFCnJY1qhIj8-JckJhDJ18aqmVo17tofpQmOjcYa3u8/edit#gid=948248086"",""Whole Data Set!$A$2:$NG$253""),371,FALSE)"),140.75)</f>
        <v>140.75</v>
      </c>
      <c r="E29" s="13">
        <f t="shared" si="2"/>
        <v>0.563</v>
      </c>
      <c r="F29" s="13">
        <f t="shared" si="3"/>
        <v>-0.082</v>
      </c>
      <c r="G29" s="12">
        <f>IFERROR(__xludf.DUMMYFUNCTION("VLOOKUP(A29,IMPORTRANGE(""1QZ5UxyNCwadreQAXnQ7oCoH982DjIA-QnZdO7ZoqkC0/edit#gid=0"",""2019-2021!$A$2:$O$250""),2,FALSE)"),147.5)</f>
        <v>147.5</v>
      </c>
      <c r="H29" s="14">
        <f t="shared" si="4"/>
        <v>0.59</v>
      </c>
      <c r="I29" s="15">
        <f t="shared" si="5"/>
        <v>-0.109</v>
      </c>
      <c r="J29" s="16">
        <f>IFERROR(__xludf.DUMMYFUNCTION("VLOOKUP(A29,IMPORTRANGE(""1QZ5UxyNCwadreQAXnQ7oCoH982DjIA-QnZdO7ZoqkC0/edit#gid=0"",""2019-2021!$A$2:$O$250""),4,FALSE)"),134.5)</f>
        <v>134.5</v>
      </c>
      <c r="K29" s="17">
        <f t="shared" si="6"/>
        <v>0.538</v>
      </c>
      <c r="L29" s="17">
        <f t="shared" si="7"/>
        <v>-0.057</v>
      </c>
      <c r="M29" s="16">
        <f>IFERROR(__xludf.DUMMYFUNCTION("VLOOKUP(A29,IMPORTRANGE(""1QZ5UxyNCwadreQAXnQ7oCoH982DjIA-QnZdO7ZoqkC0/edit#gid=0"",""2019-2021!$A$2:$O$250""),7,FALSE)"),103.0)</f>
        <v>103</v>
      </c>
      <c r="N29" s="17">
        <f t="shared" si="8"/>
        <v>0.412</v>
      </c>
      <c r="O29" s="17">
        <f t="shared" si="9"/>
        <v>0.069</v>
      </c>
    </row>
    <row r="30">
      <c r="A30" s="19" t="s">
        <v>37</v>
      </c>
      <c r="B30" s="41">
        <f>IFERROR(__xludf.DUMMYFUNCTION("VLOOKUP(A30,IMPORTRANGE(""1EmrnCz2gLVTx5Cbj0e5tfuHPhTtmru8KTGuQvh7STl0/edit#gid=2147150001"",""Whole Data Set!$A$2:$NQ$253""),381,FALSE)"),156.25)</f>
        <v>156.25</v>
      </c>
      <c r="C30" s="58">
        <f t="shared" si="1"/>
        <v>0.625</v>
      </c>
      <c r="D30" s="12">
        <f>IFERROR(__xludf.DUMMYFUNCTION("VLOOKUP(A30,IMPORTRANGE(""1aFCnJY1qhIj8-JckJhDJ18aqmVo17tofpQmOjcYa3u8/edit#gid=948248086"",""Whole Data Set!$A$2:$NG$253""),371,FALSE)"),134.75)</f>
        <v>134.75</v>
      </c>
      <c r="E30" s="13">
        <f t="shared" si="2"/>
        <v>0.539</v>
      </c>
      <c r="F30" s="13">
        <f t="shared" si="3"/>
        <v>0.086</v>
      </c>
      <c r="G30" s="12">
        <f>IFERROR(__xludf.DUMMYFUNCTION("VLOOKUP(A30,IMPORTRANGE(""1QZ5UxyNCwadreQAXnQ7oCoH982DjIA-QnZdO7ZoqkC0/edit#gid=0"",""2019-2021!$A$2:$O$250""),2,FALSE)"),26.75)</f>
        <v>26.75</v>
      </c>
      <c r="H30" s="14">
        <f t="shared" si="4"/>
        <v>0.107</v>
      </c>
      <c r="I30" s="15">
        <f t="shared" si="5"/>
        <v>0.518</v>
      </c>
      <c r="J30" s="16">
        <f>IFERROR(__xludf.DUMMYFUNCTION("VLOOKUP(A30,IMPORTRANGE(""1QZ5UxyNCwadreQAXnQ7oCoH982DjIA-QnZdO7ZoqkC0/edit#gid=0"",""2019-2021!$A$2:$O$250""),4,FALSE)"),33.0)</f>
        <v>33</v>
      </c>
      <c r="K30" s="17">
        <f t="shared" si="6"/>
        <v>0.132</v>
      </c>
      <c r="L30" s="17">
        <f t="shared" si="7"/>
        <v>0.493</v>
      </c>
      <c r="M30" s="16">
        <f>IFERROR(__xludf.DUMMYFUNCTION("VLOOKUP(A30,IMPORTRANGE(""1QZ5UxyNCwadreQAXnQ7oCoH982DjIA-QnZdO7ZoqkC0/edit#gid=0"",""2019-2021!$A$2:$O$250""),7,FALSE)"),13.5)</f>
        <v>13.5</v>
      </c>
      <c r="N30" s="17">
        <f t="shared" si="8"/>
        <v>0.054</v>
      </c>
      <c r="O30" s="17">
        <f t="shared" si="9"/>
        <v>0.571</v>
      </c>
    </row>
    <row r="31">
      <c r="A31" s="42" t="s">
        <v>117</v>
      </c>
      <c r="B31" s="41">
        <f>IFERROR(__xludf.DUMMYFUNCTION("VLOOKUP(A31,IMPORTRANGE(""1EmrnCz2gLVTx5Cbj0e5tfuHPhTtmru8KTGuQvh7STl0/edit#gid=2147150001"",""Whole Data Set!$A$2:$NQ$253""),381,FALSE)"),39.25)</f>
        <v>39.25</v>
      </c>
      <c r="C31" s="58">
        <f t="shared" si="1"/>
        <v>0.157</v>
      </c>
      <c r="D31" s="12">
        <f>IFERROR(__xludf.DUMMYFUNCTION("VLOOKUP(A31,IMPORTRANGE(""1aFCnJY1qhIj8-JckJhDJ18aqmVo17tofpQmOjcYa3u8/edit#gid=948248086"",""Whole Data Set!$A$2:$NG$253""),371,FALSE)"),20.5)</f>
        <v>20.5</v>
      </c>
      <c r="E31" s="13">
        <f t="shared" si="2"/>
        <v>0.082</v>
      </c>
      <c r="F31" s="13">
        <f t="shared" si="3"/>
        <v>0.075</v>
      </c>
      <c r="G31" s="12">
        <f>IFERROR(__xludf.DUMMYFUNCTION("VLOOKUP(A31,IMPORTRANGE(""1QZ5UxyNCwadreQAXnQ7oCoH982DjIA-QnZdO7ZoqkC0/edit#gid=0"",""2019-2021!$A$2:$O$250""),2,FALSE)"),35.5)</f>
        <v>35.5</v>
      </c>
      <c r="H31" s="14">
        <f t="shared" si="4"/>
        <v>0.142</v>
      </c>
      <c r="I31" s="15">
        <f t="shared" si="5"/>
        <v>0.015</v>
      </c>
      <c r="J31" s="16">
        <f>IFERROR(__xludf.DUMMYFUNCTION("VLOOKUP(A31,IMPORTRANGE(""1QZ5UxyNCwadreQAXnQ7oCoH982DjIA-QnZdO7ZoqkC0/edit#gid=0"",""2019-2021!$A$2:$O$250""),4,FALSE)"),30.0)</f>
        <v>30</v>
      </c>
      <c r="K31" s="17">
        <f t="shared" si="6"/>
        <v>0.12</v>
      </c>
      <c r="L31" s="17">
        <f t="shared" si="7"/>
        <v>0.037</v>
      </c>
      <c r="M31" s="16">
        <f>IFERROR(__xludf.DUMMYFUNCTION("VLOOKUP(A31,IMPORTRANGE(""1QZ5UxyNCwadreQAXnQ7oCoH982DjIA-QnZdO7ZoqkC0/edit#gid=0"",""2019-2021!$A$2:$O$250""),7,FALSE)"),25.0)</f>
        <v>25</v>
      </c>
      <c r="N31" s="17">
        <f t="shared" si="8"/>
        <v>0.1</v>
      </c>
      <c r="O31" s="17">
        <f t="shared" si="9"/>
        <v>0.057</v>
      </c>
    </row>
    <row r="32">
      <c r="A32" s="19" t="s">
        <v>168</v>
      </c>
      <c r="B32" s="41">
        <f>IFERROR(__xludf.DUMMYFUNCTION("VLOOKUP(A32,IMPORTRANGE(""1EmrnCz2gLVTx5Cbj0e5tfuHPhTtmru8KTGuQvh7STl0/edit#gid=2147150001"",""Whole Data Set!$A$2:$NQ$253""),381,FALSE)"),11.5)</f>
        <v>11.5</v>
      </c>
      <c r="C32" s="58">
        <f t="shared" si="1"/>
        <v>0.046</v>
      </c>
      <c r="D32" s="12">
        <f>IFERROR(__xludf.DUMMYFUNCTION("VLOOKUP(A32,IMPORTRANGE(""1aFCnJY1qhIj8-JckJhDJ18aqmVo17tofpQmOjcYa3u8/edit#gid=948248086"",""Whole Data Set!$A$2:$NG$253""),371,FALSE)"),18.5)</f>
        <v>18.5</v>
      </c>
      <c r="E32" s="13">
        <f t="shared" si="2"/>
        <v>0.074</v>
      </c>
      <c r="F32" s="13">
        <f t="shared" si="3"/>
        <v>-0.028</v>
      </c>
      <c r="G32" s="12">
        <f>IFERROR(__xludf.DUMMYFUNCTION("VLOOKUP(A32,IMPORTRANGE(""1QZ5UxyNCwadreQAXnQ7oCoH982DjIA-QnZdO7ZoqkC0/edit#gid=0"",""2019-2021!$A$2:$O$250""),2,FALSE)"),31.5)</f>
        <v>31.5</v>
      </c>
      <c r="H32" s="14">
        <f t="shared" si="4"/>
        <v>0.126</v>
      </c>
      <c r="I32" s="15">
        <f t="shared" si="5"/>
        <v>-0.08</v>
      </c>
      <c r="J32" s="16">
        <f>IFERROR(__xludf.DUMMYFUNCTION("VLOOKUP(A32,IMPORTRANGE(""1QZ5UxyNCwadreQAXnQ7oCoH982DjIA-QnZdO7ZoqkC0/edit#gid=0"",""2019-2021!$A$2:$O$250""),4,FALSE)"),35.0)</f>
        <v>35</v>
      </c>
      <c r="K32" s="17">
        <f t="shared" si="6"/>
        <v>0.14</v>
      </c>
      <c r="L32" s="17">
        <f t="shared" si="7"/>
        <v>-0.094</v>
      </c>
      <c r="M32" s="16">
        <f>IFERROR(__xludf.DUMMYFUNCTION("VLOOKUP(A32,IMPORTRANGE(""1QZ5UxyNCwadreQAXnQ7oCoH982DjIA-QnZdO7ZoqkC0/edit#gid=0"",""2019-2021!$A$2:$O$250""),7,FALSE)"),5.5)</f>
        <v>5.5</v>
      </c>
      <c r="N32" s="17">
        <f t="shared" si="8"/>
        <v>0.022</v>
      </c>
      <c r="O32" s="17">
        <f t="shared" si="9"/>
        <v>0.024</v>
      </c>
    </row>
    <row r="33">
      <c r="A33" s="23" t="s">
        <v>169</v>
      </c>
      <c r="B33" s="41">
        <f>IFERROR(__xludf.DUMMYFUNCTION("VLOOKUP(A33,IMPORTRANGE(""1EmrnCz2gLVTx5Cbj0e5tfuHPhTtmru8KTGuQvh7STl0/edit#gid=2147150001"",""Whole Data Set!$A$2:$NQ$253""),381,FALSE)"),58.75)</f>
        <v>58.75</v>
      </c>
      <c r="C33" s="58">
        <f t="shared" si="1"/>
        <v>0.235</v>
      </c>
      <c r="D33" s="12">
        <f>IFERROR(__xludf.DUMMYFUNCTION("VLOOKUP(A33,IMPORTRANGE(""1aFCnJY1qhIj8-JckJhDJ18aqmVo17tofpQmOjcYa3u8/edit#gid=948248086"",""Whole Data Set!$A$2:$NG$253""),371,FALSE)"),62.0)</f>
        <v>62</v>
      </c>
      <c r="E33" s="13">
        <f t="shared" si="2"/>
        <v>0.248</v>
      </c>
      <c r="F33" s="13">
        <f t="shared" si="3"/>
        <v>-0.013</v>
      </c>
      <c r="G33" s="12">
        <f>IFERROR(__xludf.DUMMYFUNCTION("VLOOKUP(A33,IMPORTRANGE(""1QZ5UxyNCwadreQAXnQ7oCoH982DjIA-QnZdO7ZoqkC0/edit#gid=0"",""2019-2021!$A$2:$O$250""),2,FALSE)"),59.25)</f>
        <v>59.25</v>
      </c>
      <c r="H33" s="14">
        <f t="shared" si="4"/>
        <v>0.237</v>
      </c>
      <c r="I33" s="15">
        <f t="shared" si="5"/>
        <v>-0.002</v>
      </c>
      <c r="J33" s="16">
        <f>IFERROR(__xludf.DUMMYFUNCTION("VLOOKUP(A33,IMPORTRANGE(""1QZ5UxyNCwadreQAXnQ7oCoH982DjIA-QnZdO7ZoqkC0/edit#gid=0"",""2019-2021!$A$2:$O$250""),4,FALSE)"),51.0)</f>
        <v>51</v>
      </c>
      <c r="K33" s="17">
        <f t="shared" si="6"/>
        <v>0.204</v>
      </c>
      <c r="L33" s="17">
        <f t="shared" si="7"/>
        <v>0.031</v>
      </c>
      <c r="M33" s="16">
        <f>IFERROR(__xludf.DUMMYFUNCTION("VLOOKUP(A33,IMPORTRANGE(""1QZ5UxyNCwadreQAXnQ7oCoH982DjIA-QnZdO7ZoqkC0/edit#gid=0"",""2019-2021!$A$2:$O$250""),7,FALSE)"),44.5)</f>
        <v>44.5</v>
      </c>
      <c r="N33" s="17">
        <f t="shared" si="8"/>
        <v>0.178</v>
      </c>
      <c r="O33" s="17">
        <f t="shared" si="9"/>
        <v>0.057</v>
      </c>
    </row>
    <row r="34">
      <c r="A34" s="19" t="s">
        <v>170</v>
      </c>
      <c r="B34" s="41">
        <f>IFERROR(__xludf.DUMMYFUNCTION("VLOOKUP(A34,IMPORTRANGE(""1EmrnCz2gLVTx5Cbj0e5tfuHPhTtmru8KTGuQvh7STl0/edit#gid=2147150001"",""Whole Data Set!$A$2:$NQ$253""),381,FALSE)"),75.5)</f>
        <v>75.5</v>
      </c>
      <c r="C34" s="58">
        <f t="shared" si="1"/>
        <v>0.302</v>
      </c>
      <c r="D34" s="12">
        <f>IFERROR(__xludf.DUMMYFUNCTION("VLOOKUP(A34,IMPORTRANGE(""1aFCnJY1qhIj8-JckJhDJ18aqmVo17tofpQmOjcYa3u8/edit#gid=948248086"",""Whole Data Set!$A$2:$NG$253""),371,FALSE)"),71.75)</f>
        <v>71.75</v>
      </c>
      <c r="E34" s="13">
        <f t="shared" si="2"/>
        <v>0.287</v>
      </c>
      <c r="F34" s="13">
        <f t="shared" si="3"/>
        <v>0.015</v>
      </c>
      <c r="G34" s="12">
        <f>IFERROR(__xludf.DUMMYFUNCTION("VLOOKUP(A34,IMPORTRANGE(""1QZ5UxyNCwadreQAXnQ7oCoH982DjIA-QnZdO7ZoqkC0/edit#gid=0"",""2019-2021!$A$2:$O$250""),2,FALSE)"),55.5)</f>
        <v>55.5</v>
      </c>
      <c r="H34" s="14">
        <f t="shared" si="4"/>
        <v>0.222</v>
      </c>
      <c r="I34" s="15">
        <f t="shared" si="5"/>
        <v>0.08</v>
      </c>
      <c r="J34" s="16">
        <f>IFERROR(__xludf.DUMMYFUNCTION("VLOOKUP(A34,IMPORTRANGE(""1QZ5UxyNCwadreQAXnQ7oCoH982DjIA-QnZdO7ZoqkC0/edit#gid=0"",""2019-2021!$A$2:$O$250""),4,FALSE)"),64.0)</f>
        <v>64</v>
      </c>
      <c r="K34" s="17">
        <f t="shared" si="6"/>
        <v>0.256</v>
      </c>
      <c r="L34" s="17">
        <f t="shared" si="7"/>
        <v>0.046</v>
      </c>
      <c r="M34" s="16">
        <f>IFERROR(__xludf.DUMMYFUNCTION("VLOOKUP(A34,IMPORTRANGE(""1QZ5UxyNCwadreQAXnQ7oCoH982DjIA-QnZdO7ZoqkC0/edit#gid=0"",""2019-2021!$A$2:$O$250""),7,FALSE)"),50.5)</f>
        <v>50.5</v>
      </c>
      <c r="N34" s="17">
        <f t="shared" si="8"/>
        <v>0.202</v>
      </c>
      <c r="O34" s="17">
        <f t="shared" si="9"/>
        <v>0.1</v>
      </c>
    </row>
    <row r="35">
      <c r="A35" s="19" t="s">
        <v>38</v>
      </c>
      <c r="B35" s="41">
        <f>IFERROR(__xludf.DUMMYFUNCTION("VLOOKUP(A35,IMPORTRANGE(""1EmrnCz2gLVTx5Cbj0e5tfuHPhTtmru8KTGuQvh7STl0/edit#gid=2147150001"",""Whole Data Set!$A$2:$NQ$253""),381,FALSE)"),93.75)</f>
        <v>93.75</v>
      </c>
      <c r="C35" s="58">
        <f t="shared" si="1"/>
        <v>0.375</v>
      </c>
      <c r="D35" s="12">
        <f>IFERROR(__xludf.DUMMYFUNCTION("VLOOKUP(A35,IMPORTRANGE(""1aFCnJY1qhIj8-JckJhDJ18aqmVo17tofpQmOjcYa3u8/edit#gid=948248086"",""Whole Data Set!$A$2:$NG$253""),371,FALSE)"),67.75)</f>
        <v>67.75</v>
      </c>
      <c r="E35" s="13">
        <f t="shared" si="2"/>
        <v>0.271</v>
      </c>
      <c r="F35" s="13">
        <f t="shared" si="3"/>
        <v>0.104</v>
      </c>
      <c r="G35" s="12">
        <f>IFERROR(__xludf.DUMMYFUNCTION("VLOOKUP(A35,IMPORTRANGE(""1QZ5UxyNCwadreQAXnQ7oCoH982DjIA-QnZdO7ZoqkC0/edit#gid=0"",""2019-2021!$A$2:$O$250""),2,FALSE)"),98.25)</f>
        <v>98.25</v>
      </c>
      <c r="H35" s="14">
        <f t="shared" si="4"/>
        <v>0.393</v>
      </c>
      <c r="I35" s="15">
        <f t="shared" si="5"/>
        <v>-0.018</v>
      </c>
      <c r="J35" s="16">
        <f>IFERROR(__xludf.DUMMYFUNCTION("VLOOKUP(A35,IMPORTRANGE(""1QZ5UxyNCwadreQAXnQ7oCoH982DjIA-QnZdO7ZoqkC0/edit#gid=0"",""2019-2021!$A$2:$O$250""),4,FALSE)"),97.0)</f>
        <v>97</v>
      </c>
      <c r="K35" s="17">
        <f t="shared" si="6"/>
        <v>0.388</v>
      </c>
      <c r="L35" s="17">
        <f t="shared" si="7"/>
        <v>-0.013</v>
      </c>
      <c r="M35" s="16">
        <f>IFERROR(__xludf.DUMMYFUNCTION("VLOOKUP(A35,IMPORTRANGE(""1QZ5UxyNCwadreQAXnQ7oCoH982DjIA-QnZdO7ZoqkC0/edit#gid=0"",""2019-2021!$A$2:$O$250""),7,FALSE)"),77.0)</f>
        <v>77</v>
      </c>
      <c r="N35" s="17">
        <f t="shared" si="8"/>
        <v>0.308</v>
      </c>
      <c r="O35" s="17">
        <f t="shared" si="9"/>
        <v>0.067</v>
      </c>
    </row>
    <row r="36">
      <c r="A36" s="19" t="s">
        <v>39</v>
      </c>
      <c r="B36" s="41">
        <f>IFERROR(__xludf.DUMMYFUNCTION("VLOOKUP(A36,IMPORTRANGE(""1EmrnCz2gLVTx5Cbj0e5tfuHPhTtmru8KTGuQvh7STl0/edit#gid=2147150001"",""Whole Data Set!$A$2:$NQ$253""),381,FALSE)"),26.5)</f>
        <v>26.5</v>
      </c>
      <c r="C36" s="58">
        <f t="shared" si="1"/>
        <v>0.106</v>
      </c>
      <c r="D36" s="12">
        <f>IFERROR(__xludf.DUMMYFUNCTION("VLOOKUP(A36,IMPORTRANGE(""1aFCnJY1qhIj8-JckJhDJ18aqmVo17tofpQmOjcYa3u8/edit#gid=948248086"",""Whole Data Set!$A$2:$NG$253""),371,FALSE)"),36.75)</f>
        <v>36.75</v>
      </c>
      <c r="E36" s="13">
        <f t="shared" si="2"/>
        <v>0.147</v>
      </c>
      <c r="F36" s="13">
        <f t="shared" si="3"/>
        <v>-0.041</v>
      </c>
      <c r="G36" s="12">
        <f>IFERROR(__xludf.DUMMYFUNCTION("VLOOKUP(A36,IMPORTRANGE(""1QZ5UxyNCwadreQAXnQ7oCoH982DjIA-QnZdO7ZoqkC0/edit#gid=0"",""2019-2021!$A$2:$O$250""),2,FALSE)"),27.0)</f>
        <v>27</v>
      </c>
      <c r="H36" s="14">
        <f t="shared" si="4"/>
        <v>0.108</v>
      </c>
      <c r="I36" s="15">
        <f t="shared" si="5"/>
        <v>-0.002</v>
      </c>
      <c r="J36" s="16">
        <f>IFERROR(__xludf.DUMMYFUNCTION("VLOOKUP(A36,IMPORTRANGE(""1QZ5UxyNCwadreQAXnQ7oCoH982DjIA-QnZdO7ZoqkC0/edit#gid=0"",""2019-2021!$A$2:$O$250""),4,FALSE)"),26.5)</f>
        <v>26.5</v>
      </c>
      <c r="K36" s="17">
        <f t="shared" si="6"/>
        <v>0.106</v>
      </c>
      <c r="L36" s="17">
        <f t="shared" si="7"/>
        <v>0</v>
      </c>
      <c r="M36" s="16">
        <f>IFERROR(__xludf.DUMMYFUNCTION("VLOOKUP(A36,IMPORTRANGE(""1QZ5UxyNCwadreQAXnQ7oCoH982DjIA-QnZdO7ZoqkC0/edit#gid=0"",""2019-2021!$A$2:$O$250""),7,FALSE)"),25.5)</f>
        <v>25.5</v>
      </c>
      <c r="N36" s="17">
        <f t="shared" si="8"/>
        <v>0.102</v>
      </c>
      <c r="O36" s="17">
        <f t="shared" si="9"/>
        <v>0.004</v>
      </c>
    </row>
    <row r="37">
      <c r="A37" s="19" t="s">
        <v>94</v>
      </c>
      <c r="B37" s="41">
        <f>IFERROR(__xludf.DUMMYFUNCTION("VLOOKUP(A37,IMPORTRANGE(""1EmrnCz2gLVTx5Cbj0e5tfuHPhTtmru8KTGuQvh7STl0/edit#gid=2147150001"",""Whole Data Set!$A$2:$NQ$253""),381,FALSE)"),34.25)</f>
        <v>34.25</v>
      </c>
      <c r="C37" s="58">
        <f t="shared" si="1"/>
        <v>0.137</v>
      </c>
      <c r="D37" s="12">
        <f>IFERROR(__xludf.DUMMYFUNCTION("VLOOKUP(A37,IMPORTRANGE(""1aFCnJY1qhIj8-JckJhDJ18aqmVo17tofpQmOjcYa3u8/edit#gid=948248086"",""Whole Data Set!$A$2:$NG$253""),371,FALSE)"),16.5)</f>
        <v>16.5</v>
      </c>
      <c r="E37" s="13">
        <f t="shared" si="2"/>
        <v>0.066</v>
      </c>
      <c r="F37" s="13">
        <f t="shared" si="3"/>
        <v>0.071</v>
      </c>
      <c r="G37" s="12">
        <f>IFERROR(__xludf.DUMMYFUNCTION("VLOOKUP(A37,IMPORTRANGE(""1QZ5UxyNCwadreQAXnQ7oCoH982DjIA-QnZdO7ZoqkC0/edit#gid=0"",""2019-2021!$A$2:$O$250""),2,FALSE)"),21.0)</f>
        <v>21</v>
      </c>
      <c r="H37" s="14">
        <f t="shared" si="4"/>
        <v>0.084</v>
      </c>
      <c r="I37" s="15">
        <f t="shared" si="5"/>
        <v>0.053</v>
      </c>
      <c r="J37" s="16">
        <f>IFERROR(__xludf.DUMMYFUNCTION("VLOOKUP(A37,IMPORTRANGE(""1QZ5UxyNCwadreQAXnQ7oCoH982DjIA-QnZdO7ZoqkC0/edit#gid=0"",""2019-2021!$A$2:$O$250""),4,FALSE)"),29.5)</f>
        <v>29.5</v>
      </c>
      <c r="K37" s="17">
        <f t="shared" si="6"/>
        <v>0.118</v>
      </c>
      <c r="L37" s="17">
        <f t="shared" si="7"/>
        <v>0.019</v>
      </c>
      <c r="M37" s="16">
        <f>IFERROR(__xludf.DUMMYFUNCTION("VLOOKUP(A37,IMPORTRANGE(""1QZ5UxyNCwadreQAXnQ7oCoH982DjIA-QnZdO7ZoqkC0/edit#gid=0"",""2019-2021!$A$2:$O$250""),7,FALSE)"),23.0)</f>
        <v>23</v>
      </c>
      <c r="N37" s="17">
        <f t="shared" si="8"/>
        <v>0.092</v>
      </c>
      <c r="O37" s="17">
        <f t="shared" si="9"/>
        <v>0.045</v>
      </c>
    </row>
    <row r="38">
      <c r="A38" s="19" t="s">
        <v>171</v>
      </c>
      <c r="B38" s="41">
        <f>IFERROR(__xludf.DUMMYFUNCTION("VLOOKUP(A38,IMPORTRANGE(""1EmrnCz2gLVTx5Cbj0e5tfuHPhTtmru8KTGuQvh7STl0/edit#gid=2147150001"",""Whole Data Set!$A$2:$NQ$253""),381,FALSE)"),42.75)</f>
        <v>42.75</v>
      </c>
      <c r="C38" s="58">
        <f t="shared" si="1"/>
        <v>0.171</v>
      </c>
      <c r="D38" s="12">
        <f>IFERROR(__xludf.DUMMYFUNCTION("VLOOKUP(A38,IMPORTRANGE(""1aFCnJY1qhIj8-JckJhDJ18aqmVo17tofpQmOjcYa3u8/edit#gid=948248086"",""Whole Data Set!$A$2:$NG$253""),371,FALSE)"),66.0)</f>
        <v>66</v>
      </c>
      <c r="E38" s="13">
        <f t="shared" si="2"/>
        <v>0.264</v>
      </c>
      <c r="F38" s="13">
        <f t="shared" si="3"/>
        <v>-0.093</v>
      </c>
      <c r="G38" s="12">
        <f>IFERROR(__xludf.DUMMYFUNCTION("VLOOKUP(A38,IMPORTRANGE(""1QZ5UxyNCwadreQAXnQ7oCoH982DjIA-QnZdO7ZoqkC0/edit#gid=0"",""2019-2021!$A$2:$O$250""),2,FALSE)"),85.25)</f>
        <v>85.25</v>
      </c>
      <c r="H38" s="14">
        <f t="shared" si="4"/>
        <v>0.341</v>
      </c>
      <c r="I38" s="15">
        <f t="shared" si="5"/>
        <v>-0.17</v>
      </c>
      <c r="J38" s="16">
        <f>IFERROR(__xludf.DUMMYFUNCTION("VLOOKUP(A38,IMPORTRANGE(""1QZ5UxyNCwadreQAXnQ7oCoH982DjIA-QnZdO7ZoqkC0/edit#gid=0"",""2019-2021!$A$2:$O$250""),4,FALSE)"),101.0)</f>
        <v>101</v>
      </c>
      <c r="K38" s="17">
        <f t="shared" si="6"/>
        <v>0.404</v>
      </c>
      <c r="L38" s="17">
        <f t="shared" si="7"/>
        <v>-0.233</v>
      </c>
      <c r="M38" s="16">
        <f>IFERROR(__xludf.DUMMYFUNCTION("VLOOKUP(A38,IMPORTRANGE(""1QZ5UxyNCwadreQAXnQ7oCoH982DjIA-QnZdO7ZoqkC0/edit#gid=0"",""2019-2021!$A$2:$O$250""),7,FALSE)"),65.0)</f>
        <v>65</v>
      </c>
      <c r="N38" s="17">
        <f t="shared" si="8"/>
        <v>0.26</v>
      </c>
      <c r="O38" s="17">
        <f t="shared" si="9"/>
        <v>-0.089</v>
      </c>
    </row>
    <row r="39">
      <c r="A39" s="19" t="s">
        <v>41</v>
      </c>
      <c r="B39" s="41">
        <f>IFERROR(__xludf.DUMMYFUNCTION("VLOOKUP(A39,IMPORTRANGE(""1EmrnCz2gLVTx5Cbj0e5tfuHPhTtmru8KTGuQvh7STl0/edit#gid=2147150001"",""Whole Data Set!$A$2:$NQ$253""),381,FALSE)"),103.75)</f>
        <v>103.75</v>
      </c>
      <c r="C39" s="58">
        <f t="shared" si="1"/>
        <v>0.415</v>
      </c>
      <c r="D39" s="12">
        <f>IFERROR(__xludf.DUMMYFUNCTION("VLOOKUP(A39,IMPORTRANGE(""1aFCnJY1qhIj8-JckJhDJ18aqmVo17tofpQmOjcYa3u8/edit#gid=948248086"",""Whole Data Set!$A$2:$NG$253""),371,FALSE)"),66.25)</f>
        <v>66.25</v>
      </c>
      <c r="E39" s="13">
        <f t="shared" si="2"/>
        <v>0.265</v>
      </c>
      <c r="F39" s="13">
        <f t="shared" si="3"/>
        <v>0.15</v>
      </c>
      <c r="G39" s="12">
        <f>IFERROR(__xludf.DUMMYFUNCTION("VLOOKUP(A39,IMPORTRANGE(""1QZ5UxyNCwadreQAXnQ7oCoH982DjIA-QnZdO7ZoqkC0/edit#gid=0"",""2019-2021!$A$2:$O$250""),2,FALSE)"),54.0)</f>
        <v>54</v>
      </c>
      <c r="H39" s="14">
        <f t="shared" si="4"/>
        <v>0.216</v>
      </c>
      <c r="I39" s="15">
        <f t="shared" si="5"/>
        <v>0.199</v>
      </c>
      <c r="J39" s="16">
        <f>IFERROR(__xludf.DUMMYFUNCTION("VLOOKUP(A39,IMPORTRANGE(""1QZ5UxyNCwadreQAXnQ7oCoH982DjIA-QnZdO7ZoqkC0/edit#gid=0"",""2019-2021!$A$2:$O$250""),4,FALSE)"),47.0)</f>
        <v>47</v>
      </c>
      <c r="K39" s="17">
        <f t="shared" si="6"/>
        <v>0.188</v>
      </c>
      <c r="L39" s="17">
        <f t="shared" si="7"/>
        <v>0.227</v>
      </c>
      <c r="M39" s="16">
        <f>IFERROR(__xludf.DUMMYFUNCTION("VLOOKUP(A39,IMPORTRANGE(""1QZ5UxyNCwadreQAXnQ7oCoH982DjIA-QnZdO7ZoqkC0/edit#gid=0"",""2019-2021!$A$2:$O$250""),7,FALSE)"),55.0)</f>
        <v>55</v>
      </c>
      <c r="N39" s="17">
        <f t="shared" si="8"/>
        <v>0.22</v>
      </c>
      <c r="O39" s="17">
        <f t="shared" si="9"/>
        <v>0.195</v>
      </c>
    </row>
    <row r="40">
      <c r="A40" s="42" t="s">
        <v>42</v>
      </c>
      <c r="B40" s="41">
        <f>IFERROR(__xludf.DUMMYFUNCTION("VLOOKUP(A40,IMPORTRANGE(""1EmrnCz2gLVTx5Cbj0e5tfuHPhTtmru8KTGuQvh7STl0/edit#gid=2147150001"",""Whole Data Set!$A$2:$NQ$253""),381,FALSE)"),91.75)</f>
        <v>91.75</v>
      </c>
      <c r="C40" s="58">
        <f t="shared" si="1"/>
        <v>0.367</v>
      </c>
      <c r="D40" s="12">
        <f>IFERROR(__xludf.DUMMYFUNCTION("VLOOKUP(A40,IMPORTRANGE(""1aFCnJY1qhIj8-JckJhDJ18aqmVo17tofpQmOjcYa3u8/edit#gid=948248086"",""Whole Data Set!$A$2:$NG$253""),371,FALSE)"),92.25)</f>
        <v>92.25</v>
      </c>
      <c r="E40" s="13">
        <f t="shared" si="2"/>
        <v>0.369</v>
      </c>
      <c r="F40" s="13">
        <f t="shared" si="3"/>
        <v>-0.002</v>
      </c>
      <c r="G40" s="12">
        <f>IFERROR(__xludf.DUMMYFUNCTION("VLOOKUP(A40,IMPORTRANGE(""1QZ5UxyNCwadreQAXnQ7oCoH982DjIA-QnZdO7ZoqkC0/edit#gid=0"",""2019-2021!$A$2:$O$250""),2,FALSE)"),62.25)</f>
        <v>62.25</v>
      </c>
      <c r="H40" s="14">
        <f t="shared" si="4"/>
        <v>0.249</v>
      </c>
      <c r="I40" s="15">
        <f t="shared" si="5"/>
        <v>0.118</v>
      </c>
      <c r="J40" s="16">
        <f>IFERROR(__xludf.DUMMYFUNCTION("VLOOKUP(A40,IMPORTRANGE(""1QZ5UxyNCwadreQAXnQ7oCoH982DjIA-QnZdO7ZoqkC0/edit#gid=0"",""2019-2021!$A$2:$O$250""),4,FALSE)"),70.5)</f>
        <v>70.5</v>
      </c>
      <c r="K40" s="17">
        <f t="shared" si="6"/>
        <v>0.282</v>
      </c>
      <c r="L40" s="17">
        <f t="shared" si="7"/>
        <v>0.085</v>
      </c>
      <c r="M40" s="16">
        <f>IFERROR(__xludf.DUMMYFUNCTION("VLOOKUP(A40,IMPORTRANGE(""1QZ5UxyNCwadreQAXnQ7oCoH982DjIA-QnZdO7ZoqkC0/edit#gid=0"",""2019-2021!$A$2:$O$250""),7,FALSE)"),53.0)</f>
        <v>53</v>
      </c>
      <c r="N40" s="17">
        <f t="shared" si="8"/>
        <v>0.212</v>
      </c>
      <c r="O40" s="17">
        <f t="shared" si="9"/>
        <v>0.155</v>
      </c>
    </row>
    <row r="41">
      <c r="A41" s="19" t="s">
        <v>43</v>
      </c>
      <c r="B41" s="41">
        <f>IFERROR(__xludf.DUMMYFUNCTION("VLOOKUP(A41,IMPORTRANGE(""1EmrnCz2gLVTx5Cbj0e5tfuHPhTtmru8KTGuQvh7STl0/edit#gid=2147150001"",""Whole Data Set!$A$2:$NQ$253""),381,FALSE)"),124.75)</f>
        <v>124.75</v>
      </c>
      <c r="C41" s="58">
        <f t="shared" si="1"/>
        <v>0.499</v>
      </c>
      <c r="D41" s="12">
        <f>IFERROR(__xludf.DUMMYFUNCTION("VLOOKUP(A41,IMPORTRANGE(""1aFCnJY1qhIj8-JckJhDJ18aqmVo17tofpQmOjcYa3u8/edit#gid=948248086"",""Whole Data Set!$A$2:$NG$253""),371,FALSE)"),133.5)</f>
        <v>133.5</v>
      </c>
      <c r="E41" s="13">
        <f t="shared" si="2"/>
        <v>0.534</v>
      </c>
      <c r="F41" s="13">
        <f t="shared" si="3"/>
        <v>-0.035</v>
      </c>
      <c r="G41" s="12">
        <f>IFERROR(__xludf.DUMMYFUNCTION("VLOOKUP(A41,IMPORTRANGE(""1QZ5UxyNCwadreQAXnQ7oCoH982DjIA-QnZdO7ZoqkC0/edit#gid=0"",""2019-2021!$A$2:$O$250""),2,FALSE)"),138.5)</f>
        <v>138.5</v>
      </c>
      <c r="H41" s="14">
        <f t="shared" si="4"/>
        <v>0.554</v>
      </c>
      <c r="I41" s="15">
        <f t="shared" si="5"/>
        <v>-0.055</v>
      </c>
      <c r="J41" s="16">
        <f>IFERROR(__xludf.DUMMYFUNCTION("VLOOKUP(A41,IMPORTRANGE(""1QZ5UxyNCwadreQAXnQ7oCoH982DjIA-QnZdO7ZoqkC0/edit#gid=0"",""2019-2021!$A$2:$O$250""),4,FALSE)"),138.0)</f>
        <v>138</v>
      </c>
      <c r="K41" s="17">
        <f t="shared" si="6"/>
        <v>0.552</v>
      </c>
      <c r="L41" s="17">
        <f t="shared" si="7"/>
        <v>-0.053</v>
      </c>
      <c r="M41" s="16">
        <f>IFERROR(__xludf.DUMMYFUNCTION("VLOOKUP(A41,IMPORTRANGE(""1QZ5UxyNCwadreQAXnQ7oCoH982DjIA-QnZdO7ZoqkC0/edit#gid=0"",""2019-2021!$A$2:$O$250""),7,FALSE)"),143.0)</f>
        <v>143</v>
      </c>
      <c r="N41" s="17">
        <f t="shared" si="8"/>
        <v>0.572</v>
      </c>
      <c r="O41" s="17">
        <f t="shared" si="9"/>
        <v>-0.073</v>
      </c>
    </row>
    <row r="42">
      <c r="A42" s="19" t="s">
        <v>118</v>
      </c>
      <c r="B42" s="41">
        <f>IFERROR(__xludf.DUMMYFUNCTION("VLOOKUP(A42,IMPORTRANGE(""1EmrnCz2gLVTx5Cbj0e5tfuHPhTtmru8KTGuQvh7STl0/edit#gid=2147150001"",""Whole Data Set!$A$2:$NQ$253""),381,FALSE)"),51.25)</f>
        <v>51.25</v>
      </c>
      <c r="C42" s="58">
        <f t="shared" si="1"/>
        <v>0.205</v>
      </c>
      <c r="D42" s="12">
        <f>IFERROR(__xludf.DUMMYFUNCTION("VLOOKUP(A42,IMPORTRANGE(""1aFCnJY1qhIj8-JckJhDJ18aqmVo17tofpQmOjcYa3u8/edit#gid=948248086"",""Whole Data Set!$A$2:$NG$253""),371,FALSE)"),41.75)</f>
        <v>41.75</v>
      </c>
      <c r="E42" s="13">
        <f t="shared" si="2"/>
        <v>0.167</v>
      </c>
      <c r="F42" s="13">
        <f t="shared" si="3"/>
        <v>0.038</v>
      </c>
      <c r="G42" s="12">
        <f>IFERROR(__xludf.DUMMYFUNCTION("VLOOKUP(A42,IMPORTRANGE(""1QZ5UxyNCwadreQAXnQ7oCoH982DjIA-QnZdO7ZoqkC0/edit#gid=0"",""2019-2021!$A$2:$O$250""),2,FALSE)"),37.0)</f>
        <v>37</v>
      </c>
      <c r="H42" s="14">
        <f t="shared" si="4"/>
        <v>0.148</v>
      </c>
      <c r="I42" s="15">
        <f t="shared" si="5"/>
        <v>0.057</v>
      </c>
      <c r="J42" s="16">
        <f>IFERROR(__xludf.DUMMYFUNCTION("VLOOKUP(A42,IMPORTRANGE(""1QZ5UxyNCwadreQAXnQ7oCoH982DjIA-QnZdO7ZoqkC0/edit#gid=0"",""2019-2021!$A$2:$O$250""),4,FALSE)"),40.5)</f>
        <v>40.5</v>
      </c>
      <c r="K42" s="17">
        <f t="shared" si="6"/>
        <v>0.162</v>
      </c>
      <c r="L42" s="17">
        <f t="shared" si="7"/>
        <v>0.043</v>
      </c>
      <c r="M42" s="16">
        <f>IFERROR(__xludf.DUMMYFUNCTION("VLOOKUP(A42,IMPORTRANGE(""1QZ5UxyNCwadreQAXnQ7oCoH982DjIA-QnZdO7ZoqkC0/edit#gid=0"",""2019-2021!$A$2:$O$250""),7,FALSE)"),38.5)</f>
        <v>38.5</v>
      </c>
      <c r="N42" s="17">
        <f t="shared" si="8"/>
        <v>0.154</v>
      </c>
      <c r="O42" s="17">
        <f t="shared" si="9"/>
        <v>0.051</v>
      </c>
    </row>
    <row r="43">
      <c r="A43" s="19" t="s">
        <v>40</v>
      </c>
      <c r="B43" s="41">
        <f>IFERROR(__xludf.DUMMYFUNCTION("VLOOKUP(A43,IMPORTRANGE(""1EmrnCz2gLVTx5Cbj0e5tfuHPhTtmru8KTGuQvh7STl0/edit#gid=2147150001"",""Whole Data Set!$A$2:$NQ$253""),381,FALSE)"),24.25)</f>
        <v>24.25</v>
      </c>
      <c r="C43" s="58">
        <f t="shared" si="1"/>
        <v>0.097</v>
      </c>
      <c r="D43" s="12">
        <f>IFERROR(__xludf.DUMMYFUNCTION("VLOOKUP(A43,IMPORTRANGE(""1aFCnJY1qhIj8-JckJhDJ18aqmVo17tofpQmOjcYa3u8/edit#gid=948248086"",""Whole Data Set!$A$2:$NG$253""),371,FALSE)"),25.25)</f>
        <v>25.25</v>
      </c>
      <c r="E43" s="13">
        <f t="shared" si="2"/>
        <v>0.101</v>
      </c>
      <c r="F43" s="13">
        <f t="shared" si="3"/>
        <v>-0.004</v>
      </c>
      <c r="G43" s="12">
        <f>IFERROR(__xludf.DUMMYFUNCTION("VLOOKUP(A43,IMPORTRANGE(""1QZ5UxyNCwadreQAXnQ7oCoH982DjIA-QnZdO7ZoqkC0/edit#gid=0"",""2019-2021!$A$2:$O$250""),2,FALSE)"),29.25)</f>
        <v>29.25</v>
      </c>
      <c r="H43" s="14">
        <f t="shared" si="4"/>
        <v>0.117</v>
      </c>
      <c r="I43" s="15">
        <f t="shared" si="5"/>
        <v>-0.02</v>
      </c>
      <c r="J43" s="16">
        <f>IFERROR(__xludf.DUMMYFUNCTION("VLOOKUP(A43,IMPORTRANGE(""1QZ5UxyNCwadreQAXnQ7oCoH982DjIA-QnZdO7ZoqkC0/edit#gid=0"",""2019-2021!$A$2:$O$250""),4,FALSE)"),38.0)</f>
        <v>38</v>
      </c>
      <c r="K43" s="17">
        <f t="shared" si="6"/>
        <v>0.152</v>
      </c>
      <c r="L43" s="17">
        <f t="shared" si="7"/>
        <v>-0.055</v>
      </c>
      <c r="M43" s="16">
        <f>IFERROR(__xludf.DUMMYFUNCTION("VLOOKUP(A43,IMPORTRANGE(""1QZ5UxyNCwadreQAXnQ7oCoH982DjIA-QnZdO7ZoqkC0/edit#gid=0"",""2019-2021!$A$2:$O$250""),7,FALSE)"),36.5)</f>
        <v>36.5</v>
      </c>
      <c r="N43" s="17">
        <f t="shared" si="8"/>
        <v>0.146</v>
      </c>
      <c r="O43" s="17">
        <f t="shared" si="9"/>
        <v>-0.049</v>
      </c>
    </row>
    <row r="44">
      <c r="A44" s="19" t="s">
        <v>119</v>
      </c>
      <c r="B44" s="41">
        <f>IFERROR(__xludf.DUMMYFUNCTION("VLOOKUP(A44,IMPORTRANGE(""1EmrnCz2gLVTx5Cbj0e5tfuHPhTtmru8KTGuQvh7STl0/edit#gid=2147150001"",""Whole Data Set!$A$2:$NQ$253""),381,FALSE)"),64.5)</f>
        <v>64.5</v>
      </c>
      <c r="C44" s="58">
        <f t="shared" si="1"/>
        <v>0.258</v>
      </c>
      <c r="D44" s="12">
        <f>IFERROR(__xludf.DUMMYFUNCTION("VLOOKUP(A44,IMPORTRANGE(""1aFCnJY1qhIj8-JckJhDJ18aqmVo17tofpQmOjcYa3u8/edit#gid=948248086"",""Whole Data Set!$A$2:$NG$253""),371,FALSE)"),52.75)</f>
        <v>52.75</v>
      </c>
      <c r="E44" s="13">
        <f t="shared" si="2"/>
        <v>0.211</v>
      </c>
      <c r="F44" s="13">
        <f t="shared" si="3"/>
        <v>0.047</v>
      </c>
      <c r="G44" s="12">
        <f>IFERROR(__xludf.DUMMYFUNCTION("VLOOKUP(A44,IMPORTRANGE(""1QZ5UxyNCwadreQAXnQ7oCoH982DjIA-QnZdO7ZoqkC0/edit#gid=0"",""2019-2021!$A$2:$O$250""),2,FALSE)"),59.0)</f>
        <v>59</v>
      </c>
      <c r="H44" s="14">
        <f t="shared" si="4"/>
        <v>0.236</v>
      </c>
      <c r="I44" s="15">
        <f t="shared" si="5"/>
        <v>0.022</v>
      </c>
      <c r="J44" s="16">
        <f>IFERROR(__xludf.DUMMYFUNCTION("VLOOKUP(A44,IMPORTRANGE(""1QZ5UxyNCwadreQAXnQ7oCoH982DjIA-QnZdO7ZoqkC0/edit#gid=0"",""2019-2021!$A$2:$O$250""),4,FALSE)"),58.5)</f>
        <v>58.5</v>
      </c>
      <c r="K44" s="17">
        <f t="shared" si="6"/>
        <v>0.234</v>
      </c>
      <c r="L44" s="17">
        <f t="shared" si="7"/>
        <v>0.024</v>
      </c>
      <c r="M44" s="16">
        <f>IFERROR(__xludf.DUMMYFUNCTION("VLOOKUP(A44,IMPORTRANGE(""1QZ5UxyNCwadreQAXnQ7oCoH982DjIA-QnZdO7ZoqkC0/edit#gid=0"",""2019-2021!$A$2:$O$250""),7,FALSE)"),46.5)</f>
        <v>46.5</v>
      </c>
      <c r="N44" s="17">
        <f t="shared" si="8"/>
        <v>0.186</v>
      </c>
      <c r="O44" s="17">
        <f t="shared" si="9"/>
        <v>0.072</v>
      </c>
    </row>
    <row r="45">
      <c r="A45" s="19" t="s">
        <v>120</v>
      </c>
      <c r="B45" s="41">
        <f>IFERROR(__xludf.DUMMYFUNCTION("VLOOKUP(A45,IMPORTRANGE(""1EmrnCz2gLVTx5Cbj0e5tfuHPhTtmru8KTGuQvh7STl0/edit#gid=2147150001"",""Whole Data Set!$A$2:$NQ$253""),381,FALSE)"),61.5)</f>
        <v>61.5</v>
      </c>
      <c r="C45" s="58">
        <f t="shared" si="1"/>
        <v>0.246</v>
      </c>
      <c r="D45" s="12">
        <f>IFERROR(__xludf.DUMMYFUNCTION("VLOOKUP(A45,IMPORTRANGE(""1aFCnJY1qhIj8-JckJhDJ18aqmVo17tofpQmOjcYa3u8/edit#gid=948248086"",""Whole Data Set!$A$2:$NG$253""),371,FALSE)"),42.25)</f>
        <v>42.25</v>
      </c>
      <c r="E45" s="13">
        <f t="shared" si="2"/>
        <v>0.169</v>
      </c>
      <c r="F45" s="13">
        <f t="shared" si="3"/>
        <v>0.077</v>
      </c>
      <c r="G45" s="12">
        <f>IFERROR(__xludf.DUMMYFUNCTION("VLOOKUP(A45,IMPORTRANGE(""1QZ5UxyNCwadreQAXnQ7oCoH982DjIA-QnZdO7ZoqkC0/edit#gid=0"",""2019-2021!$A$2:$O$250""),2,FALSE)"),52.5)</f>
        <v>52.5</v>
      </c>
      <c r="H45" s="14">
        <f t="shared" si="4"/>
        <v>0.21</v>
      </c>
      <c r="I45" s="15">
        <f t="shared" si="5"/>
        <v>0.036</v>
      </c>
      <c r="J45" s="16">
        <f>IFERROR(__xludf.DUMMYFUNCTION("VLOOKUP(A45,IMPORTRANGE(""1QZ5UxyNCwadreQAXnQ7oCoH982DjIA-QnZdO7ZoqkC0/edit#gid=0"",""2019-2021!$A$2:$O$250""),4,FALSE)"),42.0)</f>
        <v>42</v>
      </c>
      <c r="K45" s="17">
        <f t="shared" si="6"/>
        <v>0.168</v>
      </c>
      <c r="L45" s="17">
        <f t="shared" si="7"/>
        <v>0.078</v>
      </c>
      <c r="M45" s="16">
        <f>IFERROR(__xludf.DUMMYFUNCTION("VLOOKUP(A45,IMPORTRANGE(""1QZ5UxyNCwadreQAXnQ7oCoH982DjIA-QnZdO7ZoqkC0/edit#gid=0"",""2019-2021!$A$2:$O$250""),7,FALSE)"),18.5)</f>
        <v>18.5</v>
      </c>
      <c r="N45" s="17">
        <f t="shared" si="8"/>
        <v>0.074</v>
      </c>
      <c r="O45" s="17">
        <f t="shared" si="9"/>
        <v>0.172</v>
      </c>
    </row>
    <row r="46">
      <c r="A46" s="42" t="s">
        <v>121</v>
      </c>
      <c r="B46" s="41">
        <f>IFERROR(__xludf.DUMMYFUNCTION("VLOOKUP(A46,IMPORTRANGE(""1EmrnCz2gLVTx5Cbj0e5tfuHPhTtmru8KTGuQvh7STl0/edit#gid=2147150001"",""Whole Data Set!$A$2:$NQ$253""),381,FALSE)"),68.5)</f>
        <v>68.5</v>
      </c>
      <c r="C46" s="58">
        <f t="shared" si="1"/>
        <v>0.274</v>
      </c>
      <c r="D46" s="12">
        <f>IFERROR(__xludf.DUMMYFUNCTION("VLOOKUP(A46,IMPORTRANGE(""1aFCnJY1qhIj8-JckJhDJ18aqmVo17tofpQmOjcYa3u8/edit#gid=948248086"",""Whole Data Set!$A$2:$NG$253""),371,FALSE)"),60.5)</f>
        <v>60.5</v>
      </c>
      <c r="E46" s="13">
        <f t="shared" si="2"/>
        <v>0.242</v>
      </c>
      <c r="F46" s="13">
        <f t="shared" si="3"/>
        <v>0.032</v>
      </c>
      <c r="G46" s="12">
        <f>IFERROR(__xludf.DUMMYFUNCTION("VLOOKUP(A46,IMPORTRANGE(""1QZ5UxyNCwadreQAXnQ7oCoH982DjIA-QnZdO7ZoqkC0/edit#gid=0"",""2019-2021!$A$2:$O$250""),2,FALSE)"),77.75)</f>
        <v>77.75</v>
      </c>
      <c r="H46" s="14">
        <f t="shared" si="4"/>
        <v>0.311</v>
      </c>
      <c r="I46" s="15">
        <f t="shared" si="5"/>
        <v>-0.037</v>
      </c>
      <c r="J46" s="16">
        <f>IFERROR(__xludf.DUMMYFUNCTION("VLOOKUP(A46,IMPORTRANGE(""1QZ5UxyNCwadreQAXnQ7oCoH982DjIA-QnZdO7ZoqkC0/edit#gid=0"",""2019-2021!$A$2:$O$250""),4,FALSE)"),41.0)</f>
        <v>41</v>
      </c>
      <c r="K46" s="17">
        <f t="shared" si="6"/>
        <v>0.164</v>
      </c>
      <c r="L46" s="17">
        <f t="shared" si="7"/>
        <v>0.11</v>
      </c>
      <c r="M46" s="16">
        <f>IFERROR(__xludf.DUMMYFUNCTION("VLOOKUP(A46,IMPORTRANGE(""1QZ5UxyNCwadreQAXnQ7oCoH982DjIA-QnZdO7ZoqkC0/edit#gid=0"",""2019-2021!$A$2:$O$250""),7,FALSE)"),22.0)</f>
        <v>22</v>
      </c>
      <c r="N46" s="17">
        <f t="shared" si="8"/>
        <v>0.088</v>
      </c>
      <c r="O46" s="17">
        <f t="shared" si="9"/>
        <v>0.186</v>
      </c>
    </row>
    <row r="47">
      <c r="A47" s="19" t="s">
        <v>122</v>
      </c>
      <c r="B47" s="41">
        <f>IFERROR(__xludf.DUMMYFUNCTION("VLOOKUP(A47,IMPORTRANGE(""1EmrnCz2gLVTx5Cbj0e5tfuHPhTtmru8KTGuQvh7STl0/edit#gid=2147150001"",""Whole Data Set!$A$2:$NQ$253""),381,FALSE)"),47.25)</f>
        <v>47.25</v>
      </c>
      <c r="C47" s="58">
        <f t="shared" si="1"/>
        <v>0.189</v>
      </c>
      <c r="D47" s="12">
        <f>IFERROR(__xludf.DUMMYFUNCTION("VLOOKUP(A47,IMPORTRANGE(""1aFCnJY1qhIj8-JckJhDJ18aqmVo17tofpQmOjcYa3u8/edit#gid=948248086"",""Whole Data Set!$A$2:$NG$253""),371,FALSE)"),16.5)</f>
        <v>16.5</v>
      </c>
      <c r="E47" s="13">
        <f t="shared" si="2"/>
        <v>0.066</v>
      </c>
      <c r="F47" s="13">
        <f t="shared" si="3"/>
        <v>0.123</v>
      </c>
      <c r="G47" s="12">
        <f>IFERROR(__xludf.DUMMYFUNCTION("VLOOKUP(A47,IMPORTRANGE(""1QZ5UxyNCwadreQAXnQ7oCoH982DjIA-QnZdO7ZoqkC0/edit#gid=0"",""2019-2021!$A$2:$O$250""),2,FALSE)"),18.0)</f>
        <v>18</v>
      </c>
      <c r="H47" s="14">
        <f t="shared" si="4"/>
        <v>0.072</v>
      </c>
      <c r="I47" s="15">
        <f t="shared" si="5"/>
        <v>0.117</v>
      </c>
      <c r="J47" s="16">
        <f>IFERROR(__xludf.DUMMYFUNCTION("VLOOKUP(A47,IMPORTRANGE(""1QZ5UxyNCwadreQAXnQ7oCoH982DjIA-QnZdO7ZoqkC0/edit#gid=0"",""2019-2021!$A$2:$O$250""),4,FALSE)"),26.5)</f>
        <v>26.5</v>
      </c>
      <c r="K47" s="17">
        <f t="shared" si="6"/>
        <v>0.106</v>
      </c>
      <c r="L47" s="17">
        <f t="shared" si="7"/>
        <v>0.083</v>
      </c>
      <c r="M47" s="16">
        <f>IFERROR(__xludf.DUMMYFUNCTION("VLOOKUP(A47,IMPORTRANGE(""1QZ5UxyNCwadreQAXnQ7oCoH982DjIA-QnZdO7ZoqkC0/edit#gid=0"",""2019-2021!$A$2:$O$250""),7,FALSE)"),26.5)</f>
        <v>26.5</v>
      </c>
      <c r="N47" s="17">
        <f t="shared" si="8"/>
        <v>0.106</v>
      </c>
      <c r="O47" s="17">
        <f t="shared" si="9"/>
        <v>0.083</v>
      </c>
    </row>
    <row r="48">
      <c r="A48" s="22" t="s">
        <v>45</v>
      </c>
      <c r="B48" s="41">
        <f>IFERROR(__xludf.DUMMYFUNCTION("VLOOKUP(A48,IMPORTRANGE(""1EmrnCz2gLVTx5Cbj0e5tfuHPhTtmru8KTGuQvh7STl0/edit#gid=2147150001"",""Whole Data Set!$A$2:$NQ$253""),381,FALSE)"),8.25)</f>
        <v>8.25</v>
      </c>
      <c r="C48" s="58">
        <f t="shared" si="1"/>
        <v>0.033</v>
      </c>
      <c r="D48" s="12">
        <f>IFERROR(__xludf.DUMMYFUNCTION("VLOOKUP(A48,IMPORTRANGE(""1aFCnJY1qhIj8-JckJhDJ18aqmVo17tofpQmOjcYa3u8/edit#gid=948248086"",""Whole Data Set!$A$2:$NG$253""),371,FALSE)"),11.0)</f>
        <v>11</v>
      </c>
      <c r="E48" s="13">
        <f t="shared" si="2"/>
        <v>0.044</v>
      </c>
      <c r="F48" s="13">
        <f t="shared" si="3"/>
        <v>-0.011</v>
      </c>
      <c r="G48" s="12">
        <f>IFERROR(__xludf.DUMMYFUNCTION("VLOOKUP(A48,IMPORTRANGE(""1QZ5UxyNCwadreQAXnQ7oCoH982DjIA-QnZdO7ZoqkC0/edit#gid=0"",""2019-2021!$A$2:$O$250""),2,FALSE)"),15.25)</f>
        <v>15.25</v>
      </c>
      <c r="H48" s="14">
        <f t="shared" si="4"/>
        <v>0.061</v>
      </c>
      <c r="I48" s="15">
        <f t="shared" si="5"/>
        <v>-0.028</v>
      </c>
      <c r="J48" s="16">
        <f>IFERROR(__xludf.DUMMYFUNCTION("VLOOKUP(A48,IMPORTRANGE(""1QZ5UxyNCwadreQAXnQ7oCoH982DjIA-QnZdO7ZoqkC0/edit#gid=0"",""2019-2021!$A$2:$O$250""),4,FALSE)"),24.0)</f>
        <v>24</v>
      </c>
      <c r="K48" s="17">
        <f t="shared" si="6"/>
        <v>0.096</v>
      </c>
      <c r="L48" s="17">
        <f t="shared" si="7"/>
        <v>-0.063</v>
      </c>
      <c r="M48" s="16">
        <f>IFERROR(__xludf.DUMMYFUNCTION("VLOOKUP(A48,IMPORTRANGE(""1QZ5UxyNCwadreQAXnQ7oCoH982DjIA-QnZdO7ZoqkC0/edit#gid=0"",""2019-2021!$A$2:$O$250""),7,FALSE)"),16.5)</f>
        <v>16.5</v>
      </c>
      <c r="N48" s="17">
        <f t="shared" si="8"/>
        <v>0.066</v>
      </c>
      <c r="O48" s="17">
        <f t="shared" si="9"/>
        <v>-0.033</v>
      </c>
    </row>
    <row r="49">
      <c r="A49" s="23" t="s">
        <v>46</v>
      </c>
      <c r="B49" s="41">
        <f>IFERROR(__xludf.DUMMYFUNCTION("VLOOKUP(A49,IMPORTRANGE(""1EmrnCz2gLVTx5Cbj0e5tfuHPhTtmru8KTGuQvh7STl0/edit#gid=2147150001"",""Whole Data Set!$A$2:$NQ$253""),381,FALSE)"),73.0)</f>
        <v>73</v>
      </c>
      <c r="C49" s="58">
        <f t="shared" si="1"/>
        <v>0.292</v>
      </c>
      <c r="D49" s="12">
        <f>IFERROR(__xludf.DUMMYFUNCTION("VLOOKUP(A49,IMPORTRANGE(""1aFCnJY1qhIj8-JckJhDJ18aqmVo17tofpQmOjcYa3u8/edit#gid=948248086"",""Whole Data Set!$A$2:$NG$253""),371,FALSE)"),71.25)</f>
        <v>71.25</v>
      </c>
      <c r="E49" s="13">
        <f t="shared" si="2"/>
        <v>0.285</v>
      </c>
      <c r="F49" s="13">
        <f t="shared" si="3"/>
        <v>0.007</v>
      </c>
      <c r="G49" s="12">
        <f>IFERROR(__xludf.DUMMYFUNCTION("VLOOKUP(A49,IMPORTRANGE(""1QZ5UxyNCwadreQAXnQ7oCoH982DjIA-QnZdO7ZoqkC0/edit#gid=0"",""2019-2021!$A$2:$O$250""),2,FALSE)"),55.5)</f>
        <v>55.5</v>
      </c>
      <c r="H49" s="14">
        <f t="shared" si="4"/>
        <v>0.222</v>
      </c>
      <c r="I49" s="15">
        <f t="shared" si="5"/>
        <v>0.07</v>
      </c>
      <c r="J49" s="16">
        <f>IFERROR(__xludf.DUMMYFUNCTION("VLOOKUP(A49,IMPORTRANGE(""1QZ5UxyNCwadreQAXnQ7oCoH982DjIA-QnZdO7ZoqkC0/edit#gid=0"",""2019-2021!$A$2:$O$250""),4,FALSE)"),65.0)</f>
        <v>65</v>
      </c>
      <c r="K49" s="17">
        <f t="shared" si="6"/>
        <v>0.26</v>
      </c>
      <c r="L49" s="17">
        <f t="shared" si="7"/>
        <v>0.032</v>
      </c>
      <c r="M49" s="16">
        <f>IFERROR(__xludf.DUMMYFUNCTION("VLOOKUP(A49,IMPORTRANGE(""1QZ5UxyNCwadreQAXnQ7oCoH982DjIA-QnZdO7ZoqkC0/edit#gid=0"",""2019-2021!$A$2:$O$250""),7,FALSE)"),54.0)</f>
        <v>54</v>
      </c>
      <c r="N49" s="17">
        <f t="shared" si="8"/>
        <v>0.216</v>
      </c>
      <c r="O49" s="17">
        <f t="shared" si="9"/>
        <v>0.076</v>
      </c>
    </row>
    <row r="50">
      <c r="A50" s="42" t="s">
        <v>123</v>
      </c>
      <c r="B50" s="41">
        <f>IFERROR(__xludf.DUMMYFUNCTION("VLOOKUP(A50,IMPORTRANGE(""1EmrnCz2gLVTx5Cbj0e5tfuHPhTtmru8KTGuQvh7STl0/edit#gid=2147150001"",""Whole Data Set!$A$2:$NQ$253""),381,FALSE)"),4.25)</f>
        <v>4.25</v>
      </c>
      <c r="C50" s="58">
        <f t="shared" si="1"/>
        <v>0.017</v>
      </c>
      <c r="D50" s="12">
        <f>IFERROR(__xludf.DUMMYFUNCTION("VLOOKUP(A50,IMPORTRANGE(""1aFCnJY1qhIj8-JckJhDJ18aqmVo17tofpQmOjcYa3u8/edit#gid=948248086"",""Whole Data Set!$A$2:$NG$253""),371,FALSE)"),4.25)</f>
        <v>4.25</v>
      </c>
      <c r="E50" s="13">
        <f t="shared" si="2"/>
        <v>0.017</v>
      </c>
      <c r="F50" s="13">
        <f t="shared" si="3"/>
        <v>0</v>
      </c>
      <c r="G50" s="12">
        <f>IFERROR(__xludf.DUMMYFUNCTION("VLOOKUP(A50,IMPORTRANGE(""1QZ5UxyNCwadreQAXnQ7oCoH982DjIA-QnZdO7ZoqkC0/edit#gid=0"",""2019-2021!$A$2:$O$250""),2,FALSE)"),4.0)</f>
        <v>4</v>
      </c>
      <c r="H50" s="14">
        <f t="shared" si="4"/>
        <v>0.016</v>
      </c>
      <c r="I50" s="15">
        <f t="shared" si="5"/>
        <v>0.001</v>
      </c>
      <c r="J50" s="16">
        <f>IFERROR(__xludf.DUMMYFUNCTION("VLOOKUP(A50,IMPORTRANGE(""1QZ5UxyNCwadreQAXnQ7oCoH982DjIA-QnZdO7ZoqkC0/edit#gid=0"",""2019-2021!$A$2:$O$250""),4,FALSE)"),8.5)</f>
        <v>8.5</v>
      </c>
      <c r="K50" s="17">
        <f t="shared" si="6"/>
        <v>0.034</v>
      </c>
      <c r="L50" s="17">
        <f t="shared" si="7"/>
        <v>-0.017</v>
      </c>
      <c r="M50" s="16">
        <f>IFERROR(__xludf.DUMMYFUNCTION("VLOOKUP(A50,IMPORTRANGE(""1QZ5UxyNCwadreQAXnQ7oCoH982DjIA-QnZdO7ZoqkC0/edit#gid=0"",""2019-2021!$A$2:$O$250""),7,FALSE)"),8.5)</f>
        <v>8.5</v>
      </c>
      <c r="N50" s="17">
        <f t="shared" si="8"/>
        <v>0.034</v>
      </c>
      <c r="O50" s="17">
        <f t="shared" si="9"/>
        <v>-0.017</v>
      </c>
    </row>
    <row r="51">
      <c r="A51" s="19" t="s">
        <v>124</v>
      </c>
      <c r="B51" s="41">
        <f>IFERROR(__xludf.DUMMYFUNCTION("VLOOKUP(A51,IMPORTRANGE(""1EmrnCz2gLVTx5Cbj0e5tfuHPhTtmru8KTGuQvh7STl0/edit#gid=2147150001"",""Whole Data Set!$A$2:$NQ$253""),381,FALSE)"),161.25)</f>
        <v>161.25</v>
      </c>
      <c r="C51" s="58">
        <f t="shared" si="1"/>
        <v>0.645</v>
      </c>
      <c r="D51" s="12">
        <f>IFERROR(__xludf.DUMMYFUNCTION("VLOOKUP(A51,IMPORTRANGE(""1aFCnJY1qhIj8-JckJhDJ18aqmVo17tofpQmOjcYa3u8/edit#gid=948248086"",""Whole Data Set!$A$2:$NG$253""),371,FALSE)"),143.0)</f>
        <v>143</v>
      </c>
      <c r="E51" s="13">
        <f t="shared" si="2"/>
        <v>0.572</v>
      </c>
      <c r="F51" s="13">
        <f t="shared" si="3"/>
        <v>0.073</v>
      </c>
      <c r="G51" s="12">
        <f>IFERROR(__xludf.DUMMYFUNCTION("VLOOKUP(A51,IMPORTRANGE(""1QZ5UxyNCwadreQAXnQ7oCoH982DjIA-QnZdO7ZoqkC0/edit#gid=0"",""2019-2021!$A$2:$O$250""),2,FALSE)"),119.0)</f>
        <v>119</v>
      </c>
      <c r="H51" s="14">
        <f t="shared" si="4"/>
        <v>0.476</v>
      </c>
      <c r="I51" s="15">
        <f t="shared" si="5"/>
        <v>0.169</v>
      </c>
      <c r="J51" s="16">
        <f>IFERROR(__xludf.DUMMYFUNCTION("VLOOKUP(A51,IMPORTRANGE(""1QZ5UxyNCwadreQAXnQ7oCoH982DjIA-QnZdO7ZoqkC0/edit#gid=0"",""2019-2021!$A$2:$O$250""),4,FALSE)"),120.0)</f>
        <v>120</v>
      </c>
      <c r="K51" s="17">
        <f t="shared" si="6"/>
        <v>0.48</v>
      </c>
      <c r="L51" s="17">
        <f t="shared" si="7"/>
        <v>0.165</v>
      </c>
      <c r="M51" s="16">
        <f>IFERROR(__xludf.DUMMYFUNCTION("VLOOKUP(A51,IMPORTRANGE(""1QZ5UxyNCwadreQAXnQ7oCoH982DjIA-QnZdO7ZoqkC0/edit#gid=0"",""2019-2021!$A$2:$O$250""),7,FALSE)"),77.0)</f>
        <v>77</v>
      </c>
      <c r="N51" s="17">
        <f t="shared" si="8"/>
        <v>0.308</v>
      </c>
      <c r="O51" s="17">
        <f t="shared" si="9"/>
        <v>0.337</v>
      </c>
    </row>
    <row r="52">
      <c r="A52" s="19" t="s">
        <v>172</v>
      </c>
      <c r="B52" s="41">
        <f>IFERROR(__xludf.DUMMYFUNCTION("VLOOKUP(A52,IMPORTRANGE(""1EmrnCz2gLVTx5Cbj0e5tfuHPhTtmru8KTGuQvh7STl0/edit#gid=2147150001"",""Whole Data Set!$A$2:$NQ$253""),381,FALSE)"),17.25)</f>
        <v>17.25</v>
      </c>
      <c r="C52" s="58">
        <f t="shared" si="1"/>
        <v>0.069</v>
      </c>
      <c r="D52" s="12">
        <f>IFERROR(__xludf.DUMMYFUNCTION("VLOOKUP(A52,IMPORTRANGE(""1aFCnJY1qhIj8-JckJhDJ18aqmVo17tofpQmOjcYa3u8/edit#gid=948248086"",""Whole Data Set!$A$2:$NG$253""),371,FALSE)"),17.25)</f>
        <v>17.25</v>
      </c>
      <c r="E52" s="13">
        <f t="shared" si="2"/>
        <v>0.069</v>
      </c>
      <c r="F52" s="13">
        <f t="shared" si="3"/>
        <v>0</v>
      </c>
      <c r="G52" s="12">
        <f>IFERROR(__xludf.DUMMYFUNCTION("VLOOKUP(A52,IMPORTRANGE(""1QZ5UxyNCwadreQAXnQ7oCoH982DjIA-QnZdO7ZoqkC0/edit#gid=0"",""2019-2021!$A$2:$O$250""),2,FALSE)"),22.5)</f>
        <v>22.5</v>
      </c>
      <c r="H52" s="14">
        <f t="shared" si="4"/>
        <v>0.09</v>
      </c>
      <c r="I52" s="15">
        <f t="shared" si="5"/>
        <v>-0.021</v>
      </c>
      <c r="J52" s="16">
        <f>IFERROR(__xludf.DUMMYFUNCTION("VLOOKUP(A52,IMPORTRANGE(""1QZ5UxyNCwadreQAXnQ7oCoH982DjIA-QnZdO7ZoqkC0/edit#gid=0"",""2019-2021!$A$2:$O$250""),4,FALSE)"),26.0)</f>
        <v>26</v>
      </c>
      <c r="K52" s="17">
        <f t="shared" si="6"/>
        <v>0.104</v>
      </c>
      <c r="L52" s="17">
        <f t="shared" si="7"/>
        <v>-0.035</v>
      </c>
      <c r="M52" s="16">
        <f>IFERROR(__xludf.DUMMYFUNCTION("VLOOKUP(A52,IMPORTRANGE(""1QZ5UxyNCwadreQAXnQ7oCoH982DjIA-QnZdO7ZoqkC0/edit#gid=0"",""2019-2021!$A$2:$O$250""),7,FALSE)"),23.0)</f>
        <v>23</v>
      </c>
      <c r="N52" s="17">
        <f t="shared" si="8"/>
        <v>0.092</v>
      </c>
      <c r="O52" s="17">
        <f t="shared" si="9"/>
        <v>-0.023</v>
      </c>
    </row>
    <row r="53">
      <c r="A53" s="19" t="s">
        <v>173</v>
      </c>
      <c r="B53" s="41">
        <f>IFERROR(__xludf.DUMMYFUNCTION("VLOOKUP(A53,IMPORTRANGE(""1EmrnCz2gLVTx5Cbj0e5tfuHPhTtmru8KTGuQvh7STl0/edit#gid=2147150001"",""Whole Data Set!$A$2:$NQ$253""),381,FALSE)"),11.5)</f>
        <v>11.5</v>
      </c>
      <c r="C53" s="58">
        <f t="shared" si="1"/>
        <v>0.046</v>
      </c>
      <c r="D53" s="12">
        <f>IFERROR(__xludf.DUMMYFUNCTION("VLOOKUP(A53,IMPORTRANGE(""1aFCnJY1qhIj8-JckJhDJ18aqmVo17tofpQmOjcYa3u8/edit#gid=948248086"",""Whole Data Set!$A$2:$NG$253""),371,FALSE)"),13.5)</f>
        <v>13.5</v>
      </c>
      <c r="E53" s="13">
        <f t="shared" si="2"/>
        <v>0.054</v>
      </c>
      <c r="F53" s="13">
        <f t="shared" si="3"/>
        <v>-0.008</v>
      </c>
      <c r="G53" s="12">
        <f>IFERROR(__xludf.DUMMYFUNCTION("VLOOKUP(A53,IMPORTRANGE(""1QZ5UxyNCwadreQAXnQ7oCoH982DjIA-QnZdO7ZoqkC0/edit#gid=0"",""2019-2021!$A$2:$O$250""),2,FALSE)"),7.25)</f>
        <v>7.25</v>
      </c>
      <c r="H53" s="14">
        <f t="shared" si="4"/>
        <v>0.029</v>
      </c>
      <c r="I53" s="15">
        <f t="shared" si="5"/>
        <v>0.017</v>
      </c>
      <c r="J53" s="16">
        <f>IFERROR(__xludf.DUMMYFUNCTION("VLOOKUP(A53,IMPORTRANGE(""1QZ5UxyNCwadreQAXnQ7oCoH982DjIA-QnZdO7ZoqkC0/edit#gid=0"",""2019-2021!$A$2:$O$250""),4,FALSE)"),11.5)</f>
        <v>11.5</v>
      </c>
      <c r="K53" s="17">
        <f t="shared" si="6"/>
        <v>0.046</v>
      </c>
      <c r="L53" s="17">
        <f t="shared" si="7"/>
        <v>0</v>
      </c>
      <c r="M53" s="16">
        <f>IFERROR(__xludf.DUMMYFUNCTION("VLOOKUP(A53,IMPORTRANGE(""1QZ5UxyNCwadreQAXnQ7oCoH982DjIA-QnZdO7ZoqkC0/edit#gid=0"",""2019-2021!$A$2:$O$250""),7,FALSE)"),11.5)</f>
        <v>11.5</v>
      </c>
      <c r="N53" s="17">
        <f t="shared" si="8"/>
        <v>0.046</v>
      </c>
      <c r="O53" s="17">
        <f t="shared" si="9"/>
        <v>0</v>
      </c>
    </row>
    <row r="54">
      <c r="A54" s="19" t="s">
        <v>125</v>
      </c>
      <c r="B54" s="41">
        <f>IFERROR(__xludf.DUMMYFUNCTION("VLOOKUP(A54,IMPORTRANGE(""1EmrnCz2gLVTx5Cbj0e5tfuHPhTtmru8KTGuQvh7STl0/edit#gid=2147150001"",""Whole Data Set!$A$2:$NQ$253""),381,FALSE)"),59.5)</f>
        <v>59.5</v>
      </c>
      <c r="C54" s="58">
        <f t="shared" si="1"/>
        <v>0.238</v>
      </c>
      <c r="D54" s="12">
        <f>IFERROR(__xludf.DUMMYFUNCTION("VLOOKUP(A54,IMPORTRANGE(""1aFCnJY1qhIj8-JckJhDJ18aqmVo17tofpQmOjcYa3u8/edit#gid=948248086"",""Whole Data Set!$A$2:$NG$253""),371,FALSE)"),64.5)</f>
        <v>64.5</v>
      </c>
      <c r="E54" s="13">
        <f t="shared" si="2"/>
        <v>0.258</v>
      </c>
      <c r="F54" s="13">
        <f t="shared" si="3"/>
        <v>-0.02</v>
      </c>
      <c r="G54" s="12">
        <f>IFERROR(__xludf.DUMMYFUNCTION("VLOOKUP(A54,IMPORTRANGE(""1QZ5UxyNCwadreQAXnQ7oCoH982DjIA-QnZdO7ZoqkC0/edit#gid=0"",""2019-2021!$A$2:$O$250""),2,FALSE)"),70.25)</f>
        <v>70.25</v>
      </c>
      <c r="H54" s="14">
        <f t="shared" si="4"/>
        <v>0.281</v>
      </c>
      <c r="I54" s="15">
        <f t="shared" si="5"/>
        <v>-0.043</v>
      </c>
      <c r="J54" s="16">
        <f>IFERROR(__xludf.DUMMYFUNCTION("VLOOKUP(A54,IMPORTRANGE(""1QZ5UxyNCwadreQAXnQ7oCoH982DjIA-QnZdO7ZoqkC0/edit#gid=0"",""2019-2021!$A$2:$O$250""),4,FALSE)"),69.5)</f>
        <v>69.5</v>
      </c>
      <c r="K54" s="17">
        <f t="shared" si="6"/>
        <v>0.278</v>
      </c>
      <c r="L54" s="17">
        <f t="shared" si="7"/>
        <v>-0.04</v>
      </c>
      <c r="M54" s="16">
        <f>IFERROR(__xludf.DUMMYFUNCTION("VLOOKUP(A54,IMPORTRANGE(""1QZ5UxyNCwadreQAXnQ7oCoH982DjIA-QnZdO7ZoqkC0/edit#gid=0"",""2019-2021!$A$2:$O$250""),7,FALSE)"),47.5)</f>
        <v>47.5</v>
      </c>
      <c r="N54" s="17">
        <f t="shared" si="8"/>
        <v>0.19</v>
      </c>
      <c r="O54" s="17">
        <f t="shared" si="9"/>
        <v>0.048</v>
      </c>
    </row>
    <row r="55">
      <c r="A55" s="42" t="s">
        <v>47</v>
      </c>
      <c r="B55" s="41">
        <f>IFERROR(__xludf.DUMMYFUNCTION("VLOOKUP(A55,IMPORTRANGE(""1EmrnCz2gLVTx5Cbj0e5tfuHPhTtmru8KTGuQvh7STl0/edit#gid=2147150001"",""Whole Data Set!$A$2:$NQ$253""),381,FALSE)"),81.5)</f>
        <v>81.5</v>
      </c>
      <c r="C55" s="58">
        <f t="shared" si="1"/>
        <v>0.326</v>
      </c>
      <c r="D55" s="12">
        <f>IFERROR(__xludf.DUMMYFUNCTION("VLOOKUP(A55,IMPORTRANGE(""1aFCnJY1qhIj8-JckJhDJ18aqmVo17tofpQmOjcYa3u8/edit#gid=948248086"",""Whole Data Set!$A$2:$NG$253""),371,FALSE)"),92.25)</f>
        <v>92.25</v>
      </c>
      <c r="E55" s="13">
        <f t="shared" si="2"/>
        <v>0.369</v>
      </c>
      <c r="F55" s="13">
        <f t="shared" si="3"/>
        <v>-0.043</v>
      </c>
      <c r="G55" s="12">
        <f>IFERROR(__xludf.DUMMYFUNCTION("VLOOKUP(A55,IMPORTRANGE(""1QZ5UxyNCwadreQAXnQ7oCoH982DjIA-QnZdO7ZoqkC0/edit#gid=0"",""2019-2021!$A$2:$O$250""),2,FALSE)"),82.0)</f>
        <v>82</v>
      </c>
      <c r="H55" s="14">
        <f t="shared" si="4"/>
        <v>0.328</v>
      </c>
      <c r="I55" s="15">
        <f t="shared" si="5"/>
        <v>-0.002</v>
      </c>
      <c r="J55" s="16">
        <f>IFERROR(__xludf.DUMMYFUNCTION("VLOOKUP(A55,IMPORTRANGE(""1QZ5UxyNCwadreQAXnQ7oCoH982DjIA-QnZdO7ZoqkC0/edit#gid=0"",""2019-2021!$A$2:$O$250""),4,FALSE)"),67.0)</f>
        <v>67</v>
      </c>
      <c r="K55" s="17">
        <f t="shared" si="6"/>
        <v>0.268</v>
      </c>
      <c r="L55" s="17">
        <f t="shared" si="7"/>
        <v>0.058</v>
      </c>
      <c r="M55" s="16">
        <f>IFERROR(__xludf.DUMMYFUNCTION("VLOOKUP(A55,IMPORTRANGE(""1QZ5UxyNCwadreQAXnQ7oCoH982DjIA-QnZdO7ZoqkC0/edit#gid=0"",""2019-2021!$A$2:$O$250""),7,FALSE)"),11.0)</f>
        <v>11</v>
      </c>
      <c r="N55" s="17">
        <f t="shared" si="8"/>
        <v>0.044</v>
      </c>
      <c r="O55" s="17">
        <f t="shared" si="9"/>
        <v>0.282</v>
      </c>
    </row>
    <row r="56">
      <c r="A56" s="19" t="s">
        <v>48</v>
      </c>
      <c r="B56" s="41">
        <f>IFERROR(__xludf.DUMMYFUNCTION("VLOOKUP(A56,IMPORTRANGE(""1EmrnCz2gLVTx5Cbj0e5tfuHPhTtmru8KTGuQvh7STl0/edit#gid=2147150001"",""Whole Data Set!$A$2:$NQ$253""),381,FALSE)"),112.0)</f>
        <v>112</v>
      </c>
      <c r="C56" s="58">
        <f t="shared" si="1"/>
        <v>0.448</v>
      </c>
      <c r="D56" s="12">
        <f>IFERROR(__xludf.DUMMYFUNCTION("VLOOKUP(A56,IMPORTRANGE(""1aFCnJY1qhIj8-JckJhDJ18aqmVo17tofpQmOjcYa3u8/edit#gid=948248086"",""Whole Data Set!$A$2:$NG$253""),371,FALSE)"),140.5)</f>
        <v>140.5</v>
      </c>
      <c r="E56" s="13">
        <f t="shared" si="2"/>
        <v>0.562</v>
      </c>
      <c r="F56" s="13">
        <f t="shared" si="3"/>
        <v>-0.114</v>
      </c>
      <c r="G56" s="12">
        <f>IFERROR(__xludf.DUMMYFUNCTION("VLOOKUP(A56,IMPORTRANGE(""1QZ5UxyNCwadreQAXnQ7oCoH982DjIA-QnZdO7ZoqkC0/edit#gid=0"",""2019-2021!$A$2:$O$250""),2,FALSE)"),150.75)</f>
        <v>150.75</v>
      </c>
      <c r="H56" s="14">
        <f t="shared" si="4"/>
        <v>0.603</v>
      </c>
      <c r="I56" s="15">
        <f t="shared" si="5"/>
        <v>-0.155</v>
      </c>
      <c r="J56" s="16">
        <f>IFERROR(__xludf.DUMMYFUNCTION("VLOOKUP(A56,IMPORTRANGE(""1QZ5UxyNCwadreQAXnQ7oCoH982DjIA-QnZdO7ZoqkC0/edit#gid=0"",""2019-2021!$A$2:$O$250""),4,FALSE)"),160.5)</f>
        <v>160.5</v>
      </c>
      <c r="K56" s="17">
        <f t="shared" si="6"/>
        <v>0.642</v>
      </c>
      <c r="L56" s="17">
        <f t="shared" si="7"/>
        <v>-0.194</v>
      </c>
      <c r="M56" s="16">
        <f>IFERROR(__xludf.DUMMYFUNCTION("VLOOKUP(A56,IMPORTRANGE(""1QZ5UxyNCwadreQAXnQ7oCoH982DjIA-QnZdO7ZoqkC0/edit#gid=0"",""2019-2021!$A$2:$O$250""),7,FALSE)"),155.5)</f>
        <v>155.5</v>
      </c>
      <c r="N56" s="17">
        <f t="shared" si="8"/>
        <v>0.622</v>
      </c>
      <c r="O56" s="17">
        <f t="shared" si="9"/>
        <v>-0.174</v>
      </c>
    </row>
    <row r="57">
      <c r="A57" s="19" t="s">
        <v>71</v>
      </c>
      <c r="B57" s="41">
        <f>IFERROR(__xludf.DUMMYFUNCTION("VLOOKUP(A57,IMPORTRANGE(""1EmrnCz2gLVTx5Cbj0e5tfuHPhTtmru8KTGuQvh7STl0/edit#gid=2147150001"",""Whole Data Set!$A$2:$NQ$253""),381,FALSE)"),15.25)</f>
        <v>15.25</v>
      </c>
      <c r="C57" s="58">
        <f t="shared" si="1"/>
        <v>0.061</v>
      </c>
      <c r="D57" s="12">
        <f>IFERROR(__xludf.DUMMYFUNCTION("VLOOKUP(A57,IMPORTRANGE(""1aFCnJY1qhIj8-JckJhDJ18aqmVo17tofpQmOjcYa3u8/edit#gid=948248086"",""Whole Data Set!$A$2:$NG$253""),371,FALSE)"),12.0)</f>
        <v>12</v>
      </c>
      <c r="E57" s="13">
        <f t="shared" si="2"/>
        <v>0.048</v>
      </c>
      <c r="F57" s="13">
        <f t="shared" si="3"/>
        <v>0.013</v>
      </c>
      <c r="G57" s="12">
        <f>IFERROR(__xludf.DUMMYFUNCTION("VLOOKUP(A57,IMPORTRANGE(""1QZ5UxyNCwadreQAXnQ7oCoH982DjIA-QnZdO7ZoqkC0/edit#gid=0"",""2019-2021!$A$2:$O$250""),2,FALSE)"),14.75)</f>
        <v>14.75</v>
      </c>
      <c r="H57" s="14">
        <f t="shared" si="4"/>
        <v>0.059</v>
      </c>
      <c r="I57" s="15">
        <f t="shared" si="5"/>
        <v>0.002</v>
      </c>
      <c r="J57" s="16">
        <f>IFERROR(__xludf.DUMMYFUNCTION("VLOOKUP(A57,IMPORTRANGE(""1QZ5UxyNCwadreQAXnQ7oCoH982DjIA-QnZdO7ZoqkC0/edit#gid=0"",""2019-2021!$A$2:$O$250""),4,FALSE)"),20.0)</f>
        <v>20</v>
      </c>
      <c r="K57" s="17">
        <f t="shared" si="6"/>
        <v>0.08</v>
      </c>
      <c r="L57" s="17">
        <f t="shared" si="7"/>
        <v>-0.019</v>
      </c>
      <c r="M57" s="16">
        <f>IFERROR(__xludf.DUMMYFUNCTION("VLOOKUP(A57,IMPORTRANGE(""1QZ5UxyNCwadreQAXnQ7oCoH982DjIA-QnZdO7ZoqkC0/edit#gid=0"",""2019-2021!$A$2:$O$250""),7,FALSE)"),14.0)</f>
        <v>14</v>
      </c>
      <c r="N57" s="17">
        <f t="shared" si="8"/>
        <v>0.056</v>
      </c>
      <c r="O57" s="17">
        <f t="shared" si="9"/>
        <v>0.005</v>
      </c>
    </row>
    <row r="58">
      <c r="A58" s="19" t="s">
        <v>126</v>
      </c>
      <c r="B58" s="41">
        <f>IFERROR(__xludf.DUMMYFUNCTION("VLOOKUP(A58,IMPORTRANGE(""1EmrnCz2gLVTx5Cbj0e5tfuHPhTtmru8KTGuQvh7STl0/edit#gid=2147150001"",""Whole Data Set!$A$2:$NQ$253""),381,FALSE)"),26.5)</f>
        <v>26.5</v>
      </c>
      <c r="C58" s="58">
        <f t="shared" si="1"/>
        <v>0.106</v>
      </c>
      <c r="D58" s="12">
        <f>IFERROR(__xludf.DUMMYFUNCTION("VLOOKUP(A58,IMPORTRANGE(""1aFCnJY1qhIj8-JckJhDJ18aqmVo17tofpQmOjcYa3u8/edit#gid=948248086"",""Whole Data Set!$A$2:$NG$253""),371,FALSE)"),32.25)</f>
        <v>32.25</v>
      </c>
      <c r="E58" s="13">
        <f t="shared" si="2"/>
        <v>0.129</v>
      </c>
      <c r="F58" s="13">
        <f t="shared" si="3"/>
        <v>-0.023</v>
      </c>
      <c r="G58" s="12">
        <f>IFERROR(__xludf.DUMMYFUNCTION("VLOOKUP(A58,IMPORTRANGE(""1QZ5UxyNCwadreQAXnQ7oCoH982DjIA-QnZdO7ZoqkC0/edit#gid=0"",""2019-2021!$A$2:$O$250""),2,FALSE)"),43.25)</f>
        <v>43.25</v>
      </c>
      <c r="H58" s="14">
        <f t="shared" si="4"/>
        <v>0.173</v>
      </c>
      <c r="I58" s="15">
        <f t="shared" si="5"/>
        <v>-0.067</v>
      </c>
      <c r="J58" s="16">
        <f>IFERROR(__xludf.DUMMYFUNCTION("VLOOKUP(A58,IMPORTRANGE(""1QZ5UxyNCwadreQAXnQ7oCoH982DjIA-QnZdO7ZoqkC0/edit#gid=0"",""2019-2021!$A$2:$O$250""),4,FALSE)"),42.5)</f>
        <v>42.5</v>
      </c>
      <c r="K58" s="17">
        <f t="shared" si="6"/>
        <v>0.17</v>
      </c>
      <c r="L58" s="17">
        <f t="shared" si="7"/>
        <v>-0.064</v>
      </c>
      <c r="M58" s="16">
        <f>IFERROR(__xludf.DUMMYFUNCTION("VLOOKUP(A58,IMPORTRANGE(""1QZ5UxyNCwadreQAXnQ7oCoH982DjIA-QnZdO7ZoqkC0/edit#gid=0"",""2019-2021!$A$2:$O$250""),7,FALSE)"),39.0)</f>
        <v>39</v>
      </c>
      <c r="N58" s="17">
        <f t="shared" si="8"/>
        <v>0.156</v>
      </c>
      <c r="O58" s="17">
        <f t="shared" si="9"/>
        <v>-0.05</v>
      </c>
    </row>
    <row r="59">
      <c r="A59" s="42" t="s">
        <v>174</v>
      </c>
      <c r="B59" s="41">
        <f>IFERROR(__xludf.DUMMYFUNCTION("VLOOKUP(A59,IMPORTRANGE(""1EmrnCz2gLVTx5Cbj0e5tfuHPhTtmru8KTGuQvh7STl0/edit#gid=2147150001"",""Whole Data Set!$A$2:$NQ$253""),381,FALSE)"),22.75)</f>
        <v>22.75</v>
      </c>
      <c r="C59" s="58">
        <f t="shared" si="1"/>
        <v>0.091</v>
      </c>
      <c r="D59" s="12">
        <f>IFERROR(__xludf.DUMMYFUNCTION("VLOOKUP(A59,IMPORTRANGE(""1aFCnJY1qhIj8-JckJhDJ18aqmVo17tofpQmOjcYa3u8/edit#gid=948248086"",""Whole Data Set!$A$2:$NG$253""),371,FALSE)"),20.75)</f>
        <v>20.75</v>
      </c>
      <c r="E59" s="13">
        <f t="shared" si="2"/>
        <v>0.083</v>
      </c>
      <c r="F59" s="13">
        <f t="shared" si="3"/>
        <v>0.008</v>
      </c>
      <c r="G59" s="12">
        <f>IFERROR(__xludf.DUMMYFUNCTION("VLOOKUP(A59,IMPORTRANGE(""1QZ5UxyNCwadreQAXnQ7oCoH982DjIA-QnZdO7ZoqkC0/edit#gid=0"",""2019-2021!$A$2:$O$250""),2,FALSE)"),15.0)</f>
        <v>15</v>
      </c>
      <c r="H59" s="14">
        <f t="shared" si="4"/>
        <v>0.06</v>
      </c>
      <c r="I59" s="15">
        <f t="shared" si="5"/>
        <v>0.031</v>
      </c>
      <c r="J59" s="16">
        <f>IFERROR(__xludf.DUMMYFUNCTION("VLOOKUP(A59,IMPORTRANGE(""1QZ5UxyNCwadreQAXnQ7oCoH982DjIA-QnZdO7ZoqkC0/edit#gid=0"",""2019-2021!$A$2:$O$250""),4,FALSE)"),23.0)</f>
        <v>23</v>
      </c>
      <c r="K59" s="17">
        <f t="shared" si="6"/>
        <v>0.092</v>
      </c>
      <c r="L59" s="17">
        <f t="shared" si="7"/>
        <v>-0.001</v>
      </c>
      <c r="M59" s="16">
        <f>IFERROR(__xludf.DUMMYFUNCTION("VLOOKUP(A59,IMPORTRANGE(""1QZ5UxyNCwadreQAXnQ7oCoH982DjIA-QnZdO7ZoqkC0/edit#gid=0"",""2019-2021!$A$2:$O$250""),7,FALSE)"),17.0)</f>
        <v>17</v>
      </c>
      <c r="N59" s="17">
        <f t="shared" si="8"/>
        <v>0.068</v>
      </c>
      <c r="O59" s="17">
        <f t="shared" si="9"/>
        <v>0.023</v>
      </c>
    </row>
    <row r="60">
      <c r="A60" s="19" t="s">
        <v>175</v>
      </c>
      <c r="B60" s="41">
        <f>IFERROR(__xludf.DUMMYFUNCTION("VLOOKUP(A60,IMPORTRANGE(""1EmrnCz2gLVTx5Cbj0e5tfuHPhTtmru8KTGuQvh7STl0/edit#gid=2147150001"",""Whole Data Set!$A$2:$NQ$253""),381,FALSE)"),44.25)</f>
        <v>44.25</v>
      </c>
      <c r="C60" s="58">
        <f t="shared" si="1"/>
        <v>0.177</v>
      </c>
      <c r="D60" s="12">
        <f>IFERROR(__xludf.DUMMYFUNCTION("VLOOKUP(A60,IMPORTRANGE(""1aFCnJY1qhIj8-JckJhDJ18aqmVo17tofpQmOjcYa3u8/edit#gid=948248086"",""Whole Data Set!$A$2:$NG$253""),371,FALSE)"),35.25)</f>
        <v>35.25</v>
      </c>
      <c r="E60" s="13">
        <f t="shared" si="2"/>
        <v>0.141</v>
      </c>
      <c r="F60" s="13">
        <f t="shared" si="3"/>
        <v>0.036</v>
      </c>
      <c r="G60" s="12">
        <f>IFERROR(__xludf.DUMMYFUNCTION("VLOOKUP(A60,IMPORTRANGE(""1QZ5UxyNCwadreQAXnQ7oCoH982DjIA-QnZdO7ZoqkC0/edit#gid=0"",""2019-2021!$A$2:$O$250""),2,FALSE)"),30.5)</f>
        <v>30.5</v>
      </c>
      <c r="H60" s="14">
        <f t="shared" si="4"/>
        <v>0.122</v>
      </c>
      <c r="I60" s="15">
        <f t="shared" si="5"/>
        <v>0.055</v>
      </c>
      <c r="J60" s="16">
        <f>IFERROR(__xludf.DUMMYFUNCTION("VLOOKUP(A60,IMPORTRANGE(""1QZ5UxyNCwadreQAXnQ7oCoH982DjIA-QnZdO7ZoqkC0/edit#gid=0"",""2019-2021!$A$2:$O$250""),4,FALSE)"),37.5)</f>
        <v>37.5</v>
      </c>
      <c r="K60" s="17">
        <f t="shared" si="6"/>
        <v>0.15</v>
      </c>
      <c r="L60" s="17">
        <f t="shared" si="7"/>
        <v>0.027</v>
      </c>
      <c r="M60" s="16">
        <f>IFERROR(__xludf.DUMMYFUNCTION("VLOOKUP(A60,IMPORTRANGE(""1QZ5UxyNCwadreQAXnQ7oCoH982DjIA-QnZdO7ZoqkC0/edit#gid=0"",""2019-2021!$A$2:$O$250""),7,FALSE)"),10.5)</f>
        <v>10.5</v>
      </c>
      <c r="N60" s="17">
        <f t="shared" si="8"/>
        <v>0.042</v>
      </c>
      <c r="O60" s="17">
        <f t="shared" si="9"/>
        <v>0.135</v>
      </c>
    </row>
    <row r="61">
      <c r="A61" s="19" t="s">
        <v>127</v>
      </c>
      <c r="B61" s="41">
        <f>IFERROR(__xludf.DUMMYFUNCTION("VLOOKUP(A61,IMPORTRANGE(""1EmrnCz2gLVTx5Cbj0e5tfuHPhTtmru8KTGuQvh7STl0/edit#gid=2147150001"",""Whole Data Set!$A$2:$NQ$253""),381,FALSE)"),145.5)</f>
        <v>145.5</v>
      </c>
      <c r="C61" s="58">
        <f t="shared" si="1"/>
        <v>0.582</v>
      </c>
      <c r="D61" s="12">
        <f>IFERROR(__xludf.DUMMYFUNCTION("VLOOKUP(A61,IMPORTRANGE(""1aFCnJY1qhIj8-JckJhDJ18aqmVo17tofpQmOjcYa3u8/edit#gid=948248086"",""Whole Data Set!$A$2:$NG$253""),371,FALSE)"),133.25)</f>
        <v>133.25</v>
      </c>
      <c r="E61" s="13">
        <f t="shared" si="2"/>
        <v>0.533</v>
      </c>
      <c r="F61" s="13">
        <f t="shared" si="3"/>
        <v>0.049</v>
      </c>
      <c r="G61" s="12">
        <f>IFERROR(__xludf.DUMMYFUNCTION("VLOOKUP(A61,IMPORTRANGE(""1QZ5UxyNCwadreQAXnQ7oCoH982DjIA-QnZdO7ZoqkC0/edit#gid=0"",""2019-2021!$A$2:$O$250""),2,FALSE)"),108.5)</f>
        <v>108.5</v>
      </c>
      <c r="H61" s="14">
        <f t="shared" si="4"/>
        <v>0.434</v>
      </c>
      <c r="I61" s="15">
        <f t="shared" si="5"/>
        <v>0.148</v>
      </c>
      <c r="J61" s="16">
        <f>IFERROR(__xludf.DUMMYFUNCTION("VLOOKUP(A61,IMPORTRANGE(""1QZ5UxyNCwadreQAXnQ7oCoH982DjIA-QnZdO7ZoqkC0/edit#gid=0"",""2019-2021!$A$2:$O$250""),4,FALSE)"),63.0)</f>
        <v>63</v>
      </c>
      <c r="K61" s="17">
        <f t="shared" si="6"/>
        <v>0.252</v>
      </c>
      <c r="L61" s="17">
        <f t="shared" si="7"/>
        <v>0.33</v>
      </c>
      <c r="M61" s="16">
        <f>IFERROR(__xludf.DUMMYFUNCTION("VLOOKUP(A61,IMPORTRANGE(""1QZ5UxyNCwadreQAXnQ7oCoH982DjIA-QnZdO7ZoqkC0/edit#gid=0"",""2019-2021!$A$2:$O$250""),7,FALSE)"),50.5)</f>
        <v>50.5</v>
      </c>
      <c r="N61" s="17">
        <f t="shared" si="8"/>
        <v>0.202</v>
      </c>
      <c r="O61" s="17">
        <f t="shared" si="9"/>
        <v>0.38</v>
      </c>
    </row>
    <row r="62">
      <c r="A62" s="19" t="s">
        <v>128</v>
      </c>
      <c r="B62" s="41">
        <f>IFERROR(__xludf.DUMMYFUNCTION("VLOOKUP(A62,IMPORTRANGE(""1EmrnCz2gLVTx5Cbj0e5tfuHPhTtmru8KTGuQvh7STl0/edit#gid=2147150001"",""Whole Data Set!$A$2:$NQ$253""),381,FALSE)"),23.0)</f>
        <v>23</v>
      </c>
      <c r="C62" s="58">
        <f t="shared" si="1"/>
        <v>0.092</v>
      </c>
      <c r="D62" s="12">
        <f>IFERROR(__xludf.DUMMYFUNCTION("VLOOKUP(A62,IMPORTRANGE(""1aFCnJY1qhIj8-JckJhDJ18aqmVo17tofpQmOjcYa3u8/edit#gid=948248086"",""Whole Data Set!$A$2:$NG$253""),371,FALSE)"),19.0)</f>
        <v>19</v>
      </c>
      <c r="E62" s="13">
        <f t="shared" si="2"/>
        <v>0.076</v>
      </c>
      <c r="F62" s="13">
        <f t="shared" si="3"/>
        <v>0.016</v>
      </c>
      <c r="G62" s="12">
        <f>IFERROR(__xludf.DUMMYFUNCTION("VLOOKUP(A62,IMPORTRANGE(""1QZ5UxyNCwadreQAXnQ7oCoH982DjIA-QnZdO7ZoqkC0/edit#gid=0"",""2019-2021!$A$2:$O$250""),2,FALSE)"),18.25)</f>
        <v>18.25</v>
      </c>
      <c r="H62" s="14">
        <f t="shared" si="4"/>
        <v>0.073</v>
      </c>
      <c r="I62" s="15">
        <f t="shared" si="5"/>
        <v>0.019</v>
      </c>
      <c r="J62" s="16">
        <f>IFERROR(__xludf.DUMMYFUNCTION("VLOOKUP(A62,IMPORTRANGE(""1QZ5UxyNCwadreQAXnQ7oCoH982DjIA-QnZdO7ZoqkC0/edit#gid=0"",""2019-2021!$A$2:$O$250""),4,FALSE)"),18.5)</f>
        <v>18.5</v>
      </c>
      <c r="K62" s="17">
        <f t="shared" si="6"/>
        <v>0.074</v>
      </c>
      <c r="L62" s="17">
        <f t="shared" si="7"/>
        <v>0.018</v>
      </c>
      <c r="M62" s="16">
        <f>IFERROR(__xludf.DUMMYFUNCTION("VLOOKUP(A62,IMPORTRANGE(""1QZ5UxyNCwadreQAXnQ7oCoH982DjIA-QnZdO7ZoqkC0/edit#gid=0"",""2019-2021!$A$2:$O$250""),7,FALSE)"),15.0)</f>
        <v>15</v>
      </c>
      <c r="N62" s="17">
        <f t="shared" si="8"/>
        <v>0.06</v>
      </c>
      <c r="O62" s="17">
        <f t="shared" si="9"/>
        <v>0.032</v>
      </c>
    </row>
    <row r="63">
      <c r="A63" s="19" t="s">
        <v>176</v>
      </c>
      <c r="B63" s="41">
        <f>IFERROR(__xludf.DUMMYFUNCTION("VLOOKUP(A63,IMPORTRANGE(""1EmrnCz2gLVTx5Cbj0e5tfuHPhTtmru8KTGuQvh7STl0/edit#gid=2147150001"",""Whole Data Set!$A$2:$NQ$253""),381,FALSE)"),39.75)</f>
        <v>39.75</v>
      </c>
      <c r="C63" s="58">
        <f t="shared" si="1"/>
        <v>0.159</v>
      </c>
      <c r="D63" s="12">
        <f>IFERROR(__xludf.DUMMYFUNCTION("VLOOKUP(A63,IMPORTRANGE(""1aFCnJY1qhIj8-JckJhDJ18aqmVo17tofpQmOjcYa3u8/edit#gid=948248086"",""Whole Data Set!$A$2:$NG$253""),371,FALSE)"),33.75)</f>
        <v>33.75</v>
      </c>
      <c r="E63" s="13">
        <f t="shared" si="2"/>
        <v>0.135</v>
      </c>
      <c r="F63" s="13">
        <f t="shared" si="3"/>
        <v>0.024</v>
      </c>
      <c r="G63" s="12">
        <f>IFERROR(__xludf.DUMMYFUNCTION("VLOOKUP(A63,IMPORTRANGE(""1QZ5UxyNCwadreQAXnQ7oCoH982DjIA-QnZdO7ZoqkC0/edit#gid=0"",""2019-2021!$A$2:$O$250""),2,FALSE)"),31.25)</f>
        <v>31.25</v>
      </c>
      <c r="H63" s="14">
        <f t="shared" si="4"/>
        <v>0.125</v>
      </c>
      <c r="I63" s="15">
        <f t="shared" si="5"/>
        <v>0.034</v>
      </c>
      <c r="J63" s="16">
        <f>IFERROR(__xludf.DUMMYFUNCTION("VLOOKUP(A63,IMPORTRANGE(""1QZ5UxyNCwadreQAXnQ7oCoH982DjIA-QnZdO7ZoqkC0/edit#gid=0"",""2019-2021!$A$2:$O$250""),4,FALSE)"),32.0)</f>
        <v>32</v>
      </c>
      <c r="K63" s="17">
        <f t="shared" si="6"/>
        <v>0.128</v>
      </c>
      <c r="L63" s="17">
        <f t="shared" si="7"/>
        <v>0.031</v>
      </c>
      <c r="M63" s="16">
        <f>IFERROR(__xludf.DUMMYFUNCTION("VLOOKUP(A63,IMPORTRANGE(""1QZ5UxyNCwadreQAXnQ7oCoH982DjIA-QnZdO7ZoqkC0/edit#gid=0"",""2019-2021!$A$2:$O$250""),7,FALSE)"),33.5)</f>
        <v>33.5</v>
      </c>
      <c r="N63" s="17">
        <f t="shared" si="8"/>
        <v>0.134</v>
      </c>
      <c r="O63" s="17">
        <f t="shared" si="9"/>
        <v>0.025</v>
      </c>
    </row>
    <row r="64">
      <c r="A64" s="19" t="s">
        <v>177</v>
      </c>
      <c r="B64" s="41">
        <f>IFERROR(__xludf.DUMMYFUNCTION("VLOOKUP(A64,IMPORTRANGE(""1EmrnCz2gLVTx5Cbj0e5tfuHPhTtmru8KTGuQvh7STl0/edit#gid=2147150001"",""Whole Data Set!$A$2:$NQ$253""),381,FALSE)"),11.75)</f>
        <v>11.75</v>
      </c>
      <c r="C64" s="58">
        <f t="shared" si="1"/>
        <v>0.047</v>
      </c>
      <c r="D64" s="12">
        <f>IFERROR(__xludf.DUMMYFUNCTION("VLOOKUP(A64,IMPORTRANGE(""1aFCnJY1qhIj8-JckJhDJ18aqmVo17tofpQmOjcYa3u8/edit#gid=948248086"",""Whole Data Set!$A$2:$NG$253""),371,FALSE)"),14.5)</f>
        <v>14.5</v>
      </c>
      <c r="E64" s="13">
        <f t="shared" si="2"/>
        <v>0.058</v>
      </c>
      <c r="F64" s="13">
        <f t="shared" si="3"/>
        <v>-0.011</v>
      </c>
      <c r="G64" s="12">
        <f>IFERROR(__xludf.DUMMYFUNCTION("VLOOKUP(A64,IMPORTRANGE(""1QZ5UxyNCwadreQAXnQ7oCoH982DjIA-QnZdO7ZoqkC0/edit#gid=0"",""2019-2021!$A$2:$O$250""),2,FALSE)"),17.75)</f>
        <v>17.75</v>
      </c>
      <c r="H64" s="14">
        <f t="shared" si="4"/>
        <v>0.071</v>
      </c>
      <c r="I64" s="15">
        <f t="shared" si="5"/>
        <v>-0.024</v>
      </c>
      <c r="J64" s="16">
        <f>IFERROR(__xludf.DUMMYFUNCTION("VLOOKUP(A64,IMPORTRANGE(""1QZ5UxyNCwadreQAXnQ7oCoH982DjIA-QnZdO7ZoqkC0/edit#gid=0"",""2019-2021!$A$2:$O$250""),4,FALSE)"),25.5)</f>
        <v>25.5</v>
      </c>
      <c r="K64" s="17">
        <f t="shared" si="6"/>
        <v>0.102</v>
      </c>
      <c r="L64" s="17">
        <f t="shared" si="7"/>
        <v>-0.055</v>
      </c>
      <c r="M64" s="16">
        <f>IFERROR(__xludf.DUMMYFUNCTION("VLOOKUP(A64,IMPORTRANGE(""1QZ5UxyNCwadreQAXnQ7oCoH982DjIA-QnZdO7ZoqkC0/edit#gid=0"",""2019-2021!$A$2:$O$250""),7,FALSE)"),2.0)</f>
        <v>2</v>
      </c>
      <c r="N64" s="17">
        <f t="shared" si="8"/>
        <v>0.008</v>
      </c>
      <c r="O64" s="17">
        <f t="shared" si="9"/>
        <v>0.039</v>
      </c>
    </row>
    <row r="65">
      <c r="A65" s="19" t="s">
        <v>129</v>
      </c>
      <c r="B65" s="41">
        <f>IFERROR(__xludf.DUMMYFUNCTION("VLOOKUP(A65,IMPORTRANGE(""1EmrnCz2gLVTx5Cbj0e5tfuHPhTtmru8KTGuQvh7STl0/edit#gid=2147150001"",""Whole Data Set!$A$2:$NQ$253""),381,FALSE)"),122.5)</f>
        <v>122.5</v>
      </c>
      <c r="C65" s="58">
        <f t="shared" si="1"/>
        <v>0.49</v>
      </c>
      <c r="D65" s="12">
        <f>IFERROR(__xludf.DUMMYFUNCTION("VLOOKUP(A65,IMPORTRANGE(""1aFCnJY1qhIj8-JckJhDJ18aqmVo17tofpQmOjcYa3u8/edit#gid=948248086"",""Whole Data Set!$A$2:$NG$253""),371,FALSE)"),109.0)</f>
        <v>109</v>
      </c>
      <c r="E65" s="13">
        <f t="shared" si="2"/>
        <v>0.436</v>
      </c>
      <c r="F65" s="13">
        <f t="shared" si="3"/>
        <v>0.054</v>
      </c>
      <c r="G65" s="12">
        <f>IFERROR(__xludf.DUMMYFUNCTION("VLOOKUP(A65,IMPORTRANGE(""1QZ5UxyNCwadreQAXnQ7oCoH982DjIA-QnZdO7ZoqkC0/edit#gid=0"",""2019-2021!$A$2:$O$250""),2,FALSE)"),107.75)</f>
        <v>107.75</v>
      </c>
      <c r="H65" s="14">
        <f t="shared" si="4"/>
        <v>0.431</v>
      </c>
      <c r="I65" s="15">
        <f t="shared" si="5"/>
        <v>0.059</v>
      </c>
      <c r="J65" s="16">
        <f>IFERROR(__xludf.DUMMYFUNCTION("VLOOKUP(A65,IMPORTRANGE(""1QZ5UxyNCwadreQAXnQ7oCoH982DjIA-QnZdO7ZoqkC0/edit#gid=0"",""2019-2021!$A$2:$O$250""),4,FALSE)"),122.0)</f>
        <v>122</v>
      </c>
      <c r="K65" s="17">
        <f t="shared" si="6"/>
        <v>0.488</v>
      </c>
      <c r="L65" s="17">
        <f t="shared" si="7"/>
        <v>0.002</v>
      </c>
      <c r="M65" s="16">
        <f>IFERROR(__xludf.DUMMYFUNCTION("VLOOKUP(A65,IMPORTRANGE(""1QZ5UxyNCwadreQAXnQ7oCoH982DjIA-QnZdO7ZoqkC0/edit#gid=0"",""2019-2021!$A$2:$O$250""),7,FALSE)"),113.0)</f>
        <v>113</v>
      </c>
      <c r="N65" s="17">
        <f t="shared" si="8"/>
        <v>0.452</v>
      </c>
      <c r="O65" s="17">
        <f t="shared" si="9"/>
        <v>0.038</v>
      </c>
    </row>
    <row r="66">
      <c r="A66" s="19" t="s">
        <v>64</v>
      </c>
      <c r="B66" s="41">
        <f>IFERROR(__xludf.DUMMYFUNCTION("VLOOKUP(A66,IMPORTRANGE(""1EmrnCz2gLVTx5Cbj0e5tfuHPhTtmru8KTGuQvh7STl0/edit#gid=2147150001"",""Whole Data Set!$A$2:$NQ$253""),381,FALSE)"),120.25)</f>
        <v>120.25</v>
      </c>
      <c r="C66" s="58">
        <f t="shared" si="1"/>
        <v>0.481</v>
      </c>
      <c r="D66" s="12">
        <f>IFERROR(__xludf.DUMMYFUNCTION("VLOOKUP(A66,IMPORTRANGE(""1aFCnJY1qhIj8-JckJhDJ18aqmVo17tofpQmOjcYa3u8/edit#gid=948248086"",""Whole Data Set!$A$2:$NG$253""),371,FALSE)"),109.5)</f>
        <v>109.5</v>
      </c>
      <c r="E66" s="13">
        <f t="shared" si="2"/>
        <v>0.438</v>
      </c>
      <c r="F66" s="13">
        <f t="shared" si="3"/>
        <v>0.043</v>
      </c>
      <c r="G66" s="12">
        <f>IFERROR(__xludf.DUMMYFUNCTION("VLOOKUP(A66,IMPORTRANGE(""1QZ5UxyNCwadreQAXnQ7oCoH982DjIA-QnZdO7ZoqkC0/edit#gid=0"",""2019-2021!$A$2:$O$250""),2,FALSE)"),123.0)</f>
        <v>123</v>
      </c>
      <c r="H66" s="14">
        <f t="shared" si="4"/>
        <v>0.492</v>
      </c>
      <c r="I66" s="15">
        <f t="shared" si="5"/>
        <v>-0.011</v>
      </c>
      <c r="J66" s="16">
        <f>IFERROR(__xludf.DUMMYFUNCTION("VLOOKUP(A66,IMPORTRANGE(""1QZ5UxyNCwadreQAXnQ7oCoH982DjIA-QnZdO7ZoqkC0/edit#gid=0"",""2019-2021!$A$2:$O$250""),4,FALSE)"),125.0)</f>
        <v>125</v>
      </c>
      <c r="K66" s="17">
        <f t="shared" si="6"/>
        <v>0.5</v>
      </c>
      <c r="L66" s="17">
        <f t="shared" si="7"/>
        <v>-0.019</v>
      </c>
      <c r="M66" s="16">
        <f>IFERROR(__xludf.DUMMYFUNCTION("VLOOKUP(A66,IMPORTRANGE(""1QZ5UxyNCwadreQAXnQ7oCoH982DjIA-QnZdO7ZoqkC0/edit#gid=0"",""2019-2021!$A$2:$O$250""),7,FALSE)"),134.5)</f>
        <v>134.5</v>
      </c>
      <c r="N66" s="17">
        <f t="shared" si="8"/>
        <v>0.538</v>
      </c>
      <c r="O66" s="17">
        <f t="shared" si="9"/>
        <v>-0.057</v>
      </c>
    </row>
    <row r="67">
      <c r="A67" s="19" t="s">
        <v>51</v>
      </c>
      <c r="B67" s="41">
        <f>IFERROR(__xludf.DUMMYFUNCTION("VLOOKUP(A67,IMPORTRANGE(""1EmrnCz2gLVTx5Cbj0e5tfuHPhTtmru8KTGuQvh7STl0/edit#gid=2147150001"",""Whole Data Set!$A$2:$NQ$253""),381,FALSE)"),133.75)</f>
        <v>133.75</v>
      </c>
      <c r="C67" s="58">
        <f t="shared" si="1"/>
        <v>0.535</v>
      </c>
      <c r="D67" s="12">
        <f>IFERROR(__xludf.DUMMYFUNCTION("VLOOKUP(A67,IMPORTRANGE(""1aFCnJY1qhIj8-JckJhDJ18aqmVo17tofpQmOjcYa3u8/edit#gid=948248086"",""Whole Data Set!$A$2:$NG$253""),371,FALSE)"),156.0)</f>
        <v>156</v>
      </c>
      <c r="E67" s="13">
        <f t="shared" si="2"/>
        <v>0.624</v>
      </c>
      <c r="F67" s="13">
        <f t="shared" si="3"/>
        <v>-0.089</v>
      </c>
      <c r="G67" s="12">
        <f>IFERROR(__xludf.DUMMYFUNCTION("VLOOKUP(A67,IMPORTRANGE(""1QZ5UxyNCwadreQAXnQ7oCoH982DjIA-QnZdO7ZoqkC0/edit#gid=0"",""2019-2021!$A$2:$O$250""),2,FALSE)"),157.75)</f>
        <v>157.75</v>
      </c>
      <c r="H67" s="14">
        <f t="shared" si="4"/>
        <v>0.631</v>
      </c>
      <c r="I67" s="15">
        <f t="shared" si="5"/>
        <v>-0.096</v>
      </c>
      <c r="J67" s="16">
        <f>IFERROR(__xludf.DUMMYFUNCTION("VLOOKUP(A67,IMPORTRANGE(""1QZ5UxyNCwadreQAXnQ7oCoH982DjIA-QnZdO7ZoqkC0/edit#gid=0"",""2019-2021!$A$2:$O$250""),4,FALSE)"),123.0)</f>
        <v>123</v>
      </c>
      <c r="K67" s="17">
        <f t="shared" si="6"/>
        <v>0.492</v>
      </c>
      <c r="L67" s="17">
        <f t="shared" si="7"/>
        <v>0.043</v>
      </c>
      <c r="M67" s="16">
        <f>IFERROR(__xludf.DUMMYFUNCTION("VLOOKUP(A67,IMPORTRANGE(""1QZ5UxyNCwadreQAXnQ7oCoH982DjIA-QnZdO7ZoqkC0/edit#gid=0"",""2019-2021!$A$2:$O$250""),7,FALSE)"),102.5)</f>
        <v>102.5</v>
      </c>
      <c r="N67" s="17">
        <f t="shared" si="8"/>
        <v>0.41</v>
      </c>
      <c r="O67" s="17">
        <f t="shared" si="9"/>
        <v>0.125</v>
      </c>
    </row>
    <row r="68">
      <c r="A68" s="19" t="s">
        <v>52</v>
      </c>
      <c r="B68" s="41">
        <f>IFERROR(__xludf.DUMMYFUNCTION("VLOOKUP(A68,IMPORTRANGE(""1EmrnCz2gLVTx5Cbj0e5tfuHPhTtmru8KTGuQvh7STl0/edit#gid=2147150001"",""Whole Data Set!$A$2:$NQ$253""),381,FALSE)"),199.25)</f>
        <v>199.25</v>
      </c>
      <c r="C68" s="58">
        <f t="shared" si="1"/>
        <v>0.797</v>
      </c>
      <c r="D68" s="12">
        <f>IFERROR(__xludf.DUMMYFUNCTION("VLOOKUP(A68,IMPORTRANGE(""1aFCnJY1qhIj8-JckJhDJ18aqmVo17tofpQmOjcYa3u8/edit#gid=948248086"",""Whole Data Set!$A$2:$NG$253""),371,FALSE)"),147.5)</f>
        <v>147.5</v>
      </c>
      <c r="E68" s="13">
        <f t="shared" si="2"/>
        <v>0.59</v>
      </c>
      <c r="F68" s="13">
        <f t="shared" si="3"/>
        <v>0.207</v>
      </c>
      <c r="G68" s="12">
        <f>IFERROR(__xludf.DUMMYFUNCTION("VLOOKUP(A68,IMPORTRANGE(""1QZ5UxyNCwadreQAXnQ7oCoH982DjIA-QnZdO7ZoqkC0/edit#gid=0"",""2019-2021!$A$2:$O$250""),2,FALSE)"),139.25)</f>
        <v>139.25</v>
      </c>
      <c r="H68" s="14">
        <f t="shared" si="4"/>
        <v>0.557</v>
      </c>
      <c r="I68" s="15">
        <f t="shared" si="5"/>
        <v>0.24</v>
      </c>
      <c r="J68" s="16">
        <f>IFERROR(__xludf.DUMMYFUNCTION("VLOOKUP(A68,IMPORTRANGE(""1QZ5UxyNCwadreQAXnQ7oCoH982DjIA-QnZdO7ZoqkC0/edit#gid=0"",""2019-2021!$A$2:$O$250""),4,FALSE)"),121.0)</f>
        <v>121</v>
      </c>
      <c r="K68" s="17">
        <f t="shared" si="6"/>
        <v>0.484</v>
      </c>
      <c r="L68" s="17">
        <f t="shared" si="7"/>
        <v>0.313</v>
      </c>
      <c r="M68" s="16">
        <f>IFERROR(__xludf.DUMMYFUNCTION("VLOOKUP(A68,IMPORTRANGE(""1QZ5UxyNCwadreQAXnQ7oCoH982DjIA-QnZdO7ZoqkC0/edit#gid=0"",""2019-2021!$A$2:$O$250""),7,FALSE)"),100.0)</f>
        <v>100</v>
      </c>
      <c r="N68" s="17">
        <f t="shared" si="8"/>
        <v>0.4</v>
      </c>
      <c r="O68" s="17">
        <f t="shared" si="9"/>
        <v>0.397</v>
      </c>
    </row>
    <row r="69">
      <c r="A69" s="19" t="s">
        <v>53</v>
      </c>
      <c r="B69" s="41">
        <f>IFERROR(__xludf.DUMMYFUNCTION("VLOOKUP(A69,IMPORTRANGE(""1EmrnCz2gLVTx5Cbj0e5tfuHPhTtmru8KTGuQvh7STl0/edit#gid=2147150001"",""Whole Data Set!$A$2:$NQ$253""),381,FALSE)"),77.25)</f>
        <v>77.25</v>
      </c>
      <c r="C69" s="58">
        <f t="shared" si="1"/>
        <v>0.309</v>
      </c>
      <c r="D69" s="12">
        <f>IFERROR(__xludf.DUMMYFUNCTION("VLOOKUP(A69,IMPORTRANGE(""1aFCnJY1qhIj8-JckJhDJ18aqmVo17tofpQmOjcYa3u8/edit#gid=948248086"",""Whole Data Set!$A$2:$NG$253""),371,FALSE)"),75.0)</f>
        <v>75</v>
      </c>
      <c r="E69" s="13">
        <f t="shared" si="2"/>
        <v>0.3</v>
      </c>
      <c r="F69" s="13">
        <f t="shared" si="3"/>
        <v>0.009</v>
      </c>
      <c r="G69" s="12">
        <f>IFERROR(__xludf.DUMMYFUNCTION("VLOOKUP(A69,IMPORTRANGE(""1QZ5UxyNCwadreQAXnQ7oCoH982DjIA-QnZdO7ZoqkC0/edit#gid=0"",""2019-2021!$A$2:$O$250""),2,FALSE)"),29.75)</f>
        <v>29.75</v>
      </c>
      <c r="H69" s="14">
        <f t="shared" si="4"/>
        <v>0.119</v>
      </c>
      <c r="I69" s="15">
        <f t="shared" si="5"/>
        <v>0.19</v>
      </c>
      <c r="J69" s="16">
        <f>IFERROR(__xludf.DUMMYFUNCTION("VLOOKUP(A69,IMPORTRANGE(""1QZ5UxyNCwadreQAXnQ7oCoH982DjIA-QnZdO7ZoqkC0/edit#gid=0"",""2019-2021!$A$2:$O$250""),4,FALSE)"),48.0)</f>
        <v>48</v>
      </c>
      <c r="K69" s="17">
        <f t="shared" si="6"/>
        <v>0.192</v>
      </c>
      <c r="L69" s="17">
        <f t="shared" si="7"/>
        <v>0.117</v>
      </c>
      <c r="M69" s="16">
        <f>IFERROR(__xludf.DUMMYFUNCTION("VLOOKUP(A69,IMPORTRANGE(""1QZ5UxyNCwadreQAXnQ7oCoH982DjIA-QnZdO7ZoqkC0/edit#gid=0"",""2019-2021!$A$2:$O$250""),7,FALSE)"),50.0)</f>
        <v>50</v>
      </c>
      <c r="N69" s="17">
        <f t="shared" si="8"/>
        <v>0.2</v>
      </c>
      <c r="O69" s="17">
        <f t="shared" si="9"/>
        <v>0.109</v>
      </c>
    </row>
    <row r="70">
      <c r="A70" s="19" t="s">
        <v>54</v>
      </c>
      <c r="B70" s="41">
        <f>IFERROR(__xludf.DUMMYFUNCTION("VLOOKUP(A70,IMPORTRANGE(""1EmrnCz2gLVTx5Cbj0e5tfuHPhTtmru8KTGuQvh7STl0/edit#gid=2147150001"",""Whole Data Set!$A$2:$NQ$253""),381,FALSE)"),177.75)</f>
        <v>177.75</v>
      </c>
      <c r="C70" s="58">
        <f t="shared" si="1"/>
        <v>0.711</v>
      </c>
      <c r="D70" s="12">
        <f>IFERROR(__xludf.DUMMYFUNCTION("VLOOKUP(A70,IMPORTRANGE(""1aFCnJY1qhIj8-JckJhDJ18aqmVo17tofpQmOjcYa3u8/edit#gid=948248086"",""Whole Data Set!$A$2:$NG$253""),371,FALSE)"),164.75)</f>
        <v>164.75</v>
      </c>
      <c r="E70" s="13">
        <f t="shared" si="2"/>
        <v>0.659</v>
      </c>
      <c r="F70" s="13">
        <f t="shared" si="3"/>
        <v>0.052</v>
      </c>
      <c r="G70" s="12">
        <f>IFERROR(__xludf.DUMMYFUNCTION("VLOOKUP(A70,IMPORTRANGE(""1QZ5UxyNCwadreQAXnQ7oCoH982DjIA-QnZdO7ZoqkC0/edit#gid=0"",""2019-2021!$A$2:$O$250""),2,FALSE)"),168.75)</f>
        <v>168.75</v>
      </c>
      <c r="H70" s="14">
        <f t="shared" si="4"/>
        <v>0.675</v>
      </c>
      <c r="I70" s="15">
        <f t="shared" si="5"/>
        <v>0.036</v>
      </c>
      <c r="J70" s="16">
        <f>IFERROR(__xludf.DUMMYFUNCTION("VLOOKUP(A70,IMPORTRANGE(""1QZ5UxyNCwadreQAXnQ7oCoH982DjIA-QnZdO7ZoqkC0/edit#gid=0"",""2019-2021!$A$2:$O$250""),4,FALSE)"),182.0)</f>
        <v>182</v>
      </c>
      <c r="K70" s="17">
        <f t="shared" si="6"/>
        <v>0.728</v>
      </c>
      <c r="L70" s="17">
        <f t="shared" si="7"/>
        <v>-0.017</v>
      </c>
      <c r="M70" s="16">
        <f>IFERROR(__xludf.DUMMYFUNCTION("VLOOKUP(A70,IMPORTRANGE(""1QZ5UxyNCwadreQAXnQ7oCoH982DjIA-QnZdO7ZoqkC0/edit#gid=0"",""2019-2021!$A$2:$O$250""),7,FALSE)"),153.0)</f>
        <v>153</v>
      </c>
      <c r="N70" s="17">
        <f t="shared" si="8"/>
        <v>0.612</v>
      </c>
      <c r="O70" s="17">
        <f t="shared" si="9"/>
        <v>0.099</v>
      </c>
    </row>
    <row r="71">
      <c r="A71" s="19" t="s">
        <v>55</v>
      </c>
      <c r="B71" s="41">
        <f>IFERROR(__xludf.DUMMYFUNCTION("VLOOKUP(A71,IMPORTRANGE(""1EmrnCz2gLVTx5Cbj0e5tfuHPhTtmru8KTGuQvh7STl0/edit#gid=2147150001"",""Whole Data Set!$A$2:$NQ$253""),381,FALSE)"),93.75)</f>
        <v>93.75</v>
      </c>
      <c r="C71" s="58">
        <f t="shared" si="1"/>
        <v>0.375</v>
      </c>
      <c r="D71" s="12">
        <f>IFERROR(__xludf.DUMMYFUNCTION("VLOOKUP(A71,IMPORTRANGE(""1aFCnJY1qhIj8-JckJhDJ18aqmVo17tofpQmOjcYa3u8/edit#gid=948248086"",""Whole Data Set!$A$2:$NG$253""),371,FALSE)"),68.0)</f>
        <v>68</v>
      </c>
      <c r="E71" s="13">
        <f t="shared" si="2"/>
        <v>0.272</v>
      </c>
      <c r="F71" s="13">
        <f t="shared" si="3"/>
        <v>0.103</v>
      </c>
      <c r="G71" s="12">
        <f>IFERROR(__xludf.DUMMYFUNCTION("VLOOKUP(A71,IMPORTRANGE(""1QZ5UxyNCwadreQAXnQ7oCoH982DjIA-QnZdO7ZoqkC0/edit#gid=0"",""2019-2021!$A$2:$O$250""),2,FALSE)"),98.25)</f>
        <v>98.25</v>
      </c>
      <c r="H71" s="14">
        <f t="shared" si="4"/>
        <v>0.393</v>
      </c>
      <c r="I71" s="15">
        <f t="shared" si="5"/>
        <v>-0.018</v>
      </c>
      <c r="J71" s="16">
        <f>IFERROR(__xludf.DUMMYFUNCTION("VLOOKUP(A71,IMPORTRANGE(""1QZ5UxyNCwadreQAXnQ7oCoH982DjIA-QnZdO7ZoqkC0/edit#gid=0"",""2019-2021!$A$2:$O$250""),4,FALSE)"),97.0)</f>
        <v>97</v>
      </c>
      <c r="K71" s="17">
        <f t="shared" si="6"/>
        <v>0.388</v>
      </c>
      <c r="L71" s="17">
        <f t="shared" si="7"/>
        <v>-0.013</v>
      </c>
      <c r="M71" s="16">
        <f>IFERROR(__xludf.DUMMYFUNCTION("VLOOKUP(A71,IMPORTRANGE(""1QZ5UxyNCwadreQAXnQ7oCoH982DjIA-QnZdO7ZoqkC0/edit#gid=0"",""2019-2021!$A$2:$O$250""),7,FALSE)"),77.0)</f>
        <v>77</v>
      </c>
      <c r="N71" s="17">
        <f t="shared" si="8"/>
        <v>0.308</v>
      </c>
      <c r="O71" s="17">
        <f t="shared" si="9"/>
        <v>0.067</v>
      </c>
    </row>
    <row r="72">
      <c r="A72" s="19" t="s">
        <v>50</v>
      </c>
      <c r="B72" s="41">
        <f>IFERROR(__xludf.DUMMYFUNCTION("VLOOKUP(A72,IMPORTRANGE(""1EmrnCz2gLVTx5Cbj0e5tfuHPhTtmru8KTGuQvh7STl0/edit#gid=2147150001"",""Whole Data Set!$A$2:$NQ$253""),381,FALSE)"),0.0)</f>
        <v>0</v>
      </c>
      <c r="C72" s="58">
        <f t="shared" si="1"/>
        <v>0</v>
      </c>
      <c r="D72" s="12">
        <f>IFERROR(__xludf.DUMMYFUNCTION("VLOOKUP(A72,IMPORTRANGE(""1aFCnJY1qhIj8-JckJhDJ18aqmVo17tofpQmOjcYa3u8/edit#gid=948248086"",""Whole Data Set!$A$2:$NG$253""),371,FALSE)"),0.25)</f>
        <v>0.25</v>
      </c>
      <c r="E72" s="13">
        <f t="shared" si="2"/>
        <v>0.001</v>
      </c>
      <c r="F72" s="13">
        <f t="shared" si="3"/>
        <v>-0.001</v>
      </c>
      <c r="G72" s="12">
        <f>IFERROR(__xludf.DUMMYFUNCTION("VLOOKUP(A72,IMPORTRANGE(""1QZ5UxyNCwadreQAXnQ7oCoH982DjIA-QnZdO7ZoqkC0/edit#gid=0"",""2019-2021!$A$2:$O$250""),2,FALSE)"),0.75)</f>
        <v>0.75</v>
      </c>
      <c r="H72" s="14">
        <f t="shared" si="4"/>
        <v>0.003</v>
      </c>
      <c r="I72" s="15">
        <f t="shared" si="5"/>
        <v>-0.003</v>
      </c>
      <c r="J72" s="16">
        <f>IFERROR(__xludf.DUMMYFUNCTION("VLOOKUP(A72,IMPORTRANGE(""1QZ5UxyNCwadreQAXnQ7oCoH982DjIA-QnZdO7ZoqkC0/edit#gid=0"",""2019-2021!$A$2:$O$250""),4,FALSE)"),0.0)</f>
        <v>0</v>
      </c>
      <c r="K72" s="17">
        <f t="shared" si="6"/>
        <v>0</v>
      </c>
      <c r="L72" s="17">
        <f t="shared" si="7"/>
        <v>0</v>
      </c>
      <c r="M72" s="16">
        <f>IFERROR(__xludf.DUMMYFUNCTION("VLOOKUP(A72,IMPORTRANGE(""1QZ5UxyNCwadreQAXnQ7oCoH982DjIA-QnZdO7ZoqkC0/edit#gid=0"",""2019-2021!$A$2:$O$250""),7,FALSE)"),0.5)</f>
        <v>0.5</v>
      </c>
      <c r="N72" s="17">
        <f t="shared" si="8"/>
        <v>0.002</v>
      </c>
      <c r="O72" s="17">
        <f t="shared" si="9"/>
        <v>-0.002</v>
      </c>
    </row>
    <row r="73">
      <c r="A73" s="19" t="s">
        <v>98</v>
      </c>
      <c r="B73" s="41">
        <f>IFERROR(__xludf.DUMMYFUNCTION("VLOOKUP(A73,IMPORTRANGE(""1EmrnCz2gLVTx5Cbj0e5tfuHPhTtmru8KTGuQvh7STl0/edit#gid=2147150001"",""Whole Data Set!$A$2:$NQ$253""),381,FALSE)"),69.75)</f>
        <v>69.75</v>
      </c>
      <c r="C73" s="58">
        <f t="shared" si="1"/>
        <v>0.279</v>
      </c>
      <c r="D73" s="12">
        <f>IFERROR(__xludf.DUMMYFUNCTION("VLOOKUP(A73,IMPORTRANGE(""1aFCnJY1qhIj8-JckJhDJ18aqmVo17tofpQmOjcYa3u8/edit#gid=948248086"",""Whole Data Set!$A$2:$NG$253""),371,FALSE)"),77.25)</f>
        <v>77.25</v>
      </c>
      <c r="E73" s="13">
        <f t="shared" si="2"/>
        <v>0.309</v>
      </c>
      <c r="F73" s="13">
        <f t="shared" si="3"/>
        <v>-0.03</v>
      </c>
      <c r="G73" s="12">
        <f>IFERROR(__xludf.DUMMYFUNCTION("VLOOKUP(A73,IMPORTRANGE(""1QZ5UxyNCwadreQAXnQ7oCoH982DjIA-QnZdO7ZoqkC0/edit#gid=0"",""2019-2021!$A$2:$O$250""),2,FALSE)"),92.75)</f>
        <v>92.75</v>
      </c>
      <c r="H73" s="14">
        <f t="shared" si="4"/>
        <v>0.371</v>
      </c>
      <c r="I73" s="15">
        <f t="shared" si="5"/>
        <v>-0.092</v>
      </c>
      <c r="J73" s="16">
        <f>IFERROR(__xludf.DUMMYFUNCTION("VLOOKUP(A73,IMPORTRANGE(""1QZ5UxyNCwadreQAXnQ7oCoH982DjIA-QnZdO7ZoqkC0/edit#gid=0"",""2019-2021!$A$2:$O$250""),4,FALSE)"),82.5)</f>
        <v>82.5</v>
      </c>
      <c r="K73" s="17">
        <f t="shared" si="6"/>
        <v>0.33</v>
      </c>
      <c r="L73" s="17">
        <f t="shared" si="7"/>
        <v>-0.051</v>
      </c>
      <c r="M73" s="16">
        <f>IFERROR(__xludf.DUMMYFUNCTION("VLOOKUP(A73,IMPORTRANGE(""1QZ5UxyNCwadreQAXnQ7oCoH982DjIA-QnZdO7ZoqkC0/edit#gid=0"",""2019-2021!$A$2:$O$250""),7,FALSE)"),78.5)</f>
        <v>78.5</v>
      </c>
      <c r="N73" s="17">
        <f t="shared" si="8"/>
        <v>0.314</v>
      </c>
      <c r="O73" s="17">
        <f t="shared" si="9"/>
        <v>-0.035</v>
      </c>
    </row>
    <row r="74">
      <c r="A74" s="19" t="s">
        <v>58</v>
      </c>
      <c r="B74" s="41">
        <f>IFERROR(__xludf.DUMMYFUNCTION("VLOOKUP(A74,IMPORTRANGE(""1EmrnCz2gLVTx5Cbj0e5tfuHPhTtmru8KTGuQvh7STl0/edit#gid=2147150001"",""Whole Data Set!$A$2:$NQ$253""),381,FALSE)"),21.5)</f>
        <v>21.5</v>
      </c>
      <c r="C74" s="58">
        <f t="shared" si="1"/>
        <v>0.086</v>
      </c>
      <c r="D74" s="12">
        <f>IFERROR(__xludf.DUMMYFUNCTION("VLOOKUP(A74,IMPORTRANGE(""1aFCnJY1qhIj8-JckJhDJ18aqmVo17tofpQmOjcYa3u8/edit#gid=948248086"",""Whole Data Set!$A$2:$NG$253""),371,FALSE)"),19.0)</f>
        <v>19</v>
      </c>
      <c r="E74" s="13">
        <f t="shared" si="2"/>
        <v>0.076</v>
      </c>
      <c r="F74" s="13">
        <f t="shared" si="3"/>
        <v>0.01</v>
      </c>
      <c r="G74" s="12">
        <f>IFERROR(__xludf.DUMMYFUNCTION("VLOOKUP(A74,IMPORTRANGE(""1QZ5UxyNCwadreQAXnQ7oCoH982DjIA-QnZdO7ZoqkC0/edit#gid=0"",""2019-2021!$A$2:$O$250""),2,FALSE)"),33.0)</f>
        <v>33</v>
      </c>
      <c r="H74" s="14">
        <f t="shared" si="4"/>
        <v>0.132</v>
      </c>
      <c r="I74" s="15">
        <f t="shared" si="5"/>
        <v>-0.046</v>
      </c>
      <c r="J74" s="16">
        <f>IFERROR(__xludf.DUMMYFUNCTION("VLOOKUP(A74,IMPORTRANGE(""1QZ5UxyNCwadreQAXnQ7oCoH982DjIA-QnZdO7ZoqkC0/edit#gid=0"",""2019-2021!$A$2:$O$250""),4,FALSE)"),47.5)</f>
        <v>47.5</v>
      </c>
      <c r="K74" s="17">
        <f t="shared" si="6"/>
        <v>0.19</v>
      </c>
      <c r="L74" s="17">
        <f t="shared" si="7"/>
        <v>-0.104</v>
      </c>
      <c r="M74" s="16">
        <f>IFERROR(__xludf.DUMMYFUNCTION("VLOOKUP(A74,IMPORTRANGE(""1QZ5UxyNCwadreQAXnQ7oCoH982DjIA-QnZdO7ZoqkC0/edit#gid=0"",""2019-2021!$A$2:$O$250""),7,FALSE)"),53.0)</f>
        <v>53</v>
      </c>
      <c r="N74" s="17">
        <f t="shared" si="8"/>
        <v>0.212</v>
      </c>
      <c r="O74" s="17">
        <f t="shared" si="9"/>
        <v>-0.126</v>
      </c>
    </row>
    <row r="75">
      <c r="A75" s="19" t="s">
        <v>59</v>
      </c>
      <c r="B75" s="41">
        <f>IFERROR(__xludf.DUMMYFUNCTION("VLOOKUP(A75,IMPORTRANGE(""1EmrnCz2gLVTx5Cbj0e5tfuHPhTtmru8KTGuQvh7STl0/edit#gid=2147150001"",""Whole Data Set!$A$2:$NQ$253""),381,FALSE)"),137.0)</f>
        <v>137</v>
      </c>
      <c r="C75" s="58">
        <f t="shared" si="1"/>
        <v>0.548</v>
      </c>
      <c r="D75" s="12">
        <f>IFERROR(__xludf.DUMMYFUNCTION("VLOOKUP(A75,IMPORTRANGE(""1aFCnJY1qhIj8-JckJhDJ18aqmVo17tofpQmOjcYa3u8/edit#gid=948248086"",""Whole Data Set!$A$2:$NG$253""),371,FALSE)"),123.25)</f>
        <v>123.25</v>
      </c>
      <c r="E75" s="13">
        <f t="shared" si="2"/>
        <v>0.493</v>
      </c>
      <c r="F75" s="13">
        <f t="shared" si="3"/>
        <v>0.055</v>
      </c>
      <c r="G75" s="12">
        <f>IFERROR(__xludf.DUMMYFUNCTION("VLOOKUP(A75,IMPORTRANGE(""1QZ5UxyNCwadreQAXnQ7oCoH982DjIA-QnZdO7ZoqkC0/edit#gid=0"",""2019-2021!$A$2:$O$250""),2,FALSE)"),84.25)</f>
        <v>84.25</v>
      </c>
      <c r="H75" s="14">
        <f t="shared" si="4"/>
        <v>0.337</v>
      </c>
      <c r="I75" s="15">
        <f t="shared" si="5"/>
        <v>0.211</v>
      </c>
      <c r="J75" s="16">
        <f>IFERROR(__xludf.DUMMYFUNCTION("VLOOKUP(A75,IMPORTRANGE(""1QZ5UxyNCwadreQAXnQ7oCoH982DjIA-QnZdO7ZoqkC0/edit#gid=0"",""2019-2021!$A$2:$O$250""),4,FALSE)"),102.5)</f>
        <v>102.5</v>
      </c>
      <c r="K75" s="17">
        <f t="shared" si="6"/>
        <v>0.41</v>
      </c>
      <c r="L75" s="17">
        <f t="shared" si="7"/>
        <v>0.138</v>
      </c>
      <c r="M75" s="16">
        <f>IFERROR(__xludf.DUMMYFUNCTION("VLOOKUP(A75,IMPORTRANGE(""1QZ5UxyNCwadreQAXnQ7oCoH982DjIA-QnZdO7ZoqkC0/edit#gid=0"",""2019-2021!$A$2:$O$250""),7,FALSE)"),103.5)</f>
        <v>103.5</v>
      </c>
      <c r="N75" s="17">
        <f t="shared" si="8"/>
        <v>0.414</v>
      </c>
      <c r="O75" s="17">
        <f t="shared" si="9"/>
        <v>0.134</v>
      </c>
    </row>
    <row r="76">
      <c r="A76" s="19" t="s">
        <v>178</v>
      </c>
      <c r="B76" s="41">
        <f>IFERROR(__xludf.DUMMYFUNCTION("VLOOKUP(A76,IMPORTRANGE(""1EmrnCz2gLVTx5Cbj0e5tfuHPhTtmru8KTGuQvh7STl0/edit#gid=2147150001"",""Whole Data Set!$A$2:$NQ$253""),381,FALSE)"),156.25)</f>
        <v>156.25</v>
      </c>
      <c r="C76" s="58">
        <f t="shared" si="1"/>
        <v>0.625</v>
      </c>
      <c r="D76" s="12">
        <f>IFERROR(__xludf.DUMMYFUNCTION("VLOOKUP(A76,IMPORTRANGE(""1aFCnJY1qhIj8-JckJhDJ18aqmVo17tofpQmOjcYa3u8/edit#gid=948248086"",""Whole Data Set!$A$2:$NG$253""),371,FALSE)"),134.75)</f>
        <v>134.75</v>
      </c>
      <c r="E76" s="13">
        <f t="shared" si="2"/>
        <v>0.539</v>
      </c>
      <c r="F76" s="13">
        <f t="shared" si="3"/>
        <v>0.086</v>
      </c>
      <c r="G76" s="12">
        <f>IFERROR(__xludf.DUMMYFUNCTION("VLOOKUP(A76,IMPORTRANGE(""1QZ5UxyNCwadreQAXnQ7oCoH982DjIA-QnZdO7ZoqkC0/edit#gid=0"",""2019-2021!$A$2:$O$250""),2,FALSE)"),26.75)</f>
        <v>26.75</v>
      </c>
      <c r="H76" s="14">
        <f t="shared" si="4"/>
        <v>0.107</v>
      </c>
      <c r="I76" s="15">
        <f t="shared" si="5"/>
        <v>0.518</v>
      </c>
      <c r="J76" s="16">
        <f>IFERROR(__xludf.DUMMYFUNCTION("VLOOKUP(A76,IMPORTRANGE(""1QZ5UxyNCwadreQAXnQ7oCoH982DjIA-QnZdO7ZoqkC0/edit#gid=0"",""2019-2021!$A$2:$O$250""),4,FALSE)"),33.0)</f>
        <v>33</v>
      </c>
      <c r="K76" s="17">
        <f t="shared" si="6"/>
        <v>0.132</v>
      </c>
      <c r="L76" s="17">
        <f t="shared" si="7"/>
        <v>0.493</v>
      </c>
      <c r="M76" s="16">
        <f>IFERROR(__xludf.DUMMYFUNCTION("VLOOKUP(A76,IMPORTRANGE(""1QZ5UxyNCwadreQAXnQ7oCoH982DjIA-QnZdO7ZoqkC0/edit#gid=0"",""2019-2021!$A$2:$O$250""),7,FALSE)"),13.5)</f>
        <v>13.5</v>
      </c>
      <c r="N76" s="17">
        <f t="shared" si="8"/>
        <v>0.054</v>
      </c>
      <c r="O76" s="17">
        <f t="shared" si="9"/>
        <v>0.571</v>
      </c>
    </row>
    <row r="77">
      <c r="A77" s="19" t="s">
        <v>179</v>
      </c>
      <c r="B77" s="41">
        <f>IFERROR(__xludf.DUMMYFUNCTION("VLOOKUP(A77,IMPORTRANGE(""1EmrnCz2gLVTx5Cbj0e5tfuHPhTtmru8KTGuQvh7STl0/edit#gid=2147150001"",""Whole Data Set!$A$2:$NQ$253""),381,FALSE)"),27.25)</f>
        <v>27.25</v>
      </c>
      <c r="C77" s="58">
        <f t="shared" si="1"/>
        <v>0.109</v>
      </c>
      <c r="D77" s="12">
        <f>IFERROR(__xludf.DUMMYFUNCTION("VLOOKUP(A77,IMPORTRANGE(""1aFCnJY1qhIj8-JckJhDJ18aqmVo17tofpQmOjcYa3u8/edit#gid=948248086"",""Whole Data Set!$A$2:$NG$253""),371,FALSE)"),33.0)</f>
        <v>33</v>
      </c>
      <c r="E77" s="13">
        <f t="shared" si="2"/>
        <v>0.132</v>
      </c>
      <c r="F77" s="13">
        <f t="shared" si="3"/>
        <v>-0.023</v>
      </c>
      <c r="G77" s="12">
        <f>IFERROR(__xludf.DUMMYFUNCTION("VLOOKUP(A77,IMPORTRANGE(""1QZ5UxyNCwadreQAXnQ7oCoH982DjIA-QnZdO7ZoqkC0/edit#gid=0"",""2019-2021!$A$2:$O$250""),2,FALSE)"),36.5)</f>
        <v>36.5</v>
      </c>
      <c r="H77" s="14">
        <f t="shared" si="4"/>
        <v>0.146</v>
      </c>
      <c r="I77" s="15">
        <f t="shared" si="5"/>
        <v>-0.037</v>
      </c>
      <c r="J77" s="16">
        <f>IFERROR(__xludf.DUMMYFUNCTION("VLOOKUP(A77,IMPORTRANGE(""1QZ5UxyNCwadreQAXnQ7oCoH982DjIA-QnZdO7ZoqkC0/edit#gid=0"",""2019-2021!$A$2:$O$250""),4,FALSE)"),51.5)</f>
        <v>51.5</v>
      </c>
      <c r="K77" s="17">
        <f t="shared" si="6"/>
        <v>0.206</v>
      </c>
      <c r="L77" s="17">
        <f t="shared" si="7"/>
        <v>-0.097</v>
      </c>
      <c r="M77" s="16">
        <f>IFERROR(__xludf.DUMMYFUNCTION("VLOOKUP(A77,IMPORTRANGE(""1QZ5UxyNCwadreQAXnQ7oCoH982DjIA-QnZdO7ZoqkC0/edit#gid=0"",""2019-2021!$A$2:$O$250""),7,FALSE)"),34.5)</f>
        <v>34.5</v>
      </c>
      <c r="N77" s="17">
        <f t="shared" si="8"/>
        <v>0.138</v>
      </c>
      <c r="O77" s="17">
        <f t="shared" si="9"/>
        <v>-0.029</v>
      </c>
    </row>
    <row r="78">
      <c r="A78" s="19" t="s">
        <v>60</v>
      </c>
      <c r="B78" s="41">
        <f>IFERROR(__xludf.DUMMYFUNCTION("VLOOKUP(A78,IMPORTRANGE(""1EmrnCz2gLVTx5Cbj0e5tfuHPhTtmru8KTGuQvh7STl0/edit#gid=2147150001"",""Whole Data Set!$A$2:$NQ$253""),381,FALSE)"),102.0)</f>
        <v>102</v>
      </c>
      <c r="C78" s="58">
        <f t="shared" si="1"/>
        <v>0.408</v>
      </c>
      <c r="D78" s="12">
        <f>IFERROR(__xludf.DUMMYFUNCTION("VLOOKUP(A78,IMPORTRANGE(""1aFCnJY1qhIj8-JckJhDJ18aqmVo17tofpQmOjcYa3u8/edit#gid=948248086"",""Whole Data Set!$A$2:$NG$253""),371,FALSE)"),90.75)</f>
        <v>90.75</v>
      </c>
      <c r="E78" s="13">
        <f t="shared" si="2"/>
        <v>0.363</v>
      </c>
      <c r="F78" s="13">
        <f t="shared" si="3"/>
        <v>0.045</v>
      </c>
      <c r="G78" s="12">
        <f>IFERROR(__xludf.DUMMYFUNCTION("VLOOKUP(A78,IMPORTRANGE(""1QZ5UxyNCwadreQAXnQ7oCoH982DjIA-QnZdO7ZoqkC0/edit#gid=0"",""2019-2021!$A$2:$O$250""),2,FALSE)"),63.0)</f>
        <v>63</v>
      </c>
      <c r="H78" s="14">
        <f t="shared" si="4"/>
        <v>0.252</v>
      </c>
      <c r="I78" s="15">
        <f t="shared" si="5"/>
        <v>0.156</v>
      </c>
      <c r="J78" s="16">
        <f>IFERROR(__xludf.DUMMYFUNCTION("VLOOKUP(A78,IMPORTRANGE(""1QZ5UxyNCwadreQAXnQ7oCoH982DjIA-QnZdO7ZoqkC0/edit#gid=0"",""2019-2021!$A$2:$O$250""),4,FALSE)"),73.0)</f>
        <v>73</v>
      </c>
      <c r="K78" s="17">
        <f t="shared" si="6"/>
        <v>0.292</v>
      </c>
      <c r="L78" s="17">
        <f t="shared" si="7"/>
        <v>0.116</v>
      </c>
      <c r="M78" s="16">
        <f>IFERROR(__xludf.DUMMYFUNCTION("VLOOKUP(A78,IMPORTRANGE(""1QZ5UxyNCwadreQAXnQ7oCoH982DjIA-QnZdO7ZoqkC0/edit#gid=0"",""2019-2021!$A$2:$O$250""),7,FALSE)"),70.5)</f>
        <v>70.5</v>
      </c>
      <c r="N78" s="17">
        <f t="shared" si="8"/>
        <v>0.282</v>
      </c>
      <c r="O78" s="17">
        <f t="shared" si="9"/>
        <v>0.126</v>
      </c>
    </row>
    <row r="79">
      <c r="A79" s="19" t="s">
        <v>130</v>
      </c>
      <c r="B79" s="41">
        <f>IFERROR(__xludf.DUMMYFUNCTION("VLOOKUP(A79,IMPORTRANGE(""1EmrnCz2gLVTx5Cbj0e5tfuHPhTtmru8KTGuQvh7STl0/edit#gid=2147150001"",""Whole Data Set!$A$2:$NQ$253""),381,FALSE)"),73.5)</f>
        <v>73.5</v>
      </c>
      <c r="C79" s="58">
        <f t="shared" si="1"/>
        <v>0.294</v>
      </c>
      <c r="D79" s="12">
        <f>IFERROR(__xludf.DUMMYFUNCTION("VLOOKUP(A79,IMPORTRANGE(""1aFCnJY1qhIj8-JckJhDJ18aqmVo17tofpQmOjcYa3u8/edit#gid=948248086"",""Whole Data Set!$A$2:$NG$253""),371,FALSE)"),58.0)</f>
        <v>58</v>
      </c>
      <c r="E79" s="13">
        <f t="shared" si="2"/>
        <v>0.232</v>
      </c>
      <c r="F79" s="13">
        <f t="shared" si="3"/>
        <v>0.062</v>
      </c>
      <c r="G79" s="12">
        <f>IFERROR(__xludf.DUMMYFUNCTION("VLOOKUP(A79,IMPORTRANGE(""1QZ5UxyNCwadreQAXnQ7oCoH982DjIA-QnZdO7ZoqkC0/edit#gid=0"",""2019-2021!$A$2:$O$250""),2,FALSE)"),66.5)</f>
        <v>66.5</v>
      </c>
      <c r="H79" s="14">
        <f t="shared" si="4"/>
        <v>0.266</v>
      </c>
      <c r="I79" s="15">
        <f t="shared" si="5"/>
        <v>0.028</v>
      </c>
      <c r="J79" s="16">
        <f>IFERROR(__xludf.DUMMYFUNCTION("VLOOKUP(A79,IMPORTRANGE(""1QZ5UxyNCwadreQAXnQ7oCoH982DjIA-QnZdO7ZoqkC0/edit#gid=0"",""2019-2021!$A$2:$O$250""),4,FALSE)"),40.0)</f>
        <v>40</v>
      </c>
      <c r="K79" s="17">
        <f t="shared" si="6"/>
        <v>0.16</v>
      </c>
      <c r="L79" s="17">
        <f t="shared" si="7"/>
        <v>0.134</v>
      </c>
      <c r="M79" s="16">
        <f>IFERROR(__xludf.DUMMYFUNCTION("VLOOKUP(A79,IMPORTRANGE(""1QZ5UxyNCwadreQAXnQ7oCoH982DjIA-QnZdO7ZoqkC0/edit#gid=0"",""2019-2021!$A$2:$O$250""),7,FALSE)"),27.5)</f>
        <v>27.5</v>
      </c>
      <c r="N79" s="17">
        <f t="shared" si="8"/>
        <v>0.11</v>
      </c>
      <c r="O79" s="17">
        <f t="shared" si="9"/>
        <v>0.184</v>
      </c>
    </row>
    <row r="80">
      <c r="A80" s="19" t="s">
        <v>131</v>
      </c>
      <c r="B80" s="41">
        <f>IFERROR(__xludf.DUMMYFUNCTION("VLOOKUP(A80,IMPORTRANGE(""1EmrnCz2gLVTx5Cbj0e5tfuHPhTtmru8KTGuQvh7STl0/edit#gid=2147150001"",""Whole Data Set!$A$2:$NQ$253""),381,FALSE)"),44.5)</f>
        <v>44.5</v>
      </c>
      <c r="C80" s="58">
        <f t="shared" si="1"/>
        <v>0.178</v>
      </c>
      <c r="D80" s="12">
        <f>IFERROR(__xludf.DUMMYFUNCTION("VLOOKUP(A80,IMPORTRANGE(""1aFCnJY1qhIj8-JckJhDJ18aqmVo17tofpQmOjcYa3u8/edit#gid=948248086"",""Whole Data Set!$A$2:$NG$253""),371,FALSE)"),44.5)</f>
        <v>44.5</v>
      </c>
      <c r="E80" s="13">
        <f t="shared" si="2"/>
        <v>0.178</v>
      </c>
      <c r="F80" s="13">
        <f t="shared" si="3"/>
        <v>0</v>
      </c>
      <c r="G80" s="12">
        <f>IFERROR(__xludf.DUMMYFUNCTION("VLOOKUP(A80,IMPORTRANGE(""1QZ5UxyNCwadreQAXnQ7oCoH982DjIA-QnZdO7ZoqkC0/edit#gid=0"",""2019-2021!$A$2:$O$250""),2,FALSE)"),33.5)</f>
        <v>33.5</v>
      </c>
      <c r="H80" s="14">
        <f t="shared" si="4"/>
        <v>0.134</v>
      </c>
      <c r="I80" s="15">
        <f t="shared" si="5"/>
        <v>0.044</v>
      </c>
      <c r="J80" s="16">
        <f>IFERROR(__xludf.DUMMYFUNCTION("VLOOKUP(A80,IMPORTRANGE(""1QZ5UxyNCwadreQAXnQ7oCoH982DjIA-QnZdO7ZoqkC0/edit#gid=0"",""2019-2021!$A$2:$O$250""),4,FALSE)"),33.5)</f>
        <v>33.5</v>
      </c>
      <c r="K80" s="17">
        <f t="shared" si="6"/>
        <v>0.134</v>
      </c>
      <c r="L80" s="17">
        <f t="shared" si="7"/>
        <v>0.044</v>
      </c>
      <c r="M80" s="16">
        <f>IFERROR(__xludf.DUMMYFUNCTION("VLOOKUP(A80,IMPORTRANGE(""1QZ5UxyNCwadreQAXnQ7oCoH982DjIA-QnZdO7ZoqkC0/edit#gid=0"",""2019-2021!$A$2:$O$250""),7,FALSE)"),27.5)</f>
        <v>27.5</v>
      </c>
      <c r="N80" s="17">
        <f t="shared" si="8"/>
        <v>0.11</v>
      </c>
      <c r="O80" s="17">
        <f t="shared" si="9"/>
        <v>0.068</v>
      </c>
    </row>
    <row r="81">
      <c r="A81" s="19" t="s">
        <v>132</v>
      </c>
      <c r="B81" s="41">
        <f>IFERROR(__xludf.DUMMYFUNCTION("VLOOKUP(A81,IMPORTRANGE(""1EmrnCz2gLVTx5Cbj0e5tfuHPhTtmru8KTGuQvh7STl0/edit#gid=2147150001"",""Whole Data Set!$A$2:$NQ$253""),381,FALSE)"),80.0)</f>
        <v>80</v>
      </c>
      <c r="C81" s="58">
        <f t="shared" si="1"/>
        <v>0.32</v>
      </c>
      <c r="D81" s="12">
        <f>IFERROR(__xludf.DUMMYFUNCTION("VLOOKUP(A81,IMPORTRANGE(""1aFCnJY1qhIj8-JckJhDJ18aqmVo17tofpQmOjcYa3u8/edit#gid=948248086"",""Whole Data Set!$A$2:$NG$253""),371,FALSE)"),85.5)</f>
        <v>85.5</v>
      </c>
      <c r="E81" s="13">
        <f t="shared" si="2"/>
        <v>0.342</v>
      </c>
      <c r="F81" s="13">
        <f t="shared" si="3"/>
        <v>-0.022</v>
      </c>
      <c r="G81" s="12">
        <f>IFERROR(__xludf.DUMMYFUNCTION("VLOOKUP(A81,IMPORTRANGE(""1QZ5UxyNCwadreQAXnQ7oCoH982DjIA-QnZdO7ZoqkC0/edit#gid=0"",""2019-2021!$A$2:$O$250""),2,FALSE)"),66.25)</f>
        <v>66.25</v>
      </c>
      <c r="H81" s="14">
        <f t="shared" si="4"/>
        <v>0.265</v>
      </c>
      <c r="I81" s="15">
        <f t="shared" si="5"/>
        <v>0.055</v>
      </c>
      <c r="J81" s="16">
        <f>IFERROR(__xludf.DUMMYFUNCTION("VLOOKUP(A81,IMPORTRANGE(""1QZ5UxyNCwadreQAXnQ7oCoH982DjIA-QnZdO7ZoqkC0/edit#gid=0"",""2019-2021!$A$2:$O$250""),4,FALSE)"),74.0)</f>
        <v>74</v>
      </c>
      <c r="K81" s="17">
        <f t="shared" si="6"/>
        <v>0.296</v>
      </c>
      <c r="L81" s="17">
        <f t="shared" si="7"/>
        <v>0.024</v>
      </c>
      <c r="M81" s="16">
        <f>IFERROR(__xludf.DUMMYFUNCTION("VLOOKUP(A81,IMPORTRANGE(""1QZ5UxyNCwadreQAXnQ7oCoH982DjIA-QnZdO7ZoqkC0/edit#gid=0"",""2019-2021!$A$2:$O$250""),7,FALSE)"),71.0)</f>
        <v>71</v>
      </c>
      <c r="N81" s="17">
        <f t="shared" si="8"/>
        <v>0.284</v>
      </c>
      <c r="O81" s="17">
        <f t="shared" si="9"/>
        <v>0.036</v>
      </c>
    </row>
    <row r="82">
      <c r="A82" s="19" t="s">
        <v>61</v>
      </c>
      <c r="B82" s="41">
        <f>IFERROR(__xludf.DUMMYFUNCTION("VLOOKUP(A82,IMPORTRANGE(""1EmrnCz2gLVTx5Cbj0e5tfuHPhTtmru8KTGuQvh7STl0/edit#gid=2147150001"",""Whole Data Set!$A$2:$NQ$253""),381,FALSE)"),124.75)</f>
        <v>124.75</v>
      </c>
      <c r="C82" s="58">
        <f t="shared" si="1"/>
        <v>0.499</v>
      </c>
      <c r="D82" s="12">
        <f>IFERROR(__xludf.DUMMYFUNCTION("VLOOKUP(A82,IMPORTRANGE(""1aFCnJY1qhIj8-JckJhDJ18aqmVo17tofpQmOjcYa3u8/edit#gid=948248086"",""Whole Data Set!$A$2:$NG$253""),371,FALSE)"),133.5)</f>
        <v>133.5</v>
      </c>
      <c r="E82" s="13">
        <f t="shared" si="2"/>
        <v>0.534</v>
      </c>
      <c r="F82" s="13">
        <f t="shared" si="3"/>
        <v>-0.035</v>
      </c>
      <c r="G82" s="12">
        <f>IFERROR(__xludf.DUMMYFUNCTION("VLOOKUP(A82,IMPORTRANGE(""1QZ5UxyNCwadreQAXnQ7oCoH982DjIA-QnZdO7ZoqkC0/edit#gid=0"",""2019-2021!$A$2:$O$250""),2,FALSE)"),138.5)</f>
        <v>138.5</v>
      </c>
      <c r="H82" s="14">
        <f t="shared" si="4"/>
        <v>0.554</v>
      </c>
      <c r="I82" s="15">
        <f t="shared" si="5"/>
        <v>-0.055</v>
      </c>
      <c r="J82" s="16">
        <f>IFERROR(__xludf.DUMMYFUNCTION("VLOOKUP(A82,IMPORTRANGE(""1QZ5UxyNCwadreQAXnQ7oCoH982DjIA-QnZdO7ZoqkC0/edit#gid=0"",""2019-2021!$A$2:$O$250""),4,FALSE)"),138.0)</f>
        <v>138</v>
      </c>
      <c r="K82" s="17">
        <f t="shared" si="6"/>
        <v>0.552</v>
      </c>
      <c r="L82" s="17">
        <f t="shared" si="7"/>
        <v>-0.053</v>
      </c>
      <c r="M82" s="16">
        <f>IFERROR(__xludf.DUMMYFUNCTION("VLOOKUP(A82,IMPORTRANGE(""1QZ5UxyNCwadreQAXnQ7oCoH982DjIA-QnZdO7ZoqkC0/edit#gid=0"",""2019-2021!$A$2:$O$250""),7,FALSE)"),143.0)</f>
        <v>143</v>
      </c>
      <c r="N82" s="17">
        <f t="shared" si="8"/>
        <v>0.572</v>
      </c>
      <c r="O82" s="17">
        <f t="shared" si="9"/>
        <v>-0.073</v>
      </c>
    </row>
    <row r="83">
      <c r="A83" s="19" t="s">
        <v>180</v>
      </c>
      <c r="B83" s="41">
        <f>IFERROR(__xludf.DUMMYFUNCTION("VLOOKUP(A83,IMPORTRANGE(""1EmrnCz2gLVTx5Cbj0e5tfuHPhTtmru8KTGuQvh7STl0/edit#gid=2147150001"",""Whole Data Set!$A$2:$NQ$253""),381,FALSE)"),0.0)</f>
        <v>0</v>
      </c>
      <c r="C83" s="58">
        <f t="shared" si="1"/>
        <v>0</v>
      </c>
      <c r="D83" s="12">
        <f>IFERROR(__xludf.DUMMYFUNCTION("VLOOKUP(A83,IMPORTRANGE(""1aFCnJY1qhIj8-JckJhDJ18aqmVo17tofpQmOjcYa3u8/edit#gid=948248086"",""Whole Data Set!$A$2:$NG$253""),371,FALSE)"),0.0)</f>
        <v>0</v>
      </c>
      <c r="E83" s="13">
        <f t="shared" si="2"/>
        <v>0</v>
      </c>
      <c r="F83" s="13">
        <f t="shared" si="3"/>
        <v>0</v>
      </c>
      <c r="G83" s="12">
        <f>IFERROR(__xludf.DUMMYFUNCTION("VLOOKUP(A83,IMPORTRANGE(""1QZ5UxyNCwadreQAXnQ7oCoH982DjIA-QnZdO7ZoqkC0/edit#gid=0"",""2019-2021!$A$2:$O$250""),2,FALSE)"),10.0)</f>
        <v>10</v>
      </c>
      <c r="H83" s="14">
        <f t="shared" si="4"/>
        <v>0.04</v>
      </c>
      <c r="I83" s="15">
        <f t="shared" si="5"/>
        <v>-0.04</v>
      </c>
      <c r="J83" s="16">
        <f>IFERROR(__xludf.DUMMYFUNCTION("VLOOKUP(A83,IMPORTRANGE(""1QZ5UxyNCwadreQAXnQ7oCoH982DjIA-QnZdO7ZoqkC0/edit#gid=0"",""2019-2021!$A$2:$O$250""),4,FALSE)"),15.0)</f>
        <v>15</v>
      </c>
      <c r="K83" s="17">
        <f t="shared" si="6"/>
        <v>0.06</v>
      </c>
      <c r="L83" s="17">
        <f t="shared" si="7"/>
        <v>-0.06</v>
      </c>
      <c r="M83" s="16">
        <f>IFERROR(__xludf.DUMMYFUNCTION("VLOOKUP(A83,IMPORTRANGE(""1QZ5UxyNCwadreQAXnQ7oCoH982DjIA-QnZdO7ZoqkC0/edit#gid=0"",""2019-2021!$A$2:$O$250""),7,FALSE)"),19.5)</f>
        <v>19.5</v>
      </c>
      <c r="N83" s="17">
        <f t="shared" si="8"/>
        <v>0.078</v>
      </c>
      <c r="O83" s="17">
        <f t="shared" si="9"/>
        <v>-0.078</v>
      </c>
    </row>
    <row r="84">
      <c r="A84" s="19" t="s">
        <v>133</v>
      </c>
      <c r="B84" s="41">
        <f>IFERROR(__xludf.DUMMYFUNCTION("VLOOKUP(A84,IMPORTRANGE(""1EmrnCz2gLVTx5Cbj0e5tfuHPhTtmru8KTGuQvh7STl0/edit#gid=2147150001"",""Whole Data Set!$A$2:$NQ$253""),381,FALSE)"),101.75)</f>
        <v>101.75</v>
      </c>
      <c r="C84" s="58">
        <f t="shared" si="1"/>
        <v>0.407</v>
      </c>
      <c r="D84" s="12">
        <f>IFERROR(__xludf.DUMMYFUNCTION("VLOOKUP(A84,IMPORTRANGE(""1aFCnJY1qhIj8-JckJhDJ18aqmVo17tofpQmOjcYa3u8/edit#gid=948248086"",""Whole Data Set!$A$2:$NG$253""),371,FALSE)"),62.25)</f>
        <v>62.25</v>
      </c>
      <c r="E84" s="13">
        <f t="shared" si="2"/>
        <v>0.249</v>
      </c>
      <c r="F84" s="13">
        <f t="shared" si="3"/>
        <v>0.158</v>
      </c>
      <c r="G84" s="12">
        <f>IFERROR(__xludf.DUMMYFUNCTION("VLOOKUP(A84,IMPORTRANGE(""1QZ5UxyNCwadreQAXnQ7oCoH982DjIA-QnZdO7ZoqkC0/edit#gid=0"",""2019-2021!$A$2:$O$250""),2,FALSE)"),54.0)</f>
        <v>54</v>
      </c>
      <c r="H84" s="14">
        <f t="shared" si="4"/>
        <v>0.216</v>
      </c>
      <c r="I84" s="15">
        <f t="shared" si="5"/>
        <v>0.191</v>
      </c>
      <c r="J84" s="16">
        <f>IFERROR(__xludf.DUMMYFUNCTION("VLOOKUP(A84,IMPORTRANGE(""1QZ5UxyNCwadreQAXnQ7oCoH982DjIA-QnZdO7ZoqkC0/edit#gid=0"",""2019-2021!$A$2:$O$250""),4,FALSE)"),47.0)</f>
        <v>47</v>
      </c>
      <c r="K84" s="17">
        <f t="shared" si="6"/>
        <v>0.188</v>
      </c>
      <c r="L84" s="17">
        <f t="shared" si="7"/>
        <v>0.219</v>
      </c>
      <c r="M84" s="16">
        <f>IFERROR(__xludf.DUMMYFUNCTION("VLOOKUP(A84,IMPORTRANGE(""1QZ5UxyNCwadreQAXnQ7oCoH982DjIA-QnZdO7ZoqkC0/edit#gid=0"",""2019-2021!$A$2:$O$250""),7,FALSE)"),50.0)</f>
        <v>50</v>
      </c>
      <c r="N84" s="17">
        <f t="shared" si="8"/>
        <v>0.2</v>
      </c>
      <c r="O84" s="17">
        <f t="shared" si="9"/>
        <v>0.207</v>
      </c>
    </row>
    <row r="85">
      <c r="A85" s="19" t="s">
        <v>134</v>
      </c>
      <c r="B85" s="41">
        <f>IFERROR(__xludf.DUMMYFUNCTION("VLOOKUP(A85,IMPORTRANGE(""1EmrnCz2gLVTx5Cbj0e5tfuHPhTtmru8KTGuQvh7STl0/edit#gid=2147150001"",""Whole Data Set!$A$2:$NQ$253""),381,FALSE)"),41.5)</f>
        <v>41.5</v>
      </c>
      <c r="C85" s="58">
        <f t="shared" si="1"/>
        <v>0.166</v>
      </c>
      <c r="D85" s="12">
        <f>IFERROR(__xludf.DUMMYFUNCTION("VLOOKUP(A85,IMPORTRANGE(""1aFCnJY1qhIj8-JckJhDJ18aqmVo17tofpQmOjcYa3u8/edit#gid=948248086"",""Whole Data Set!$A$2:$NG$253""),371,FALSE)"),29.0)</f>
        <v>29</v>
      </c>
      <c r="E85" s="13">
        <f t="shared" si="2"/>
        <v>0.116</v>
      </c>
      <c r="F85" s="13">
        <f t="shared" si="3"/>
        <v>0.05</v>
      </c>
      <c r="G85" s="12">
        <f>IFERROR(__xludf.DUMMYFUNCTION("VLOOKUP(A85,IMPORTRANGE(""1QZ5UxyNCwadreQAXnQ7oCoH982DjIA-QnZdO7ZoqkC0/edit#gid=0"",""2019-2021!$A$2:$O$250""),2,FALSE)"),35.75)</f>
        <v>35.75</v>
      </c>
      <c r="H85" s="14">
        <f t="shared" si="4"/>
        <v>0.143</v>
      </c>
      <c r="I85" s="15">
        <f t="shared" si="5"/>
        <v>0.023</v>
      </c>
      <c r="J85" s="16">
        <f>IFERROR(__xludf.DUMMYFUNCTION("VLOOKUP(A85,IMPORTRANGE(""1QZ5UxyNCwadreQAXnQ7oCoH982DjIA-QnZdO7ZoqkC0/edit#gid=0"",""2019-2021!$A$2:$O$250""),4,FALSE)"),46.0)</f>
        <v>46</v>
      </c>
      <c r="K85" s="17">
        <f t="shared" si="6"/>
        <v>0.184</v>
      </c>
      <c r="L85" s="17">
        <f t="shared" si="7"/>
        <v>-0.018</v>
      </c>
      <c r="M85" s="16">
        <f>IFERROR(__xludf.DUMMYFUNCTION("VLOOKUP(A85,IMPORTRANGE(""1QZ5UxyNCwadreQAXnQ7oCoH982DjIA-QnZdO7ZoqkC0/edit#gid=0"",""2019-2021!$A$2:$O$250""),7,FALSE)"),33.0)</f>
        <v>33</v>
      </c>
      <c r="N85" s="17">
        <f t="shared" si="8"/>
        <v>0.132</v>
      </c>
      <c r="O85" s="17">
        <f t="shared" si="9"/>
        <v>0.034</v>
      </c>
    </row>
    <row r="86">
      <c r="A86" s="19" t="s">
        <v>74</v>
      </c>
      <c r="B86" s="41">
        <f>IFERROR(__xludf.DUMMYFUNCTION("VLOOKUP(A86,IMPORTRANGE(""1EmrnCz2gLVTx5Cbj0e5tfuHPhTtmru8KTGuQvh7STl0/edit#gid=2147150001"",""Whole Data Set!$A$2:$NQ$253""),381,FALSE)"),41.75)</f>
        <v>41.75</v>
      </c>
      <c r="C86" s="58">
        <f t="shared" si="1"/>
        <v>0.167</v>
      </c>
      <c r="D86" s="12">
        <f>IFERROR(__xludf.DUMMYFUNCTION("VLOOKUP(A86,IMPORTRANGE(""1aFCnJY1qhIj8-JckJhDJ18aqmVo17tofpQmOjcYa3u8/edit#gid=948248086"",""Whole Data Set!$A$2:$NG$253""),371,FALSE)"),36.0)</f>
        <v>36</v>
      </c>
      <c r="E86" s="13">
        <f t="shared" si="2"/>
        <v>0.144</v>
      </c>
      <c r="F86" s="13">
        <f t="shared" si="3"/>
        <v>0.023</v>
      </c>
      <c r="G86" s="12">
        <f>IFERROR(__xludf.DUMMYFUNCTION("VLOOKUP(A86,IMPORTRANGE(""1QZ5UxyNCwadreQAXnQ7oCoH982DjIA-QnZdO7ZoqkC0/edit#gid=0"",""2019-2021!$A$2:$O$250""),2,FALSE)"),37.25)</f>
        <v>37.25</v>
      </c>
      <c r="H86" s="14">
        <f t="shared" si="4"/>
        <v>0.149</v>
      </c>
      <c r="I86" s="15">
        <f t="shared" si="5"/>
        <v>0.018</v>
      </c>
      <c r="J86" s="16">
        <f>IFERROR(__xludf.DUMMYFUNCTION("VLOOKUP(A86,IMPORTRANGE(""1QZ5UxyNCwadreQAXnQ7oCoH982DjIA-QnZdO7ZoqkC0/edit#gid=0"",""2019-2021!$A$2:$O$250""),4,FALSE)"),41.0)</f>
        <v>41</v>
      </c>
      <c r="K86" s="17">
        <f t="shared" si="6"/>
        <v>0.164</v>
      </c>
      <c r="L86" s="17">
        <f t="shared" si="7"/>
        <v>0.003</v>
      </c>
      <c r="M86" s="16">
        <f>IFERROR(__xludf.DUMMYFUNCTION("VLOOKUP(A86,IMPORTRANGE(""1QZ5UxyNCwadreQAXnQ7oCoH982DjIA-QnZdO7ZoqkC0/edit#gid=0"",""2019-2021!$A$2:$O$250""),7,FALSE)"),26.0)</f>
        <v>26</v>
      </c>
      <c r="N86" s="17">
        <f t="shared" si="8"/>
        <v>0.104</v>
      </c>
      <c r="O86" s="17">
        <f t="shared" si="9"/>
        <v>0.063</v>
      </c>
    </row>
    <row r="87">
      <c r="A87" s="19" t="s">
        <v>63</v>
      </c>
      <c r="B87" s="41">
        <f>IFERROR(__xludf.DUMMYFUNCTION("VLOOKUP(A87,IMPORTRANGE(""1EmrnCz2gLVTx5Cbj0e5tfuHPhTtmru8KTGuQvh7STl0/edit#gid=2147150001"",""Whole Data Set!$A$2:$NQ$253""),381,FALSE)"),93.75)</f>
        <v>93.75</v>
      </c>
      <c r="C87" s="58">
        <f t="shared" si="1"/>
        <v>0.375</v>
      </c>
      <c r="D87" s="12">
        <f>IFERROR(__xludf.DUMMYFUNCTION("VLOOKUP(A87,IMPORTRANGE(""1aFCnJY1qhIj8-JckJhDJ18aqmVo17tofpQmOjcYa3u8/edit#gid=948248086"",""Whole Data Set!$A$2:$NG$253""),371,FALSE)"),95.75)</f>
        <v>95.75</v>
      </c>
      <c r="E87" s="13">
        <f t="shared" si="2"/>
        <v>0.383</v>
      </c>
      <c r="F87" s="13">
        <f t="shared" si="3"/>
        <v>-0.008</v>
      </c>
      <c r="G87" s="12">
        <f>IFERROR(__xludf.DUMMYFUNCTION("VLOOKUP(A87,IMPORTRANGE(""1QZ5UxyNCwadreQAXnQ7oCoH982DjIA-QnZdO7ZoqkC0/edit#gid=0"",""2019-2021!$A$2:$O$250""),2,FALSE)"),86.75)</f>
        <v>86.75</v>
      </c>
      <c r="H87" s="14">
        <f t="shared" si="4"/>
        <v>0.347</v>
      </c>
      <c r="I87" s="15">
        <f t="shared" si="5"/>
        <v>0.028</v>
      </c>
      <c r="J87" s="16">
        <f>IFERROR(__xludf.DUMMYFUNCTION("VLOOKUP(A87,IMPORTRANGE(""1QZ5UxyNCwadreQAXnQ7oCoH982DjIA-QnZdO7ZoqkC0/edit#gid=0"",""2019-2021!$A$2:$O$250""),4,FALSE)"),61.5)</f>
        <v>61.5</v>
      </c>
      <c r="K87" s="17">
        <f t="shared" si="6"/>
        <v>0.246</v>
      </c>
      <c r="L87" s="17">
        <f t="shared" si="7"/>
        <v>0.129</v>
      </c>
      <c r="M87" s="16">
        <f>IFERROR(__xludf.DUMMYFUNCTION("VLOOKUP(A87,IMPORTRANGE(""1QZ5UxyNCwadreQAXnQ7oCoH982DjIA-QnZdO7ZoqkC0/edit#gid=0"",""2019-2021!$A$2:$O$250""),7,FALSE)"),32.5)</f>
        <v>32.5</v>
      </c>
      <c r="N87" s="17">
        <f t="shared" si="8"/>
        <v>0.13</v>
      </c>
      <c r="O87" s="17">
        <f t="shared" si="9"/>
        <v>0.245</v>
      </c>
    </row>
    <row r="88">
      <c r="A88" s="19" t="s">
        <v>34</v>
      </c>
      <c r="B88" s="41">
        <f>IFERROR(__xludf.DUMMYFUNCTION("VLOOKUP(A88,IMPORTRANGE(""1EmrnCz2gLVTx5Cbj0e5tfuHPhTtmru8KTGuQvh7STl0/edit#gid=2147150001"",""Whole Data Set!$A$2:$NQ$253""),381,FALSE)"),31.0)</f>
        <v>31</v>
      </c>
      <c r="C88" s="58">
        <f t="shared" si="1"/>
        <v>0.124</v>
      </c>
      <c r="D88" s="12">
        <f>IFERROR(__xludf.DUMMYFUNCTION("VLOOKUP(A88,IMPORTRANGE(""1aFCnJY1qhIj8-JckJhDJ18aqmVo17tofpQmOjcYa3u8/edit#gid=948248086"",""Whole Data Set!$A$2:$NG$253""),371,FALSE)"),32.5)</f>
        <v>32.5</v>
      </c>
      <c r="E88" s="13">
        <f t="shared" si="2"/>
        <v>0.13</v>
      </c>
      <c r="F88" s="13">
        <f t="shared" si="3"/>
        <v>-0.006</v>
      </c>
      <c r="G88" s="12">
        <f>IFERROR(__xludf.DUMMYFUNCTION("VLOOKUP(A88,IMPORTRANGE(""1QZ5UxyNCwadreQAXnQ7oCoH982DjIA-QnZdO7ZoqkC0/edit#gid=0"",""2019-2021!$A$2:$O$250""),2,FALSE)"),36.0)</f>
        <v>36</v>
      </c>
      <c r="H88" s="14">
        <f t="shared" si="4"/>
        <v>0.144</v>
      </c>
      <c r="I88" s="15">
        <f t="shared" si="5"/>
        <v>-0.02</v>
      </c>
      <c r="J88" s="16">
        <f>IFERROR(__xludf.DUMMYFUNCTION("VLOOKUP(A88,IMPORTRANGE(""1QZ5UxyNCwadreQAXnQ7oCoH982DjIA-QnZdO7ZoqkC0/edit#gid=0"",""2019-2021!$A$2:$O$250""),4,FALSE)"),46.5)</f>
        <v>46.5</v>
      </c>
      <c r="K88" s="17">
        <f t="shared" si="6"/>
        <v>0.186</v>
      </c>
      <c r="L88" s="17">
        <f t="shared" si="7"/>
        <v>-0.062</v>
      </c>
      <c r="M88" s="16">
        <f>IFERROR(__xludf.DUMMYFUNCTION("VLOOKUP(A88,IMPORTRANGE(""1QZ5UxyNCwadreQAXnQ7oCoH982DjIA-QnZdO7ZoqkC0/edit#gid=0"",""2019-2021!$A$2:$O$250""),7,FALSE)"),46.0)</f>
        <v>46</v>
      </c>
      <c r="N88" s="17">
        <f t="shared" si="8"/>
        <v>0.184</v>
      </c>
      <c r="O88" s="17">
        <f t="shared" si="9"/>
        <v>-0.06</v>
      </c>
    </row>
    <row r="89">
      <c r="A89" s="42" t="s">
        <v>65</v>
      </c>
      <c r="B89" s="41">
        <f>IFERROR(__xludf.DUMMYFUNCTION("VLOOKUP(A89,IMPORTRANGE(""1EmrnCz2gLVTx5Cbj0e5tfuHPhTtmru8KTGuQvh7STl0/edit#gid=2147150001"",""Whole Data Set!$A$2:$NQ$253""),381,FALSE)"),151.0)</f>
        <v>151</v>
      </c>
      <c r="C89" s="58">
        <f t="shared" si="1"/>
        <v>0.604</v>
      </c>
      <c r="D89" s="12">
        <f>IFERROR(__xludf.DUMMYFUNCTION("VLOOKUP(A89,IMPORTRANGE(""1aFCnJY1qhIj8-JckJhDJ18aqmVo17tofpQmOjcYa3u8/edit#gid=948248086"",""Whole Data Set!$A$2:$NG$253""),371,FALSE)"),123.5)</f>
        <v>123.5</v>
      </c>
      <c r="E89" s="13">
        <f t="shared" si="2"/>
        <v>0.494</v>
      </c>
      <c r="F89" s="13">
        <f t="shared" si="3"/>
        <v>0.11</v>
      </c>
      <c r="G89" s="12">
        <f>IFERROR(__xludf.DUMMYFUNCTION("VLOOKUP(A89,IMPORTRANGE(""1QZ5UxyNCwadreQAXnQ7oCoH982DjIA-QnZdO7ZoqkC0/edit#gid=0"",""2019-2021!$A$2:$O$250""),2,FALSE)"),110.75)</f>
        <v>110.75</v>
      </c>
      <c r="H89" s="14">
        <f t="shared" si="4"/>
        <v>0.443</v>
      </c>
      <c r="I89" s="15">
        <f t="shared" si="5"/>
        <v>0.161</v>
      </c>
      <c r="J89" s="16">
        <f>IFERROR(__xludf.DUMMYFUNCTION("VLOOKUP(A89,IMPORTRANGE(""1QZ5UxyNCwadreQAXnQ7oCoH982DjIA-QnZdO7ZoqkC0/edit#gid=0"",""2019-2021!$A$2:$O$250""),4,FALSE)"),119.5)</f>
        <v>119.5</v>
      </c>
      <c r="K89" s="17">
        <f t="shared" si="6"/>
        <v>0.478</v>
      </c>
      <c r="L89" s="17">
        <f t="shared" si="7"/>
        <v>0.126</v>
      </c>
      <c r="M89" s="16">
        <f>IFERROR(__xludf.DUMMYFUNCTION("VLOOKUP(A89,IMPORTRANGE(""1QZ5UxyNCwadreQAXnQ7oCoH982DjIA-QnZdO7ZoqkC0/edit#gid=0"",""2019-2021!$A$2:$O$250""),7,FALSE)"),127.5)</f>
        <v>127.5</v>
      </c>
      <c r="N89" s="17">
        <f t="shared" si="8"/>
        <v>0.51</v>
      </c>
      <c r="O89" s="17">
        <f t="shared" si="9"/>
        <v>0.094</v>
      </c>
    </row>
    <row r="90">
      <c r="A90" s="19" t="s">
        <v>181</v>
      </c>
      <c r="B90" s="41">
        <f>IFERROR(__xludf.DUMMYFUNCTION("VLOOKUP(A90,IMPORTRANGE(""1EmrnCz2gLVTx5Cbj0e5tfuHPhTtmru8KTGuQvh7STl0/edit#gid=2147150001"",""Whole Data Set!$A$2:$NQ$253""),381,FALSE)"),21.5)</f>
        <v>21.5</v>
      </c>
      <c r="C90" s="58">
        <f t="shared" si="1"/>
        <v>0.086</v>
      </c>
      <c r="D90" s="12">
        <f>IFERROR(__xludf.DUMMYFUNCTION("VLOOKUP(A90,IMPORTRANGE(""1aFCnJY1qhIj8-JckJhDJ18aqmVo17tofpQmOjcYa3u8/edit#gid=948248086"",""Whole Data Set!$A$2:$NG$253""),371,FALSE)"),22.25)</f>
        <v>22.25</v>
      </c>
      <c r="E90" s="13">
        <f t="shared" si="2"/>
        <v>0.089</v>
      </c>
      <c r="F90" s="13">
        <f t="shared" si="3"/>
        <v>-0.003</v>
      </c>
      <c r="G90" s="12">
        <f>IFERROR(__xludf.DUMMYFUNCTION("VLOOKUP(A90,IMPORTRANGE(""1QZ5UxyNCwadreQAXnQ7oCoH982DjIA-QnZdO7ZoqkC0/edit#gid=0"",""2019-2021!$A$2:$O$250""),2,FALSE)"),31.75)</f>
        <v>31.75</v>
      </c>
      <c r="H90" s="14">
        <f t="shared" si="4"/>
        <v>0.127</v>
      </c>
      <c r="I90" s="15">
        <f t="shared" si="5"/>
        <v>-0.041</v>
      </c>
      <c r="J90" s="16">
        <f>IFERROR(__xludf.DUMMYFUNCTION("VLOOKUP(A90,IMPORTRANGE(""1QZ5UxyNCwadreQAXnQ7oCoH982DjIA-QnZdO7ZoqkC0/edit#gid=0"",""2019-2021!$A$2:$O$250""),4,FALSE)"),38.5)</f>
        <v>38.5</v>
      </c>
      <c r="K90" s="17">
        <f t="shared" si="6"/>
        <v>0.154</v>
      </c>
      <c r="L90" s="17">
        <f t="shared" si="7"/>
        <v>-0.068</v>
      </c>
      <c r="M90" s="16">
        <f>IFERROR(__xludf.DUMMYFUNCTION("VLOOKUP(A90,IMPORTRANGE(""1QZ5UxyNCwadreQAXnQ7oCoH982DjIA-QnZdO7ZoqkC0/edit#gid=0"",""2019-2021!$A$2:$O$250""),7,FALSE)"),14.5)</f>
        <v>14.5</v>
      </c>
      <c r="N90" s="17">
        <f t="shared" si="8"/>
        <v>0.058</v>
      </c>
      <c r="O90" s="17">
        <f t="shared" si="9"/>
        <v>0.028</v>
      </c>
    </row>
    <row r="91">
      <c r="A91" s="19" t="s">
        <v>135</v>
      </c>
      <c r="B91" s="41">
        <f>IFERROR(__xludf.DUMMYFUNCTION("VLOOKUP(A91,IMPORTRANGE(""1EmrnCz2gLVTx5Cbj0e5tfuHPhTtmru8KTGuQvh7STl0/edit#gid=2147150001"",""Whole Data Set!$A$2:$NQ$253""),381,FALSE)"),62.5)</f>
        <v>62.5</v>
      </c>
      <c r="C91" s="58">
        <f t="shared" si="1"/>
        <v>0.25</v>
      </c>
      <c r="D91" s="12">
        <f>IFERROR(__xludf.DUMMYFUNCTION("VLOOKUP(A91,IMPORTRANGE(""1aFCnJY1qhIj8-JckJhDJ18aqmVo17tofpQmOjcYa3u8/edit#gid=948248086"",""Whole Data Set!$A$2:$NG$253""),371,FALSE)"),74.75)</f>
        <v>74.75</v>
      </c>
      <c r="E91" s="13">
        <f t="shared" si="2"/>
        <v>0.299</v>
      </c>
      <c r="F91" s="13">
        <f t="shared" si="3"/>
        <v>-0.049</v>
      </c>
      <c r="G91" s="12">
        <f>IFERROR(__xludf.DUMMYFUNCTION("VLOOKUP(A91,IMPORTRANGE(""1QZ5UxyNCwadreQAXnQ7oCoH982DjIA-QnZdO7ZoqkC0/edit#gid=0"",""2019-2021!$A$2:$O$250""),2,FALSE)"),68.0)</f>
        <v>68</v>
      </c>
      <c r="H91" s="14">
        <f t="shared" si="4"/>
        <v>0.272</v>
      </c>
      <c r="I91" s="15">
        <f t="shared" si="5"/>
        <v>-0.022</v>
      </c>
      <c r="J91" s="16">
        <f>IFERROR(__xludf.DUMMYFUNCTION("VLOOKUP(A91,IMPORTRANGE(""1QZ5UxyNCwadreQAXnQ7oCoH982DjIA-QnZdO7ZoqkC0/edit#gid=0"",""2019-2021!$A$2:$O$250""),4,FALSE)"),67.0)</f>
        <v>67</v>
      </c>
      <c r="K91" s="17">
        <f t="shared" si="6"/>
        <v>0.268</v>
      </c>
      <c r="L91" s="17">
        <f t="shared" si="7"/>
        <v>-0.018</v>
      </c>
      <c r="M91" s="16">
        <f>IFERROR(__xludf.DUMMYFUNCTION("VLOOKUP(A91,IMPORTRANGE(""1QZ5UxyNCwadreQAXnQ7oCoH982DjIA-QnZdO7ZoqkC0/edit#gid=0"",""2019-2021!$A$2:$O$250""),7,FALSE)"),47.5)</f>
        <v>47.5</v>
      </c>
      <c r="N91" s="17">
        <f t="shared" si="8"/>
        <v>0.19</v>
      </c>
      <c r="O91" s="17">
        <f t="shared" si="9"/>
        <v>0.06</v>
      </c>
    </row>
    <row r="92">
      <c r="A92" s="19" t="s">
        <v>136</v>
      </c>
      <c r="B92" s="41">
        <f>IFERROR(__xludf.DUMMYFUNCTION("VLOOKUP(A92,IMPORTRANGE(""1EmrnCz2gLVTx5Cbj0e5tfuHPhTtmru8KTGuQvh7STl0/edit#gid=2147150001"",""Whole Data Set!$A$2:$NQ$253""),381,FALSE)"),108.75)</f>
        <v>108.75</v>
      </c>
      <c r="C92" s="58">
        <f t="shared" si="1"/>
        <v>0.435</v>
      </c>
      <c r="D92" s="12">
        <f>IFERROR(__xludf.DUMMYFUNCTION("VLOOKUP(A92,IMPORTRANGE(""1aFCnJY1qhIj8-JckJhDJ18aqmVo17tofpQmOjcYa3u8/edit#gid=948248086"",""Whole Data Set!$A$2:$NG$253""),371,FALSE)"),106.0)</f>
        <v>106</v>
      </c>
      <c r="E92" s="13">
        <f t="shared" si="2"/>
        <v>0.424</v>
      </c>
      <c r="F92" s="13">
        <f t="shared" si="3"/>
        <v>0.011</v>
      </c>
      <c r="G92" s="12">
        <f>IFERROR(__xludf.DUMMYFUNCTION("VLOOKUP(A92,IMPORTRANGE(""1QZ5UxyNCwadreQAXnQ7oCoH982DjIA-QnZdO7ZoqkC0/edit#gid=0"",""2019-2021!$A$2:$O$250""),2,FALSE)"),126.0)</f>
        <v>126</v>
      </c>
      <c r="H92" s="14">
        <f t="shared" si="4"/>
        <v>0.504</v>
      </c>
      <c r="I92" s="15">
        <f t="shared" si="5"/>
        <v>-0.069</v>
      </c>
      <c r="J92" s="16">
        <f>IFERROR(__xludf.DUMMYFUNCTION("VLOOKUP(A92,IMPORTRANGE(""1QZ5UxyNCwadreQAXnQ7oCoH982DjIA-QnZdO7ZoqkC0/edit#gid=0"",""2019-2021!$A$2:$O$250""),4,FALSE)"),124.0)</f>
        <v>124</v>
      </c>
      <c r="K92" s="17">
        <f t="shared" si="6"/>
        <v>0.496</v>
      </c>
      <c r="L92" s="17">
        <f t="shared" si="7"/>
        <v>-0.061</v>
      </c>
      <c r="M92" s="16">
        <f>IFERROR(__xludf.DUMMYFUNCTION("VLOOKUP(A92,IMPORTRANGE(""1QZ5UxyNCwadreQAXnQ7oCoH982DjIA-QnZdO7ZoqkC0/edit#gid=0"",""2019-2021!$A$2:$O$250""),7,FALSE)"),109.0)</f>
        <v>109</v>
      </c>
      <c r="N92" s="17">
        <f t="shared" si="8"/>
        <v>0.436</v>
      </c>
      <c r="O92" s="17">
        <f t="shared" si="9"/>
        <v>-0.001</v>
      </c>
    </row>
    <row r="93">
      <c r="A93" s="19" t="s">
        <v>88</v>
      </c>
      <c r="B93" s="41">
        <f>IFERROR(__xludf.DUMMYFUNCTION("VLOOKUP(A93,IMPORTRANGE(""1EmrnCz2gLVTx5Cbj0e5tfuHPhTtmru8KTGuQvh7STl0/edit#gid=2147150001"",""Whole Data Set!$A$2:$NQ$253""),381,FALSE)"),21.0)</f>
        <v>21</v>
      </c>
      <c r="C93" s="58">
        <f t="shared" si="1"/>
        <v>0.084</v>
      </c>
      <c r="D93" s="12">
        <f>IFERROR(__xludf.DUMMYFUNCTION("VLOOKUP(A93,IMPORTRANGE(""1aFCnJY1qhIj8-JckJhDJ18aqmVo17tofpQmOjcYa3u8/edit#gid=948248086"",""Whole Data Set!$A$2:$NG$253""),371,FALSE)"),24.5)</f>
        <v>24.5</v>
      </c>
      <c r="E93" s="13">
        <f t="shared" si="2"/>
        <v>0.098</v>
      </c>
      <c r="F93" s="13">
        <f t="shared" si="3"/>
        <v>-0.014</v>
      </c>
      <c r="G93" s="12">
        <f>IFERROR(__xludf.DUMMYFUNCTION("VLOOKUP(A93,IMPORTRANGE(""1QZ5UxyNCwadreQAXnQ7oCoH982DjIA-QnZdO7ZoqkC0/edit#gid=0"",""2019-2021!$A$2:$O$250""),2,FALSE)"),21.5)</f>
        <v>21.5</v>
      </c>
      <c r="H93" s="14">
        <f t="shared" si="4"/>
        <v>0.086</v>
      </c>
      <c r="I93" s="15">
        <f t="shared" si="5"/>
        <v>-0.002</v>
      </c>
      <c r="J93" s="16">
        <f>IFERROR(__xludf.DUMMYFUNCTION("VLOOKUP(A93,IMPORTRANGE(""1QZ5UxyNCwadreQAXnQ7oCoH982DjIA-QnZdO7ZoqkC0/edit#gid=0"",""2019-2021!$A$2:$O$250""),4,FALSE)"),15.0)</f>
        <v>15</v>
      </c>
      <c r="K93" s="17">
        <f t="shared" si="6"/>
        <v>0.06</v>
      </c>
      <c r="L93" s="17">
        <f t="shared" si="7"/>
        <v>0.024</v>
      </c>
      <c r="M93" s="16">
        <f>IFERROR(__xludf.DUMMYFUNCTION("VLOOKUP(A93,IMPORTRANGE(""1QZ5UxyNCwadreQAXnQ7oCoH982DjIA-QnZdO7ZoqkC0/edit#gid=0"",""2019-2021!$A$2:$O$250""),7,FALSE)"),9.5)</f>
        <v>9.5</v>
      </c>
      <c r="N93" s="17">
        <f t="shared" si="8"/>
        <v>0.038</v>
      </c>
      <c r="O93" s="17">
        <f t="shared" si="9"/>
        <v>0.046</v>
      </c>
    </row>
    <row r="94">
      <c r="A94" s="19" t="s">
        <v>137</v>
      </c>
      <c r="B94" s="41">
        <f>IFERROR(__xludf.DUMMYFUNCTION("VLOOKUP(A94,IMPORTRANGE(""1EmrnCz2gLVTx5Cbj0e5tfuHPhTtmru8KTGuQvh7STl0/edit#gid=2147150001"",""Whole Data Set!$A$2:$NQ$253""),381,FALSE)"),6.0)</f>
        <v>6</v>
      </c>
      <c r="C94" s="58">
        <f t="shared" si="1"/>
        <v>0.024</v>
      </c>
      <c r="D94" s="12">
        <f>IFERROR(__xludf.DUMMYFUNCTION("VLOOKUP(A94,IMPORTRANGE(""1aFCnJY1qhIj8-JckJhDJ18aqmVo17tofpQmOjcYa3u8/edit#gid=948248086"",""Whole Data Set!$A$2:$NG$253""),371,FALSE)"),8.25)</f>
        <v>8.25</v>
      </c>
      <c r="E94" s="13">
        <f t="shared" si="2"/>
        <v>0.033</v>
      </c>
      <c r="F94" s="13">
        <f t="shared" si="3"/>
        <v>-0.009</v>
      </c>
      <c r="G94" s="12">
        <f>IFERROR(__xludf.DUMMYFUNCTION("VLOOKUP(A94,IMPORTRANGE(""1QZ5UxyNCwadreQAXnQ7oCoH982DjIA-QnZdO7ZoqkC0/edit#gid=0"",""2019-2021!$A$2:$O$250""),2,FALSE)"),7.0)</f>
        <v>7</v>
      </c>
      <c r="H94" s="14">
        <f t="shared" si="4"/>
        <v>0.028</v>
      </c>
      <c r="I94" s="15">
        <f t="shared" si="5"/>
        <v>-0.004</v>
      </c>
      <c r="J94" s="16">
        <f>IFERROR(__xludf.DUMMYFUNCTION("VLOOKUP(A94,IMPORTRANGE(""1QZ5UxyNCwadreQAXnQ7oCoH982DjIA-QnZdO7ZoqkC0/edit#gid=0"",""2019-2021!$A$2:$O$250""),4,FALSE)"),7.5)</f>
        <v>7.5</v>
      </c>
      <c r="K94" s="17">
        <f t="shared" si="6"/>
        <v>0.03</v>
      </c>
      <c r="L94" s="17">
        <f t="shared" si="7"/>
        <v>-0.006</v>
      </c>
      <c r="M94" s="16">
        <f>IFERROR(__xludf.DUMMYFUNCTION("VLOOKUP(A94,IMPORTRANGE(""1QZ5UxyNCwadreQAXnQ7oCoH982DjIA-QnZdO7ZoqkC0/edit#gid=0"",""2019-2021!$A$2:$O$250""),7,FALSE)"),1.0)</f>
        <v>1</v>
      </c>
      <c r="N94" s="17">
        <f t="shared" si="8"/>
        <v>0.004</v>
      </c>
      <c r="O94" s="17">
        <f t="shared" si="9"/>
        <v>0.02</v>
      </c>
    </row>
    <row r="95">
      <c r="A95" s="19" t="s">
        <v>67</v>
      </c>
      <c r="B95" s="41">
        <f>IFERROR(__xludf.DUMMYFUNCTION("VLOOKUP(A95,IMPORTRANGE(""1EmrnCz2gLVTx5Cbj0e5tfuHPhTtmru8KTGuQvh7STl0/edit#gid=2147150001"",""Whole Data Set!$A$2:$NQ$253""),381,FALSE)"),72.0)</f>
        <v>72</v>
      </c>
      <c r="C95" s="58">
        <f t="shared" si="1"/>
        <v>0.288</v>
      </c>
      <c r="D95" s="12">
        <f>IFERROR(__xludf.DUMMYFUNCTION("VLOOKUP(A95,IMPORTRANGE(""1aFCnJY1qhIj8-JckJhDJ18aqmVo17tofpQmOjcYa3u8/edit#gid=948248086"",""Whole Data Set!$A$2:$NG$253""),371,FALSE)"),72.25)</f>
        <v>72.25</v>
      </c>
      <c r="E95" s="13">
        <f t="shared" si="2"/>
        <v>0.289</v>
      </c>
      <c r="F95" s="13">
        <f t="shared" si="3"/>
        <v>-0.001</v>
      </c>
      <c r="G95" s="12">
        <f>IFERROR(__xludf.DUMMYFUNCTION("VLOOKUP(A95,IMPORTRANGE(""1QZ5UxyNCwadreQAXnQ7oCoH982DjIA-QnZdO7ZoqkC0/edit#gid=0"",""2019-2021!$A$2:$O$250""),2,FALSE)"),55.5)</f>
        <v>55.5</v>
      </c>
      <c r="H95" s="14">
        <f t="shared" si="4"/>
        <v>0.222</v>
      </c>
      <c r="I95" s="15">
        <f t="shared" si="5"/>
        <v>0.066</v>
      </c>
      <c r="J95" s="16">
        <f>IFERROR(__xludf.DUMMYFUNCTION("VLOOKUP(A95,IMPORTRANGE(""1QZ5UxyNCwadreQAXnQ7oCoH982DjIA-QnZdO7ZoqkC0/edit#gid=0"",""2019-2021!$A$2:$O$250""),4,FALSE)"),65.0)</f>
        <v>65</v>
      </c>
      <c r="K95" s="17">
        <f t="shared" si="6"/>
        <v>0.26</v>
      </c>
      <c r="L95" s="17">
        <f t="shared" si="7"/>
        <v>0.028</v>
      </c>
      <c r="M95" s="16">
        <f>IFERROR(__xludf.DUMMYFUNCTION("VLOOKUP(A95,IMPORTRANGE(""1QZ5UxyNCwadreQAXnQ7oCoH982DjIA-QnZdO7ZoqkC0/edit#gid=0"",""2019-2021!$A$2:$O$250""),7,FALSE)"),54.5)</f>
        <v>54.5</v>
      </c>
      <c r="N95" s="17">
        <f t="shared" si="8"/>
        <v>0.218</v>
      </c>
      <c r="O95" s="17">
        <f t="shared" si="9"/>
        <v>0.07</v>
      </c>
    </row>
    <row r="96">
      <c r="A96" s="19" t="s">
        <v>68</v>
      </c>
      <c r="B96" s="41">
        <f>IFERROR(__xludf.DUMMYFUNCTION("VLOOKUP(A96,IMPORTRANGE(""1EmrnCz2gLVTx5Cbj0e5tfuHPhTtmru8KTGuQvh7STl0/edit#gid=2147150001"",""Whole Data Set!$A$2:$NQ$253""),381,FALSE)"),129.75)</f>
        <v>129.75</v>
      </c>
      <c r="C96" s="58">
        <f t="shared" si="1"/>
        <v>0.519</v>
      </c>
      <c r="D96" s="12">
        <f>IFERROR(__xludf.DUMMYFUNCTION("VLOOKUP(A96,IMPORTRANGE(""1aFCnJY1qhIj8-JckJhDJ18aqmVo17tofpQmOjcYa3u8/edit#gid=948248086"",""Whole Data Set!$A$2:$NG$253""),371,FALSE)"),129.75)</f>
        <v>129.75</v>
      </c>
      <c r="E96" s="13">
        <f t="shared" si="2"/>
        <v>0.519</v>
      </c>
      <c r="F96" s="13">
        <f t="shared" si="3"/>
        <v>0</v>
      </c>
      <c r="G96" s="12">
        <f>IFERROR(__xludf.DUMMYFUNCTION("VLOOKUP(A96,IMPORTRANGE(""1QZ5UxyNCwadreQAXnQ7oCoH982DjIA-QnZdO7ZoqkC0/edit#gid=0"",""2019-2021!$A$2:$O$250""),2,FALSE)"),105.75)</f>
        <v>105.75</v>
      </c>
      <c r="H96" s="14">
        <f t="shared" si="4"/>
        <v>0.423</v>
      </c>
      <c r="I96" s="15">
        <f t="shared" si="5"/>
        <v>0.096</v>
      </c>
      <c r="J96" s="16">
        <f>IFERROR(__xludf.DUMMYFUNCTION("VLOOKUP(A96,IMPORTRANGE(""1QZ5UxyNCwadreQAXnQ7oCoH982DjIA-QnZdO7ZoqkC0/edit#gid=0"",""2019-2021!$A$2:$O$250""),4,FALSE)"),114.0)</f>
        <v>114</v>
      </c>
      <c r="K96" s="17">
        <f t="shared" si="6"/>
        <v>0.456</v>
      </c>
      <c r="L96" s="17">
        <f t="shared" si="7"/>
        <v>0.063</v>
      </c>
      <c r="M96" s="16">
        <f>IFERROR(__xludf.DUMMYFUNCTION("VLOOKUP(A96,IMPORTRANGE(""1QZ5UxyNCwadreQAXnQ7oCoH982DjIA-QnZdO7ZoqkC0/edit#gid=0"",""2019-2021!$A$2:$O$250""),7,FALSE)"),102.0)</f>
        <v>102</v>
      </c>
      <c r="N96" s="17">
        <f t="shared" si="8"/>
        <v>0.408</v>
      </c>
      <c r="O96" s="17">
        <f t="shared" si="9"/>
        <v>0.111</v>
      </c>
    </row>
    <row r="97">
      <c r="A97" s="19" t="s">
        <v>69</v>
      </c>
      <c r="B97" s="41">
        <f>IFERROR(__xludf.DUMMYFUNCTION("VLOOKUP(A97,IMPORTRANGE(""1EmrnCz2gLVTx5Cbj0e5tfuHPhTtmru8KTGuQvh7STl0/edit#gid=2147150001"",""Whole Data Set!$A$2:$NQ$253""),381,FALSE)"),16.5)</f>
        <v>16.5</v>
      </c>
      <c r="C97" s="58">
        <f t="shared" si="1"/>
        <v>0.066</v>
      </c>
      <c r="D97" s="12">
        <f>IFERROR(__xludf.DUMMYFUNCTION("VLOOKUP(A97,IMPORTRANGE(""1aFCnJY1qhIj8-JckJhDJ18aqmVo17tofpQmOjcYa3u8/edit#gid=948248086"",""Whole Data Set!$A$2:$NG$253""),371,FALSE)"),14.25)</f>
        <v>14.25</v>
      </c>
      <c r="E97" s="13">
        <f t="shared" si="2"/>
        <v>0.057</v>
      </c>
      <c r="F97" s="13">
        <f t="shared" si="3"/>
        <v>0.009</v>
      </c>
      <c r="G97" s="12">
        <f>IFERROR(__xludf.DUMMYFUNCTION("VLOOKUP(A97,IMPORTRANGE(""1QZ5UxyNCwadreQAXnQ7oCoH982DjIA-QnZdO7ZoqkC0/edit#gid=0"",""2019-2021!$A$2:$O$250""),2,FALSE)"),25.0)</f>
        <v>25</v>
      </c>
      <c r="H97" s="14">
        <f t="shared" si="4"/>
        <v>0.1</v>
      </c>
      <c r="I97" s="15">
        <f t="shared" si="5"/>
        <v>-0.034</v>
      </c>
      <c r="J97" s="16">
        <f>IFERROR(__xludf.DUMMYFUNCTION("VLOOKUP(A97,IMPORTRANGE(""1QZ5UxyNCwadreQAXnQ7oCoH982DjIA-QnZdO7ZoqkC0/edit#gid=0"",""2019-2021!$A$2:$O$250""),4,FALSE)"),39.0)</f>
        <v>39</v>
      </c>
      <c r="K97" s="17">
        <f t="shared" si="6"/>
        <v>0.156</v>
      </c>
      <c r="L97" s="17">
        <f t="shared" si="7"/>
        <v>-0.09</v>
      </c>
      <c r="M97" s="16">
        <f>IFERROR(__xludf.DUMMYFUNCTION("VLOOKUP(A97,IMPORTRANGE(""1QZ5UxyNCwadreQAXnQ7oCoH982DjIA-QnZdO7ZoqkC0/edit#gid=0"",""2019-2021!$A$2:$O$250""),7,FALSE)"),32.5)</f>
        <v>32.5</v>
      </c>
      <c r="N97" s="17">
        <f t="shared" si="8"/>
        <v>0.13</v>
      </c>
      <c r="O97" s="17">
        <f t="shared" si="9"/>
        <v>-0.064</v>
      </c>
    </row>
    <row r="98">
      <c r="A98" s="19" t="s">
        <v>182</v>
      </c>
      <c r="B98" s="41">
        <f>IFERROR(__xludf.DUMMYFUNCTION("VLOOKUP(A98,IMPORTRANGE(""1EmrnCz2gLVTx5Cbj0e5tfuHPhTtmru8KTGuQvh7STl0/edit#gid=2147150001"",""Whole Data Set!$A$2:$NQ$253""),381,FALSE)"),86.25)</f>
        <v>86.25</v>
      </c>
      <c r="C98" s="58">
        <f t="shared" si="1"/>
        <v>0.345</v>
      </c>
      <c r="D98" s="12">
        <f>IFERROR(__xludf.DUMMYFUNCTION("VLOOKUP(A98,IMPORTRANGE(""1aFCnJY1qhIj8-JckJhDJ18aqmVo17tofpQmOjcYa3u8/edit#gid=948248086"",""Whole Data Set!$A$2:$NG$253""),371,FALSE)"),66.0)</f>
        <v>66</v>
      </c>
      <c r="E98" s="13">
        <f t="shared" si="2"/>
        <v>0.264</v>
      </c>
      <c r="F98" s="13">
        <f t="shared" si="3"/>
        <v>0.081</v>
      </c>
      <c r="G98" s="12">
        <f>IFERROR(__xludf.DUMMYFUNCTION("VLOOKUP(A98,IMPORTRANGE(""1QZ5UxyNCwadreQAXnQ7oCoH982DjIA-QnZdO7ZoqkC0/edit#gid=0"",""2019-2021!$A$2:$O$250""),2,FALSE)"),78.0)</f>
        <v>78</v>
      </c>
      <c r="H98" s="14">
        <f t="shared" si="4"/>
        <v>0.312</v>
      </c>
      <c r="I98" s="15">
        <f t="shared" si="5"/>
        <v>0.033</v>
      </c>
      <c r="J98" s="16">
        <f>IFERROR(__xludf.DUMMYFUNCTION("VLOOKUP(A98,IMPORTRANGE(""1QZ5UxyNCwadreQAXnQ7oCoH982DjIA-QnZdO7ZoqkC0/edit#gid=0"",""2019-2021!$A$2:$O$250""),4,FALSE)"),78.5)</f>
        <v>78.5</v>
      </c>
      <c r="K98" s="17">
        <f t="shared" si="6"/>
        <v>0.314</v>
      </c>
      <c r="L98" s="17">
        <f t="shared" si="7"/>
        <v>0.031</v>
      </c>
      <c r="M98" s="16">
        <f>IFERROR(__xludf.DUMMYFUNCTION("VLOOKUP(A98,IMPORTRANGE(""1QZ5UxyNCwadreQAXnQ7oCoH982DjIA-QnZdO7ZoqkC0/edit#gid=0"",""2019-2021!$A$2:$O$250""),7,FALSE)"),59.0)</f>
        <v>59</v>
      </c>
      <c r="N98" s="17">
        <f t="shared" si="8"/>
        <v>0.236</v>
      </c>
      <c r="O98" s="17">
        <f t="shared" si="9"/>
        <v>0.109</v>
      </c>
    </row>
    <row r="99">
      <c r="A99" s="19" t="s">
        <v>70</v>
      </c>
      <c r="B99" s="41">
        <f>IFERROR(__xludf.DUMMYFUNCTION("VLOOKUP(A99,IMPORTRANGE(""1EmrnCz2gLVTx5Cbj0e5tfuHPhTtmru8KTGuQvh7STl0/edit#gid=2147150001"",""Whole Data Set!$A$2:$NQ$253""),381,FALSE)"),122.0)</f>
        <v>122</v>
      </c>
      <c r="C99" s="58">
        <f t="shared" si="1"/>
        <v>0.488</v>
      </c>
      <c r="D99" s="12">
        <f>IFERROR(__xludf.DUMMYFUNCTION("VLOOKUP(A99,IMPORTRANGE(""1aFCnJY1qhIj8-JckJhDJ18aqmVo17tofpQmOjcYa3u8/edit#gid=948248086"",""Whole Data Set!$A$2:$NG$253""),371,FALSE)"),108.75)</f>
        <v>108.75</v>
      </c>
      <c r="E99" s="13">
        <f t="shared" si="2"/>
        <v>0.435</v>
      </c>
      <c r="F99" s="13">
        <f t="shared" si="3"/>
        <v>0.053</v>
      </c>
      <c r="G99" s="12">
        <f>IFERROR(__xludf.DUMMYFUNCTION("VLOOKUP(A99,IMPORTRANGE(""1QZ5UxyNCwadreQAXnQ7oCoH982DjIA-QnZdO7ZoqkC0/edit#gid=0"",""2019-2021!$A$2:$O$250""),2,FALSE)"),64.5)</f>
        <v>64.5</v>
      </c>
      <c r="H99" s="14">
        <f t="shared" si="4"/>
        <v>0.258</v>
      </c>
      <c r="I99" s="15">
        <f t="shared" si="5"/>
        <v>0.23</v>
      </c>
      <c r="J99" s="16">
        <f>IFERROR(__xludf.DUMMYFUNCTION("VLOOKUP(A99,IMPORTRANGE(""1QZ5UxyNCwadreQAXnQ7oCoH982DjIA-QnZdO7ZoqkC0/edit#gid=0"",""2019-2021!$A$2:$O$250""),4,FALSE)"),54.0)</f>
        <v>54</v>
      </c>
      <c r="K99" s="17">
        <f t="shared" si="6"/>
        <v>0.216</v>
      </c>
      <c r="L99" s="17">
        <f t="shared" si="7"/>
        <v>0.272</v>
      </c>
      <c r="M99" s="16">
        <f>IFERROR(__xludf.DUMMYFUNCTION("VLOOKUP(A99,IMPORTRANGE(""1QZ5UxyNCwadreQAXnQ7oCoH982DjIA-QnZdO7ZoqkC0/edit#gid=0"",""2019-2021!$A$2:$O$250""),7,FALSE)"),44.5)</f>
        <v>44.5</v>
      </c>
      <c r="N99" s="17">
        <f t="shared" si="8"/>
        <v>0.178</v>
      </c>
      <c r="O99" s="17">
        <f t="shared" si="9"/>
        <v>0.31</v>
      </c>
    </row>
    <row r="100">
      <c r="A100" s="19" t="s">
        <v>138</v>
      </c>
      <c r="B100" s="41">
        <f>IFERROR(__xludf.DUMMYFUNCTION("VLOOKUP(A100,IMPORTRANGE(""1EmrnCz2gLVTx5Cbj0e5tfuHPhTtmru8KTGuQvh7STl0/edit#gid=2147150001"",""Whole Data Set!$A$2:$NQ$253""),381,FALSE)"),71.0)</f>
        <v>71</v>
      </c>
      <c r="C100" s="58">
        <f t="shared" si="1"/>
        <v>0.284</v>
      </c>
      <c r="D100" s="12">
        <f>IFERROR(__xludf.DUMMYFUNCTION("VLOOKUP(A100,IMPORTRANGE(""1aFCnJY1qhIj8-JckJhDJ18aqmVo17tofpQmOjcYa3u8/edit#gid=948248086"",""Whole Data Set!$A$2:$NG$253""),371,FALSE)"),70.25)</f>
        <v>70.25</v>
      </c>
      <c r="E100" s="13">
        <f t="shared" si="2"/>
        <v>0.281</v>
      </c>
      <c r="F100" s="13">
        <f t="shared" si="3"/>
        <v>0.003</v>
      </c>
      <c r="G100" s="12">
        <f>IFERROR(__xludf.DUMMYFUNCTION("VLOOKUP(A100,IMPORTRANGE(""1QZ5UxyNCwadreQAXnQ7oCoH982DjIA-QnZdO7ZoqkC0/edit#gid=0"",""2019-2021!$A$2:$O$250""),2,FALSE)"),54.5)</f>
        <v>54.5</v>
      </c>
      <c r="H100" s="14">
        <f t="shared" si="4"/>
        <v>0.218</v>
      </c>
      <c r="I100" s="15">
        <f t="shared" si="5"/>
        <v>0.066</v>
      </c>
      <c r="J100" s="16">
        <f>IFERROR(__xludf.DUMMYFUNCTION("VLOOKUP(A100,IMPORTRANGE(""1QZ5UxyNCwadreQAXnQ7oCoH982DjIA-QnZdO7ZoqkC0/edit#gid=0"",""2019-2021!$A$2:$O$250""),4,FALSE)"),63.0)</f>
        <v>63</v>
      </c>
      <c r="K100" s="17">
        <f t="shared" si="6"/>
        <v>0.252</v>
      </c>
      <c r="L100" s="17">
        <f t="shared" si="7"/>
        <v>0.032</v>
      </c>
      <c r="M100" s="16">
        <f>IFERROR(__xludf.DUMMYFUNCTION("VLOOKUP(A100,IMPORTRANGE(""1QZ5UxyNCwadreQAXnQ7oCoH982DjIA-QnZdO7ZoqkC0/edit#gid=0"",""2019-2021!$A$2:$O$250""),7,FALSE)"),50.5)</f>
        <v>50.5</v>
      </c>
      <c r="N100" s="17">
        <f t="shared" si="8"/>
        <v>0.202</v>
      </c>
      <c r="O100" s="17">
        <f t="shared" si="9"/>
        <v>0.082</v>
      </c>
    </row>
    <row r="101">
      <c r="A101" s="42" t="s">
        <v>21</v>
      </c>
      <c r="B101" s="41">
        <f>IFERROR(__xludf.DUMMYFUNCTION("VLOOKUP(A101,IMPORTRANGE(""1EmrnCz2gLVTx5Cbj0e5tfuHPhTtmru8KTGuQvh7STl0/edit#gid=2147150001"",""Whole Data Set!$A$2:$NQ$253""),381,FALSE)"),95.25)</f>
        <v>95.25</v>
      </c>
      <c r="C101" s="58">
        <f t="shared" si="1"/>
        <v>0.381</v>
      </c>
      <c r="D101" s="12">
        <f>IFERROR(__xludf.DUMMYFUNCTION("VLOOKUP(A101,IMPORTRANGE(""1aFCnJY1qhIj8-JckJhDJ18aqmVo17tofpQmOjcYa3u8/edit#gid=948248086"",""Whole Data Set!$A$2:$NG$253""),371,FALSE)"),108.75)</f>
        <v>108.75</v>
      </c>
      <c r="E101" s="13">
        <f t="shared" si="2"/>
        <v>0.435</v>
      </c>
      <c r="F101" s="13">
        <f t="shared" si="3"/>
        <v>-0.054</v>
      </c>
      <c r="G101" s="12">
        <f>IFERROR(__xludf.DUMMYFUNCTION("VLOOKUP(A101,IMPORTRANGE(""1QZ5UxyNCwadreQAXnQ7oCoH982DjIA-QnZdO7ZoqkC0/edit#gid=0"",""2019-2021!$A$2:$O$250""),2,FALSE)"),120.25)</f>
        <v>120.25</v>
      </c>
      <c r="H101" s="14">
        <f t="shared" si="4"/>
        <v>0.481</v>
      </c>
      <c r="I101" s="15">
        <f t="shared" si="5"/>
        <v>-0.1</v>
      </c>
      <c r="J101" s="16">
        <f>IFERROR(__xludf.DUMMYFUNCTION("VLOOKUP(A101,IMPORTRANGE(""1QZ5UxyNCwadreQAXnQ7oCoH982DjIA-QnZdO7ZoqkC0/edit#gid=0"",""2019-2021!$A$2:$O$250""),4,FALSE)"),149.0)</f>
        <v>149</v>
      </c>
      <c r="K101" s="17">
        <f t="shared" si="6"/>
        <v>0.596</v>
      </c>
      <c r="L101" s="17">
        <f t="shared" si="7"/>
        <v>-0.215</v>
      </c>
      <c r="M101" s="16">
        <f>IFERROR(__xludf.DUMMYFUNCTION("VLOOKUP(A101,IMPORTRANGE(""1QZ5UxyNCwadreQAXnQ7oCoH982DjIA-QnZdO7ZoqkC0/edit#gid=0"",""2019-2021!$A$2:$O$250""),7,FALSE)"),140.5)</f>
        <v>140.5</v>
      </c>
      <c r="N101" s="17">
        <f t="shared" si="8"/>
        <v>0.562</v>
      </c>
      <c r="O101" s="17">
        <f t="shared" si="9"/>
        <v>-0.181</v>
      </c>
    </row>
    <row r="102">
      <c r="A102" s="19" t="s">
        <v>183</v>
      </c>
      <c r="B102" s="41">
        <f>IFERROR(__xludf.DUMMYFUNCTION("VLOOKUP(A102,IMPORTRANGE(""1EmrnCz2gLVTx5Cbj0e5tfuHPhTtmru8KTGuQvh7STl0/edit#gid=2147150001"",""Whole Data Set!$A$2:$NQ$253""),381,FALSE)"),42.25)</f>
        <v>42.25</v>
      </c>
      <c r="C102" s="58">
        <f t="shared" si="1"/>
        <v>0.169</v>
      </c>
      <c r="D102" s="12">
        <f>IFERROR(__xludf.DUMMYFUNCTION("VLOOKUP(A102,IMPORTRANGE(""1aFCnJY1qhIj8-JckJhDJ18aqmVo17tofpQmOjcYa3u8/edit#gid=948248086"",""Whole Data Set!$A$2:$NG$253""),371,FALSE)"),12.5)</f>
        <v>12.5</v>
      </c>
      <c r="E102" s="13">
        <f t="shared" si="2"/>
        <v>0.05</v>
      </c>
      <c r="F102" s="13">
        <f t="shared" si="3"/>
        <v>0.119</v>
      </c>
      <c r="G102" s="12">
        <f>IFERROR(__xludf.DUMMYFUNCTION("VLOOKUP(A102,IMPORTRANGE(""1QZ5UxyNCwadreQAXnQ7oCoH982DjIA-QnZdO7ZoqkC0/edit#gid=0"",""2019-2021!$A$2:$O$250""),2,FALSE)"),11.25)</f>
        <v>11.25</v>
      </c>
      <c r="H102" s="14">
        <f t="shared" si="4"/>
        <v>0.045</v>
      </c>
      <c r="I102" s="15">
        <f t="shared" si="5"/>
        <v>0.124</v>
      </c>
      <c r="J102" s="16">
        <f>IFERROR(__xludf.DUMMYFUNCTION("VLOOKUP(A102,IMPORTRANGE(""1QZ5UxyNCwadreQAXnQ7oCoH982DjIA-QnZdO7ZoqkC0/edit#gid=0"",""2019-2021!$A$2:$O$250""),4,FALSE)"),26.5)</f>
        <v>26.5</v>
      </c>
      <c r="K102" s="17">
        <f t="shared" si="6"/>
        <v>0.106</v>
      </c>
      <c r="L102" s="17">
        <f t="shared" si="7"/>
        <v>0.063</v>
      </c>
      <c r="M102" s="16">
        <f>IFERROR(__xludf.DUMMYFUNCTION("VLOOKUP(A102,IMPORTRANGE(""1QZ5UxyNCwadreQAXnQ7oCoH982DjIA-QnZdO7ZoqkC0/edit#gid=0"",""2019-2021!$A$2:$O$250""),7,FALSE)"),26.5)</f>
        <v>26.5</v>
      </c>
      <c r="N102" s="17">
        <f t="shared" si="8"/>
        <v>0.106</v>
      </c>
      <c r="O102" s="17">
        <f t="shared" si="9"/>
        <v>0.063</v>
      </c>
    </row>
    <row r="103">
      <c r="A103" s="19" t="s">
        <v>72</v>
      </c>
      <c r="B103" s="41">
        <f>IFERROR(__xludf.DUMMYFUNCTION("VLOOKUP(A103,IMPORTRANGE(""1EmrnCz2gLVTx5Cbj0e5tfuHPhTtmru8KTGuQvh7STl0/edit#gid=2147150001"",""Whole Data Set!$A$2:$NQ$253""),381,FALSE)"),124.5)</f>
        <v>124.5</v>
      </c>
      <c r="C103" s="58">
        <f t="shared" si="1"/>
        <v>0.498</v>
      </c>
      <c r="D103" s="12">
        <f>IFERROR(__xludf.DUMMYFUNCTION("VLOOKUP(A103,IMPORTRANGE(""1aFCnJY1qhIj8-JckJhDJ18aqmVo17tofpQmOjcYa3u8/edit#gid=948248086"",""Whole Data Set!$A$2:$NG$253""),371,FALSE)"),107.75)</f>
        <v>107.75</v>
      </c>
      <c r="E103" s="13">
        <f t="shared" si="2"/>
        <v>0.431</v>
      </c>
      <c r="F103" s="13">
        <f t="shared" si="3"/>
        <v>0.067</v>
      </c>
      <c r="G103" s="12">
        <f>IFERROR(__xludf.DUMMYFUNCTION("VLOOKUP(A103,IMPORTRANGE(""1QZ5UxyNCwadreQAXnQ7oCoH982DjIA-QnZdO7ZoqkC0/edit#gid=0"",""2019-2021!$A$2:$O$250""),2,FALSE)"),89.5)</f>
        <v>89.5</v>
      </c>
      <c r="H103" s="14">
        <f t="shared" si="4"/>
        <v>0.358</v>
      </c>
      <c r="I103" s="15">
        <f t="shared" si="5"/>
        <v>0.14</v>
      </c>
      <c r="J103" s="16">
        <f>IFERROR(__xludf.DUMMYFUNCTION("VLOOKUP(A103,IMPORTRANGE(""1QZ5UxyNCwadreQAXnQ7oCoH982DjIA-QnZdO7ZoqkC0/edit#gid=0"",""2019-2021!$A$2:$O$250""),4,FALSE)"),110.5)</f>
        <v>110.5</v>
      </c>
      <c r="K103" s="17">
        <f t="shared" si="6"/>
        <v>0.442</v>
      </c>
      <c r="L103" s="17">
        <f t="shared" si="7"/>
        <v>0.056</v>
      </c>
      <c r="M103" s="16">
        <f>IFERROR(__xludf.DUMMYFUNCTION("VLOOKUP(A103,IMPORTRANGE(""1QZ5UxyNCwadreQAXnQ7oCoH982DjIA-QnZdO7ZoqkC0/edit#gid=0"",""2019-2021!$A$2:$O$250""),7,FALSE)"),114.0)</f>
        <v>114</v>
      </c>
      <c r="N103" s="17">
        <f t="shared" si="8"/>
        <v>0.456</v>
      </c>
      <c r="O103" s="17">
        <f t="shared" si="9"/>
        <v>0.042</v>
      </c>
    </row>
    <row r="104">
      <c r="A104" s="19" t="s">
        <v>73</v>
      </c>
      <c r="B104" s="41">
        <f>IFERROR(__xludf.DUMMYFUNCTION("VLOOKUP(A104,IMPORTRANGE(""1EmrnCz2gLVTx5Cbj0e5tfuHPhTtmru8KTGuQvh7STl0/edit#gid=2147150001"",""Whole Data Set!$A$2:$NQ$253""),381,FALSE)"),73.5)</f>
        <v>73.5</v>
      </c>
      <c r="C104" s="58">
        <f t="shared" si="1"/>
        <v>0.294</v>
      </c>
      <c r="D104" s="12">
        <f>IFERROR(__xludf.DUMMYFUNCTION("VLOOKUP(A104,IMPORTRANGE(""1aFCnJY1qhIj8-JckJhDJ18aqmVo17tofpQmOjcYa3u8/edit#gid=948248086"",""Whole Data Set!$A$2:$NG$253""),371,FALSE)"),62.0)</f>
        <v>62</v>
      </c>
      <c r="E104" s="13">
        <f t="shared" si="2"/>
        <v>0.248</v>
      </c>
      <c r="F104" s="13">
        <f t="shared" si="3"/>
        <v>0.046</v>
      </c>
      <c r="G104" s="12">
        <f>IFERROR(__xludf.DUMMYFUNCTION("VLOOKUP(A104,IMPORTRANGE(""1QZ5UxyNCwadreQAXnQ7oCoH982DjIA-QnZdO7ZoqkC0/edit#gid=0"",""2019-2021!$A$2:$O$250""),2,FALSE)"),43.0)</f>
        <v>43</v>
      </c>
      <c r="H104" s="14">
        <f t="shared" si="4"/>
        <v>0.172</v>
      </c>
      <c r="I104" s="15">
        <f t="shared" si="5"/>
        <v>0.122</v>
      </c>
      <c r="J104" s="16">
        <f>IFERROR(__xludf.DUMMYFUNCTION("VLOOKUP(A104,IMPORTRANGE(""1QZ5UxyNCwadreQAXnQ7oCoH982DjIA-QnZdO7ZoqkC0/edit#gid=0"",""2019-2021!$A$2:$O$250""),4,FALSE)"),44.0)</f>
        <v>44</v>
      </c>
      <c r="K104" s="17">
        <f t="shared" si="6"/>
        <v>0.176</v>
      </c>
      <c r="L104" s="17">
        <f t="shared" si="7"/>
        <v>0.118</v>
      </c>
      <c r="M104" s="16">
        <f>IFERROR(__xludf.DUMMYFUNCTION("VLOOKUP(A104,IMPORTRANGE(""1QZ5UxyNCwadreQAXnQ7oCoH982DjIA-QnZdO7ZoqkC0/edit#gid=0"",""2019-2021!$A$2:$O$250""),7,FALSE)"),25.0)</f>
        <v>25</v>
      </c>
      <c r="N104" s="17">
        <f t="shared" si="8"/>
        <v>0.1</v>
      </c>
      <c r="O104" s="17">
        <f t="shared" si="9"/>
        <v>0.194</v>
      </c>
    </row>
    <row r="105">
      <c r="A105" s="19" t="s">
        <v>139</v>
      </c>
      <c r="B105" s="41">
        <f>IFERROR(__xludf.DUMMYFUNCTION("VLOOKUP(A105,IMPORTRANGE(""1EmrnCz2gLVTx5Cbj0e5tfuHPhTtmru8KTGuQvh7STl0/edit#gid=2147150001"",""Whole Data Set!$A$2:$NQ$253""),381,FALSE)"),0.75)</f>
        <v>0.75</v>
      </c>
      <c r="C105" s="58">
        <f t="shared" si="1"/>
        <v>0.003</v>
      </c>
      <c r="D105" s="12">
        <f>IFERROR(__xludf.DUMMYFUNCTION("VLOOKUP(A105,IMPORTRANGE(""1aFCnJY1qhIj8-JckJhDJ18aqmVo17tofpQmOjcYa3u8/edit#gid=948248086"",""Whole Data Set!$A$2:$NG$253""),371,FALSE)"),0.5)</f>
        <v>0.5</v>
      </c>
      <c r="E105" s="13">
        <f t="shared" si="2"/>
        <v>0.002</v>
      </c>
      <c r="F105" s="13">
        <f t="shared" si="3"/>
        <v>0.001</v>
      </c>
      <c r="G105" s="12">
        <f>IFERROR(__xludf.DUMMYFUNCTION("VLOOKUP(A105,IMPORTRANGE(""1QZ5UxyNCwadreQAXnQ7oCoH982DjIA-QnZdO7ZoqkC0/edit#gid=0"",""2019-2021!$A$2:$O$250""),2,FALSE)"),1.0)</f>
        <v>1</v>
      </c>
      <c r="H105" s="14">
        <f t="shared" si="4"/>
        <v>0.004</v>
      </c>
      <c r="I105" s="15">
        <f t="shared" si="5"/>
        <v>-0.001</v>
      </c>
      <c r="J105" s="16">
        <f>IFERROR(__xludf.DUMMYFUNCTION("VLOOKUP(A105,IMPORTRANGE(""1QZ5UxyNCwadreQAXnQ7oCoH982DjIA-QnZdO7ZoqkC0/edit#gid=0"",""2019-2021!$A$2:$O$250""),4,FALSE)"),1.0)</f>
        <v>1</v>
      </c>
      <c r="K105" s="17">
        <f t="shared" si="6"/>
        <v>0.004</v>
      </c>
      <c r="L105" s="17">
        <f t="shared" si="7"/>
        <v>-0.001</v>
      </c>
      <c r="M105" s="16">
        <f>IFERROR(__xludf.DUMMYFUNCTION("VLOOKUP(A105,IMPORTRANGE(""1QZ5UxyNCwadreQAXnQ7oCoH982DjIA-QnZdO7ZoqkC0/edit#gid=0"",""2019-2021!$A$2:$O$250""),7,FALSE)"),1.0)</f>
        <v>1</v>
      </c>
      <c r="N105" s="17">
        <f t="shared" si="8"/>
        <v>0.004</v>
      </c>
      <c r="O105" s="17">
        <f t="shared" si="9"/>
        <v>-0.001</v>
      </c>
    </row>
    <row r="106">
      <c r="A106" s="19" t="s">
        <v>184</v>
      </c>
      <c r="B106" s="41">
        <f>IFERROR(__xludf.DUMMYFUNCTION("VLOOKUP(A106,IMPORTRANGE(""1EmrnCz2gLVTx5Cbj0e5tfuHPhTtmru8KTGuQvh7STl0/edit#gid=2147150001"",""Whole Data Set!$A$2:$NQ$253""),381,FALSE)"),20.25)</f>
        <v>20.25</v>
      </c>
      <c r="C106" s="58">
        <f t="shared" si="1"/>
        <v>0.081</v>
      </c>
      <c r="D106" s="12">
        <f>IFERROR(__xludf.DUMMYFUNCTION("VLOOKUP(A106,IMPORTRANGE(""1aFCnJY1qhIj8-JckJhDJ18aqmVo17tofpQmOjcYa3u8/edit#gid=948248086"",""Whole Data Set!$A$2:$NG$253""),371,FALSE)"),12.25)</f>
        <v>12.25</v>
      </c>
      <c r="E106" s="13">
        <f t="shared" si="2"/>
        <v>0.049</v>
      </c>
      <c r="F106" s="13">
        <f t="shared" si="3"/>
        <v>0.032</v>
      </c>
      <c r="G106" s="12">
        <f>IFERROR(__xludf.DUMMYFUNCTION("VLOOKUP(A106,IMPORTRANGE(""1QZ5UxyNCwadreQAXnQ7oCoH982DjIA-QnZdO7ZoqkC0/edit#gid=0"",""2019-2021!$A$2:$O$250""),2,FALSE)"),22.0)</f>
        <v>22</v>
      </c>
      <c r="H106" s="14">
        <f t="shared" si="4"/>
        <v>0.088</v>
      </c>
      <c r="I106" s="15">
        <f t="shared" si="5"/>
        <v>-0.007</v>
      </c>
      <c r="J106" s="16">
        <f>IFERROR(__xludf.DUMMYFUNCTION("VLOOKUP(A106,IMPORTRANGE(""1QZ5UxyNCwadreQAXnQ7oCoH982DjIA-QnZdO7ZoqkC0/edit#gid=0"",""2019-2021!$A$2:$O$250""),4,FALSE)"),27.5)</f>
        <v>27.5</v>
      </c>
      <c r="K106" s="17">
        <f t="shared" si="6"/>
        <v>0.11</v>
      </c>
      <c r="L106" s="17">
        <f t="shared" si="7"/>
        <v>-0.029</v>
      </c>
      <c r="M106" s="16">
        <f>IFERROR(__xludf.DUMMYFUNCTION("VLOOKUP(A106,IMPORTRANGE(""1QZ5UxyNCwadreQAXnQ7oCoH982DjIA-QnZdO7ZoqkC0/edit#gid=0"",""2019-2021!$A$2:$O$250""),7,FALSE)"),24.5)</f>
        <v>24.5</v>
      </c>
      <c r="N106" s="17">
        <f t="shared" si="8"/>
        <v>0.098</v>
      </c>
      <c r="O106" s="17">
        <f t="shared" si="9"/>
        <v>-0.017</v>
      </c>
    </row>
    <row r="107">
      <c r="A107" s="19" t="s">
        <v>185</v>
      </c>
      <c r="B107" s="41">
        <f>IFERROR(__xludf.DUMMYFUNCTION("VLOOKUP(A107,IMPORTRANGE(""1EmrnCz2gLVTx5Cbj0e5tfuHPhTtmru8KTGuQvh7STl0/edit#gid=2147150001"",""Whole Data Set!$A$2:$NQ$253""),381,FALSE)"),0.0)</f>
        <v>0</v>
      </c>
      <c r="C107" s="58">
        <f t="shared" si="1"/>
        <v>0</v>
      </c>
      <c r="D107" s="12">
        <f>IFERROR(__xludf.DUMMYFUNCTION("VLOOKUP(A107,IMPORTRANGE(""1aFCnJY1qhIj8-JckJhDJ18aqmVo17tofpQmOjcYa3u8/edit#gid=948248086"",""Whole Data Set!$A$2:$NG$253""),371,FALSE)"),0.0)</f>
        <v>0</v>
      </c>
      <c r="E107" s="13">
        <f t="shared" si="2"/>
        <v>0</v>
      </c>
      <c r="F107" s="13">
        <f t="shared" si="3"/>
        <v>0</v>
      </c>
      <c r="G107" s="12">
        <f>IFERROR(__xludf.DUMMYFUNCTION("VLOOKUP(A107,IMPORTRANGE(""1QZ5UxyNCwadreQAXnQ7oCoH982DjIA-QnZdO7ZoqkC0/edit#gid=0"",""2019-2021!$A$2:$O$250""),2,FALSE)"),0.0)</f>
        <v>0</v>
      </c>
      <c r="H107" s="14">
        <f t="shared" si="4"/>
        <v>0</v>
      </c>
      <c r="I107" s="15">
        <f t="shared" si="5"/>
        <v>0</v>
      </c>
      <c r="J107" s="16">
        <f>IFERROR(__xludf.DUMMYFUNCTION("VLOOKUP(A107,IMPORTRANGE(""1QZ5UxyNCwadreQAXnQ7oCoH982DjIA-QnZdO7ZoqkC0/edit#gid=0"",""2019-2021!$A$2:$O$250""),4,FALSE)"),2.0)</f>
        <v>2</v>
      </c>
      <c r="K107" s="17">
        <f t="shared" si="6"/>
        <v>0.008</v>
      </c>
      <c r="L107" s="17">
        <f t="shared" si="7"/>
        <v>-0.008</v>
      </c>
      <c r="M107" s="16">
        <f>IFERROR(__xludf.DUMMYFUNCTION("VLOOKUP(A107,IMPORTRANGE(""1QZ5UxyNCwadreQAXnQ7oCoH982DjIA-QnZdO7ZoqkC0/edit#gid=0"",""2019-2021!$A$2:$O$250""),7,FALSE)"),0.5)</f>
        <v>0.5</v>
      </c>
      <c r="N107" s="17">
        <f t="shared" si="8"/>
        <v>0.002</v>
      </c>
      <c r="O107" s="17">
        <f t="shared" si="9"/>
        <v>-0.002</v>
      </c>
    </row>
    <row r="108">
      <c r="A108" s="19" t="s">
        <v>22</v>
      </c>
      <c r="B108" s="41">
        <f>IFERROR(__xludf.DUMMYFUNCTION("VLOOKUP(A108,IMPORTRANGE(""1EmrnCz2gLVTx5Cbj0e5tfuHPhTtmru8KTGuQvh7STl0/edit#gid=2147150001"",""Whole Data Set!$A$2:$NQ$253""),381,FALSE)"),0.0)</f>
        <v>0</v>
      </c>
      <c r="C108" s="58">
        <f t="shared" si="1"/>
        <v>0</v>
      </c>
      <c r="D108" s="12">
        <f>IFERROR(__xludf.DUMMYFUNCTION("VLOOKUP(A108,IMPORTRANGE(""1aFCnJY1qhIj8-JckJhDJ18aqmVo17tofpQmOjcYa3u8/edit#gid=948248086"",""Whole Data Set!$A$2:$NG$253""),371,FALSE)"),0.0)</f>
        <v>0</v>
      </c>
      <c r="E108" s="13">
        <f t="shared" si="2"/>
        <v>0</v>
      </c>
      <c r="F108" s="13">
        <f t="shared" si="3"/>
        <v>0</v>
      </c>
      <c r="G108" s="12">
        <f>IFERROR(__xludf.DUMMYFUNCTION("VLOOKUP(A108,IMPORTRANGE(""1QZ5UxyNCwadreQAXnQ7oCoH982DjIA-QnZdO7ZoqkC0/edit#gid=0"",""2019-2021!$A$2:$O$250""),2,FALSE)"),0.0)</f>
        <v>0</v>
      </c>
      <c r="H108" s="14">
        <f t="shared" si="4"/>
        <v>0</v>
      </c>
      <c r="I108" s="15">
        <f t="shared" si="5"/>
        <v>0</v>
      </c>
      <c r="J108" s="16">
        <f>IFERROR(__xludf.DUMMYFUNCTION("VLOOKUP(A108,IMPORTRANGE(""1QZ5UxyNCwadreQAXnQ7oCoH982DjIA-QnZdO7ZoqkC0/edit#gid=0"",""2019-2021!$A$2:$O$250""),4,FALSE)"),0.0)</f>
        <v>0</v>
      </c>
      <c r="K108" s="17">
        <f t="shared" si="6"/>
        <v>0</v>
      </c>
      <c r="L108" s="17">
        <f t="shared" si="7"/>
        <v>0</v>
      </c>
      <c r="M108" s="16">
        <f>IFERROR(__xludf.DUMMYFUNCTION("VLOOKUP(A108,IMPORTRANGE(""1QZ5UxyNCwadreQAXnQ7oCoH982DjIA-QnZdO7ZoqkC0/edit#gid=0"",""2019-2021!$A$2:$O$250""),7,FALSE)"),0.0)</f>
        <v>0</v>
      </c>
      <c r="N108" s="17">
        <f t="shared" si="8"/>
        <v>0</v>
      </c>
      <c r="O108" s="17">
        <f t="shared" si="9"/>
        <v>0</v>
      </c>
    </row>
    <row r="109">
      <c r="A109" s="19" t="s">
        <v>100</v>
      </c>
      <c r="B109" s="41">
        <f>IFERROR(__xludf.DUMMYFUNCTION("VLOOKUP(A109,IMPORTRANGE(""1EmrnCz2gLVTx5Cbj0e5tfuHPhTtmru8KTGuQvh7STl0/edit#gid=2147150001"",""Whole Data Set!$A$2:$NQ$253""),381,FALSE)"),58.5)</f>
        <v>58.5</v>
      </c>
      <c r="C109" s="58">
        <f t="shared" si="1"/>
        <v>0.234</v>
      </c>
      <c r="D109" s="12">
        <f>IFERROR(__xludf.DUMMYFUNCTION("VLOOKUP(A109,IMPORTRANGE(""1aFCnJY1qhIj8-JckJhDJ18aqmVo17tofpQmOjcYa3u8/edit#gid=948248086"",""Whole Data Set!$A$2:$NG$253""),371,FALSE)"),33.0)</f>
        <v>33</v>
      </c>
      <c r="E109" s="13">
        <f t="shared" si="2"/>
        <v>0.132</v>
      </c>
      <c r="F109" s="13">
        <f t="shared" si="3"/>
        <v>0.102</v>
      </c>
      <c r="G109" s="12">
        <f>IFERROR(__xludf.DUMMYFUNCTION("VLOOKUP(A109,IMPORTRANGE(""1QZ5UxyNCwadreQAXnQ7oCoH982DjIA-QnZdO7ZoqkC0/edit#gid=0"",""2019-2021!$A$2:$O$250""),2,FALSE)"),39.0)</f>
        <v>39</v>
      </c>
      <c r="H109" s="14">
        <f t="shared" si="4"/>
        <v>0.156</v>
      </c>
      <c r="I109" s="15">
        <f t="shared" si="5"/>
        <v>0.078</v>
      </c>
      <c r="J109" s="16">
        <f>IFERROR(__xludf.DUMMYFUNCTION("VLOOKUP(A109,IMPORTRANGE(""1QZ5UxyNCwadreQAXnQ7oCoH982DjIA-QnZdO7ZoqkC0/edit#gid=0"",""2019-2021!$A$2:$O$250""),4,FALSE)"),19.0)</f>
        <v>19</v>
      </c>
      <c r="K109" s="17">
        <f t="shared" si="6"/>
        <v>0.076</v>
      </c>
      <c r="L109" s="17">
        <f t="shared" si="7"/>
        <v>0.158</v>
      </c>
      <c r="M109" s="16">
        <f>IFERROR(__xludf.DUMMYFUNCTION("VLOOKUP(A109,IMPORTRANGE(""1QZ5UxyNCwadreQAXnQ7oCoH982DjIA-QnZdO7ZoqkC0/edit#gid=0"",""2019-2021!$A$2:$O$250""),7,FALSE)"),17.0)</f>
        <v>17</v>
      </c>
      <c r="N109" s="17">
        <f t="shared" si="8"/>
        <v>0.068</v>
      </c>
      <c r="O109" s="17">
        <f t="shared" si="9"/>
        <v>0.166</v>
      </c>
    </row>
    <row r="110">
      <c r="A110" s="19" t="s">
        <v>76</v>
      </c>
      <c r="B110" s="41">
        <f>IFERROR(__xludf.DUMMYFUNCTION("VLOOKUP(A110,IMPORTRANGE(""1EmrnCz2gLVTx5Cbj0e5tfuHPhTtmru8KTGuQvh7STl0/edit#gid=2147150001"",""Whole Data Set!$A$2:$NQ$253""),381,FALSE)"),85.5)</f>
        <v>85.5</v>
      </c>
      <c r="C110" s="58">
        <f t="shared" si="1"/>
        <v>0.342</v>
      </c>
      <c r="D110" s="12">
        <f>IFERROR(__xludf.DUMMYFUNCTION("VLOOKUP(A110,IMPORTRANGE(""1aFCnJY1qhIj8-JckJhDJ18aqmVo17tofpQmOjcYa3u8/edit#gid=948248086"",""Whole Data Set!$A$2:$NG$253""),371,FALSE)"),44.25)</f>
        <v>44.25</v>
      </c>
      <c r="E110" s="13">
        <f t="shared" si="2"/>
        <v>0.177</v>
      </c>
      <c r="F110" s="13">
        <f t="shared" si="3"/>
        <v>0.165</v>
      </c>
      <c r="G110" s="12">
        <f>IFERROR(__xludf.DUMMYFUNCTION("VLOOKUP(A110,IMPORTRANGE(""1QZ5UxyNCwadreQAXnQ7oCoH982DjIA-QnZdO7ZoqkC0/edit#gid=0"",""2019-2021!$A$2:$O$250""),2,FALSE)"),46.0)</f>
        <v>46</v>
      </c>
      <c r="H110" s="14">
        <f t="shared" si="4"/>
        <v>0.184</v>
      </c>
      <c r="I110" s="15">
        <f t="shared" si="5"/>
        <v>0.158</v>
      </c>
      <c r="J110" s="16">
        <f>IFERROR(__xludf.DUMMYFUNCTION("VLOOKUP(A110,IMPORTRANGE(""1QZ5UxyNCwadreQAXnQ7oCoH982DjIA-QnZdO7ZoqkC0/edit#gid=0"",""2019-2021!$A$2:$O$250""),4,FALSE)"),45.5)</f>
        <v>45.5</v>
      </c>
      <c r="K110" s="17">
        <f t="shared" si="6"/>
        <v>0.182</v>
      </c>
      <c r="L110" s="17">
        <f t="shared" si="7"/>
        <v>0.16</v>
      </c>
      <c r="M110" s="16">
        <f>IFERROR(__xludf.DUMMYFUNCTION("VLOOKUP(A110,IMPORTRANGE(""1QZ5UxyNCwadreQAXnQ7oCoH982DjIA-QnZdO7ZoqkC0/edit#gid=0"",""2019-2021!$A$2:$O$250""),7,FALSE)"),49.0)</f>
        <v>49</v>
      </c>
      <c r="N110" s="17">
        <f t="shared" si="8"/>
        <v>0.196</v>
      </c>
      <c r="O110" s="17">
        <f t="shared" si="9"/>
        <v>0.146</v>
      </c>
    </row>
    <row r="111">
      <c r="A111" s="19" t="s">
        <v>186</v>
      </c>
      <c r="B111" s="41">
        <f>IFERROR(__xludf.DUMMYFUNCTION("VLOOKUP(A111,IMPORTRANGE(""1EmrnCz2gLVTx5Cbj0e5tfuHPhTtmru8KTGuQvh7STl0/edit#gid=2147150001"",""Whole Data Set!$A$2:$NQ$253""),381,FALSE)"),44.75)</f>
        <v>44.75</v>
      </c>
      <c r="C111" s="58">
        <f t="shared" si="1"/>
        <v>0.179</v>
      </c>
      <c r="D111" s="12">
        <f>IFERROR(__xludf.DUMMYFUNCTION("VLOOKUP(A111,IMPORTRANGE(""1aFCnJY1qhIj8-JckJhDJ18aqmVo17tofpQmOjcYa3u8/edit#gid=948248086"",""Whole Data Set!$A$2:$NG$253""),371,FALSE)"),49.0)</f>
        <v>49</v>
      </c>
      <c r="E111" s="13">
        <f t="shared" si="2"/>
        <v>0.196</v>
      </c>
      <c r="F111" s="13">
        <f t="shared" si="3"/>
        <v>-0.017</v>
      </c>
      <c r="G111" s="12">
        <f>IFERROR(__xludf.DUMMYFUNCTION("VLOOKUP(A111,IMPORTRANGE(""1QZ5UxyNCwadreQAXnQ7oCoH982DjIA-QnZdO7ZoqkC0/edit#gid=0"",""2019-2021!$A$2:$O$250""),2,FALSE)"),53.75)</f>
        <v>53.75</v>
      </c>
      <c r="H111" s="14">
        <f t="shared" si="4"/>
        <v>0.215</v>
      </c>
      <c r="I111" s="15">
        <f t="shared" si="5"/>
        <v>-0.036</v>
      </c>
      <c r="J111" s="16">
        <f>IFERROR(__xludf.DUMMYFUNCTION("VLOOKUP(A111,IMPORTRANGE(""1QZ5UxyNCwadreQAXnQ7oCoH982DjIA-QnZdO7ZoqkC0/edit#gid=0"",""2019-2021!$A$2:$O$250""),4,FALSE)"),67.0)</f>
        <v>67</v>
      </c>
      <c r="K111" s="17">
        <f t="shared" si="6"/>
        <v>0.268</v>
      </c>
      <c r="L111" s="17">
        <f t="shared" si="7"/>
        <v>-0.089</v>
      </c>
      <c r="M111" s="16">
        <f>IFERROR(__xludf.DUMMYFUNCTION("VLOOKUP(A111,IMPORTRANGE(""1QZ5UxyNCwadreQAXnQ7oCoH982DjIA-QnZdO7ZoqkC0/edit#gid=0"",""2019-2021!$A$2:$O$250""),7,FALSE)"),61.5)</f>
        <v>61.5</v>
      </c>
      <c r="N111" s="17">
        <f t="shared" si="8"/>
        <v>0.246</v>
      </c>
      <c r="O111" s="17">
        <f t="shared" si="9"/>
        <v>-0.067</v>
      </c>
    </row>
    <row r="112">
      <c r="A112" s="19" t="s">
        <v>187</v>
      </c>
      <c r="B112" s="41">
        <f>IFERROR(__xludf.DUMMYFUNCTION("VLOOKUP(A112,IMPORTRANGE(""1EmrnCz2gLVTx5Cbj0e5tfuHPhTtmru8KTGuQvh7STl0/edit#gid=2147150001"",""Whole Data Set!$A$2:$NQ$253""),381,FALSE)"),66.5)</f>
        <v>66.5</v>
      </c>
      <c r="C112" s="58">
        <f t="shared" si="1"/>
        <v>0.266</v>
      </c>
      <c r="D112" s="12">
        <f>IFERROR(__xludf.DUMMYFUNCTION("VLOOKUP(A112,IMPORTRANGE(""1aFCnJY1qhIj8-JckJhDJ18aqmVo17tofpQmOjcYa3u8/edit#gid=948248086"",""Whole Data Set!$A$2:$NG$253""),371,FALSE)"),43.0)</f>
        <v>43</v>
      </c>
      <c r="E112" s="13">
        <f t="shared" si="2"/>
        <v>0.172</v>
      </c>
      <c r="F112" s="13">
        <f t="shared" si="3"/>
        <v>0.094</v>
      </c>
      <c r="G112" s="12">
        <f>IFERROR(__xludf.DUMMYFUNCTION("VLOOKUP(A112,IMPORTRANGE(""1QZ5UxyNCwadreQAXnQ7oCoH982DjIA-QnZdO7ZoqkC0/edit#gid=0"",""2019-2021!$A$2:$O$250""),2,FALSE)"),44.75)</f>
        <v>44.75</v>
      </c>
      <c r="H112" s="14">
        <f t="shared" si="4"/>
        <v>0.179</v>
      </c>
      <c r="I112" s="15">
        <f t="shared" si="5"/>
        <v>0.087</v>
      </c>
      <c r="J112" s="16">
        <f>IFERROR(__xludf.DUMMYFUNCTION("VLOOKUP(A112,IMPORTRANGE(""1QZ5UxyNCwadreQAXnQ7oCoH982DjIA-QnZdO7ZoqkC0/edit#gid=0"",""2019-2021!$A$2:$O$250""),4,FALSE)"),47.0)</f>
        <v>47</v>
      </c>
      <c r="K112" s="17">
        <f t="shared" si="6"/>
        <v>0.188</v>
      </c>
      <c r="L112" s="17">
        <f t="shared" si="7"/>
        <v>0.078</v>
      </c>
      <c r="M112" s="16">
        <f>IFERROR(__xludf.DUMMYFUNCTION("VLOOKUP(A112,IMPORTRANGE(""1QZ5UxyNCwadreQAXnQ7oCoH982DjIA-QnZdO7ZoqkC0/edit#gid=0"",""2019-2021!$A$2:$O$250""),7,FALSE)"),46.0)</f>
        <v>46</v>
      </c>
      <c r="N112" s="17">
        <f t="shared" si="8"/>
        <v>0.184</v>
      </c>
      <c r="O112" s="17">
        <f t="shared" si="9"/>
        <v>0.082</v>
      </c>
    </row>
    <row r="113">
      <c r="A113" s="19" t="s">
        <v>140</v>
      </c>
      <c r="B113" s="41">
        <f>IFERROR(__xludf.DUMMYFUNCTION("VLOOKUP(A113,IMPORTRANGE(""1EmrnCz2gLVTx5Cbj0e5tfuHPhTtmru8KTGuQvh7STl0/edit#gid=2147150001"",""Whole Data Set!$A$2:$NQ$253""),381,FALSE)"),44.0)</f>
        <v>44</v>
      </c>
      <c r="C113" s="58">
        <f t="shared" si="1"/>
        <v>0.176</v>
      </c>
      <c r="D113" s="12">
        <f>IFERROR(__xludf.DUMMYFUNCTION("VLOOKUP(A113,IMPORTRANGE(""1aFCnJY1qhIj8-JckJhDJ18aqmVo17tofpQmOjcYa3u8/edit#gid=948248086"",""Whole Data Set!$A$2:$NG$253""),371,FALSE)"),46.25)</f>
        <v>46.25</v>
      </c>
      <c r="E113" s="13">
        <f t="shared" si="2"/>
        <v>0.185</v>
      </c>
      <c r="F113" s="13">
        <f t="shared" si="3"/>
        <v>-0.009</v>
      </c>
      <c r="G113" s="12">
        <f>IFERROR(__xludf.DUMMYFUNCTION("VLOOKUP(A113,IMPORTRANGE(""1QZ5UxyNCwadreQAXnQ7oCoH982DjIA-QnZdO7ZoqkC0/edit#gid=0"",""2019-2021!$A$2:$O$250""),2,FALSE)"),45.0)</f>
        <v>45</v>
      </c>
      <c r="H113" s="14">
        <f t="shared" si="4"/>
        <v>0.18</v>
      </c>
      <c r="I113" s="15">
        <f t="shared" si="5"/>
        <v>-0.004</v>
      </c>
      <c r="J113" s="16">
        <f>IFERROR(__xludf.DUMMYFUNCTION("VLOOKUP(A113,IMPORTRANGE(""1QZ5UxyNCwadreQAXnQ7oCoH982DjIA-QnZdO7ZoqkC0/edit#gid=0"",""2019-2021!$A$2:$O$250""),4,FALSE)"),55.0)</f>
        <v>55</v>
      </c>
      <c r="K113" s="17">
        <f t="shared" si="6"/>
        <v>0.22</v>
      </c>
      <c r="L113" s="17">
        <f t="shared" si="7"/>
        <v>-0.044</v>
      </c>
      <c r="M113" s="16">
        <f>IFERROR(__xludf.DUMMYFUNCTION("VLOOKUP(A113,IMPORTRANGE(""1QZ5UxyNCwadreQAXnQ7oCoH982DjIA-QnZdO7ZoqkC0/edit#gid=0"",""2019-2021!$A$2:$O$250""),7,FALSE)"),47.0)</f>
        <v>47</v>
      </c>
      <c r="N113" s="17">
        <f t="shared" si="8"/>
        <v>0.188</v>
      </c>
      <c r="O113" s="17">
        <f t="shared" si="9"/>
        <v>-0.012</v>
      </c>
    </row>
    <row r="114">
      <c r="A114" s="19" t="s">
        <v>188</v>
      </c>
      <c r="B114" s="41">
        <f>IFERROR(__xludf.DUMMYFUNCTION("VLOOKUP(A114,IMPORTRANGE(""1EmrnCz2gLVTx5Cbj0e5tfuHPhTtmru8KTGuQvh7STl0/edit#gid=2147150001"",""Whole Data Set!$A$2:$NQ$253""),381,FALSE)"),26.75)</f>
        <v>26.75</v>
      </c>
      <c r="C114" s="58">
        <f t="shared" si="1"/>
        <v>0.107</v>
      </c>
      <c r="D114" s="12">
        <f>IFERROR(__xludf.DUMMYFUNCTION("VLOOKUP(A114,IMPORTRANGE(""1aFCnJY1qhIj8-JckJhDJ18aqmVo17tofpQmOjcYa3u8/edit#gid=948248086"",""Whole Data Set!$A$2:$NG$253""),371,FALSE)"),32.25)</f>
        <v>32.25</v>
      </c>
      <c r="E114" s="13">
        <f t="shared" si="2"/>
        <v>0.129</v>
      </c>
      <c r="F114" s="13">
        <f t="shared" si="3"/>
        <v>-0.022</v>
      </c>
      <c r="G114" s="12">
        <f>IFERROR(__xludf.DUMMYFUNCTION("VLOOKUP(A114,IMPORTRANGE(""1QZ5UxyNCwadreQAXnQ7oCoH982DjIA-QnZdO7ZoqkC0/edit#gid=0"",""2019-2021!$A$2:$O$250""),2,FALSE)"),37.25)</f>
        <v>37.25</v>
      </c>
      <c r="H114" s="14">
        <f t="shared" si="4"/>
        <v>0.149</v>
      </c>
      <c r="I114" s="15">
        <f t="shared" si="5"/>
        <v>-0.042</v>
      </c>
      <c r="J114" s="16">
        <f>IFERROR(__xludf.DUMMYFUNCTION("VLOOKUP(A114,IMPORTRANGE(""1QZ5UxyNCwadreQAXnQ7oCoH982DjIA-QnZdO7ZoqkC0/edit#gid=0"",""2019-2021!$A$2:$O$250""),4,FALSE)"),39.5)</f>
        <v>39.5</v>
      </c>
      <c r="K114" s="17">
        <f t="shared" si="6"/>
        <v>0.158</v>
      </c>
      <c r="L114" s="17">
        <f t="shared" si="7"/>
        <v>-0.051</v>
      </c>
      <c r="M114" s="16">
        <f>IFERROR(__xludf.DUMMYFUNCTION("VLOOKUP(A114,IMPORTRANGE(""1QZ5UxyNCwadreQAXnQ7oCoH982DjIA-QnZdO7ZoqkC0/edit#gid=0"",""2019-2021!$A$2:$O$250""),7,FALSE)"),35.5)</f>
        <v>35.5</v>
      </c>
      <c r="N114" s="17">
        <f t="shared" si="8"/>
        <v>0.142</v>
      </c>
      <c r="O114" s="17">
        <f t="shared" si="9"/>
        <v>-0.035</v>
      </c>
    </row>
    <row r="115">
      <c r="A115" s="19" t="s">
        <v>189</v>
      </c>
      <c r="B115" s="41">
        <f>IFERROR(__xludf.DUMMYFUNCTION("VLOOKUP(A115,IMPORTRANGE(""1EmrnCz2gLVTx5Cbj0e5tfuHPhTtmru8KTGuQvh7STl0/edit#gid=2147150001"",""Whole Data Set!$A$2:$NQ$253""),381,FALSE)"),70.25)</f>
        <v>70.25</v>
      </c>
      <c r="C115" s="58">
        <f t="shared" si="1"/>
        <v>0.281</v>
      </c>
      <c r="D115" s="12">
        <f>IFERROR(__xludf.DUMMYFUNCTION("VLOOKUP(A115,IMPORTRANGE(""1aFCnJY1qhIj8-JckJhDJ18aqmVo17tofpQmOjcYa3u8/edit#gid=948248086"",""Whole Data Set!$A$2:$NG$253""),371,FALSE)"),50.25)</f>
        <v>50.25</v>
      </c>
      <c r="E115" s="13">
        <f t="shared" si="2"/>
        <v>0.201</v>
      </c>
      <c r="F115" s="13">
        <f t="shared" si="3"/>
        <v>0.08</v>
      </c>
      <c r="G115" s="12">
        <f>IFERROR(__xludf.DUMMYFUNCTION("VLOOKUP(A115,IMPORTRANGE(""1QZ5UxyNCwadreQAXnQ7oCoH982DjIA-QnZdO7ZoqkC0/edit#gid=0"",""2019-2021!$A$2:$O$250""),2,FALSE)"),55.75)</f>
        <v>55.75</v>
      </c>
      <c r="H115" s="14">
        <f t="shared" si="4"/>
        <v>0.223</v>
      </c>
      <c r="I115" s="15">
        <f t="shared" si="5"/>
        <v>0.058</v>
      </c>
      <c r="J115" s="16">
        <f>IFERROR(__xludf.DUMMYFUNCTION("VLOOKUP(A115,IMPORTRANGE(""1QZ5UxyNCwadreQAXnQ7oCoH982DjIA-QnZdO7ZoqkC0/edit#gid=0"",""2019-2021!$A$2:$O$250""),4,FALSE)"),26.0)</f>
        <v>26</v>
      </c>
      <c r="K115" s="17">
        <f t="shared" si="6"/>
        <v>0.104</v>
      </c>
      <c r="L115" s="17">
        <f t="shared" si="7"/>
        <v>0.177</v>
      </c>
      <c r="M115" s="16">
        <f>IFERROR(__xludf.DUMMYFUNCTION("VLOOKUP(A115,IMPORTRANGE(""1QZ5UxyNCwadreQAXnQ7oCoH982DjIA-QnZdO7ZoqkC0/edit#gid=0"",""2019-2021!$A$2:$O$250""),7,FALSE)"),17.0)</f>
        <v>17</v>
      </c>
      <c r="N115" s="17">
        <f t="shared" si="8"/>
        <v>0.068</v>
      </c>
      <c r="O115" s="17">
        <f t="shared" si="9"/>
        <v>0.213</v>
      </c>
    </row>
    <row r="116">
      <c r="A116" s="19" t="s">
        <v>77</v>
      </c>
      <c r="B116" s="41">
        <f>IFERROR(__xludf.DUMMYFUNCTION("VLOOKUP(A116,IMPORTRANGE(""1EmrnCz2gLVTx5Cbj0e5tfuHPhTtmru8KTGuQvh7STl0/edit#gid=2147150001"",""Whole Data Set!$A$2:$NQ$253""),381,FALSE)"),113.75)</f>
        <v>113.75</v>
      </c>
      <c r="C116" s="58">
        <f t="shared" si="1"/>
        <v>0.455</v>
      </c>
      <c r="D116" s="12">
        <f>IFERROR(__xludf.DUMMYFUNCTION("VLOOKUP(A116,IMPORTRANGE(""1aFCnJY1qhIj8-JckJhDJ18aqmVo17tofpQmOjcYa3u8/edit#gid=948248086"",""Whole Data Set!$A$2:$NG$253""),371,FALSE)"),103.5)</f>
        <v>103.5</v>
      </c>
      <c r="E116" s="13">
        <f t="shared" si="2"/>
        <v>0.414</v>
      </c>
      <c r="F116" s="13">
        <f t="shared" si="3"/>
        <v>0.041</v>
      </c>
      <c r="G116" s="12">
        <f>IFERROR(__xludf.DUMMYFUNCTION("VLOOKUP(A116,IMPORTRANGE(""1QZ5UxyNCwadreQAXnQ7oCoH982DjIA-QnZdO7ZoqkC0/edit#gid=0"",""2019-2021!$A$2:$O$250""),2,FALSE)"),105.75)</f>
        <v>105.75</v>
      </c>
      <c r="H116" s="14">
        <f t="shared" si="4"/>
        <v>0.423</v>
      </c>
      <c r="I116" s="15">
        <f t="shared" si="5"/>
        <v>0.032</v>
      </c>
      <c r="J116" s="16">
        <f>IFERROR(__xludf.DUMMYFUNCTION("VLOOKUP(A116,IMPORTRANGE(""1QZ5UxyNCwadreQAXnQ7oCoH982DjIA-QnZdO7ZoqkC0/edit#gid=0"",""2019-2021!$A$2:$O$250""),4,FALSE)"),121.0)</f>
        <v>121</v>
      </c>
      <c r="K116" s="17">
        <f t="shared" si="6"/>
        <v>0.484</v>
      </c>
      <c r="L116" s="17">
        <f t="shared" si="7"/>
        <v>-0.029</v>
      </c>
      <c r="M116" s="16">
        <f>IFERROR(__xludf.DUMMYFUNCTION("VLOOKUP(A116,IMPORTRANGE(""1QZ5UxyNCwadreQAXnQ7oCoH982DjIA-QnZdO7ZoqkC0/edit#gid=0"",""2019-2021!$A$2:$O$250""),7,FALSE)"),118.0)</f>
        <v>118</v>
      </c>
      <c r="N116" s="17">
        <f t="shared" si="8"/>
        <v>0.472</v>
      </c>
      <c r="O116" s="17">
        <f t="shared" si="9"/>
        <v>-0.017</v>
      </c>
    </row>
    <row r="117">
      <c r="A117" s="19" t="s">
        <v>78</v>
      </c>
      <c r="B117" s="41">
        <f>IFERROR(__xludf.DUMMYFUNCTION("VLOOKUP(A117,IMPORTRANGE(""1EmrnCz2gLVTx5Cbj0e5tfuHPhTtmru8KTGuQvh7STl0/edit#gid=2147150001"",""Whole Data Set!$A$2:$NQ$253""),381,FALSE)"),105.0)</f>
        <v>105</v>
      </c>
      <c r="C117" s="58">
        <f t="shared" si="1"/>
        <v>0.42</v>
      </c>
      <c r="D117" s="12">
        <f>IFERROR(__xludf.DUMMYFUNCTION("VLOOKUP(A117,IMPORTRANGE(""1aFCnJY1qhIj8-JckJhDJ18aqmVo17tofpQmOjcYa3u8/edit#gid=948248086"",""Whole Data Set!$A$2:$NG$253""),371,FALSE)"),100.25)</f>
        <v>100.25</v>
      </c>
      <c r="E117" s="13">
        <f t="shared" si="2"/>
        <v>0.401</v>
      </c>
      <c r="F117" s="13">
        <f t="shared" si="3"/>
        <v>0.019</v>
      </c>
      <c r="G117" s="12">
        <f>IFERROR(__xludf.DUMMYFUNCTION("VLOOKUP(A117,IMPORTRANGE(""1QZ5UxyNCwadreQAXnQ7oCoH982DjIA-QnZdO7ZoqkC0/edit#gid=0"",""2019-2021!$A$2:$O$250""),2,FALSE)"),85.5)</f>
        <v>85.5</v>
      </c>
      <c r="H117" s="14">
        <f t="shared" si="4"/>
        <v>0.342</v>
      </c>
      <c r="I117" s="15">
        <f t="shared" si="5"/>
        <v>0.078</v>
      </c>
      <c r="J117" s="16">
        <f>IFERROR(__xludf.DUMMYFUNCTION("VLOOKUP(A117,IMPORTRANGE(""1QZ5UxyNCwadreQAXnQ7oCoH982DjIA-QnZdO7ZoqkC0/edit#gid=0"",""2019-2021!$A$2:$O$250""),4,FALSE)"),106.5)</f>
        <v>106.5</v>
      </c>
      <c r="K117" s="17">
        <f t="shared" si="6"/>
        <v>0.426</v>
      </c>
      <c r="L117" s="17">
        <f t="shared" si="7"/>
        <v>-0.006</v>
      </c>
      <c r="M117" s="16">
        <f>IFERROR(__xludf.DUMMYFUNCTION("VLOOKUP(A117,IMPORTRANGE(""1QZ5UxyNCwadreQAXnQ7oCoH982DjIA-QnZdO7ZoqkC0/edit#gid=0"",""2019-2021!$A$2:$O$250""),7,FALSE)"),75.5)</f>
        <v>75.5</v>
      </c>
      <c r="N117" s="17">
        <f t="shared" si="8"/>
        <v>0.302</v>
      </c>
      <c r="O117" s="17">
        <f t="shared" si="9"/>
        <v>0.118</v>
      </c>
    </row>
    <row r="118">
      <c r="A118" s="19" t="s">
        <v>141</v>
      </c>
      <c r="B118" s="41">
        <f>IFERROR(__xludf.DUMMYFUNCTION("VLOOKUP(A118,IMPORTRANGE(""1EmrnCz2gLVTx5Cbj0e5tfuHPhTtmru8KTGuQvh7STl0/edit#gid=2147150001"",""Whole Data Set!$A$2:$NQ$253""),381,FALSE)"),0.75)</f>
        <v>0.75</v>
      </c>
      <c r="C118" s="58">
        <f t="shared" si="1"/>
        <v>0.003</v>
      </c>
      <c r="D118" s="12">
        <f>IFERROR(__xludf.DUMMYFUNCTION("VLOOKUP(A118,IMPORTRANGE(""1aFCnJY1qhIj8-JckJhDJ18aqmVo17tofpQmOjcYa3u8/edit#gid=948248086"",""Whole Data Set!$A$2:$NG$253""),371,FALSE)"),0.75)</f>
        <v>0.75</v>
      </c>
      <c r="E118" s="13">
        <f t="shared" si="2"/>
        <v>0.003</v>
      </c>
      <c r="F118" s="13">
        <f t="shared" si="3"/>
        <v>0</v>
      </c>
      <c r="G118" s="12">
        <f>IFERROR(__xludf.DUMMYFUNCTION("VLOOKUP(A118,IMPORTRANGE(""1QZ5UxyNCwadreQAXnQ7oCoH982DjIA-QnZdO7ZoqkC0/edit#gid=0"",""2019-2021!$A$2:$O$250""),2,FALSE)"),1.0)</f>
        <v>1</v>
      </c>
      <c r="H118" s="14">
        <f t="shared" si="4"/>
        <v>0.004</v>
      </c>
      <c r="I118" s="15">
        <f t="shared" si="5"/>
        <v>-0.001</v>
      </c>
      <c r="J118" s="16">
        <f>IFERROR(__xludf.DUMMYFUNCTION("VLOOKUP(A118,IMPORTRANGE(""1QZ5UxyNCwadreQAXnQ7oCoH982DjIA-QnZdO7ZoqkC0/edit#gid=0"",""2019-2021!$A$2:$O$250""),4,FALSE)"),1.5)</f>
        <v>1.5</v>
      </c>
      <c r="K118" s="17">
        <f t="shared" si="6"/>
        <v>0.006</v>
      </c>
      <c r="L118" s="17">
        <f t="shared" si="7"/>
        <v>-0.003</v>
      </c>
      <c r="M118" s="16">
        <f>IFERROR(__xludf.DUMMYFUNCTION("VLOOKUP(A118,IMPORTRANGE(""1QZ5UxyNCwadreQAXnQ7oCoH982DjIA-QnZdO7ZoqkC0/edit#gid=0"",""2019-2021!$A$2:$O$250""),7,FALSE)"),1.5)</f>
        <v>1.5</v>
      </c>
      <c r="N118" s="17">
        <f t="shared" si="8"/>
        <v>0.006</v>
      </c>
      <c r="O118" s="17">
        <f t="shared" si="9"/>
        <v>-0.003</v>
      </c>
    </row>
    <row r="119">
      <c r="A119" s="19" t="s">
        <v>79</v>
      </c>
      <c r="B119" s="41">
        <f>IFERROR(__xludf.DUMMYFUNCTION("VLOOKUP(A119,IMPORTRANGE(""1EmrnCz2gLVTx5Cbj0e5tfuHPhTtmru8KTGuQvh7STl0/edit#gid=2147150001"",""Whole Data Set!$A$2:$NQ$253""),381,FALSE)"),90.5)</f>
        <v>90.5</v>
      </c>
      <c r="C119" s="58">
        <f t="shared" si="1"/>
        <v>0.362</v>
      </c>
      <c r="D119" s="12">
        <f>IFERROR(__xludf.DUMMYFUNCTION("VLOOKUP(A119,IMPORTRANGE(""1aFCnJY1qhIj8-JckJhDJ18aqmVo17tofpQmOjcYa3u8/edit#gid=948248086"",""Whole Data Set!$A$2:$NG$253""),371,FALSE)"),92.75)</f>
        <v>92.75</v>
      </c>
      <c r="E119" s="13">
        <f t="shared" si="2"/>
        <v>0.371</v>
      </c>
      <c r="F119" s="13">
        <f t="shared" si="3"/>
        <v>-0.009</v>
      </c>
      <c r="G119" s="12">
        <f>IFERROR(__xludf.DUMMYFUNCTION("VLOOKUP(A119,IMPORTRANGE(""1QZ5UxyNCwadreQAXnQ7oCoH982DjIA-QnZdO7ZoqkC0/edit#gid=0"",""2019-2021!$A$2:$O$250""),2,FALSE)"),99.25)</f>
        <v>99.25</v>
      </c>
      <c r="H119" s="14">
        <f t="shared" si="4"/>
        <v>0.397</v>
      </c>
      <c r="I119" s="15">
        <f t="shared" si="5"/>
        <v>-0.035</v>
      </c>
      <c r="J119" s="16">
        <f>IFERROR(__xludf.DUMMYFUNCTION("VLOOKUP(A119,IMPORTRANGE(""1QZ5UxyNCwadreQAXnQ7oCoH982DjIA-QnZdO7ZoqkC0/edit#gid=0"",""2019-2021!$A$2:$O$250""),4,FALSE)"),90.5)</f>
        <v>90.5</v>
      </c>
      <c r="K119" s="17">
        <f t="shared" si="6"/>
        <v>0.362</v>
      </c>
      <c r="L119" s="17">
        <f t="shared" si="7"/>
        <v>0</v>
      </c>
      <c r="M119" s="16">
        <f>IFERROR(__xludf.DUMMYFUNCTION("VLOOKUP(A119,IMPORTRANGE(""1QZ5UxyNCwadreQAXnQ7oCoH982DjIA-QnZdO7ZoqkC0/edit#gid=0"",""2019-2021!$A$2:$O$250""),7,FALSE)"),82.5)</f>
        <v>82.5</v>
      </c>
      <c r="N119" s="17">
        <f t="shared" si="8"/>
        <v>0.33</v>
      </c>
      <c r="O119" s="17">
        <f t="shared" si="9"/>
        <v>0.032</v>
      </c>
    </row>
    <row r="120">
      <c r="A120" s="19" t="s">
        <v>80</v>
      </c>
      <c r="B120" s="41">
        <f>IFERROR(__xludf.DUMMYFUNCTION("VLOOKUP(A120,IMPORTRANGE(""1EmrnCz2gLVTx5Cbj0e5tfuHPhTtmru8KTGuQvh7STl0/edit#gid=2147150001"",""Whole Data Set!$A$2:$NQ$253""),381,FALSE)"),124.75)</f>
        <v>124.75</v>
      </c>
      <c r="C120" s="58">
        <f t="shared" si="1"/>
        <v>0.499</v>
      </c>
      <c r="D120" s="12">
        <f>IFERROR(__xludf.DUMMYFUNCTION("VLOOKUP(A120,IMPORTRANGE(""1aFCnJY1qhIj8-JckJhDJ18aqmVo17tofpQmOjcYa3u8/edit#gid=948248086"",""Whole Data Set!$A$2:$NG$253""),371,FALSE)"),133.5)</f>
        <v>133.5</v>
      </c>
      <c r="E120" s="13">
        <f t="shared" si="2"/>
        <v>0.534</v>
      </c>
      <c r="F120" s="13">
        <f t="shared" si="3"/>
        <v>-0.035</v>
      </c>
      <c r="G120" s="12">
        <f>IFERROR(__xludf.DUMMYFUNCTION("VLOOKUP(A120,IMPORTRANGE(""1QZ5UxyNCwadreQAXnQ7oCoH982DjIA-QnZdO7ZoqkC0/edit#gid=0"",""2019-2021!$A$2:$O$250""),2,FALSE)"),138.5)</f>
        <v>138.5</v>
      </c>
      <c r="H120" s="14">
        <f t="shared" si="4"/>
        <v>0.554</v>
      </c>
      <c r="I120" s="15">
        <f t="shared" si="5"/>
        <v>-0.055</v>
      </c>
      <c r="J120" s="16">
        <f>IFERROR(__xludf.DUMMYFUNCTION("VLOOKUP(A120,IMPORTRANGE(""1QZ5UxyNCwadreQAXnQ7oCoH982DjIA-QnZdO7ZoqkC0/edit#gid=0"",""2019-2021!$A$2:$O$250""),4,FALSE)"),138.0)</f>
        <v>138</v>
      </c>
      <c r="K120" s="17">
        <f t="shared" si="6"/>
        <v>0.552</v>
      </c>
      <c r="L120" s="17">
        <f t="shared" si="7"/>
        <v>-0.053</v>
      </c>
      <c r="M120" s="16">
        <f>IFERROR(__xludf.DUMMYFUNCTION("VLOOKUP(A120,IMPORTRANGE(""1QZ5UxyNCwadreQAXnQ7oCoH982DjIA-QnZdO7ZoqkC0/edit#gid=0"",""2019-2021!$A$2:$O$250""),7,FALSE)"),143.0)</f>
        <v>143</v>
      </c>
      <c r="N120" s="17">
        <f t="shared" si="8"/>
        <v>0.572</v>
      </c>
      <c r="O120" s="17">
        <f t="shared" si="9"/>
        <v>-0.073</v>
      </c>
    </row>
    <row r="121">
      <c r="A121" s="19" t="s">
        <v>142</v>
      </c>
      <c r="B121" s="41">
        <f>IFERROR(__xludf.DUMMYFUNCTION("VLOOKUP(A121,IMPORTRANGE(""1EmrnCz2gLVTx5Cbj0e5tfuHPhTtmru8KTGuQvh7STl0/edit#gid=2147150001"",""Whole Data Set!$A$2:$NQ$253""),381,FALSE)"),1.5)</f>
        <v>1.5</v>
      </c>
      <c r="C121" s="58">
        <f t="shared" si="1"/>
        <v>0.006</v>
      </c>
      <c r="D121" s="12">
        <f>IFERROR(__xludf.DUMMYFUNCTION("VLOOKUP(A121,IMPORTRANGE(""1aFCnJY1qhIj8-JckJhDJ18aqmVo17tofpQmOjcYa3u8/edit#gid=948248086"",""Whole Data Set!$A$2:$NG$253""),371,FALSE)"),1.5)</f>
        <v>1.5</v>
      </c>
      <c r="E121" s="13">
        <f t="shared" si="2"/>
        <v>0.006</v>
      </c>
      <c r="F121" s="13">
        <f t="shared" si="3"/>
        <v>0</v>
      </c>
      <c r="G121" s="12">
        <f>IFERROR(__xludf.DUMMYFUNCTION("VLOOKUP(A121,IMPORTRANGE(""1QZ5UxyNCwadreQAXnQ7oCoH982DjIA-QnZdO7ZoqkC0/edit#gid=0"",""2019-2021!$A$2:$O$250""),2,FALSE)"),3.5)</f>
        <v>3.5</v>
      </c>
      <c r="H121" s="14">
        <f t="shared" si="4"/>
        <v>0.014</v>
      </c>
      <c r="I121" s="15">
        <f t="shared" si="5"/>
        <v>-0.008</v>
      </c>
      <c r="J121" s="16">
        <f>IFERROR(__xludf.DUMMYFUNCTION("VLOOKUP(A121,IMPORTRANGE(""1QZ5UxyNCwadreQAXnQ7oCoH982DjIA-QnZdO7ZoqkC0/edit#gid=0"",""2019-2021!$A$2:$O$250""),4,FALSE)"),8.0)</f>
        <v>8</v>
      </c>
      <c r="K121" s="17">
        <f t="shared" si="6"/>
        <v>0.032</v>
      </c>
      <c r="L121" s="17">
        <f t="shared" si="7"/>
        <v>-0.026</v>
      </c>
      <c r="M121" s="16">
        <f>IFERROR(__xludf.DUMMYFUNCTION("VLOOKUP(A121,IMPORTRANGE(""1QZ5UxyNCwadreQAXnQ7oCoH982DjIA-QnZdO7ZoqkC0/edit#gid=0"",""2019-2021!$A$2:$O$250""),7,FALSE)"),6.0)</f>
        <v>6</v>
      </c>
      <c r="N121" s="17">
        <f t="shared" si="8"/>
        <v>0.024</v>
      </c>
      <c r="O121" s="17">
        <f t="shared" si="9"/>
        <v>-0.018</v>
      </c>
    </row>
    <row r="122">
      <c r="A122" s="19" t="s">
        <v>82</v>
      </c>
      <c r="B122" s="41">
        <f>IFERROR(__xludf.DUMMYFUNCTION("VLOOKUP(A122,IMPORTRANGE(""1EmrnCz2gLVTx5Cbj0e5tfuHPhTtmru8KTGuQvh7STl0/edit#gid=2147150001"",""Whole Data Set!$A$2:$NQ$253""),381,FALSE)"),65.25)</f>
        <v>65.25</v>
      </c>
      <c r="C122" s="58">
        <f t="shared" si="1"/>
        <v>0.261</v>
      </c>
      <c r="D122" s="12">
        <f>IFERROR(__xludf.DUMMYFUNCTION("VLOOKUP(A122,IMPORTRANGE(""1aFCnJY1qhIj8-JckJhDJ18aqmVo17tofpQmOjcYa3u8/edit#gid=948248086"",""Whole Data Set!$A$2:$NG$253""),371,FALSE)"),42.75)</f>
        <v>42.75</v>
      </c>
      <c r="E122" s="13">
        <f t="shared" si="2"/>
        <v>0.171</v>
      </c>
      <c r="F122" s="13">
        <f t="shared" si="3"/>
        <v>0.09</v>
      </c>
      <c r="G122" s="12">
        <f>IFERROR(__xludf.DUMMYFUNCTION("VLOOKUP(A122,IMPORTRANGE(""1QZ5UxyNCwadreQAXnQ7oCoH982DjIA-QnZdO7ZoqkC0/edit#gid=0"",""2019-2021!$A$2:$O$250""),2,FALSE)"),70.25)</f>
        <v>70.25</v>
      </c>
      <c r="H122" s="14">
        <f t="shared" si="4"/>
        <v>0.281</v>
      </c>
      <c r="I122" s="15">
        <f t="shared" si="5"/>
        <v>-0.02</v>
      </c>
      <c r="J122" s="16">
        <f>IFERROR(__xludf.DUMMYFUNCTION("VLOOKUP(A122,IMPORTRANGE(""1QZ5UxyNCwadreQAXnQ7oCoH982DjIA-QnZdO7ZoqkC0/edit#gid=0"",""2019-2021!$A$2:$O$250""),4,FALSE)"),55.5)</f>
        <v>55.5</v>
      </c>
      <c r="K122" s="17">
        <f t="shared" si="6"/>
        <v>0.222</v>
      </c>
      <c r="L122" s="17">
        <f t="shared" si="7"/>
        <v>0.039</v>
      </c>
      <c r="M122" s="16">
        <f>IFERROR(__xludf.DUMMYFUNCTION("VLOOKUP(A122,IMPORTRANGE(""1QZ5UxyNCwadreQAXnQ7oCoH982DjIA-QnZdO7ZoqkC0/edit#gid=0"",""2019-2021!$A$2:$O$250""),7,FALSE)"),44.0)</f>
        <v>44</v>
      </c>
      <c r="N122" s="17">
        <f t="shared" si="8"/>
        <v>0.176</v>
      </c>
      <c r="O122" s="17">
        <f t="shared" si="9"/>
        <v>0.085</v>
      </c>
    </row>
    <row r="123">
      <c r="A123" s="19" t="s">
        <v>66</v>
      </c>
      <c r="B123" s="41">
        <f>IFERROR(__xludf.DUMMYFUNCTION("VLOOKUP(A123,IMPORTRANGE(""1EmrnCz2gLVTx5Cbj0e5tfuHPhTtmru8KTGuQvh7STl0/edit#gid=2147150001"",""Whole Data Set!$A$2:$NQ$253""),381,FALSE)"),120.25)</f>
        <v>120.25</v>
      </c>
      <c r="C123" s="58">
        <f t="shared" si="1"/>
        <v>0.481</v>
      </c>
      <c r="D123" s="12">
        <f>IFERROR(__xludf.DUMMYFUNCTION("VLOOKUP(A123,IMPORTRANGE(""1aFCnJY1qhIj8-JckJhDJ18aqmVo17tofpQmOjcYa3u8/edit#gid=948248086"",""Whole Data Set!$A$2:$NG$253""),371,FALSE)"),109.5)</f>
        <v>109.5</v>
      </c>
      <c r="E123" s="13">
        <f t="shared" si="2"/>
        <v>0.438</v>
      </c>
      <c r="F123" s="13">
        <f t="shared" si="3"/>
        <v>0.043</v>
      </c>
      <c r="G123" s="12">
        <f>IFERROR(__xludf.DUMMYFUNCTION("VLOOKUP(A123,IMPORTRANGE(""1QZ5UxyNCwadreQAXnQ7oCoH982DjIA-QnZdO7ZoqkC0/edit#gid=0"",""2019-2021!$A$2:$O$250""),2,FALSE)"),123.0)</f>
        <v>123</v>
      </c>
      <c r="H123" s="14">
        <f t="shared" si="4"/>
        <v>0.492</v>
      </c>
      <c r="I123" s="15">
        <f t="shared" si="5"/>
        <v>-0.011</v>
      </c>
      <c r="J123" s="16">
        <f>IFERROR(__xludf.DUMMYFUNCTION("VLOOKUP(A123,IMPORTRANGE(""1QZ5UxyNCwadreQAXnQ7oCoH982DjIA-QnZdO7ZoqkC0/edit#gid=0"",""2019-2021!$A$2:$O$250""),4,FALSE)"),125.0)</f>
        <v>125</v>
      </c>
      <c r="K123" s="17">
        <f t="shared" si="6"/>
        <v>0.5</v>
      </c>
      <c r="L123" s="17">
        <f t="shared" si="7"/>
        <v>-0.019</v>
      </c>
      <c r="M123" s="16">
        <f>IFERROR(__xludf.DUMMYFUNCTION("VLOOKUP(A123,IMPORTRANGE(""1QZ5UxyNCwadreQAXnQ7oCoH982DjIA-QnZdO7ZoqkC0/edit#gid=0"",""2019-2021!$A$2:$O$250""),7,FALSE)"),134.5)</f>
        <v>134.5</v>
      </c>
      <c r="N123" s="17">
        <f t="shared" si="8"/>
        <v>0.538</v>
      </c>
      <c r="O123" s="17">
        <f t="shared" si="9"/>
        <v>-0.057</v>
      </c>
    </row>
    <row r="124">
      <c r="A124" s="19" t="s">
        <v>143</v>
      </c>
      <c r="B124" s="41">
        <f>IFERROR(__xludf.DUMMYFUNCTION("VLOOKUP(A124,IMPORTRANGE(""1EmrnCz2gLVTx5Cbj0e5tfuHPhTtmru8KTGuQvh7STl0/edit#gid=2147150001"",""Whole Data Set!$A$2:$NQ$253""),381,FALSE)"),207.5)</f>
        <v>207.5</v>
      </c>
      <c r="C124" s="58">
        <f t="shared" si="1"/>
        <v>0.83</v>
      </c>
      <c r="D124" s="12">
        <f>IFERROR(__xludf.DUMMYFUNCTION("VLOOKUP(A124,IMPORTRANGE(""1aFCnJY1qhIj8-JckJhDJ18aqmVo17tofpQmOjcYa3u8/edit#gid=948248086"",""Whole Data Set!$A$2:$NG$253""),371,FALSE)"),195.5)</f>
        <v>195.5</v>
      </c>
      <c r="E124" s="13">
        <f t="shared" si="2"/>
        <v>0.782</v>
      </c>
      <c r="F124" s="13">
        <f t="shared" si="3"/>
        <v>0.048</v>
      </c>
      <c r="G124" s="12">
        <f>IFERROR(__xludf.DUMMYFUNCTION("VLOOKUP(A124,IMPORTRANGE(""1QZ5UxyNCwadreQAXnQ7oCoH982DjIA-QnZdO7ZoqkC0/edit#gid=0"",""2019-2021!$A$2:$O$250""),2,FALSE)"),196.0)</f>
        <v>196</v>
      </c>
      <c r="H124" s="14">
        <f t="shared" si="4"/>
        <v>0.784</v>
      </c>
      <c r="I124" s="15">
        <f t="shared" si="5"/>
        <v>0.046</v>
      </c>
      <c r="J124" s="16">
        <f>IFERROR(__xludf.DUMMYFUNCTION("VLOOKUP(A124,IMPORTRANGE(""1QZ5UxyNCwadreQAXnQ7oCoH982DjIA-QnZdO7ZoqkC0/edit#gid=0"",""2019-2021!$A$2:$O$250""),4,FALSE)"),86.5)</f>
        <v>86.5</v>
      </c>
      <c r="K124" s="17">
        <f t="shared" si="6"/>
        <v>0.346</v>
      </c>
      <c r="L124" s="17">
        <f t="shared" si="7"/>
        <v>0.484</v>
      </c>
      <c r="M124" s="16">
        <f>IFERROR(__xludf.DUMMYFUNCTION("VLOOKUP(A124,IMPORTRANGE(""1QZ5UxyNCwadreQAXnQ7oCoH982DjIA-QnZdO7ZoqkC0/edit#gid=0"",""2019-2021!$A$2:$O$250""),7,FALSE)"),63.0)</f>
        <v>63</v>
      </c>
      <c r="N124" s="17">
        <f t="shared" si="8"/>
        <v>0.252</v>
      </c>
      <c r="O124" s="17">
        <f t="shared" si="9"/>
        <v>0.578</v>
      </c>
    </row>
    <row r="125">
      <c r="A125" s="19" t="s">
        <v>190</v>
      </c>
      <c r="B125" s="41">
        <f>IFERROR(__xludf.DUMMYFUNCTION("VLOOKUP(A125,IMPORTRANGE(""1EmrnCz2gLVTx5Cbj0e5tfuHPhTtmru8KTGuQvh7STl0/edit#gid=2147150001"",""Whole Data Set!$A$2:$NQ$253""),381,FALSE)"),99.5)</f>
        <v>99.5</v>
      </c>
      <c r="C125" s="58">
        <f t="shared" si="1"/>
        <v>0.398</v>
      </c>
      <c r="D125" s="12">
        <f>IFERROR(__xludf.DUMMYFUNCTION("VLOOKUP(A125,IMPORTRANGE(""1aFCnJY1qhIj8-JckJhDJ18aqmVo17tofpQmOjcYa3u8/edit#gid=948248086"",""Whole Data Set!$A$2:$NG$253""),371,FALSE)"),109.0)</f>
        <v>109</v>
      </c>
      <c r="E125" s="13">
        <f t="shared" si="2"/>
        <v>0.436</v>
      </c>
      <c r="F125" s="13">
        <f t="shared" si="3"/>
        <v>-0.038</v>
      </c>
      <c r="G125" s="12">
        <f>IFERROR(__xludf.DUMMYFUNCTION("VLOOKUP(A125,IMPORTRANGE(""1QZ5UxyNCwadreQAXnQ7oCoH982DjIA-QnZdO7ZoqkC0/edit#gid=0"",""2019-2021!$A$2:$O$250""),2,FALSE)"),138.75)</f>
        <v>138.75</v>
      </c>
      <c r="H125" s="14">
        <f t="shared" si="4"/>
        <v>0.555</v>
      </c>
      <c r="I125" s="15">
        <f t="shared" si="5"/>
        <v>-0.157</v>
      </c>
      <c r="J125" s="16">
        <f>IFERROR(__xludf.DUMMYFUNCTION("VLOOKUP(A125,IMPORTRANGE(""1QZ5UxyNCwadreQAXnQ7oCoH982DjIA-QnZdO7ZoqkC0/edit#gid=0"",""2019-2021!$A$2:$O$250""),4,FALSE)"),151.0)</f>
        <v>151</v>
      </c>
      <c r="K125" s="17">
        <f t="shared" si="6"/>
        <v>0.604</v>
      </c>
      <c r="L125" s="17">
        <f t="shared" si="7"/>
        <v>-0.206</v>
      </c>
      <c r="M125" s="16">
        <f>IFERROR(__xludf.DUMMYFUNCTION("VLOOKUP(A125,IMPORTRANGE(""1QZ5UxyNCwadreQAXnQ7oCoH982DjIA-QnZdO7ZoqkC0/edit#gid=0"",""2019-2021!$A$2:$O$250""),7,FALSE)"),160.5)</f>
        <v>160.5</v>
      </c>
      <c r="N125" s="17">
        <f t="shared" si="8"/>
        <v>0.642</v>
      </c>
      <c r="O125" s="17">
        <f t="shared" si="9"/>
        <v>-0.244</v>
      </c>
    </row>
    <row r="126">
      <c r="A126" s="19" t="s">
        <v>191</v>
      </c>
      <c r="B126" s="41">
        <f>IFERROR(__xludf.DUMMYFUNCTION("VLOOKUP(A126,IMPORTRANGE(""1EmrnCz2gLVTx5Cbj0e5tfuHPhTtmru8KTGuQvh7STl0/edit#gid=2147150001"",""Whole Data Set!$A$2:$NQ$253""),381,FALSE)"),45.5)</f>
        <v>45.5</v>
      </c>
      <c r="C126" s="58">
        <f t="shared" si="1"/>
        <v>0.182</v>
      </c>
      <c r="D126" s="12">
        <f>IFERROR(__xludf.DUMMYFUNCTION("VLOOKUP(A126,IMPORTRANGE(""1aFCnJY1qhIj8-JckJhDJ18aqmVo17tofpQmOjcYa3u8/edit#gid=948248086"",""Whole Data Set!$A$2:$NG$253""),371,FALSE)"),54.25)</f>
        <v>54.25</v>
      </c>
      <c r="E126" s="13">
        <f t="shared" si="2"/>
        <v>0.217</v>
      </c>
      <c r="F126" s="13">
        <f t="shared" si="3"/>
        <v>-0.035</v>
      </c>
      <c r="G126" s="12">
        <f>IFERROR(__xludf.DUMMYFUNCTION("VLOOKUP(A126,IMPORTRANGE(""1QZ5UxyNCwadreQAXnQ7oCoH982DjIA-QnZdO7ZoqkC0/edit#gid=0"",""2019-2021!$A$2:$O$250""),2,FALSE)"),72.0)</f>
        <v>72</v>
      </c>
      <c r="H126" s="14">
        <f t="shared" si="4"/>
        <v>0.288</v>
      </c>
      <c r="I126" s="15">
        <f t="shared" si="5"/>
        <v>-0.106</v>
      </c>
      <c r="J126" s="16">
        <f>IFERROR(__xludf.DUMMYFUNCTION("VLOOKUP(A126,IMPORTRANGE(""1QZ5UxyNCwadreQAXnQ7oCoH982DjIA-QnZdO7ZoqkC0/edit#gid=0"",""2019-2021!$A$2:$O$250""),4,FALSE)"),45.5)</f>
        <v>45.5</v>
      </c>
      <c r="K126" s="17">
        <f t="shared" si="6"/>
        <v>0.182</v>
      </c>
      <c r="L126" s="17">
        <f t="shared" si="7"/>
        <v>0</v>
      </c>
      <c r="M126" s="16">
        <f>IFERROR(__xludf.DUMMYFUNCTION("VLOOKUP(A126,IMPORTRANGE(""1QZ5UxyNCwadreQAXnQ7oCoH982DjIA-QnZdO7ZoqkC0/edit#gid=0"",""2019-2021!$A$2:$O$250""),7,FALSE)"),12.0)</f>
        <v>12</v>
      </c>
      <c r="N126" s="17">
        <f t="shared" si="8"/>
        <v>0.048</v>
      </c>
      <c r="O126" s="17">
        <f t="shared" si="9"/>
        <v>0.134</v>
      </c>
    </row>
    <row r="127">
      <c r="A127" s="19" t="s">
        <v>83</v>
      </c>
      <c r="B127" s="41">
        <f>IFERROR(__xludf.DUMMYFUNCTION("VLOOKUP(A127,IMPORTRANGE(""1EmrnCz2gLVTx5Cbj0e5tfuHPhTtmru8KTGuQvh7STl0/edit#gid=2147150001"",""Whole Data Set!$A$2:$NQ$253""),381,FALSE)"),85.5)</f>
        <v>85.5</v>
      </c>
      <c r="C127" s="58">
        <f t="shared" si="1"/>
        <v>0.342</v>
      </c>
      <c r="D127" s="12">
        <f>IFERROR(__xludf.DUMMYFUNCTION("VLOOKUP(A127,IMPORTRANGE(""1aFCnJY1qhIj8-JckJhDJ18aqmVo17tofpQmOjcYa3u8/edit#gid=948248086"",""Whole Data Set!$A$2:$NG$253""),371,FALSE)"),44.25)</f>
        <v>44.25</v>
      </c>
      <c r="E127" s="13">
        <f t="shared" si="2"/>
        <v>0.177</v>
      </c>
      <c r="F127" s="13">
        <f t="shared" si="3"/>
        <v>0.165</v>
      </c>
      <c r="G127" s="12">
        <f>IFERROR(__xludf.DUMMYFUNCTION("VLOOKUP(A127,IMPORTRANGE(""1QZ5UxyNCwadreQAXnQ7oCoH982DjIA-QnZdO7ZoqkC0/edit#gid=0"",""2019-2021!$A$2:$O$250""),2,FALSE)"),46.0)</f>
        <v>46</v>
      </c>
      <c r="H127" s="14">
        <f t="shared" si="4"/>
        <v>0.184</v>
      </c>
      <c r="I127" s="15">
        <f t="shared" si="5"/>
        <v>0.158</v>
      </c>
      <c r="J127" s="16">
        <f>IFERROR(__xludf.DUMMYFUNCTION("VLOOKUP(A127,IMPORTRANGE(""1QZ5UxyNCwadreQAXnQ7oCoH982DjIA-QnZdO7ZoqkC0/edit#gid=0"",""2019-2021!$A$2:$O$250""),4,FALSE)"),45.5)</f>
        <v>45.5</v>
      </c>
      <c r="K127" s="17">
        <f t="shared" si="6"/>
        <v>0.182</v>
      </c>
      <c r="L127" s="17">
        <f t="shared" si="7"/>
        <v>0.16</v>
      </c>
      <c r="M127" s="16">
        <f>IFERROR(__xludf.DUMMYFUNCTION("VLOOKUP(A127,IMPORTRANGE(""1QZ5UxyNCwadreQAXnQ7oCoH982DjIA-QnZdO7ZoqkC0/edit#gid=0"",""2019-2021!$A$2:$O$250""),7,FALSE)"),49.0)</f>
        <v>49</v>
      </c>
      <c r="N127" s="17">
        <f t="shared" si="8"/>
        <v>0.196</v>
      </c>
      <c r="O127" s="17">
        <f t="shared" si="9"/>
        <v>0.146</v>
      </c>
    </row>
    <row r="128">
      <c r="A128" s="19" t="s">
        <v>84</v>
      </c>
      <c r="B128" s="41">
        <f>IFERROR(__xludf.DUMMYFUNCTION("VLOOKUP(A128,IMPORTRANGE(""1EmrnCz2gLVTx5Cbj0e5tfuHPhTtmru8KTGuQvh7STl0/edit#gid=2147150001"",""Whole Data Set!$A$2:$NQ$253""),381,FALSE)"),99.25)</f>
        <v>99.25</v>
      </c>
      <c r="C128" s="58">
        <f t="shared" si="1"/>
        <v>0.397</v>
      </c>
      <c r="D128" s="12">
        <f>IFERROR(__xludf.DUMMYFUNCTION("VLOOKUP(A128,IMPORTRANGE(""1aFCnJY1qhIj8-JckJhDJ18aqmVo17tofpQmOjcYa3u8/edit#gid=948248086"",""Whole Data Set!$A$2:$NG$253""),371,FALSE)"),88.0)</f>
        <v>88</v>
      </c>
      <c r="E128" s="13">
        <f t="shared" si="2"/>
        <v>0.352</v>
      </c>
      <c r="F128" s="13">
        <f t="shared" si="3"/>
        <v>0.045</v>
      </c>
      <c r="G128" s="12">
        <f>IFERROR(__xludf.DUMMYFUNCTION("VLOOKUP(A128,IMPORTRANGE(""1QZ5UxyNCwadreQAXnQ7oCoH982DjIA-QnZdO7ZoqkC0/edit#gid=0"",""2019-2021!$A$2:$O$250""),2,FALSE)"),95.0)</f>
        <v>95</v>
      </c>
      <c r="H128" s="14">
        <f t="shared" si="4"/>
        <v>0.38</v>
      </c>
      <c r="I128" s="15">
        <f t="shared" si="5"/>
        <v>0.017</v>
      </c>
      <c r="J128" s="16">
        <f>IFERROR(__xludf.DUMMYFUNCTION("VLOOKUP(A128,IMPORTRANGE(""1QZ5UxyNCwadreQAXnQ7oCoH982DjIA-QnZdO7ZoqkC0/edit#gid=0"",""2019-2021!$A$2:$O$250""),4,FALSE)"),96.0)</f>
        <v>96</v>
      </c>
      <c r="K128" s="17">
        <f t="shared" si="6"/>
        <v>0.384</v>
      </c>
      <c r="L128" s="17">
        <f t="shared" si="7"/>
        <v>0.013</v>
      </c>
      <c r="M128" s="16">
        <f>IFERROR(__xludf.DUMMYFUNCTION("VLOOKUP(A128,IMPORTRANGE(""1QZ5UxyNCwadreQAXnQ7oCoH982DjIA-QnZdO7ZoqkC0/edit#gid=0"",""2019-2021!$A$2:$O$250""),7,FALSE)"),88.5)</f>
        <v>88.5</v>
      </c>
      <c r="N128" s="17">
        <f t="shared" si="8"/>
        <v>0.354</v>
      </c>
      <c r="O128" s="17">
        <f t="shared" si="9"/>
        <v>0.043</v>
      </c>
    </row>
    <row r="129">
      <c r="A129" s="19" t="s">
        <v>192</v>
      </c>
      <c r="B129" s="41">
        <f>IFERROR(__xludf.DUMMYFUNCTION("VLOOKUP(A129,IMPORTRANGE(""1EmrnCz2gLVTx5Cbj0e5tfuHPhTtmru8KTGuQvh7STl0/edit#gid=2147150001"",""Whole Data Set!$A$2:$NQ$253""),381,FALSE)"),56.0)</f>
        <v>56</v>
      </c>
      <c r="C129" s="58">
        <f t="shared" si="1"/>
        <v>0.224</v>
      </c>
      <c r="D129" s="12">
        <f>IFERROR(__xludf.DUMMYFUNCTION("VLOOKUP(A129,IMPORTRANGE(""1aFCnJY1qhIj8-JckJhDJ18aqmVo17tofpQmOjcYa3u8/edit#gid=948248086"",""Whole Data Set!$A$2:$NG$253""),371,FALSE)"),67.5)</f>
        <v>67.5</v>
      </c>
      <c r="E129" s="13">
        <f t="shared" si="2"/>
        <v>0.27</v>
      </c>
      <c r="F129" s="13">
        <f t="shared" si="3"/>
        <v>-0.046</v>
      </c>
      <c r="G129" s="12">
        <f>IFERROR(__xludf.DUMMYFUNCTION("VLOOKUP(A129,IMPORTRANGE(""1QZ5UxyNCwadreQAXnQ7oCoH982DjIA-QnZdO7ZoqkC0/edit#gid=0"",""2019-2021!$A$2:$O$250""),2,FALSE)"),62.75)</f>
        <v>62.75</v>
      </c>
      <c r="H129" s="14">
        <f t="shared" si="4"/>
        <v>0.251</v>
      </c>
      <c r="I129" s="15">
        <f t="shared" si="5"/>
        <v>-0.027</v>
      </c>
      <c r="J129" s="16">
        <f>IFERROR(__xludf.DUMMYFUNCTION("VLOOKUP(A129,IMPORTRANGE(""1QZ5UxyNCwadreQAXnQ7oCoH982DjIA-QnZdO7ZoqkC0/edit#gid=0"",""2019-2021!$A$2:$O$250""),4,FALSE)"),62.0)</f>
        <v>62</v>
      </c>
      <c r="K129" s="17">
        <f t="shared" si="6"/>
        <v>0.248</v>
      </c>
      <c r="L129" s="17">
        <f t="shared" si="7"/>
        <v>-0.024</v>
      </c>
      <c r="M129" s="16">
        <f>IFERROR(__xludf.DUMMYFUNCTION("VLOOKUP(A129,IMPORTRANGE(""1QZ5UxyNCwadreQAXnQ7oCoH982DjIA-QnZdO7ZoqkC0/edit#gid=0"",""2019-2021!$A$2:$O$250""),7,FALSE)"),51.5)</f>
        <v>51.5</v>
      </c>
      <c r="N129" s="17">
        <f t="shared" si="8"/>
        <v>0.206</v>
      </c>
      <c r="O129" s="17">
        <f t="shared" si="9"/>
        <v>0.018</v>
      </c>
    </row>
    <row r="130">
      <c r="A130" s="19" t="s">
        <v>85</v>
      </c>
      <c r="B130" s="41">
        <f>IFERROR(__xludf.DUMMYFUNCTION("VLOOKUP(A130,IMPORTRANGE(""1EmrnCz2gLVTx5Cbj0e5tfuHPhTtmru8KTGuQvh7STl0/edit#gid=2147150001"",""Whole Data Set!$A$2:$NQ$253""),381,FALSE)"),124.5)</f>
        <v>124.5</v>
      </c>
      <c r="C130" s="58">
        <f t="shared" si="1"/>
        <v>0.498</v>
      </c>
      <c r="D130" s="12">
        <f>IFERROR(__xludf.DUMMYFUNCTION("VLOOKUP(A130,IMPORTRANGE(""1aFCnJY1qhIj8-JckJhDJ18aqmVo17tofpQmOjcYa3u8/edit#gid=948248086"",""Whole Data Set!$A$2:$NG$253""),371,FALSE)"),107.75)</f>
        <v>107.75</v>
      </c>
      <c r="E130" s="13">
        <f t="shared" si="2"/>
        <v>0.431</v>
      </c>
      <c r="F130" s="13">
        <f t="shared" si="3"/>
        <v>0.067</v>
      </c>
      <c r="G130" s="12">
        <f>IFERROR(__xludf.DUMMYFUNCTION("VLOOKUP(A130,IMPORTRANGE(""1QZ5UxyNCwadreQAXnQ7oCoH982DjIA-QnZdO7ZoqkC0/edit#gid=0"",""2019-2021!$A$2:$O$250""),2,FALSE)"),90.5)</f>
        <v>90.5</v>
      </c>
      <c r="H130" s="14">
        <f t="shared" si="4"/>
        <v>0.362</v>
      </c>
      <c r="I130" s="15">
        <f t="shared" si="5"/>
        <v>0.136</v>
      </c>
      <c r="J130" s="16">
        <f>IFERROR(__xludf.DUMMYFUNCTION("VLOOKUP(A130,IMPORTRANGE(""1QZ5UxyNCwadreQAXnQ7oCoH982DjIA-QnZdO7ZoqkC0/edit#gid=0"",""2019-2021!$A$2:$O$250""),4,FALSE)"),110.5)</f>
        <v>110.5</v>
      </c>
      <c r="K130" s="17">
        <f t="shared" si="6"/>
        <v>0.442</v>
      </c>
      <c r="L130" s="17">
        <f t="shared" si="7"/>
        <v>0.056</v>
      </c>
      <c r="M130" s="16">
        <f>IFERROR(__xludf.DUMMYFUNCTION("VLOOKUP(A130,IMPORTRANGE(""1QZ5UxyNCwadreQAXnQ7oCoH982DjIA-QnZdO7ZoqkC0/edit#gid=0"",""2019-2021!$A$2:$O$250""),7,FALSE)"),114.0)</f>
        <v>114</v>
      </c>
      <c r="N130" s="17">
        <f t="shared" si="8"/>
        <v>0.456</v>
      </c>
      <c r="O130" s="17">
        <f t="shared" si="9"/>
        <v>0.042</v>
      </c>
    </row>
    <row r="131">
      <c r="A131" s="19" t="s">
        <v>86</v>
      </c>
      <c r="B131" s="41">
        <f>IFERROR(__xludf.DUMMYFUNCTION("VLOOKUP(A131,IMPORTRANGE(""1EmrnCz2gLVTx5Cbj0e5tfuHPhTtmru8KTGuQvh7STl0/edit#gid=2147150001"",""Whole Data Set!$A$2:$NQ$253""),381,FALSE)"),166.0)</f>
        <v>166</v>
      </c>
      <c r="C131" s="58">
        <f t="shared" si="1"/>
        <v>0.664</v>
      </c>
      <c r="D131" s="12">
        <f>IFERROR(__xludf.DUMMYFUNCTION("VLOOKUP(A131,IMPORTRANGE(""1aFCnJY1qhIj8-JckJhDJ18aqmVo17tofpQmOjcYa3u8/edit#gid=948248086"",""Whole Data Set!$A$2:$NG$253""),371,FALSE)"),146.0)</f>
        <v>146</v>
      </c>
      <c r="E131" s="13">
        <f t="shared" si="2"/>
        <v>0.584</v>
      </c>
      <c r="F131" s="13">
        <f t="shared" si="3"/>
        <v>0.08</v>
      </c>
      <c r="G131" s="12">
        <f>IFERROR(__xludf.DUMMYFUNCTION("VLOOKUP(A131,IMPORTRANGE(""1QZ5UxyNCwadreQAXnQ7oCoH982DjIA-QnZdO7ZoqkC0/edit#gid=0"",""2019-2021!$A$2:$O$250""),2,FALSE)"),127.0)</f>
        <v>127</v>
      </c>
      <c r="H131" s="14">
        <f t="shared" si="4"/>
        <v>0.508</v>
      </c>
      <c r="I131" s="15">
        <f t="shared" si="5"/>
        <v>0.156</v>
      </c>
      <c r="J131" s="16">
        <f>IFERROR(__xludf.DUMMYFUNCTION("VLOOKUP(A131,IMPORTRANGE(""1QZ5UxyNCwadreQAXnQ7oCoH982DjIA-QnZdO7ZoqkC0/edit#gid=0"",""2019-2021!$A$2:$O$250""),4,FALSE)"),141.5)</f>
        <v>141.5</v>
      </c>
      <c r="K131" s="17">
        <f t="shared" si="6"/>
        <v>0.566</v>
      </c>
      <c r="L131" s="17">
        <f t="shared" si="7"/>
        <v>0.098</v>
      </c>
      <c r="M131" s="16">
        <f>IFERROR(__xludf.DUMMYFUNCTION("VLOOKUP(A131,IMPORTRANGE(""1QZ5UxyNCwadreQAXnQ7oCoH982DjIA-QnZdO7ZoqkC0/edit#gid=0"",""2019-2021!$A$2:$O$250""),7,FALSE)"),145.5)</f>
        <v>145.5</v>
      </c>
      <c r="N131" s="17">
        <f t="shared" si="8"/>
        <v>0.582</v>
      </c>
      <c r="O131" s="17">
        <f t="shared" si="9"/>
        <v>0.082</v>
      </c>
    </row>
    <row r="132">
      <c r="A132" s="19" t="s">
        <v>87</v>
      </c>
      <c r="B132" s="41">
        <f>IFERROR(__xludf.DUMMYFUNCTION("VLOOKUP(A132,IMPORTRANGE(""1EmrnCz2gLVTx5Cbj0e5tfuHPhTtmru8KTGuQvh7STl0/edit#gid=2147150001"",""Whole Data Set!$A$2:$NQ$253""),381,FALSE)"),134.75)</f>
        <v>134.75</v>
      </c>
      <c r="C132" s="58">
        <f t="shared" si="1"/>
        <v>0.539</v>
      </c>
      <c r="D132" s="12">
        <f>IFERROR(__xludf.DUMMYFUNCTION("VLOOKUP(A132,IMPORTRANGE(""1aFCnJY1qhIj8-JckJhDJ18aqmVo17tofpQmOjcYa3u8/edit#gid=948248086"",""Whole Data Set!$A$2:$NG$253""),371,FALSE)"),123.0)</f>
        <v>123</v>
      </c>
      <c r="E132" s="13">
        <f t="shared" si="2"/>
        <v>0.492</v>
      </c>
      <c r="F132" s="13">
        <f t="shared" si="3"/>
        <v>0.047</v>
      </c>
      <c r="G132" s="12">
        <f>IFERROR(__xludf.DUMMYFUNCTION("VLOOKUP(A132,IMPORTRANGE(""1QZ5UxyNCwadreQAXnQ7oCoH982DjIA-QnZdO7ZoqkC0/edit#gid=0"",""2019-2021!$A$2:$O$250""),2,FALSE)"),71.5)</f>
        <v>71.5</v>
      </c>
      <c r="H132" s="14">
        <f t="shared" si="4"/>
        <v>0.286</v>
      </c>
      <c r="I132" s="15">
        <f t="shared" si="5"/>
        <v>0.253</v>
      </c>
      <c r="J132" s="16">
        <f>IFERROR(__xludf.DUMMYFUNCTION("VLOOKUP(A132,IMPORTRANGE(""1QZ5UxyNCwadreQAXnQ7oCoH982DjIA-QnZdO7ZoqkC0/edit#gid=0"",""2019-2021!$A$2:$O$250""),4,FALSE)"),67.5)</f>
        <v>67.5</v>
      </c>
      <c r="K132" s="17">
        <f t="shared" si="6"/>
        <v>0.27</v>
      </c>
      <c r="L132" s="17">
        <f t="shared" si="7"/>
        <v>0.269</v>
      </c>
      <c r="M132" s="16">
        <f>IFERROR(__xludf.DUMMYFUNCTION("VLOOKUP(A132,IMPORTRANGE(""1QZ5UxyNCwadreQAXnQ7oCoH982DjIA-QnZdO7ZoqkC0/edit#gid=0"",""2019-2021!$A$2:$O$250""),7,FALSE)"),52.0)</f>
        <v>52</v>
      </c>
      <c r="N132" s="17">
        <f t="shared" si="8"/>
        <v>0.208</v>
      </c>
      <c r="O132" s="17">
        <f t="shared" si="9"/>
        <v>0.331</v>
      </c>
    </row>
    <row r="133">
      <c r="A133" s="19" t="s">
        <v>62</v>
      </c>
      <c r="B133" s="41">
        <f>IFERROR(__xludf.DUMMYFUNCTION("VLOOKUP(A133,IMPORTRANGE(""1EmrnCz2gLVTx5Cbj0e5tfuHPhTtmru8KTGuQvh7STl0/edit#gid=2147150001"",""Whole Data Set!$A$2:$NQ$253""),381,FALSE)"),3.0)</f>
        <v>3</v>
      </c>
      <c r="C133" s="58">
        <f t="shared" si="1"/>
        <v>0.012</v>
      </c>
      <c r="D133" s="12">
        <f>IFERROR(__xludf.DUMMYFUNCTION("VLOOKUP(A133,IMPORTRANGE(""1aFCnJY1qhIj8-JckJhDJ18aqmVo17tofpQmOjcYa3u8/edit#gid=948248086"",""Whole Data Set!$A$2:$NG$253""),371,FALSE)"),119.0)</f>
        <v>119</v>
      </c>
      <c r="E133" s="13">
        <f t="shared" si="2"/>
        <v>0.476</v>
      </c>
      <c r="F133" s="13">
        <f t="shared" si="3"/>
        <v>-0.464</v>
      </c>
      <c r="G133" s="12">
        <f>IFERROR(__xludf.DUMMYFUNCTION("VLOOKUP(A133,IMPORTRANGE(""1QZ5UxyNCwadreQAXnQ7oCoH982DjIA-QnZdO7ZoqkC0/edit#gid=0"",""2019-2021!$A$2:$O$250""),2,FALSE)"),136.0)</f>
        <v>136</v>
      </c>
      <c r="H133" s="14">
        <f t="shared" si="4"/>
        <v>0.544</v>
      </c>
      <c r="I133" s="15">
        <f t="shared" si="5"/>
        <v>-0.532</v>
      </c>
      <c r="J133" s="16">
        <f>IFERROR(__xludf.DUMMYFUNCTION("VLOOKUP(A133,IMPORTRANGE(""1QZ5UxyNCwadreQAXnQ7oCoH982DjIA-QnZdO7ZoqkC0/edit#gid=0"",""2019-2021!$A$2:$O$250""),4,FALSE)"),173.5)</f>
        <v>173.5</v>
      </c>
      <c r="K133" s="17">
        <f t="shared" si="6"/>
        <v>0.694</v>
      </c>
      <c r="L133" s="17">
        <f t="shared" si="7"/>
        <v>-0.682</v>
      </c>
      <c r="M133" s="16">
        <f>IFERROR(__xludf.DUMMYFUNCTION("VLOOKUP(A133,IMPORTRANGE(""1QZ5UxyNCwadreQAXnQ7oCoH982DjIA-QnZdO7ZoqkC0/edit#gid=0"",""2019-2021!$A$2:$O$250""),7,FALSE)"),160.5)</f>
        <v>160.5</v>
      </c>
      <c r="N133" s="17">
        <f t="shared" si="8"/>
        <v>0.642</v>
      </c>
      <c r="O133" s="17">
        <f t="shared" si="9"/>
        <v>-0.63</v>
      </c>
    </row>
    <row r="134">
      <c r="A134" s="19" t="s">
        <v>193</v>
      </c>
      <c r="B134" s="41">
        <f>IFERROR(__xludf.DUMMYFUNCTION("VLOOKUP(A134,IMPORTRANGE(""1EmrnCz2gLVTx5Cbj0e5tfuHPhTtmru8KTGuQvh7STl0/edit#gid=2147150001"",""Whole Data Set!$A$2:$NQ$253""),381,FALSE)"),4.25)</f>
        <v>4.25</v>
      </c>
      <c r="C134" s="58">
        <f t="shared" si="1"/>
        <v>0.017</v>
      </c>
      <c r="D134" s="12">
        <f>IFERROR(__xludf.DUMMYFUNCTION("VLOOKUP(A134,IMPORTRANGE(""1aFCnJY1qhIj8-JckJhDJ18aqmVo17tofpQmOjcYa3u8/edit#gid=948248086"",""Whole Data Set!$A$2:$NG$253""),371,FALSE)"),7.0)</f>
        <v>7</v>
      </c>
      <c r="E134" s="13">
        <f t="shared" si="2"/>
        <v>0.028</v>
      </c>
      <c r="F134" s="13">
        <f t="shared" si="3"/>
        <v>-0.011</v>
      </c>
      <c r="G134" s="12">
        <f>IFERROR(__xludf.DUMMYFUNCTION("VLOOKUP(A134,IMPORTRANGE(""1QZ5UxyNCwadreQAXnQ7oCoH982DjIA-QnZdO7ZoqkC0/edit#gid=0"",""2019-2021!$A$2:$O$250""),2,FALSE)"),5.5)</f>
        <v>5.5</v>
      </c>
      <c r="H134" s="14">
        <f t="shared" si="4"/>
        <v>0.022</v>
      </c>
      <c r="I134" s="15">
        <f t="shared" si="5"/>
        <v>-0.005</v>
      </c>
      <c r="J134" s="16">
        <f>IFERROR(__xludf.DUMMYFUNCTION("VLOOKUP(A134,IMPORTRANGE(""1QZ5UxyNCwadreQAXnQ7oCoH982DjIA-QnZdO7ZoqkC0/edit#gid=0"",""2019-2021!$A$2:$O$250""),4,FALSE)"),5.5)</f>
        <v>5.5</v>
      </c>
      <c r="K134" s="17">
        <f t="shared" si="6"/>
        <v>0.022</v>
      </c>
      <c r="L134" s="17">
        <f t="shared" si="7"/>
        <v>-0.005</v>
      </c>
      <c r="M134" s="16">
        <f>IFERROR(__xludf.DUMMYFUNCTION("VLOOKUP(A134,IMPORTRANGE(""1QZ5UxyNCwadreQAXnQ7oCoH982DjIA-QnZdO7ZoqkC0/edit#gid=0"",""2019-2021!$A$2:$O$250""),7,FALSE)"),3.5)</f>
        <v>3.5</v>
      </c>
      <c r="N134" s="17">
        <f t="shared" si="8"/>
        <v>0.014</v>
      </c>
      <c r="O134" s="17">
        <f t="shared" si="9"/>
        <v>0.003</v>
      </c>
    </row>
    <row r="135">
      <c r="A135" s="19" t="s">
        <v>194</v>
      </c>
      <c r="B135" s="41">
        <f>IFERROR(__xludf.DUMMYFUNCTION("VLOOKUP(A135,IMPORTRANGE(""1EmrnCz2gLVTx5Cbj0e5tfuHPhTtmru8KTGuQvh7STl0/edit#gid=2147150001"",""Whole Data Set!$A$2:$NQ$253""),381,FALSE)"),78.75)</f>
        <v>78.75</v>
      </c>
      <c r="C135" s="58">
        <f t="shared" si="1"/>
        <v>0.315</v>
      </c>
      <c r="D135" s="12">
        <f>IFERROR(__xludf.DUMMYFUNCTION("VLOOKUP(A135,IMPORTRANGE(""1aFCnJY1qhIj8-JckJhDJ18aqmVo17tofpQmOjcYa3u8/edit#gid=948248086"",""Whole Data Set!$A$2:$NG$253""),371,FALSE)"),67.25)</f>
        <v>67.25</v>
      </c>
      <c r="E135" s="13">
        <f t="shared" si="2"/>
        <v>0.269</v>
      </c>
      <c r="F135" s="13">
        <f t="shared" si="3"/>
        <v>0.046</v>
      </c>
      <c r="G135" s="12">
        <f>IFERROR(__xludf.DUMMYFUNCTION("VLOOKUP(A135,IMPORTRANGE(""1QZ5UxyNCwadreQAXnQ7oCoH982DjIA-QnZdO7ZoqkC0/edit#gid=0"",""2019-2021!$A$2:$O$250""),2,FALSE)"),55.0)</f>
        <v>55</v>
      </c>
      <c r="H135" s="14">
        <f t="shared" si="4"/>
        <v>0.22</v>
      </c>
      <c r="I135" s="15">
        <f t="shared" si="5"/>
        <v>0.095</v>
      </c>
      <c r="J135" s="16">
        <f>IFERROR(__xludf.DUMMYFUNCTION("VLOOKUP(A135,IMPORTRANGE(""1QZ5UxyNCwadreQAXnQ7oCoH982DjIA-QnZdO7ZoqkC0/edit#gid=0"",""2019-2021!$A$2:$O$250""),4,FALSE)"),55.5)</f>
        <v>55.5</v>
      </c>
      <c r="K135" s="17">
        <f t="shared" si="6"/>
        <v>0.222</v>
      </c>
      <c r="L135" s="17">
        <f t="shared" si="7"/>
        <v>0.093</v>
      </c>
      <c r="M135" s="16">
        <f>IFERROR(__xludf.DUMMYFUNCTION("VLOOKUP(A135,IMPORTRANGE(""1QZ5UxyNCwadreQAXnQ7oCoH982DjIA-QnZdO7ZoqkC0/edit#gid=0"",""2019-2021!$A$2:$O$250""),7,FALSE)"),22.0)</f>
        <v>22</v>
      </c>
      <c r="N135" s="17">
        <f t="shared" si="8"/>
        <v>0.088</v>
      </c>
      <c r="O135" s="17">
        <f t="shared" si="9"/>
        <v>0.227</v>
      </c>
    </row>
    <row r="136">
      <c r="A136" s="42" t="s">
        <v>44</v>
      </c>
      <c r="B136" s="41">
        <f>IFERROR(__xludf.DUMMYFUNCTION("VLOOKUP(A136,IMPORTRANGE(""1EmrnCz2gLVTx5Cbj0e5tfuHPhTtmru8KTGuQvh7STl0/edit#gid=2147150001"",""Whole Data Set!$A$2:$NQ$253""),381,FALSE)"),15.25)</f>
        <v>15.25</v>
      </c>
      <c r="C136" s="58">
        <f t="shared" si="1"/>
        <v>0.061</v>
      </c>
      <c r="D136" s="12">
        <f>IFERROR(__xludf.DUMMYFUNCTION("VLOOKUP(A136,IMPORTRANGE(""1aFCnJY1qhIj8-JckJhDJ18aqmVo17tofpQmOjcYa3u8/edit#gid=948248086"",""Whole Data Set!$A$2:$NG$253""),371,FALSE)"),16.5)</f>
        <v>16.5</v>
      </c>
      <c r="E136" s="13">
        <f t="shared" si="2"/>
        <v>0.066</v>
      </c>
      <c r="F136" s="13">
        <f t="shared" si="3"/>
        <v>-0.005</v>
      </c>
      <c r="G136" s="12">
        <f>IFERROR(__xludf.DUMMYFUNCTION("VLOOKUP(A136,IMPORTRANGE(""1QZ5UxyNCwadreQAXnQ7oCoH982DjIA-QnZdO7ZoqkC0/edit#gid=0"",""2019-2021!$A$2:$O$250""),2,FALSE)"),15.25)</f>
        <v>15.25</v>
      </c>
      <c r="H136" s="14">
        <f t="shared" si="4"/>
        <v>0.061</v>
      </c>
      <c r="I136" s="15">
        <f t="shared" si="5"/>
        <v>0</v>
      </c>
      <c r="J136" s="16">
        <f>IFERROR(__xludf.DUMMYFUNCTION("VLOOKUP(A136,IMPORTRANGE(""1QZ5UxyNCwadreQAXnQ7oCoH982DjIA-QnZdO7ZoqkC0/edit#gid=0"",""2019-2021!$A$2:$O$250""),4,FALSE)"),21.0)</f>
        <v>21</v>
      </c>
      <c r="K136" s="17">
        <f t="shared" si="6"/>
        <v>0.084</v>
      </c>
      <c r="L136" s="17">
        <f t="shared" si="7"/>
        <v>-0.023</v>
      </c>
      <c r="M136" s="16">
        <f>IFERROR(__xludf.DUMMYFUNCTION("VLOOKUP(A136,IMPORTRANGE(""1QZ5UxyNCwadreQAXnQ7oCoH982DjIA-QnZdO7ZoqkC0/edit#gid=0"",""2019-2021!$A$2:$O$250""),7,FALSE)"),20.0)</f>
        <v>20</v>
      </c>
      <c r="N136" s="17">
        <f t="shared" si="8"/>
        <v>0.08</v>
      </c>
      <c r="O136" s="17">
        <f t="shared" si="9"/>
        <v>-0.019</v>
      </c>
    </row>
    <row r="137">
      <c r="A137" s="42" t="s">
        <v>90</v>
      </c>
      <c r="B137" s="41">
        <f>IFERROR(__xludf.DUMMYFUNCTION("VLOOKUP(A137,IMPORTRANGE(""1EmrnCz2gLVTx5Cbj0e5tfuHPhTtmru8KTGuQvh7STl0/edit#gid=2147150001"",""Whole Data Set!$A$2:$NQ$253""),381,FALSE)"),83.75)</f>
        <v>83.75</v>
      </c>
      <c r="C137" s="58">
        <f t="shared" si="1"/>
        <v>0.335</v>
      </c>
      <c r="D137" s="12">
        <f>IFERROR(__xludf.DUMMYFUNCTION("VLOOKUP(A137,IMPORTRANGE(""1aFCnJY1qhIj8-JckJhDJ18aqmVo17tofpQmOjcYa3u8/edit#gid=948248086"",""Whole Data Set!$A$2:$NG$253""),371,FALSE)"),94.5)</f>
        <v>94.5</v>
      </c>
      <c r="E137" s="13">
        <f t="shared" si="2"/>
        <v>0.378</v>
      </c>
      <c r="F137" s="13">
        <f t="shared" si="3"/>
        <v>-0.043</v>
      </c>
      <c r="G137" s="12">
        <f>IFERROR(__xludf.DUMMYFUNCTION("VLOOKUP(A137,IMPORTRANGE(""1QZ5UxyNCwadreQAXnQ7oCoH982DjIA-QnZdO7ZoqkC0/edit#gid=0"",""2019-2021!$A$2:$O$250""),2,FALSE)"),85.0)</f>
        <v>85</v>
      </c>
      <c r="H137" s="14">
        <f t="shared" si="4"/>
        <v>0.34</v>
      </c>
      <c r="I137" s="15">
        <f t="shared" si="5"/>
        <v>-0.005</v>
      </c>
      <c r="J137" s="16">
        <f>IFERROR(__xludf.DUMMYFUNCTION("VLOOKUP(A137,IMPORTRANGE(""1QZ5UxyNCwadreQAXnQ7oCoH982DjIA-QnZdO7ZoqkC0/edit#gid=0"",""2019-2021!$A$2:$O$250""),4,FALSE)"),90.5)</f>
        <v>90.5</v>
      </c>
      <c r="K137" s="17">
        <f t="shared" si="6"/>
        <v>0.362</v>
      </c>
      <c r="L137" s="17">
        <f t="shared" si="7"/>
        <v>-0.027</v>
      </c>
      <c r="M137" s="16">
        <f>IFERROR(__xludf.DUMMYFUNCTION("VLOOKUP(A137,IMPORTRANGE(""1QZ5UxyNCwadreQAXnQ7oCoH982DjIA-QnZdO7ZoqkC0/edit#gid=0"",""2019-2021!$A$2:$O$250""),7,FALSE)"),57.5)</f>
        <v>57.5</v>
      </c>
      <c r="N137" s="17">
        <f t="shared" si="8"/>
        <v>0.23</v>
      </c>
      <c r="O137" s="17">
        <f t="shared" si="9"/>
        <v>0.105</v>
      </c>
    </row>
    <row r="138">
      <c r="A138" s="19" t="s">
        <v>91</v>
      </c>
      <c r="B138" s="41">
        <f>IFERROR(__xludf.DUMMYFUNCTION("VLOOKUP(A138,IMPORTRANGE(""1EmrnCz2gLVTx5Cbj0e5tfuHPhTtmru8KTGuQvh7STl0/edit#gid=2147150001"",""Whole Data Set!$A$2:$NQ$253""),381,FALSE)"),106.5)</f>
        <v>106.5</v>
      </c>
      <c r="C138" s="58">
        <f t="shared" si="1"/>
        <v>0.426</v>
      </c>
      <c r="D138" s="12">
        <f>IFERROR(__xludf.DUMMYFUNCTION("VLOOKUP(A138,IMPORTRANGE(""1aFCnJY1qhIj8-JckJhDJ18aqmVo17tofpQmOjcYa3u8/edit#gid=948248086"",""Whole Data Set!$A$2:$NG$253""),371,FALSE)"),67.25)</f>
        <v>67.25</v>
      </c>
      <c r="E138" s="13">
        <f t="shared" si="2"/>
        <v>0.269</v>
      </c>
      <c r="F138" s="13">
        <f t="shared" si="3"/>
        <v>0.157</v>
      </c>
      <c r="G138" s="12">
        <f>IFERROR(__xludf.DUMMYFUNCTION("VLOOKUP(A138,IMPORTRANGE(""1QZ5UxyNCwadreQAXnQ7oCoH982DjIA-QnZdO7ZoqkC0/edit#gid=0"",""2019-2021!$A$2:$O$250""),2,FALSE)"),27.0)</f>
        <v>27</v>
      </c>
      <c r="H138" s="14">
        <f t="shared" si="4"/>
        <v>0.108</v>
      </c>
      <c r="I138" s="15">
        <f t="shared" si="5"/>
        <v>0.318</v>
      </c>
      <c r="J138" s="16">
        <f>IFERROR(__xludf.DUMMYFUNCTION("VLOOKUP(A138,IMPORTRANGE(""1QZ5UxyNCwadreQAXnQ7oCoH982DjIA-QnZdO7ZoqkC0/edit#gid=0"",""2019-2021!$A$2:$O$250""),4,FALSE)"),40.5)</f>
        <v>40.5</v>
      </c>
      <c r="K138" s="17">
        <f t="shared" si="6"/>
        <v>0.162</v>
      </c>
      <c r="L138" s="17">
        <f t="shared" si="7"/>
        <v>0.264</v>
      </c>
      <c r="M138" s="16">
        <f>IFERROR(__xludf.DUMMYFUNCTION("VLOOKUP(A138,IMPORTRANGE(""1QZ5UxyNCwadreQAXnQ7oCoH982DjIA-QnZdO7ZoqkC0/edit#gid=0"",""2019-2021!$A$2:$O$250""),7,FALSE)"),23.0)</f>
        <v>23</v>
      </c>
      <c r="N138" s="17">
        <f t="shared" si="8"/>
        <v>0.092</v>
      </c>
      <c r="O138" s="17">
        <f t="shared" si="9"/>
        <v>0.334</v>
      </c>
    </row>
    <row r="139">
      <c r="A139" s="19" t="s">
        <v>144</v>
      </c>
      <c r="B139" s="41">
        <f>IFERROR(__xludf.DUMMYFUNCTION("VLOOKUP(A139,IMPORTRANGE(""1EmrnCz2gLVTx5Cbj0e5tfuHPhTtmru8KTGuQvh7STl0/edit#gid=2147150001"",""Whole Data Set!$A$2:$NQ$253""),381,FALSE)"),126.5)</f>
        <v>126.5</v>
      </c>
      <c r="C139" s="58">
        <f t="shared" si="1"/>
        <v>0.506</v>
      </c>
      <c r="D139" s="12">
        <f>IFERROR(__xludf.DUMMYFUNCTION("VLOOKUP(A139,IMPORTRANGE(""1aFCnJY1qhIj8-JckJhDJ18aqmVo17tofpQmOjcYa3u8/edit#gid=948248086"",""Whole Data Set!$A$2:$NG$253""),371,FALSE)"),111.25)</f>
        <v>111.25</v>
      </c>
      <c r="E139" s="13">
        <f t="shared" si="2"/>
        <v>0.445</v>
      </c>
      <c r="F139" s="13">
        <f t="shared" si="3"/>
        <v>0.061</v>
      </c>
      <c r="G139" s="12">
        <f>IFERROR(__xludf.DUMMYFUNCTION("VLOOKUP(A139,IMPORTRANGE(""1QZ5UxyNCwadreQAXnQ7oCoH982DjIA-QnZdO7ZoqkC0/edit#gid=0"",""2019-2021!$A$2:$O$250""),2,FALSE)"),120.75)</f>
        <v>120.75</v>
      </c>
      <c r="H139" s="14">
        <f t="shared" si="4"/>
        <v>0.483</v>
      </c>
      <c r="I139" s="15">
        <f t="shared" si="5"/>
        <v>0.023</v>
      </c>
      <c r="J139" s="16">
        <f>IFERROR(__xludf.DUMMYFUNCTION("VLOOKUP(A139,IMPORTRANGE(""1QZ5UxyNCwadreQAXnQ7oCoH982DjIA-QnZdO7ZoqkC0/edit#gid=0"",""2019-2021!$A$2:$O$250""),4,FALSE)"),117.5)</f>
        <v>117.5</v>
      </c>
      <c r="K139" s="17">
        <f t="shared" si="6"/>
        <v>0.47</v>
      </c>
      <c r="L139" s="17">
        <f t="shared" si="7"/>
        <v>0.036</v>
      </c>
      <c r="M139" s="16">
        <f>IFERROR(__xludf.DUMMYFUNCTION("VLOOKUP(A139,IMPORTRANGE(""1QZ5UxyNCwadreQAXnQ7oCoH982DjIA-QnZdO7ZoqkC0/edit#gid=0"",""2019-2021!$A$2:$O$250""),7,FALSE)"),70.5)</f>
        <v>70.5</v>
      </c>
      <c r="N139" s="17">
        <f t="shared" si="8"/>
        <v>0.282</v>
      </c>
      <c r="O139" s="17">
        <f t="shared" si="9"/>
        <v>0.224</v>
      </c>
    </row>
    <row r="140">
      <c r="A140" s="42" t="s">
        <v>92</v>
      </c>
      <c r="B140" s="41">
        <f>IFERROR(__xludf.DUMMYFUNCTION("VLOOKUP(A140,IMPORTRANGE(""1EmrnCz2gLVTx5Cbj0e5tfuHPhTtmru8KTGuQvh7STl0/edit#gid=2147150001"",""Whole Data Set!$A$2:$NQ$253""),381,FALSE)"),126.25)</f>
        <v>126.25</v>
      </c>
      <c r="C140" s="58">
        <f t="shared" si="1"/>
        <v>0.505</v>
      </c>
      <c r="D140" s="12">
        <f>IFERROR(__xludf.DUMMYFUNCTION("VLOOKUP(A140,IMPORTRANGE(""1aFCnJY1qhIj8-JckJhDJ18aqmVo17tofpQmOjcYa3u8/edit#gid=948248086"",""Whole Data Set!$A$2:$NG$253""),371,FALSE)"),116.5)</f>
        <v>116.5</v>
      </c>
      <c r="E140" s="13">
        <f t="shared" si="2"/>
        <v>0.466</v>
      </c>
      <c r="F140" s="13">
        <f t="shared" si="3"/>
        <v>0.039</v>
      </c>
      <c r="G140" s="12">
        <f>IFERROR(__xludf.DUMMYFUNCTION("VLOOKUP(A140,IMPORTRANGE(""1QZ5UxyNCwadreQAXnQ7oCoH982DjIA-QnZdO7ZoqkC0/edit#gid=0"",""2019-2021!$A$2:$O$250""),2,FALSE)"),107.0)</f>
        <v>107</v>
      </c>
      <c r="H140" s="14">
        <f t="shared" si="4"/>
        <v>0.428</v>
      </c>
      <c r="I140" s="15">
        <f t="shared" si="5"/>
        <v>0.077</v>
      </c>
      <c r="J140" s="16">
        <f>IFERROR(__xludf.DUMMYFUNCTION("VLOOKUP(A140,IMPORTRANGE(""1QZ5UxyNCwadreQAXnQ7oCoH982DjIA-QnZdO7ZoqkC0/edit#gid=0"",""2019-2021!$A$2:$O$250""),4,FALSE)"),117.0)</f>
        <v>117</v>
      </c>
      <c r="K140" s="17">
        <f t="shared" si="6"/>
        <v>0.468</v>
      </c>
      <c r="L140" s="17">
        <f t="shared" si="7"/>
        <v>0.037</v>
      </c>
      <c r="M140" s="16">
        <f>IFERROR(__xludf.DUMMYFUNCTION("VLOOKUP(A140,IMPORTRANGE(""1QZ5UxyNCwadreQAXnQ7oCoH982DjIA-QnZdO7ZoqkC0/edit#gid=0"",""2019-2021!$A$2:$O$250""),7,FALSE)"),94.5)</f>
        <v>94.5</v>
      </c>
      <c r="N140" s="17">
        <f t="shared" si="8"/>
        <v>0.378</v>
      </c>
      <c r="O140" s="17">
        <f t="shared" si="9"/>
        <v>0.127</v>
      </c>
    </row>
    <row r="141">
      <c r="A141" s="42" t="s">
        <v>93</v>
      </c>
      <c r="B141" s="41">
        <f>IFERROR(__xludf.DUMMYFUNCTION("VLOOKUP(A141,IMPORTRANGE(""1EmrnCz2gLVTx5Cbj0e5tfuHPhTtmru8KTGuQvh7STl0/edit#gid=2147150001"",""Whole Data Set!$A$2:$NQ$253""),381,FALSE)"),23.5)</f>
        <v>23.5</v>
      </c>
      <c r="C141" s="58">
        <f t="shared" si="1"/>
        <v>0.094</v>
      </c>
      <c r="D141" s="12">
        <f>IFERROR(__xludf.DUMMYFUNCTION("VLOOKUP(A141,IMPORTRANGE(""1aFCnJY1qhIj8-JckJhDJ18aqmVo17tofpQmOjcYa3u8/edit#gid=948248086"",""Whole Data Set!$A$2:$NG$253""),371,FALSE)"),21.0)</f>
        <v>21</v>
      </c>
      <c r="E141" s="13">
        <f t="shared" si="2"/>
        <v>0.084</v>
      </c>
      <c r="F141" s="13">
        <f t="shared" si="3"/>
        <v>0.01</v>
      </c>
      <c r="G141" s="12">
        <f>IFERROR(__xludf.DUMMYFUNCTION("VLOOKUP(A141,IMPORTRANGE(""1QZ5UxyNCwadreQAXnQ7oCoH982DjIA-QnZdO7ZoqkC0/edit#gid=0"",""2019-2021!$A$2:$O$250""),2,FALSE)"),33.0)</f>
        <v>33</v>
      </c>
      <c r="H141" s="14">
        <f t="shared" si="4"/>
        <v>0.132</v>
      </c>
      <c r="I141" s="15">
        <f t="shared" si="5"/>
        <v>-0.038</v>
      </c>
      <c r="J141" s="16">
        <f>IFERROR(__xludf.DUMMYFUNCTION("VLOOKUP(A141,IMPORTRANGE(""1QZ5UxyNCwadreQAXnQ7oCoH982DjIA-QnZdO7ZoqkC0/edit#gid=0"",""2019-2021!$A$2:$O$250""),4,FALSE)"),47.5)</f>
        <v>47.5</v>
      </c>
      <c r="K141" s="17">
        <f t="shared" si="6"/>
        <v>0.19</v>
      </c>
      <c r="L141" s="17">
        <f t="shared" si="7"/>
        <v>-0.096</v>
      </c>
      <c r="M141" s="16">
        <f>IFERROR(__xludf.DUMMYFUNCTION("VLOOKUP(A141,IMPORTRANGE(""1QZ5UxyNCwadreQAXnQ7oCoH982DjIA-QnZdO7ZoqkC0/edit#gid=0"",""2019-2021!$A$2:$O$250""),7,FALSE)"),53.0)</f>
        <v>53</v>
      </c>
      <c r="N141" s="17">
        <f t="shared" si="8"/>
        <v>0.212</v>
      </c>
      <c r="O141" s="17">
        <f t="shared" si="9"/>
        <v>-0.118</v>
      </c>
    </row>
    <row r="142">
      <c r="A142" s="42" t="s">
        <v>145</v>
      </c>
      <c r="B142" s="41">
        <f>IFERROR(__xludf.DUMMYFUNCTION("VLOOKUP(A142,IMPORTRANGE(""1EmrnCz2gLVTx5Cbj0e5tfuHPhTtmru8KTGuQvh7STl0/edit#gid=2147150001"",""Whole Data Set!$A$2:$NQ$253""),381,FALSE)"),60.0)</f>
        <v>60</v>
      </c>
      <c r="C142" s="58">
        <f t="shared" si="1"/>
        <v>0.24</v>
      </c>
      <c r="D142" s="12">
        <f>IFERROR(__xludf.DUMMYFUNCTION("VLOOKUP(A142,IMPORTRANGE(""1aFCnJY1qhIj8-JckJhDJ18aqmVo17tofpQmOjcYa3u8/edit#gid=948248086"",""Whole Data Set!$A$2:$NG$253""),371,FALSE)"),60.0)</f>
        <v>60</v>
      </c>
      <c r="E142" s="13">
        <f t="shared" si="2"/>
        <v>0.24</v>
      </c>
      <c r="F142" s="13">
        <f t="shared" si="3"/>
        <v>0</v>
      </c>
      <c r="G142" s="12">
        <f>IFERROR(__xludf.DUMMYFUNCTION("VLOOKUP(A142,IMPORTRANGE(""1QZ5UxyNCwadreQAXnQ7oCoH982DjIA-QnZdO7ZoqkC0/edit#gid=0"",""2019-2021!$A$2:$O$250""),2,FALSE)"),63.25)</f>
        <v>63.25</v>
      </c>
      <c r="H142" s="14">
        <f t="shared" si="4"/>
        <v>0.253</v>
      </c>
      <c r="I142" s="15">
        <f t="shared" si="5"/>
        <v>-0.013</v>
      </c>
      <c r="J142" s="16">
        <f>IFERROR(__xludf.DUMMYFUNCTION("VLOOKUP(A142,IMPORTRANGE(""1QZ5UxyNCwadreQAXnQ7oCoH982DjIA-QnZdO7ZoqkC0/edit#gid=0"",""2019-2021!$A$2:$O$250""),4,FALSE)"),51.5)</f>
        <v>51.5</v>
      </c>
      <c r="K142" s="17">
        <f t="shared" si="6"/>
        <v>0.206</v>
      </c>
      <c r="L142" s="17">
        <f t="shared" si="7"/>
        <v>0.034</v>
      </c>
      <c r="M142" s="16">
        <f>IFERROR(__xludf.DUMMYFUNCTION("VLOOKUP(A142,IMPORTRANGE(""1QZ5UxyNCwadreQAXnQ7oCoH982DjIA-QnZdO7ZoqkC0/edit#gid=0"",""2019-2021!$A$2:$O$250""),7,FALSE)"),50.0)</f>
        <v>50</v>
      </c>
      <c r="N142" s="17">
        <f t="shared" si="8"/>
        <v>0.2</v>
      </c>
      <c r="O142" s="17">
        <f t="shared" si="9"/>
        <v>0.04</v>
      </c>
    </row>
    <row r="143">
      <c r="A143" s="19" t="s">
        <v>146</v>
      </c>
      <c r="B143" s="41">
        <f>IFERROR(__xludf.DUMMYFUNCTION("VLOOKUP(A143,IMPORTRANGE(""1EmrnCz2gLVTx5Cbj0e5tfuHPhTtmru8KTGuQvh7STl0/edit#gid=2147150001"",""Whole Data Set!$A$2:$NQ$253""),381,FALSE)"),54.25)</f>
        <v>54.25</v>
      </c>
      <c r="C143" s="58">
        <f t="shared" si="1"/>
        <v>0.217</v>
      </c>
      <c r="D143" s="12">
        <f>IFERROR(__xludf.DUMMYFUNCTION("VLOOKUP(A143,IMPORTRANGE(""1aFCnJY1qhIj8-JckJhDJ18aqmVo17tofpQmOjcYa3u8/edit#gid=948248086"",""Whole Data Set!$A$2:$NG$253""),371,FALSE)"),20.5)</f>
        <v>20.5</v>
      </c>
      <c r="E143" s="13">
        <f t="shared" si="2"/>
        <v>0.082</v>
      </c>
      <c r="F143" s="13">
        <f t="shared" si="3"/>
        <v>0.135</v>
      </c>
      <c r="G143" s="12">
        <f>IFERROR(__xludf.DUMMYFUNCTION("VLOOKUP(A143,IMPORTRANGE(""1QZ5UxyNCwadreQAXnQ7oCoH982DjIA-QnZdO7ZoqkC0/edit#gid=0"",""2019-2021!$A$2:$O$250""),2,FALSE)"),22.0)</f>
        <v>22</v>
      </c>
      <c r="H143" s="14">
        <f t="shared" si="4"/>
        <v>0.088</v>
      </c>
      <c r="I143" s="15">
        <f t="shared" si="5"/>
        <v>0.129</v>
      </c>
      <c r="J143" s="16">
        <f>IFERROR(__xludf.DUMMYFUNCTION("VLOOKUP(A143,IMPORTRANGE(""1QZ5UxyNCwadreQAXnQ7oCoH982DjIA-QnZdO7ZoqkC0/edit#gid=0"",""2019-2021!$A$2:$O$250""),4,FALSE)"),28.5)</f>
        <v>28.5</v>
      </c>
      <c r="K143" s="17">
        <f t="shared" si="6"/>
        <v>0.114</v>
      </c>
      <c r="L143" s="17">
        <f t="shared" si="7"/>
        <v>0.103</v>
      </c>
      <c r="M143" s="16">
        <f>IFERROR(__xludf.DUMMYFUNCTION("VLOOKUP(A143,IMPORTRANGE(""1QZ5UxyNCwadreQAXnQ7oCoH982DjIA-QnZdO7ZoqkC0/edit#gid=0"",""2019-2021!$A$2:$O$250""),7,FALSE)"),23.0)</f>
        <v>23</v>
      </c>
      <c r="N143" s="17">
        <f t="shared" si="8"/>
        <v>0.092</v>
      </c>
      <c r="O143" s="17">
        <f t="shared" si="9"/>
        <v>0.125</v>
      </c>
    </row>
    <row r="144">
      <c r="A144" s="19" t="s">
        <v>195</v>
      </c>
      <c r="B144" s="41">
        <f>IFERROR(__xludf.DUMMYFUNCTION("VLOOKUP(A144,IMPORTRANGE(""1EmrnCz2gLVTx5Cbj0e5tfuHPhTtmru8KTGuQvh7STl0/edit#gid=2147150001"",""Whole Data Set!$A$2:$NQ$253""),381,FALSE)"),16.25)</f>
        <v>16.25</v>
      </c>
      <c r="C144" s="58">
        <f t="shared" si="1"/>
        <v>0.065</v>
      </c>
      <c r="D144" s="12">
        <f>IFERROR(__xludf.DUMMYFUNCTION("VLOOKUP(A144,IMPORTRANGE(""1aFCnJY1qhIj8-JckJhDJ18aqmVo17tofpQmOjcYa3u8/edit#gid=948248086"",""Whole Data Set!$A$2:$NG$253""),371,FALSE)"),16.0)</f>
        <v>16</v>
      </c>
      <c r="E144" s="13">
        <f t="shared" si="2"/>
        <v>0.064</v>
      </c>
      <c r="F144" s="13">
        <f t="shared" si="3"/>
        <v>0.001</v>
      </c>
      <c r="G144" s="12">
        <f>IFERROR(__xludf.DUMMYFUNCTION("VLOOKUP(A144,IMPORTRANGE(""1QZ5UxyNCwadreQAXnQ7oCoH982DjIA-QnZdO7ZoqkC0/edit#gid=0"",""2019-2021!$A$2:$O$250""),2,FALSE)"),20.25)</f>
        <v>20.25</v>
      </c>
      <c r="H144" s="14">
        <f t="shared" si="4"/>
        <v>0.081</v>
      </c>
      <c r="I144" s="15">
        <f t="shared" si="5"/>
        <v>-0.016</v>
      </c>
      <c r="J144" s="16">
        <f>IFERROR(__xludf.DUMMYFUNCTION("VLOOKUP(A144,IMPORTRANGE(""1QZ5UxyNCwadreQAXnQ7oCoH982DjIA-QnZdO7ZoqkC0/edit#gid=0"",""2019-2021!$A$2:$O$250""),4,FALSE)"),20.5)</f>
        <v>20.5</v>
      </c>
      <c r="K144" s="17">
        <f t="shared" si="6"/>
        <v>0.082</v>
      </c>
      <c r="L144" s="17">
        <f t="shared" si="7"/>
        <v>-0.017</v>
      </c>
      <c r="M144" s="16">
        <f>IFERROR(__xludf.DUMMYFUNCTION("VLOOKUP(A144,IMPORTRANGE(""1QZ5UxyNCwadreQAXnQ7oCoH982DjIA-QnZdO7ZoqkC0/edit#gid=0"",""2019-2021!$A$2:$O$250""),7,FALSE)"),16.0)</f>
        <v>16</v>
      </c>
      <c r="N144" s="17">
        <f t="shared" si="8"/>
        <v>0.064</v>
      </c>
      <c r="O144" s="17">
        <f t="shared" si="9"/>
        <v>0.001</v>
      </c>
    </row>
    <row r="145">
      <c r="A145" s="19" t="s">
        <v>196</v>
      </c>
      <c r="B145" s="41">
        <f>IFERROR(__xludf.DUMMYFUNCTION("VLOOKUP(A145,IMPORTRANGE(""1EmrnCz2gLVTx5Cbj0e5tfuHPhTtmru8KTGuQvh7STl0/edit#gid=2147150001"",""Whole Data Set!$A$2:$NQ$253""),381,FALSE)"),117.75)</f>
        <v>117.75</v>
      </c>
      <c r="C145" s="58">
        <f t="shared" si="1"/>
        <v>0.471</v>
      </c>
      <c r="D145" s="12">
        <f>IFERROR(__xludf.DUMMYFUNCTION("VLOOKUP(A145,IMPORTRANGE(""1aFCnJY1qhIj8-JckJhDJ18aqmVo17tofpQmOjcYa3u8/edit#gid=948248086"",""Whole Data Set!$A$2:$NG$253""),371,FALSE)"),112.5)</f>
        <v>112.5</v>
      </c>
      <c r="E145" s="13">
        <f t="shared" si="2"/>
        <v>0.45</v>
      </c>
      <c r="F145" s="13">
        <f t="shared" si="3"/>
        <v>0.021</v>
      </c>
      <c r="G145" s="12">
        <f>IFERROR(__xludf.DUMMYFUNCTION("VLOOKUP(A145,IMPORTRANGE(""1QZ5UxyNCwadreQAXnQ7oCoH982DjIA-QnZdO7ZoqkC0/edit#gid=0"",""2019-2021!$A$2:$O$250""),2,FALSE)"),131.25)</f>
        <v>131.25</v>
      </c>
      <c r="H145" s="14">
        <f t="shared" si="4"/>
        <v>0.525</v>
      </c>
      <c r="I145" s="15">
        <f t="shared" si="5"/>
        <v>-0.054</v>
      </c>
      <c r="J145" s="16">
        <f>IFERROR(__xludf.DUMMYFUNCTION("VLOOKUP(A145,IMPORTRANGE(""1QZ5UxyNCwadreQAXnQ7oCoH982DjIA-QnZdO7ZoqkC0/edit#gid=0"",""2019-2021!$A$2:$O$250""),4,FALSE)"),84.5)</f>
        <v>84.5</v>
      </c>
      <c r="K145" s="17">
        <f t="shared" si="6"/>
        <v>0.338</v>
      </c>
      <c r="L145" s="17">
        <f t="shared" si="7"/>
        <v>0.133</v>
      </c>
      <c r="M145" s="16">
        <f>IFERROR(__xludf.DUMMYFUNCTION("VLOOKUP(A145,IMPORTRANGE(""1QZ5UxyNCwadreQAXnQ7oCoH982DjIA-QnZdO7ZoqkC0/edit#gid=0"",""2019-2021!$A$2:$O$250""),7,FALSE)"),72.0)</f>
        <v>72</v>
      </c>
      <c r="N145" s="17">
        <f t="shared" si="8"/>
        <v>0.288</v>
      </c>
      <c r="O145" s="17">
        <f t="shared" si="9"/>
        <v>0.183</v>
      </c>
    </row>
    <row r="146">
      <c r="A146" s="19" t="s">
        <v>147</v>
      </c>
      <c r="B146" s="41">
        <f>IFERROR(__xludf.DUMMYFUNCTION("VLOOKUP(A146,IMPORTRANGE(""1EmrnCz2gLVTx5Cbj0e5tfuHPhTtmru8KTGuQvh7STl0/edit#gid=2147150001"",""Whole Data Set!$A$2:$NQ$253""),381,FALSE)"),17.5)</f>
        <v>17.5</v>
      </c>
      <c r="C146" s="58">
        <f t="shared" si="1"/>
        <v>0.07</v>
      </c>
      <c r="D146" s="12">
        <f>IFERROR(__xludf.DUMMYFUNCTION("VLOOKUP(A146,IMPORTRANGE(""1aFCnJY1qhIj8-JckJhDJ18aqmVo17tofpQmOjcYa3u8/edit#gid=948248086"",""Whole Data Set!$A$2:$NG$253""),371,FALSE)"),14.5)</f>
        <v>14.5</v>
      </c>
      <c r="E146" s="13">
        <f t="shared" si="2"/>
        <v>0.058</v>
      </c>
      <c r="F146" s="13">
        <f t="shared" si="3"/>
        <v>0.012</v>
      </c>
      <c r="G146" s="12">
        <f>IFERROR(__xludf.DUMMYFUNCTION("VLOOKUP(A146,IMPORTRANGE(""1QZ5UxyNCwadreQAXnQ7oCoH982DjIA-QnZdO7ZoqkC0/edit#gid=0"",""2019-2021!$A$2:$O$250""),2,FALSE)"),12.25)</f>
        <v>12.25</v>
      </c>
      <c r="H146" s="14">
        <f t="shared" si="4"/>
        <v>0.049</v>
      </c>
      <c r="I146" s="15">
        <f t="shared" si="5"/>
        <v>0.021</v>
      </c>
      <c r="J146" s="16">
        <f>IFERROR(__xludf.DUMMYFUNCTION("VLOOKUP(A146,IMPORTRANGE(""1QZ5UxyNCwadreQAXnQ7oCoH982DjIA-QnZdO7ZoqkC0/edit#gid=0"",""2019-2021!$A$2:$O$250""),4,FALSE)"),15.0)</f>
        <v>15</v>
      </c>
      <c r="K146" s="17">
        <f t="shared" si="6"/>
        <v>0.06</v>
      </c>
      <c r="L146" s="17">
        <f t="shared" si="7"/>
        <v>0.01</v>
      </c>
      <c r="M146" s="16">
        <f>IFERROR(__xludf.DUMMYFUNCTION("VLOOKUP(A146,IMPORTRANGE(""1QZ5UxyNCwadreQAXnQ7oCoH982DjIA-QnZdO7ZoqkC0/edit#gid=0"",""2019-2021!$A$2:$O$250""),7,FALSE)"),16.5)</f>
        <v>16.5</v>
      </c>
      <c r="N146" s="17">
        <f t="shared" si="8"/>
        <v>0.066</v>
      </c>
      <c r="O146" s="17">
        <f t="shared" si="9"/>
        <v>0.004</v>
      </c>
    </row>
    <row r="147">
      <c r="A147" s="19" t="s">
        <v>197</v>
      </c>
      <c r="B147" s="41">
        <f>IFERROR(__xludf.DUMMYFUNCTION("VLOOKUP(A147,IMPORTRANGE(""1EmrnCz2gLVTx5Cbj0e5tfuHPhTtmru8KTGuQvh7STl0/edit#gid=2147150001"",""Whole Data Set!$A$2:$NQ$253""),381,FALSE)"),32.5)</f>
        <v>32.5</v>
      </c>
      <c r="C147" s="58">
        <f t="shared" si="1"/>
        <v>0.13</v>
      </c>
      <c r="D147" s="12">
        <f>IFERROR(__xludf.DUMMYFUNCTION("VLOOKUP(A147,IMPORTRANGE(""1aFCnJY1qhIj8-JckJhDJ18aqmVo17tofpQmOjcYa3u8/edit#gid=948248086"",""Whole Data Set!$A$2:$NG$253""),371,FALSE)"),35.25)</f>
        <v>35.25</v>
      </c>
      <c r="E147" s="13">
        <f t="shared" si="2"/>
        <v>0.141</v>
      </c>
      <c r="F147" s="13">
        <f t="shared" si="3"/>
        <v>-0.011</v>
      </c>
      <c r="G147" s="12">
        <f>IFERROR(__xludf.DUMMYFUNCTION("VLOOKUP(A147,IMPORTRANGE(""1QZ5UxyNCwadreQAXnQ7oCoH982DjIA-QnZdO7ZoqkC0/edit#gid=0"",""2019-2021!$A$2:$O$250""),2,FALSE)"),33.75)</f>
        <v>33.75</v>
      </c>
      <c r="H147" s="14">
        <f t="shared" si="4"/>
        <v>0.135</v>
      </c>
      <c r="I147" s="15">
        <f t="shared" si="5"/>
        <v>-0.005</v>
      </c>
      <c r="J147" s="16">
        <f>IFERROR(__xludf.DUMMYFUNCTION("VLOOKUP(A147,IMPORTRANGE(""1QZ5UxyNCwadreQAXnQ7oCoH982DjIA-QnZdO7ZoqkC0/edit#gid=0"",""2019-2021!$A$2:$O$250""),4,FALSE)"),24.0)</f>
        <v>24</v>
      </c>
      <c r="K147" s="17">
        <f t="shared" si="6"/>
        <v>0.096</v>
      </c>
      <c r="L147" s="17">
        <f t="shared" si="7"/>
        <v>0.034</v>
      </c>
      <c r="M147" s="16">
        <f>IFERROR(__xludf.DUMMYFUNCTION("VLOOKUP(A147,IMPORTRANGE(""1QZ5UxyNCwadreQAXnQ7oCoH982DjIA-QnZdO7ZoqkC0/edit#gid=0"",""2019-2021!$A$2:$O$250""),7,FALSE)"),19.0)</f>
        <v>19</v>
      </c>
      <c r="N147" s="17">
        <f t="shared" si="8"/>
        <v>0.076</v>
      </c>
      <c r="O147" s="17">
        <f t="shared" si="9"/>
        <v>0.054</v>
      </c>
    </row>
    <row r="148">
      <c r="A148" s="19" t="s">
        <v>148</v>
      </c>
      <c r="B148" s="41">
        <f>IFERROR(__xludf.DUMMYFUNCTION("VLOOKUP(A148,IMPORTRANGE(""1EmrnCz2gLVTx5Cbj0e5tfuHPhTtmru8KTGuQvh7STl0/edit#gid=2147150001"",""Whole Data Set!$A$2:$NQ$253""),381,FALSE)"),124.5)</f>
        <v>124.5</v>
      </c>
      <c r="C148" s="58">
        <f t="shared" si="1"/>
        <v>0.498</v>
      </c>
      <c r="D148" s="12">
        <f>IFERROR(__xludf.DUMMYFUNCTION("VLOOKUP(A148,IMPORTRANGE(""1aFCnJY1qhIj8-JckJhDJ18aqmVo17tofpQmOjcYa3u8/edit#gid=948248086"",""Whole Data Set!$A$2:$NG$253""),371,FALSE)"),107.75)</f>
        <v>107.75</v>
      </c>
      <c r="E148" s="13">
        <f t="shared" si="2"/>
        <v>0.431</v>
      </c>
      <c r="F148" s="13">
        <f t="shared" si="3"/>
        <v>0.067</v>
      </c>
      <c r="G148" s="12">
        <f>IFERROR(__xludf.DUMMYFUNCTION("VLOOKUP(A148,IMPORTRANGE(""1QZ5UxyNCwadreQAXnQ7oCoH982DjIA-QnZdO7ZoqkC0/edit#gid=0"",""2019-2021!$A$2:$O$250""),2,FALSE)"),89.5)</f>
        <v>89.5</v>
      </c>
      <c r="H148" s="14">
        <f t="shared" si="4"/>
        <v>0.358</v>
      </c>
      <c r="I148" s="15">
        <f t="shared" si="5"/>
        <v>0.14</v>
      </c>
      <c r="J148" s="16">
        <f>IFERROR(__xludf.DUMMYFUNCTION("VLOOKUP(A148,IMPORTRANGE(""1QZ5UxyNCwadreQAXnQ7oCoH982DjIA-QnZdO7ZoqkC0/edit#gid=0"",""2019-2021!$A$2:$O$250""),4,FALSE)"),110.5)</f>
        <v>110.5</v>
      </c>
      <c r="K148" s="17">
        <f t="shared" si="6"/>
        <v>0.442</v>
      </c>
      <c r="L148" s="17">
        <f t="shared" si="7"/>
        <v>0.056</v>
      </c>
      <c r="M148" s="16">
        <f>IFERROR(__xludf.DUMMYFUNCTION("VLOOKUP(A148,IMPORTRANGE(""1QZ5UxyNCwadreQAXnQ7oCoH982DjIA-QnZdO7ZoqkC0/edit#gid=0"",""2019-2021!$A$2:$O$250""),7,FALSE)"),114.0)</f>
        <v>114</v>
      </c>
      <c r="N148" s="17">
        <f t="shared" si="8"/>
        <v>0.456</v>
      </c>
      <c r="O148" s="17">
        <f t="shared" si="9"/>
        <v>0.042</v>
      </c>
    </row>
    <row r="149">
      <c r="A149" s="19" t="s">
        <v>149</v>
      </c>
      <c r="B149" s="41">
        <f>IFERROR(__xludf.DUMMYFUNCTION("VLOOKUP(A149,IMPORTRANGE(""1EmrnCz2gLVTx5Cbj0e5tfuHPhTtmru8KTGuQvh7STl0/edit#gid=2147150001"",""Whole Data Set!$A$2:$NQ$253""),381,FALSE)"),121.5)</f>
        <v>121.5</v>
      </c>
      <c r="C149" s="58">
        <f t="shared" si="1"/>
        <v>0.486</v>
      </c>
      <c r="D149" s="12">
        <f>IFERROR(__xludf.DUMMYFUNCTION("VLOOKUP(A149,IMPORTRANGE(""1aFCnJY1qhIj8-JckJhDJ18aqmVo17tofpQmOjcYa3u8/edit#gid=948248086"",""Whole Data Set!$A$2:$NG$253""),371,FALSE)"),99.0)</f>
        <v>99</v>
      </c>
      <c r="E149" s="13">
        <f t="shared" si="2"/>
        <v>0.396</v>
      </c>
      <c r="F149" s="13">
        <f t="shared" si="3"/>
        <v>0.09</v>
      </c>
      <c r="G149" s="12">
        <f>IFERROR(__xludf.DUMMYFUNCTION("VLOOKUP(A149,IMPORTRANGE(""1QZ5UxyNCwadreQAXnQ7oCoH982DjIA-QnZdO7ZoqkC0/edit#gid=0"",""2019-2021!$A$2:$O$250""),2,FALSE)"),79.25)</f>
        <v>79.25</v>
      </c>
      <c r="H149" s="14">
        <f t="shared" si="4"/>
        <v>0.317</v>
      </c>
      <c r="I149" s="15">
        <f t="shared" si="5"/>
        <v>0.169</v>
      </c>
      <c r="J149" s="16">
        <f>IFERROR(__xludf.DUMMYFUNCTION("VLOOKUP(A149,IMPORTRANGE(""1QZ5UxyNCwadreQAXnQ7oCoH982DjIA-QnZdO7ZoqkC0/edit#gid=0"",""2019-2021!$A$2:$O$250""),4,FALSE)"),50.5)</f>
        <v>50.5</v>
      </c>
      <c r="K149" s="17">
        <f t="shared" si="6"/>
        <v>0.202</v>
      </c>
      <c r="L149" s="17">
        <f t="shared" si="7"/>
        <v>0.284</v>
      </c>
      <c r="M149" s="16">
        <f>IFERROR(__xludf.DUMMYFUNCTION("VLOOKUP(A149,IMPORTRANGE(""1QZ5UxyNCwadreQAXnQ7oCoH982DjIA-QnZdO7ZoqkC0/edit#gid=0"",""2019-2021!$A$2:$O$250""),7,FALSE)"),51.5)</f>
        <v>51.5</v>
      </c>
      <c r="N149" s="17">
        <f t="shared" si="8"/>
        <v>0.206</v>
      </c>
      <c r="O149" s="17">
        <f t="shared" si="9"/>
        <v>0.28</v>
      </c>
    </row>
    <row r="150">
      <c r="A150" s="19" t="s">
        <v>150</v>
      </c>
      <c r="B150" s="41">
        <f>IFERROR(__xludf.DUMMYFUNCTION("VLOOKUP(A150,IMPORTRANGE(""1EmrnCz2gLVTx5Cbj0e5tfuHPhTtmru8KTGuQvh7STl0/edit#gid=2147150001"",""Whole Data Set!$A$2:$NQ$253""),381,FALSE)"),17.75)</f>
        <v>17.75</v>
      </c>
      <c r="C150" s="58">
        <f t="shared" si="1"/>
        <v>0.071</v>
      </c>
      <c r="D150" s="12">
        <f>IFERROR(__xludf.DUMMYFUNCTION("VLOOKUP(A150,IMPORTRANGE(""1aFCnJY1qhIj8-JckJhDJ18aqmVo17tofpQmOjcYa3u8/edit#gid=948248086"",""Whole Data Set!$A$2:$NG$253""),371,FALSE)"),21.25)</f>
        <v>21.25</v>
      </c>
      <c r="E150" s="13">
        <f t="shared" si="2"/>
        <v>0.085</v>
      </c>
      <c r="F150" s="13">
        <f t="shared" si="3"/>
        <v>-0.014</v>
      </c>
      <c r="G150" s="12">
        <f>IFERROR(__xludf.DUMMYFUNCTION("VLOOKUP(A150,IMPORTRANGE(""1QZ5UxyNCwadreQAXnQ7oCoH982DjIA-QnZdO7ZoqkC0/edit#gid=0"",""2019-2021!$A$2:$O$250""),2,FALSE)"),29.25)</f>
        <v>29.25</v>
      </c>
      <c r="H150" s="14">
        <f t="shared" si="4"/>
        <v>0.117</v>
      </c>
      <c r="I150" s="15">
        <f t="shared" si="5"/>
        <v>-0.046</v>
      </c>
      <c r="J150" s="16">
        <f>IFERROR(__xludf.DUMMYFUNCTION("VLOOKUP(A150,IMPORTRANGE(""1QZ5UxyNCwadreQAXnQ7oCoH982DjIA-QnZdO7ZoqkC0/edit#gid=0"",""2019-2021!$A$2:$O$250""),4,FALSE)"),29.0)</f>
        <v>29</v>
      </c>
      <c r="K150" s="17">
        <f t="shared" si="6"/>
        <v>0.116</v>
      </c>
      <c r="L150" s="17">
        <f t="shared" si="7"/>
        <v>-0.045</v>
      </c>
      <c r="M150" s="16">
        <f>IFERROR(__xludf.DUMMYFUNCTION("VLOOKUP(A150,IMPORTRANGE(""1QZ5UxyNCwadreQAXnQ7oCoH982DjIA-QnZdO7ZoqkC0/edit#gid=0"",""2019-2021!$A$2:$O$250""),7,FALSE)"),24.5)</f>
        <v>24.5</v>
      </c>
      <c r="N150" s="17">
        <f t="shared" si="8"/>
        <v>0.098</v>
      </c>
      <c r="O150" s="17">
        <f t="shared" si="9"/>
        <v>-0.027</v>
      </c>
    </row>
    <row r="151">
      <c r="A151" s="19" t="s">
        <v>81</v>
      </c>
      <c r="B151" s="41">
        <f>IFERROR(__xludf.DUMMYFUNCTION("VLOOKUP(A151,IMPORTRANGE(""1EmrnCz2gLVTx5Cbj0e5tfuHPhTtmru8KTGuQvh7STl0/edit#gid=2147150001"",""Whole Data Set!$A$2:$NQ$253""),381,FALSE)"),93.0)</f>
        <v>93</v>
      </c>
      <c r="C151" s="58">
        <f t="shared" si="1"/>
        <v>0.372</v>
      </c>
      <c r="D151" s="12">
        <f>IFERROR(__xludf.DUMMYFUNCTION("VLOOKUP(A151,IMPORTRANGE(""1aFCnJY1qhIj8-JckJhDJ18aqmVo17tofpQmOjcYa3u8/edit#gid=948248086"",""Whole Data Set!$A$2:$NG$253""),371,FALSE)"),90.0)</f>
        <v>90</v>
      </c>
      <c r="E151" s="13">
        <f t="shared" si="2"/>
        <v>0.36</v>
      </c>
      <c r="F151" s="13">
        <f t="shared" si="3"/>
        <v>0.012</v>
      </c>
      <c r="G151" s="12">
        <f>IFERROR(__xludf.DUMMYFUNCTION("VLOOKUP(A151,IMPORTRANGE(""1QZ5UxyNCwadreQAXnQ7oCoH982DjIA-QnZdO7ZoqkC0/edit#gid=0"",""2019-2021!$A$2:$O$250""),2,FALSE)"),105.25)</f>
        <v>105.25</v>
      </c>
      <c r="H151" s="14">
        <f t="shared" si="4"/>
        <v>0.421</v>
      </c>
      <c r="I151" s="15">
        <f t="shared" si="5"/>
        <v>-0.049</v>
      </c>
      <c r="J151" s="16">
        <f>IFERROR(__xludf.DUMMYFUNCTION("VLOOKUP(A151,IMPORTRANGE(""1QZ5UxyNCwadreQAXnQ7oCoH982DjIA-QnZdO7ZoqkC0/edit#gid=0"",""2019-2021!$A$2:$O$250""),4,FALSE)"),93.5)</f>
        <v>93.5</v>
      </c>
      <c r="K151" s="17">
        <f t="shared" si="6"/>
        <v>0.374</v>
      </c>
      <c r="L151" s="17">
        <f t="shared" si="7"/>
        <v>-0.002</v>
      </c>
      <c r="M151" s="16">
        <f>IFERROR(__xludf.DUMMYFUNCTION("VLOOKUP(A151,IMPORTRANGE(""1QZ5UxyNCwadreQAXnQ7oCoH982DjIA-QnZdO7ZoqkC0/edit#gid=0"",""2019-2021!$A$2:$O$250""),7,FALSE)"),90.5)</f>
        <v>90.5</v>
      </c>
      <c r="N151" s="17">
        <f t="shared" si="8"/>
        <v>0.362</v>
      </c>
      <c r="O151" s="17">
        <f t="shared" si="9"/>
        <v>0.01</v>
      </c>
    </row>
    <row r="152">
      <c r="A152" s="19" t="s">
        <v>151</v>
      </c>
      <c r="B152" s="41">
        <f>IFERROR(__xludf.DUMMYFUNCTION("VLOOKUP(A152,IMPORTRANGE(""1EmrnCz2gLVTx5Cbj0e5tfuHPhTtmru8KTGuQvh7STl0/edit#gid=2147150001"",""Whole Data Set!$A$2:$NQ$253""),381,FALSE)"),107.0)</f>
        <v>107</v>
      </c>
      <c r="C152" s="58">
        <f t="shared" si="1"/>
        <v>0.428</v>
      </c>
      <c r="D152" s="12">
        <f>IFERROR(__xludf.DUMMYFUNCTION("VLOOKUP(A152,IMPORTRANGE(""1aFCnJY1qhIj8-JckJhDJ18aqmVo17tofpQmOjcYa3u8/edit#gid=948248086"",""Whole Data Set!$A$2:$NG$253""),371,FALSE)"),111.75)</f>
        <v>111.75</v>
      </c>
      <c r="E152" s="13">
        <f t="shared" si="2"/>
        <v>0.447</v>
      </c>
      <c r="F152" s="13">
        <f t="shared" si="3"/>
        <v>-0.019</v>
      </c>
      <c r="G152" s="12">
        <f>IFERROR(__xludf.DUMMYFUNCTION("VLOOKUP(A152,IMPORTRANGE(""1QZ5UxyNCwadreQAXnQ7oCoH982DjIA-QnZdO7ZoqkC0/edit#gid=0"",""2019-2021!$A$2:$O$250""),2,FALSE)"),133.5)</f>
        <v>133.5</v>
      </c>
      <c r="H152" s="14">
        <f t="shared" si="4"/>
        <v>0.534</v>
      </c>
      <c r="I152" s="15">
        <f t="shared" si="5"/>
        <v>-0.106</v>
      </c>
      <c r="J152" s="16">
        <f>IFERROR(__xludf.DUMMYFUNCTION("VLOOKUP(A152,IMPORTRANGE(""1QZ5UxyNCwadreQAXnQ7oCoH982DjIA-QnZdO7ZoqkC0/edit#gid=0"",""2019-2021!$A$2:$O$250""),4,FALSE)"),121.0)</f>
        <v>121</v>
      </c>
      <c r="K152" s="17">
        <f t="shared" si="6"/>
        <v>0.484</v>
      </c>
      <c r="L152" s="17">
        <f t="shared" si="7"/>
        <v>-0.056</v>
      </c>
      <c r="M152" s="16">
        <f>IFERROR(__xludf.DUMMYFUNCTION("VLOOKUP(A152,IMPORTRANGE(""1QZ5UxyNCwadreQAXnQ7oCoH982DjIA-QnZdO7ZoqkC0/edit#gid=0"",""2019-2021!$A$2:$O$250""),7,FALSE)"),122.0)</f>
        <v>122</v>
      </c>
      <c r="N152" s="17">
        <f t="shared" si="8"/>
        <v>0.488</v>
      </c>
      <c r="O152" s="17">
        <f t="shared" si="9"/>
        <v>-0.06</v>
      </c>
    </row>
    <row r="153">
      <c r="A153" s="19" t="s">
        <v>198</v>
      </c>
      <c r="B153" s="41">
        <f>IFERROR(__xludf.DUMMYFUNCTION("VLOOKUP(A153,IMPORTRANGE(""1EmrnCz2gLVTx5Cbj0e5tfuHPhTtmru8KTGuQvh7STl0/edit#gid=2147150001"",""Whole Data Set!$A$2:$NQ$253""),381,FALSE)"),64.5)</f>
        <v>64.5</v>
      </c>
      <c r="C153" s="58">
        <f t="shared" si="1"/>
        <v>0.258</v>
      </c>
      <c r="D153" s="12">
        <f>IFERROR(__xludf.DUMMYFUNCTION("VLOOKUP(A153,IMPORTRANGE(""1aFCnJY1qhIj8-JckJhDJ18aqmVo17tofpQmOjcYa3u8/edit#gid=948248086"",""Whole Data Set!$A$2:$NG$253""),371,FALSE)"),59.25)</f>
        <v>59.25</v>
      </c>
      <c r="E153" s="13">
        <f t="shared" si="2"/>
        <v>0.237</v>
      </c>
      <c r="F153" s="13">
        <f t="shared" si="3"/>
        <v>0.021</v>
      </c>
      <c r="G153" s="12">
        <f>IFERROR(__xludf.DUMMYFUNCTION("VLOOKUP(A153,IMPORTRANGE(""1QZ5UxyNCwadreQAXnQ7oCoH982DjIA-QnZdO7ZoqkC0/edit#gid=0"",""2019-2021!$A$2:$O$250""),2,FALSE)"),53.0)</f>
        <v>53</v>
      </c>
      <c r="H153" s="14">
        <f t="shared" si="4"/>
        <v>0.212</v>
      </c>
      <c r="I153" s="15">
        <f t="shared" si="5"/>
        <v>0.046</v>
      </c>
      <c r="J153" s="16">
        <f>IFERROR(__xludf.DUMMYFUNCTION("VLOOKUP(A153,IMPORTRANGE(""1QZ5UxyNCwadreQAXnQ7oCoH982DjIA-QnZdO7ZoqkC0/edit#gid=0"",""2019-2021!$A$2:$O$250""),4,FALSE)"),58.5)</f>
        <v>58.5</v>
      </c>
      <c r="K153" s="17">
        <f t="shared" si="6"/>
        <v>0.234</v>
      </c>
      <c r="L153" s="17">
        <f t="shared" si="7"/>
        <v>0.024</v>
      </c>
      <c r="M153" s="16">
        <f>IFERROR(__xludf.DUMMYFUNCTION("VLOOKUP(A153,IMPORTRANGE(""1QZ5UxyNCwadreQAXnQ7oCoH982DjIA-QnZdO7ZoqkC0/edit#gid=0"",""2019-2021!$A$2:$O$250""),7,FALSE)"),29.0)</f>
        <v>29</v>
      </c>
      <c r="N153" s="17">
        <f t="shared" si="8"/>
        <v>0.116</v>
      </c>
      <c r="O153" s="17">
        <f t="shared" si="9"/>
        <v>0.142</v>
      </c>
    </row>
    <row r="154">
      <c r="A154" s="19" t="s">
        <v>95</v>
      </c>
      <c r="B154" s="41">
        <f>IFERROR(__xludf.DUMMYFUNCTION("VLOOKUP(A154,IMPORTRANGE(""1EmrnCz2gLVTx5Cbj0e5tfuHPhTtmru8KTGuQvh7STl0/edit#gid=2147150001"",""Whole Data Set!$A$2:$NQ$253""),381,FALSE)"),119.75)</f>
        <v>119.75</v>
      </c>
      <c r="C154" s="58">
        <f t="shared" si="1"/>
        <v>0.479</v>
      </c>
      <c r="D154" s="12">
        <f>IFERROR(__xludf.DUMMYFUNCTION("VLOOKUP(A154,IMPORTRANGE(""1aFCnJY1qhIj8-JckJhDJ18aqmVo17tofpQmOjcYa3u8/edit#gid=948248086"",""Whole Data Set!$A$2:$NG$253""),371,FALSE)"),123.5)</f>
        <v>123.5</v>
      </c>
      <c r="E154" s="13">
        <f t="shared" si="2"/>
        <v>0.494</v>
      </c>
      <c r="F154" s="13">
        <f t="shared" si="3"/>
        <v>-0.015</v>
      </c>
      <c r="G154" s="12">
        <f>IFERROR(__xludf.DUMMYFUNCTION("VLOOKUP(A154,IMPORTRANGE(""1QZ5UxyNCwadreQAXnQ7oCoH982DjIA-QnZdO7ZoqkC0/edit#gid=0"",""2019-2021!$A$2:$O$250""),2,FALSE)"),83.75)</f>
        <v>83.75</v>
      </c>
      <c r="H154" s="14">
        <f t="shared" si="4"/>
        <v>0.335</v>
      </c>
      <c r="I154" s="15">
        <f t="shared" si="5"/>
        <v>0.144</v>
      </c>
      <c r="J154" s="16">
        <f>IFERROR(__xludf.DUMMYFUNCTION("VLOOKUP(A154,IMPORTRANGE(""1QZ5UxyNCwadreQAXnQ7oCoH982DjIA-QnZdO7ZoqkC0/edit#gid=0"",""2019-2021!$A$2:$O$250""),4,FALSE)"),108.5)</f>
        <v>108.5</v>
      </c>
      <c r="K154" s="17">
        <f t="shared" si="6"/>
        <v>0.434</v>
      </c>
      <c r="L154" s="17">
        <f t="shared" si="7"/>
        <v>0.045</v>
      </c>
      <c r="M154" s="16">
        <f>IFERROR(__xludf.DUMMYFUNCTION("VLOOKUP(A154,IMPORTRANGE(""1QZ5UxyNCwadreQAXnQ7oCoH982DjIA-QnZdO7ZoqkC0/edit#gid=0"",""2019-2021!$A$2:$O$250""),7,FALSE)"),98.0)</f>
        <v>98</v>
      </c>
      <c r="N154" s="17">
        <f t="shared" si="8"/>
        <v>0.392</v>
      </c>
      <c r="O154" s="17">
        <f t="shared" si="9"/>
        <v>0.087</v>
      </c>
    </row>
    <row r="155">
      <c r="A155" s="19" t="s">
        <v>199</v>
      </c>
      <c r="B155" s="41">
        <f>IFERROR(__xludf.DUMMYFUNCTION("VLOOKUP(A155,IMPORTRANGE(""1EmrnCz2gLVTx5Cbj0e5tfuHPhTtmru8KTGuQvh7STl0/edit#gid=2147150001"",""Whole Data Set!$A$2:$NQ$253""),381,FALSE)"),156.25)</f>
        <v>156.25</v>
      </c>
      <c r="C155" s="58">
        <f t="shared" si="1"/>
        <v>0.625</v>
      </c>
      <c r="D155" s="12">
        <f>IFERROR(__xludf.DUMMYFUNCTION("VLOOKUP(A155,IMPORTRANGE(""1aFCnJY1qhIj8-JckJhDJ18aqmVo17tofpQmOjcYa3u8/edit#gid=948248086"",""Whole Data Set!$A$2:$NG$253""),371,FALSE)"),134.75)</f>
        <v>134.75</v>
      </c>
      <c r="E155" s="13">
        <f t="shared" si="2"/>
        <v>0.539</v>
      </c>
      <c r="F155" s="13">
        <f t="shared" si="3"/>
        <v>0.086</v>
      </c>
      <c r="G155" s="12">
        <f>IFERROR(__xludf.DUMMYFUNCTION("VLOOKUP(A155,IMPORTRANGE(""1QZ5UxyNCwadreQAXnQ7oCoH982DjIA-QnZdO7ZoqkC0/edit#gid=0"",""2019-2021!$A$2:$O$250""),2,FALSE)"),26.75)</f>
        <v>26.75</v>
      </c>
      <c r="H155" s="14">
        <f t="shared" si="4"/>
        <v>0.107</v>
      </c>
      <c r="I155" s="15">
        <f t="shared" si="5"/>
        <v>0.518</v>
      </c>
      <c r="J155" s="16">
        <f>IFERROR(__xludf.DUMMYFUNCTION("VLOOKUP(A155,IMPORTRANGE(""1QZ5UxyNCwadreQAXnQ7oCoH982DjIA-QnZdO7ZoqkC0/edit#gid=0"",""2019-2021!$A$2:$O$250""),4,FALSE)"),33.0)</f>
        <v>33</v>
      </c>
      <c r="K155" s="17">
        <f t="shared" si="6"/>
        <v>0.132</v>
      </c>
      <c r="L155" s="17">
        <f t="shared" si="7"/>
        <v>0.493</v>
      </c>
      <c r="M155" s="16">
        <f>IFERROR(__xludf.DUMMYFUNCTION("VLOOKUP(A155,IMPORTRANGE(""1QZ5UxyNCwadreQAXnQ7oCoH982DjIA-QnZdO7ZoqkC0/edit#gid=0"",""2019-2021!$A$2:$O$250""),7,FALSE)"),13.5)</f>
        <v>13.5</v>
      </c>
      <c r="N155" s="17">
        <f t="shared" si="8"/>
        <v>0.054</v>
      </c>
      <c r="O155" s="17">
        <f t="shared" si="9"/>
        <v>0.571</v>
      </c>
    </row>
    <row r="156">
      <c r="A156" s="42" t="s">
        <v>96</v>
      </c>
      <c r="B156" s="41">
        <f>IFERROR(__xludf.DUMMYFUNCTION("VLOOKUP(A156,IMPORTRANGE(""1EmrnCz2gLVTx5Cbj0e5tfuHPhTtmru8KTGuQvh7STl0/edit#gid=2147150001"",""Whole Data Set!$A$2:$NQ$253""),381,FALSE)"),163.75)</f>
        <v>163.75</v>
      </c>
      <c r="C156" s="58">
        <f t="shared" si="1"/>
        <v>0.655</v>
      </c>
      <c r="D156" s="12">
        <f>IFERROR(__xludf.DUMMYFUNCTION("VLOOKUP(A156,IMPORTRANGE(""1aFCnJY1qhIj8-JckJhDJ18aqmVo17tofpQmOjcYa3u8/edit#gid=948248086"",""Whole Data Set!$A$2:$NG$253""),371,FALSE)"),164.5)</f>
        <v>164.5</v>
      </c>
      <c r="E156" s="13">
        <f t="shared" si="2"/>
        <v>0.658</v>
      </c>
      <c r="F156" s="13">
        <f t="shared" si="3"/>
        <v>-0.003</v>
      </c>
      <c r="G156" s="12">
        <f>IFERROR(__xludf.DUMMYFUNCTION("VLOOKUP(A156,IMPORTRANGE(""1QZ5UxyNCwadreQAXnQ7oCoH982DjIA-QnZdO7ZoqkC0/edit#gid=0"",""2019-2021!$A$2:$O$250""),2,FALSE)"),164.25)</f>
        <v>164.25</v>
      </c>
      <c r="H156" s="14">
        <f t="shared" si="4"/>
        <v>0.657</v>
      </c>
      <c r="I156" s="15">
        <f t="shared" si="5"/>
        <v>-0.002</v>
      </c>
      <c r="J156" s="16">
        <f>IFERROR(__xludf.DUMMYFUNCTION("VLOOKUP(A156,IMPORTRANGE(""1QZ5UxyNCwadreQAXnQ7oCoH982DjIA-QnZdO7ZoqkC0/edit#gid=0"",""2019-2021!$A$2:$O$250""),4,FALSE)"),146.5)</f>
        <v>146.5</v>
      </c>
      <c r="K156" s="17">
        <f t="shared" si="6"/>
        <v>0.586</v>
      </c>
      <c r="L156" s="17">
        <f t="shared" si="7"/>
        <v>0.069</v>
      </c>
      <c r="M156" s="16">
        <f>IFERROR(__xludf.DUMMYFUNCTION("VLOOKUP(A156,IMPORTRANGE(""1QZ5UxyNCwadreQAXnQ7oCoH982DjIA-QnZdO7ZoqkC0/edit#gid=0"",""2019-2021!$A$2:$O$250""),7,FALSE)"),141.5)</f>
        <v>141.5</v>
      </c>
      <c r="N156" s="17">
        <f t="shared" si="8"/>
        <v>0.566</v>
      </c>
      <c r="O156" s="17">
        <f t="shared" si="9"/>
        <v>0.089</v>
      </c>
    </row>
    <row r="157">
      <c r="A157" s="23" t="s">
        <v>97</v>
      </c>
      <c r="B157" s="41">
        <f>IFERROR(__xludf.DUMMYFUNCTION("VLOOKUP(A157,IMPORTRANGE(""1EmrnCz2gLVTx5Cbj0e5tfuHPhTtmru8KTGuQvh7STl0/edit#gid=2147150001"",""Whole Data Set!$A$2:$NQ$253""),381,FALSE)"),163.75)</f>
        <v>163.75</v>
      </c>
      <c r="C157" s="58">
        <f t="shared" si="1"/>
        <v>0.655</v>
      </c>
      <c r="D157" s="12">
        <f>IFERROR(__xludf.DUMMYFUNCTION("VLOOKUP(A157,IMPORTRANGE(""1aFCnJY1qhIj8-JckJhDJ18aqmVo17tofpQmOjcYa3u8/edit#gid=948248086"",""Whole Data Set!$A$2:$NG$253""),371,FALSE)"),164.5)</f>
        <v>164.5</v>
      </c>
      <c r="E157" s="13">
        <f t="shared" si="2"/>
        <v>0.658</v>
      </c>
      <c r="F157" s="13">
        <f t="shared" si="3"/>
        <v>-0.003</v>
      </c>
      <c r="G157" s="12">
        <f>IFERROR(__xludf.DUMMYFUNCTION("VLOOKUP(A157,IMPORTRANGE(""1QZ5UxyNCwadreQAXnQ7oCoH982DjIA-QnZdO7ZoqkC0/edit#gid=0"",""2019-2021!$A$2:$O$250""),2,FALSE)"),164.25)</f>
        <v>164.25</v>
      </c>
      <c r="H157" s="14">
        <f t="shared" si="4"/>
        <v>0.657</v>
      </c>
      <c r="I157" s="15">
        <f t="shared" si="5"/>
        <v>-0.002</v>
      </c>
      <c r="J157" s="16">
        <f>IFERROR(__xludf.DUMMYFUNCTION("VLOOKUP(A157,IMPORTRANGE(""1QZ5UxyNCwadreQAXnQ7oCoH982DjIA-QnZdO7ZoqkC0/edit#gid=0"",""2019-2021!$A$2:$O$250""),4,FALSE)"),146.5)</f>
        <v>146.5</v>
      </c>
      <c r="K157" s="17">
        <f t="shared" si="6"/>
        <v>0.586</v>
      </c>
      <c r="L157" s="17">
        <f t="shared" si="7"/>
        <v>0.069</v>
      </c>
      <c r="M157" s="16">
        <f>IFERROR(__xludf.DUMMYFUNCTION("VLOOKUP(A157,IMPORTRANGE(""1QZ5UxyNCwadreQAXnQ7oCoH982DjIA-QnZdO7ZoqkC0/edit#gid=0"",""2019-2021!$A$2:$O$250""),7,FALSE)"),141.5)</f>
        <v>141.5</v>
      </c>
      <c r="N157" s="17">
        <f t="shared" si="8"/>
        <v>0.566</v>
      </c>
      <c r="O157" s="17">
        <f t="shared" si="9"/>
        <v>0.089</v>
      </c>
    </row>
    <row r="158">
      <c r="A158" s="19" t="s">
        <v>30</v>
      </c>
      <c r="B158" s="41">
        <f>IFERROR(__xludf.DUMMYFUNCTION("VLOOKUP(A158,IMPORTRANGE(""1EmrnCz2gLVTx5Cbj0e5tfuHPhTtmru8KTGuQvh7STl0/edit#gid=2147150001"",""Whole Data Set!$A$2:$NQ$253""),381,FALSE)"),32.75)</f>
        <v>32.75</v>
      </c>
      <c r="C158" s="58">
        <f t="shared" si="1"/>
        <v>0.131</v>
      </c>
      <c r="D158" s="12">
        <f>IFERROR(__xludf.DUMMYFUNCTION("VLOOKUP(A158,IMPORTRANGE(""1aFCnJY1qhIj8-JckJhDJ18aqmVo17tofpQmOjcYa3u8/edit#gid=948248086"",""Whole Data Set!$A$2:$NG$253""),371,FALSE)"),31.75)</f>
        <v>31.75</v>
      </c>
      <c r="E158" s="13">
        <f t="shared" si="2"/>
        <v>0.127</v>
      </c>
      <c r="F158" s="13">
        <f t="shared" si="3"/>
        <v>0.004</v>
      </c>
      <c r="G158" s="12">
        <f>IFERROR(__xludf.DUMMYFUNCTION("VLOOKUP(A158,IMPORTRANGE(""1QZ5UxyNCwadreQAXnQ7oCoH982DjIA-QnZdO7ZoqkC0/edit#gid=0"",""2019-2021!$A$2:$O$250""),2,FALSE)"),32.5)</f>
        <v>32.5</v>
      </c>
      <c r="H158" s="14">
        <f t="shared" si="4"/>
        <v>0.13</v>
      </c>
      <c r="I158" s="15">
        <f t="shared" si="5"/>
        <v>0.001</v>
      </c>
      <c r="J158" s="16">
        <f>IFERROR(__xludf.DUMMYFUNCTION("VLOOKUP(A158,IMPORTRANGE(""1QZ5UxyNCwadreQAXnQ7oCoH982DjIA-QnZdO7ZoqkC0/edit#gid=0"",""2019-2021!$A$2:$O$250""),4,FALSE)"),38.0)</f>
        <v>38</v>
      </c>
      <c r="K158" s="17">
        <f t="shared" si="6"/>
        <v>0.152</v>
      </c>
      <c r="L158" s="17">
        <f t="shared" si="7"/>
        <v>-0.021</v>
      </c>
      <c r="M158" s="16">
        <f>IFERROR(__xludf.DUMMYFUNCTION("VLOOKUP(A158,IMPORTRANGE(""1QZ5UxyNCwadreQAXnQ7oCoH982DjIA-QnZdO7ZoqkC0/edit#gid=0"",""2019-2021!$A$2:$O$250""),7,FALSE)"),37.5)</f>
        <v>37.5</v>
      </c>
      <c r="N158" s="17">
        <f t="shared" si="8"/>
        <v>0.15</v>
      </c>
      <c r="O158" s="17">
        <f t="shared" si="9"/>
        <v>-0.019</v>
      </c>
    </row>
    <row r="159">
      <c r="A159" s="19" t="s">
        <v>200</v>
      </c>
      <c r="B159" s="41">
        <f>IFERROR(__xludf.DUMMYFUNCTION("VLOOKUP(A159,IMPORTRANGE(""1EmrnCz2gLVTx5Cbj0e5tfuHPhTtmru8KTGuQvh7STl0/edit#gid=2147150001"",""Whole Data Set!$A$2:$NQ$253""),381,FALSE)"),22.25)</f>
        <v>22.25</v>
      </c>
      <c r="C159" s="58">
        <f t="shared" si="1"/>
        <v>0.089</v>
      </c>
      <c r="D159" s="12">
        <f>IFERROR(__xludf.DUMMYFUNCTION("VLOOKUP(A159,IMPORTRANGE(""1aFCnJY1qhIj8-JckJhDJ18aqmVo17tofpQmOjcYa3u8/edit#gid=948248086"",""Whole Data Set!$A$2:$NG$253""),371,FALSE)"),23.75)</f>
        <v>23.75</v>
      </c>
      <c r="E159" s="13">
        <f t="shared" si="2"/>
        <v>0.095</v>
      </c>
      <c r="F159" s="13">
        <f t="shared" si="3"/>
        <v>-0.006</v>
      </c>
      <c r="G159" s="12">
        <f>IFERROR(__xludf.DUMMYFUNCTION("VLOOKUP(A159,IMPORTRANGE(""1QZ5UxyNCwadreQAXnQ7oCoH982DjIA-QnZdO7ZoqkC0/edit#gid=0"",""2019-2021!$A$2:$O$250""),2,FALSE)"),34.0)</f>
        <v>34</v>
      </c>
      <c r="H159" s="14">
        <f t="shared" si="4"/>
        <v>0.136</v>
      </c>
      <c r="I159" s="15">
        <f t="shared" si="5"/>
        <v>-0.047</v>
      </c>
      <c r="J159" s="16">
        <f>IFERROR(__xludf.DUMMYFUNCTION("VLOOKUP(A159,IMPORTRANGE(""1QZ5UxyNCwadreQAXnQ7oCoH982DjIA-QnZdO7ZoqkC0/edit#gid=0"",""2019-2021!$A$2:$O$250""),4,FALSE)"),50.5)</f>
        <v>50.5</v>
      </c>
      <c r="K159" s="17">
        <f t="shared" si="6"/>
        <v>0.202</v>
      </c>
      <c r="L159" s="17">
        <f t="shared" si="7"/>
        <v>-0.113</v>
      </c>
      <c r="M159" s="16">
        <f>IFERROR(__xludf.DUMMYFUNCTION("VLOOKUP(A159,IMPORTRANGE(""1QZ5UxyNCwadreQAXnQ7oCoH982DjIA-QnZdO7ZoqkC0/edit#gid=0"",""2019-2021!$A$2:$O$250""),7,FALSE)"),44.0)</f>
        <v>44</v>
      </c>
      <c r="N159" s="17">
        <f t="shared" si="8"/>
        <v>0.176</v>
      </c>
      <c r="O159" s="17">
        <f t="shared" si="9"/>
        <v>-0.087</v>
      </c>
    </row>
    <row r="160">
      <c r="A160" s="19" t="s">
        <v>201</v>
      </c>
      <c r="B160" s="41">
        <f>IFERROR(__xludf.DUMMYFUNCTION("VLOOKUP(A160,IMPORTRANGE(""1EmrnCz2gLVTx5Cbj0e5tfuHPhTtmru8KTGuQvh7STl0/edit#gid=2147150001"",""Whole Data Set!$A$2:$NQ$253""),381,FALSE)"),0.5)</f>
        <v>0.5</v>
      </c>
      <c r="C160" s="58">
        <f t="shared" si="1"/>
        <v>0.002</v>
      </c>
      <c r="D160" s="12">
        <f>IFERROR(__xludf.DUMMYFUNCTION("VLOOKUP(A160,IMPORTRANGE(""1aFCnJY1qhIj8-JckJhDJ18aqmVo17tofpQmOjcYa3u8/edit#gid=948248086"",""Whole Data Set!$A$2:$NG$253""),371,FALSE)"),0.5)</f>
        <v>0.5</v>
      </c>
      <c r="E160" s="13">
        <f t="shared" si="2"/>
        <v>0.002</v>
      </c>
      <c r="F160" s="13">
        <f t="shared" si="3"/>
        <v>0</v>
      </c>
      <c r="G160" s="12">
        <f>IFERROR(__xludf.DUMMYFUNCTION("VLOOKUP(A160,IMPORTRANGE(""1QZ5UxyNCwadreQAXnQ7oCoH982DjIA-QnZdO7ZoqkC0/edit#gid=0"",""2019-2021!$A$2:$O$250""),2,FALSE)"),0.5)</f>
        <v>0.5</v>
      </c>
      <c r="H160" s="14">
        <f t="shared" si="4"/>
        <v>0.002</v>
      </c>
      <c r="I160" s="15">
        <f t="shared" si="5"/>
        <v>0</v>
      </c>
      <c r="J160" s="16">
        <f>IFERROR(__xludf.DUMMYFUNCTION("VLOOKUP(A160,IMPORTRANGE(""1QZ5UxyNCwadreQAXnQ7oCoH982DjIA-QnZdO7ZoqkC0/edit#gid=0"",""2019-2021!$A$2:$O$250""),4,FALSE)"),0.5)</f>
        <v>0.5</v>
      </c>
      <c r="K160" s="17">
        <f t="shared" si="6"/>
        <v>0.002</v>
      </c>
      <c r="L160" s="17">
        <f t="shared" si="7"/>
        <v>0</v>
      </c>
      <c r="M160" s="16">
        <f>IFERROR(__xludf.DUMMYFUNCTION("VLOOKUP(A160,IMPORTRANGE(""1QZ5UxyNCwadreQAXnQ7oCoH982DjIA-QnZdO7ZoqkC0/edit#gid=0"",""2019-2021!$A$2:$O$250""),7,FALSE)"),0.0)</f>
        <v>0</v>
      </c>
      <c r="N160" s="17">
        <f t="shared" si="8"/>
        <v>0</v>
      </c>
      <c r="O160" s="17">
        <f t="shared" si="9"/>
        <v>0.002</v>
      </c>
    </row>
    <row r="161">
      <c r="A161" s="19" t="s">
        <v>202</v>
      </c>
      <c r="B161" s="41">
        <f>IFERROR(__xludf.DUMMYFUNCTION("VLOOKUP(A161,IMPORTRANGE(""1EmrnCz2gLVTx5Cbj0e5tfuHPhTtmru8KTGuQvh7STl0/edit#gid=2147150001"",""Whole Data Set!$A$2:$NQ$253""),381,FALSE)"),125.5)</f>
        <v>125.5</v>
      </c>
      <c r="C161" s="58">
        <f t="shared" si="1"/>
        <v>0.502</v>
      </c>
      <c r="D161" s="12">
        <f>IFERROR(__xludf.DUMMYFUNCTION("VLOOKUP(A161,IMPORTRANGE(""1aFCnJY1qhIj8-JckJhDJ18aqmVo17tofpQmOjcYa3u8/edit#gid=948248086"",""Whole Data Set!$A$2:$NG$253""),371,FALSE)"),106.0)</f>
        <v>106</v>
      </c>
      <c r="E161" s="13">
        <f t="shared" si="2"/>
        <v>0.424</v>
      </c>
      <c r="F161" s="13">
        <f t="shared" si="3"/>
        <v>0.078</v>
      </c>
      <c r="G161" s="12">
        <f>IFERROR(__xludf.DUMMYFUNCTION("VLOOKUP(A161,IMPORTRANGE(""1QZ5UxyNCwadreQAXnQ7oCoH982DjIA-QnZdO7ZoqkC0/edit#gid=0"",""2019-2021!$A$2:$O$250""),2,FALSE)"),105.75)</f>
        <v>105.75</v>
      </c>
      <c r="H161" s="14">
        <f t="shared" si="4"/>
        <v>0.423</v>
      </c>
      <c r="I161" s="15">
        <f t="shared" si="5"/>
        <v>0.079</v>
      </c>
      <c r="J161" s="16">
        <f>IFERROR(__xludf.DUMMYFUNCTION("VLOOKUP(A161,IMPORTRANGE(""1QZ5UxyNCwadreQAXnQ7oCoH982DjIA-QnZdO7ZoqkC0/edit#gid=0"",""2019-2021!$A$2:$O$250""),4,FALSE)"),45.0)</f>
        <v>45</v>
      </c>
      <c r="K161" s="17">
        <f t="shared" si="6"/>
        <v>0.18</v>
      </c>
      <c r="L161" s="17">
        <f t="shared" si="7"/>
        <v>0.322</v>
      </c>
      <c r="M161" s="16">
        <f>IFERROR(__xludf.DUMMYFUNCTION("VLOOKUP(A161,IMPORTRANGE(""1QZ5UxyNCwadreQAXnQ7oCoH982DjIA-QnZdO7ZoqkC0/edit#gid=0"",""2019-2021!$A$2:$O$250""),7,FALSE)"),22.0)</f>
        <v>22</v>
      </c>
      <c r="N161" s="17">
        <f t="shared" si="8"/>
        <v>0.088</v>
      </c>
      <c r="O161" s="17">
        <f t="shared" si="9"/>
        <v>0.414</v>
      </c>
    </row>
    <row r="162">
      <c r="A162" s="42" t="s">
        <v>203</v>
      </c>
      <c r="B162" s="41">
        <f>IFERROR(__xludf.DUMMYFUNCTION("VLOOKUP(A162,IMPORTRANGE(""1EmrnCz2gLVTx5Cbj0e5tfuHPhTtmru8KTGuQvh7STl0/edit#gid=2147150001"",""Whole Data Set!$A$2:$NQ$253""),381,FALSE)"),24.0)</f>
        <v>24</v>
      </c>
      <c r="C162" s="58">
        <f t="shared" si="1"/>
        <v>0.096</v>
      </c>
      <c r="D162" s="12">
        <f>IFERROR(__xludf.DUMMYFUNCTION("VLOOKUP(A162,IMPORTRANGE(""1aFCnJY1qhIj8-JckJhDJ18aqmVo17tofpQmOjcYa3u8/edit#gid=948248086"",""Whole Data Set!$A$2:$NG$253""),371,FALSE)"),9.75)</f>
        <v>9.75</v>
      </c>
      <c r="E162" s="13">
        <f t="shared" si="2"/>
        <v>0.039</v>
      </c>
      <c r="F162" s="13">
        <f t="shared" si="3"/>
        <v>0.057</v>
      </c>
      <c r="G162" s="12">
        <f>IFERROR(__xludf.DUMMYFUNCTION("VLOOKUP(A162,IMPORTRANGE(""1QZ5UxyNCwadreQAXnQ7oCoH982DjIA-QnZdO7ZoqkC0/edit#gid=0"",""2019-2021!$A$2:$O$250""),2,FALSE)"),14.0)</f>
        <v>14</v>
      </c>
      <c r="H162" s="14">
        <f t="shared" si="4"/>
        <v>0.056</v>
      </c>
      <c r="I162" s="15">
        <f t="shared" si="5"/>
        <v>0.04</v>
      </c>
      <c r="J162" s="16">
        <f>IFERROR(__xludf.DUMMYFUNCTION("VLOOKUP(A162,IMPORTRANGE(""1QZ5UxyNCwadreQAXnQ7oCoH982DjIA-QnZdO7ZoqkC0/edit#gid=0"",""2019-2021!$A$2:$O$250""),4,FALSE)"),21.0)</f>
        <v>21</v>
      </c>
      <c r="K162" s="17">
        <f t="shared" si="6"/>
        <v>0.084</v>
      </c>
      <c r="L162" s="17">
        <f t="shared" si="7"/>
        <v>0.012</v>
      </c>
      <c r="M162" s="16">
        <f>IFERROR(__xludf.DUMMYFUNCTION("VLOOKUP(A162,IMPORTRANGE(""1QZ5UxyNCwadreQAXnQ7oCoH982DjIA-QnZdO7ZoqkC0/edit#gid=0"",""2019-2021!$A$2:$O$250""),7,FALSE)"),8.5)</f>
        <v>8.5</v>
      </c>
      <c r="N162" s="17">
        <f t="shared" si="8"/>
        <v>0.034</v>
      </c>
      <c r="O162" s="17">
        <f t="shared" si="9"/>
        <v>0.062</v>
      </c>
    </row>
    <row r="163">
      <c r="A163" s="42" t="s">
        <v>99</v>
      </c>
      <c r="B163" s="41">
        <f>IFERROR(__xludf.DUMMYFUNCTION("VLOOKUP(A163,IMPORTRANGE(""1EmrnCz2gLVTx5Cbj0e5tfuHPhTtmru8KTGuQvh7STl0/edit#gid=2147150001"",""Whole Data Set!$A$2:$NQ$253""),381,FALSE)"),123.75)</f>
        <v>123.75</v>
      </c>
      <c r="C163" s="58">
        <f t="shared" si="1"/>
        <v>0.495</v>
      </c>
      <c r="D163" s="12">
        <f>IFERROR(__xludf.DUMMYFUNCTION("VLOOKUP(A163,IMPORTRANGE(""1aFCnJY1qhIj8-JckJhDJ18aqmVo17tofpQmOjcYa3u8/edit#gid=948248086"",""Whole Data Set!$A$2:$NG$253""),371,FALSE)"),140.75)</f>
        <v>140.75</v>
      </c>
      <c r="E163" s="13">
        <f t="shared" si="2"/>
        <v>0.563</v>
      </c>
      <c r="F163" s="13">
        <f t="shared" si="3"/>
        <v>-0.068</v>
      </c>
      <c r="G163" s="12">
        <f>IFERROR(__xludf.DUMMYFUNCTION("VLOOKUP(A163,IMPORTRANGE(""1QZ5UxyNCwadreQAXnQ7oCoH982DjIA-QnZdO7ZoqkC0/edit#gid=0"",""2019-2021!$A$2:$O$250""),2,FALSE)"),147.5)</f>
        <v>147.5</v>
      </c>
      <c r="H163" s="14">
        <f t="shared" si="4"/>
        <v>0.59</v>
      </c>
      <c r="I163" s="15">
        <f t="shared" si="5"/>
        <v>-0.095</v>
      </c>
      <c r="J163" s="16">
        <f>IFERROR(__xludf.DUMMYFUNCTION("VLOOKUP(A163,IMPORTRANGE(""1QZ5UxyNCwadreQAXnQ7oCoH982DjIA-QnZdO7ZoqkC0/edit#gid=0"",""2019-2021!$A$2:$O$250""),4,FALSE)"),134.5)</f>
        <v>134.5</v>
      </c>
      <c r="K163" s="17">
        <f t="shared" si="6"/>
        <v>0.538</v>
      </c>
      <c r="L163" s="17">
        <f t="shared" si="7"/>
        <v>-0.043</v>
      </c>
      <c r="M163" s="16">
        <f>IFERROR(__xludf.DUMMYFUNCTION("VLOOKUP(A163,IMPORTRANGE(""1QZ5UxyNCwadreQAXnQ7oCoH982DjIA-QnZdO7ZoqkC0/edit#gid=0"",""2019-2021!$A$2:$O$250""),7,FALSE)"),103.0)</f>
        <v>103</v>
      </c>
      <c r="N163" s="17">
        <f t="shared" si="8"/>
        <v>0.412</v>
      </c>
      <c r="O163" s="17">
        <f t="shared" si="9"/>
        <v>0.083</v>
      </c>
    </row>
    <row r="164">
      <c r="A164" s="42" t="s">
        <v>204</v>
      </c>
      <c r="B164" s="41">
        <f>IFERROR(__xludf.DUMMYFUNCTION("VLOOKUP(A164,IMPORTRANGE(""1EmrnCz2gLVTx5Cbj0e5tfuHPhTtmru8KTGuQvh7STl0/edit#gid=2147150001"",""Whole Data Set!$A$2:$NQ$253""),381,FALSE)"),32.75)</f>
        <v>32.75</v>
      </c>
      <c r="C164" s="58">
        <f t="shared" si="1"/>
        <v>0.131</v>
      </c>
      <c r="D164" s="12">
        <f>IFERROR(__xludf.DUMMYFUNCTION("VLOOKUP(A164,IMPORTRANGE(""1aFCnJY1qhIj8-JckJhDJ18aqmVo17tofpQmOjcYa3u8/edit#gid=948248086"",""Whole Data Set!$A$2:$NG$253""),371,FALSE)"),42.75)</f>
        <v>42.75</v>
      </c>
      <c r="E164" s="13">
        <f t="shared" si="2"/>
        <v>0.171</v>
      </c>
      <c r="F164" s="13">
        <f t="shared" si="3"/>
        <v>-0.04</v>
      </c>
      <c r="G164" s="12">
        <f>IFERROR(__xludf.DUMMYFUNCTION("VLOOKUP(A164,IMPORTRANGE(""1QZ5UxyNCwadreQAXnQ7oCoH982DjIA-QnZdO7ZoqkC0/edit#gid=0"",""2019-2021!$A$2:$O$250""),2,FALSE)"),41.0)</f>
        <v>41</v>
      </c>
      <c r="H164" s="14">
        <f t="shared" si="4"/>
        <v>0.164</v>
      </c>
      <c r="I164" s="15">
        <f t="shared" si="5"/>
        <v>-0.033</v>
      </c>
      <c r="J164" s="16">
        <f>IFERROR(__xludf.DUMMYFUNCTION("VLOOKUP(A164,IMPORTRANGE(""1QZ5UxyNCwadreQAXnQ7oCoH982DjIA-QnZdO7ZoqkC0/edit#gid=0"",""2019-2021!$A$2:$O$250""),4,FALSE)"),48.5)</f>
        <v>48.5</v>
      </c>
      <c r="K164" s="17">
        <f t="shared" si="6"/>
        <v>0.194</v>
      </c>
      <c r="L164" s="17">
        <f t="shared" si="7"/>
        <v>-0.063</v>
      </c>
      <c r="M164" s="16">
        <f>IFERROR(__xludf.DUMMYFUNCTION("VLOOKUP(A164,IMPORTRANGE(""1QZ5UxyNCwadreQAXnQ7oCoH982DjIA-QnZdO7ZoqkC0/edit#gid=0"",""2019-2021!$A$2:$O$250""),7,FALSE)"),28.0)</f>
        <v>28</v>
      </c>
      <c r="N164" s="17">
        <f t="shared" si="8"/>
        <v>0.112</v>
      </c>
      <c r="O164" s="17">
        <f t="shared" si="9"/>
        <v>0.019</v>
      </c>
    </row>
    <row r="165">
      <c r="A165" s="19" t="s">
        <v>152</v>
      </c>
      <c r="B165" s="41">
        <f>IFERROR(__xludf.DUMMYFUNCTION("VLOOKUP(A165,IMPORTRANGE(""1EmrnCz2gLVTx5Cbj0e5tfuHPhTtmru8KTGuQvh7STl0/edit#gid=2147150001"",""Whole Data Set!$A$2:$NQ$253""),381,FALSE)"),1.25)</f>
        <v>1.25</v>
      </c>
      <c r="C165" s="58">
        <f t="shared" si="1"/>
        <v>0.005</v>
      </c>
      <c r="D165" s="12">
        <f>IFERROR(__xludf.DUMMYFUNCTION("VLOOKUP(A165,IMPORTRANGE(""1aFCnJY1qhIj8-JckJhDJ18aqmVo17tofpQmOjcYa3u8/edit#gid=948248086"",""Whole Data Set!$A$2:$NG$253""),371,FALSE)"),1.25)</f>
        <v>1.25</v>
      </c>
      <c r="E165" s="13">
        <f t="shared" si="2"/>
        <v>0.005</v>
      </c>
      <c r="F165" s="13">
        <f t="shared" si="3"/>
        <v>0</v>
      </c>
      <c r="G165" s="12">
        <f>IFERROR(__xludf.DUMMYFUNCTION("VLOOKUP(A165,IMPORTRANGE(""1QZ5UxyNCwadreQAXnQ7oCoH982DjIA-QnZdO7ZoqkC0/edit#gid=0"",""2019-2021!$A$2:$O$250""),2,FALSE)"),1.0)</f>
        <v>1</v>
      </c>
      <c r="H165" s="14">
        <f t="shared" si="4"/>
        <v>0.004</v>
      </c>
      <c r="I165" s="15">
        <f t="shared" si="5"/>
        <v>0.001</v>
      </c>
      <c r="J165" s="16">
        <f>IFERROR(__xludf.DUMMYFUNCTION("VLOOKUP(A165,IMPORTRANGE(""1QZ5UxyNCwadreQAXnQ7oCoH982DjIA-QnZdO7ZoqkC0/edit#gid=0"",""2019-2021!$A$2:$O$250""),4,FALSE)"),9.0)</f>
        <v>9</v>
      </c>
      <c r="K165" s="17">
        <f t="shared" si="6"/>
        <v>0.036</v>
      </c>
      <c r="L165" s="17">
        <f t="shared" si="7"/>
        <v>-0.031</v>
      </c>
      <c r="M165" s="16">
        <f>IFERROR(__xludf.DUMMYFUNCTION("VLOOKUP(A165,IMPORTRANGE(""1QZ5UxyNCwadreQAXnQ7oCoH982DjIA-QnZdO7ZoqkC0/edit#gid=0"",""2019-2021!$A$2:$O$250""),7,FALSE)"),8.0)</f>
        <v>8</v>
      </c>
      <c r="N165" s="17">
        <f t="shared" si="8"/>
        <v>0.032</v>
      </c>
      <c r="O165" s="17">
        <f t="shared" si="9"/>
        <v>-0.027</v>
      </c>
    </row>
    <row r="166">
      <c r="A166" s="19" t="s">
        <v>49</v>
      </c>
      <c r="B166" s="41">
        <f>IFERROR(__xludf.DUMMYFUNCTION("VLOOKUP(A166,IMPORTRANGE(""1EmrnCz2gLVTx5Cbj0e5tfuHPhTtmru8KTGuQvh7STl0/edit#gid=2147150001"",""Whole Data Set!$A$2:$NQ$253""),381,FALSE)"),18.0)</f>
        <v>18</v>
      </c>
      <c r="C166" s="58">
        <f t="shared" si="1"/>
        <v>0.072</v>
      </c>
      <c r="D166" s="12">
        <f>IFERROR(__xludf.DUMMYFUNCTION("VLOOKUP(A166,IMPORTRANGE(""1aFCnJY1qhIj8-JckJhDJ18aqmVo17tofpQmOjcYa3u8/edit#gid=948248086"",""Whole Data Set!$A$2:$NG$253""),371,FALSE)"),11.75)</f>
        <v>11.75</v>
      </c>
      <c r="E166" s="13">
        <f t="shared" si="2"/>
        <v>0.047</v>
      </c>
      <c r="F166" s="13">
        <f t="shared" si="3"/>
        <v>0.025</v>
      </c>
      <c r="G166" s="12">
        <f>IFERROR(__xludf.DUMMYFUNCTION("VLOOKUP(A166,IMPORTRANGE(""1QZ5UxyNCwadreQAXnQ7oCoH982DjIA-QnZdO7ZoqkC0/edit#gid=0"",""2019-2021!$A$2:$O$250""),2,FALSE)"),14.5)</f>
        <v>14.5</v>
      </c>
      <c r="H166" s="14">
        <f t="shared" si="4"/>
        <v>0.058</v>
      </c>
      <c r="I166" s="15">
        <f t="shared" si="5"/>
        <v>0.014</v>
      </c>
      <c r="J166" s="16">
        <f>IFERROR(__xludf.DUMMYFUNCTION("VLOOKUP(A166,IMPORTRANGE(""1QZ5UxyNCwadreQAXnQ7oCoH982DjIA-QnZdO7ZoqkC0/edit#gid=0"",""2019-2021!$A$2:$O$250""),4,FALSE)"),25.0)</f>
        <v>25</v>
      </c>
      <c r="K166" s="17">
        <f t="shared" si="6"/>
        <v>0.1</v>
      </c>
      <c r="L166" s="17">
        <f t="shared" si="7"/>
        <v>-0.028</v>
      </c>
      <c r="M166" s="16">
        <f>IFERROR(__xludf.DUMMYFUNCTION("VLOOKUP(A166,IMPORTRANGE(""1QZ5UxyNCwadreQAXnQ7oCoH982DjIA-QnZdO7ZoqkC0/edit#gid=0"",""2019-2021!$A$2:$O$250""),7,FALSE)"),21.5)</f>
        <v>21.5</v>
      </c>
      <c r="N166" s="17">
        <f t="shared" si="8"/>
        <v>0.086</v>
      </c>
      <c r="O166" s="17">
        <f t="shared" si="9"/>
        <v>-0.014</v>
      </c>
    </row>
    <row r="167">
      <c r="A167" s="19" t="s">
        <v>205</v>
      </c>
      <c r="B167" s="41">
        <f>IFERROR(__xludf.DUMMYFUNCTION("VLOOKUP(A167,IMPORTRANGE(""1EmrnCz2gLVTx5Cbj0e5tfuHPhTtmru8KTGuQvh7STl0/edit#gid=2147150001"",""Whole Data Set!$A$2:$NQ$253""),381,FALSE)"),141.75)</f>
        <v>141.75</v>
      </c>
      <c r="C167" s="58">
        <f t="shared" si="1"/>
        <v>0.567</v>
      </c>
      <c r="D167" s="12">
        <f>IFERROR(__xludf.DUMMYFUNCTION("VLOOKUP(A167,IMPORTRANGE(""1aFCnJY1qhIj8-JckJhDJ18aqmVo17tofpQmOjcYa3u8/edit#gid=948248086"",""Whole Data Set!$A$2:$NG$253""),371,FALSE)"),139.0)</f>
        <v>139</v>
      </c>
      <c r="E167" s="13">
        <f t="shared" si="2"/>
        <v>0.556</v>
      </c>
      <c r="F167" s="13">
        <f t="shared" si="3"/>
        <v>0.011</v>
      </c>
      <c r="G167" s="12">
        <f>IFERROR(__xludf.DUMMYFUNCTION("VLOOKUP(A167,IMPORTRANGE(""1QZ5UxyNCwadreQAXnQ7oCoH982DjIA-QnZdO7ZoqkC0/edit#gid=0"",""2019-2021!$A$2:$O$250""),2,FALSE)"),136.25)</f>
        <v>136.25</v>
      </c>
      <c r="H167" s="14">
        <f t="shared" si="4"/>
        <v>0.545</v>
      </c>
      <c r="I167" s="15">
        <f t="shared" si="5"/>
        <v>0.022</v>
      </c>
      <c r="J167" s="16">
        <f>IFERROR(__xludf.DUMMYFUNCTION("VLOOKUP(A167,IMPORTRANGE(""1QZ5UxyNCwadreQAXnQ7oCoH982DjIA-QnZdO7ZoqkC0/edit#gid=0"",""2019-2021!$A$2:$O$250""),4,FALSE)"),43.5)</f>
        <v>43.5</v>
      </c>
      <c r="K167" s="17">
        <f t="shared" si="6"/>
        <v>0.174</v>
      </c>
      <c r="L167" s="17">
        <f t="shared" si="7"/>
        <v>0.393</v>
      </c>
      <c r="M167" s="16">
        <f>IFERROR(__xludf.DUMMYFUNCTION("VLOOKUP(A167,IMPORTRANGE(""1QZ5UxyNCwadreQAXnQ7oCoH982DjIA-QnZdO7ZoqkC0/edit#gid=0"",""2019-2021!$A$2:$O$250""),7,FALSE)"),35.5)</f>
        <v>35.5</v>
      </c>
      <c r="N167" s="17">
        <f t="shared" si="8"/>
        <v>0.142</v>
      </c>
      <c r="O167" s="17">
        <f t="shared" si="9"/>
        <v>0.425</v>
      </c>
    </row>
    <row r="168">
      <c r="A168" s="19" t="s">
        <v>101</v>
      </c>
      <c r="B168" s="41">
        <f>IFERROR(__xludf.DUMMYFUNCTION("VLOOKUP(A168,IMPORTRANGE(""1EmrnCz2gLVTx5Cbj0e5tfuHPhTtmru8KTGuQvh7STl0/edit#gid=2147150001"",""Whole Data Set!$A$2:$NQ$253""),381,FALSE)"),69.25)</f>
        <v>69.25</v>
      </c>
      <c r="C168" s="58">
        <f t="shared" si="1"/>
        <v>0.277</v>
      </c>
      <c r="D168" s="12">
        <f>IFERROR(__xludf.DUMMYFUNCTION("VLOOKUP(A168,IMPORTRANGE(""1aFCnJY1qhIj8-JckJhDJ18aqmVo17tofpQmOjcYa3u8/edit#gid=948248086"",""Whole Data Set!$A$2:$NG$253""),371,FALSE)"),54.75)</f>
        <v>54.75</v>
      </c>
      <c r="E168" s="13">
        <f t="shared" si="2"/>
        <v>0.219</v>
      </c>
      <c r="F168" s="13">
        <f t="shared" si="3"/>
        <v>0.058</v>
      </c>
      <c r="G168" s="12">
        <f>IFERROR(__xludf.DUMMYFUNCTION("VLOOKUP(A168,IMPORTRANGE(""1QZ5UxyNCwadreQAXnQ7oCoH982DjIA-QnZdO7ZoqkC0/edit#gid=0"",""2019-2021!$A$2:$O$250""),2,FALSE)"),53.75)</f>
        <v>53.75</v>
      </c>
      <c r="H168" s="14">
        <f t="shared" si="4"/>
        <v>0.215</v>
      </c>
      <c r="I168" s="15">
        <f t="shared" si="5"/>
        <v>0.062</v>
      </c>
      <c r="J168" s="16">
        <f>IFERROR(__xludf.DUMMYFUNCTION("VLOOKUP(A168,IMPORTRANGE(""1QZ5UxyNCwadreQAXnQ7oCoH982DjIA-QnZdO7ZoqkC0/edit#gid=0"",""2019-2021!$A$2:$O$250""),4,FALSE)"),73.0)</f>
        <v>73</v>
      </c>
      <c r="K168" s="17">
        <f t="shared" si="6"/>
        <v>0.292</v>
      </c>
      <c r="L168" s="17">
        <f t="shared" si="7"/>
        <v>-0.015</v>
      </c>
      <c r="M168" s="16">
        <f>IFERROR(__xludf.DUMMYFUNCTION("VLOOKUP(A168,IMPORTRANGE(""1QZ5UxyNCwadreQAXnQ7oCoH982DjIA-QnZdO7ZoqkC0/edit#gid=0"",""2019-2021!$A$2:$O$250""),7,FALSE)"),69.0)</f>
        <v>69</v>
      </c>
      <c r="N168" s="17">
        <f t="shared" si="8"/>
        <v>0.276</v>
      </c>
      <c r="O168" s="17">
        <f t="shared" si="9"/>
        <v>0.001</v>
      </c>
    </row>
    <row r="169">
      <c r="A169" s="19" t="s">
        <v>102</v>
      </c>
      <c r="B169" s="41">
        <f>IFERROR(__xludf.DUMMYFUNCTION("VLOOKUP(A169,IMPORTRANGE(""1EmrnCz2gLVTx5Cbj0e5tfuHPhTtmru8KTGuQvh7STl0/edit#gid=2147150001"",""Whole Data Set!$A$2:$NQ$253""),381,FALSE)"),126.5)</f>
        <v>126.5</v>
      </c>
      <c r="C169" s="58">
        <f t="shared" si="1"/>
        <v>0.506</v>
      </c>
      <c r="D169" s="12">
        <f>IFERROR(__xludf.DUMMYFUNCTION("VLOOKUP(A169,IMPORTRANGE(""1aFCnJY1qhIj8-JckJhDJ18aqmVo17tofpQmOjcYa3u8/edit#gid=948248086"",""Whole Data Set!$A$2:$NG$253""),371,FALSE)"),123.5)</f>
        <v>123.5</v>
      </c>
      <c r="E169" s="13">
        <f t="shared" si="2"/>
        <v>0.494</v>
      </c>
      <c r="F169" s="13">
        <f t="shared" si="3"/>
        <v>0.012</v>
      </c>
      <c r="G169" s="12">
        <f>IFERROR(__xludf.DUMMYFUNCTION("VLOOKUP(A169,IMPORTRANGE(""1QZ5UxyNCwadreQAXnQ7oCoH982DjIA-QnZdO7ZoqkC0/edit#gid=0"",""2019-2021!$A$2:$O$250""),2,FALSE)"),105.25)</f>
        <v>105.25</v>
      </c>
      <c r="H169" s="14">
        <f t="shared" si="4"/>
        <v>0.421</v>
      </c>
      <c r="I169" s="15">
        <f t="shared" si="5"/>
        <v>0.085</v>
      </c>
      <c r="J169" s="16">
        <f>IFERROR(__xludf.DUMMYFUNCTION("VLOOKUP(A169,IMPORTRANGE(""1QZ5UxyNCwadreQAXnQ7oCoH982DjIA-QnZdO7ZoqkC0/edit#gid=0"",""2019-2021!$A$2:$O$250""),4,FALSE)"),99.0)</f>
        <v>99</v>
      </c>
      <c r="K169" s="17">
        <f t="shared" si="6"/>
        <v>0.396</v>
      </c>
      <c r="L169" s="17">
        <f t="shared" si="7"/>
        <v>0.11</v>
      </c>
      <c r="M169" s="16">
        <f>IFERROR(__xludf.DUMMYFUNCTION("VLOOKUP(A169,IMPORTRANGE(""1QZ5UxyNCwadreQAXnQ7oCoH982DjIA-QnZdO7ZoqkC0/edit#gid=0"",""2019-2021!$A$2:$O$250""),7,FALSE)"),95.5)</f>
        <v>95.5</v>
      </c>
      <c r="N169" s="17">
        <f t="shared" si="8"/>
        <v>0.382</v>
      </c>
      <c r="O169" s="17">
        <f t="shared" si="9"/>
        <v>0.124</v>
      </c>
    </row>
    <row r="170">
      <c r="A170" s="42" t="s">
        <v>103</v>
      </c>
      <c r="B170" s="41">
        <f>IFERROR(__xludf.DUMMYFUNCTION("VLOOKUP(A170,IMPORTRANGE(""1EmrnCz2gLVTx5Cbj0e5tfuHPhTtmru8KTGuQvh7STl0/edit#gid=2147150001"",""Whole Data Set!$A$2:$NQ$253""),381,FALSE)"),182.5)</f>
        <v>182.5</v>
      </c>
      <c r="C170" s="58">
        <f t="shared" si="1"/>
        <v>0.73</v>
      </c>
      <c r="D170" s="12">
        <f>IFERROR(__xludf.DUMMYFUNCTION("VLOOKUP(A170,IMPORTRANGE(""1aFCnJY1qhIj8-JckJhDJ18aqmVo17tofpQmOjcYa3u8/edit#gid=948248086"",""Whole Data Set!$A$2:$NG$253""),371,FALSE)"),158.0)</f>
        <v>158</v>
      </c>
      <c r="E170" s="13">
        <f t="shared" si="2"/>
        <v>0.632</v>
      </c>
      <c r="F170" s="13">
        <f t="shared" si="3"/>
        <v>0.098</v>
      </c>
      <c r="G170" s="12">
        <f>IFERROR(__xludf.DUMMYFUNCTION("VLOOKUP(A170,IMPORTRANGE(""1QZ5UxyNCwadreQAXnQ7oCoH982DjIA-QnZdO7ZoqkC0/edit#gid=0"",""2019-2021!$A$2:$O$250""),2,FALSE)"),149.25)</f>
        <v>149.25</v>
      </c>
      <c r="H170" s="14">
        <f t="shared" si="4"/>
        <v>0.597</v>
      </c>
      <c r="I170" s="15">
        <f t="shared" si="5"/>
        <v>0.133</v>
      </c>
      <c r="J170" s="16">
        <f>IFERROR(__xludf.DUMMYFUNCTION("VLOOKUP(A170,IMPORTRANGE(""1QZ5UxyNCwadreQAXnQ7oCoH982DjIA-QnZdO7ZoqkC0/edit#gid=0"",""2019-2021!$A$2:$O$250""),4,FALSE)"),136.5)</f>
        <v>136.5</v>
      </c>
      <c r="K170" s="17">
        <f t="shared" si="6"/>
        <v>0.546</v>
      </c>
      <c r="L170" s="17">
        <f t="shared" si="7"/>
        <v>0.184</v>
      </c>
      <c r="M170" s="16">
        <f>IFERROR(__xludf.DUMMYFUNCTION("VLOOKUP(A170,IMPORTRANGE(""1QZ5UxyNCwadreQAXnQ7oCoH982DjIA-QnZdO7ZoqkC0/edit#gid=0"",""2019-2021!$A$2:$O$250""),7,FALSE)"),110.0)</f>
        <v>110</v>
      </c>
      <c r="N170" s="17">
        <f t="shared" si="8"/>
        <v>0.44</v>
      </c>
      <c r="O170" s="17">
        <f t="shared" si="9"/>
        <v>0.29</v>
      </c>
    </row>
    <row r="171">
      <c r="A171" s="42" t="s">
        <v>104</v>
      </c>
      <c r="B171" s="41">
        <f>IFERROR(__xludf.DUMMYFUNCTION("VLOOKUP(A171,IMPORTRANGE(""1EmrnCz2gLVTx5Cbj0e5tfuHPhTtmru8KTGuQvh7STl0/edit#gid=2147150001"",""Whole Data Set!$A$2:$NQ$253""),381,FALSE)"),32.5)</f>
        <v>32.5</v>
      </c>
      <c r="C171" s="58">
        <f t="shared" si="1"/>
        <v>0.13</v>
      </c>
      <c r="D171" s="12">
        <f>IFERROR(__xludf.DUMMYFUNCTION("VLOOKUP(A171,IMPORTRANGE(""1aFCnJY1qhIj8-JckJhDJ18aqmVo17tofpQmOjcYa3u8/edit#gid=948248086"",""Whole Data Set!$A$2:$NG$253""),371,FALSE)"),34.75)</f>
        <v>34.75</v>
      </c>
      <c r="E171" s="13">
        <f t="shared" si="2"/>
        <v>0.139</v>
      </c>
      <c r="F171" s="13">
        <f t="shared" si="3"/>
        <v>-0.009</v>
      </c>
      <c r="G171" s="12">
        <f>IFERROR(__xludf.DUMMYFUNCTION("VLOOKUP(A171,IMPORTRANGE(""1QZ5UxyNCwadreQAXnQ7oCoH982DjIA-QnZdO7ZoqkC0/edit#gid=0"",""2019-2021!$A$2:$O$250""),2,FALSE)"),39.25)</f>
        <v>39.25</v>
      </c>
      <c r="H171" s="14">
        <f t="shared" si="4"/>
        <v>0.157</v>
      </c>
      <c r="I171" s="15">
        <f t="shared" si="5"/>
        <v>-0.027</v>
      </c>
      <c r="J171" s="16">
        <f>IFERROR(__xludf.DUMMYFUNCTION("VLOOKUP(A171,IMPORTRANGE(""1QZ5UxyNCwadreQAXnQ7oCoH982DjIA-QnZdO7ZoqkC0/edit#gid=0"",""2019-2021!$A$2:$O$250""),4,FALSE)"),50.5)</f>
        <v>50.5</v>
      </c>
      <c r="K171" s="17">
        <f t="shared" si="6"/>
        <v>0.202</v>
      </c>
      <c r="L171" s="17">
        <f t="shared" si="7"/>
        <v>-0.072</v>
      </c>
      <c r="M171" s="16">
        <f>IFERROR(__xludf.DUMMYFUNCTION("VLOOKUP(A171,IMPORTRANGE(""1QZ5UxyNCwadreQAXnQ7oCoH982DjIA-QnZdO7ZoqkC0/edit#gid=0"",""2019-2021!$A$2:$O$250""),7,FALSE)"),13.5)</f>
        <v>13.5</v>
      </c>
      <c r="N171" s="17">
        <f t="shared" si="8"/>
        <v>0.054</v>
      </c>
      <c r="O171" s="17">
        <f t="shared" si="9"/>
        <v>0.076</v>
      </c>
    </row>
    <row r="172">
      <c r="A172" s="19" t="s">
        <v>153</v>
      </c>
      <c r="B172" s="41">
        <f>IFERROR(__xludf.DUMMYFUNCTION("VLOOKUP(A172,IMPORTRANGE(""1EmrnCz2gLVTx5Cbj0e5tfuHPhTtmru8KTGuQvh7STl0/edit#gid=2147150001"",""Whole Data Set!$A$2:$NQ$253""),381,FALSE)"),43.75)</f>
        <v>43.75</v>
      </c>
      <c r="C172" s="58">
        <f t="shared" si="1"/>
        <v>0.175</v>
      </c>
      <c r="D172" s="12">
        <f>IFERROR(__xludf.DUMMYFUNCTION("VLOOKUP(A172,IMPORTRANGE(""1aFCnJY1qhIj8-JckJhDJ18aqmVo17tofpQmOjcYa3u8/edit#gid=948248086"",""Whole Data Set!$A$2:$NG$253""),371,FALSE)"),12.25)</f>
        <v>12.25</v>
      </c>
      <c r="E172" s="13">
        <f t="shared" si="2"/>
        <v>0.049</v>
      </c>
      <c r="F172" s="13">
        <f t="shared" si="3"/>
        <v>0.126</v>
      </c>
      <c r="G172" s="12">
        <f>IFERROR(__xludf.DUMMYFUNCTION("VLOOKUP(A172,IMPORTRANGE(""1QZ5UxyNCwadreQAXnQ7oCoH982DjIA-QnZdO7ZoqkC0/edit#gid=0"",""2019-2021!$A$2:$O$250""),2,FALSE)"),20.25)</f>
        <v>20.25</v>
      </c>
      <c r="H172" s="14">
        <f t="shared" si="4"/>
        <v>0.081</v>
      </c>
      <c r="I172" s="15">
        <f t="shared" si="5"/>
        <v>0.094</v>
      </c>
      <c r="J172" s="16">
        <f>IFERROR(__xludf.DUMMYFUNCTION("VLOOKUP(A172,IMPORTRANGE(""1QZ5UxyNCwadreQAXnQ7oCoH982DjIA-QnZdO7ZoqkC0/edit#gid=0"",""2019-2021!$A$2:$O$250""),4,FALSE)"),24.5)</f>
        <v>24.5</v>
      </c>
      <c r="K172" s="17">
        <f t="shared" si="6"/>
        <v>0.098</v>
      </c>
      <c r="L172" s="17">
        <f t="shared" si="7"/>
        <v>0.077</v>
      </c>
      <c r="M172" s="16">
        <f>IFERROR(__xludf.DUMMYFUNCTION("VLOOKUP(A172,IMPORTRANGE(""1QZ5UxyNCwadreQAXnQ7oCoH982DjIA-QnZdO7ZoqkC0/edit#gid=0"",""2019-2021!$A$2:$O$250""),7,FALSE)"),25.0)</f>
        <v>25</v>
      </c>
      <c r="N172" s="17">
        <f t="shared" si="8"/>
        <v>0.1</v>
      </c>
      <c r="O172" s="17">
        <f t="shared" si="9"/>
        <v>0.075</v>
      </c>
    </row>
    <row r="173">
      <c r="A173" s="19" t="s">
        <v>154</v>
      </c>
      <c r="B173" s="41">
        <f>IFERROR(__xludf.DUMMYFUNCTION("VLOOKUP(A173,IMPORTRANGE(""1EmrnCz2gLVTx5Cbj0e5tfuHPhTtmru8KTGuQvh7STl0/edit#gid=2147150001"",""Whole Data Set!$A$2:$NQ$253""),381,FALSE)"),0.0)</f>
        <v>0</v>
      </c>
      <c r="C173" s="58">
        <f t="shared" si="1"/>
        <v>0</v>
      </c>
      <c r="D173" s="12">
        <f>IFERROR(__xludf.DUMMYFUNCTION("VLOOKUP(A173,IMPORTRANGE(""1aFCnJY1qhIj8-JckJhDJ18aqmVo17tofpQmOjcYa3u8/edit#gid=948248086"",""Whole Data Set!$A$2:$NG$253""),371,FALSE)"),1.75)</f>
        <v>1.75</v>
      </c>
      <c r="E173" s="13">
        <f t="shared" si="2"/>
        <v>0.007</v>
      </c>
      <c r="F173" s="13">
        <f t="shared" si="3"/>
        <v>-0.007</v>
      </c>
      <c r="G173" s="12">
        <f>IFERROR(__xludf.DUMMYFUNCTION("VLOOKUP(A173,IMPORTRANGE(""1QZ5UxyNCwadreQAXnQ7oCoH982DjIA-QnZdO7ZoqkC0/edit#gid=0"",""2019-2021!$A$2:$O$250""),2,FALSE)"),147.5)</f>
        <v>147.5</v>
      </c>
      <c r="H173" s="14">
        <f t="shared" si="4"/>
        <v>0.59</v>
      </c>
      <c r="I173" s="15">
        <f t="shared" si="5"/>
        <v>-0.59</v>
      </c>
      <c r="J173" s="16">
        <f>IFERROR(__xludf.DUMMYFUNCTION("VLOOKUP(A173,IMPORTRANGE(""1QZ5UxyNCwadreQAXnQ7oCoH982DjIA-QnZdO7ZoqkC0/edit#gid=0"",""2019-2021!$A$2:$O$250""),4,FALSE)"),134.5)</f>
        <v>134.5</v>
      </c>
      <c r="K173" s="17">
        <f t="shared" si="6"/>
        <v>0.538</v>
      </c>
      <c r="L173" s="17">
        <f t="shared" si="7"/>
        <v>-0.538</v>
      </c>
      <c r="M173" s="16">
        <f>IFERROR(__xludf.DUMMYFUNCTION("VLOOKUP(A173,IMPORTRANGE(""1QZ5UxyNCwadreQAXnQ7oCoH982DjIA-QnZdO7ZoqkC0/edit#gid=0"",""2019-2021!$A$2:$O$250""),7,FALSE)"),103.0)</f>
        <v>103</v>
      </c>
      <c r="N173" s="17">
        <f t="shared" si="8"/>
        <v>0.412</v>
      </c>
      <c r="O173" s="17">
        <f t="shared" si="9"/>
        <v>-0.412</v>
      </c>
    </row>
    <row r="174">
      <c r="A174" s="19" t="s">
        <v>155</v>
      </c>
      <c r="B174" s="41">
        <f>IFERROR(__xludf.DUMMYFUNCTION("VLOOKUP(A174,IMPORTRANGE(""1EmrnCz2gLVTx5Cbj0e5tfuHPhTtmru8KTGuQvh7STl0/edit#gid=2147150001"",""Whole Data Set!$A$2:$NQ$253""),381,FALSE)"),162.75)</f>
        <v>162.75</v>
      </c>
      <c r="C174" s="58">
        <f t="shared" si="1"/>
        <v>0.651</v>
      </c>
      <c r="D174" s="12">
        <f>IFERROR(__xludf.DUMMYFUNCTION("VLOOKUP(A174,IMPORTRANGE(""1aFCnJY1qhIj8-JckJhDJ18aqmVo17tofpQmOjcYa3u8/edit#gid=948248086"",""Whole Data Set!$A$2:$NG$253""),371,FALSE)"),161.5)</f>
        <v>161.5</v>
      </c>
      <c r="E174" s="13">
        <f t="shared" si="2"/>
        <v>0.646</v>
      </c>
      <c r="F174" s="13">
        <f t="shared" si="3"/>
        <v>0.005</v>
      </c>
      <c r="G174" s="12">
        <f>IFERROR(__xludf.DUMMYFUNCTION("VLOOKUP(A174,IMPORTRANGE(""1QZ5UxyNCwadreQAXnQ7oCoH982DjIA-QnZdO7ZoqkC0/edit#gid=0"",""2019-2021!$A$2:$O$250""),2,FALSE)"),162.25)</f>
        <v>162.25</v>
      </c>
      <c r="H174" s="14">
        <f t="shared" si="4"/>
        <v>0.649</v>
      </c>
      <c r="I174" s="15">
        <f t="shared" si="5"/>
        <v>0.002</v>
      </c>
      <c r="J174" s="16">
        <f>IFERROR(__xludf.DUMMYFUNCTION("VLOOKUP(A174,IMPORTRANGE(""1QZ5UxyNCwadreQAXnQ7oCoH982DjIA-QnZdO7ZoqkC0/edit#gid=0"",""2019-2021!$A$2:$O$250""),4,FALSE)"),146.5)</f>
        <v>146.5</v>
      </c>
      <c r="K174" s="17">
        <f t="shared" si="6"/>
        <v>0.586</v>
      </c>
      <c r="L174" s="17">
        <f t="shared" si="7"/>
        <v>0.065</v>
      </c>
      <c r="M174" s="16">
        <f>IFERROR(__xludf.DUMMYFUNCTION("VLOOKUP(A174,IMPORTRANGE(""1QZ5UxyNCwadreQAXnQ7oCoH982DjIA-QnZdO7ZoqkC0/edit#gid=0"",""2019-2021!$A$2:$O$250""),7,FALSE)"),141.5)</f>
        <v>141.5</v>
      </c>
      <c r="N174" s="17">
        <f t="shared" si="8"/>
        <v>0.566</v>
      </c>
      <c r="O174" s="17">
        <f t="shared" si="9"/>
        <v>0.085</v>
      </c>
    </row>
    <row r="175">
      <c r="A175" s="19" t="s">
        <v>156</v>
      </c>
      <c r="B175" s="41">
        <f>IFERROR(__xludf.DUMMYFUNCTION("VLOOKUP(A175,IMPORTRANGE(""1EmrnCz2gLVTx5Cbj0e5tfuHPhTtmru8KTGuQvh7STl0/edit#gid=2147150001"",""Whole Data Set!$A$2:$NQ$253""),381,FALSE)"),102.0)</f>
        <v>102</v>
      </c>
      <c r="C175" s="58">
        <f t="shared" si="1"/>
        <v>0.408</v>
      </c>
      <c r="D175" s="12">
        <f>IFERROR(__xludf.DUMMYFUNCTION("VLOOKUP(A175,IMPORTRANGE(""1aFCnJY1qhIj8-JckJhDJ18aqmVo17tofpQmOjcYa3u8/edit#gid=948248086"",""Whole Data Set!$A$2:$NG$253""),371,FALSE)"),90.75)</f>
        <v>90.75</v>
      </c>
      <c r="E175" s="13">
        <f t="shared" si="2"/>
        <v>0.363</v>
      </c>
      <c r="F175" s="13">
        <f t="shared" si="3"/>
        <v>0.045</v>
      </c>
      <c r="G175" s="12">
        <f>IFERROR(__xludf.DUMMYFUNCTION("VLOOKUP(A175,IMPORTRANGE(""1QZ5UxyNCwadreQAXnQ7oCoH982DjIA-QnZdO7ZoqkC0/edit#gid=0"",""2019-2021!$A$2:$O$250""),2,FALSE)"),64.0)</f>
        <v>64</v>
      </c>
      <c r="H175" s="14">
        <f t="shared" si="4"/>
        <v>0.256</v>
      </c>
      <c r="I175" s="15">
        <f t="shared" si="5"/>
        <v>0.152</v>
      </c>
      <c r="J175" s="16">
        <f>IFERROR(__xludf.DUMMYFUNCTION("VLOOKUP(A175,IMPORTRANGE(""1QZ5UxyNCwadreQAXnQ7oCoH982DjIA-QnZdO7ZoqkC0/edit#gid=0"",""2019-2021!$A$2:$O$250""),4,FALSE)"),74.0)</f>
        <v>74</v>
      </c>
      <c r="K175" s="17">
        <f t="shared" si="6"/>
        <v>0.296</v>
      </c>
      <c r="L175" s="17">
        <f t="shared" si="7"/>
        <v>0.112</v>
      </c>
      <c r="M175" s="16">
        <f>IFERROR(__xludf.DUMMYFUNCTION("VLOOKUP(A175,IMPORTRANGE(""1QZ5UxyNCwadreQAXnQ7oCoH982DjIA-QnZdO7ZoqkC0/edit#gid=0"",""2019-2021!$A$2:$O$250""),7,FALSE)"),70.5)</f>
        <v>70.5</v>
      </c>
      <c r="N175" s="17">
        <f t="shared" si="8"/>
        <v>0.282</v>
      </c>
      <c r="O175" s="17">
        <f t="shared" si="9"/>
        <v>0.126</v>
      </c>
    </row>
    <row r="176">
      <c r="A176" s="19" t="s">
        <v>157</v>
      </c>
      <c r="B176" s="41">
        <f>IFERROR(__xludf.DUMMYFUNCTION("VLOOKUP(A176,IMPORTRANGE(""1EmrnCz2gLVTx5Cbj0e5tfuHPhTtmru8KTGuQvh7STl0/edit#gid=2147150001"",""Whole Data Set!$A$2:$NQ$253""),381,FALSE)"),58.75)</f>
        <v>58.75</v>
      </c>
      <c r="C176" s="58">
        <f t="shared" si="1"/>
        <v>0.235</v>
      </c>
      <c r="D176" s="12">
        <f>IFERROR(__xludf.DUMMYFUNCTION("VLOOKUP(A176,IMPORTRANGE(""1aFCnJY1qhIj8-JckJhDJ18aqmVo17tofpQmOjcYa3u8/edit#gid=948248086"",""Whole Data Set!$A$2:$NG$253""),371,FALSE)"),33.0)</f>
        <v>33</v>
      </c>
      <c r="E176" s="13">
        <f t="shared" si="2"/>
        <v>0.132</v>
      </c>
      <c r="F176" s="13">
        <f t="shared" si="3"/>
        <v>0.103</v>
      </c>
      <c r="G176" s="12">
        <f>IFERROR(__xludf.DUMMYFUNCTION("VLOOKUP(A176,IMPORTRANGE(""1QZ5UxyNCwadreQAXnQ7oCoH982DjIA-QnZdO7ZoqkC0/edit#gid=0"",""2019-2021!$A$2:$O$250""),2,FALSE)"),39.0)</f>
        <v>39</v>
      </c>
      <c r="H176" s="14">
        <f t="shared" si="4"/>
        <v>0.156</v>
      </c>
      <c r="I176" s="15">
        <f t="shared" si="5"/>
        <v>0.079</v>
      </c>
      <c r="J176" s="16">
        <f>IFERROR(__xludf.DUMMYFUNCTION("VLOOKUP(A176,IMPORTRANGE(""1QZ5UxyNCwadreQAXnQ7oCoH982DjIA-QnZdO7ZoqkC0/edit#gid=0"",""2019-2021!$A$2:$O$250""),4,FALSE)"),14.5)</f>
        <v>14.5</v>
      </c>
      <c r="K176" s="17">
        <f t="shared" si="6"/>
        <v>0.058</v>
      </c>
      <c r="L176" s="17">
        <f t="shared" si="7"/>
        <v>0.177</v>
      </c>
      <c r="M176" s="16">
        <f>IFERROR(__xludf.DUMMYFUNCTION("VLOOKUP(A176,IMPORTRANGE(""1QZ5UxyNCwadreQAXnQ7oCoH982DjIA-QnZdO7ZoqkC0/edit#gid=0"",""2019-2021!$A$2:$O$250""),7,FALSE)"),21.5)</f>
        <v>21.5</v>
      </c>
      <c r="N176" s="17">
        <f t="shared" si="8"/>
        <v>0.086</v>
      </c>
      <c r="O176" s="17">
        <f t="shared" si="9"/>
        <v>0.149</v>
      </c>
    </row>
    <row r="177">
      <c r="A177" s="19" t="s">
        <v>206</v>
      </c>
      <c r="B177" s="41">
        <f>IFERROR(__xludf.DUMMYFUNCTION("VLOOKUP(A177,IMPORTRANGE(""1EmrnCz2gLVTx5Cbj0e5tfuHPhTtmru8KTGuQvh7STl0/edit#gid=2147150001"",""Whole Data Set!$A$2:$NQ$253""),381,FALSE)"),67.25)</f>
        <v>67.25</v>
      </c>
      <c r="C177" s="58">
        <f t="shared" si="1"/>
        <v>0.269</v>
      </c>
      <c r="D177" s="12">
        <f>IFERROR(__xludf.DUMMYFUNCTION("VLOOKUP(A177,IMPORTRANGE(""1aFCnJY1qhIj8-JckJhDJ18aqmVo17tofpQmOjcYa3u8/edit#gid=948248086"",""Whole Data Set!$A$2:$NG$253""),371,FALSE)"),53.75)</f>
        <v>53.75</v>
      </c>
      <c r="E177" s="13">
        <f t="shared" si="2"/>
        <v>0.215</v>
      </c>
      <c r="F177" s="13">
        <f t="shared" si="3"/>
        <v>0.054</v>
      </c>
      <c r="G177" s="12">
        <f>IFERROR(__xludf.DUMMYFUNCTION("VLOOKUP(A177,IMPORTRANGE(""1QZ5UxyNCwadreQAXnQ7oCoH982DjIA-QnZdO7ZoqkC0/edit#gid=0"",""2019-2021!$A$2:$O$250""),2,FALSE)"),57.0)</f>
        <v>57</v>
      </c>
      <c r="H177" s="14">
        <f t="shared" si="4"/>
        <v>0.228</v>
      </c>
      <c r="I177" s="15">
        <f t="shared" si="5"/>
        <v>0.041</v>
      </c>
      <c r="J177" s="16">
        <f>IFERROR(__xludf.DUMMYFUNCTION("VLOOKUP(A177,IMPORTRANGE(""1QZ5UxyNCwadreQAXnQ7oCoH982DjIA-QnZdO7ZoqkC0/edit#gid=0"",""2019-2021!$A$2:$O$250""),4,FALSE)"),70.5)</f>
        <v>70.5</v>
      </c>
      <c r="K177" s="17">
        <f t="shared" si="6"/>
        <v>0.282</v>
      </c>
      <c r="L177" s="17">
        <f t="shared" si="7"/>
        <v>-0.013</v>
      </c>
      <c r="M177" s="16">
        <f>IFERROR(__xludf.DUMMYFUNCTION("VLOOKUP(A177,IMPORTRANGE(""1QZ5UxyNCwadreQAXnQ7oCoH982DjIA-QnZdO7ZoqkC0/edit#gid=0"",""2019-2021!$A$2:$O$250""),7,FALSE)"),47.0)</f>
        <v>47</v>
      </c>
      <c r="N177" s="17">
        <f t="shared" si="8"/>
        <v>0.188</v>
      </c>
      <c r="O177" s="17">
        <f t="shared" si="9"/>
        <v>0.081</v>
      </c>
    </row>
    <row r="178">
      <c r="A178" s="42" t="s">
        <v>105</v>
      </c>
      <c r="B178" s="41">
        <f>IFERROR(__xludf.DUMMYFUNCTION("VLOOKUP(A178,IMPORTRANGE(""1EmrnCz2gLVTx5Cbj0e5tfuHPhTtmru8KTGuQvh7STl0/edit#gid=2147150001"",""Whole Data Set!$A$2:$NQ$253""),381,FALSE)"),47.25)</f>
        <v>47.25</v>
      </c>
      <c r="C178" s="58">
        <f t="shared" si="1"/>
        <v>0.189</v>
      </c>
      <c r="D178" s="12">
        <f>IFERROR(__xludf.DUMMYFUNCTION("VLOOKUP(A178,IMPORTRANGE(""1aFCnJY1qhIj8-JckJhDJ18aqmVo17tofpQmOjcYa3u8/edit#gid=948248086"",""Whole Data Set!$A$2:$NG$253""),371,FALSE)"),44.75)</f>
        <v>44.75</v>
      </c>
      <c r="E178" s="13">
        <f t="shared" si="2"/>
        <v>0.179</v>
      </c>
      <c r="F178" s="13">
        <f t="shared" si="3"/>
        <v>0.01</v>
      </c>
      <c r="G178" s="12">
        <f>IFERROR(__xludf.DUMMYFUNCTION("VLOOKUP(A178,IMPORTRANGE(""1QZ5UxyNCwadreQAXnQ7oCoH982DjIA-QnZdO7ZoqkC0/edit#gid=0"",""2019-2021!$A$2:$O$250""),2,FALSE)"),54.0)</f>
        <v>54</v>
      </c>
      <c r="H178" s="14">
        <f t="shared" si="4"/>
        <v>0.216</v>
      </c>
      <c r="I178" s="15">
        <f t="shared" si="5"/>
        <v>-0.027</v>
      </c>
      <c r="J178" s="16">
        <f>IFERROR(__xludf.DUMMYFUNCTION("VLOOKUP(A178,IMPORTRANGE(""1QZ5UxyNCwadreQAXnQ7oCoH982DjIA-QnZdO7ZoqkC0/edit#gid=0"",""2019-2021!$A$2:$O$250""),4,FALSE)"),53.0)</f>
        <v>53</v>
      </c>
      <c r="K178" s="17">
        <f t="shared" si="6"/>
        <v>0.212</v>
      </c>
      <c r="L178" s="17">
        <f t="shared" si="7"/>
        <v>-0.023</v>
      </c>
      <c r="M178" s="16">
        <f>IFERROR(__xludf.DUMMYFUNCTION("VLOOKUP(A178,IMPORTRANGE(""1QZ5UxyNCwadreQAXnQ7oCoH982DjIA-QnZdO7ZoqkC0/edit#gid=0"",""2019-2021!$A$2:$O$250""),7,FALSE)"),58.0)</f>
        <v>58</v>
      </c>
      <c r="N178" s="17">
        <f t="shared" si="8"/>
        <v>0.232</v>
      </c>
      <c r="O178" s="17">
        <f t="shared" si="9"/>
        <v>-0.043</v>
      </c>
    </row>
    <row r="179">
      <c r="A179" s="19" t="s">
        <v>56</v>
      </c>
      <c r="B179" s="41">
        <f>IFERROR(__xludf.DUMMYFUNCTION("VLOOKUP(A179,IMPORTRANGE(""1EmrnCz2gLVTx5Cbj0e5tfuHPhTtmru8KTGuQvh7STl0/edit#gid=2147150001"",""Whole Data Set!$A$2:$NQ$253""),381,FALSE)"),57.0)</f>
        <v>57</v>
      </c>
      <c r="C179" s="58">
        <f t="shared" si="1"/>
        <v>0.228</v>
      </c>
      <c r="D179" s="12">
        <f>IFERROR(__xludf.DUMMYFUNCTION("VLOOKUP(A179,IMPORTRANGE(""1aFCnJY1qhIj8-JckJhDJ18aqmVo17tofpQmOjcYa3u8/edit#gid=948248086"",""Whole Data Set!$A$2:$NG$253""),371,FALSE)"),60.5)</f>
        <v>60.5</v>
      </c>
      <c r="E179" s="13">
        <f t="shared" si="2"/>
        <v>0.242</v>
      </c>
      <c r="F179" s="13">
        <f t="shared" si="3"/>
        <v>-0.014</v>
      </c>
      <c r="G179" s="12">
        <f>IFERROR(__xludf.DUMMYFUNCTION("VLOOKUP(A179,IMPORTRANGE(""1QZ5UxyNCwadreQAXnQ7oCoH982DjIA-QnZdO7ZoqkC0/edit#gid=0"",""2019-2021!$A$2:$O$250""),2,FALSE)"),64.25)</f>
        <v>64.25</v>
      </c>
      <c r="H179" s="14">
        <f t="shared" si="4"/>
        <v>0.257</v>
      </c>
      <c r="I179" s="15">
        <f t="shared" si="5"/>
        <v>-0.029</v>
      </c>
      <c r="J179" s="16">
        <f>IFERROR(__xludf.DUMMYFUNCTION("VLOOKUP(A179,IMPORTRANGE(""1QZ5UxyNCwadreQAXnQ7oCoH982DjIA-QnZdO7ZoqkC0/edit#gid=0"",""2019-2021!$A$2:$O$250""),4,FALSE)"),70.0)</f>
        <v>70</v>
      </c>
      <c r="K179" s="17">
        <f t="shared" si="6"/>
        <v>0.28</v>
      </c>
      <c r="L179" s="17">
        <f t="shared" si="7"/>
        <v>-0.052</v>
      </c>
      <c r="M179" s="16">
        <f>IFERROR(__xludf.DUMMYFUNCTION("VLOOKUP(A179,IMPORTRANGE(""1QZ5UxyNCwadreQAXnQ7oCoH982DjIA-QnZdO7ZoqkC0/edit#gid=0"",""2019-2021!$A$2:$O$250""),7,FALSE)"),67.5)</f>
        <v>67.5</v>
      </c>
      <c r="N179" s="17">
        <f t="shared" si="8"/>
        <v>0.27</v>
      </c>
      <c r="O179" s="17">
        <f t="shared" si="9"/>
        <v>-0.042</v>
      </c>
    </row>
    <row r="180">
      <c r="A180" s="19" t="s">
        <v>107</v>
      </c>
      <c r="B180" s="41">
        <f>IFERROR(__xludf.DUMMYFUNCTION("VLOOKUP(A180,IMPORTRANGE(""1EmrnCz2gLVTx5Cbj0e5tfuHPhTtmru8KTGuQvh7STl0/edit#gid=2147150001"",""Whole Data Set!$A$2:$NQ$253""),381,FALSE)"),82.25)</f>
        <v>82.25</v>
      </c>
      <c r="C180" s="58">
        <f t="shared" si="1"/>
        <v>0.329</v>
      </c>
      <c r="D180" s="12">
        <f>IFERROR(__xludf.DUMMYFUNCTION("VLOOKUP(A180,IMPORTRANGE(""1aFCnJY1qhIj8-JckJhDJ18aqmVo17tofpQmOjcYa3u8/edit#gid=948248086"",""Whole Data Set!$A$2:$NG$253""),371,FALSE)"),111.25)</f>
        <v>111.25</v>
      </c>
      <c r="E180" s="13">
        <f t="shared" si="2"/>
        <v>0.445</v>
      </c>
      <c r="F180" s="13">
        <f t="shared" si="3"/>
        <v>-0.116</v>
      </c>
      <c r="G180" s="12">
        <f>IFERROR(__xludf.DUMMYFUNCTION("VLOOKUP(A180,IMPORTRANGE(""1QZ5UxyNCwadreQAXnQ7oCoH982DjIA-QnZdO7ZoqkC0/edit#gid=0"",""2019-2021!$A$2:$O$250""),2,FALSE)"),85.5)</f>
        <v>85.5</v>
      </c>
      <c r="H180" s="14">
        <f t="shared" si="4"/>
        <v>0.342</v>
      </c>
      <c r="I180" s="15">
        <f t="shared" si="5"/>
        <v>-0.013</v>
      </c>
      <c r="J180" s="16">
        <f>IFERROR(__xludf.DUMMYFUNCTION("VLOOKUP(A180,IMPORTRANGE(""1QZ5UxyNCwadreQAXnQ7oCoH982DjIA-QnZdO7ZoqkC0/edit#gid=0"",""2019-2021!$A$2:$O$250""),4,FALSE)"),146.5)</f>
        <v>146.5</v>
      </c>
      <c r="K180" s="17">
        <f t="shared" si="6"/>
        <v>0.586</v>
      </c>
      <c r="L180" s="17">
        <f t="shared" si="7"/>
        <v>-0.257</v>
      </c>
      <c r="M180" s="16">
        <f>IFERROR(__xludf.DUMMYFUNCTION("VLOOKUP(A180,IMPORTRANGE(""1QZ5UxyNCwadreQAXnQ7oCoH982DjIA-QnZdO7ZoqkC0/edit#gid=0"",""2019-2021!$A$2:$O$250""),7,FALSE)"),141.5)</f>
        <v>141.5</v>
      </c>
      <c r="N180" s="17">
        <f t="shared" si="8"/>
        <v>0.566</v>
      </c>
      <c r="O180" s="17">
        <f t="shared" si="9"/>
        <v>-0.237</v>
      </c>
    </row>
    <row r="181">
      <c r="A181" s="19" t="s">
        <v>158</v>
      </c>
      <c r="B181" s="41">
        <f>IFERROR(__xludf.DUMMYFUNCTION("VLOOKUP(A181,IMPORTRANGE(""1EmrnCz2gLVTx5Cbj0e5tfuHPhTtmru8KTGuQvh7STl0/edit#gid=2147150001"",""Whole Data Set!$A$2:$NQ$253""),381,FALSE)"),0.0)</f>
        <v>0</v>
      </c>
      <c r="C181" s="58">
        <f t="shared" si="1"/>
        <v>0</v>
      </c>
      <c r="D181" s="12">
        <f>IFERROR(__xludf.DUMMYFUNCTION("VLOOKUP(A181,IMPORTRANGE(""1aFCnJY1qhIj8-JckJhDJ18aqmVo17tofpQmOjcYa3u8/edit#gid=948248086"",""Whole Data Set!$A$2:$NG$253""),371,FALSE)"),0.0)</f>
        <v>0</v>
      </c>
      <c r="E181" s="13">
        <f t="shared" si="2"/>
        <v>0</v>
      </c>
      <c r="F181" s="13">
        <f t="shared" si="3"/>
        <v>0</v>
      </c>
      <c r="G181" s="12">
        <f>IFERROR(__xludf.DUMMYFUNCTION("VLOOKUP(A181,IMPORTRANGE(""1QZ5UxyNCwadreQAXnQ7oCoH982DjIA-QnZdO7ZoqkC0/edit#gid=0"",""2019-2021!$A$2:$O$250""),2,FALSE)"),0.0)</f>
        <v>0</v>
      </c>
      <c r="H181" s="14">
        <f t="shared" si="4"/>
        <v>0</v>
      </c>
      <c r="I181" s="15">
        <f t="shared" si="5"/>
        <v>0</v>
      </c>
      <c r="J181" s="16">
        <f>IFERROR(__xludf.DUMMYFUNCTION("VLOOKUP(A181,IMPORTRANGE(""1QZ5UxyNCwadreQAXnQ7oCoH982DjIA-QnZdO7ZoqkC0/edit#gid=0"",""2019-2021!$A$2:$O$250""),4,FALSE)"),0.0)</f>
        <v>0</v>
      </c>
      <c r="K181" s="17">
        <f t="shared" si="6"/>
        <v>0</v>
      </c>
      <c r="L181" s="17">
        <f t="shared" si="7"/>
        <v>0</v>
      </c>
      <c r="M181" s="16">
        <f>IFERROR(__xludf.DUMMYFUNCTION("VLOOKUP(A181,IMPORTRANGE(""1QZ5UxyNCwadreQAXnQ7oCoH982DjIA-QnZdO7ZoqkC0/edit#gid=0"",""2019-2021!$A$2:$O$250""),7,FALSE)"),0.0)</f>
        <v>0</v>
      </c>
      <c r="N181" s="17">
        <f t="shared" si="8"/>
        <v>0</v>
      </c>
      <c r="O181" s="17">
        <f t="shared" si="9"/>
        <v>0</v>
      </c>
    </row>
    <row r="182">
      <c r="A182" s="19" t="s">
        <v>108</v>
      </c>
      <c r="B182" s="41">
        <f>IFERROR(__xludf.DUMMYFUNCTION("VLOOKUP(A182,IMPORTRANGE(""1EmrnCz2gLVTx5Cbj0e5tfuHPhTtmru8KTGuQvh7STl0/edit#gid=2147150001"",""Whole Data Set!$A$2:$NQ$253""),381,FALSE)"),99.75)</f>
        <v>99.75</v>
      </c>
      <c r="C182" s="58">
        <f t="shared" si="1"/>
        <v>0.399</v>
      </c>
      <c r="D182" s="12">
        <f>IFERROR(__xludf.DUMMYFUNCTION("VLOOKUP(A182,IMPORTRANGE(""1aFCnJY1qhIj8-JckJhDJ18aqmVo17tofpQmOjcYa3u8/edit#gid=948248086"",""Whole Data Set!$A$2:$NG$253""),371,FALSE)"),110.0)</f>
        <v>110</v>
      </c>
      <c r="E182" s="13">
        <f t="shared" si="2"/>
        <v>0.44</v>
      </c>
      <c r="F182" s="13">
        <f t="shared" si="3"/>
        <v>-0.041</v>
      </c>
      <c r="G182" s="12">
        <f>IFERROR(__xludf.DUMMYFUNCTION("VLOOKUP(A182,IMPORTRANGE(""1QZ5UxyNCwadreQAXnQ7oCoH982DjIA-QnZdO7ZoqkC0/edit#gid=0"",""2019-2021!$A$2:$O$250""),2,FALSE)"),112.25)</f>
        <v>112.25</v>
      </c>
      <c r="H182" s="14">
        <f t="shared" si="4"/>
        <v>0.449</v>
      </c>
      <c r="I182" s="15">
        <f t="shared" si="5"/>
        <v>-0.05</v>
      </c>
      <c r="J182" s="16">
        <f>IFERROR(__xludf.DUMMYFUNCTION("VLOOKUP(A182,IMPORTRANGE(""1QZ5UxyNCwadreQAXnQ7oCoH982DjIA-QnZdO7ZoqkC0/edit#gid=0"",""2019-2021!$A$2:$O$250""),4,FALSE)"),97.5)</f>
        <v>97.5</v>
      </c>
      <c r="K182" s="17">
        <f t="shared" si="6"/>
        <v>0.39</v>
      </c>
      <c r="L182" s="17">
        <f t="shared" si="7"/>
        <v>0.009</v>
      </c>
      <c r="M182" s="16">
        <f>IFERROR(__xludf.DUMMYFUNCTION("VLOOKUP(A182,IMPORTRANGE(""1QZ5UxyNCwadreQAXnQ7oCoH982DjIA-QnZdO7ZoqkC0/edit#gid=0"",""2019-2021!$A$2:$O$250""),7,FALSE)"),70.0)</f>
        <v>70</v>
      </c>
      <c r="N182" s="17">
        <f t="shared" si="8"/>
        <v>0.28</v>
      </c>
      <c r="O182" s="17">
        <f t="shared" si="9"/>
        <v>0.119</v>
      </c>
    </row>
    <row r="183">
      <c r="A183" s="19" t="s">
        <v>109</v>
      </c>
      <c r="B183" s="41">
        <f>IFERROR(__xludf.DUMMYFUNCTION("VLOOKUP(A183,IMPORTRANGE(""1EmrnCz2gLVTx5Cbj0e5tfuHPhTtmru8KTGuQvh7STl0/edit#gid=2147150001"",""Whole Data Set!$A$2:$NQ$253""),381,FALSE)"),124.5)</f>
        <v>124.5</v>
      </c>
      <c r="C183" s="58">
        <f t="shared" si="1"/>
        <v>0.498</v>
      </c>
      <c r="D183" s="12">
        <f>IFERROR(__xludf.DUMMYFUNCTION("VLOOKUP(A183,IMPORTRANGE(""1aFCnJY1qhIj8-JckJhDJ18aqmVo17tofpQmOjcYa3u8/edit#gid=948248086"",""Whole Data Set!$A$2:$NG$253""),371,FALSE)"),107.75)</f>
        <v>107.75</v>
      </c>
      <c r="E183" s="13">
        <f t="shared" si="2"/>
        <v>0.431</v>
      </c>
      <c r="F183" s="13">
        <f t="shared" si="3"/>
        <v>0.067</v>
      </c>
      <c r="G183" s="12">
        <f>IFERROR(__xludf.DUMMYFUNCTION("VLOOKUP(A183,IMPORTRANGE(""1QZ5UxyNCwadreQAXnQ7oCoH982DjIA-QnZdO7ZoqkC0/edit#gid=0"",""2019-2021!$A$2:$O$250""),2,FALSE)"),89.5)</f>
        <v>89.5</v>
      </c>
      <c r="H183" s="14">
        <f t="shared" si="4"/>
        <v>0.358</v>
      </c>
      <c r="I183" s="15">
        <f t="shared" si="5"/>
        <v>0.14</v>
      </c>
      <c r="J183" s="16">
        <f>IFERROR(__xludf.DUMMYFUNCTION("VLOOKUP(A183,IMPORTRANGE(""1QZ5UxyNCwadreQAXnQ7oCoH982DjIA-QnZdO7ZoqkC0/edit#gid=0"",""2019-2021!$A$2:$O$250""),4,FALSE)"),110.5)</f>
        <v>110.5</v>
      </c>
      <c r="K183" s="17">
        <f t="shared" si="6"/>
        <v>0.442</v>
      </c>
      <c r="L183" s="17">
        <f t="shared" si="7"/>
        <v>0.056</v>
      </c>
      <c r="M183" s="16">
        <f>IFERROR(__xludf.DUMMYFUNCTION("VLOOKUP(A183,IMPORTRANGE(""1QZ5UxyNCwadreQAXnQ7oCoH982DjIA-QnZdO7ZoqkC0/edit#gid=0"",""2019-2021!$A$2:$O$250""),7,FALSE)"),114.0)</f>
        <v>114</v>
      </c>
      <c r="N183" s="17">
        <f t="shared" si="8"/>
        <v>0.456</v>
      </c>
      <c r="O183" s="17">
        <f t="shared" si="9"/>
        <v>0.042</v>
      </c>
    </row>
    <row r="184">
      <c r="A184" s="59"/>
      <c r="B184" s="44">
        <f t="shared" ref="B184:E184" si="10">AVERAGE(B2:B183)</f>
        <v>72.27197802</v>
      </c>
      <c r="C184" s="45">
        <f t="shared" si="10"/>
        <v>0.2890879121</v>
      </c>
      <c r="D184" s="46">
        <f t="shared" si="10"/>
        <v>67.14972527</v>
      </c>
      <c r="E184" s="47">
        <f t="shared" si="10"/>
        <v>0.2685989011</v>
      </c>
      <c r="F184" s="28">
        <f t="shared" si="3"/>
        <v>0.02048901099</v>
      </c>
      <c r="G184" s="48">
        <f t="shared" ref="G184:H184" si="11">AVERAGE(G2:G183)</f>
        <v>64.92857143</v>
      </c>
      <c r="H184" s="49">
        <f t="shared" si="11"/>
        <v>0.2597142857</v>
      </c>
      <c r="I184" s="28">
        <f t="shared" si="5"/>
        <v>0.02937362637</v>
      </c>
      <c r="J184" s="50">
        <f t="shared" ref="J184:K184" si="12">AVERAGE(J2:J183)</f>
        <v>65.56593407</v>
      </c>
      <c r="K184" s="51">
        <f t="shared" si="12"/>
        <v>0.2622637363</v>
      </c>
      <c r="L184" s="28">
        <f t="shared" si="7"/>
        <v>0.02682417582</v>
      </c>
      <c r="M184" s="52">
        <f t="shared" ref="M184:N184" si="13">AVERAGE(M2:M183)</f>
        <v>56.18681319</v>
      </c>
      <c r="N184" s="30">
        <f t="shared" si="13"/>
        <v>0.2247472527</v>
      </c>
      <c r="O184" s="28">
        <f t="shared" si="9"/>
        <v>0.06434065934</v>
      </c>
    </row>
    <row r="185">
      <c r="A185" s="36"/>
      <c r="B185" s="36"/>
      <c r="C185" s="36"/>
      <c r="D185" s="34"/>
      <c r="H185" s="36"/>
      <c r="I185" s="36"/>
      <c r="J185" s="36"/>
      <c r="K185" s="36"/>
      <c r="L185" s="36"/>
      <c r="M185" s="36"/>
      <c r="N185" s="36"/>
      <c r="O185" s="36"/>
    </row>
    <row r="186">
      <c r="A186" s="36"/>
      <c r="B186" s="36"/>
      <c r="C186" s="36"/>
      <c r="D186" s="34"/>
      <c r="H186" s="36"/>
      <c r="I186" s="36"/>
      <c r="J186" s="36"/>
      <c r="K186" s="36"/>
      <c r="L186" s="36"/>
      <c r="M186" s="36"/>
      <c r="N186" s="10"/>
      <c r="O186" s="36"/>
    </row>
    <row r="187">
      <c r="A187" s="36"/>
      <c r="B187" s="36"/>
      <c r="C187" s="36"/>
      <c r="D187" s="34"/>
      <c r="H187" s="36"/>
      <c r="I187" s="36"/>
      <c r="J187" s="36"/>
      <c r="K187" s="36"/>
      <c r="L187" s="36"/>
      <c r="M187" s="36"/>
      <c r="N187" s="10"/>
      <c r="O187" s="36"/>
    </row>
    <row r="188">
      <c r="A188" s="36"/>
      <c r="B188" s="36"/>
      <c r="C188" s="36"/>
      <c r="D188" s="34"/>
      <c r="H188" s="36"/>
      <c r="I188" s="36"/>
      <c r="J188" s="36"/>
      <c r="K188" s="36"/>
      <c r="L188" s="36"/>
      <c r="M188" s="36"/>
      <c r="N188" s="10"/>
      <c r="O188" s="36"/>
    </row>
    <row r="189">
      <c r="A189" s="36"/>
      <c r="B189" s="36"/>
      <c r="C189" s="36"/>
      <c r="D189" s="34"/>
      <c r="H189" s="36"/>
      <c r="I189" s="36"/>
      <c r="J189" s="36"/>
      <c r="K189" s="36"/>
      <c r="L189" s="36"/>
      <c r="M189" s="36"/>
      <c r="N189" s="10"/>
      <c r="O189" s="36"/>
    </row>
    <row r="190">
      <c r="A190" s="36"/>
      <c r="B190" s="36"/>
      <c r="C190" s="36"/>
      <c r="D190" s="34"/>
      <c r="H190" s="36"/>
      <c r="I190" s="36"/>
      <c r="J190" s="36"/>
      <c r="K190" s="36"/>
      <c r="L190" s="36"/>
      <c r="M190" s="36"/>
      <c r="N190" s="10"/>
      <c r="O190" s="36"/>
    </row>
    <row r="191">
      <c r="A191" s="36"/>
      <c r="B191" s="36"/>
      <c r="C191" s="36"/>
      <c r="D191" s="34"/>
      <c r="H191" s="36"/>
      <c r="I191" s="36"/>
      <c r="J191" s="36"/>
      <c r="K191" s="36"/>
      <c r="L191" s="36"/>
      <c r="M191" s="36"/>
      <c r="N191" s="10"/>
      <c r="O191" s="36"/>
    </row>
    <row r="192">
      <c r="A192" s="36"/>
      <c r="B192" s="36"/>
      <c r="C192" s="36"/>
      <c r="D192" s="34"/>
      <c r="H192" s="36"/>
      <c r="I192" s="36"/>
      <c r="J192" s="36"/>
      <c r="K192" s="36"/>
      <c r="L192" s="36"/>
      <c r="M192" s="36"/>
      <c r="N192" s="10"/>
      <c r="O192" s="36"/>
    </row>
    <row r="193">
      <c r="A193" s="36"/>
      <c r="B193" s="36"/>
      <c r="C193" s="36"/>
      <c r="D193" s="34"/>
      <c r="H193" s="36"/>
      <c r="I193" s="36"/>
      <c r="J193" s="36"/>
      <c r="K193" s="36"/>
      <c r="L193" s="36"/>
      <c r="M193" s="36"/>
      <c r="N193" s="10"/>
      <c r="O193" s="36"/>
    </row>
    <row r="194">
      <c r="A194" s="36"/>
      <c r="B194" s="36"/>
      <c r="C194" s="36"/>
      <c r="D194" s="34"/>
      <c r="H194" s="36"/>
      <c r="I194" s="36"/>
      <c r="J194" s="36"/>
      <c r="K194" s="36"/>
      <c r="L194" s="36"/>
      <c r="M194" s="36"/>
      <c r="N194" s="10"/>
      <c r="O194" s="36"/>
    </row>
    <row r="195">
      <c r="A195" s="36"/>
      <c r="B195" s="36"/>
      <c r="C195" s="36"/>
      <c r="D195" s="34"/>
      <c r="H195" s="36"/>
      <c r="I195" s="36"/>
      <c r="J195" s="36"/>
      <c r="K195" s="36"/>
      <c r="L195" s="36"/>
      <c r="M195" s="36"/>
      <c r="N195" s="10"/>
      <c r="O195" s="36"/>
    </row>
    <row r="196">
      <c r="A196" s="36"/>
      <c r="B196" s="36"/>
      <c r="C196" s="36"/>
      <c r="D196" s="34"/>
      <c r="H196" s="36"/>
      <c r="I196" s="36"/>
      <c r="J196" s="36"/>
      <c r="K196" s="36"/>
      <c r="L196" s="36"/>
      <c r="M196" s="36"/>
      <c r="N196" s="10"/>
      <c r="O196" s="36"/>
    </row>
    <row r="197">
      <c r="A197" s="36"/>
      <c r="B197" s="36"/>
      <c r="C197" s="36"/>
      <c r="D197" s="34"/>
      <c r="H197" s="36"/>
      <c r="I197" s="36"/>
      <c r="J197" s="36"/>
      <c r="K197" s="36"/>
      <c r="L197" s="36"/>
      <c r="M197" s="36"/>
      <c r="N197" s="36"/>
      <c r="O197" s="36"/>
    </row>
    <row r="198">
      <c r="A198" s="36"/>
      <c r="B198" s="36"/>
      <c r="C198" s="36"/>
      <c r="D198" s="34"/>
      <c r="H198" s="36"/>
      <c r="I198" s="36"/>
      <c r="J198" s="36"/>
      <c r="K198" s="36"/>
      <c r="L198" s="36"/>
      <c r="M198" s="36"/>
      <c r="N198" s="36"/>
      <c r="O198" s="36"/>
    </row>
    <row r="199">
      <c r="A199" s="36"/>
      <c r="B199" s="36"/>
      <c r="C199" s="36"/>
      <c r="D199" s="34"/>
      <c r="H199" s="36"/>
      <c r="I199" s="36"/>
      <c r="J199" s="36"/>
      <c r="K199" s="36"/>
      <c r="L199" s="36"/>
      <c r="M199" s="36"/>
      <c r="N199" s="36"/>
      <c r="O199" s="36"/>
    </row>
    <row r="200">
      <c r="A200" s="36"/>
      <c r="B200" s="36"/>
      <c r="C200" s="36"/>
      <c r="D200" s="34"/>
      <c r="H200" s="36"/>
      <c r="I200" s="36"/>
      <c r="J200" s="36"/>
      <c r="K200" s="36"/>
      <c r="L200" s="36"/>
      <c r="M200" s="36"/>
      <c r="N200" s="36"/>
      <c r="O200" s="36"/>
    </row>
    <row r="201">
      <c r="A201" s="36"/>
      <c r="B201" s="36"/>
      <c r="C201" s="36"/>
      <c r="D201" s="34"/>
      <c r="H201" s="36"/>
      <c r="I201" s="36"/>
      <c r="J201" s="36"/>
      <c r="K201" s="36"/>
      <c r="L201" s="36"/>
      <c r="M201" s="36"/>
      <c r="N201" s="36"/>
      <c r="O201" s="36"/>
    </row>
    <row r="202">
      <c r="A202" s="36"/>
      <c r="B202" s="36"/>
      <c r="C202" s="36"/>
      <c r="D202" s="34"/>
      <c r="H202" s="36"/>
      <c r="I202" s="36"/>
      <c r="J202" s="36"/>
      <c r="K202" s="36"/>
      <c r="L202" s="36"/>
      <c r="M202" s="36"/>
      <c r="N202" s="36"/>
      <c r="O202" s="36"/>
    </row>
    <row r="203">
      <c r="A203" s="36"/>
      <c r="B203" s="36"/>
      <c r="C203" s="36"/>
      <c r="D203" s="34"/>
      <c r="H203" s="36"/>
      <c r="I203" s="36"/>
      <c r="J203" s="36"/>
      <c r="K203" s="36"/>
      <c r="L203" s="36"/>
      <c r="M203" s="36"/>
      <c r="N203" s="36"/>
      <c r="O203" s="36"/>
    </row>
    <row r="204">
      <c r="A204" s="36"/>
      <c r="B204" s="36"/>
      <c r="C204" s="36"/>
      <c r="D204" s="34"/>
      <c r="H204" s="36"/>
      <c r="I204" s="36"/>
      <c r="J204" s="36"/>
      <c r="K204" s="36"/>
      <c r="L204" s="36"/>
      <c r="M204" s="36"/>
      <c r="N204" s="36"/>
      <c r="O204" s="36"/>
    </row>
    <row r="205">
      <c r="A205" s="36"/>
      <c r="B205" s="36"/>
      <c r="C205" s="36"/>
      <c r="D205" s="34"/>
      <c r="H205" s="36"/>
      <c r="I205" s="36"/>
      <c r="J205" s="36"/>
      <c r="K205" s="36"/>
      <c r="L205" s="36"/>
      <c r="M205" s="36"/>
      <c r="N205" s="36"/>
      <c r="O205" s="36"/>
    </row>
    <row r="206">
      <c r="A206" s="36"/>
      <c r="B206" s="36"/>
      <c r="C206" s="36"/>
      <c r="D206" s="34"/>
      <c r="H206" s="36"/>
      <c r="I206" s="36"/>
      <c r="J206" s="36"/>
      <c r="K206" s="36"/>
      <c r="L206" s="36"/>
      <c r="M206" s="36"/>
      <c r="N206" s="36"/>
      <c r="O206" s="36"/>
    </row>
    <row r="207">
      <c r="A207" s="36"/>
      <c r="B207" s="36"/>
      <c r="C207" s="36"/>
      <c r="D207" s="34"/>
      <c r="H207" s="36"/>
      <c r="I207" s="36"/>
      <c r="J207" s="36"/>
      <c r="K207" s="36"/>
      <c r="L207" s="36"/>
      <c r="M207" s="36"/>
      <c r="N207" s="36"/>
      <c r="O207" s="36"/>
    </row>
    <row r="208">
      <c r="A208" s="36"/>
      <c r="B208" s="36"/>
      <c r="C208" s="36"/>
      <c r="D208" s="34"/>
      <c r="H208" s="36"/>
      <c r="I208" s="36"/>
      <c r="J208" s="36"/>
      <c r="K208" s="36"/>
      <c r="L208" s="36"/>
      <c r="M208" s="36"/>
      <c r="N208" s="36"/>
      <c r="O208" s="36"/>
    </row>
    <row r="209">
      <c r="A209" s="36"/>
      <c r="B209" s="36"/>
      <c r="C209" s="36"/>
      <c r="D209" s="34"/>
      <c r="H209" s="36"/>
      <c r="I209" s="36"/>
      <c r="J209" s="36"/>
      <c r="K209" s="36"/>
      <c r="L209" s="36"/>
      <c r="M209" s="36"/>
      <c r="N209" s="36"/>
      <c r="O209" s="36"/>
    </row>
    <row r="210">
      <c r="A210" s="36"/>
      <c r="B210" s="36"/>
      <c r="C210" s="36"/>
      <c r="D210" s="34"/>
      <c r="H210" s="36"/>
      <c r="I210" s="36"/>
      <c r="J210" s="36"/>
      <c r="K210" s="36"/>
      <c r="L210" s="36"/>
      <c r="M210" s="36"/>
      <c r="N210" s="36"/>
      <c r="O210" s="36"/>
    </row>
    <row r="211">
      <c r="A211" s="36"/>
      <c r="B211" s="36"/>
      <c r="C211" s="36"/>
      <c r="D211" s="34"/>
      <c r="H211" s="36"/>
      <c r="I211" s="36"/>
      <c r="J211" s="36"/>
      <c r="K211" s="36"/>
      <c r="L211" s="36"/>
      <c r="M211" s="36"/>
      <c r="N211" s="36"/>
      <c r="O211" s="36"/>
    </row>
    <row r="212">
      <c r="A212" s="36"/>
      <c r="B212" s="36"/>
      <c r="C212" s="36"/>
      <c r="D212" s="34"/>
      <c r="H212" s="36"/>
      <c r="I212" s="36"/>
      <c r="J212" s="36"/>
      <c r="K212" s="36"/>
      <c r="L212" s="36"/>
      <c r="M212" s="36"/>
      <c r="N212" s="36"/>
      <c r="O212" s="36"/>
    </row>
    <row r="213">
      <c r="A213" s="36"/>
      <c r="B213" s="36"/>
      <c r="C213" s="36"/>
      <c r="D213" s="34"/>
      <c r="H213" s="36"/>
      <c r="I213" s="36"/>
      <c r="J213" s="36"/>
      <c r="K213" s="36"/>
      <c r="L213" s="36"/>
      <c r="M213" s="36"/>
      <c r="N213" s="36"/>
      <c r="O213" s="36"/>
    </row>
    <row r="214">
      <c r="A214" s="36"/>
      <c r="B214" s="36"/>
      <c r="C214" s="36"/>
      <c r="D214" s="34"/>
      <c r="H214" s="36"/>
      <c r="I214" s="36"/>
      <c r="J214" s="36"/>
      <c r="K214" s="36"/>
      <c r="L214" s="36"/>
      <c r="M214" s="36"/>
      <c r="N214" s="36"/>
      <c r="O214" s="36"/>
    </row>
    <row r="215">
      <c r="A215" s="36"/>
      <c r="B215" s="36"/>
      <c r="C215" s="36"/>
      <c r="D215" s="34"/>
      <c r="H215" s="36"/>
      <c r="I215" s="36"/>
      <c r="J215" s="36"/>
      <c r="K215" s="36"/>
      <c r="L215" s="36"/>
      <c r="M215" s="36"/>
      <c r="N215" s="36"/>
      <c r="O215" s="36"/>
    </row>
    <row r="216">
      <c r="A216" s="36"/>
      <c r="B216" s="36"/>
      <c r="C216" s="36"/>
      <c r="D216" s="34"/>
      <c r="H216" s="36"/>
      <c r="I216" s="36"/>
      <c r="J216" s="36"/>
      <c r="K216" s="36"/>
      <c r="L216" s="36"/>
      <c r="M216" s="36"/>
      <c r="N216" s="36"/>
      <c r="O216" s="36"/>
    </row>
    <row r="217">
      <c r="A217" s="36"/>
      <c r="B217" s="36"/>
      <c r="C217" s="36"/>
      <c r="D217" s="34"/>
      <c r="H217" s="36"/>
      <c r="I217" s="36"/>
      <c r="J217" s="36"/>
      <c r="K217" s="36"/>
      <c r="L217" s="36"/>
      <c r="M217" s="36"/>
      <c r="N217" s="36"/>
      <c r="O217" s="36"/>
    </row>
    <row r="218">
      <c r="A218" s="36"/>
      <c r="B218" s="36"/>
      <c r="C218" s="36"/>
      <c r="D218" s="34"/>
      <c r="H218" s="36"/>
      <c r="I218" s="36"/>
      <c r="J218" s="36"/>
      <c r="K218" s="36"/>
      <c r="L218" s="36"/>
      <c r="M218" s="36"/>
      <c r="N218" s="36"/>
      <c r="O218" s="36"/>
    </row>
    <row r="219">
      <c r="A219" s="36"/>
      <c r="B219" s="36"/>
      <c r="C219" s="36"/>
      <c r="D219" s="34"/>
      <c r="H219" s="36"/>
      <c r="I219" s="36"/>
      <c r="J219" s="36"/>
      <c r="K219" s="36"/>
      <c r="L219" s="36"/>
      <c r="M219" s="36"/>
      <c r="N219" s="36"/>
      <c r="O219" s="36"/>
    </row>
    <row r="220">
      <c r="A220" s="36"/>
      <c r="B220" s="36"/>
      <c r="C220" s="36"/>
      <c r="D220" s="34"/>
      <c r="H220" s="36"/>
      <c r="I220" s="36"/>
      <c r="J220" s="36"/>
      <c r="K220" s="36"/>
      <c r="L220" s="36"/>
      <c r="M220" s="36"/>
      <c r="N220" s="36"/>
      <c r="O220" s="36"/>
    </row>
    <row r="221">
      <c r="A221" s="36"/>
      <c r="B221" s="36"/>
      <c r="C221" s="36"/>
      <c r="D221" s="34"/>
      <c r="H221" s="36"/>
      <c r="I221" s="36"/>
      <c r="J221" s="36"/>
      <c r="K221" s="36"/>
      <c r="L221" s="36"/>
      <c r="M221" s="36"/>
      <c r="N221" s="36"/>
      <c r="O221" s="36"/>
    </row>
    <row r="222">
      <c r="A222" s="36"/>
      <c r="B222" s="36"/>
      <c r="C222" s="36"/>
      <c r="D222" s="34"/>
      <c r="H222" s="36"/>
      <c r="I222" s="36"/>
      <c r="J222" s="36"/>
      <c r="K222" s="36"/>
      <c r="L222" s="36"/>
      <c r="M222" s="36"/>
      <c r="N222" s="36"/>
      <c r="O222" s="36"/>
    </row>
    <row r="223">
      <c r="A223" s="36"/>
      <c r="B223" s="36"/>
      <c r="C223" s="36"/>
      <c r="D223" s="34"/>
      <c r="H223" s="36"/>
      <c r="I223" s="36"/>
      <c r="J223" s="36"/>
      <c r="K223" s="36"/>
      <c r="L223" s="36"/>
      <c r="M223" s="36"/>
      <c r="N223" s="36"/>
      <c r="O223" s="36"/>
    </row>
    <row r="224">
      <c r="A224" s="36"/>
      <c r="B224" s="36"/>
      <c r="C224" s="36"/>
      <c r="D224" s="34"/>
      <c r="H224" s="36"/>
      <c r="I224" s="36"/>
      <c r="J224" s="36"/>
      <c r="K224" s="36"/>
      <c r="L224" s="36"/>
      <c r="M224" s="36"/>
      <c r="N224" s="36"/>
      <c r="O224" s="36"/>
    </row>
    <row r="225">
      <c r="A225" s="36"/>
      <c r="B225" s="36"/>
      <c r="C225" s="36"/>
      <c r="D225" s="34"/>
      <c r="H225" s="36"/>
      <c r="I225" s="36"/>
      <c r="J225" s="36"/>
      <c r="K225" s="36"/>
      <c r="L225" s="36"/>
      <c r="M225" s="36"/>
      <c r="N225" s="36"/>
      <c r="O225" s="36"/>
    </row>
    <row r="226">
      <c r="A226" s="36"/>
      <c r="B226" s="36"/>
      <c r="C226" s="36"/>
      <c r="D226" s="34"/>
      <c r="H226" s="36"/>
      <c r="I226" s="36"/>
      <c r="J226" s="36"/>
      <c r="K226" s="36"/>
      <c r="L226" s="36"/>
      <c r="M226" s="36"/>
      <c r="N226" s="36"/>
      <c r="O226" s="36"/>
    </row>
    <row r="227">
      <c r="A227" s="36"/>
      <c r="B227" s="36"/>
      <c r="C227" s="36"/>
      <c r="D227" s="34"/>
      <c r="H227" s="36"/>
      <c r="I227" s="36"/>
      <c r="J227" s="36"/>
      <c r="K227" s="36"/>
      <c r="L227" s="36"/>
      <c r="M227" s="36"/>
      <c r="N227" s="36"/>
      <c r="O227" s="36"/>
    </row>
    <row r="228">
      <c r="A228" s="36"/>
      <c r="B228" s="36"/>
      <c r="C228" s="36"/>
      <c r="D228" s="34"/>
      <c r="H228" s="36"/>
      <c r="I228" s="36"/>
      <c r="J228" s="36"/>
      <c r="K228" s="36"/>
      <c r="L228" s="36"/>
      <c r="M228" s="36"/>
      <c r="N228" s="36"/>
      <c r="O228" s="36"/>
    </row>
    <row r="229">
      <c r="A229" s="36"/>
      <c r="B229" s="36"/>
      <c r="C229" s="36"/>
      <c r="D229" s="34"/>
      <c r="H229" s="36"/>
      <c r="I229" s="36"/>
      <c r="J229" s="36"/>
      <c r="K229" s="36"/>
      <c r="L229" s="36"/>
      <c r="M229" s="36"/>
      <c r="N229" s="36"/>
      <c r="O229" s="36"/>
    </row>
    <row r="230">
      <c r="A230" s="36"/>
      <c r="B230" s="36"/>
      <c r="C230" s="36"/>
      <c r="D230" s="34"/>
      <c r="H230" s="36"/>
      <c r="I230" s="36"/>
      <c r="J230" s="36"/>
      <c r="K230" s="36"/>
      <c r="L230" s="36"/>
      <c r="M230" s="36"/>
      <c r="N230" s="36"/>
      <c r="O230" s="36"/>
    </row>
    <row r="231">
      <c r="A231" s="36"/>
      <c r="B231" s="36"/>
      <c r="C231" s="36"/>
      <c r="D231" s="34"/>
      <c r="H231" s="36"/>
      <c r="I231" s="36"/>
      <c r="J231" s="36"/>
      <c r="K231" s="36"/>
      <c r="L231" s="36"/>
      <c r="M231" s="36"/>
      <c r="N231" s="36"/>
      <c r="O231" s="36"/>
    </row>
    <row r="232">
      <c r="A232" s="36"/>
      <c r="B232" s="36"/>
      <c r="C232" s="36"/>
      <c r="D232" s="34"/>
      <c r="H232" s="36"/>
      <c r="I232" s="36"/>
      <c r="J232" s="36"/>
      <c r="K232" s="36"/>
      <c r="L232" s="36"/>
      <c r="M232" s="36"/>
      <c r="N232" s="36"/>
      <c r="O232" s="36"/>
    </row>
    <row r="233">
      <c r="A233" s="36"/>
      <c r="B233" s="36"/>
      <c r="C233" s="36"/>
      <c r="D233" s="34"/>
      <c r="H233" s="36"/>
      <c r="I233" s="36"/>
      <c r="J233" s="36"/>
      <c r="K233" s="36"/>
      <c r="L233" s="36"/>
      <c r="M233" s="36"/>
      <c r="N233" s="36"/>
      <c r="O233" s="36"/>
    </row>
    <row r="234">
      <c r="A234" s="36"/>
      <c r="B234" s="36"/>
      <c r="C234" s="36"/>
      <c r="D234" s="34"/>
      <c r="H234" s="36"/>
      <c r="I234" s="36"/>
      <c r="J234" s="36"/>
      <c r="K234" s="36"/>
      <c r="L234" s="36"/>
      <c r="M234" s="36"/>
      <c r="N234" s="36"/>
      <c r="O234" s="36"/>
    </row>
    <row r="235">
      <c r="A235" s="36"/>
      <c r="B235" s="36"/>
      <c r="C235" s="36"/>
      <c r="D235" s="34"/>
      <c r="H235" s="36"/>
      <c r="I235" s="36"/>
      <c r="J235" s="36"/>
      <c r="K235" s="36"/>
      <c r="L235" s="36"/>
      <c r="M235" s="36"/>
      <c r="N235" s="36"/>
      <c r="O235" s="36"/>
    </row>
    <row r="236">
      <c r="A236" s="36"/>
      <c r="B236" s="36"/>
      <c r="C236" s="36"/>
      <c r="D236" s="34"/>
      <c r="H236" s="36"/>
      <c r="I236" s="36"/>
      <c r="J236" s="36"/>
      <c r="K236" s="36"/>
      <c r="L236" s="36"/>
      <c r="M236" s="36"/>
      <c r="N236" s="36"/>
      <c r="O236" s="36"/>
    </row>
    <row r="237">
      <c r="A237" s="36"/>
      <c r="B237" s="36"/>
      <c r="C237" s="36"/>
      <c r="D237" s="34"/>
      <c r="H237" s="36"/>
      <c r="I237" s="36"/>
      <c r="J237" s="36"/>
      <c r="K237" s="36"/>
      <c r="L237" s="36"/>
      <c r="M237" s="36"/>
      <c r="N237" s="36"/>
      <c r="O237" s="36"/>
    </row>
    <row r="238">
      <c r="A238" s="36"/>
      <c r="B238" s="36"/>
      <c r="C238" s="36"/>
      <c r="D238" s="34"/>
      <c r="H238" s="36"/>
      <c r="I238" s="36"/>
      <c r="J238" s="36"/>
      <c r="K238" s="36"/>
      <c r="L238" s="36"/>
      <c r="M238" s="36"/>
      <c r="N238" s="36"/>
      <c r="O238" s="36"/>
    </row>
    <row r="239">
      <c r="A239" s="36"/>
      <c r="B239" s="36"/>
      <c r="C239" s="36"/>
      <c r="D239" s="34"/>
      <c r="H239" s="36"/>
      <c r="I239" s="36"/>
      <c r="J239" s="36"/>
      <c r="K239" s="36"/>
      <c r="L239" s="36"/>
      <c r="M239" s="36"/>
      <c r="N239" s="36"/>
      <c r="O239" s="36"/>
    </row>
    <row r="240">
      <c r="A240" s="36"/>
      <c r="B240" s="36"/>
      <c r="C240" s="36"/>
      <c r="D240" s="34"/>
      <c r="H240" s="36"/>
      <c r="I240" s="36"/>
      <c r="J240" s="36"/>
      <c r="K240" s="36"/>
      <c r="L240" s="36"/>
      <c r="M240" s="36"/>
      <c r="N240" s="36"/>
      <c r="O240" s="36"/>
    </row>
    <row r="241">
      <c r="A241" s="36"/>
      <c r="B241" s="36"/>
      <c r="C241" s="36"/>
      <c r="D241" s="34"/>
      <c r="H241" s="36"/>
      <c r="I241" s="36"/>
      <c r="J241" s="36"/>
      <c r="K241" s="36"/>
      <c r="L241" s="36"/>
      <c r="M241" s="36"/>
      <c r="N241" s="36"/>
      <c r="O241" s="36"/>
    </row>
    <row r="242">
      <c r="A242" s="36"/>
      <c r="B242" s="36"/>
      <c r="C242" s="36"/>
      <c r="D242" s="34"/>
      <c r="H242" s="36"/>
      <c r="I242" s="36"/>
      <c r="J242" s="36"/>
      <c r="K242" s="36"/>
      <c r="L242" s="36"/>
      <c r="M242" s="36"/>
      <c r="N242" s="36"/>
      <c r="O242" s="36"/>
    </row>
    <row r="243">
      <c r="A243" s="36"/>
      <c r="B243" s="36"/>
      <c r="C243" s="36"/>
      <c r="D243" s="34"/>
      <c r="H243" s="36"/>
      <c r="I243" s="36"/>
      <c r="J243" s="36"/>
      <c r="K243" s="36"/>
      <c r="L243" s="36"/>
      <c r="M243" s="36"/>
      <c r="N243" s="36"/>
      <c r="O243" s="36"/>
    </row>
    <row r="244">
      <c r="A244" s="36"/>
      <c r="B244" s="36"/>
      <c r="C244" s="36"/>
      <c r="D244" s="34"/>
      <c r="H244" s="36"/>
      <c r="I244" s="36"/>
      <c r="J244" s="36"/>
      <c r="K244" s="36"/>
      <c r="L244" s="36"/>
      <c r="M244" s="36"/>
      <c r="N244" s="36"/>
      <c r="O244" s="36"/>
    </row>
    <row r="245">
      <c r="A245" s="36"/>
      <c r="B245" s="36"/>
      <c r="C245" s="36"/>
      <c r="D245" s="34"/>
      <c r="H245" s="36"/>
      <c r="I245" s="36"/>
      <c r="J245" s="36"/>
      <c r="K245" s="36"/>
      <c r="L245" s="36"/>
      <c r="M245" s="36"/>
      <c r="N245" s="36"/>
      <c r="O245" s="36"/>
    </row>
    <row r="246">
      <c r="A246" s="36"/>
      <c r="B246" s="36"/>
      <c r="C246" s="36"/>
      <c r="H246" s="36"/>
      <c r="I246" s="36"/>
      <c r="J246" s="36"/>
      <c r="K246" s="36"/>
      <c r="L246" s="36"/>
      <c r="M246" s="36"/>
      <c r="N246" s="36"/>
      <c r="O246" s="36"/>
    </row>
    <row r="247">
      <c r="A247" s="36"/>
      <c r="B247" s="36"/>
      <c r="C247" s="36"/>
      <c r="H247" s="36"/>
      <c r="I247" s="36"/>
      <c r="J247" s="36"/>
      <c r="K247" s="36"/>
      <c r="L247" s="36"/>
      <c r="M247" s="36"/>
      <c r="N247" s="36"/>
      <c r="O247" s="36"/>
    </row>
    <row r="248">
      <c r="A248" s="36"/>
      <c r="B248" s="36"/>
      <c r="C248" s="36"/>
      <c r="H248" s="36"/>
      <c r="I248" s="36"/>
      <c r="J248" s="36"/>
      <c r="K248" s="36"/>
      <c r="L248" s="36"/>
      <c r="M248" s="36"/>
      <c r="N248" s="36"/>
      <c r="O248" s="36"/>
    </row>
    <row r="249">
      <c r="A249" s="36"/>
      <c r="B249" s="36"/>
      <c r="C249" s="36"/>
      <c r="H249" s="36"/>
      <c r="I249" s="36"/>
      <c r="J249" s="36"/>
      <c r="K249" s="36"/>
      <c r="L249" s="36"/>
      <c r="M249" s="36"/>
      <c r="N249" s="36"/>
      <c r="O249" s="36"/>
    </row>
    <row r="250">
      <c r="A250" s="36"/>
      <c r="B250" s="36"/>
      <c r="C250" s="36"/>
      <c r="H250" s="36"/>
      <c r="I250" s="36"/>
      <c r="J250" s="36"/>
      <c r="K250" s="36"/>
      <c r="L250" s="36"/>
      <c r="M250" s="36"/>
      <c r="N250" s="36"/>
      <c r="O250" s="36"/>
    </row>
    <row r="251">
      <c r="A251" s="36"/>
      <c r="B251" s="36"/>
      <c r="C251" s="36"/>
      <c r="H251" s="36"/>
      <c r="I251" s="36"/>
      <c r="J251" s="36"/>
      <c r="K251" s="36"/>
      <c r="L251" s="36"/>
      <c r="M251" s="36"/>
      <c r="N251" s="36"/>
      <c r="O251" s="36"/>
    </row>
    <row r="252">
      <c r="A252" s="36"/>
      <c r="B252" s="36"/>
      <c r="C252" s="36"/>
      <c r="H252" s="36"/>
      <c r="I252" s="36"/>
      <c r="J252" s="36"/>
      <c r="K252" s="36"/>
      <c r="L252" s="36"/>
      <c r="M252" s="36"/>
      <c r="N252" s="36"/>
      <c r="O252" s="36"/>
    </row>
    <row r="253">
      <c r="A253" s="36"/>
      <c r="B253" s="36"/>
      <c r="C253" s="36"/>
      <c r="H253" s="36"/>
      <c r="I253" s="36"/>
      <c r="J253" s="36"/>
      <c r="K253" s="36"/>
      <c r="L253" s="36"/>
      <c r="M253" s="36"/>
      <c r="N253" s="36"/>
      <c r="O253" s="36"/>
    </row>
    <row r="254">
      <c r="A254" s="36"/>
      <c r="B254" s="36"/>
      <c r="C254" s="36"/>
      <c r="H254" s="36"/>
      <c r="I254" s="36"/>
      <c r="J254" s="36"/>
      <c r="K254" s="36"/>
      <c r="L254" s="36"/>
      <c r="M254" s="36"/>
      <c r="N254" s="36"/>
      <c r="O254" s="36"/>
    </row>
    <row r="255">
      <c r="A255" s="36"/>
      <c r="B255" s="36"/>
      <c r="C255" s="36"/>
      <c r="H255" s="36"/>
      <c r="I255" s="36"/>
      <c r="J255" s="36"/>
      <c r="K255" s="36"/>
      <c r="L255" s="36"/>
      <c r="M255" s="36"/>
      <c r="N255" s="36"/>
      <c r="O255" s="36"/>
    </row>
    <row r="256">
      <c r="A256" s="36"/>
      <c r="B256" s="36"/>
      <c r="C256" s="36"/>
      <c r="H256" s="36"/>
      <c r="I256" s="36"/>
      <c r="J256" s="36"/>
      <c r="K256" s="36"/>
      <c r="L256" s="36"/>
      <c r="M256" s="36"/>
      <c r="N256" s="36"/>
      <c r="O256" s="36"/>
    </row>
    <row r="257">
      <c r="A257" s="36"/>
      <c r="B257" s="36"/>
      <c r="C257" s="36"/>
      <c r="H257" s="36"/>
      <c r="I257" s="36"/>
      <c r="J257" s="36"/>
      <c r="K257" s="36"/>
      <c r="L257" s="36"/>
      <c r="M257" s="36"/>
      <c r="N257" s="36"/>
      <c r="O257" s="36"/>
    </row>
    <row r="258">
      <c r="A258" s="36"/>
      <c r="B258" s="36"/>
      <c r="C258" s="36"/>
      <c r="H258" s="36"/>
      <c r="I258" s="36"/>
      <c r="J258" s="36"/>
      <c r="K258" s="36"/>
      <c r="L258" s="36"/>
      <c r="M258" s="36"/>
      <c r="N258" s="36"/>
      <c r="O258" s="36"/>
    </row>
    <row r="259">
      <c r="A259" s="36"/>
      <c r="B259" s="36"/>
      <c r="C259" s="36"/>
      <c r="H259" s="36"/>
      <c r="I259" s="36"/>
      <c r="J259" s="36"/>
      <c r="K259" s="36"/>
      <c r="L259" s="36"/>
      <c r="M259" s="36"/>
      <c r="N259" s="36"/>
      <c r="O259" s="36"/>
    </row>
    <row r="260">
      <c r="A260" s="36"/>
      <c r="B260" s="36"/>
      <c r="C260" s="36"/>
      <c r="H260" s="36"/>
      <c r="I260" s="36"/>
      <c r="J260" s="36"/>
      <c r="K260" s="36"/>
      <c r="L260" s="36"/>
      <c r="M260" s="36"/>
      <c r="N260" s="36"/>
      <c r="O260" s="36"/>
    </row>
    <row r="261">
      <c r="A261" s="36"/>
      <c r="B261" s="36"/>
      <c r="C261" s="36"/>
      <c r="H261" s="36"/>
      <c r="I261" s="36"/>
      <c r="J261" s="36"/>
      <c r="K261" s="36"/>
      <c r="L261" s="36"/>
      <c r="M261" s="36"/>
      <c r="N261" s="36"/>
      <c r="O261" s="36"/>
    </row>
    <row r="262">
      <c r="A262" s="36"/>
      <c r="B262" s="36"/>
      <c r="C262" s="36"/>
      <c r="H262" s="36"/>
      <c r="I262" s="36"/>
      <c r="J262" s="36"/>
      <c r="K262" s="36"/>
      <c r="L262" s="36"/>
      <c r="M262" s="36"/>
      <c r="N262" s="36"/>
      <c r="O262" s="36"/>
    </row>
    <row r="263">
      <c r="A263" s="36"/>
      <c r="B263" s="36"/>
      <c r="C263" s="36"/>
      <c r="H263" s="36"/>
      <c r="I263" s="36"/>
      <c r="J263" s="36"/>
      <c r="K263" s="36"/>
      <c r="L263" s="36"/>
      <c r="M263" s="36"/>
      <c r="N263" s="36"/>
      <c r="O263" s="36"/>
    </row>
    <row r="264">
      <c r="A264" s="36"/>
      <c r="B264" s="36"/>
      <c r="C264" s="36"/>
      <c r="H264" s="36"/>
      <c r="I264" s="36"/>
      <c r="J264" s="36"/>
      <c r="K264" s="36"/>
      <c r="L264" s="36"/>
      <c r="M264" s="36"/>
      <c r="N264" s="36"/>
      <c r="O264" s="36"/>
    </row>
    <row r="265">
      <c r="A265" s="36"/>
      <c r="B265" s="36"/>
      <c r="C265" s="36"/>
      <c r="H265" s="36"/>
      <c r="I265" s="36"/>
      <c r="J265" s="36"/>
      <c r="K265" s="36"/>
      <c r="L265" s="36"/>
      <c r="M265" s="36"/>
      <c r="N265" s="36"/>
      <c r="O265" s="36"/>
    </row>
    <row r="266">
      <c r="A266" s="36"/>
      <c r="B266" s="36"/>
      <c r="C266" s="36"/>
      <c r="H266" s="36"/>
      <c r="I266" s="36"/>
      <c r="J266" s="36"/>
      <c r="K266" s="36"/>
      <c r="L266" s="36"/>
      <c r="M266" s="36"/>
      <c r="N266" s="36"/>
      <c r="O266" s="36"/>
    </row>
    <row r="267">
      <c r="A267" s="36"/>
      <c r="B267" s="36"/>
      <c r="C267" s="36"/>
      <c r="H267" s="36"/>
      <c r="I267" s="36"/>
      <c r="J267" s="36"/>
      <c r="K267" s="36"/>
      <c r="L267" s="36"/>
      <c r="M267" s="36"/>
      <c r="N267" s="36"/>
      <c r="O267" s="36"/>
    </row>
    <row r="268">
      <c r="A268" s="36"/>
      <c r="B268" s="36"/>
      <c r="C268" s="36"/>
      <c r="H268" s="36"/>
      <c r="I268" s="36"/>
      <c r="J268" s="36"/>
      <c r="K268" s="36"/>
      <c r="L268" s="36"/>
      <c r="M268" s="36"/>
      <c r="N268" s="36"/>
      <c r="O268" s="36"/>
    </row>
    <row r="269">
      <c r="A269" s="36"/>
      <c r="B269" s="36"/>
      <c r="C269" s="36"/>
      <c r="H269" s="36"/>
      <c r="I269" s="36"/>
      <c r="J269" s="36"/>
      <c r="K269" s="36"/>
      <c r="L269" s="36"/>
      <c r="M269" s="36"/>
      <c r="N269" s="36"/>
      <c r="O269" s="36"/>
    </row>
    <row r="270">
      <c r="A270" s="36"/>
      <c r="B270" s="36"/>
      <c r="C270" s="36"/>
      <c r="H270" s="36"/>
      <c r="I270" s="36"/>
      <c r="J270" s="36"/>
      <c r="K270" s="36"/>
      <c r="L270" s="36"/>
      <c r="M270" s="36"/>
      <c r="N270" s="36"/>
      <c r="O270" s="36"/>
    </row>
    <row r="271">
      <c r="A271" s="36"/>
      <c r="B271" s="36"/>
      <c r="C271" s="36"/>
      <c r="H271" s="36"/>
      <c r="I271" s="36"/>
      <c r="J271" s="36"/>
      <c r="K271" s="36"/>
      <c r="L271" s="36"/>
      <c r="M271" s="36"/>
      <c r="N271" s="36"/>
      <c r="O271" s="36"/>
    </row>
    <row r="272">
      <c r="A272" s="36"/>
      <c r="B272" s="36"/>
      <c r="C272" s="36"/>
      <c r="H272" s="36"/>
      <c r="I272" s="36"/>
      <c r="J272" s="36"/>
      <c r="K272" s="36"/>
      <c r="L272" s="36"/>
      <c r="M272" s="36"/>
      <c r="N272" s="36"/>
      <c r="O272" s="36"/>
    </row>
    <row r="273">
      <c r="A273" s="36"/>
      <c r="B273" s="36"/>
      <c r="C273" s="36"/>
      <c r="H273" s="36"/>
      <c r="I273" s="36"/>
      <c r="J273" s="36"/>
      <c r="K273" s="36"/>
      <c r="L273" s="36"/>
      <c r="M273" s="36"/>
      <c r="N273" s="36"/>
      <c r="O273" s="36"/>
    </row>
    <row r="274">
      <c r="A274" s="36"/>
      <c r="B274" s="36"/>
      <c r="C274" s="36"/>
      <c r="H274" s="36"/>
      <c r="I274" s="36"/>
      <c r="J274" s="36"/>
      <c r="K274" s="36"/>
      <c r="L274" s="36"/>
      <c r="M274" s="36"/>
      <c r="N274" s="36"/>
      <c r="O274" s="36"/>
    </row>
    <row r="275">
      <c r="A275" s="36"/>
      <c r="B275" s="36"/>
      <c r="C275" s="36"/>
      <c r="H275" s="36"/>
      <c r="I275" s="36"/>
      <c r="J275" s="36"/>
      <c r="K275" s="36"/>
      <c r="L275" s="36"/>
      <c r="M275" s="36"/>
      <c r="N275" s="36"/>
      <c r="O275" s="36"/>
    </row>
    <row r="276">
      <c r="A276" s="36"/>
      <c r="B276" s="36"/>
      <c r="C276" s="36"/>
      <c r="H276" s="36"/>
      <c r="I276" s="36"/>
      <c r="J276" s="36"/>
      <c r="K276" s="36"/>
      <c r="L276" s="36"/>
      <c r="M276" s="36"/>
      <c r="N276" s="36"/>
      <c r="O276" s="36"/>
    </row>
    <row r="277">
      <c r="A277" s="36"/>
      <c r="B277" s="36"/>
      <c r="C277" s="36"/>
      <c r="H277" s="36"/>
      <c r="I277" s="36"/>
      <c r="J277" s="36"/>
      <c r="K277" s="36"/>
      <c r="L277" s="36"/>
      <c r="M277" s="36"/>
      <c r="N277" s="36"/>
      <c r="O277" s="36"/>
    </row>
    <row r="278">
      <c r="A278" s="36"/>
      <c r="B278" s="36"/>
      <c r="C278" s="36"/>
      <c r="H278" s="36"/>
      <c r="I278" s="36"/>
      <c r="J278" s="36"/>
      <c r="K278" s="36"/>
      <c r="L278" s="36"/>
      <c r="M278" s="36"/>
      <c r="N278" s="36"/>
      <c r="O278" s="36"/>
    </row>
    <row r="279">
      <c r="A279" s="36"/>
      <c r="B279" s="36"/>
      <c r="C279" s="36"/>
      <c r="H279" s="36"/>
      <c r="I279" s="36"/>
      <c r="J279" s="36"/>
      <c r="K279" s="36"/>
      <c r="L279" s="36"/>
      <c r="M279" s="36"/>
      <c r="N279" s="36"/>
      <c r="O279" s="36"/>
    </row>
    <row r="280">
      <c r="A280" s="36"/>
      <c r="B280" s="36"/>
      <c r="C280" s="36"/>
      <c r="H280" s="36"/>
      <c r="I280" s="36"/>
      <c r="J280" s="36"/>
      <c r="K280" s="36"/>
      <c r="L280" s="36"/>
      <c r="M280" s="36"/>
      <c r="N280" s="36"/>
      <c r="O280" s="36"/>
    </row>
    <row r="281">
      <c r="A281" s="36"/>
      <c r="B281" s="36"/>
      <c r="C281" s="36"/>
      <c r="H281" s="36"/>
      <c r="I281" s="36"/>
      <c r="J281" s="36"/>
      <c r="K281" s="36"/>
      <c r="L281" s="36"/>
      <c r="M281" s="36"/>
      <c r="N281" s="36"/>
      <c r="O281" s="36"/>
    </row>
    <row r="282">
      <c r="A282" s="36"/>
      <c r="B282" s="36"/>
      <c r="C282" s="36"/>
      <c r="H282" s="36"/>
      <c r="I282" s="36"/>
      <c r="J282" s="36"/>
      <c r="K282" s="36"/>
      <c r="L282" s="36"/>
      <c r="M282" s="36"/>
      <c r="N282" s="36"/>
      <c r="O282" s="36"/>
    </row>
    <row r="283">
      <c r="A283" s="36"/>
      <c r="B283" s="36"/>
      <c r="C283" s="36"/>
      <c r="H283" s="36"/>
      <c r="I283" s="36"/>
      <c r="J283" s="36"/>
      <c r="K283" s="36"/>
      <c r="L283" s="36"/>
      <c r="M283" s="36"/>
      <c r="N283" s="36"/>
      <c r="O283" s="36"/>
    </row>
    <row r="284">
      <c r="A284" s="36"/>
      <c r="B284" s="36"/>
      <c r="C284" s="36"/>
      <c r="H284" s="36"/>
      <c r="I284" s="36"/>
      <c r="J284" s="36"/>
      <c r="K284" s="36"/>
      <c r="L284" s="36"/>
      <c r="M284" s="36"/>
      <c r="N284" s="36"/>
      <c r="O284" s="36"/>
    </row>
    <row r="285">
      <c r="A285" s="36"/>
      <c r="B285" s="36"/>
      <c r="C285" s="36"/>
      <c r="H285" s="36"/>
      <c r="I285" s="36"/>
      <c r="J285" s="36"/>
      <c r="K285" s="36"/>
      <c r="L285" s="36"/>
      <c r="M285" s="36"/>
      <c r="N285" s="36"/>
      <c r="O285" s="36"/>
    </row>
    <row r="286">
      <c r="A286" s="36"/>
      <c r="B286" s="36"/>
      <c r="C286" s="36"/>
      <c r="H286" s="36"/>
      <c r="I286" s="36"/>
      <c r="J286" s="36"/>
      <c r="K286" s="36"/>
      <c r="L286" s="36"/>
      <c r="M286" s="36"/>
      <c r="N286" s="36"/>
      <c r="O286" s="36"/>
    </row>
    <row r="287">
      <c r="A287" s="36"/>
      <c r="B287" s="36"/>
      <c r="C287" s="36"/>
      <c r="H287" s="36"/>
      <c r="I287" s="36"/>
      <c r="J287" s="36"/>
      <c r="K287" s="36"/>
      <c r="L287" s="36"/>
      <c r="M287" s="36"/>
      <c r="N287" s="36"/>
      <c r="O287" s="36"/>
    </row>
    <row r="288">
      <c r="A288" s="36"/>
      <c r="B288" s="36"/>
      <c r="C288" s="36"/>
      <c r="H288" s="36"/>
      <c r="I288" s="36"/>
      <c r="J288" s="36"/>
      <c r="K288" s="36"/>
      <c r="L288" s="36"/>
      <c r="M288" s="36"/>
      <c r="N288" s="36"/>
      <c r="O288" s="36"/>
    </row>
    <row r="289">
      <c r="A289" s="36"/>
      <c r="B289" s="36"/>
      <c r="C289" s="36"/>
      <c r="H289" s="36"/>
      <c r="I289" s="36"/>
      <c r="J289" s="36"/>
      <c r="K289" s="36"/>
      <c r="L289" s="36"/>
      <c r="M289" s="36"/>
      <c r="N289" s="36"/>
      <c r="O289" s="36"/>
    </row>
    <row r="290">
      <c r="A290" s="36"/>
      <c r="B290" s="36"/>
      <c r="C290" s="36"/>
      <c r="H290" s="36"/>
      <c r="I290" s="36"/>
      <c r="J290" s="36"/>
      <c r="K290" s="36"/>
      <c r="L290" s="36"/>
      <c r="M290" s="36"/>
      <c r="N290" s="36"/>
      <c r="O290" s="36"/>
    </row>
    <row r="291">
      <c r="A291" s="36"/>
      <c r="B291" s="36"/>
      <c r="C291" s="36"/>
      <c r="H291" s="36"/>
      <c r="I291" s="36"/>
      <c r="J291" s="36"/>
      <c r="K291" s="36"/>
      <c r="L291" s="36"/>
      <c r="M291" s="36"/>
      <c r="N291" s="36"/>
      <c r="O291" s="36"/>
    </row>
    <row r="292">
      <c r="A292" s="36"/>
      <c r="B292" s="36"/>
      <c r="C292" s="36"/>
      <c r="H292" s="36"/>
      <c r="I292" s="36"/>
      <c r="J292" s="36"/>
      <c r="K292" s="36"/>
      <c r="L292" s="36"/>
      <c r="M292" s="36"/>
      <c r="N292" s="36"/>
      <c r="O292" s="36"/>
    </row>
    <row r="293">
      <c r="A293" s="36"/>
      <c r="B293" s="36"/>
      <c r="C293" s="36"/>
      <c r="H293" s="36"/>
      <c r="I293" s="36"/>
      <c r="J293" s="36"/>
      <c r="K293" s="36"/>
      <c r="L293" s="36"/>
      <c r="M293" s="36"/>
      <c r="N293" s="36"/>
      <c r="O293" s="36"/>
    </row>
    <row r="294">
      <c r="A294" s="36"/>
      <c r="B294" s="36"/>
      <c r="C294" s="36"/>
      <c r="H294" s="36"/>
      <c r="I294" s="36"/>
      <c r="J294" s="36"/>
      <c r="K294" s="36"/>
      <c r="L294" s="36"/>
      <c r="M294" s="36"/>
      <c r="N294" s="36"/>
      <c r="O294" s="36"/>
    </row>
    <row r="295">
      <c r="A295" s="36"/>
      <c r="B295" s="36"/>
      <c r="C295" s="36"/>
      <c r="H295" s="36"/>
      <c r="I295" s="36"/>
      <c r="J295" s="36"/>
      <c r="K295" s="36"/>
      <c r="L295" s="36"/>
      <c r="M295" s="36"/>
      <c r="N295" s="36"/>
      <c r="O295" s="36"/>
    </row>
    <row r="296">
      <c r="A296" s="36"/>
      <c r="B296" s="36"/>
      <c r="C296" s="36"/>
      <c r="H296" s="36"/>
      <c r="I296" s="36"/>
      <c r="J296" s="36"/>
      <c r="K296" s="36"/>
      <c r="L296" s="36"/>
      <c r="M296" s="36"/>
      <c r="N296" s="36"/>
      <c r="O296" s="36"/>
    </row>
    <row r="297">
      <c r="A297" s="36"/>
      <c r="B297" s="36"/>
      <c r="C297" s="36"/>
      <c r="H297" s="36"/>
      <c r="I297" s="36"/>
      <c r="J297" s="36"/>
      <c r="K297" s="36"/>
      <c r="L297" s="36"/>
      <c r="M297" s="36"/>
      <c r="N297" s="36"/>
      <c r="O297" s="36"/>
    </row>
    <row r="298">
      <c r="A298" s="36"/>
      <c r="B298" s="36"/>
      <c r="C298" s="36"/>
      <c r="H298" s="36"/>
      <c r="I298" s="36"/>
      <c r="J298" s="36"/>
      <c r="K298" s="36"/>
      <c r="L298" s="36"/>
      <c r="M298" s="36"/>
      <c r="N298" s="36"/>
      <c r="O298" s="36"/>
    </row>
    <row r="299">
      <c r="A299" s="36"/>
      <c r="B299" s="36"/>
      <c r="C299" s="36"/>
      <c r="H299" s="36"/>
      <c r="I299" s="36"/>
      <c r="J299" s="36"/>
      <c r="K299" s="36"/>
      <c r="L299" s="36"/>
      <c r="M299" s="36"/>
      <c r="N299" s="36"/>
      <c r="O299" s="36"/>
    </row>
    <row r="300">
      <c r="A300" s="36"/>
      <c r="B300" s="36"/>
      <c r="C300" s="36"/>
      <c r="H300" s="36"/>
      <c r="I300" s="36"/>
      <c r="J300" s="36"/>
      <c r="K300" s="36"/>
      <c r="L300" s="36"/>
      <c r="M300" s="36"/>
      <c r="N300" s="36"/>
      <c r="O300" s="36"/>
    </row>
    <row r="301">
      <c r="A301" s="36"/>
      <c r="B301" s="36"/>
      <c r="C301" s="36"/>
      <c r="H301" s="36"/>
      <c r="I301" s="36"/>
      <c r="J301" s="36"/>
      <c r="K301" s="36"/>
      <c r="L301" s="36"/>
      <c r="M301" s="36"/>
      <c r="N301" s="36"/>
      <c r="O301" s="36"/>
    </row>
    <row r="302">
      <c r="A302" s="36"/>
      <c r="B302" s="36"/>
      <c r="C302" s="36"/>
      <c r="H302" s="36"/>
      <c r="I302" s="36"/>
      <c r="J302" s="36"/>
      <c r="K302" s="36"/>
      <c r="L302" s="36"/>
      <c r="M302" s="36"/>
      <c r="N302" s="36"/>
      <c r="O302" s="36"/>
    </row>
    <row r="303">
      <c r="A303" s="36"/>
      <c r="B303" s="36"/>
      <c r="C303" s="36"/>
      <c r="H303" s="36"/>
      <c r="I303" s="36"/>
      <c r="J303" s="36"/>
      <c r="K303" s="36"/>
      <c r="L303" s="36"/>
      <c r="M303" s="36"/>
      <c r="N303" s="36"/>
      <c r="O303" s="36"/>
    </row>
    <row r="304">
      <c r="A304" s="36"/>
      <c r="B304" s="36"/>
      <c r="C304" s="36"/>
      <c r="H304" s="36"/>
      <c r="I304" s="36"/>
      <c r="J304" s="36"/>
      <c r="K304" s="36"/>
      <c r="L304" s="36"/>
      <c r="M304" s="36"/>
      <c r="N304" s="36"/>
      <c r="O304" s="36"/>
    </row>
    <row r="305">
      <c r="A305" s="36"/>
      <c r="B305" s="36"/>
      <c r="C305" s="36"/>
      <c r="H305" s="36"/>
      <c r="I305" s="36"/>
      <c r="J305" s="36"/>
      <c r="K305" s="36"/>
      <c r="L305" s="36"/>
      <c r="M305" s="36"/>
      <c r="N305" s="36"/>
      <c r="O305" s="36"/>
    </row>
    <row r="306">
      <c r="A306" s="36"/>
      <c r="B306" s="36"/>
      <c r="C306" s="36"/>
      <c r="H306" s="36"/>
      <c r="I306" s="36"/>
      <c r="J306" s="36"/>
      <c r="K306" s="36"/>
      <c r="L306" s="36"/>
      <c r="M306" s="36"/>
      <c r="N306" s="36"/>
      <c r="O306" s="36"/>
    </row>
    <row r="307">
      <c r="A307" s="36"/>
      <c r="B307" s="36"/>
      <c r="C307" s="36"/>
      <c r="H307" s="36"/>
      <c r="I307" s="36"/>
      <c r="J307" s="36"/>
      <c r="K307" s="36"/>
      <c r="L307" s="36"/>
      <c r="M307" s="36"/>
      <c r="N307" s="36"/>
      <c r="O307" s="36"/>
    </row>
    <row r="308">
      <c r="A308" s="36"/>
      <c r="B308" s="36"/>
      <c r="C308" s="36"/>
      <c r="H308" s="36"/>
      <c r="I308" s="36"/>
      <c r="J308" s="36"/>
      <c r="K308" s="36"/>
      <c r="L308" s="36"/>
      <c r="M308" s="36"/>
      <c r="N308" s="36"/>
      <c r="O308" s="36"/>
    </row>
    <row r="309">
      <c r="A309" s="36"/>
      <c r="B309" s="36"/>
      <c r="C309" s="36"/>
      <c r="H309" s="36"/>
      <c r="I309" s="36"/>
      <c r="J309" s="36"/>
      <c r="K309" s="36"/>
      <c r="L309" s="36"/>
      <c r="M309" s="36"/>
      <c r="N309" s="36"/>
      <c r="O309" s="36"/>
    </row>
    <row r="310">
      <c r="A310" s="36"/>
      <c r="B310" s="36"/>
      <c r="C310" s="36"/>
      <c r="H310" s="36"/>
      <c r="I310" s="36"/>
      <c r="J310" s="36"/>
      <c r="K310" s="36"/>
      <c r="L310" s="36"/>
      <c r="M310" s="36"/>
      <c r="N310" s="36"/>
      <c r="O310" s="36"/>
    </row>
    <row r="311">
      <c r="A311" s="36"/>
      <c r="B311" s="36"/>
      <c r="C311" s="36"/>
      <c r="H311" s="36"/>
      <c r="I311" s="36"/>
      <c r="J311" s="36"/>
      <c r="K311" s="36"/>
      <c r="L311" s="36"/>
      <c r="M311" s="36"/>
      <c r="N311" s="36"/>
      <c r="O311" s="36"/>
    </row>
    <row r="312">
      <c r="A312" s="36"/>
      <c r="B312" s="36"/>
      <c r="C312" s="36"/>
      <c r="H312" s="36"/>
      <c r="I312" s="36"/>
      <c r="J312" s="36"/>
      <c r="K312" s="36"/>
      <c r="L312" s="36"/>
      <c r="M312" s="36"/>
      <c r="N312" s="36"/>
      <c r="O312" s="36"/>
    </row>
    <row r="313">
      <c r="A313" s="36"/>
      <c r="B313" s="36"/>
      <c r="C313" s="36"/>
      <c r="H313" s="36"/>
      <c r="I313" s="36"/>
      <c r="J313" s="36"/>
      <c r="K313" s="36"/>
      <c r="L313" s="36"/>
      <c r="M313" s="36"/>
      <c r="N313" s="36"/>
      <c r="O313" s="36"/>
    </row>
    <row r="314">
      <c r="A314" s="36"/>
      <c r="B314" s="36"/>
      <c r="C314" s="36"/>
      <c r="H314" s="36"/>
      <c r="I314" s="36"/>
      <c r="J314" s="36"/>
      <c r="K314" s="36"/>
      <c r="L314" s="36"/>
      <c r="M314" s="36"/>
      <c r="N314" s="36"/>
      <c r="O314" s="36"/>
    </row>
    <row r="315">
      <c r="A315" s="36"/>
      <c r="B315" s="36"/>
      <c r="C315" s="36"/>
      <c r="H315" s="36"/>
      <c r="I315" s="36"/>
      <c r="J315" s="36"/>
      <c r="K315" s="36"/>
      <c r="L315" s="36"/>
      <c r="M315" s="36"/>
      <c r="N315" s="36"/>
      <c r="O315" s="36"/>
    </row>
    <row r="316">
      <c r="A316" s="36"/>
      <c r="B316" s="36"/>
      <c r="C316" s="36"/>
      <c r="H316" s="36"/>
      <c r="I316" s="36"/>
      <c r="J316" s="36"/>
      <c r="K316" s="36"/>
      <c r="L316" s="36"/>
      <c r="M316" s="36"/>
      <c r="N316" s="36"/>
      <c r="O316" s="36"/>
    </row>
    <row r="317">
      <c r="A317" s="36"/>
      <c r="B317" s="36"/>
      <c r="C317" s="36"/>
      <c r="H317" s="36"/>
      <c r="I317" s="36"/>
      <c r="J317" s="36"/>
      <c r="K317" s="36"/>
      <c r="L317" s="36"/>
      <c r="M317" s="36"/>
      <c r="N317" s="36"/>
      <c r="O317" s="36"/>
    </row>
    <row r="318">
      <c r="A318" s="36"/>
      <c r="B318" s="36"/>
      <c r="C318" s="36"/>
      <c r="H318" s="36"/>
      <c r="I318" s="36"/>
      <c r="J318" s="36"/>
      <c r="K318" s="36"/>
      <c r="L318" s="36"/>
      <c r="M318" s="36"/>
      <c r="N318" s="36"/>
      <c r="O318" s="36"/>
    </row>
    <row r="319">
      <c r="A319" s="36"/>
      <c r="B319" s="36"/>
      <c r="C319" s="36"/>
      <c r="H319" s="36"/>
      <c r="I319" s="36"/>
      <c r="J319" s="36"/>
      <c r="K319" s="36"/>
      <c r="L319" s="36"/>
      <c r="M319" s="36"/>
      <c r="N319" s="36"/>
      <c r="O319" s="36"/>
    </row>
    <row r="320">
      <c r="A320" s="36"/>
      <c r="B320" s="36"/>
      <c r="C320" s="36"/>
      <c r="H320" s="36"/>
      <c r="I320" s="36"/>
      <c r="J320" s="36"/>
      <c r="K320" s="36"/>
      <c r="L320" s="36"/>
      <c r="M320" s="36"/>
      <c r="N320" s="36"/>
      <c r="O320" s="36"/>
    </row>
    <row r="321">
      <c r="A321" s="36"/>
      <c r="B321" s="36"/>
      <c r="C321" s="36"/>
      <c r="H321" s="36"/>
      <c r="I321" s="36"/>
      <c r="J321" s="36"/>
      <c r="K321" s="36"/>
      <c r="L321" s="36"/>
      <c r="M321" s="36"/>
      <c r="N321" s="36"/>
      <c r="O321" s="36"/>
    </row>
    <row r="322">
      <c r="A322" s="36"/>
      <c r="B322" s="36"/>
      <c r="C322" s="36"/>
      <c r="H322" s="36"/>
      <c r="I322" s="36"/>
      <c r="J322" s="36"/>
      <c r="K322" s="36"/>
      <c r="L322" s="36"/>
      <c r="M322" s="36"/>
      <c r="N322" s="36"/>
      <c r="O322" s="36"/>
    </row>
    <row r="323">
      <c r="A323" s="36"/>
      <c r="B323" s="36"/>
      <c r="C323" s="36"/>
      <c r="H323" s="36"/>
      <c r="I323" s="36"/>
      <c r="J323" s="36"/>
      <c r="K323" s="36"/>
      <c r="L323" s="36"/>
      <c r="M323" s="36"/>
      <c r="N323" s="36"/>
      <c r="O323" s="36"/>
    </row>
    <row r="324">
      <c r="A324" s="36"/>
      <c r="B324" s="36"/>
      <c r="C324" s="36"/>
      <c r="H324" s="36"/>
      <c r="I324" s="36"/>
      <c r="J324" s="36"/>
      <c r="K324" s="36"/>
      <c r="L324" s="36"/>
      <c r="M324" s="36"/>
      <c r="N324" s="36"/>
      <c r="O324" s="36"/>
    </row>
    <row r="325">
      <c r="A325" s="36"/>
      <c r="B325" s="36"/>
      <c r="C325" s="36"/>
      <c r="H325" s="36"/>
      <c r="I325" s="36"/>
      <c r="J325" s="36"/>
      <c r="K325" s="36"/>
      <c r="L325" s="36"/>
      <c r="M325" s="36"/>
      <c r="N325" s="36"/>
      <c r="O325" s="36"/>
    </row>
    <row r="326">
      <c r="A326" s="36"/>
      <c r="B326" s="36"/>
      <c r="C326" s="36"/>
      <c r="H326" s="36"/>
      <c r="I326" s="36"/>
      <c r="J326" s="36"/>
      <c r="K326" s="36"/>
      <c r="L326" s="36"/>
      <c r="M326" s="36"/>
      <c r="N326" s="36"/>
      <c r="O326" s="36"/>
    </row>
    <row r="327">
      <c r="A327" s="36"/>
      <c r="B327" s="36"/>
      <c r="C327" s="36"/>
      <c r="H327" s="36"/>
      <c r="I327" s="36"/>
      <c r="J327" s="36"/>
      <c r="K327" s="36"/>
      <c r="L327" s="36"/>
      <c r="M327" s="36"/>
      <c r="N327" s="36"/>
      <c r="O327" s="36"/>
    </row>
    <row r="328">
      <c r="A328" s="36"/>
      <c r="B328" s="36"/>
      <c r="C328" s="36"/>
      <c r="H328" s="36"/>
      <c r="I328" s="36"/>
      <c r="J328" s="36"/>
      <c r="K328" s="36"/>
      <c r="L328" s="36"/>
      <c r="M328" s="36"/>
      <c r="N328" s="36"/>
      <c r="O328" s="36"/>
    </row>
    <row r="329">
      <c r="A329" s="36"/>
      <c r="B329" s="36"/>
      <c r="C329" s="36"/>
      <c r="H329" s="36"/>
      <c r="I329" s="36"/>
      <c r="J329" s="36"/>
      <c r="K329" s="36"/>
      <c r="L329" s="36"/>
      <c r="M329" s="36"/>
      <c r="N329" s="36"/>
      <c r="O329" s="36"/>
    </row>
    <row r="330">
      <c r="A330" s="36"/>
      <c r="B330" s="36"/>
      <c r="C330" s="36"/>
      <c r="H330" s="36"/>
      <c r="I330" s="36"/>
      <c r="J330" s="36"/>
      <c r="K330" s="36"/>
      <c r="L330" s="36"/>
      <c r="M330" s="36"/>
      <c r="N330" s="36"/>
      <c r="O330" s="36"/>
    </row>
    <row r="331">
      <c r="A331" s="36"/>
      <c r="B331" s="36"/>
      <c r="C331" s="36"/>
      <c r="H331" s="36"/>
      <c r="I331" s="36"/>
      <c r="J331" s="36"/>
      <c r="K331" s="36"/>
      <c r="L331" s="36"/>
      <c r="M331" s="36"/>
      <c r="N331" s="36"/>
      <c r="O331" s="36"/>
    </row>
    <row r="332">
      <c r="A332" s="36"/>
      <c r="B332" s="36"/>
      <c r="C332" s="36"/>
      <c r="H332" s="36"/>
      <c r="I332" s="36"/>
      <c r="J332" s="36"/>
      <c r="K332" s="36"/>
      <c r="L332" s="36"/>
      <c r="M332" s="36"/>
      <c r="N332" s="36"/>
      <c r="O332" s="36"/>
    </row>
    <row r="333">
      <c r="A333" s="36"/>
      <c r="B333" s="36"/>
      <c r="C333" s="36"/>
      <c r="H333" s="36"/>
      <c r="I333" s="36"/>
      <c r="J333" s="36"/>
      <c r="K333" s="36"/>
      <c r="L333" s="36"/>
      <c r="M333" s="36"/>
      <c r="N333" s="36"/>
      <c r="O333" s="36"/>
    </row>
    <row r="334">
      <c r="A334" s="36"/>
      <c r="B334" s="36"/>
      <c r="C334" s="36"/>
      <c r="H334" s="36"/>
      <c r="I334" s="36"/>
      <c r="J334" s="36"/>
      <c r="K334" s="36"/>
      <c r="L334" s="36"/>
      <c r="M334" s="36"/>
      <c r="N334" s="36"/>
      <c r="O334" s="36"/>
    </row>
    <row r="335">
      <c r="A335" s="36"/>
      <c r="B335" s="36"/>
      <c r="C335" s="36"/>
      <c r="H335" s="36"/>
      <c r="I335" s="36"/>
      <c r="J335" s="36"/>
      <c r="K335" s="36"/>
      <c r="L335" s="36"/>
      <c r="M335" s="36"/>
      <c r="N335" s="36"/>
      <c r="O335" s="36"/>
    </row>
    <row r="336">
      <c r="A336" s="36"/>
      <c r="B336" s="36"/>
      <c r="C336" s="36"/>
      <c r="H336" s="36"/>
      <c r="I336" s="36"/>
      <c r="J336" s="36"/>
      <c r="K336" s="36"/>
      <c r="L336" s="36"/>
      <c r="M336" s="36"/>
      <c r="N336" s="36"/>
      <c r="O336" s="36"/>
    </row>
    <row r="337">
      <c r="A337" s="36"/>
      <c r="B337" s="36"/>
      <c r="C337" s="36"/>
      <c r="H337" s="36"/>
      <c r="I337" s="36"/>
      <c r="J337" s="36"/>
      <c r="K337" s="36"/>
      <c r="L337" s="36"/>
      <c r="M337" s="36"/>
      <c r="N337" s="36"/>
      <c r="O337" s="36"/>
    </row>
    <row r="338">
      <c r="A338" s="36"/>
      <c r="B338" s="36"/>
      <c r="C338" s="36"/>
      <c r="H338" s="36"/>
      <c r="I338" s="36"/>
      <c r="J338" s="36"/>
      <c r="K338" s="36"/>
      <c r="L338" s="36"/>
      <c r="M338" s="36"/>
      <c r="N338" s="36"/>
      <c r="O338" s="36"/>
    </row>
    <row r="339">
      <c r="A339" s="36"/>
      <c r="B339" s="36"/>
      <c r="C339" s="36"/>
      <c r="H339" s="36"/>
      <c r="I339" s="36"/>
      <c r="J339" s="36"/>
      <c r="K339" s="36"/>
      <c r="L339" s="36"/>
      <c r="M339" s="36"/>
      <c r="N339" s="36"/>
      <c r="O339" s="36"/>
    </row>
    <row r="340">
      <c r="A340" s="36"/>
      <c r="B340" s="36"/>
      <c r="C340" s="36"/>
      <c r="H340" s="36"/>
      <c r="I340" s="36"/>
      <c r="J340" s="36"/>
      <c r="K340" s="36"/>
      <c r="L340" s="36"/>
      <c r="M340" s="36"/>
      <c r="N340" s="36"/>
      <c r="O340" s="36"/>
    </row>
    <row r="341">
      <c r="A341" s="36"/>
      <c r="B341" s="36"/>
      <c r="C341" s="36"/>
      <c r="H341" s="36"/>
      <c r="I341" s="36"/>
      <c r="J341" s="36"/>
      <c r="K341" s="36"/>
      <c r="L341" s="36"/>
      <c r="M341" s="36"/>
      <c r="N341" s="36"/>
      <c r="O341" s="36"/>
    </row>
    <row r="342">
      <c r="A342" s="36"/>
      <c r="B342" s="36"/>
      <c r="C342" s="36"/>
      <c r="H342" s="36"/>
      <c r="I342" s="36"/>
      <c r="J342" s="36"/>
      <c r="K342" s="36"/>
      <c r="L342" s="36"/>
      <c r="M342" s="36"/>
      <c r="N342" s="36"/>
      <c r="O342" s="36"/>
    </row>
    <row r="343">
      <c r="A343" s="36"/>
      <c r="B343" s="36"/>
      <c r="C343" s="36"/>
      <c r="H343" s="36"/>
      <c r="I343" s="36"/>
      <c r="J343" s="36"/>
      <c r="K343" s="36"/>
      <c r="L343" s="36"/>
      <c r="M343" s="36"/>
      <c r="N343" s="36"/>
      <c r="O343" s="36"/>
    </row>
    <row r="344">
      <c r="A344" s="36"/>
      <c r="B344" s="36"/>
      <c r="C344" s="36"/>
      <c r="H344" s="36"/>
      <c r="I344" s="36"/>
      <c r="J344" s="36"/>
      <c r="K344" s="36"/>
      <c r="L344" s="36"/>
      <c r="M344" s="36"/>
      <c r="N344" s="36"/>
      <c r="O344" s="36"/>
    </row>
    <row r="345">
      <c r="A345" s="36"/>
      <c r="B345" s="36"/>
      <c r="C345" s="36"/>
      <c r="H345" s="36"/>
      <c r="I345" s="36"/>
      <c r="J345" s="36"/>
      <c r="K345" s="36"/>
      <c r="L345" s="36"/>
      <c r="M345" s="36"/>
      <c r="N345" s="36"/>
      <c r="O345" s="36"/>
    </row>
    <row r="346">
      <c r="A346" s="36"/>
      <c r="B346" s="36"/>
      <c r="C346" s="36"/>
      <c r="H346" s="36"/>
      <c r="I346" s="36"/>
      <c r="J346" s="36"/>
      <c r="K346" s="36"/>
      <c r="L346" s="36"/>
      <c r="M346" s="36"/>
      <c r="N346" s="36"/>
      <c r="O346" s="36"/>
    </row>
    <row r="347">
      <c r="A347" s="36"/>
      <c r="B347" s="36"/>
      <c r="C347" s="36"/>
      <c r="H347" s="36"/>
      <c r="I347" s="36"/>
      <c r="J347" s="36"/>
      <c r="K347" s="36"/>
      <c r="L347" s="36"/>
      <c r="M347" s="36"/>
      <c r="N347" s="36"/>
      <c r="O347" s="36"/>
    </row>
    <row r="348">
      <c r="A348" s="36"/>
      <c r="B348" s="36"/>
      <c r="C348" s="36"/>
      <c r="H348" s="36"/>
      <c r="I348" s="36"/>
      <c r="J348" s="36"/>
      <c r="K348" s="36"/>
      <c r="L348" s="36"/>
      <c r="M348" s="36"/>
      <c r="N348" s="36"/>
      <c r="O348" s="36"/>
    </row>
    <row r="349">
      <c r="A349" s="36"/>
      <c r="B349" s="36"/>
      <c r="C349" s="36"/>
      <c r="H349" s="36"/>
      <c r="I349" s="36"/>
      <c r="J349" s="36"/>
      <c r="K349" s="36"/>
      <c r="L349" s="36"/>
      <c r="M349" s="36"/>
      <c r="N349" s="36"/>
      <c r="O349" s="36"/>
    </row>
    <row r="350">
      <c r="A350" s="36"/>
      <c r="B350" s="36"/>
      <c r="C350" s="36"/>
      <c r="H350" s="36"/>
      <c r="I350" s="36"/>
      <c r="J350" s="36"/>
      <c r="K350" s="36"/>
      <c r="L350" s="36"/>
      <c r="M350" s="36"/>
      <c r="N350" s="36"/>
      <c r="O350" s="36"/>
    </row>
    <row r="351">
      <c r="A351" s="36"/>
      <c r="B351" s="36"/>
      <c r="C351" s="36"/>
      <c r="H351" s="36"/>
      <c r="I351" s="36"/>
      <c r="J351" s="36"/>
      <c r="K351" s="36"/>
      <c r="L351" s="36"/>
      <c r="M351" s="36"/>
      <c r="N351" s="36"/>
      <c r="O351" s="36"/>
    </row>
    <row r="352">
      <c r="A352" s="36"/>
      <c r="B352" s="36"/>
      <c r="C352" s="36"/>
      <c r="H352" s="36"/>
      <c r="I352" s="36"/>
      <c r="J352" s="36"/>
      <c r="K352" s="36"/>
      <c r="L352" s="36"/>
      <c r="M352" s="36"/>
      <c r="N352" s="36"/>
      <c r="O352" s="36"/>
    </row>
    <row r="353">
      <c r="A353" s="36"/>
      <c r="B353" s="36"/>
      <c r="C353" s="36"/>
      <c r="H353" s="36"/>
      <c r="I353" s="36"/>
      <c r="J353" s="36"/>
      <c r="K353" s="36"/>
      <c r="L353" s="36"/>
      <c r="M353" s="36"/>
      <c r="N353" s="36"/>
      <c r="O353" s="36"/>
    </row>
    <row r="354">
      <c r="A354" s="36"/>
      <c r="B354" s="36"/>
      <c r="C354" s="36"/>
      <c r="H354" s="36"/>
      <c r="I354" s="36"/>
      <c r="J354" s="36"/>
      <c r="K354" s="36"/>
      <c r="L354" s="36"/>
      <c r="M354" s="36"/>
      <c r="N354" s="36"/>
      <c r="O354" s="36"/>
    </row>
    <row r="355">
      <c r="A355" s="36"/>
      <c r="B355" s="36"/>
      <c r="C355" s="36"/>
      <c r="H355" s="36"/>
      <c r="I355" s="36"/>
      <c r="J355" s="36"/>
      <c r="K355" s="36"/>
      <c r="L355" s="36"/>
      <c r="M355" s="36"/>
      <c r="N355" s="36"/>
      <c r="O355" s="36"/>
    </row>
    <row r="356">
      <c r="A356" s="36"/>
      <c r="B356" s="36"/>
      <c r="C356" s="36"/>
      <c r="H356" s="36"/>
      <c r="I356" s="36"/>
      <c r="J356" s="36"/>
      <c r="K356" s="36"/>
      <c r="L356" s="36"/>
      <c r="M356" s="36"/>
      <c r="N356" s="36"/>
      <c r="O356" s="36"/>
    </row>
    <row r="357">
      <c r="A357" s="36"/>
      <c r="B357" s="36"/>
      <c r="C357" s="36"/>
      <c r="H357" s="36"/>
      <c r="I357" s="36"/>
      <c r="J357" s="36"/>
      <c r="K357" s="36"/>
      <c r="L357" s="36"/>
      <c r="M357" s="36"/>
      <c r="N357" s="36"/>
      <c r="O357" s="36"/>
    </row>
    <row r="358">
      <c r="A358" s="36"/>
      <c r="B358" s="36"/>
      <c r="C358" s="36"/>
      <c r="H358" s="36"/>
      <c r="I358" s="36"/>
      <c r="J358" s="36"/>
      <c r="K358" s="36"/>
      <c r="L358" s="36"/>
      <c r="M358" s="36"/>
      <c r="N358" s="36"/>
      <c r="O358" s="36"/>
    </row>
    <row r="359">
      <c r="A359" s="36"/>
      <c r="B359" s="36"/>
      <c r="C359" s="36"/>
      <c r="H359" s="36"/>
      <c r="I359" s="36"/>
      <c r="J359" s="36"/>
      <c r="K359" s="36"/>
      <c r="L359" s="36"/>
      <c r="M359" s="36"/>
      <c r="N359" s="36"/>
      <c r="O359" s="36"/>
    </row>
    <row r="360">
      <c r="A360" s="36"/>
      <c r="B360" s="36"/>
      <c r="C360" s="36"/>
      <c r="H360" s="36"/>
      <c r="I360" s="36"/>
      <c r="J360" s="36"/>
      <c r="K360" s="36"/>
      <c r="L360" s="36"/>
      <c r="M360" s="36"/>
      <c r="N360" s="36"/>
      <c r="O360" s="36"/>
    </row>
    <row r="361">
      <c r="A361" s="36"/>
      <c r="B361" s="36"/>
      <c r="C361" s="36"/>
      <c r="H361" s="36"/>
      <c r="I361" s="36"/>
      <c r="J361" s="36"/>
      <c r="K361" s="36"/>
      <c r="L361" s="36"/>
      <c r="M361" s="36"/>
      <c r="N361" s="36"/>
      <c r="O361" s="36"/>
    </row>
    <row r="362">
      <c r="A362" s="36"/>
      <c r="B362" s="36"/>
      <c r="C362" s="36"/>
      <c r="H362" s="36"/>
      <c r="I362" s="36"/>
      <c r="J362" s="36"/>
      <c r="K362" s="36"/>
      <c r="L362" s="36"/>
      <c r="M362" s="36"/>
      <c r="N362" s="36"/>
      <c r="O362" s="36"/>
    </row>
    <row r="363">
      <c r="A363" s="36"/>
      <c r="B363" s="36"/>
      <c r="C363" s="36"/>
      <c r="H363" s="36"/>
      <c r="I363" s="36"/>
      <c r="J363" s="36"/>
      <c r="K363" s="36"/>
      <c r="L363" s="36"/>
      <c r="M363" s="36"/>
      <c r="N363" s="36"/>
      <c r="O363" s="36"/>
    </row>
    <row r="364">
      <c r="A364" s="36"/>
      <c r="B364" s="36"/>
      <c r="C364" s="36"/>
      <c r="H364" s="36"/>
      <c r="I364" s="36"/>
      <c r="J364" s="36"/>
      <c r="K364" s="36"/>
      <c r="L364" s="36"/>
      <c r="M364" s="36"/>
      <c r="N364" s="36"/>
      <c r="O364" s="36"/>
    </row>
    <row r="365">
      <c r="A365" s="36"/>
      <c r="B365" s="36"/>
      <c r="C365" s="36"/>
      <c r="H365" s="36"/>
      <c r="I365" s="36"/>
      <c r="J365" s="36"/>
      <c r="K365" s="36"/>
      <c r="L365" s="36"/>
      <c r="M365" s="36"/>
      <c r="N365" s="36"/>
      <c r="O365" s="36"/>
    </row>
    <row r="366">
      <c r="A366" s="36"/>
      <c r="B366" s="36"/>
      <c r="C366" s="36"/>
      <c r="H366" s="36"/>
      <c r="I366" s="36"/>
      <c r="J366" s="36"/>
      <c r="K366" s="36"/>
      <c r="L366" s="36"/>
      <c r="M366" s="36"/>
      <c r="N366" s="36"/>
      <c r="O366" s="36"/>
    </row>
    <row r="367">
      <c r="A367" s="36"/>
      <c r="B367" s="36"/>
      <c r="C367" s="36"/>
      <c r="H367" s="36"/>
      <c r="I367" s="36"/>
      <c r="J367" s="36"/>
      <c r="K367" s="36"/>
      <c r="L367" s="36"/>
      <c r="M367" s="36"/>
      <c r="N367" s="36"/>
      <c r="O367" s="36"/>
    </row>
    <row r="368">
      <c r="A368" s="36"/>
      <c r="B368" s="36"/>
      <c r="C368" s="36"/>
      <c r="H368" s="36"/>
      <c r="I368" s="36"/>
      <c r="J368" s="36"/>
      <c r="K368" s="36"/>
      <c r="L368" s="36"/>
      <c r="M368" s="36"/>
      <c r="N368" s="36"/>
      <c r="O368" s="36"/>
    </row>
    <row r="369">
      <c r="A369" s="36"/>
      <c r="B369" s="36"/>
      <c r="C369" s="36"/>
      <c r="H369" s="36"/>
      <c r="I369" s="36"/>
      <c r="J369" s="36"/>
      <c r="K369" s="36"/>
      <c r="L369" s="36"/>
      <c r="M369" s="36"/>
      <c r="N369" s="36"/>
      <c r="O369" s="36"/>
    </row>
    <row r="370">
      <c r="A370" s="36"/>
      <c r="B370" s="36"/>
      <c r="C370" s="36"/>
      <c r="H370" s="36"/>
      <c r="I370" s="36"/>
      <c r="J370" s="36"/>
      <c r="K370" s="36"/>
      <c r="L370" s="36"/>
      <c r="M370" s="36"/>
      <c r="N370" s="36"/>
      <c r="O370" s="36"/>
    </row>
    <row r="371">
      <c r="A371" s="36"/>
      <c r="B371" s="36"/>
      <c r="C371" s="36"/>
      <c r="H371" s="36"/>
      <c r="I371" s="36"/>
      <c r="J371" s="36"/>
      <c r="K371" s="36"/>
      <c r="L371" s="36"/>
      <c r="M371" s="36"/>
      <c r="N371" s="36"/>
      <c r="O371" s="36"/>
    </row>
    <row r="372">
      <c r="A372" s="36"/>
      <c r="B372" s="36"/>
      <c r="C372" s="36"/>
      <c r="H372" s="36"/>
      <c r="I372" s="36"/>
      <c r="J372" s="36"/>
      <c r="K372" s="36"/>
      <c r="L372" s="36"/>
      <c r="M372" s="36"/>
      <c r="N372" s="36"/>
      <c r="O372" s="36"/>
    </row>
    <row r="373">
      <c r="A373" s="36"/>
      <c r="B373" s="36"/>
      <c r="C373" s="36"/>
      <c r="H373" s="36"/>
      <c r="I373" s="36"/>
      <c r="J373" s="36"/>
      <c r="K373" s="36"/>
      <c r="L373" s="36"/>
      <c r="M373" s="36"/>
      <c r="N373" s="36"/>
      <c r="O373" s="36"/>
    </row>
    <row r="374">
      <c r="A374" s="36"/>
      <c r="B374" s="36"/>
      <c r="C374" s="36"/>
      <c r="H374" s="36"/>
      <c r="I374" s="36"/>
      <c r="J374" s="36"/>
      <c r="K374" s="36"/>
      <c r="L374" s="36"/>
      <c r="M374" s="36"/>
      <c r="N374" s="36"/>
      <c r="O374" s="36"/>
    </row>
    <row r="375">
      <c r="A375" s="36"/>
      <c r="B375" s="36"/>
      <c r="C375" s="36"/>
      <c r="H375" s="36"/>
      <c r="I375" s="36"/>
      <c r="J375" s="36"/>
      <c r="K375" s="36"/>
      <c r="L375" s="36"/>
      <c r="M375" s="36"/>
      <c r="N375" s="36"/>
      <c r="O375" s="36"/>
    </row>
    <row r="376">
      <c r="A376" s="36"/>
      <c r="B376" s="36"/>
      <c r="C376" s="36"/>
      <c r="H376" s="36"/>
      <c r="I376" s="36"/>
      <c r="J376" s="36"/>
      <c r="K376" s="36"/>
      <c r="L376" s="36"/>
      <c r="M376" s="36"/>
      <c r="N376" s="36"/>
      <c r="O376" s="36"/>
    </row>
    <row r="377">
      <c r="A377" s="36"/>
      <c r="B377" s="36"/>
      <c r="C377" s="36"/>
      <c r="H377" s="36"/>
      <c r="I377" s="36"/>
      <c r="J377" s="36"/>
      <c r="K377" s="36"/>
      <c r="L377" s="36"/>
      <c r="M377" s="36"/>
      <c r="N377" s="36"/>
      <c r="O377" s="36"/>
    </row>
    <row r="378">
      <c r="A378" s="36"/>
      <c r="B378" s="36"/>
      <c r="C378" s="36"/>
      <c r="H378" s="36"/>
      <c r="I378" s="36"/>
      <c r="J378" s="36"/>
      <c r="K378" s="36"/>
      <c r="L378" s="36"/>
      <c r="M378" s="36"/>
      <c r="N378" s="36"/>
      <c r="O378" s="36"/>
    </row>
    <row r="379">
      <c r="A379" s="36"/>
      <c r="B379" s="36"/>
      <c r="C379" s="36"/>
      <c r="H379" s="36"/>
      <c r="I379" s="36"/>
      <c r="J379" s="36"/>
      <c r="K379" s="36"/>
      <c r="L379" s="36"/>
      <c r="M379" s="36"/>
      <c r="N379" s="36"/>
      <c r="O379" s="36"/>
    </row>
    <row r="380">
      <c r="A380" s="36"/>
      <c r="B380" s="36"/>
      <c r="C380" s="36"/>
      <c r="H380" s="36"/>
      <c r="I380" s="36"/>
      <c r="J380" s="36"/>
      <c r="K380" s="36"/>
      <c r="L380" s="36"/>
      <c r="M380" s="36"/>
      <c r="N380" s="36"/>
      <c r="O380" s="36"/>
    </row>
    <row r="381">
      <c r="A381" s="36"/>
      <c r="B381" s="36"/>
      <c r="C381" s="36"/>
      <c r="H381" s="36"/>
      <c r="I381" s="36"/>
      <c r="J381" s="36"/>
      <c r="K381" s="36"/>
      <c r="L381" s="36"/>
      <c r="M381" s="36"/>
      <c r="N381" s="36"/>
      <c r="O381" s="36"/>
    </row>
    <row r="382">
      <c r="A382" s="36"/>
      <c r="B382" s="36"/>
      <c r="C382" s="36"/>
      <c r="H382" s="36"/>
      <c r="I382" s="36"/>
      <c r="J382" s="36"/>
      <c r="K382" s="36"/>
      <c r="L382" s="36"/>
      <c r="M382" s="36"/>
      <c r="N382" s="36"/>
      <c r="O382" s="36"/>
    </row>
    <row r="383">
      <c r="A383" s="36"/>
      <c r="B383" s="36"/>
      <c r="C383" s="36"/>
      <c r="H383" s="36"/>
      <c r="I383" s="36"/>
      <c r="J383" s="36"/>
      <c r="K383" s="36"/>
      <c r="L383" s="36"/>
      <c r="M383" s="36"/>
      <c r="N383" s="36"/>
      <c r="O383" s="36"/>
    </row>
    <row r="384">
      <c r="A384" s="36"/>
      <c r="B384" s="36"/>
      <c r="C384" s="36"/>
      <c r="H384" s="36"/>
      <c r="I384" s="36"/>
      <c r="J384" s="36"/>
      <c r="K384" s="36"/>
      <c r="L384" s="36"/>
      <c r="M384" s="36"/>
      <c r="N384" s="36"/>
      <c r="O384" s="36"/>
    </row>
    <row r="385">
      <c r="A385" s="36"/>
      <c r="B385" s="36"/>
      <c r="C385" s="36"/>
      <c r="H385" s="36"/>
      <c r="I385" s="36"/>
      <c r="J385" s="36"/>
      <c r="K385" s="36"/>
      <c r="L385" s="36"/>
      <c r="M385" s="36"/>
      <c r="N385" s="36"/>
      <c r="O385" s="36"/>
    </row>
    <row r="386">
      <c r="A386" s="36"/>
      <c r="B386" s="36"/>
      <c r="C386" s="36"/>
      <c r="H386" s="36"/>
      <c r="I386" s="36"/>
      <c r="J386" s="36"/>
      <c r="K386" s="36"/>
      <c r="L386" s="36"/>
      <c r="M386" s="36"/>
      <c r="N386" s="36"/>
      <c r="O386" s="36"/>
    </row>
    <row r="387">
      <c r="A387" s="36"/>
      <c r="B387" s="36"/>
      <c r="C387" s="36"/>
      <c r="H387" s="36"/>
      <c r="I387" s="36"/>
      <c r="J387" s="36"/>
      <c r="K387" s="36"/>
      <c r="L387" s="36"/>
      <c r="M387" s="36"/>
      <c r="N387" s="36"/>
      <c r="O387" s="36"/>
    </row>
    <row r="388">
      <c r="A388" s="36"/>
      <c r="B388" s="36"/>
      <c r="C388" s="36"/>
      <c r="H388" s="36"/>
      <c r="I388" s="36"/>
      <c r="J388" s="36"/>
      <c r="K388" s="36"/>
      <c r="L388" s="36"/>
      <c r="M388" s="36"/>
      <c r="N388" s="36"/>
      <c r="O388" s="36"/>
    </row>
    <row r="389">
      <c r="A389" s="36"/>
      <c r="B389" s="36"/>
      <c r="C389" s="36"/>
      <c r="H389" s="36"/>
      <c r="I389" s="36"/>
      <c r="J389" s="36"/>
      <c r="K389" s="36"/>
      <c r="L389" s="36"/>
      <c r="M389" s="36"/>
      <c r="N389" s="36"/>
      <c r="O389" s="36"/>
    </row>
    <row r="390">
      <c r="A390" s="36"/>
      <c r="B390" s="36"/>
      <c r="C390" s="36"/>
      <c r="H390" s="36"/>
      <c r="I390" s="36"/>
      <c r="J390" s="36"/>
      <c r="K390" s="36"/>
      <c r="L390" s="36"/>
      <c r="M390" s="36"/>
      <c r="N390" s="36"/>
      <c r="O390" s="36"/>
    </row>
    <row r="391">
      <c r="A391" s="36"/>
      <c r="B391" s="36"/>
      <c r="C391" s="36"/>
      <c r="H391" s="36"/>
      <c r="I391" s="36"/>
      <c r="J391" s="36"/>
      <c r="K391" s="36"/>
      <c r="L391" s="36"/>
      <c r="M391" s="36"/>
      <c r="N391" s="36"/>
      <c r="O391" s="36"/>
    </row>
    <row r="392">
      <c r="A392" s="36"/>
      <c r="B392" s="36"/>
      <c r="C392" s="36"/>
      <c r="H392" s="36"/>
      <c r="I392" s="36"/>
      <c r="J392" s="36"/>
      <c r="K392" s="36"/>
      <c r="L392" s="36"/>
      <c r="M392" s="36"/>
      <c r="N392" s="36"/>
      <c r="O392" s="36"/>
    </row>
    <row r="393">
      <c r="A393" s="36"/>
      <c r="B393" s="36"/>
      <c r="C393" s="36"/>
      <c r="H393" s="36"/>
      <c r="I393" s="36"/>
      <c r="J393" s="36"/>
      <c r="K393" s="36"/>
      <c r="L393" s="36"/>
      <c r="M393" s="36"/>
      <c r="N393" s="36"/>
      <c r="O393" s="36"/>
    </row>
    <row r="394">
      <c r="A394" s="36"/>
      <c r="B394" s="36"/>
      <c r="C394" s="36"/>
      <c r="H394" s="36"/>
      <c r="I394" s="36"/>
      <c r="J394" s="36"/>
      <c r="K394" s="36"/>
      <c r="L394" s="36"/>
      <c r="M394" s="36"/>
      <c r="N394" s="36"/>
      <c r="O394" s="36"/>
    </row>
    <row r="395">
      <c r="A395" s="36"/>
      <c r="B395" s="36"/>
      <c r="C395" s="36"/>
      <c r="H395" s="36"/>
      <c r="I395" s="36"/>
      <c r="J395" s="36"/>
      <c r="K395" s="36"/>
      <c r="L395" s="36"/>
      <c r="M395" s="36"/>
      <c r="N395" s="36"/>
      <c r="O395" s="36"/>
    </row>
    <row r="396">
      <c r="A396" s="36"/>
      <c r="B396" s="36"/>
      <c r="C396" s="36"/>
      <c r="H396" s="36"/>
      <c r="I396" s="36"/>
      <c r="J396" s="36"/>
      <c r="K396" s="36"/>
      <c r="L396" s="36"/>
      <c r="M396" s="36"/>
      <c r="N396" s="36"/>
      <c r="O396" s="36"/>
    </row>
    <row r="397">
      <c r="A397" s="36"/>
      <c r="B397" s="36"/>
      <c r="C397" s="36"/>
      <c r="H397" s="36"/>
      <c r="I397" s="36"/>
      <c r="J397" s="36"/>
      <c r="K397" s="36"/>
      <c r="L397" s="36"/>
      <c r="M397" s="36"/>
      <c r="N397" s="36"/>
      <c r="O397" s="36"/>
    </row>
    <row r="398">
      <c r="A398" s="36"/>
      <c r="B398" s="36"/>
      <c r="C398" s="36"/>
      <c r="H398" s="36"/>
      <c r="I398" s="36"/>
      <c r="J398" s="36"/>
      <c r="K398" s="36"/>
      <c r="L398" s="36"/>
      <c r="M398" s="36"/>
      <c r="N398" s="36"/>
      <c r="O398" s="36"/>
    </row>
    <row r="399">
      <c r="A399" s="36"/>
      <c r="B399" s="36"/>
      <c r="C399" s="36"/>
      <c r="H399" s="36"/>
      <c r="I399" s="36"/>
      <c r="J399" s="36"/>
      <c r="K399" s="36"/>
      <c r="L399" s="36"/>
      <c r="M399" s="36"/>
      <c r="N399" s="36"/>
      <c r="O399" s="36"/>
    </row>
    <row r="400">
      <c r="A400" s="36"/>
      <c r="B400" s="36"/>
      <c r="C400" s="36"/>
      <c r="H400" s="36"/>
      <c r="I400" s="36"/>
      <c r="J400" s="36"/>
      <c r="K400" s="36"/>
      <c r="L400" s="36"/>
      <c r="M400" s="36"/>
      <c r="N400" s="36"/>
      <c r="O400" s="36"/>
    </row>
    <row r="401">
      <c r="A401" s="36"/>
      <c r="B401" s="36"/>
      <c r="C401" s="36"/>
      <c r="H401" s="36"/>
      <c r="I401" s="36"/>
      <c r="J401" s="36"/>
      <c r="K401" s="36"/>
      <c r="L401" s="36"/>
      <c r="M401" s="36"/>
      <c r="N401" s="36"/>
      <c r="O401" s="36"/>
    </row>
    <row r="402">
      <c r="A402" s="36"/>
      <c r="B402" s="36"/>
      <c r="C402" s="36"/>
      <c r="H402" s="36"/>
      <c r="I402" s="36"/>
      <c r="J402" s="36"/>
      <c r="K402" s="36"/>
      <c r="L402" s="36"/>
      <c r="M402" s="36"/>
      <c r="N402" s="36"/>
      <c r="O402" s="36"/>
    </row>
    <row r="403">
      <c r="A403" s="36"/>
      <c r="B403" s="36"/>
      <c r="C403" s="36"/>
      <c r="H403" s="36"/>
      <c r="I403" s="36"/>
      <c r="J403" s="36"/>
      <c r="K403" s="36"/>
      <c r="L403" s="36"/>
      <c r="M403" s="36"/>
      <c r="N403" s="36"/>
      <c r="O403" s="36"/>
    </row>
    <row r="404">
      <c r="A404" s="36"/>
      <c r="B404" s="36"/>
      <c r="C404" s="36"/>
      <c r="H404" s="36"/>
      <c r="I404" s="36"/>
      <c r="J404" s="36"/>
      <c r="K404" s="36"/>
      <c r="L404" s="36"/>
      <c r="M404" s="36"/>
      <c r="N404" s="36"/>
      <c r="O404" s="36"/>
    </row>
    <row r="405">
      <c r="A405" s="36"/>
      <c r="B405" s="36"/>
      <c r="C405" s="36"/>
      <c r="H405" s="36"/>
      <c r="I405" s="36"/>
      <c r="J405" s="36"/>
      <c r="K405" s="36"/>
      <c r="L405" s="36"/>
      <c r="M405" s="36"/>
      <c r="N405" s="36"/>
      <c r="O405" s="36"/>
    </row>
    <row r="406">
      <c r="A406" s="36"/>
      <c r="B406" s="36"/>
      <c r="C406" s="36"/>
      <c r="H406" s="36"/>
      <c r="I406" s="36"/>
      <c r="J406" s="36"/>
      <c r="K406" s="36"/>
      <c r="L406" s="36"/>
      <c r="M406" s="36"/>
      <c r="N406" s="36"/>
      <c r="O406" s="36"/>
    </row>
    <row r="407">
      <c r="A407" s="36"/>
      <c r="B407" s="36"/>
      <c r="C407" s="36"/>
      <c r="H407" s="36"/>
      <c r="I407" s="36"/>
      <c r="J407" s="36"/>
      <c r="K407" s="36"/>
      <c r="L407" s="36"/>
      <c r="M407" s="36"/>
      <c r="N407" s="36"/>
      <c r="O407" s="36"/>
    </row>
    <row r="408">
      <c r="A408" s="36"/>
      <c r="B408" s="36"/>
      <c r="C408" s="36"/>
      <c r="H408" s="36"/>
      <c r="I408" s="36"/>
      <c r="J408" s="36"/>
      <c r="K408" s="36"/>
      <c r="L408" s="36"/>
      <c r="M408" s="36"/>
      <c r="N408" s="36"/>
      <c r="O408" s="36"/>
    </row>
    <row r="409">
      <c r="A409" s="36"/>
      <c r="B409" s="36"/>
      <c r="C409" s="36"/>
      <c r="H409" s="36"/>
      <c r="I409" s="36"/>
      <c r="J409" s="36"/>
      <c r="K409" s="36"/>
      <c r="L409" s="36"/>
      <c r="M409" s="36"/>
      <c r="N409" s="36"/>
      <c r="O409" s="36"/>
    </row>
    <row r="410">
      <c r="A410" s="36"/>
      <c r="B410" s="36"/>
      <c r="C410" s="36"/>
      <c r="H410" s="36"/>
      <c r="I410" s="36"/>
      <c r="J410" s="36"/>
      <c r="K410" s="36"/>
      <c r="L410" s="36"/>
      <c r="M410" s="36"/>
      <c r="N410" s="36"/>
      <c r="O410" s="36"/>
    </row>
    <row r="411">
      <c r="A411" s="36"/>
      <c r="B411" s="36"/>
      <c r="C411" s="36"/>
      <c r="H411" s="36"/>
      <c r="I411" s="36"/>
      <c r="J411" s="36"/>
      <c r="K411" s="36"/>
      <c r="L411" s="36"/>
      <c r="M411" s="36"/>
      <c r="N411" s="36"/>
      <c r="O411" s="36"/>
    </row>
    <row r="412">
      <c r="A412" s="36"/>
      <c r="B412" s="36"/>
      <c r="C412" s="36"/>
      <c r="H412" s="36"/>
      <c r="I412" s="36"/>
      <c r="J412" s="36"/>
      <c r="K412" s="36"/>
      <c r="L412" s="36"/>
      <c r="M412" s="36"/>
      <c r="N412" s="36"/>
      <c r="O412" s="36"/>
    </row>
    <row r="413">
      <c r="A413" s="36"/>
      <c r="B413" s="36"/>
      <c r="C413" s="36"/>
      <c r="H413" s="36"/>
      <c r="I413" s="36"/>
      <c r="J413" s="36"/>
      <c r="K413" s="36"/>
      <c r="L413" s="36"/>
      <c r="M413" s="36"/>
      <c r="N413" s="36"/>
      <c r="O413" s="36"/>
    </row>
    <row r="414">
      <c r="A414" s="36"/>
      <c r="B414" s="36"/>
      <c r="C414" s="36"/>
      <c r="H414" s="36"/>
      <c r="I414" s="36"/>
      <c r="J414" s="36"/>
      <c r="K414" s="36"/>
      <c r="L414" s="36"/>
      <c r="M414" s="36"/>
      <c r="N414" s="36"/>
      <c r="O414" s="36"/>
    </row>
    <row r="415">
      <c r="A415" s="36"/>
      <c r="B415" s="36"/>
      <c r="C415" s="36"/>
      <c r="H415" s="36"/>
      <c r="I415" s="36"/>
      <c r="J415" s="36"/>
      <c r="K415" s="36"/>
      <c r="L415" s="36"/>
      <c r="M415" s="36"/>
      <c r="N415" s="36"/>
      <c r="O415" s="36"/>
    </row>
    <row r="416">
      <c r="A416" s="36"/>
      <c r="B416" s="36"/>
      <c r="C416" s="36"/>
      <c r="H416" s="36"/>
      <c r="I416" s="36"/>
      <c r="J416" s="36"/>
      <c r="K416" s="36"/>
      <c r="L416" s="36"/>
      <c r="M416" s="36"/>
      <c r="N416" s="36"/>
      <c r="O416" s="36"/>
    </row>
    <row r="417">
      <c r="A417" s="36"/>
      <c r="B417" s="36"/>
      <c r="C417" s="36"/>
      <c r="H417" s="36"/>
      <c r="I417" s="36"/>
      <c r="J417" s="36"/>
      <c r="K417" s="36"/>
      <c r="L417" s="36"/>
      <c r="M417" s="36"/>
      <c r="N417" s="36"/>
      <c r="O417" s="36"/>
    </row>
    <row r="418">
      <c r="A418" s="36"/>
      <c r="B418" s="36"/>
      <c r="C418" s="36"/>
      <c r="H418" s="36"/>
      <c r="I418" s="36"/>
      <c r="J418" s="36"/>
      <c r="K418" s="36"/>
      <c r="L418" s="36"/>
      <c r="M418" s="36"/>
      <c r="N418" s="36"/>
      <c r="O418" s="36"/>
    </row>
    <row r="419">
      <c r="A419" s="36"/>
      <c r="B419" s="36"/>
      <c r="C419" s="36"/>
      <c r="H419" s="36"/>
      <c r="I419" s="36"/>
      <c r="J419" s="36"/>
      <c r="K419" s="36"/>
      <c r="L419" s="36"/>
      <c r="M419" s="36"/>
      <c r="N419" s="36"/>
      <c r="O419" s="36"/>
    </row>
    <row r="420">
      <c r="A420" s="36"/>
      <c r="B420" s="36"/>
      <c r="C420" s="36"/>
      <c r="H420" s="36"/>
      <c r="I420" s="36"/>
      <c r="J420" s="36"/>
      <c r="K420" s="36"/>
      <c r="L420" s="36"/>
      <c r="M420" s="36"/>
      <c r="N420" s="36"/>
      <c r="O420" s="36"/>
    </row>
    <row r="421">
      <c r="A421" s="36"/>
      <c r="B421" s="36"/>
      <c r="C421" s="36"/>
      <c r="H421" s="36"/>
      <c r="I421" s="36"/>
      <c r="J421" s="36"/>
      <c r="K421" s="36"/>
      <c r="L421" s="36"/>
      <c r="M421" s="36"/>
      <c r="N421" s="36"/>
      <c r="O421" s="36"/>
    </row>
    <row r="422">
      <c r="A422" s="36"/>
      <c r="B422" s="36"/>
      <c r="C422" s="36"/>
      <c r="H422" s="36"/>
      <c r="I422" s="36"/>
      <c r="J422" s="36"/>
      <c r="K422" s="36"/>
      <c r="L422" s="36"/>
      <c r="M422" s="36"/>
      <c r="N422" s="36"/>
      <c r="O422" s="36"/>
    </row>
    <row r="423">
      <c r="A423" s="36"/>
      <c r="B423" s="36"/>
      <c r="C423" s="36"/>
      <c r="H423" s="36"/>
      <c r="I423" s="36"/>
      <c r="J423" s="36"/>
      <c r="K423" s="36"/>
      <c r="L423" s="36"/>
      <c r="M423" s="36"/>
      <c r="N423" s="36"/>
      <c r="O423" s="36"/>
    </row>
    <row r="424">
      <c r="A424" s="36"/>
      <c r="B424" s="36"/>
      <c r="C424" s="36"/>
      <c r="H424" s="36"/>
      <c r="I424" s="36"/>
      <c r="J424" s="36"/>
      <c r="K424" s="36"/>
      <c r="L424" s="36"/>
      <c r="M424" s="36"/>
      <c r="N424" s="36"/>
      <c r="O424" s="36"/>
    </row>
    <row r="425">
      <c r="A425" s="36"/>
      <c r="B425" s="36"/>
      <c r="C425" s="36"/>
      <c r="H425" s="36"/>
      <c r="I425" s="36"/>
      <c r="J425" s="36"/>
      <c r="K425" s="36"/>
      <c r="L425" s="36"/>
      <c r="M425" s="36"/>
      <c r="N425" s="36"/>
      <c r="O425" s="36"/>
    </row>
    <row r="426">
      <c r="A426" s="36"/>
      <c r="B426" s="36"/>
      <c r="C426" s="36"/>
      <c r="H426" s="36"/>
      <c r="I426" s="36"/>
      <c r="J426" s="36"/>
      <c r="K426" s="36"/>
      <c r="L426" s="36"/>
      <c r="M426" s="36"/>
      <c r="N426" s="36"/>
      <c r="O426" s="36"/>
    </row>
    <row r="427">
      <c r="A427" s="36"/>
      <c r="B427" s="36"/>
      <c r="C427" s="36"/>
      <c r="H427" s="36"/>
      <c r="I427" s="36"/>
      <c r="J427" s="36"/>
      <c r="K427" s="36"/>
      <c r="L427" s="36"/>
      <c r="M427" s="36"/>
      <c r="N427" s="36"/>
      <c r="O427" s="36"/>
    </row>
    <row r="428">
      <c r="A428" s="36"/>
      <c r="B428" s="36"/>
      <c r="C428" s="36"/>
      <c r="H428" s="36"/>
      <c r="I428" s="36"/>
      <c r="J428" s="36"/>
      <c r="K428" s="36"/>
      <c r="L428" s="36"/>
      <c r="M428" s="36"/>
      <c r="N428" s="36"/>
      <c r="O428" s="36"/>
    </row>
    <row r="429">
      <c r="A429" s="36"/>
      <c r="B429" s="36"/>
      <c r="C429" s="36"/>
      <c r="H429" s="36"/>
      <c r="I429" s="36"/>
      <c r="J429" s="36"/>
      <c r="K429" s="36"/>
      <c r="L429" s="36"/>
      <c r="M429" s="36"/>
      <c r="N429" s="36"/>
      <c r="O429" s="36"/>
    </row>
    <row r="430">
      <c r="A430" s="36"/>
      <c r="B430" s="36"/>
      <c r="C430" s="36"/>
      <c r="H430" s="36"/>
      <c r="I430" s="36"/>
      <c r="J430" s="36"/>
      <c r="K430" s="36"/>
      <c r="L430" s="36"/>
      <c r="M430" s="36"/>
      <c r="N430" s="36"/>
      <c r="O430" s="36"/>
    </row>
    <row r="431">
      <c r="A431" s="36"/>
      <c r="B431" s="36"/>
      <c r="C431" s="36"/>
      <c r="H431" s="36"/>
      <c r="I431" s="36"/>
      <c r="J431" s="36"/>
      <c r="K431" s="36"/>
      <c r="L431" s="36"/>
      <c r="M431" s="36"/>
      <c r="N431" s="36"/>
      <c r="O431" s="36"/>
    </row>
    <row r="432">
      <c r="A432" s="36"/>
      <c r="B432" s="36"/>
      <c r="C432" s="36"/>
      <c r="H432" s="36"/>
      <c r="I432" s="36"/>
      <c r="J432" s="36"/>
      <c r="K432" s="36"/>
      <c r="L432" s="36"/>
      <c r="M432" s="36"/>
      <c r="N432" s="36"/>
      <c r="O432" s="36"/>
    </row>
    <row r="433">
      <c r="A433" s="36"/>
      <c r="B433" s="36"/>
      <c r="C433" s="36"/>
      <c r="H433" s="36"/>
      <c r="I433" s="36"/>
      <c r="J433" s="36"/>
      <c r="K433" s="36"/>
      <c r="L433" s="36"/>
      <c r="M433" s="36"/>
      <c r="N433" s="36"/>
      <c r="O433" s="36"/>
    </row>
    <row r="434">
      <c r="A434" s="36"/>
      <c r="B434" s="36"/>
      <c r="C434" s="36"/>
      <c r="H434" s="36"/>
      <c r="I434" s="36"/>
      <c r="J434" s="36"/>
      <c r="K434" s="36"/>
      <c r="L434" s="36"/>
      <c r="M434" s="36"/>
      <c r="N434" s="36"/>
      <c r="O434" s="36"/>
    </row>
    <row r="435">
      <c r="A435" s="36"/>
      <c r="B435" s="36"/>
      <c r="C435" s="36"/>
      <c r="H435" s="36"/>
      <c r="I435" s="36"/>
      <c r="J435" s="36"/>
      <c r="K435" s="36"/>
      <c r="L435" s="36"/>
      <c r="M435" s="36"/>
      <c r="N435" s="36"/>
      <c r="O435" s="36"/>
    </row>
    <row r="436">
      <c r="A436" s="36"/>
      <c r="B436" s="36"/>
      <c r="C436" s="36"/>
      <c r="H436" s="36"/>
      <c r="I436" s="36"/>
      <c r="J436" s="36"/>
      <c r="K436" s="36"/>
      <c r="L436" s="36"/>
      <c r="M436" s="36"/>
      <c r="N436" s="36"/>
      <c r="O436" s="36"/>
    </row>
    <row r="437">
      <c r="A437" s="36"/>
      <c r="B437" s="36"/>
      <c r="C437" s="36"/>
      <c r="H437" s="36"/>
      <c r="I437" s="36"/>
      <c r="J437" s="36"/>
      <c r="K437" s="36"/>
      <c r="L437" s="36"/>
      <c r="M437" s="36"/>
      <c r="N437" s="36"/>
      <c r="O437" s="36"/>
    </row>
    <row r="438">
      <c r="A438" s="36"/>
      <c r="B438" s="36"/>
      <c r="C438" s="36"/>
      <c r="H438" s="36"/>
      <c r="I438" s="36"/>
      <c r="J438" s="36"/>
      <c r="K438" s="36"/>
      <c r="L438" s="36"/>
      <c r="M438" s="36"/>
      <c r="N438" s="36"/>
      <c r="O438" s="36"/>
    </row>
    <row r="439">
      <c r="A439" s="36"/>
      <c r="B439" s="36"/>
      <c r="C439" s="36"/>
      <c r="H439" s="36"/>
      <c r="I439" s="36"/>
      <c r="J439" s="36"/>
      <c r="K439" s="36"/>
      <c r="L439" s="36"/>
      <c r="M439" s="36"/>
      <c r="N439" s="36"/>
      <c r="O439" s="36"/>
    </row>
    <row r="440">
      <c r="A440" s="36"/>
      <c r="B440" s="36"/>
      <c r="C440" s="36"/>
      <c r="H440" s="36"/>
      <c r="I440" s="36"/>
      <c r="J440" s="36"/>
      <c r="K440" s="36"/>
      <c r="L440" s="36"/>
      <c r="M440" s="36"/>
      <c r="N440" s="36"/>
      <c r="O440" s="36"/>
    </row>
    <row r="441">
      <c r="A441" s="36"/>
      <c r="B441" s="36"/>
      <c r="C441" s="36"/>
      <c r="H441" s="36"/>
      <c r="I441" s="36"/>
      <c r="J441" s="36"/>
      <c r="K441" s="36"/>
      <c r="L441" s="36"/>
      <c r="M441" s="36"/>
      <c r="N441" s="36"/>
      <c r="O441" s="36"/>
    </row>
    <row r="442">
      <c r="A442" s="36"/>
      <c r="B442" s="36"/>
      <c r="C442" s="36"/>
      <c r="H442" s="36"/>
      <c r="I442" s="36"/>
      <c r="J442" s="36"/>
      <c r="K442" s="36"/>
      <c r="L442" s="36"/>
      <c r="M442" s="36"/>
      <c r="N442" s="36"/>
      <c r="O442" s="36"/>
    </row>
    <row r="443">
      <c r="A443" s="36"/>
      <c r="B443" s="36"/>
      <c r="C443" s="36"/>
      <c r="H443" s="36"/>
      <c r="I443" s="36"/>
      <c r="J443" s="36"/>
      <c r="K443" s="36"/>
      <c r="L443" s="36"/>
      <c r="M443" s="36"/>
      <c r="N443" s="36"/>
      <c r="O443" s="36"/>
    </row>
    <row r="444">
      <c r="A444" s="36"/>
      <c r="B444" s="36"/>
      <c r="C444" s="36"/>
      <c r="H444" s="36"/>
      <c r="I444" s="36"/>
      <c r="J444" s="36"/>
      <c r="K444" s="36"/>
      <c r="L444" s="36"/>
      <c r="M444" s="36"/>
      <c r="N444" s="36"/>
      <c r="O444" s="36"/>
    </row>
    <row r="445">
      <c r="A445" s="36"/>
      <c r="B445" s="36"/>
      <c r="C445" s="36"/>
      <c r="H445" s="36"/>
      <c r="I445" s="36"/>
      <c r="J445" s="36"/>
      <c r="K445" s="36"/>
      <c r="L445" s="36"/>
      <c r="M445" s="36"/>
      <c r="N445" s="36"/>
      <c r="O445" s="36"/>
    </row>
    <row r="446">
      <c r="A446" s="36"/>
      <c r="B446" s="36"/>
      <c r="C446" s="36"/>
      <c r="H446" s="36"/>
      <c r="I446" s="36"/>
      <c r="J446" s="36"/>
      <c r="K446" s="36"/>
      <c r="L446" s="36"/>
      <c r="M446" s="36"/>
      <c r="N446" s="36"/>
      <c r="O446" s="36"/>
    </row>
    <row r="447">
      <c r="A447" s="36"/>
      <c r="B447" s="36"/>
      <c r="C447" s="36"/>
      <c r="H447" s="36"/>
      <c r="I447" s="36"/>
      <c r="J447" s="36"/>
      <c r="K447" s="36"/>
      <c r="L447" s="36"/>
      <c r="M447" s="36"/>
      <c r="N447" s="36"/>
      <c r="O447" s="36"/>
    </row>
    <row r="448">
      <c r="A448" s="36"/>
      <c r="B448" s="36"/>
      <c r="C448" s="36"/>
      <c r="H448" s="36"/>
      <c r="I448" s="36"/>
      <c r="J448" s="36"/>
      <c r="K448" s="36"/>
      <c r="L448" s="36"/>
      <c r="M448" s="36"/>
      <c r="N448" s="36"/>
      <c r="O448" s="36"/>
    </row>
    <row r="449">
      <c r="A449" s="36"/>
      <c r="B449" s="36"/>
      <c r="C449" s="36"/>
      <c r="H449" s="36"/>
      <c r="I449" s="36"/>
      <c r="J449" s="36"/>
      <c r="K449" s="36"/>
      <c r="L449" s="36"/>
      <c r="M449" s="36"/>
      <c r="N449" s="36"/>
      <c r="O449" s="36"/>
    </row>
    <row r="450">
      <c r="A450" s="36"/>
      <c r="B450" s="36"/>
      <c r="C450" s="36"/>
      <c r="H450" s="36"/>
      <c r="I450" s="36"/>
      <c r="J450" s="36"/>
      <c r="K450" s="36"/>
      <c r="L450" s="36"/>
      <c r="M450" s="36"/>
      <c r="N450" s="36"/>
      <c r="O450" s="36"/>
    </row>
    <row r="451">
      <c r="A451" s="36"/>
      <c r="B451" s="36"/>
      <c r="C451" s="36"/>
      <c r="H451" s="36"/>
      <c r="I451" s="36"/>
      <c r="J451" s="36"/>
      <c r="K451" s="36"/>
      <c r="L451" s="36"/>
      <c r="M451" s="36"/>
      <c r="N451" s="36"/>
      <c r="O451" s="36"/>
    </row>
    <row r="452">
      <c r="A452" s="36"/>
      <c r="B452" s="36"/>
      <c r="C452" s="36"/>
      <c r="H452" s="36"/>
      <c r="I452" s="36"/>
      <c r="J452" s="36"/>
      <c r="K452" s="36"/>
      <c r="L452" s="36"/>
      <c r="M452" s="36"/>
      <c r="N452" s="36"/>
      <c r="O452" s="36"/>
    </row>
    <row r="453">
      <c r="A453" s="36"/>
      <c r="B453" s="36"/>
      <c r="C453" s="36"/>
      <c r="H453" s="36"/>
      <c r="I453" s="36"/>
      <c r="J453" s="36"/>
      <c r="K453" s="36"/>
      <c r="L453" s="36"/>
      <c r="M453" s="36"/>
      <c r="N453" s="36"/>
      <c r="O453" s="36"/>
    </row>
    <row r="454">
      <c r="A454" s="36"/>
      <c r="B454" s="36"/>
      <c r="C454" s="36"/>
      <c r="H454" s="36"/>
      <c r="I454" s="36"/>
      <c r="J454" s="36"/>
      <c r="K454" s="36"/>
      <c r="L454" s="36"/>
      <c r="M454" s="36"/>
      <c r="N454" s="36"/>
      <c r="O454" s="36"/>
    </row>
    <row r="455">
      <c r="A455" s="36"/>
      <c r="B455" s="36"/>
      <c r="C455" s="36"/>
      <c r="H455" s="36"/>
      <c r="I455" s="36"/>
      <c r="J455" s="36"/>
      <c r="K455" s="36"/>
      <c r="L455" s="36"/>
      <c r="M455" s="36"/>
      <c r="N455" s="36"/>
      <c r="O455" s="36"/>
    </row>
    <row r="456">
      <c r="A456" s="36"/>
      <c r="B456" s="36"/>
      <c r="C456" s="36"/>
      <c r="H456" s="36"/>
      <c r="I456" s="36"/>
      <c r="J456" s="36"/>
      <c r="K456" s="36"/>
      <c r="L456" s="36"/>
      <c r="M456" s="36"/>
      <c r="N456" s="36"/>
      <c r="O456" s="36"/>
    </row>
    <row r="457">
      <c r="A457" s="36"/>
      <c r="B457" s="36"/>
      <c r="C457" s="36"/>
      <c r="H457" s="36"/>
      <c r="I457" s="36"/>
      <c r="J457" s="36"/>
      <c r="K457" s="36"/>
      <c r="L457" s="36"/>
      <c r="M457" s="36"/>
      <c r="N457" s="36"/>
      <c r="O457" s="36"/>
    </row>
    <row r="458">
      <c r="A458" s="36"/>
      <c r="B458" s="36"/>
      <c r="C458" s="36"/>
      <c r="H458" s="36"/>
      <c r="I458" s="36"/>
      <c r="J458" s="36"/>
      <c r="K458" s="36"/>
      <c r="L458" s="36"/>
      <c r="M458" s="36"/>
      <c r="N458" s="36"/>
      <c r="O458" s="36"/>
    </row>
    <row r="459">
      <c r="A459" s="36"/>
      <c r="B459" s="36"/>
      <c r="C459" s="36"/>
      <c r="H459" s="36"/>
      <c r="I459" s="36"/>
      <c r="J459" s="36"/>
      <c r="K459" s="36"/>
      <c r="L459" s="36"/>
      <c r="M459" s="36"/>
      <c r="N459" s="36"/>
      <c r="O459" s="36"/>
    </row>
    <row r="460">
      <c r="A460" s="36"/>
      <c r="B460" s="36"/>
      <c r="C460" s="36"/>
      <c r="H460" s="36"/>
      <c r="I460" s="36"/>
      <c r="J460" s="36"/>
      <c r="K460" s="36"/>
      <c r="L460" s="36"/>
      <c r="M460" s="36"/>
      <c r="N460" s="36"/>
      <c r="O460" s="36"/>
    </row>
    <row r="461">
      <c r="A461" s="36"/>
      <c r="B461" s="36"/>
      <c r="C461" s="36"/>
      <c r="H461" s="36"/>
      <c r="I461" s="36"/>
      <c r="J461" s="36"/>
      <c r="K461" s="36"/>
      <c r="L461" s="36"/>
      <c r="M461" s="36"/>
      <c r="N461" s="36"/>
      <c r="O461" s="36"/>
    </row>
    <row r="462">
      <c r="A462" s="36"/>
      <c r="B462" s="36"/>
      <c r="C462" s="36"/>
      <c r="H462" s="36"/>
      <c r="I462" s="36"/>
      <c r="J462" s="36"/>
      <c r="K462" s="36"/>
      <c r="L462" s="36"/>
      <c r="M462" s="36"/>
      <c r="N462" s="36"/>
      <c r="O462" s="36"/>
    </row>
    <row r="463">
      <c r="A463" s="36"/>
      <c r="B463" s="36"/>
      <c r="C463" s="36"/>
      <c r="H463" s="36"/>
      <c r="I463" s="36"/>
      <c r="J463" s="36"/>
      <c r="K463" s="36"/>
      <c r="L463" s="36"/>
      <c r="M463" s="36"/>
      <c r="N463" s="36"/>
      <c r="O463" s="36"/>
    </row>
    <row r="464">
      <c r="A464" s="36"/>
      <c r="B464" s="36"/>
      <c r="C464" s="36"/>
      <c r="H464" s="36"/>
      <c r="I464" s="36"/>
      <c r="J464" s="36"/>
      <c r="K464" s="36"/>
      <c r="L464" s="36"/>
      <c r="M464" s="36"/>
      <c r="N464" s="36"/>
      <c r="O464" s="36"/>
    </row>
    <row r="465">
      <c r="A465" s="36"/>
      <c r="B465" s="36"/>
      <c r="C465" s="36"/>
      <c r="H465" s="36"/>
      <c r="I465" s="36"/>
      <c r="J465" s="36"/>
      <c r="K465" s="36"/>
      <c r="L465" s="36"/>
      <c r="M465" s="36"/>
      <c r="N465" s="36"/>
      <c r="O465" s="36"/>
    </row>
    <row r="466">
      <c r="A466" s="36"/>
      <c r="B466" s="36"/>
      <c r="C466" s="36"/>
      <c r="H466" s="36"/>
      <c r="I466" s="36"/>
      <c r="J466" s="36"/>
      <c r="K466" s="36"/>
      <c r="L466" s="36"/>
      <c r="M466" s="36"/>
      <c r="N466" s="36"/>
      <c r="O466" s="36"/>
    </row>
    <row r="467">
      <c r="A467" s="36"/>
      <c r="B467" s="36"/>
      <c r="C467" s="36"/>
      <c r="H467" s="36"/>
      <c r="I467" s="36"/>
      <c r="J467" s="36"/>
      <c r="K467" s="36"/>
      <c r="L467" s="36"/>
      <c r="M467" s="36"/>
      <c r="N467" s="36"/>
      <c r="O467" s="36"/>
    </row>
    <row r="468">
      <c r="A468" s="36"/>
      <c r="B468" s="36"/>
      <c r="C468" s="36"/>
      <c r="H468" s="36"/>
      <c r="I468" s="36"/>
      <c r="J468" s="36"/>
      <c r="K468" s="36"/>
      <c r="L468" s="36"/>
      <c r="M468" s="36"/>
      <c r="N468" s="36"/>
      <c r="O468" s="36"/>
    </row>
    <row r="469">
      <c r="A469" s="36"/>
      <c r="B469" s="36"/>
      <c r="C469" s="36"/>
      <c r="H469" s="36"/>
      <c r="I469" s="36"/>
      <c r="J469" s="36"/>
      <c r="K469" s="36"/>
      <c r="L469" s="36"/>
      <c r="M469" s="36"/>
      <c r="N469" s="36"/>
      <c r="O469" s="36"/>
    </row>
    <row r="470">
      <c r="A470" s="36"/>
      <c r="B470" s="36"/>
      <c r="C470" s="36"/>
      <c r="H470" s="36"/>
      <c r="I470" s="36"/>
      <c r="J470" s="36"/>
      <c r="K470" s="36"/>
      <c r="L470" s="36"/>
      <c r="M470" s="36"/>
      <c r="N470" s="36"/>
      <c r="O470" s="36"/>
    </row>
    <row r="471">
      <c r="A471" s="36"/>
      <c r="B471" s="36"/>
      <c r="C471" s="36"/>
      <c r="H471" s="36"/>
      <c r="I471" s="36"/>
      <c r="J471" s="36"/>
      <c r="K471" s="36"/>
      <c r="L471" s="36"/>
      <c r="M471" s="36"/>
      <c r="N471" s="36"/>
      <c r="O471" s="36"/>
    </row>
    <row r="472">
      <c r="A472" s="36"/>
      <c r="B472" s="36"/>
      <c r="C472" s="36"/>
      <c r="H472" s="36"/>
      <c r="I472" s="36"/>
      <c r="J472" s="36"/>
      <c r="K472" s="36"/>
      <c r="L472" s="36"/>
      <c r="M472" s="36"/>
      <c r="N472" s="36"/>
      <c r="O472" s="36"/>
    </row>
    <row r="473">
      <c r="A473" s="36"/>
      <c r="B473" s="36"/>
      <c r="C473" s="36"/>
      <c r="H473" s="36"/>
      <c r="I473" s="36"/>
      <c r="J473" s="36"/>
      <c r="K473" s="36"/>
      <c r="L473" s="36"/>
      <c r="M473" s="36"/>
      <c r="N473" s="36"/>
      <c r="O473" s="36"/>
    </row>
    <row r="474">
      <c r="A474" s="36"/>
      <c r="B474" s="36"/>
      <c r="C474" s="36"/>
      <c r="H474" s="36"/>
      <c r="I474" s="36"/>
      <c r="J474" s="36"/>
      <c r="K474" s="36"/>
      <c r="L474" s="36"/>
      <c r="M474" s="36"/>
      <c r="N474" s="36"/>
      <c r="O474" s="36"/>
    </row>
    <row r="475">
      <c r="A475" s="36"/>
      <c r="B475" s="36"/>
      <c r="C475" s="36"/>
      <c r="H475" s="36"/>
      <c r="I475" s="36"/>
      <c r="J475" s="36"/>
      <c r="K475" s="36"/>
      <c r="L475" s="36"/>
      <c r="M475" s="36"/>
      <c r="N475" s="36"/>
      <c r="O475" s="36"/>
    </row>
    <row r="476">
      <c r="A476" s="36"/>
      <c r="B476" s="36"/>
      <c r="C476" s="36"/>
      <c r="H476" s="36"/>
      <c r="I476" s="36"/>
      <c r="J476" s="36"/>
      <c r="K476" s="36"/>
      <c r="L476" s="36"/>
      <c r="M476" s="36"/>
      <c r="N476" s="36"/>
      <c r="O476" s="36"/>
    </row>
    <row r="477">
      <c r="A477" s="36"/>
      <c r="B477" s="36"/>
      <c r="C477" s="36"/>
      <c r="H477" s="36"/>
      <c r="I477" s="36"/>
      <c r="J477" s="36"/>
      <c r="K477" s="36"/>
      <c r="L477" s="36"/>
      <c r="M477" s="36"/>
      <c r="N477" s="36"/>
      <c r="O477" s="36"/>
    </row>
    <row r="478">
      <c r="A478" s="36"/>
      <c r="B478" s="36"/>
      <c r="C478" s="36"/>
      <c r="H478" s="36"/>
      <c r="I478" s="36"/>
      <c r="J478" s="36"/>
      <c r="K478" s="36"/>
      <c r="L478" s="36"/>
      <c r="M478" s="36"/>
      <c r="N478" s="36"/>
      <c r="O478" s="36"/>
    </row>
    <row r="479">
      <c r="A479" s="36"/>
      <c r="B479" s="36"/>
      <c r="C479" s="36"/>
      <c r="H479" s="36"/>
      <c r="I479" s="36"/>
      <c r="J479" s="36"/>
      <c r="K479" s="36"/>
      <c r="L479" s="36"/>
      <c r="M479" s="36"/>
      <c r="N479" s="36"/>
      <c r="O479" s="36"/>
    </row>
    <row r="480">
      <c r="A480" s="36"/>
      <c r="B480" s="36"/>
      <c r="C480" s="36"/>
      <c r="H480" s="36"/>
      <c r="I480" s="36"/>
      <c r="J480" s="36"/>
      <c r="K480" s="36"/>
      <c r="L480" s="36"/>
      <c r="M480" s="36"/>
      <c r="N480" s="36"/>
      <c r="O480" s="36"/>
    </row>
    <row r="481">
      <c r="A481" s="36"/>
      <c r="B481" s="36"/>
      <c r="C481" s="36"/>
      <c r="H481" s="36"/>
      <c r="I481" s="36"/>
      <c r="J481" s="36"/>
      <c r="K481" s="36"/>
      <c r="L481" s="36"/>
      <c r="M481" s="36"/>
      <c r="N481" s="36"/>
      <c r="O481" s="36"/>
    </row>
    <row r="482">
      <c r="A482" s="36"/>
      <c r="B482" s="36"/>
      <c r="C482" s="36"/>
      <c r="H482" s="36"/>
      <c r="I482" s="36"/>
      <c r="J482" s="36"/>
      <c r="K482" s="36"/>
      <c r="L482" s="36"/>
      <c r="M482" s="36"/>
      <c r="N482" s="36"/>
      <c r="O482" s="36"/>
    </row>
    <row r="483">
      <c r="A483" s="36"/>
      <c r="B483" s="36"/>
      <c r="C483" s="36"/>
      <c r="H483" s="36"/>
      <c r="I483" s="36"/>
      <c r="J483" s="36"/>
      <c r="K483" s="36"/>
      <c r="L483" s="36"/>
      <c r="M483" s="36"/>
      <c r="N483" s="36"/>
      <c r="O483" s="36"/>
    </row>
    <row r="484">
      <c r="A484" s="36"/>
      <c r="B484" s="36"/>
      <c r="C484" s="36"/>
      <c r="H484" s="36"/>
      <c r="I484" s="36"/>
      <c r="J484" s="36"/>
      <c r="K484" s="36"/>
      <c r="L484" s="36"/>
      <c r="M484" s="36"/>
      <c r="N484" s="36"/>
      <c r="O484" s="36"/>
    </row>
    <row r="485">
      <c r="A485" s="36"/>
      <c r="B485" s="36"/>
      <c r="C485" s="36"/>
      <c r="H485" s="36"/>
      <c r="I485" s="36"/>
      <c r="J485" s="36"/>
      <c r="K485" s="36"/>
      <c r="L485" s="36"/>
      <c r="M485" s="36"/>
      <c r="N485" s="36"/>
      <c r="O485" s="36"/>
    </row>
    <row r="486">
      <c r="A486" s="36"/>
      <c r="B486" s="36"/>
      <c r="C486" s="36"/>
      <c r="H486" s="36"/>
      <c r="I486" s="36"/>
      <c r="J486" s="36"/>
      <c r="K486" s="36"/>
      <c r="L486" s="36"/>
      <c r="M486" s="36"/>
      <c r="N486" s="36"/>
      <c r="O486" s="36"/>
    </row>
    <row r="487">
      <c r="A487" s="36"/>
      <c r="B487" s="36"/>
      <c r="C487" s="36"/>
      <c r="H487" s="36"/>
      <c r="I487" s="36"/>
      <c r="J487" s="36"/>
      <c r="K487" s="36"/>
      <c r="L487" s="36"/>
      <c r="M487" s="36"/>
      <c r="N487" s="36"/>
      <c r="O487" s="36"/>
    </row>
    <row r="488">
      <c r="A488" s="36"/>
      <c r="B488" s="36"/>
      <c r="C488" s="36"/>
      <c r="H488" s="36"/>
      <c r="I488" s="36"/>
      <c r="J488" s="36"/>
      <c r="K488" s="36"/>
      <c r="L488" s="36"/>
      <c r="M488" s="36"/>
      <c r="N488" s="36"/>
      <c r="O488" s="36"/>
    </row>
    <row r="489">
      <c r="A489" s="36"/>
      <c r="B489" s="36"/>
      <c r="C489" s="36"/>
      <c r="H489" s="36"/>
      <c r="I489" s="36"/>
      <c r="J489" s="36"/>
      <c r="K489" s="36"/>
      <c r="L489" s="36"/>
      <c r="M489" s="36"/>
      <c r="N489" s="36"/>
      <c r="O489" s="36"/>
    </row>
    <row r="490">
      <c r="A490" s="36"/>
      <c r="B490" s="36"/>
      <c r="C490" s="36"/>
      <c r="H490" s="36"/>
      <c r="I490" s="36"/>
      <c r="J490" s="36"/>
      <c r="K490" s="36"/>
      <c r="L490" s="36"/>
      <c r="M490" s="36"/>
      <c r="N490" s="36"/>
      <c r="O490" s="36"/>
    </row>
    <row r="491">
      <c r="A491" s="36"/>
      <c r="B491" s="36"/>
      <c r="C491" s="36"/>
      <c r="H491" s="36"/>
      <c r="I491" s="36"/>
      <c r="J491" s="36"/>
      <c r="K491" s="36"/>
      <c r="L491" s="36"/>
      <c r="M491" s="36"/>
      <c r="N491" s="36"/>
      <c r="O491" s="36"/>
    </row>
    <row r="492">
      <c r="A492" s="36"/>
      <c r="B492" s="36"/>
      <c r="C492" s="36"/>
      <c r="H492" s="36"/>
      <c r="I492" s="36"/>
      <c r="J492" s="36"/>
      <c r="K492" s="36"/>
      <c r="L492" s="36"/>
      <c r="M492" s="36"/>
      <c r="N492" s="36"/>
      <c r="O492" s="36"/>
    </row>
    <row r="493">
      <c r="A493" s="36"/>
      <c r="B493" s="36"/>
      <c r="C493" s="36"/>
      <c r="H493" s="36"/>
      <c r="I493" s="36"/>
      <c r="J493" s="36"/>
      <c r="K493" s="36"/>
      <c r="L493" s="36"/>
      <c r="M493" s="36"/>
      <c r="N493" s="36"/>
      <c r="O493" s="36"/>
    </row>
    <row r="494">
      <c r="A494" s="36"/>
      <c r="B494" s="36"/>
      <c r="C494" s="36"/>
      <c r="H494" s="36"/>
      <c r="I494" s="36"/>
      <c r="J494" s="36"/>
      <c r="K494" s="36"/>
      <c r="L494" s="36"/>
      <c r="M494" s="36"/>
      <c r="N494" s="36"/>
      <c r="O494" s="36"/>
    </row>
    <row r="495">
      <c r="A495" s="36"/>
      <c r="B495" s="36"/>
      <c r="C495" s="36"/>
      <c r="H495" s="36"/>
      <c r="I495" s="36"/>
      <c r="J495" s="36"/>
      <c r="K495" s="36"/>
      <c r="L495" s="36"/>
      <c r="M495" s="36"/>
      <c r="N495" s="36"/>
      <c r="O495" s="36"/>
    </row>
    <row r="496">
      <c r="A496" s="36"/>
      <c r="B496" s="36"/>
      <c r="C496" s="36"/>
      <c r="H496" s="36"/>
      <c r="I496" s="36"/>
      <c r="J496" s="36"/>
      <c r="K496" s="36"/>
      <c r="L496" s="36"/>
      <c r="M496" s="36"/>
      <c r="N496" s="36"/>
      <c r="O496" s="36"/>
    </row>
    <row r="497">
      <c r="A497" s="36"/>
      <c r="B497" s="36"/>
      <c r="C497" s="36"/>
      <c r="H497" s="36"/>
      <c r="I497" s="36"/>
      <c r="J497" s="36"/>
      <c r="K497" s="36"/>
      <c r="L497" s="36"/>
      <c r="M497" s="36"/>
      <c r="N497" s="36"/>
      <c r="O497" s="36"/>
    </row>
    <row r="498">
      <c r="A498" s="36"/>
      <c r="B498" s="36"/>
      <c r="C498" s="36"/>
      <c r="H498" s="36"/>
      <c r="I498" s="36"/>
      <c r="J498" s="36"/>
      <c r="K498" s="36"/>
      <c r="L498" s="36"/>
      <c r="M498" s="36"/>
      <c r="N498" s="36"/>
      <c r="O498" s="36"/>
    </row>
    <row r="499">
      <c r="A499" s="36"/>
      <c r="B499" s="36"/>
      <c r="C499" s="36"/>
      <c r="H499" s="36"/>
      <c r="I499" s="36"/>
      <c r="J499" s="36"/>
      <c r="K499" s="36"/>
      <c r="L499" s="36"/>
      <c r="M499" s="36"/>
      <c r="N499" s="36"/>
      <c r="O499" s="36"/>
    </row>
    <row r="500">
      <c r="A500" s="36"/>
      <c r="B500" s="36"/>
      <c r="C500" s="36"/>
      <c r="H500" s="36"/>
      <c r="I500" s="36"/>
      <c r="J500" s="36"/>
      <c r="K500" s="36"/>
      <c r="L500" s="36"/>
      <c r="M500" s="36"/>
      <c r="N500" s="36"/>
      <c r="O500" s="36"/>
    </row>
    <row r="501">
      <c r="A501" s="36"/>
      <c r="B501" s="36"/>
      <c r="C501" s="36"/>
      <c r="H501" s="36"/>
      <c r="I501" s="36"/>
      <c r="J501" s="36"/>
      <c r="K501" s="36"/>
      <c r="L501" s="36"/>
      <c r="M501" s="36"/>
      <c r="N501" s="36"/>
      <c r="O501" s="36"/>
    </row>
    <row r="502">
      <c r="A502" s="36"/>
      <c r="B502" s="36"/>
      <c r="C502" s="36"/>
      <c r="H502" s="36"/>
      <c r="I502" s="36"/>
      <c r="J502" s="36"/>
      <c r="K502" s="36"/>
      <c r="L502" s="36"/>
      <c r="M502" s="36"/>
      <c r="N502" s="36"/>
      <c r="O502" s="36"/>
    </row>
    <row r="503">
      <c r="A503" s="36"/>
      <c r="B503" s="36"/>
      <c r="C503" s="36"/>
      <c r="H503" s="36"/>
      <c r="I503" s="36"/>
      <c r="J503" s="36"/>
      <c r="K503" s="36"/>
      <c r="L503" s="36"/>
      <c r="M503" s="36"/>
      <c r="N503" s="36"/>
      <c r="O503" s="36"/>
    </row>
    <row r="504">
      <c r="A504" s="36"/>
      <c r="B504" s="36"/>
      <c r="C504" s="36"/>
      <c r="H504" s="36"/>
      <c r="I504" s="36"/>
      <c r="J504" s="36"/>
      <c r="K504" s="36"/>
      <c r="L504" s="36"/>
      <c r="M504" s="36"/>
      <c r="N504" s="36"/>
      <c r="O504" s="36"/>
    </row>
    <row r="505">
      <c r="A505" s="36"/>
      <c r="B505" s="36"/>
      <c r="C505" s="36"/>
      <c r="H505" s="36"/>
      <c r="I505" s="36"/>
      <c r="J505" s="36"/>
      <c r="K505" s="36"/>
      <c r="L505" s="36"/>
      <c r="M505" s="36"/>
      <c r="N505" s="36"/>
      <c r="O505" s="36"/>
    </row>
    <row r="506">
      <c r="A506" s="36"/>
      <c r="B506" s="36"/>
      <c r="C506" s="36"/>
      <c r="H506" s="36"/>
      <c r="I506" s="36"/>
      <c r="J506" s="36"/>
      <c r="K506" s="36"/>
      <c r="L506" s="36"/>
      <c r="M506" s="36"/>
      <c r="N506" s="36"/>
      <c r="O506" s="36"/>
    </row>
    <row r="507">
      <c r="A507" s="36"/>
      <c r="B507" s="36"/>
      <c r="C507" s="36"/>
      <c r="H507" s="36"/>
      <c r="I507" s="36"/>
      <c r="J507" s="36"/>
      <c r="K507" s="36"/>
      <c r="L507" s="36"/>
      <c r="M507" s="36"/>
      <c r="N507" s="36"/>
      <c r="O507" s="36"/>
    </row>
    <row r="508">
      <c r="A508" s="36"/>
      <c r="B508" s="36"/>
      <c r="C508" s="36"/>
      <c r="H508" s="36"/>
      <c r="I508" s="36"/>
      <c r="J508" s="36"/>
      <c r="K508" s="36"/>
      <c r="L508" s="36"/>
      <c r="M508" s="36"/>
      <c r="N508" s="36"/>
      <c r="O508" s="36"/>
    </row>
    <row r="509">
      <c r="A509" s="36"/>
      <c r="B509" s="36"/>
      <c r="C509" s="36"/>
      <c r="H509" s="36"/>
      <c r="I509" s="36"/>
      <c r="J509" s="36"/>
      <c r="K509" s="36"/>
      <c r="L509" s="36"/>
      <c r="M509" s="36"/>
      <c r="N509" s="36"/>
      <c r="O509" s="36"/>
    </row>
    <row r="510">
      <c r="A510" s="36"/>
      <c r="B510" s="36"/>
      <c r="C510" s="36"/>
      <c r="H510" s="36"/>
      <c r="I510" s="36"/>
      <c r="J510" s="36"/>
      <c r="K510" s="36"/>
      <c r="L510" s="36"/>
      <c r="M510" s="36"/>
      <c r="N510" s="36"/>
      <c r="O510" s="36"/>
    </row>
    <row r="511">
      <c r="A511" s="36"/>
      <c r="B511" s="36"/>
      <c r="C511" s="36"/>
      <c r="H511" s="36"/>
      <c r="I511" s="36"/>
      <c r="J511" s="36"/>
      <c r="K511" s="36"/>
      <c r="L511" s="36"/>
      <c r="M511" s="36"/>
      <c r="N511" s="36"/>
      <c r="O511" s="36"/>
    </row>
    <row r="512">
      <c r="A512" s="36"/>
      <c r="B512" s="36"/>
      <c r="C512" s="36"/>
      <c r="H512" s="36"/>
      <c r="I512" s="36"/>
      <c r="J512" s="36"/>
      <c r="K512" s="36"/>
      <c r="L512" s="36"/>
      <c r="M512" s="36"/>
      <c r="N512" s="36"/>
      <c r="O512" s="36"/>
    </row>
    <row r="513">
      <c r="A513" s="36"/>
      <c r="B513" s="36"/>
      <c r="C513" s="36"/>
      <c r="H513" s="36"/>
      <c r="I513" s="36"/>
      <c r="J513" s="36"/>
      <c r="K513" s="36"/>
      <c r="L513" s="36"/>
      <c r="M513" s="36"/>
      <c r="N513" s="36"/>
      <c r="O513" s="36"/>
    </row>
    <row r="514">
      <c r="A514" s="36"/>
      <c r="B514" s="36"/>
      <c r="C514" s="36"/>
      <c r="H514" s="36"/>
      <c r="I514" s="36"/>
      <c r="J514" s="36"/>
      <c r="K514" s="36"/>
      <c r="L514" s="36"/>
      <c r="M514" s="36"/>
      <c r="N514" s="36"/>
      <c r="O514" s="36"/>
    </row>
    <row r="515">
      <c r="A515" s="36"/>
      <c r="B515" s="36"/>
      <c r="C515" s="36"/>
      <c r="H515" s="36"/>
      <c r="I515" s="36"/>
      <c r="J515" s="36"/>
      <c r="K515" s="36"/>
      <c r="L515" s="36"/>
      <c r="M515" s="36"/>
      <c r="N515" s="36"/>
      <c r="O515" s="36"/>
    </row>
    <row r="516">
      <c r="A516" s="36"/>
      <c r="B516" s="36"/>
      <c r="C516" s="36"/>
      <c r="H516" s="36"/>
      <c r="I516" s="36"/>
      <c r="J516" s="36"/>
      <c r="K516" s="36"/>
      <c r="L516" s="36"/>
      <c r="M516" s="36"/>
      <c r="N516" s="36"/>
      <c r="O516" s="36"/>
    </row>
    <row r="517">
      <c r="A517" s="36"/>
      <c r="B517" s="36"/>
      <c r="C517" s="36"/>
      <c r="H517" s="36"/>
      <c r="I517" s="36"/>
      <c r="J517" s="36"/>
      <c r="K517" s="36"/>
      <c r="L517" s="36"/>
      <c r="M517" s="36"/>
      <c r="N517" s="36"/>
      <c r="O517" s="36"/>
    </row>
    <row r="518">
      <c r="A518" s="36"/>
      <c r="B518" s="36"/>
      <c r="C518" s="36"/>
      <c r="H518" s="36"/>
      <c r="I518" s="36"/>
      <c r="J518" s="36"/>
      <c r="K518" s="36"/>
      <c r="L518" s="36"/>
      <c r="M518" s="36"/>
      <c r="N518" s="36"/>
      <c r="O518" s="36"/>
    </row>
    <row r="519">
      <c r="A519" s="36"/>
      <c r="B519" s="36"/>
      <c r="C519" s="36"/>
      <c r="H519" s="36"/>
      <c r="I519" s="36"/>
      <c r="J519" s="36"/>
      <c r="K519" s="36"/>
      <c r="L519" s="36"/>
      <c r="M519" s="36"/>
      <c r="N519" s="36"/>
      <c r="O519" s="36"/>
    </row>
    <row r="520">
      <c r="A520" s="36"/>
      <c r="B520" s="36"/>
      <c r="C520" s="36"/>
      <c r="H520" s="36"/>
      <c r="I520" s="36"/>
      <c r="J520" s="36"/>
      <c r="K520" s="36"/>
      <c r="L520" s="36"/>
      <c r="M520" s="36"/>
      <c r="N520" s="36"/>
      <c r="O520" s="36"/>
    </row>
    <row r="521">
      <c r="A521" s="36"/>
      <c r="B521" s="36"/>
      <c r="C521" s="36"/>
      <c r="H521" s="36"/>
      <c r="I521" s="36"/>
      <c r="J521" s="36"/>
      <c r="K521" s="36"/>
      <c r="L521" s="36"/>
      <c r="M521" s="36"/>
      <c r="N521" s="36"/>
      <c r="O521" s="36"/>
    </row>
    <row r="522">
      <c r="A522" s="36"/>
      <c r="B522" s="36"/>
      <c r="C522" s="36"/>
      <c r="H522" s="36"/>
      <c r="I522" s="36"/>
      <c r="J522" s="36"/>
      <c r="K522" s="36"/>
      <c r="L522" s="36"/>
      <c r="M522" s="36"/>
      <c r="N522" s="36"/>
      <c r="O522" s="36"/>
    </row>
    <row r="523">
      <c r="A523" s="36"/>
      <c r="B523" s="36"/>
      <c r="C523" s="36"/>
      <c r="H523" s="36"/>
      <c r="I523" s="36"/>
      <c r="J523" s="36"/>
      <c r="K523" s="36"/>
      <c r="L523" s="36"/>
      <c r="M523" s="36"/>
      <c r="N523" s="36"/>
      <c r="O523" s="36"/>
    </row>
    <row r="524">
      <c r="A524" s="36"/>
      <c r="B524" s="36"/>
      <c r="C524" s="36"/>
      <c r="H524" s="36"/>
      <c r="I524" s="36"/>
      <c r="J524" s="36"/>
      <c r="K524" s="36"/>
      <c r="L524" s="36"/>
      <c r="M524" s="36"/>
      <c r="N524" s="36"/>
      <c r="O524" s="36"/>
    </row>
    <row r="525">
      <c r="A525" s="36"/>
      <c r="B525" s="36"/>
      <c r="C525" s="36"/>
      <c r="H525" s="36"/>
      <c r="I525" s="36"/>
      <c r="J525" s="36"/>
      <c r="K525" s="36"/>
      <c r="L525" s="36"/>
      <c r="M525" s="36"/>
      <c r="N525" s="36"/>
      <c r="O525" s="36"/>
    </row>
    <row r="526">
      <c r="A526" s="36"/>
      <c r="B526" s="36"/>
      <c r="C526" s="36"/>
      <c r="H526" s="36"/>
      <c r="I526" s="36"/>
      <c r="J526" s="36"/>
      <c r="K526" s="36"/>
      <c r="L526" s="36"/>
      <c r="M526" s="36"/>
      <c r="N526" s="36"/>
      <c r="O526" s="36"/>
    </row>
    <row r="527">
      <c r="A527" s="36"/>
      <c r="B527" s="36"/>
      <c r="C527" s="36"/>
      <c r="H527" s="36"/>
      <c r="I527" s="36"/>
      <c r="J527" s="36"/>
      <c r="K527" s="36"/>
      <c r="L527" s="36"/>
      <c r="M527" s="36"/>
      <c r="N527" s="36"/>
      <c r="O527" s="36"/>
    </row>
    <row r="528">
      <c r="A528" s="36"/>
      <c r="B528" s="36"/>
      <c r="C528" s="36"/>
      <c r="H528" s="36"/>
      <c r="I528" s="36"/>
      <c r="J528" s="36"/>
      <c r="K528" s="36"/>
      <c r="L528" s="36"/>
      <c r="M528" s="36"/>
      <c r="N528" s="36"/>
      <c r="O528" s="36"/>
    </row>
    <row r="529">
      <c r="A529" s="36"/>
      <c r="B529" s="36"/>
      <c r="C529" s="36"/>
      <c r="H529" s="36"/>
      <c r="I529" s="36"/>
      <c r="J529" s="36"/>
      <c r="K529" s="36"/>
      <c r="L529" s="36"/>
      <c r="M529" s="36"/>
      <c r="N529" s="36"/>
      <c r="O529" s="36"/>
    </row>
    <row r="530">
      <c r="A530" s="36"/>
      <c r="B530" s="36"/>
      <c r="C530" s="36"/>
      <c r="H530" s="36"/>
      <c r="I530" s="36"/>
      <c r="J530" s="36"/>
      <c r="K530" s="36"/>
      <c r="L530" s="36"/>
      <c r="M530" s="36"/>
      <c r="N530" s="36"/>
      <c r="O530" s="36"/>
    </row>
    <row r="531">
      <c r="A531" s="36"/>
      <c r="B531" s="36"/>
      <c r="C531" s="36"/>
      <c r="H531" s="36"/>
      <c r="I531" s="36"/>
      <c r="J531" s="36"/>
      <c r="K531" s="36"/>
      <c r="L531" s="36"/>
      <c r="M531" s="36"/>
      <c r="N531" s="36"/>
      <c r="O531" s="36"/>
    </row>
    <row r="532">
      <c r="A532" s="36"/>
      <c r="B532" s="36"/>
      <c r="C532" s="36"/>
      <c r="H532" s="36"/>
      <c r="I532" s="36"/>
      <c r="J532" s="36"/>
      <c r="K532" s="36"/>
      <c r="L532" s="36"/>
      <c r="M532" s="36"/>
      <c r="N532" s="36"/>
      <c r="O532" s="36"/>
    </row>
    <row r="533">
      <c r="A533" s="36"/>
      <c r="B533" s="36"/>
      <c r="C533" s="36"/>
      <c r="H533" s="36"/>
      <c r="I533" s="36"/>
      <c r="J533" s="36"/>
      <c r="K533" s="36"/>
      <c r="L533" s="36"/>
      <c r="M533" s="36"/>
      <c r="N533" s="36"/>
      <c r="O533" s="36"/>
    </row>
    <row r="534">
      <c r="A534" s="36"/>
      <c r="B534" s="36"/>
      <c r="C534" s="36"/>
      <c r="H534" s="36"/>
      <c r="I534" s="36"/>
      <c r="J534" s="36"/>
      <c r="K534" s="36"/>
      <c r="L534" s="36"/>
      <c r="M534" s="36"/>
      <c r="N534" s="36"/>
      <c r="O534" s="36"/>
    </row>
    <row r="535">
      <c r="A535" s="36"/>
      <c r="B535" s="36"/>
      <c r="C535" s="36"/>
      <c r="H535" s="36"/>
      <c r="I535" s="36"/>
      <c r="J535" s="36"/>
      <c r="K535" s="36"/>
      <c r="L535" s="36"/>
      <c r="M535" s="36"/>
      <c r="N535" s="36"/>
      <c r="O535" s="36"/>
    </row>
    <row r="536">
      <c r="A536" s="36"/>
      <c r="B536" s="36"/>
      <c r="C536" s="36"/>
      <c r="H536" s="36"/>
      <c r="I536" s="36"/>
      <c r="J536" s="36"/>
      <c r="K536" s="36"/>
      <c r="L536" s="36"/>
      <c r="M536" s="36"/>
      <c r="N536" s="36"/>
      <c r="O536" s="36"/>
    </row>
    <row r="537">
      <c r="A537" s="36"/>
      <c r="B537" s="36"/>
      <c r="C537" s="36"/>
      <c r="H537" s="36"/>
      <c r="I537" s="36"/>
      <c r="J537" s="36"/>
      <c r="K537" s="36"/>
      <c r="L537" s="36"/>
      <c r="M537" s="36"/>
      <c r="N537" s="36"/>
      <c r="O537" s="36"/>
    </row>
    <row r="538">
      <c r="A538" s="36"/>
      <c r="B538" s="36"/>
      <c r="C538" s="36"/>
      <c r="H538" s="36"/>
      <c r="I538" s="36"/>
      <c r="J538" s="36"/>
      <c r="K538" s="36"/>
      <c r="L538" s="36"/>
      <c r="M538" s="36"/>
      <c r="N538" s="36"/>
      <c r="O538" s="36"/>
    </row>
    <row r="539">
      <c r="A539" s="36"/>
      <c r="B539" s="36"/>
      <c r="C539" s="36"/>
      <c r="H539" s="36"/>
      <c r="I539" s="36"/>
      <c r="J539" s="36"/>
      <c r="K539" s="36"/>
      <c r="L539" s="36"/>
      <c r="M539" s="36"/>
      <c r="N539" s="36"/>
      <c r="O539" s="36"/>
    </row>
    <row r="540">
      <c r="A540" s="36"/>
      <c r="B540" s="36"/>
      <c r="C540" s="36"/>
      <c r="H540" s="36"/>
      <c r="I540" s="36"/>
      <c r="J540" s="36"/>
      <c r="K540" s="36"/>
      <c r="L540" s="36"/>
      <c r="M540" s="36"/>
      <c r="N540" s="36"/>
      <c r="O540" s="36"/>
    </row>
    <row r="541">
      <c r="A541" s="36"/>
      <c r="B541" s="36"/>
      <c r="C541" s="36"/>
      <c r="H541" s="36"/>
      <c r="I541" s="36"/>
      <c r="J541" s="36"/>
      <c r="K541" s="36"/>
      <c r="L541" s="36"/>
      <c r="M541" s="36"/>
      <c r="N541" s="36"/>
      <c r="O541" s="36"/>
    </row>
    <row r="542">
      <c r="A542" s="36"/>
      <c r="B542" s="36"/>
      <c r="C542" s="36"/>
      <c r="H542" s="36"/>
      <c r="I542" s="36"/>
      <c r="J542" s="36"/>
      <c r="K542" s="36"/>
      <c r="L542" s="36"/>
      <c r="M542" s="36"/>
      <c r="N542" s="36"/>
      <c r="O542" s="36"/>
    </row>
    <row r="543">
      <c r="A543" s="36"/>
      <c r="B543" s="36"/>
      <c r="C543" s="36"/>
      <c r="H543" s="36"/>
      <c r="I543" s="36"/>
      <c r="J543" s="36"/>
      <c r="K543" s="36"/>
      <c r="L543" s="36"/>
      <c r="M543" s="36"/>
      <c r="N543" s="36"/>
      <c r="O543" s="36"/>
    </row>
    <row r="544">
      <c r="A544" s="36"/>
      <c r="B544" s="36"/>
      <c r="C544" s="36"/>
      <c r="H544" s="36"/>
      <c r="I544" s="36"/>
      <c r="J544" s="36"/>
      <c r="K544" s="36"/>
      <c r="L544" s="36"/>
      <c r="M544" s="36"/>
      <c r="N544" s="36"/>
      <c r="O544" s="36"/>
    </row>
    <row r="545">
      <c r="A545" s="36"/>
      <c r="B545" s="36"/>
      <c r="C545" s="36"/>
      <c r="H545" s="36"/>
      <c r="I545" s="36"/>
      <c r="J545" s="36"/>
      <c r="K545" s="36"/>
      <c r="L545" s="36"/>
      <c r="M545" s="36"/>
      <c r="N545" s="36"/>
      <c r="O545" s="36"/>
    </row>
    <row r="546">
      <c r="A546" s="36"/>
      <c r="B546" s="36"/>
      <c r="C546" s="36"/>
      <c r="H546" s="36"/>
      <c r="I546" s="36"/>
      <c r="J546" s="36"/>
      <c r="K546" s="36"/>
      <c r="L546" s="36"/>
      <c r="M546" s="36"/>
      <c r="N546" s="36"/>
      <c r="O546" s="36"/>
    </row>
    <row r="547">
      <c r="A547" s="36"/>
      <c r="B547" s="36"/>
      <c r="C547" s="36"/>
      <c r="H547" s="36"/>
      <c r="I547" s="36"/>
      <c r="J547" s="36"/>
      <c r="K547" s="36"/>
      <c r="L547" s="36"/>
      <c r="M547" s="36"/>
      <c r="N547" s="36"/>
      <c r="O547" s="36"/>
    </row>
    <row r="548">
      <c r="A548" s="36"/>
      <c r="B548" s="36"/>
      <c r="C548" s="36"/>
      <c r="H548" s="36"/>
      <c r="I548" s="36"/>
      <c r="J548" s="36"/>
      <c r="K548" s="36"/>
      <c r="L548" s="36"/>
      <c r="M548" s="36"/>
      <c r="N548" s="36"/>
      <c r="O548" s="36"/>
    </row>
    <row r="549">
      <c r="A549" s="36"/>
      <c r="B549" s="36"/>
      <c r="C549" s="36"/>
      <c r="H549" s="36"/>
      <c r="I549" s="36"/>
      <c r="J549" s="36"/>
      <c r="K549" s="36"/>
      <c r="L549" s="36"/>
      <c r="M549" s="36"/>
      <c r="N549" s="36"/>
      <c r="O549" s="36"/>
    </row>
    <row r="550">
      <c r="A550" s="36"/>
      <c r="B550" s="36"/>
      <c r="C550" s="36"/>
      <c r="H550" s="36"/>
      <c r="I550" s="36"/>
      <c r="J550" s="36"/>
      <c r="K550" s="36"/>
      <c r="L550" s="36"/>
      <c r="M550" s="36"/>
      <c r="N550" s="36"/>
      <c r="O550" s="36"/>
    </row>
    <row r="551">
      <c r="A551" s="36"/>
      <c r="B551" s="36"/>
      <c r="C551" s="36"/>
      <c r="H551" s="36"/>
      <c r="I551" s="36"/>
      <c r="J551" s="36"/>
      <c r="K551" s="36"/>
      <c r="L551" s="36"/>
      <c r="M551" s="36"/>
      <c r="N551" s="36"/>
      <c r="O551" s="36"/>
    </row>
    <row r="552">
      <c r="A552" s="36"/>
      <c r="B552" s="36"/>
      <c r="C552" s="36"/>
      <c r="H552" s="36"/>
      <c r="I552" s="36"/>
      <c r="J552" s="36"/>
      <c r="K552" s="36"/>
      <c r="L552" s="36"/>
      <c r="M552" s="36"/>
      <c r="N552" s="36"/>
      <c r="O552" s="36"/>
    </row>
    <row r="553">
      <c r="A553" s="36"/>
      <c r="B553" s="36"/>
      <c r="C553" s="36"/>
      <c r="H553" s="36"/>
      <c r="I553" s="36"/>
      <c r="J553" s="36"/>
      <c r="K553" s="36"/>
      <c r="L553" s="36"/>
      <c r="M553" s="36"/>
      <c r="N553" s="36"/>
      <c r="O553" s="36"/>
    </row>
    <row r="554">
      <c r="A554" s="36"/>
      <c r="B554" s="36"/>
      <c r="C554" s="36"/>
      <c r="H554" s="36"/>
      <c r="I554" s="36"/>
      <c r="J554" s="36"/>
      <c r="K554" s="36"/>
      <c r="L554" s="36"/>
      <c r="M554" s="36"/>
      <c r="N554" s="36"/>
      <c r="O554" s="36"/>
    </row>
    <row r="555">
      <c r="A555" s="36"/>
      <c r="B555" s="36"/>
      <c r="C555" s="36"/>
      <c r="H555" s="36"/>
      <c r="I555" s="36"/>
      <c r="J555" s="36"/>
      <c r="K555" s="36"/>
      <c r="L555" s="36"/>
      <c r="M555" s="36"/>
      <c r="N555" s="36"/>
      <c r="O555" s="36"/>
    </row>
    <row r="556">
      <c r="A556" s="36"/>
      <c r="B556" s="36"/>
      <c r="C556" s="36"/>
      <c r="H556" s="36"/>
      <c r="I556" s="36"/>
      <c r="J556" s="36"/>
      <c r="K556" s="36"/>
      <c r="L556" s="36"/>
      <c r="M556" s="36"/>
      <c r="N556" s="36"/>
      <c r="O556" s="36"/>
    </row>
    <row r="557">
      <c r="A557" s="36"/>
      <c r="B557" s="36"/>
      <c r="C557" s="36"/>
      <c r="H557" s="36"/>
      <c r="I557" s="36"/>
      <c r="J557" s="36"/>
      <c r="K557" s="36"/>
      <c r="L557" s="36"/>
      <c r="M557" s="36"/>
      <c r="N557" s="36"/>
      <c r="O557" s="36"/>
    </row>
    <row r="558">
      <c r="A558" s="36"/>
      <c r="B558" s="36"/>
      <c r="C558" s="36"/>
      <c r="H558" s="36"/>
      <c r="I558" s="36"/>
      <c r="J558" s="36"/>
      <c r="K558" s="36"/>
      <c r="L558" s="36"/>
      <c r="M558" s="36"/>
      <c r="N558" s="36"/>
      <c r="O558" s="36"/>
    </row>
    <row r="559">
      <c r="A559" s="36"/>
      <c r="B559" s="36"/>
      <c r="C559" s="36"/>
      <c r="H559" s="36"/>
      <c r="I559" s="36"/>
      <c r="J559" s="36"/>
      <c r="K559" s="36"/>
      <c r="L559" s="36"/>
      <c r="M559" s="36"/>
      <c r="N559" s="36"/>
      <c r="O559" s="36"/>
    </row>
    <row r="560">
      <c r="A560" s="36"/>
      <c r="B560" s="36"/>
      <c r="C560" s="36"/>
      <c r="H560" s="36"/>
      <c r="I560" s="36"/>
      <c r="J560" s="36"/>
      <c r="K560" s="36"/>
      <c r="L560" s="36"/>
      <c r="M560" s="36"/>
      <c r="N560" s="36"/>
      <c r="O560" s="36"/>
    </row>
    <row r="561">
      <c r="A561" s="36"/>
      <c r="B561" s="36"/>
      <c r="C561" s="36"/>
      <c r="H561" s="36"/>
      <c r="I561" s="36"/>
      <c r="J561" s="36"/>
      <c r="K561" s="36"/>
      <c r="L561" s="36"/>
      <c r="M561" s="36"/>
      <c r="N561" s="36"/>
      <c r="O561" s="36"/>
    </row>
    <row r="562">
      <c r="A562" s="36"/>
      <c r="B562" s="36"/>
      <c r="C562" s="36"/>
      <c r="H562" s="36"/>
      <c r="I562" s="36"/>
      <c r="J562" s="36"/>
      <c r="K562" s="36"/>
      <c r="L562" s="36"/>
      <c r="M562" s="36"/>
      <c r="N562" s="36"/>
      <c r="O562" s="36"/>
    </row>
    <row r="563">
      <c r="A563" s="36"/>
      <c r="B563" s="36"/>
      <c r="C563" s="36"/>
      <c r="H563" s="36"/>
      <c r="I563" s="36"/>
      <c r="J563" s="36"/>
      <c r="K563" s="36"/>
      <c r="L563" s="36"/>
      <c r="M563" s="36"/>
      <c r="N563" s="36"/>
      <c r="O563" s="36"/>
    </row>
    <row r="564">
      <c r="A564" s="36"/>
      <c r="B564" s="36"/>
      <c r="C564" s="36"/>
      <c r="H564" s="36"/>
      <c r="I564" s="36"/>
      <c r="J564" s="36"/>
      <c r="K564" s="36"/>
      <c r="L564" s="36"/>
      <c r="M564" s="36"/>
      <c r="N564" s="36"/>
      <c r="O564" s="36"/>
    </row>
    <row r="565">
      <c r="A565" s="36"/>
      <c r="B565" s="36"/>
      <c r="C565" s="36"/>
      <c r="H565" s="36"/>
      <c r="I565" s="36"/>
      <c r="J565" s="36"/>
      <c r="K565" s="36"/>
      <c r="L565" s="36"/>
      <c r="M565" s="36"/>
      <c r="N565" s="36"/>
      <c r="O565" s="36"/>
    </row>
    <row r="566">
      <c r="A566" s="36"/>
      <c r="B566" s="36"/>
      <c r="C566" s="36"/>
      <c r="H566" s="36"/>
      <c r="I566" s="36"/>
      <c r="J566" s="36"/>
      <c r="K566" s="36"/>
      <c r="L566" s="36"/>
      <c r="M566" s="36"/>
      <c r="N566" s="36"/>
      <c r="O566" s="36"/>
    </row>
    <row r="567">
      <c r="A567" s="36"/>
      <c r="B567" s="36"/>
      <c r="C567" s="36"/>
      <c r="H567" s="36"/>
      <c r="I567" s="36"/>
      <c r="J567" s="36"/>
      <c r="K567" s="36"/>
      <c r="L567" s="36"/>
      <c r="M567" s="36"/>
      <c r="N567" s="36"/>
      <c r="O567" s="36"/>
    </row>
    <row r="568">
      <c r="A568" s="36"/>
      <c r="B568" s="36"/>
      <c r="C568" s="36"/>
      <c r="H568" s="36"/>
      <c r="I568" s="36"/>
      <c r="J568" s="36"/>
      <c r="K568" s="36"/>
      <c r="L568" s="36"/>
      <c r="M568" s="36"/>
      <c r="N568" s="36"/>
      <c r="O568" s="36"/>
    </row>
    <row r="569">
      <c r="A569" s="36"/>
      <c r="B569" s="36"/>
      <c r="C569" s="36"/>
      <c r="H569" s="36"/>
      <c r="I569" s="36"/>
      <c r="J569" s="36"/>
      <c r="K569" s="36"/>
      <c r="L569" s="36"/>
      <c r="M569" s="36"/>
      <c r="N569" s="36"/>
      <c r="O569" s="36"/>
    </row>
    <row r="570">
      <c r="A570" s="36"/>
      <c r="B570" s="36"/>
      <c r="C570" s="36"/>
      <c r="H570" s="36"/>
      <c r="I570" s="36"/>
      <c r="J570" s="36"/>
      <c r="K570" s="36"/>
      <c r="L570" s="36"/>
      <c r="M570" s="36"/>
      <c r="N570" s="36"/>
      <c r="O570" s="36"/>
    </row>
    <row r="571">
      <c r="A571" s="36"/>
      <c r="B571" s="36"/>
      <c r="C571" s="36"/>
      <c r="H571" s="36"/>
      <c r="I571" s="36"/>
      <c r="J571" s="36"/>
      <c r="K571" s="36"/>
      <c r="L571" s="36"/>
      <c r="M571" s="36"/>
      <c r="N571" s="36"/>
      <c r="O571" s="36"/>
    </row>
    <row r="572">
      <c r="A572" s="36"/>
      <c r="B572" s="36"/>
      <c r="C572" s="36"/>
      <c r="H572" s="36"/>
      <c r="I572" s="36"/>
      <c r="J572" s="36"/>
      <c r="K572" s="36"/>
      <c r="L572" s="36"/>
      <c r="M572" s="36"/>
      <c r="N572" s="36"/>
      <c r="O572" s="36"/>
    </row>
    <row r="573">
      <c r="A573" s="36"/>
      <c r="B573" s="36"/>
      <c r="C573" s="36"/>
      <c r="H573" s="36"/>
      <c r="I573" s="36"/>
      <c r="J573" s="36"/>
      <c r="K573" s="36"/>
      <c r="L573" s="36"/>
      <c r="M573" s="36"/>
      <c r="N573" s="36"/>
      <c r="O573" s="36"/>
    </row>
    <row r="574">
      <c r="A574" s="36"/>
      <c r="B574" s="36"/>
      <c r="C574" s="36"/>
      <c r="H574" s="36"/>
      <c r="I574" s="36"/>
      <c r="J574" s="36"/>
      <c r="K574" s="36"/>
      <c r="L574" s="36"/>
      <c r="M574" s="36"/>
      <c r="N574" s="36"/>
      <c r="O574" s="36"/>
    </row>
    <row r="575">
      <c r="A575" s="36"/>
      <c r="B575" s="36"/>
      <c r="C575" s="36"/>
      <c r="H575" s="36"/>
      <c r="I575" s="36"/>
      <c r="J575" s="36"/>
      <c r="K575" s="36"/>
      <c r="L575" s="36"/>
      <c r="M575" s="36"/>
      <c r="N575" s="36"/>
      <c r="O575" s="36"/>
    </row>
    <row r="576">
      <c r="A576" s="36"/>
      <c r="B576" s="36"/>
      <c r="C576" s="36"/>
      <c r="H576" s="36"/>
      <c r="I576" s="36"/>
      <c r="J576" s="36"/>
      <c r="K576" s="36"/>
      <c r="L576" s="36"/>
      <c r="M576" s="36"/>
      <c r="N576" s="36"/>
      <c r="O576" s="36"/>
    </row>
    <row r="577">
      <c r="A577" s="36"/>
      <c r="B577" s="36"/>
      <c r="C577" s="36"/>
      <c r="H577" s="36"/>
      <c r="I577" s="36"/>
      <c r="J577" s="36"/>
      <c r="K577" s="36"/>
      <c r="L577" s="36"/>
      <c r="M577" s="36"/>
      <c r="N577" s="36"/>
      <c r="O577" s="36"/>
    </row>
    <row r="578">
      <c r="A578" s="36"/>
      <c r="B578" s="36"/>
      <c r="C578" s="36"/>
      <c r="H578" s="36"/>
      <c r="I578" s="36"/>
      <c r="J578" s="36"/>
      <c r="K578" s="36"/>
      <c r="L578" s="36"/>
      <c r="M578" s="36"/>
      <c r="N578" s="36"/>
      <c r="O578" s="36"/>
    </row>
    <row r="579">
      <c r="A579" s="36"/>
      <c r="B579" s="36"/>
      <c r="C579" s="36"/>
      <c r="H579" s="36"/>
      <c r="I579" s="36"/>
      <c r="J579" s="36"/>
      <c r="K579" s="36"/>
      <c r="L579" s="36"/>
      <c r="M579" s="36"/>
      <c r="N579" s="36"/>
      <c r="O579" s="36"/>
    </row>
    <row r="580">
      <c r="A580" s="36"/>
      <c r="B580" s="36"/>
      <c r="C580" s="36"/>
      <c r="H580" s="36"/>
      <c r="I580" s="36"/>
      <c r="J580" s="36"/>
      <c r="K580" s="36"/>
      <c r="L580" s="36"/>
      <c r="M580" s="36"/>
      <c r="N580" s="36"/>
      <c r="O580" s="36"/>
    </row>
    <row r="581">
      <c r="A581" s="36"/>
      <c r="B581" s="36"/>
      <c r="C581" s="36"/>
      <c r="H581" s="36"/>
      <c r="I581" s="36"/>
      <c r="J581" s="36"/>
      <c r="K581" s="36"/>
      <c r="L581" s="36"/>
      <c r="M581" s="36"/>
      <c r="N581" s="36"/>
      <c r="O581" s="36"/>
    </row>
    <row r="582">
      <c r="A582" s="36"/>
      <c r="B582" s="36"/>
      <c r="C582" s="36"/>
      <c r="H582" s="36"/>
      <c r="I582" s="36"/>
      <c r="J582" s="36"/>
      <c r="K582" s="36"/>
      <c r="L582" s="36"/>
      <c r="M582" s="36"/>
      <c r="N582" s="36"/>
      <c r="O582" s="36"/>
    </row>
    <row r="583">
      <c r="A583" s="36"/>
      <c r="B583" s="36"/>
      <c r="C583" s="36"/>
      <c r="H583" s="36"/>
      <c r="I583" s="36"/>
      <c r="J583" s="36"/>
      <c r="K583" s="36"/>
      <c r="L583" s="36"/>
      <c r="M583" s="36"/>
      <c r="N583" s="36"/>
      <c r="O583" s="36"/>
    </row>
    <row r="584">
      <c r="A584" s="36"/>
      <c r="B584" s="36"/>
      <c r="C584" s="36"/>
      <c r="H584" s="36"/>
      <c r="I584" s="36"/>
      <c r="J584" s="36"/>
      <c r="K584" s="36"/>
      <c r="L584" s="36"/>
      <c r="M584" s="36"/>
      <c r="N584" s="36"/>
      <c r="O584" s="36"/>
    </row>
    <row r="585">
      <c r="A585" s="36"/>
      <c r="B585" s="36"/>
      <c r="C585" s="36"/>
      <c r="H585" s="36"/>
      <c r="I585" s="36"/>
      <c r="J585" s="36"/>
      <c r="K585" s="36"/>
      <c r="L585" s="36"/>
      <c r="M585" s="36"/>
      <c r="N585" s="36"/>
      <c r="O585" s="36"/>
    </row>
    <row r="586">
      <c r="A586" s="36"/>
      <c r="B586" s="36"/>
      <c r="C586" s="36"/>
      <c r="H586" s="36"/>
      <c r="I586" s="36"/>
      <c r="J586" s="36"/>
      <c r="K586" s="36"/>
      <c r="L586" s="36"/>
      <c r="M586" s="36"/>
      <c r="N586" s="36"/>
      <c r="O586" s="36"/>
    </row>
    <row r="587">
      <c r="A587" s="36"/>
      <c r="B587" s="36"/>
      <c r="C587" s="36"/>
      <c r="H587" s="36"/>
      <c r="I587" s="36"/>
      <c r="J587" s="36"/>
      <c r="K587" s="36"/>
      <c r="L587" s="36"/>
      <c r="M587" s="36"/>
      <c r="N587" s="36"/>
      <c r="O587" s="36"/>
    </row>
    <row r="588">
      <c r="A588" s="36"/>
      <c r="B588" s="36"/>
      <c r="C588" s="36"/>
      <c r="H588" s="36"/>
      <c r="I588" s="36"/>
      <c r="J588" s="36"/>
      <c r="K588" s="36"/>
      <c r="L588" s="36"/>
      <c r="M588" s="36"/>
      <c r="N588" s="36"/>
      <c r="O588" s="36"/>
    </row>
    <row r="589">
      <c r="A589" s="36"/>
      <c r="B589" s="36"/>
      <c r="C589" s="36"/>
      <c r="H589" s="36"/>
      <c r="I589" s="36"/>
      <c r="J589" s="36"/>
      <c r="K589" s="36"/>
      <c r="L589" s="36"/>
      <c r="M589" s="36"/>
      <c r="N589" s="36"/>
      <c r="O589" s="36"/>
    </row>
    <row r="590">
      <c r="A590" s="36"/>
      <c r="B590" s="36"/>
      <c r="C590" s="36"/>
      <c r="H590" s="36"/>
      <c r="I590" s="36"/>
      <c r="J590" s="36"/>
      <c r="K590" s="36"/>
      <c r="L590" s="36"/>
      <c r="M590" s="36"/>
      <c r="N590" s="36"/>
      <c r="O590" s="36"/>
    </row>
    <row r="591">
      <c r="A591" s="36"/>
      <c r="B591" s="36"/>
      <c r="C591" s="36"/>
      <c r="H591" s="36"/>
      <c r="I591" s="36"/>
      <c r="J591" s="36"/>
      <c r="K591" s="36"/>
      <c r="L591" s="36"/>
      <c r="M591" s="36"/>
      <c r="N591" s="36"/>
      <c r="O591" s="36"/>
    </row>
    <row r="592">
      <c r="A592" s="36"/>
      <c r="B592" s="36"/>
      <c r="C592" s="36"/>
      <c r="H592" s="36"/>
      <c r="I592" s="36"/>
      <c r="J592" s="36"/>
      <c r="K592" s="36"/>
      <c r="L592" s="36"/>
      <c r="M592" s="36"/>
      <c r="N592" s="36"/>
      <c r="O592" s="36"/>
    </row>
    <row r="593">
      <c r="A593" s="36"/>
      <c r="B593" s="36"/>
      <c r="C593" s="36"/>
      <c r="H593" s="36"/>
      <c r="I593" s="36"/>
      <c r="J593" s="36"/>
      <c r="K593" s="36"/>
      <c r="L593" s="36"/>
      <c r="M593" s="36"/>
      <c r="N593" s="36"/>
      <c r="O593" s="36"/>
    </row>
    <row r="594">
      <c r="A594" s="36"/>
      <c r="B594" s="36"/>
      <c r="C594" s="36"/>
      <c r="H594" s="36"/>
      <c r="I594" s="36"/>
      <c r="J594" s="36"/>
      <c r="K594" s="36"/>
      <c r="L594" s="36"/>
      <c r="M594" s="36"/>
      <c r="N594" s="36"/>
      <c r="O594" s="36"/>
    </row>
    <row r="595">
      <c r="A595" s="36"/>
      <c r="B595" s="36"/>
      <c r="C595" s="36"/>
      <c r="H595" s="36"/>
      <c r="I595" s="36"/>
      <c r="J595" s="36"/>
      <c r="K595" s="36"/>
      <c r="L595" s="36"/>
      <c r="M595" s="36"/>
      <c r="N595" s="36"/>
      <c r="O595" s="36"/>
    </row>
    <row r="596">
      <c r="A596" s="36"/>
      <c r="B596" s="36"/>
      <c r="C596" s="36"/>
      <c r="H596" s="36"/>
      <c r="I596" s="36"/>
      <c r="J596" s="36"/>
      <c r="K596" s="36"/>
      <c r="L596" s="36"/>
      <c r="M596" s="36"/>
      <c r="N596" s="36"/>
      <c r="O596" s="36"/>
    </row>
    <row r="597">
      <c r="A597" s="36"/>
      <c r="B597" s="36"/>
      <c r="C597" s="36"/>
      <c r="H597" s="36"/>
      <c r="I597" s="36"/>
      <c r="J597" s="36"/>
      <c r="K597" s="36"/>
      <c r="L597" s="36"/>
      <c r="M597" s="36"/>
      <c r="N597" s="36"/>
      <c r="O597" s="36"/>
    </row>
    <row r="598">
      <c r="A598" s="36"/>
      <c r="B598" s="36"/>
      <c r="C598" s="36"/>
      <c r="H598" s="36"/>
      <c r="I598" s="36"/>
      <c r="J598" s="36"/>
      <c r="K598" s="36"/>
      <c r="L598" s="36"/>
      <c r="M598" s="36"/>
      <c r="N598" s="36"/>
      <c r="O598" s="36"/>
    </row>
    <row r="599">
      <c r="A599" s="36"/>
      <c r="B599" s="36"/>
      <c r="C599" s="36"/>
      <c r="H599" s="36"/>
      <c r="I599" s="36"/>
      <c r="J599" s="36"/>
      <c r="K599" s="36"/>
      <c r="L599" s="36"/>
      <c r="M599" s="36"/>
      <c r="N599" s="36"/>
      <c r="O599" s="36"/>
    </row>
    <row r="600">
      <c r="A600" s="36"/>
      <c r="B600" s="36"/>
      <c r="C600" s="36"/>
      <c r="H600" s="36"/>
      <c r="I600" s="36"/>
      <c r="J600" s="36"/>
      <c r="K600" s="36"/>
      <c r="L600" s="36"/>
      <c r="M600" s="36"/>
      <c r="N600" s="36"/>
      <c r="O600" s="36"/>
    </row>
    <row r="601">
      <c r="A601" s="36"/>
      <c r="B601" s="36"/>
      <c r="C601" s="36"/>
      <c r="H601" s="36"/>
      <c r="I601" s="36"/>
      <c r="J601" s="36"/>
      <c r="K601" s="36"/>
      <c r="L601" s="36"/>
      <c r="M601" s="36"/>
      <c r="N601" s="36"/>
      <c r="O601" s="36"/>
    </row>
    <row r="602">
      <c r="A602" s="36"/>
      <c r="B602" s="36"/>
      <c r="C602" s="36"/>
      <c r="H602" s="36"/>
      <c r="I602" s="36"/>
      <c r="J602" s="36"/>
      <c r="K602" s="36"/>
      <c r="L602" s="36"/>
      <c r="M602" s="36"/>
      <c r="N602" s="36"/>
      <c r="O602" s="36"/>
    </row>
    <row r="603">
      <c r="A603" s="36"/>
      <c r="B603" s="36"/>
      <c r="C603" s="36"/>
      <c r="H603" s="36"/>
      <c r="I603" s="36"/>
      <c r="J603" s="36"/>
      <c r="K603" s="36"/>
      <c r="L603" s="36"/>
      <c r="M603" s="36"/>
      <c r="N603" s="36"/>
      <c r="O603" s="36"/>
    </row>
    <row r="604">
      <c r="A604" s="36"/>
      <c r="B604" s="36"/>
      <c r="C604" s="36"/>
      <c r="H604" s="36"/>
      <c r="I604" s="36"/>
      <c r="J604" s="36"/>
      <c r="K604" s="36"/>
      <c r="L604" s="36"/>
      <c r="M604" s="36"/>
      <c r="N604" s="36"/>
      <c r="O604" s="36"/>
    </row>
    <row r="605">
      <c r="A605" s="36"/>
      <c r="B605" s="36"/>
      <c r="C605" s="36"/>
      <c r="H605" s="36"/>
      <c r="I605" s="36"/>
      <c r="J605" s="36"/>
      <c r="K605" s="36"/>
      <c r="L605" s="36"/>
      <c r="M605" s="36"/>
      <c r="N605" s="36"/>
      <c r="O605" s="36"/>
    </row>
    <row r="606">
      <c r="A606" s="36"/>
      <c r="B606" s="36"/>
      <c r="C606" s="36"/>
      <c r="H606" s="36"/>
      <c r="I606" s="36"/>
      <c r="J606" s="36"/>
      <c r="K606" s="36"/>
      <c r="L606" s="36"/>
      <c r="M606" s="36"/>
      <c r="N606" s="36"/>
      <c r="O606" s="36"/>
    </row>
    <row r="607">
      <c r="A607" s="36"/>
      <c r="B607" s="36"/>
      <c r="C607" s="36"/>
      <c r="H607" s="36"/>
      <c r="I607" s="36"/>
      <c r="J607" s="36"/>
      <c r="K607" s="36"/>
      <c r="L607" s="36"/>
      <c r="M607" s="36"/>
      <c r="N607" s="36"/>
      <c r="O607" s="36"/>
    </row>
    <row r="608">
      <c r="A608" s="36"/>
      <c r="B608" s="36"/>
      <c r="C608" s="36"/>
      <c r="H608" s="36"/>
      <c r="I608" s="36"/>
      <c r="J608" s="36"/>
      <c r="K608" s="36"/>
      <c r="L608" s="36"/>
      <c r="M608" s="36"/>
      <c r="N608" s="36"/>
      <c r="O608" s="36"/>
    </row>
    <row r="609">
      <c r="A609" s="36"/>
      <c r="B609" s="36"/>
      <c r="C609" s="36"/>
      <c r="H609" s="36"/>
      <c r="I609" s="36"/>
      <c r="J609" s="36"/>
      <c r="K609" s="36"/>
      <c r="L609" s="36"/>
      <c r="M609" s="36"/>
      <c r="N609" s="36"/>
      <c r="O609" s="36"/>
    </row>
    <row r="610">
      <c r="A610" s="36"/>
      <c r="B610" s="36"/>
      <c r="C610" s="36"/>
      <c r="H610" s="36"/>
      <c r="I610" s="36"/>
      <c r="J610" s="36"/>
      <c r="K610" s="36"/>
      <c r="L610" s="36"/>
      <c r="M610" s="36"/>
      <c r="N610" s="36"/>
      <c r="O610" s="36"/>
    </row>
    <row r="611">
      <c r="A611" s="36"/>
      <c r="B611" s="36"/>
      <c r="C611" s="36"/>
      <c r="H611" s="36"/>
      <c r="I611" s="36"/>
      <c r="J611" s="36"/>
      <c r="K611" s="36"/>
      <c r="L611" s="36"/>
      <c r="M611" s="36"/>
      <c r="N611" s="36"/>
      <c r="O611" s="36"/>
    </row>
    <row r="612">
      <c r="A612" s="36"/>
      <c r="B612" s="36"/>
      <c r="C612" s="36"/>
      <c r="H612" s="36"/>
      <c r="I612" s="36"/>
      <c r="J612" s="36"/>
      <c r="K612" s="36"/>
      <c r="L612" s="36"/>
      <c r="M612" s="36"/>
      <c r="N612" s="36"/>
      <c r="O612" s="36"/>
    </row>
    <row r="613">
      <c r="A613" s="36"/>
      <c r="B613" s="36"/>
      <c r="C613" s="36"/>
      <c r="H613" s="36"/>
      <c r="I613" s="36"/>
      <c r="J613" s="36"/>
      <c r="K613" s="36"/>
      <c r="L613" s="36"/>
      <c r="M613" s="36"/>
      <c r="N613" s="36"/>
      <c r="O613" s="36"/>
    </row>
    <row r="614">
      <c r="A614" s="36"/>
      <c r="B614" s="36"/>
      <c r="C614" s="36"/>
      <c r="H614" s="36"/>
      <c r="I614" s="36"/>
      <c r="J614" s="36"/>
      <c r="K614" s="36"/>
      <c r="L614" s="36"/>
      <c r="M614" s="36"/>
      <c r="N614" s="36"/>
      <c r="O614" s="36"/>
    </row>
    <row r="615">
      <c r="A615" s="36"/>
      <c r="B615" s="36"/>
      <c r="C615" s="36"/>
      <c r="H615" s="36"/>
      <c r="I615" s="36"/>
      <c r="J615" s="36"/>
      <c r="K615" s="36"/>
      <c r="L615" s="36"/>
      <c r="M615" s="36"/>
      <c r="N615" s="36"/>
      <c r="O615" s="36"/>
    </row>
    <row r="616">
      <c r="A616" s="36"/>
      <c r="B616" s="36"/>
      <c r="C616" s="36"/>
      <c r="H616" s="36"/>
      <c r="I616" s="36"/>
      <c r="J616" s="36"/>
      <c r="K616" s="36"/>
      <c r="L616" s="36"/>
      <c r="M616" s="36"/>
      <c r="N616" s="36"/>
      <c r="O616" s="36"/>
    </row>
    <row r="617">
      <c r="A617" s="36"/>
      <c r="B617" s="36"/>
      <c r="C617" s="36"/>
      <c r="H617" s="36"/>
      <c r="I617" s="36"/>
      <c r="J617" s="36"/>
      <c r="K617" s="36"/>
      <c r="L617" s="36"/>
      <c r="M617" s="36"/>
      <c r="N617" s="36"/>
      <c r="O617" s="36"/>
    </row>
    <row r="618">
      <c r="A618" s="36"/>
      <c r="B618" s="36"/>
      <c r="C618" s="36"/>
      <c r="H618" s="36"/>
      <c r="I618" s="36"/>
      <c r="J618" s="36"/>
      <c r="K618" s="36"/>
      <c r="L618" s="36"/>
      <c r="M618" s="36"/>
      <c r="N618" s="36"/>
      <c r="O618" s="36"/>
    </row>
    <row r="619">
      <c r="A619" s="36"/>
      <c r="B619" s="36"/>
      <c r="C619" s="36"/>
      <c r="H619" s="36"/>
      <c r="I619" s="36"/>
      <c r="J619" s="36"/>
      <c r="K619" s="36"/>
      <c r="L619" s="36"/>
      <c r="M619" s="36"/>
      <c r="N619" s="36"/>
      <c r="O619" s="36"/>
    </row>
    <row r="620">
      <c r="A620" s="36"/>
      <c r="B620" s="36"/>
      <c r="C620" s="36"/>
      <c r="H620" s="36"/>
      <c r="I620" s="36"/>
      <c r="J620" s="36"/>
      <c r="K620" s="36"/>
      <c r="L620" s="36"/>
      <c r="M620" s="36"/>
      <c r="N620" s="36"/>
      <c r="O620" s="36"/>
    </row>
    <row r="621">
      <c r="A621" s="36"/>
      <c r="B621" s="36"/>
      <c r="C621" s="36"/>
      <c r="H621" s="36"/>
      <c r="I621" s="36"/>
      <c r="J621" s="36"/>
      <c r="K621" s="36"/>
      <c r="L621" s="36"/>
      <c r="M621" s="36"/>
      <c r="N621" s="36"/>
      <c r="O621" s="36"/>
    </row>
    <row r="622">
      <c r="A622" s="36"/>
      <c r="B622" s="36"/>
      <c r="C622" s="36"/>
      <c r="H622" s="36"/>
      <c r="I622" s="36"/>
      <c r="J622" s="36"/>
      <c r="K622" s="36"/>
      <c r="L622" s="36"/>
      <c r="M622" s="36"/>
      <c r="N622" s="36"/>
      <c r="O622" s="36"/>
    </row>
    <row r="623">
      <c r="A623" s="36"/>
      <c r="B623" s="36"/>
      <c r="C623" s="36"/>
      <c r="H623" s="36"/>
      <c r="I623" s="36"/>
      <c r="J623" s="36"/>
      <c r="K623" s="36"/>
      <c r="L623" s="36"/>
      <c r="M623" s="36"/>
      <c r="N623" s="36"/>
      <c r="O623" s="36"/>
    </row>
    <row r="624">
      <c r="A624" s="36"/>
      <c r="B624" s="36"/>
      <c r="C624" s="36"/>
      <c r="H624" s="36"/>
      <c r="I624" s="36"/>
      <c r="J624" s="36"/>
      <c r="K624" s="36"/>
      <c r="L624" s="36"/>
      <c r="M624" s="36"/>
      <c r="N624" s="36"/>
      <c r="O624" s="36"/>
    </row>
    <row r="625">
      <c r="A625" s="36"/>
      <c r="B625" s="36"/>
      <c r="C625" s="36"/>
      <c r="H625" s="36"/>
      <c r="I625" s="36"/>
      <c r="J625" s="36"/>
      <c r="K625" s="36"/>
      <c r="L625" s="36"/>
      <c r="M625" s="36"/>
      <c r="N625" s="36"/>
      <c r="O625" s="36"/>
    </row>
    <row r="626">
      <c r="A626" s="36"/>
      <c r="B626" s="36"/>
      <c r="C626" s="36"/>
      <c r="H626" s="36"/>
      <c r="I626" s="36"/>
      <c r="J626" s="36"/>
      <c r="K626" s="36"/>
      <c r="L626" s="36"/>
      <c r="M626" s="36"/>
      <c r="N626" s="36"/>
      <c r="O626" s="36"/>
    </row>
    <row r="627">
      <c r="A627" s="36"/>
      <c r="B627" s="36"/>
      <c r="C627" s="36"/>
      <c r="H627" s="36"/>
      <c r="I627" s="36"/>
      <c r="J627" s="36"/>
      <c r="K627" s="36"/>
      <c r="L627" s="36"/>
      <c r="M627" s="36"/>
      <c r="N627" s="36"/>
      <c r="O627" s="36"/>
    </row>
    <row r="628">
      <c r="A628" s="36"/>
      <c r="B628" s="36"/>
      <c r="C628" s="36"/>
      <c r="H628" s="36"/>
      <c r="I628" s="36"/>
      <c r="J628" s="36"/>
      <c r="K628" s="36"/>
      <c r="L628" s="36"/>
      <c r="M628" s="36"/>
      <c r="N628" s="36"/>
      <c r="O628" s="36"/>
    </row>
    <row r="629">
      <c r="A629" s="36"/>
      <c r="B629" s="36"/>
      <c r="C629" s="36"/>
      <c r="H629" s="36"/>
      <c r="I629" s="36"/>
      <c r="J629" s="36"/>
      <c r="K629" s="36"/>
      <c r="L629" s="36"/>
      <c r="M629" s="36"/>
      <c r="N629" s="36"/>
      <c r="O629" s="36"/>
    </row>
    <row r="630">
      <c r="A630" s="36"/>
      <c r="B630" s="36"/>
      <c r="C630" s="36"/>
      <c r="H630" s="36"/>
      <c r="I630" s="36"/>
      <c r="J630" s="36"/>
      <c r="K630" s="36"/>
      <c r="L630" s="36"/>
      <c r="M630" s="36"/>
      <c r="N630" s="36"/>
      <c r="O630" s="36"/>
    </row>
    <row r="631">
      <c r="A631" s="36"/>
      <c r="B631" s="36"/>
      <c r="C631" s="36"/>
      <c r="H631" s="36"/>
      <c r="I631" s="36"/>
      <c r="J631" s="36"/>
      <c r="K631" s="36"/>
      <c r="L631" s="36"/>
      <c r="M631" s="36"/>
      <c r="N631" s="36"/>
      <c r="O631" s="36"/>
    </row>
    <row r="632">
      <c r="A632" s="36"/>
      <c r="B632" s="36"/>
      <c r="C632" s="36"/>
      <c r="H632" s="36"/>
      <c r="I632" s="36"/>
      <c r="J632" s="36"/>
      <c r="K632" s="36"/>
      <c r="L632" s="36"/>
      <c r="M632" s="36"/>
      <c r="N632" s="36"/>
      <c r="O632" s="36"/>
    </row>
    <row r="633">
      <c r="A633" s="36"/>
      <c r="B633" s="36"/>
      <c r="C633" s="36"/>
      <c r="H633" s="36"/>
      <c r="I633" s="36"/>
      <c r="J633" s="36"/>
      <c r="K633" s="36"/>
      <c r="L633" s="36"/>
      <c r="M633" s="36"/>
      <c r="N633" s="36"/>
      <c r="O633" s="36"/>
    </row>
    <row r="634">
      <c r="A634" s="36"/>
      <c r="B634" s="36"/>
      <c r="C634" s="36"/>
      <c r="H634" s="36"/>
      <c r="I634" s="36"/>
      <c r="J634" s="36"/>
      <c r="K634" s="36"/>
      <c r="L634" s="36"/>
      <c r="M634" s="36"/>
      <c r="N634" s="36"/>
      <c r="O634" s="36"/>
    </row>
    <row r="635">
      <c r="A635" s="36"/>
      <c r="B635" s="36"/>
      <c r="C635" s="36"/>
      <c r="H635" s="36"/>
      <c r="I635" s="36"/>
      <c r="J635" s="36"/>
      <c r="K635" s="36"/>
      <c r="L635" s="36"/>
      <c r="M635" s="36"/>
      <c r="N635" s="36"/>
      <c r="O635" s="36"/>
    </row>
    <row r="636">
      <c r="A636" s="36"/>
      <c r="B636" s="36"/>
      <c r="C636" s="36"/>
      <c r="H636" s="36"/>
      <c r="I636" s="36"/>
      <c r="J636" s="36"/>
      <c r="K636" s="36"/>
      <c r="L636" s="36"/>
      <c r="M636" s="36"/>
      <c r="N636" s="36"/>
      <c r="O636" s="36"/>
    </row>
    <row r="637">
      <c r="A637" s="36"/>
      <c r="B637" s="36"/>
      <c r="C637" s="36"/>
      <c r="H637" s="36"/>
      <c r="I637" s="36"/>
      <c r="J637" s="36"/>
      <c r="K637" s="36"/>
      <c r="L637" s="36"/>
      <c r="M637" s="36"/>
      <c r="N637" s="36"/>
      <c r="O637" s="36"/>
    </row>
    <row r="638">
      <c r="A638" s="36"/>
      <c r="B638" s="36"/>
      <c r="C638" s="36"/>
      <c r="H638" s="36"/>
      <c r="I638" s="36"/>
      <c r="J638" s="36"/>
      <c r="K638" s="36"/>
      <c r="L638" s="36"/>
      <c r="M638" s="36"/>
      <c r="N638" s="36"/>
      <c r="O638" s="36"/>
    </row>
    <row r="639">
      <c r="A639" s="36"/>
      <c r="B639" s="36"/>
      <c r="C639" s="36"/>
      <c r="H639" s="36"/>
      <c r="I639" s="36"/>
      <c r="J639" s="36"/>
      <c r="K639" s="36"/>
      <c r="L639" s="36"/>
      <c r="M639" s="36"/>
      <c r="N639" s="36"/>
      <c r="O639" s="36"/>
    </row>
    <row r="640">
      <c r="A640" s="36"/>
      <c r="B640" s="36"/>
      <c r="C640" s="36"/>
      <c r="H640" s="36"/>
      <c r="I640" s="36"/>
      <c r="J640" s="36"/>
      <c r="K640" s="36"/>
      <c r="L640" s="36"/>
      <c r="M640" s="36"/>
      <c r="N640" s="36"/>
      <c r="O640" s="36"/>
    </row>
    <row r="641">
      <c r="A641" s="36"/>
      <c r="B641" s="36"/>
      <c r="C641" s="36"/>
      <c r="H641" s="36"/>
      <c r="I641" s="36"/>
      <c r="J641" s="36"/>
      <c r="K641" s="36"/>
      <c r="L641" s="36"/>
      <c r="M641" s="36"/>
      <c r="N641" s="36"/>
      <c r="O641" s="36"/>
    </row>
    <row r="642">
      <c r="A642" s="36"/>
      <c r="B642" s="36"/>
      <c r="C642" s="36"/>
      <c r="H642" s="36"/>
      <c r="I642" s="36"/>
      <c r="J642" s="36"/>
      <c r="K642" s="36"/>
      <c r="L642" s="36"/>
      <c r="M642" s="36"/>
      <c r="N642" s="36"/>
      <c r="O642" s="36"/>
    </row>
    <row r="643">
      <c r="A643" s="36"/>
      <c r="B643" s="36"/>
      <c r="C643" s="36"/>
      <c r="H643" s="36"/>
      <c r="I643" s="36"/>
      <c r="J643" s="36"/>
      <c r="K643" s="36"/>
      <c r="L643" s="36"/>
      <c r="M643" s="36"/>
      <c r="N643" s="36"/>
      <c r="O643" s="36"/>
    </row>
    <row r="644">
      <c r="A644" s="36"/>
      <c r="B644" s="36"/>
      <c r="C644" s="36"/>
      <c r="H644" s="36"/>
      <c r="I644" s="36"/>
      <c r="J644" s="36"/>
      <c r="K644" s="36"/>
      <c r="L644" s="36"/>
      <c r="M644" s="36"/>
      <c r="N644" s="36"/>
      <c r="O644" s="36"/>
    </row>
    <row r="645">
      <c r="A645" s="36"/>
      <c r="B645" s="36"/>
      <c r="C645" s="36"/>
      <c r="H645" s="36"/>
      <c r="I645" s="36"/>
      <c r="J645" s="36"/>
      <c r="K645" s="36"/>
      <c r="L645" s="36"/>
      <c r="M645" s="36"/>
      <c r="N645" s="36"/>
      <c r="O645" s="36"/>
    </row>
    <row r="646">
      <c r="A646" s="36"/>
      <c r="B646" s="36"/>
      <c r="C646" s="36"/>
      <c r="H646" s="36"/>
      <c r="I646" s="36"/>
      <c r="J646" s="36"/>
      <c r="K646" s="36"/>
      <c r="L646" s="36"/>
      <c r="M646" s="36"/>
      <c r="N646" s="36"/>
      <c r="O646" s="36"/>
    </row>
    <row r="647">
      <c r="A647" s="36"/>
      <c r="B647" s="36"/>
      <c r="C647" s="36"/>
      <c r="H647" s="36"/>
      <c r="I647" s="36"/>
      <c r="J647" s="36"/>
      <c r="K647" s="36"/>
      <c r="L647" s="36"/>
      <c r="M647" s="36"/>
      <c r="N647" s="36"/>
      <c r="O647" s="36"/>
    </row>
    <row r="648">
      <c r="A648" s="36"/>
      <c r="B648" s="36"/>
      <c r="C648" s="36"/>
      <c r="H648" s="36"/>
      <c r="I648" s="36"/>
      <c r="J648" s="36"/>
      <c r="K648" s="36"/>
      <c r="L648" s="36"/>
      <c r="M648" s="36"/>
      <c r="N648" s="36"/>
      <c r="O648" s="36"/>
    </row>
    <row r="649">
      <c r="A649" s="36"/>
      <c r="B649" s="36"/>
      <c r="C649" s="36"/>
      <c r="H649" s="36"/>
      <c r="I649" s="36"/>
      <c r="J649" s="36"/>
      <c r="K649" s="36"/>
      <c r="L649" s="36"/>
      <c r="M649" s="36"/>
      <c r="N649" s="36"/>
      <c r="O649" s="36"/>
    </row>
    <row r="650">
      <c r="A650" s="36"/>
      <c r="B650" s="36"/>
      <c r="C650" s="36"/>
      <c r="H650" s="36"/>
      <c r="I650" s="36"/>
      <c r="J650" s="36"/>
      <c r="K650" s="36"/>
      <c r="L650" s="36"/>
      <c r="M650" s="36"/>
      <c r="N650" s="36"/>
      <c r="O650" s="36"/>
    </row>
    <row r="651">
      <c r="A651" s="36"/>
      <c r="B651" s="36"/>
      <c r="C651" s="36"/>
      <c r="H651" s="36"/>
      <c r="I651" s="36"/>
      <c r="J651" s="36"/>
      <c r="K651" s="36"/>
      <c r="L651" s="36"/>
      <c r="M651" s="36"/>
      <c r="N651" s="36"/>
      <c r="O651" s="36"/>
    </row>
    <row r="652">
      <c r="A652" s="36"/>
      <c r="B652" s="36"/>
      <c r="C652" s="36"/>
      <c r="H652" s="36"/>
      <c r="I652" s="36"/>
      <c r="J652" s="36"/>
      <c r="K652" s="36"/>
      <c r="L652" s="36"/>
      <c r="M652" s="36"/>
      <c r="N652" s="36"/>
      <c r="O652" s="36"/>
    </row>
    <row r="653">
      <c r="A653" s="36"/>
      <c r="B653" s="36"/>
      <c r="C653" s="36"/>
      <c r="H653" s="36"/>
      <c r="I653" s="36"/>
      <c r="J653" s="36"/>
      <c r="K653" s="36"/>
      <c r="L653" s="36"/>
      <c r="M653" s="36"/>
      <c r="N653" s="36"/>
      <c r="O653" s="36"/>
    </row>
    <row r="654">
      <c r="A654" s="36"/>
      <c r="B654" s="36"/>
      <c r="C654" s="36"/>
      <c r="H654" s="36"/>
      <c r="I654" s="36"/>
      <c r="J654" s="36"/>
      <c r="K654" s="36"/>
      <c r="L654" s="36"/>
      <c r="M654" s="36"/>
      <c r="N654" s="36"/>
      <c r="O654" s="36"/>
    </row>
    <row r="655">
      <c r="A655" s="36"/>
      <c r="B655" s="36"/>
      <c r="C655" s="36"/>
      <c r="H655" s="36"/>
      <c r="I655" s="36"/>
      <c r="J655" s="36"/>
      <c r="K655" s="36"/>
      <c r="L655" s="36"/>
      <c r="M655" s="36"/>
      <c r="N655" s="36"/>
      <c r="O655" s="36"/>
    </row>
    <row r="656">
      <c r="A656" s="36"/>
      <c r="B656" s="36"/>
      <c r="C656" s="36"/>
      <c r="H656" s="36"/>
      <c r="I656" s="36"/>
      <c r="J656" s="36"/>
      <c r="K656" s="36"/>
      <c r="L656" s="36"/>
      <c r="M656" s="36"/>
      <c r="N656" s="36"/>
      <c r="O656" s="36"/>
    </row>
    <row r="657">
      <c r="A657" s="36"/>
      <c r="B657" s="36"/>
      <c r="C657" s="36"/>
      <c r="H657" s="36"/>
      <c r="I657" s="36"/>
      <c r="J657" s="36"/>
      <c r="K657" s="36"/>
      <c r="L657" s="36"/>
      <c r="M657" s="36"/>
      <c r="N657" s="36"/>
      <c r="O657" s="36"/>
    </row>
    <row r="658">
      <c r="A658" s="36"/>
      <c r="B658" s="36"/>
      <c r="C658" s="36"/>
      <c r="H658" s="36"/>
      <c r="I658" s="36"/>
      <c r="J658" s="36"/>
      <c r="K658" s="36"/>
      <c r="L658" s="36"/>
      <c r="M658" s="36"/>
      <c r="N658" s="36"/>
      <c r="O658" s="36"/>
    </row>
    <row r="659">
      <c r="A659" s="36"/>
      <c r="B659" s="36"/>
      <c r="C659" s="36"/>
      <c r="H659" s="36"/>
      <c r="I659" s="36"/>
      <c r="J659" s="36"/>
      <c r="K659" s="36"/>
      <c r="L659" s="36"/>
      <c r="M659" s="36"/>
      <c r="N659" s="36"/>
      <c r="O659" s="36"/>
    </row>
    <row r="660">
      <c r="A660" s="36"/>
      <c r="B660" s="36"/>
      <c r="C660" s="36"/>
      <c r="H660" s="36"/>
      <c r="I660" s="36"/>
      <c r="J660" s="36"/>
      <c r="K660" s="36"/>
      <c r="L660" s="36"/>
      <c r="M660" s="36"/>
      <c r="N660" s="36"/>
      <c r="O660" s="36"/>
    </row>
    <row r="661">
      <c r="A661" s="36"/>
      <c r="B661" s="36"/>
      <c r="C661" s="36"/>
      <c r="H661" s="36"/>
      <c r="I661" s="36"/>
      <c r="J661" s="36"/>
      <c r="K661" s="36"/>
      <c r="L661" s="36"/>
      <c r="M661" s="36"/>
      <c r="N661" s="36"/>
      <c r="O661" s="36"/>
    </row>
    <row r="662">
      <c r="A662" s="36"/>
      <c r="B662" s="36"/>
      <c r="C662" s="36"/>
      <c r="H662" s="36"/>
      <c r="I662" s="36"/>
      <c r="J662" s="36"/>
      <c r="K662" s="36"/>
      <c r="L662" s="36"/>
      <c r="M662" s="36"/>
      <c r="N662" s="36"/>
      <c r="O662" s="36"/>
    </row>
    <row r="663">
      <c r="A663" s="36"/>
      <c r="B663" s="36"/>
      <c r="C663" s="36"/>
      <c r="H663" s="36"/>
      <c r="I663" s="36"/>
      <c r="J663" s="36"/>
      <c r="K663" s="36"/>
      <c r="L663" s="36"/>
      <c r="M663" s="36"/>
      <c r="N663" s="36"/>
      <c r="O663" s="36"/>
    </row>
    <row r="664">
      <c r="A664" s="36"/>
      <c r="B664" s="36"/>
      <c r="C664" s="36"/>
      <c r="H664" s="36"/>
      <c r="I664" s="36"/>
      <c r="J664" s="36"/>
      <c r="K664" s="36"/>
      <c r="L664" s="36"/>
      <c r="M664" s="36"/>
      <c r="N664" s="36"/>
      <c r="O664" s="36"/>
    </row>
    <row r="665">
      <c r="A665" s="36"/>
      <c r="B665" s="36"/>
      <c r="C665" s="36"/>
      <c r="H665" s="36"/>
      <c r="I665" s="36"/>
      <c r="J665" s="36"/>
      <c r="K665" s="36"/>
      <c r="L665" s="36"/>
      <c r="M665" s="36"/>
      <c r="N665" s="36"/>
      <c r="O665" s="36"/>
    </row>
    <row r="666">
      <c r="A666" s="36"/>
      <c r="B666" s="36"/>
      <c r="C666" s="36"/>
      <c r="H666" s="36"/>
      <c r="I666" s="36"/>
      <c r="J666" s="36"/>
      <c r="K666" s="36"/>
      <c r="L666" s="36"/>
      <c r="M666" s="36"/>
      <c r="N666" s="36"/>
      <c r="O666" s="36"/>
    </row>
    <row r="667">
      <c r="A667" s="36"/>
      <c r="B667" s="36"/>
      <c r="C667" s="36"/>
      <c r="H667" s="36"/>
      <c r="I667" s="36"/>
      <c r="J667" s="36"/>
      <c r="K667" s="36"/>
      <c r="L667" s="36"/>
      <c r="M667" s="36"/>
      <c r="N667" s="36"/>
      <c r="O667" s="36"/>
    </row>
    <row r="668">
      <c r="A668" s="36"/>
      <c r="B668" s="36"/>
      <c r="C668" s="36"/>
      <c r="H668" s="36"/>
      <c r="I668" s="36"/>
      <c r="J668" s="36"/>
      <c r="K668" s="36"/>
      <c r="L668" s="36"/>
      <c r="M668" s="36"/>
      <c r="N668" s="36"/>
      <c r="O668" s="36"/>
    </row>
    <row r="669">
      <c r="A669" s="36"/>
      <c r="B669" s="36"/>
      <c r="C669" s="36"/>
      <c r="H669" s="36"/>
      <c r="I669" s="36"/>
      <c r="J669" s="36"/>
      <c r="K669" s="36"/>
      <c r="L669" s="36"/>
      <c r="M669" s="36"/>
      <c r="N669" s="36"/>
      <c r="O669" s="36"/>
    </row>
    <row r="670">
      <c r="A670" s="36"/>
      <c r="B670" s="36"/>
      <c r="C670" s="36"/>
      <c r="H670" s="36"/>
      <c r="I670" s="36"/>
      <c r="J670" s="36"/>
      <c r="K670" s="36"/>
      <c r="L670" s="36"/>
      <c r="M670" s="36"/>
      <c r="N670" s="36"/>
      <c r="O670" s="36"/>
    </row>
    <row r="671">
      <c r="A671" s="36"/>
      <c r="B671" s="36"/>
      <c r="C671" s="36"/>
      <c r="H671" s="36"/>
      <c r="I671" s="36"/>
      <c r="J671" s="36"/>
      <c r="K671" s="36"/>
      <c r="L671" s="36"/>
      <c r="M671" s="36"/>
      <c r="N671" s="36"/>
      <c r="O671" s="36"/>
    </row>
    <row r="672">
      <c r="A672" s="36"/>
      <c r="B672" s="36"/>
      <c r="C672" s="36"/>
      <c r="H672" s="36"/>
      <c r="I672" s="36"/>
      <c r="J672" s="36"/>
      <c r="K672" s="36"/>
      <c r="L672" s="36"/>
      <c r="M672" s="36"/>
      <c r="N672" s="36"/>
      <c r="O672" s="36"/>
    </row>
    <row r="673">
      <c r="A673" s="36"/>
      <c r="B673" s="36"/>
      <c r="C673" s="36"/>
      <c r="H673" s="36"/>
      <c r="I673" s="36"/>
      <c r="J673" s="36"/>
      <c r="K673" s="36"/>
      <c r="L673" s="36"/>
      <c r="M673" s="36"/>
      <c r="N673" s="36"/>
      <c r="O673" s="36"/>
    </row>
    <row r="674">
      <c r="A674" s="36"/>
      <c r="B674" s="36"/>
      <c r="C674" s="36"/>
      <c r="H674" s="36"/>
      <c r="I674" s="36"/>
      <c r="J674" s="36"/>
      <c r="K674" s="36"/>
      <c r="L674" s="36"/>
      <c r="M674" s="36"/>
      <c r="N674" s="36"/>
      <c r="O674" s="36"/>
    </row>
    <row r="675">
      <c r="A675" s="36"/>
      <c r="B675" s="36"/>
      <c r="C675" s="36"/>
      <c r="H675" s="36"/>
      <c r="I675" s="36"/>
      <c r="J675" s="36"/>
      <c r="K675" s="36"/>
      <c r="L675" s="36"/>
      <c r="M675" s="36"/>
      <c r="N675" s="36"/>
      <c r="O675" s="36"/>
    </row>
    <row r="676">
      <c r="A676" s="36"/>
      <c r="B676" s="36"/>
      <c r="C676" s="36"/>
      <c r="H676" s="36"/>
      <c r="I676" s="36"/>
      <c r="J676" s="36"/>
      <c r="K676" s="36"/>
      <c r="L676" s="36"/>
      <c r="M676" s="36"/>
      <c r="N676" s="36"/>
      <c r="O676" s="36"/>
    </row>
    <row r="677">
      <c r="A677" s="36"/>
      <c r="B677" s="36"/>
      <c r="C677" s="36"/>
      <c r="H677" s="36"/>
      <c r="I677" s="36"/>
      <c r="J677" s="36"/>
      <c r="K677" s="36"/>
      <c r="L677" s="36"/>
      <c r="M677" s="36"/>
      <c r="N677" s="36"/>
      <c r="O677" s="36"/>
    </row>
    <row r="678">
      <c r="A678" s="36"/>
      <c r="B678" s="36"/>
      <c r="C678" s="36"/>
      <c r="H678" s="36"/>
      <c r="I678" s="36"/>
      <c r="J678" s="36"/>
      <c r="K678" s="36"/>
      <c r="L678" s="36"/>
      <c r="M678" s="36"/>
      <c r="N678" s="36"/>
      <c r="O678" s="36"/>
    </row>
    <row r="679">
      <c r="A679" s="36"/>
      <c r="B679" s="36"/>
      <c r="C679" s="36"/>
      <c r="H679" s="36"/>
      <c r="I679" s="36"/>
      <c r="J679" s="36"/>
      <c r="K679" s="36"/>
      <c r="L679" s="36"/>
      <c r="M679" s="36"/>
      <c r="N679" s="36"/>
      <c r="O679" s="36"/>
    </row>
    <row r="680">
      <c r="A680" s="36"/>
      <c r="B680" s="36"/>
      <c r="C680" s="36"/>
      <c r="H680" s="36"/>
      <c r="I680" s="36"/>
      <c r="J680" s="36"/>
      <c r="K680" s="36"/>
      <c r="L680" s="36"/>
      <c r="M680" s="36"/>
      <c r="N680" s="36"/>
      <c r="O680" s="36"/>
    </row>
    <row r="681">
      <c r="A681" s="36"/>
      <c r="B681" s="36"/>
      <c r="C681" s="36"/>
      <c r="H681" s="36"/>
      <c r="I681" s="36"/>
      <c r="J681" s="36"/>
      <c r="K681" s="36"/>
      <c r="L681" s="36"/>
      <c r="M681" s="36"/>
      <c r="N681" s="36"/>
      <c r="O681" s="36"/>
    </row>
    <row r="682">
      <c r="A682" s="36"/>
      <c r="B682" s="36"/>
      <c r="C682" s="36"/>
      <c r="H682" s="36"/>
      <c r="I682" s="36"/>
      <c r="J682" s="36"/>
      <c r="K682" s="36"/>
      <c r="L682" s="36"/>
      <c r="M682" s="36"/>
      <c r="N682" s="36"/>
      <c r="O682" s="36"/>
    </row>
    <row r="683">
      <c r="A683" s="36"/>
      <c r="B683" s="36"/>
      <c r="C683" s="36"/>
      <c r="H683" s="36"/>
      <c r="I683" s="36"/>
      <c r="J683" s="36"/>
      <c r="K683" s="36"/>
      <c r="L683" s="36"/>
      <c r="M683" s="36"/>
      <c r="N683" s="36"/>
      <c r="O683" s="36"/>
    </row>
    <row r="684">
      <c r="A684" s="36"/>
      <c r="B684" s="36"/>
      <c r="C684" s="36"/>
      <c r="H684" s="36"/>
      <c r="I684" s="36"/>
      <c r="J684" s="36"/>
      <c r="K684" s="36"/>
      <c r="L684" s="36"/>
      <c r="M684" s="36"/>
      <c r="N684" s="36"/>
      <c r="O684" s="36"/>
    </row>
    <row r="685">
      <c r="A685" s="36"/>
      <c r="B685" s="36"/>
      <c r="C685" s="36"/>
      <c r="H685" s="36"/>
      <c r="I685" s="36"/>
      <c r="J685" s="36"/>
      <c r="K685" s="36"/>
      <c r="L685" s="36"/>
      <c r="M685" s="36"/>
      <c r="N685" s="36"/>
      <c r="O685" s="36"/>
    </row>
    <row r="686">
      <c r="A686" s="36"/>
      <c r="B686" s="36"/>
      <c r="C686" s="36"/>
      <c r="H686" s="36"/>
      <c r="I686" s="36"/>
      <c r="J686" s="36"/>
      <c r="K686" s="36"/>
      <c r="L686" s="36"/>
      <c r="M686" s="36"/>
      <c r="N686" s="36"/>
      <c r="O686" s="36"/>
    </row>
    <row r="687">
      <c r="A687" s="36"/>
      <c r="B687" s="36"/>
      <c r="C687" s="36"/>
      <c r="H687" s="36"/>
      <c r="I687" s="36"/>
      <c r="J687" s="36"/>
      <c r="K687" s="36"/>
      <c r="L687" s="36"/>
      <c r="M687" s="36"/>
      <c r="N687" s="36"/>
      <c r="O687" s="36"/>
    </row>
    <row r="688">
      <c r="A688" s="36"/>
      <c r="B688" s="36"/>
      <c r="C688" s="36"/>
      <c r="H688" s="36"/>
      <c r="I688" s="36"/>
      <c r="J688" s="36"/>
      <c r="K688" s="36"/>
      <c r="L688" s="36"/>
      <c r="M688" s="36"/>
      <c r="N688" s="36"/>
      <c r="O688" s="36"/>
    </row>
    <row r="689">
      <c r="A689" s="36"/>
      <c r="B689" s="36"/>
      <c r="C689" s="36"/>
      <c r="H689" s="36"/>
      <c r="I689" s="36"/>
      <c r="J689" s="36"/>
      <c r="K689" s="36"/>
      <c r="L689" s="36"/>
      <c r="M689" s="36"/>
      <c r="N689" s="36"/>
      <c r="O689" s="36"/>
    </row>
    <row r="690">
      <c r="A690" s="36"/>
      <c r="B690" s="36"/>
      <c r="C690" s="36"/>
      <c r="H690" s="36"/>
      <c r="I690" s="36"/>
      <c r="J690" s="36"/>
      <c r="K690" s="36"/>
      <c r="L690" s="36"/>
      <c r="M690" s="36"/>
      <c r="N690" s="36"/>
      <c r="O690" s="36"/>
    </row>
    <row r="691">
      <c r="A691" s="36"/>
      <c r="B691" s="36"/>
      <c r="C691" s="36"/>
      <c r="H691" s="36"/>
      <c r="I691" s="36"/>
      <c r="J691" s="36"/>
      <c r="K691" s="36"/>
      <c r="L691" s="36"/>
      <c r="M691" s="36"/>
      <c r="N691" s="36"/>
      <c r="O691" s="36"/>
    </row>
    <row r="692">
      <c r="A692" s="36"/>
      <c r="B692" s="36"/>
      <c r="C692" s="36"/>
      <c r="H692" s="36"/>
      <c r="I692" s="36"/>
      <c r="J692" s="36"/>
      <c r="K692" s="36"/>
      <c r="L692" s="36"/>
      <c r="M692" s="36"/>
      <c r="N692" s="36"/>
      <c r="O692" s="36"/>
    </row>
    <row r="693">
      <c r="A693" s="36"/>
      <c r="B693" s="36"/>
      <c r="C693" s="36"/>
      <c r="H693" s="36"/>
      <c r="I693" s="36"/>
      <c r="J693" s="36"/>
      <c r="K693" s="36"/>
      <c r="L693" s="36"/>
      <c r="M693" s="36"/>
      <c r="N693" s="36"/>
      <c r="O693" s="36"/>
    </row>
    <row r="694">
      <c r="A694" s="36"/>
      <c r="B694" s="36"/>
      <c r="C694" s="36"/>
      <c r="H694" s="36"/>
      <c r="I694" s="36"/>
      <c r="J694" s="36"/>
      <c r="K694" s="36"/>
      <c r="L694" s="36"/>
      <c r="M694" s="36"/>
      <c r="N694" s="36"/>
      <c r="O694" s="36"/>
    </row>
    <row r="695">
      <c r="A695" s="36"/>
      <c r="B695" s="36"/>
      <c r="C695" s="36"/>
      <c r="H695" s="36"/>
      <c r="I695" s="36"/>
      <c r="J695" s="36"/>
      <c r="K695" s="36"/>
      <c r="L695" s="36"/>
      <c r="M695" s="36"/>
      <c r="N695" s="36"/>
      <c r="O695" s="36"/>
    </row>
    <row r="696">
      <c r="A696" s="36"/>
      <c r="B696" s="36"/>
      <c r="C696" s="36"/>
      <c r="H696" s="36"/>
      <c r="I696" s="36"/>
      <c r="J696" s="36"/>
      <c r="K696" s="36"/>
      <c r="L696" s="36"/>
      <c r="M696" s="36"/>
      <c r="N696" s="36"/>
      <c r="O696" s="36"/>
    </row>
    <row r="697">
      <c r="A697" s="36"/>
      <c r="B697" s="36"/>
      <c r="C697" s="36"/>
      <c r="H697" s="36"/>
      <c r="I697" s="36"/>
      <c r="J697" s="36"/>
      <c r="K697" s="36"/>
      <c r="L697" s="36"/>
      <c r="M697" s="36"/>
      <c r="N697" s="36"/>
      <c r="O697" s="36"/>
    </row>
    <row r="698">
      <c r="A698" s="36"/>
      <c r="B698" s="36"/>
      <c r="C698" s="36"/>
      <c r="H698" s="36"/>
      <c r="I698" s="36"/>
      <c r="J698" s="36"/>
      <c r="K698" s="36"/>
      <c r="L698" s="36"/>
      <c r="M698" s="36"/>
      <c r="N698" s="36"/>
      <c r="O698" s="36"/>
    </row>
    <row r="699">
      <c r="A699" s="36"/>
      <c r="B699" s="36"/>
      <c r="C699" s="36"/>
      <c r="H699" s="36"/>
      <c r="I699" s="36"/>
      <c r="J699" s="36"/>
      <c r="K699" s="36"/>
      <c r="L699" s="36"/>
      <c r="M699" s="36"/>
      <c r="N699" s="36"/>
      <c r="O699" s="36"/>
    </row>
    <row r="700">
      <c r="A700" s="36"/>
      <c r="B700" s="36"/>
      <c r="C700" s="36"/>
      <c r="H700" s="36"/>
      <c r="I700" s="36"/>
      <c r="J700" s="36"/>
      <c r="K700" s="36"/>
      <c r="L700" s="36"/>
      <c r="M700" s="36"/>
      <c r="N700" s="36"/>
      <c r="O700" s="36"/>
    </row>
    <row r="701">
      <c r="A701" s="36"/>
      <c r="B701" s="36"/>
      <c r="C701" s="36"/>
      <c r="H701" s="36"/>
      <c r="I701" s="36"/>
      <c r="J701" s="36"/>
      <c r="K701" s="36"/>
      <c r="L701" s="36"/>
      <c r="M701" s="36"/>
      <c r="N701" s="36"/>
      <c r="O701" s="36"/>
    </row>
    <row r="702">
      <c r="A702" s="36"/>
      <c r="B702" s="36"/>
      <c r="C702" s="36"/>
      <c r="H702" s="36"/>
      <c r="I702" s="36"/>
      <c r="J702" s="36"/>
      <c r="K702" s="36"/>
      <c r="L702" s="36"/>
      <c r="M702" s="36"/>
      <c r="N702" s="36"/>
      <c r="O702" s="36"/>
    </row>
    <row r="703">
      <c r="A703" s="36"/>
      <c r="B703" s="36"/>
      <c r="C703" s="36"/>
      <c r="H703" s="36"/>
      <c r="I703" s="36"/>
      <c r="J703" s="36"/>
      <c r="K703" s="36"/>
      <c r="L703" s="36"/>
      <c r="M703" s="36"/>
      <c r="N703" s="36"/>
      <c r="O703" s="36"/>
    </row>
    <row r="704">
      <c r="A704" s="36"/>
      <c r="B704" s="36"/>
      <c r="C704" s="36"/>
      <c r="H704" s="36"/>
      <c r="I704" s="36"/>
      <c r="J704" s="36"/>
      <c r="K704" s="36"/>
      <c r="L704" s="36"/>
      <c r="M704" s="36"/>
      <c r="N704" s="36"/>
      <c r="O704" s="36"/>
    </row>
    <row r="705">
      <c r="A705" s="36"/>
      <c r="B705" s="36"/>
      <c r="C705" s="36"/>
      <c r="H705" s="36"/>
      <c r="I705" s="36"/>
      <c r="J705" s="36"/>
      <c r="K705" s="36"/>
      <c r="L705" s="36"/>
      <c r="M705" s="36"/>
      <c r="N705" s="36"/>
      <c r="O705" s="36"/>
    </row>
    <row r="706">
      <c r="A706" s="36"/>
      <c r="B706" s="36"/>
      <c r="C706" s="36"/>
      <c r="H706" s="36"/>
      <c r="I706" s="36"/>
      <c r="J706" s="36"/>
      <c r="K706" s="36"/>
      <c r="L706" s="36"/>
      <c r="M706" s="36"/>
      <c r="N706" s="36"/>
      <c r="O706" s="36"/>
    </row>
    <row r="707">
      <c r="A707" s="36"/>
      <c r="B707" s="36"/>
      <c r="C707" s="36"/>
      <c r="H707" s="36"/>
      <c r="I707" s="36"/>
      <c r="J707" s="36"/>
      <c r="K707" s="36"/>
      <c r="L707" s="36"/>
      <c r="M707" s="36"/>
      <c r="N707" s="36"/>
      <c r="O707" s="36"/>
    </row>
    <row r="708">
      <c r="A708" s="36"/>
      <c r="B708" s="36"/>
      <c r="C708" s="36"/>
      <c r="H708" s="36"/>
      <c r="I708" s="36"/>
      <c r="J708" s="36"/>
      <c r="K708" s="36"/>
      <c r="L708" s="36"/>
      <c r="M708" s="36"/>
      <c r="N708" s="36"/>
      <c r="O708" s="36"/>
    </row>
    <row r="709">
      <c r="A709" s="36"/>
      <c r="B709" s="36"/>
      <c r="C709" s="36"/>
      <c r="H709" s="36"/>
      <c r="I709" s="36"/>
      <c r="J709" s="36"/>
      <c r="K709" s="36"/>
      <c r="L709" s="36"/>
      <c r="M709" s="36"/>
      <c r="N709" s="36"/>
      <c r="O709" s="36"/>
    </row>
    <row r="710">
      <c r="A710" s="36"/>
      <c r="B710" s="36"/>
      <c r="C710" s="36"/>
      <c r="H710" s="36"/>
      <c r="I710" s="36"/>
      <c r="J710" s="36"/>
      <c r="K710" s="36"/>
      <c r="L710" s="36"/>
      <c r="M710" s="36"/>
      <c r="N710" s="36"/>
      <c r="O710" s="36"/>
    </row>
    <row r="711">
      <c r="A711" s="36"/>
      <c r="B711" s="36"/>
      <c r="C711" s="36"/>
      <c r="H711" s="36"/>
      <c r="I711" s="36"/>
      <c r="J711" s="36"/>
      <c r="K711" s="36"/>
      <c r="L711" s="36"/>
      <c r="M711" s="36"/>
      <c r="N711" s="36"/>
      <c r="O711" s="36"/>
    </row>
    <row r="712">
      <c r="A712" s="36"/>
      <c r="B712" s="36"/>
      <c r="C712" s="36"/>
      <c r="H712" s="36"/>
      <c r="I712" s="36"/>
      <c r="J712" s="36"/>
      <c r="K712" s="36"/>
      <c r="L712" s="36"/>
      <c r="M712" s="36"/>
      <c r="N712" s="36"/>
      <c r="O712" s="36"/>
    </row>
    <row r="713">
      <c r="A713" s="36"/>
      <c r="B713" s="36"/>
      <c r="C713" s="36"/>
      <c r="H713" s="36"/>
      <c r="I713" s="36"/>
      <c r="J713" s="36"/>
      <c r="K713" s="36"/>
      <c r="L713" s="36"/>
      <c r="M713" s="36"/>
      <c r="N713" s="36"/>
      <c r="O713" s="36"/>
    </row>
    <row r="714">
      <c r="A714" s="36"/>
      <c r="B714" s="36"/>
      <c r="C714" s="36"/>
      <c r="H714" s="36"/>
      <c r="I714" s="36"/>
      <c r="J714" s="36"/>
      <c r="K714" s="36"/>
      <c r="L714" s="36"/>
      <c r="M714" s="36"/>
      <c r="N714" s="36"/>
      <c r="O714" s="36"/>
    </row>
    <row r="715">
      <c r="A715" s="36"/>
      <c r="B715" s="36"/>
      <c r="C715" s="36"/>
      <c r="H715" s="36"/>
      <c r="I715" s="36"/>
      <c r="J715" s="36"/>
      <c r="K715" s="36"/>
      <c r="L715" s="36"/>
      <c r="M715" s="36"/>
      <c r="N715" s="36"/>
      <c r="O715" s="36"/>
    </row>
    <row r="716">
      <c r="A716" s="36"/>
      <c r="B716" s="36"/>
      <c r="C716" s="36"/>
      <c r="H716" s="36"/>
      <c r="I716" s="36"/>
      <c r="J716" s="36"/>
      <c r="K716" s="36"/>
      <c r="L716" s="36"/>
      <c r="M716" s="36"/>
      <c r="N716" s="36"/>
      <c r="O716" s="36"/>
    </row>
    <row r="717">
      <c r="A717" s="36"/>
      <c r="B717" s="36"/>
      <c r="C717" s="36"/>
      <c r="H717" s="36"/>
      <c r="I717" s="36"/>
      <c r="J717" s="36"/>
      <c r="K717" s="36"/>
      <c r="L717" s="36"/>
      <c r="M717" s="36"/>
      <c r="N717" s="36"/>
      <c r="O717" s="36"/>
    </row>
    <row r="718">
      <c r="A718" s="36"/>
      <c r="B718" s="36"/>
      <c r="C718" s="36"/>
      <c r="H718" s="36"/>
      <c r="I718" s="36"/>
      <c r="J718" s="36"/>
      <c r="K718" s="36"/>
      <c r="L718" s="36"/>
      <c r="M718" s="36"/>
      <c r="N718" s="36"/>
      <c r="O718" s="36"/>
    </row>
    <row r="719">
      <c r="A719" s="36"/>
      <c r="B719" s="36"/>
      <c r="C719" s="36"/>
      <c r="H719" s="36"/>
      <c r="I719" s="36"/>
      <c r="J719" s="36"/>
      <c r="K719" s="36"/>
      <c r="L719" s="36"/>
      <c r="M719" s="36"/>
      <c r="N719" s="36"/>
      <c r="O719" s="36"/>
    </row>
    <row r="720">
      <c r="A720" s="36"/>
      <c r="B720" s="36"/>
      <c r="C720" s="36"/>
      <c r="H720" s="36"/>
      <c r="I720" s="36"/>
      <c r="J720" s="36"/>
      <c r="K720" s="36"/>
      <c r="L720" s="36"/>
      <c r="M720" s="36"/>
      <c r="N720" s="36"/>
      <c r="O720" s="36"/>
    </row>
    <row r="721">
      <c r="A721" s="36"/>
      <c r="B721" s="36"/>
      <c r="C721" s="36"/>
      <c r="H721" s="36"/>
      <c r="I721" s="36"/>
      <c r="J721" s="36"/>
      <c r="K721" s="36"/>
      <c r="L721" s="36"/>
      <c r="M721" s="36"/>
      <c r="N721" s="36"/>
      <c r="O721" s="36"/>
    </row>
    <row r="722">
      <c r="A722" s="36"/>
      <c r="B722" s="36"/>
      <c r="C722" s="36"/>
      <c r="H722" s="36"/>
      <c r="I722" s="36"/>
      <c r="J722" s="36"/>
      <c r="K722" s="36"/>
      <c r="L722" s="36"/>
      <c r="M722" s="36"/>
      <c r="N722" s="36"/>
      <c r="O722" s="36"/>
    </row>
    <row r="723">
      <c r="A723" s="36"/>
      <c r="B723" s="36"/>
      <c r="C723" s="36"/>
      <c r="H723" s="36"/>
      <c r="I723" s="36"/>
      <c r="J723" s="36"/>
      <c r="K723" s="36"/>
      <c r="L723" s="36"/>
      <c r="M723" s="36"/>
      <c r="N723" s="36"/>
      <c r="O723" s="36"/>
    </row>
    <row r="724">
      <c r="A724" s="36"/>
      <c r="B724" s="36"/>
      <c r="C724" s="36"/>
      <c r="H724" s="36"/>
      <c r="I724" s="36"/>
      <c r="J724" s="36"/>
      <c r="K724" s="36"/>
      <c r="L724" s="36"/>
      <c r="M724" s="36"/>
      <c r="N724" s="36"/>
      <c r="O724" s="36"/>
    </row>
    <row r="725">
      <c r="A725" s="36"/>
      <c r="B725" s="36"/>
      <c r="C725" s="36"/>
      <c r="H725" s="36"/>
      <c r="I725" s="36"/>
      <c r="J725" s="36"/>
      <c r="K725" s="36"/>
      <c r="L725" s="36"/>
      <c r="M725" s="36"/>
      <c r="N725" s="36"/>
      <c r="O725" s="36"/>
    </row>
    <row r="726">
      <c r="A726" s="36"/>
      <c r="B726" s="36"/>
      <c r="C726" s="36"/>
      <c r="H726" s="36"/>
      <c r="I726" s="36"/>
      <c r="J726" s="36"/>
      <c r="K726" s="36"/>
      <c r="L726" s="36"/>
      <c r="M726" s="36"/>
      <c r="N726" s="36"/>
      <c r="O726" s="36"/>
    </row>
    <row r="727">
      <c r="A727" s="36"/>
      <c r="B727" s="36"/>
      <c r="C727" s="36"/>
      <c r="H727" s="36"/>
      <c r="I727" s="36"/>
      <c r="J727" s="36"/>
      <c r="K727" s="36"/>
      <c r="L727" s="36"/>
      <c r="M727" s="36"/>
      <c r="N727" s="36"/>
      <c r="O727" s="36"/>
    </row>
    <row r="728">
      <c r="A728" s="36"/>
      <c r="B728" s="36"/>
      <c r="C728" s="36"/>
      <c r="H728" s="36"/>
      <c r="I728" s="36"/>
      <c r="J728" s="36"/>
      <c r="K728" s="36"/>
      <c r="L728" s="36"/>
      <c r="M728" s="36"/>
      <c r="N728" s="36"/>
      <c r="O728" s="36"/>
    </row>
    <row r="729">
      <c r="A729" s="36"/>
      <c r="B729" s="36"/>
      <c r="C729" s="36"/>
      <c r="H729" s="36"/>
      <c r="I729" s="36"/>
      <c r="J729" s="36"/>
      <c r="K729" s="36"/>
      <c r="L729" s="36"/>
      <c r="M729" s="36"/>
      <c r="N729" s="36"/>
      <c r="O729" s="36"/>
    </row>
    <row r="730">
      <c r="A730" s="36"/>
      <c r="B730" s="36"/>
      <c r="C730" s="36"/>
      <c r="H730" s="36"/>
      <c r="I730" s="36"/>
      <c r="J730" s="36"/>
      <c r="K730" s="36"/>
      <c r="L730" s="36"/>
      <c r="M730" s="36"/>
      <c r="N730" s="36"/>
      <c r="O730" s="36"/>
    </row>
    <row r="731">
      <c r="A731" s="36"/>
      <c r="B731" s="36"/>
      <c r="C731" s="36"/>
      <c r="H731" s="36"/>
      <c r="I731" s="36"/>
      <c r="J731" s="36"/>
      <c r="K731" s="36"/>
      <c r="L731" s="36"/>
      <c r="M731" s="36"/>
      <c r="N731" s="36"/>
      <c r="O731" s="36"/>
    </row>
    <row r="732">
      <c r="A732" s="36"/>
      <c r="B732" s="36"/>
      <c r="C732" s="36"/>
      <c r="H732" s="36"/>
      <c r="I732" s="36"/>
      <c r="J732" s="36"/>
      <c r="K732" s="36"/>
      <c r="L732" s="36"/>
      <c r="M732" s="36"/>
      <c r="N732" s="36"/>
      <c r="O732" s="36"/>
    </row>
    <row r="733">
      <c r="A733" s="36"/>
      <c r="B733" s="36"/>
      <c r="C733" s="36"/>
      <c r="H733" s="36"/>
      <c r="I733" s="36"/>
      <c r="J733" s="36"/>
      <c r="K733" s="36"/>
      <c r="L733" s="36"/>
      <c r="M733" s="36"/>
      <c r="N733" s="36"/>
      <c r="O733" s="36"/>
    </row>
    <row r="734">
      <c r="A734" s="36"/>
      <c r="B734" s="36"/>
      <c r="C734" s="36"/>
      <c r="H734" s="36"/>
      <c r="I734" s="36"/>
      <c r="J734" s="36"/>
      <c r="K734" s="36"/>
      <c r="L734" s="36"/>
      <c r="M734" s="36"/>
      <c r="N734" s="36"/>
      <c r="O734" s="36"/>
    </row>
    <row r="735">
      <c r="A735" s="36"/>
      <c r="B735" s="36"/>
      <c r="C735" s="36"/>
      <c r="H735" s="36"/>
      <c r="I735" s="36"/>
      <c r="J735" s="36"/>
      <c r="K735" s="36"/>
      <c r="L735" s="36"/>
      <c r="M735" s="36"/>
      <c r="N735" s="36"/>
      <c r="O735" s="36"/>
    </row>
    <row r="736">
      <c r="A736" s="36"/>
      <c r="B736" s="36"/>
      <c r="C736" s="36"/>
      <c r="H736" s="36"/>
      <c r="I736" s="36"/>
      <c r="J736" s="36"/>
      <c r="K736" s="36"/>
      <c r="L736" s="36"/>
      <c r="M736" s="36"/>
      <c r="N736" s="36"/>
      <c r="O736" s="36"/>
    </row>
    <row r="737">
      <c r="A737" s="36"/>
      <c r="B737" s="36"/>
      <c r="C737" s="36"/>
      <c r="H737" s="36"/>
      <c r="I737" s="36"/>
      <c r="J737" s="36"/>
      <c r="K737" s="36"/>
      <c r="L737" s="36"/>
      <c r="M737" s="36"/>
      <c r="N737" s="36"/>
      <c r="O737" s="36"/>
    </row>
    <row r="738">
      <c r="A738" s="36"/>
      <c r="B738" s="36"/>
      <c r="C738" s="36"/>
      <c r="H738" s="36"/>
      <c r="I738" s="36"/>
      <c r="J738" s="36"/>
      <c r="K738" s="36"/>
      <c r="L738" s="36"/>
      <c r="M738" s="36"/>
      <c r="N738" s="36"/>
      <c r="O738" s="36"/>
    </row>
    <row r="739">
      <c r="A739" s="36"/>
      <c r="B739" s="36"/>
      <c r="C739" s="36"/>
      <c r="H739" s="36"/>
      <c r="I739" s="36"/>
      <c r="J739" s="36"/>
      <c r="K739" s="36"/>
      <c r="L739" s="36"/>
      <c r="M739" s="36"/>
      <c r="N739" s="36"/>
      <c r="O739" s="36"/>
    </row>
    <row r="740">
      <c r="A740" s="36"/>
      <c r="B740" s="36"/>
      <c r="C740" s="36"/>
      <c r="H740" s="36"/>
      <c r="I740" s="36"/>
      <c r="J740" s="36"/>
      <c r="K740" s="36"/>
      <c r="L740" s="36"/>
      <c r="M740" s="36"/>
      <c r="N740" s="36"/>
      <c r="O740" s="36"/>
    </row>
    <row r="741">
      <c r="A741" s="36"/>
      <c r="B741" s="36"/>
      <c r="C741" s="36"/>
      <c r="H741" s="36"/>
      <c r="I741" s="36"/>
      <c r="J741" s="36"/>
      <c r="K741" s="36"/>
      <c r="L741" s="36"/>
      <c r="M741" s="36"/>
      <c r="N741" s="36"/>
      <c r="O741" s="36"/>
    </row>
    <row r="742">
      <c r="A742" s="36"/>
      <c r="B742" s="36"/>
      <c r="C742" s="36"/>
      <c r="H742" s="36"/>
      <c r="I742" s="36"/>
      <c r="J742" s="36"/>
      <c r="K742" s="36"/>
      <c r="L742" s="36"/>
      <c r="M742" s="36"/>
      <c r="N742" s="36"/>
      <c r="O742" s="36"/>
    </row>
    <row r="743">
      <c r="A743" s="36"/>
      <c r="B743" s="36"/>
      <c r="C743" s="36"/>
      <c r="H743" s="36"/>
      <c r="I743" s="36"/>
      <c r="J743" s="36"/>
      <c r="K743" s="36"/>
      <c r="L743" s="36"/>
      <c r="M743" s="36"/>
      <c r="N743" s="36"/>
      <c r="O743" s="36"/>
    </row>
    <row r="744">
      <c r="A744" s="36"/>
      <c r="B744" s="36"/>
      <c r="C744" s="36"/>
      <c r="H744" s="36"/>
      <c r="I744" s="36"/>
      <c r="J744" s="36"/>
      <c r="K744" s="36"/>
      <c r="L744" s="36"/>
      <c r="M744" s="36"/>
      <c r="N744" s="36"/>
      <c r="O744" s="36"/>
    </row>
    <row r="745">
      <c r="A745" s="36"/>
      <c r="B745" s="36"/>
      <c r="C745" s="36"/>
      <c r="H745" s="36"/>
      <c r="I745" s="36"/>
      <c r="J745" s="36"/>
      <c r="K745" s="36"/>
      <c r="L745" s="36"/>
      <c r="M745" s="36"/>
      <c r="N745" s="36"/>
      <c r="O745" s="36"/>
    </row>
    <row r="746">
      <c r="A746" s="36"/>
      <c r="B746" s="36"/>
      <c r="C746" s="36"/>
      <c r="H746" s="36"/>
      <c r="I746" s="36"/>
      <c r="J746" s="36"/>
      <c r="K746" s="36"/>
      <c r="L746" s="36"/>
      <c r="M746" s="36"/>
      <c r="N746" s="36"/>
      <c r="O746" s="36"/>
    </row>
    <row r="747">
      <c r="A747" s="36"/>
      <c r="B747" s="36"/>
      <c r="C747" s="36"/>
      <c r="H747" s="36"/>
      <c r="I747" s="36"/>
      <c r="J747" s="36"/>
      <c r="K747" s="36"/>
      <c r="L747" s="36"/>
      <c r="M747" s="36"/>
      <c r="N747" s="36"/>
      <c r="O747" s="36"/>
    </row>
    <row r="748">
      <c r="A748" s="36"/>
      <c r="B748" s="36"/>
      <c r="C748" s="36"/>
      <c r="H748" s="36"/>
      <c r="I748" s="36"/>
      <c r="J748" s="36"/>
      <c r="K748" s="36"/>
      <c r="L748" s="36"/>
      <c r="M748" s="36"/>
      <c r="N748" s="36"/>
      <c r="O748" s="36"/>
    </row>
    <row r="749">
      <c r="A749" s="36"/>
      <c r="B749" s="36"/>
      <c r="C749" s="36"/>
      <c r="H749" s="36"/>
      <c r="I749" s="36"/>
      <c r="J749" s="36"/>
      <c r="K749" s="36"/>
      <c r="L749" s="36"/>
      <c r="M749" s="36"/>
      <c r="N749" s="36"/>
      <c r="O749" s="36"/>
    </row>
    <row r="750">
      <c r="A750" s="36"/>
      <c r="B750" s="36"/>
      <c r="C750" s="36"/>
      <c r="H750" s="36"/>
      <c r="I750" s="36"/>
      <c r="J750" s="36"/>
      <c r="K750" s="36"/>
      <c r="L750" s="36"/>
      <c r="M750" s="36"/>
      <c r="N750" s="36"/>
      <c r="O750" s="36"/>
    </row>
    <row r="751">
      <c r="A751" s="36"/>
      <c r="B751" s="36"/>
      <c r="C751" s="36"/>
      <c r="H751" s="36"/>
      <c r="I751" s="36"/>
      <c r="J751" s="36"/>
      <c r="K751" s="36"/>
      <c r="L751" s="36"/>
      <c r="M751" s="36"/>
      <c r="N751" s="36"/>
      <c r="O751" s="36"/>
    </row>
    <row r="752">
      <c r="A752" s="36"/>
      <c r="B752" s="36"/>
      <c r="C752" s="36"/>
      <c r="H752" s="36"/>
      <c r="I752" s="36"/>
      <c r="J752" s="36"/>
      <c r="K752" s="36"/>
      <c r="L752" s="36"/>
      <c r="M752" s="36"/>
      <c r="N752" s="36"/>
      <c r="O752" s="36"/>
    </row>
    <row r="753">
      <c r="A753" s="36"/>
      <c r="B753" s="36"/>
      <c r="C753" s="36"/>
      <c r="H753" s="36"/>
      <c r="I753" s="36"/>
      <c r="J753" s="36"/>
      <c r="K753" s="36"/>
      <c r="L753" s="36"/>
      <c r="M753" s="36"/>
      <c r="N753" s="36"/>
      <c r="O753" s="36"/>
    </row>
    <row r="754">
      <c r="A754" s="36"/>
      <c r="B754" s="36"/>
      <c r="C754" s="36"/>
      <c r="H754" s="36"/>
      <c r="I754" s="36"/>
      <c r="J754" s="36"/>
      <c r="K754" s="36"/>
      <c r="L754" s="36"/>
      <c r="M754" s="36"/>
      <c r="N754" s="36"/>
      <c r="O754" s="36"/>
    </row>
    <row r="755">
      <c r="A755" s="36"/>
      <c r="B755" s="36"/>
      <c r="C755" s="36"/>
      <c r="H755" s="36"/>
      <c r="I755" s="36"/>
      <c r="J755" s="36"/>
      <c r="K755" s="36"/>
      <c r="L755" s="36"/>
      <c r="M755" s="36"/>
      <c r="N755" s="36"/>
      <c r="O755" s="36"/>
    </row>
    <row r="756">
      <c r="A756" s="36"/>
      <c r="B756" s="36"/>
      <c r="C756" s="36"/>
      <c r="H756" s="36"/>
      <c r="I756" s="36"/>
      <c r="J756" s="36"/>
      <c r="K756" s="36"/>
      <c r="L756" s="36"/>
      <c r="M756" s="36"/>
      <c r="N756" s="36"/>
      <c r="O756" s="36"/>
    </row>
    <row r="757">
      <c r="A757" s="36"/>
      <c r="B757" s="36"/>
      <c r="C757" s="36"/>
      <c r="H757" s="36"/>
      <c r="I757" s="36"/>
      <c r="J757" s="36"/>
      <c r="K757" s="36"/>
      <c r="L757" s="36"/>
      <c r="M757" s="36"/>
      <c r="N757" s="36"/>
      <c r="O757" s="36"/>
    </row>
    <row r="758">
      <c r="A758" s="36"/>
      <c r="B758" s="36"/>
      <c r="C758" s="36"/>
      <c r="H758" s="36"/>
      <c r="I758" s="36"/>
      <c r="J758" s="36"/>
      <c r="K758" s="36"/>
      <c r="L758" s="36"/>
      <c r="M758" s="36"/>
      <c r="N758" s="36"/>
      <c r="O758" s="36"/>
    </row>
    <row r="759">
      <c r="A759" s="36"/>
      <c r="B759" s="36"/>
      <c r="C759" s="36"/>
      <c r="H759" s="36"/>
      <c r="I759" s="36"/>
      <c r="J759" s="36"/>
      <c r="K759" s="36"/>
      <c r="L759" s="36"/>
      <c r="M759" s="36"/>
      <c r="N759" s="36"/>
      <c r="O759" s="36"/>
    </row>
    <row r="760">
      <c r="A760" s="36"/>
      <c r="B760" s="36"/>
      <c r="C760" s="36"/>
      <c r="H760" s="36"/>
      <c r="I760" s="36"/>
      <c r="J760" s="36"/>
      <c r="K760" s="36"/>
      <c r="L760" s="36"/>
      <c r="M760" s="36"/>
      <c r="N760" s="36"/>
      <c r="O760" s="36"/>
    </row>
    <row r="761">
      <c r="A761" s="36"/>
      <c r="B761" s="36"/>
      <c r="C761" s="36"/>
      <c r="H761" s="36"/>
      <c r="I761" s="36"/>
      <c r="J761" s="36"/>
      <c r="K761" s="36"/>
      <c r="L761" s="36"/>
      <c r="M761" s="36"/>
      <c r="N761" s="36"/>
      <c r="O761" s="36"/>
    </row>
    <row r="762">
      <c r="A762" s="36"/>
      <c r="B762" s="36"/>
      <c r="C762" s="36"/>
      <c r="H762" s="36"/>
      <c r="I762" s="36"/>
      <c r="J762" s="36"/>
      <c r="K762" s="36"/>
      <c r="L762" s="36"/>
      <c r="M762" s="36"/>
      <c r="N762" s="36"/>
      <c r="O762" s="36"/>
    </row>
    <row r="763">
      <c r="A763" s="36"/>
      <c r="B763" s="36"/>
      <c r="C763" s="36"/>
      <c r="H763" s="36"/>
      <c r="I763" s="36"/>
      <c r="J763" s="36"/>
      <c r="K763" s="36"/>
      <c r="L763" s="36"/>
      <c r="M763" s="36"/>
      <c r="N763" s="36"/>
      <c r="O763" s="36"/>
    </row>
    <row r="764">
      <c r="A764" s="36"/>
      <c r="B764" s="36"/>
      <c r="C764" s="36"/>
      <c r="H764" s="36"/>
      <c r="I764" s="36"/>
      <c r="J764" s="36"/>
      <c r="K764" s="36"/>
      <c r="L764" s="36"/>
      <c r="M764" s="36"/>
      <c r="N764" s="36"/>
      <c r="O764" s="36"/>
    </row>
    <row r="765">
      <c r="A765" s="36"/>
      <c r="B765" s="36"/>
      <c r="C765" s="36"/>
      <c r="H765" s="36"/>
      <c r="I765" s="36"/>
      <c r="J765" s="36"/>
      <c r="K765" s="36"/>
      <c r="L765" s="36"/>
      <c r="M765" s="36"/>
      <c r="N765" s="36"/>
      <c r="O765" s="36"/>
    </row>
    <row r="766">
      <c r="A766" s="36"/>
      <c r="B766" s="36"/>
      <c r="C766" s="36"/>
      <c r="H766" s="36"/>
      <c r="I766" s="36"/>
      <c r="J766" s="36"/>
      <c r="K766" s="36"/>
      <c r="L766" s="36"/>
      <c r="M766" s="36"/>
      <c r="N766" s="36"/>
      <c r="O766" s="36"/>
    </row>
    <row r="767">
      <c r="A767" s="36"/>
      <c r="B767" s="36"/>
      <c r="C767" s="36"/>
      <c r="H767" s="36"/>
      <c r="I767" s="36"/>
      <c r="J767" s="36"/>
      <c r="K767" s="36"/>
      <c r="L767" s="36"/>
      <c r="M767" s="36"/>
      <c r="N767" s="36"/>
      <c r="O767" s="36"/>
    </row>
    <row r="768">
      <c r="A768" s="36"/>
      <c r="B768" s="36"/>
      <c r="C768" s="36"/>
      <c r="H768" s="36"/>
      <c r="I768" s="36"/>
      <c r="J768" s="36"/>
      <c r="K768" s="36"/>
      <c r="L768" s="36"/>
      <c r="M768" s="36"/>
      <c r="N768" s="36"/>
      <c r="O768" s="36"/>
    </row>
    <row r="769">
      <c r="A769" s="36"/>
      <c r="B769" s="36"/>
      <c r="C769" s="36"/>
      <c r="H769" s="36"/>
      <c r="I769" s="36"/>
      <c r="J769" s="36"/>
      <c r="K769" s="36"/>
      <c r="L769" s="36"/>
      <c r="M769" s="36"/>
      <c r="N769" s="36"/>
      <c r="O769" s="36"/>
    </row>
    <row r="770">
      <c r="A770" s="36"/>
      <c r="B770" s="36"/>
      <c r="C770" s="36"/>
      <c r="H770" s="36"/>
      <c r="I770" s="36"/>
      <c r="J770" s="36"/>
      <c r="K770" s="36"/>
      <c r="L770" s="36"/>
      <c r="M770" s="36"/>
      <c r="N770" s="36"/>
      <c r="O770" s="36"/>
    </row>
    <row r="771">
      <c r="A771" s="36"/>
      <c r="B771" s="36"/>
      <c r="C771" s="36"/>
      <c r="H771" s="36"/>
      <c r="I771" s="36"/>
      <c r="J771" s="36"/>
      <c r="K771" s="36"/>
      <c r="L771" s="36"/>
      <c r="M771" s="36"/>
      <c r="N771" s="36"/>
      <c r="O771" s="36"/>
    </row>
    <row r="772">
      <c r="A772" s="36"/>
      <c r="B772" s="36"/>
      <c r="C772" s="36"/>
      <c r="H772" s="36"/>
      <c r="I772" s="36"/>
      <c r="J772" s="36"/>
      <c r="K772" s="36"/>
      <c r="L772" s="36"/>
      <c r="M772" s="36"/>
      <c r="N772" s="36"/>
      <c r="O772" s="36"/>
    </row>
    <row r="773">
      <c r="A773" s="36"/>
      <c r="B773" s="36"/>
      <c r="C773" s="36"/>
      <c r="H773" s="36"/>
      <c r="I773" s="36"/>
      <c r="J773" s="36"/>
      <c r="K773" s="36"/>
      <c r="L773" s="36"/>
      <c r="M773" s="36"/>
      <c r="N773" s="36"/>
      <c r="O773" s="36"/>
    </row>
    <row r="774">
      <c r="A774" s="36"/>
      <c r="B774" s="36"/>
      <c r="C774" s="36"/>
      <c r="H774" s="36"/>
      <c r="I774" s="36"/>
      <c r="J774" s="36"/>
      <c r="K774" s="36"/>
      <c r="L774" s="36"/>
      <c r="M774" s="36"/>
      <c r="N774" s="36"/>
      <c r="O774" s="36"/>
    </row>
    <row r="775">
      <c r="A775" s="36"/>
      <c r="B775" s="36"/>
      <c r="C775" s="36"/>
      <c r="H775" s="36"/>
      <c r="I775" s="36"/>
      <c r="J775" s="36"/>
      <c r="K775" s="36"/>
      <c r="L775" s="36"/>
      <c r="M775" s="36"/>
      <c r="N775" s="36"/>
      <c r="O775" s="36"/>
    </row>
    <row r="776">
      <c r="A776" s="36"/>
      <c r="B776" s="36"/>
      <c r="C776" s="36"/>
      <c r="H776" s="36"/>
      <c r="I776" s="36"/>
      <c r="J776" s="36"/>
      <c r="K776" s="36"/>
      <c r="L776" s="36"/>
      <c r="M776" s="36"/>
      <c r="N776" s="36"/>
      <c r="O776" s="36"/>
    </row>
    <row r="777">
      <c r="A777" s="36"/>
      <c r="B777" s="36"/>
      <c r="C777" s="36"/>
      <c r="H777" s="36"/>
      <c r="I777" s="36"/>
      <c r="J777" s="36"/>
      <c r="K777" s="36"/>
      <c r="L777" s="36"/>
      <c r="M777" s="36"/>
      <c r="N777" s="36"/>
      <c r="O777" s="36"/>
    </row>
    <row r="778">
      <c r="A778" s="36"/>
      <c r="B778" s="36"/>
      <c r="C778" s="36"/>
      <c r="H778" s="36"/>
      <c r="I778" s="36"/>
      <c r="J778" s="36"/>
      <c r="K778" s="36"/>
      <c r="L778" s="36"/>
      <c r="M778" s="36"/>
      <c r="N778" s="36"/>
      <c r="O778" s="36"/>
    </row>
    <row r="779">
      <c r="A779" s="36"/>
      <c r="B779" s="36"/>
      <c r="C779" s="36"/>
      <c r="H779" s="36"/>
      <c r="I779" s="36"/>
      <c r="J779" s="36"/>
      <c r="K779" s="36"/>
      <c r="L779" s="36"/>
      <c r="M779" s="36"/>
      <c r="N779" s="36"/>
      <c r="O779" s="36"/>
    </row>
    <row r="780">
      <c r="A780" s="36"/>
      <c r="B780" s="36"/>
      <c r="C780" s="36"/>
      <c r="H780" s="36"/>
      <c r="I780" s="36"/>
      <c r="J780" s="36"/>
      <c r="K780" s="36"/>
      <c r="L780" s="36"/>
      <c r="M780" s="36"/>
      <c r="N780" s="36"/>
      <c r="O780" s="36"/>
    </row>
    <row r="781">
      <c r="A781" s="36"/>
      <c r="B781" s="36"/>
      <c r="C781" s="36"/>
      <c r="H781" s="36"/>
      <c r="I781" s="36"/>
      <c r="J781" s="36"/>
      <c r="K781" s="36"/>
      <c r="L781" s="36"/>
      <c r="M781" s="36"/>
      <c r="N781" s="36"/>
      <c r="O781" s="36"/>
    </row>
    <row r="782">
      <c r="A782" s="36"/>
      <c r="B782" s="36"/>
      <c r="C782" s="36"/>
      <c r="H782" s="36"/>
      <c r="I782" s="36"/>
      <c r="J782" s="36"/>
      <c r="K782" s="36"/>
      <c r="L782" s="36"/>
      <c r="M782" s="36"/>
      <c r="N782" s="36"/>
      <c r="O782" s="36"/>
    </row>
    <row r="783">
      <c r="A783" s="36"/>
      <c r="B783" s="36"/>
      <c r="C783" s="36"/>
      <c r="H783" s="36"/>
      <c r="I783" s="36"/>
      <c r="J783" s="36"/>
      <c r="K783" s="36"/>
      <c r="L783" s="36"/>
      <c r="M783" s="36"/>
      <c r="N783" s="36"/>
      <c r="O783" s="36"/>
    </row>
    <row r="784">
      <c r="A784" s="36"/>
      <c r="B784" s="36"/>
      <c r="C784" s="36"/>
      <c r="H784" s="36"/>
      <c r="I784" s="36"/>
      <c r="J784" s="36"/>
      <c r="K784" s="36"/>
      <c r="L784" s="36"/>
      <c r="M784" s="36"/>
      <c r="N784" s="36"/>
      <c r="O784" s="36"/>
    </row>
    <row r="785">
      <c r="A785" s="36"/>
      <c r="B785" s="36"/>
      <c r="C785" s="36"/>
      <c r="H785" s="36"/>
      <c r="I785" s="36"/>
      <c r="J785" s="36"/>
      <c r="K785" s="36"/>
      <c r="L785" s="36"/>
      <c r="M785" s="36"/>
      <c r="N785" s="36"/>
      <c r="O785" s="36"/>
    </row>
    <row r="786">
      <c r="A786" s="36"/>
      <c r="B786" s="36"/>
      <c r="C786" s="36"/>
      <c r="H786" s="36"/>
      <c r="I786" s="36"/>
      <c r="J786" s="36"/>
      <c r="K786" s="36"/>
      <c r="L786" s="36"/>
      <c r="M786" s="36"/>
      <c r="N786" s="36"/>
      <c r="O786" s="36"/>
    </row>
    <row r="787">
      <c r="A787" s="36"/>
      <c r="B787" s="36"/>
      <c r="C787" s="36"/>
      <c r="H787" s="36"/>
      <c r="I787" s="36"/>
      <c r="J787" s="36"/>
      <c r="K787" s="36"/>
      <c r="L787" s="36"/>
      <c r="M787" s="36"/>
      <c r="N787" s="36"/>
      <c r="O787" s="36"/>
    </row>
    <row r="788">
      <c r="A788" s="36"/>
      <c r="B788" s="36"/>
      <c r="C788" s="36"/>
      <c r="H788" s="36"/>
      <c r="I788" s="36"/>
      <c r="J788" s="36"/>
      <c r="K788" s="36"/>
      <c r="L788" s="36"/>
      <c r="M788" s="36"/>
      <c r="N788" s="36"/>
      <c r="O788" s="36"/>
    </row>
    <row r="789">
      <c r="A789" s="36"/>
      <c r="B789" s="36"/>
      <c r="C789" s="36"/>
      <c r="H789" s="36"/>
      <c r="I789" s="36"/>
      <c r="J789" s="36"/>
      <c r="K789" s="36"/>
      <c r="L789" s="36"/>
      <c r="M789" s="36"/>
      <c r="N789" s="36"/>
      <c r="O789" s="36"/>
    </row>
    <row r="790">
      <c r="A790" s="36"/>
      <c r="B790" s="36"/>
      <c r="C790" s="36"/>
      <c r="H790" s="36"/>
      <c r="I790" s="36"/>
      <c r="J790" s="36"/>
      <c r="K790" s="36"/>
      <c r="L790" s="36"/>
      <c r="M790" s="36"/>
      <c r="N790" s="36"/>
      <c r="O790" s="36"/>
    </row>
    <row r="791">
      <c r="A791" s="36"/>
      <c r="B791" s="36"/>
      <c r="C791" s="36"/>
      <c r="H791" s="36"/>
      <c r="I791" s="36"/>
      <c r="J791" s="36"/>
      <c r="K791" s="36"/>
      <c r="L791" s="36"/>
      <c r="M791" s="36"/>
      <c r="N791" s="36"/>
      <c r="O791" s="36"/>
    </row>
    <row r="792">
      <c r="A792" s="36"/>
      <c r="B792" s="36"/>
      <c r="C792" s="36"/>
      <c r="H792" s="36"/>
      <c r="I792" s="36"/>
      <c r="J792" s="36"/>
      <c r="K792" s="36"/>
      <c r="L792" s="36"/>
      <c r="M792" s="36"/>
      <c r="N792" s="36"/>
      <c r="O792" s="36"/>
    </row>
    <row r="793">
      <c r="A793" s="36"/>
      <c r="B793" s="36"/>
      <c r="C793" s="36"/>
      <c r="H793" s="36"/>
      <c r="I793" s="36"/>
      <c r="J793" s="36"/>
      <c r="K793" s="36"/>
      <c r="L793" s="36"/>
      <c r="M793" s="36"/>
      <c r="N793" s="36"/>
      <c r="O793" s="36"/>
    </row>
    <row r="794">
      <c r="A794" s="36"/>
      <c r="B794" s="36"/>
      <c r="C794" s="36"/>
      <c r="H794" s="36"/>
      <c r="I794" s="36"/>
      <c r="J794" s="36"/>
      <c r="K794" s="36"/>
      <c r="L794" s="36"/>
      <c r="M794" s="36"/>
      <c r="N794" s="36"/>
      <c r="O794" s="36"/>
    </row>
    <row r="795">
      <c r="A795" s="36"/>
      <c r="B795" s="36"/>
      <c r="C795" s="36"/>
      <c r="H795" s="36"/>
      <c r="I795" s="36"/>
      <c r="J795" s="36"/>
      <c r="K795" s="36"/>
      <c r="L795" s="36"/>
      <c r="M795" s="36"/>
      <c r="N795" s="36"/>
      <c r="O795" s="36"/>
    </row>
    <row r="796">
      <c r="A796" s="36"/>
      <c r="B796" s="36"/>
      <c r="C796" s="36"/>
      <c r="H796" s="36"/>
      <c r="I796" s="36"/>
      <c r="J796" s="36"/>
      <c r="K796" s="36"/>
      <c r="L796" s="36"/>
      <c r="M796" s="36"/>
      <c r="N796" s="36"/>
      <c r="O796" s="36"/>
    </row>
    <row r="797">
      <c r="A797" s="36"/>
      <c r="B797" s="36"/>
      <c r="C797" s="36"/>
      <c r="H797" s="36"/>
      <c r="I797" s="36"/>
      <c r="J797" s="36"/>
      <c r="K797" s="36"/>
      <c r="L797" s="36"/>
      <c r="M797" s="36"/>
      <c r="N797" s="36"/>
      <c r="O797" s="36"/>
    </row>
    <row r="798">
      <c r="A798" s="36"/>
      <c r="B798" s="36"/>
      <c r="C798" s="36"/>
      <c r="H798" s="36"/>
      <c r="I798" s="36"/>
      <c r="J798" s="36"/>
      <c r="K798" s="36"/>
      <c r="L798" s="36"/>
      <c r="M798" s="36"/>
      <c r="N798" s="36"/>
      <c r="O798" s="36"/>
    </row>
    <row r="799">
      <c r="A799" s="36"/>
      <c r="B799" s="36"/>
      <c r="C799" s="36"/>
      <c r="H799" s="36"/>
      <c r="I799" s="36"/>
      <c r="J799" s="36"/>
      <c r="K799" s="36"/>
      <c r="L799" s="36"/>
      <c r="M799" s="36"/>
      <c r="N799" s="36"/>
      <c r="O799" s="36"/>
    </row>
    <row r="800">
      <c r="A800" s="36"/>
      <c r="B800" s="36"/>
      <c r="C800" s="36"/>
      <c r="H800" s="36"/>
      <c r="I800" s="36"/>
      <c r="J800" s="36"/>
      <c r="K800" s="36"/>
      <c r="L800" s="36"/>
      <c r="M800" s="36"/>
      <c r="N800" s="36"/>
      <c r="O800" s="36"/>
    </row>
    <row r="801">
      <c r="A801" s="36"/>
      <c r="B801" s="36"/>
      <c r="C801" s="36"/>
      <c r="H801" s="36"/>
      <c r="I801" s="36"/>
      <c r="J801" s="36"/>
      <c r="K801" s="36"/>
      <c r="L801" s="36"/>
      <c r="M801" s="36"/>
      <c r="N801" s="36"/>
      <c r="O801" s="36"/>
    </row>
    <row r="802">
      <c r="A802" s="36"/>
      <c r="B802" s="36"/>
      <c r="C802" s="36"/>
      <c r="H802" s="36"/>
      <c r="I802" s="36"/>
      <c r="J802" s="36"/>
      <c r="K802" s="36"/>
      <c r="L802" s="36"/>
      <c r="M802" s="36"/>
      <c r="N802" s="36"/>
      <c r="O802" s="36"/>
    </row>
    <row r="803">
      <c r="A803" s="36"/>
      <c r="B803" s="36"/>
      <c r="C803" s="36"/>
      <c r="H803" s="36"/>
      <c r="I803" s="36"/>
      <c r="J803" s="36"/>
      <c r="K803" s="36"/>
      <c r="L803" s="36"/>
      <c r="M803" s="36"/>
      <c r="N803" s="36"/>
      <c r="O803" s="36"/>
    </row>
    <row r="804">
      <c r="A804" s="36"/>
      <c r="B804" s="36"/>
      <c r="C804" s="36"/>
      <c r="H804" s="36"/>
      <c r="I804" s="36"/>
      <c r="J804" s="36"/>
      <c r="K804" s="36"/>
      <c r="L804" s="36"/>
      <c r="M804" s="36"/>
      <c r="N804" s="36"/>
      <c r="O804" s="36"/>
    </row>
    <row r="805">
      <c r="A805" s="36"/>
      <c r="B805" s="36"/>
      <c r="C805" s="36"/>
      <c r="H805" s="36"/>
      <c r="I805" s="36"/>
      <c r="J805" s="36"/>
      <c r="K805" s="36"/>
      <c r="L805" s="36"/>
      <c r="M805" s="36"/>
      <c r="N805" s="36"/>
      <c r="O805" s="36"/>
    </row>
    <row r="806">
      <c r="A806" s="36"/>
      <c r="B806" s="36"/>
      <c r="C806" s="36"/>
      <c r="H806" s="36"/>
      <c r="I806" s="36"/>
      <c r="J806" s="36"/>
      <c r="K806" s="36"/>
      <c r="L806" s="36"/>
      <c r="M806" s="36"/>
      <c r="N806" s="36"/>
      <c r="O806" s="36"/>
    </row>
    <row r="807">
      <c r="A807" s="36"/>
      <c r="B807" s="36"/>
      <c r="C807" s="36"/>
      <c r="H807" s="36"/>
      <c r="I807" s="36"/>
      <c r="J807" s="36"/>
      <c r="K807" s="36"/>
      <c r="L807" s="36"/>
      <c r="M807" s="36"/>
      <c r="N807" s="36"/>
      <c r="O807" s="36"/>
    </row>
    <row r="808">
      <c r="A808" s="36"/>
      <c r="B808" s="36"/>
      <c r="C808" s="36"/>
      <c r="H808" s="36"/>
      <c r="I808" s="36"/>
      <c r="J808" s="36"/>
      <c r="K808" s="36"/>
      <c r="L808" s="36"/>
      <c r="M808" s="36"/>
      <c r="N808" s="36"/>
      <c r="O808" s="36"/>
    </row>
    <row r="809">
      <c r="A809" s="36"/>
      <c r="B809" s="36"/>
      <c r="C809" s="36"/>
      <c r="H809" s="36"/>
      <c r="I809" s="36"/>
      <c r="J809" s="36"/>
      <c r="K809" s="36"/>
      <c r="L809" s="36"/>
      <c r="M809" s="36"/>
      <c r="N809" s="36"/>
      <c r="O809" s="36"/>
    </row>
    <row r="810">
      <c r="A810" s="36"/>
      <c r="B810" s="36"/>
      <c r="C810" s="36"/>
      <c r="H810" s="36"/>
      <c r="I810" s="36"/>
      <c r="J810" s="36"/>
      <c r="K810" s="36"/>
      <c r="L810" s="36"/>
      <c r="M810" s="36"/>
      <c r="N810" s="36"/>
      <c r="O810" s="36"/>
    </row>
    <row r="811">
      <c r="A811" s="36"/>
      <c r="B811" s="36"/>
      <c r="C811" s="36"/>
      <c r="H811" s="36"/>
      <c r="I811" s="36"/>
      <c r="J811" s="36"/>
      <c r="K811" s="36"/>
      <c r="L811" s="36"/>
      <c r="M811" s="36"/>
      <c r="N811" s="36"/>
      <c r="O811" s="36"/>
    </row>
    <row r="812">
      <c r="A812" s="36"/>
      <c r="B812" s="36"/>
      <c r="C812" s="36"/>
      <c r="H812" s="36"/>
      <c r="I812" s="36"/>
      <c r="J812" s="36"/>
      <c r="K812" s="36"/>
      <c r="L812" s="36"/>
      <c r="M812" s="36"/>
      <c r="N812" s="36"/>
      <c r="O812" s="36"/>
    </row>
    <row r="813">
      <c r="A813" s="36"/>
      <c r="B813" s="36"/>
      <c r="C813" s="36"/>
      <c r="H813" s="36"/>
      <c r="I813" s="36"/>
      <c r="J813" s="36"/>
      <c r="K813" s="36"/>
      <c r="L813" s="36"/>
      <c r="M813" s="36"/>
      <c r="N813" s="36"/>
      <c r="O813" s="36"/>
    </row>
    <row r="814">
      <c r="A814" s="36"/>
      <c r="B814" s="36"/>
      <c r="C814" s="36"/>
      <c r="H814" s="36"/>
      <c r="I814" s="36"/>
      <c r="J814" s="36"/>
      <c r="K814" s="36"/>
      <c r="L814" s="36"/>
      <c r="M814" s="36"/>
      <c r="N814" s="36"/>
      <c r="O814" s="36"/>
    </row>
    <row r="815">
      <c r="A815" s="36"/>
      <c r="B815" s="36"/>
      <c r="C815" s="36"/>
      <c r="H815" s="36"/>
      <c r="I815" s="36"/>
      <c r="J815" s="36"/>
      <c r="K815" s="36"/>
      <c r="L815" s="36"/>
      <c r="M815" s="36"/>
      <c r="N815" s="36"/>
      <c r="O815" s="36"/>
    </row>
    <row r="816">
      <c r="A816" s="36"/>
      <c r="B816" s="36"/>
      <c r="C816" s="36"/>
      <c r="H816" s="36"/>
      <c r="I816" s="36"/>
      <c r="J816" s="36"/>
      <c r="K816" s="36"/>
      <c r="L816" s="36"/>
      <c r="M816" s="36"/>
      <c r="N816" s="36"/>
      <c r="O816" s="36"/>
    </row>
    <row r="817">
      <c r="A817" s="36"/>
      <c r="B817" s="36"/>
      <c r="C817" s="36"/>
      <c r="H817" s="36"/>
      <c r="I817" s="36"/>
      <c r="J817" s="36"/>
      <c r="K817" s="36"/>
      <c r="L817" s="36"/>
      <c r="M817" s="36"/>
      <c r="N817" s="36"/>
      <c r="O817" s="36"/>
    </row>
    <row r="818">
      <c r="A818" s="36"/>
      <c r="B818" s="36"/>
      <c r="C818" s="36"/>
      <c r="H818" s="36"/>
      <c r="I818" s="36"/>
      <c r="J818" s="36"/>
      <c r="K818" s="36"/>
      <c r="L818" s="36"/>
      <c r="M818" s="36"/>
      <c r="N818" s="36"/>
      <c r="O818" s="36"/>
    </row>
    <row r="819">
      <c r="A819" s="36"/>
      <c r="B819" s="36"/>
      <c r="C819" s="36"/>
      <c r="H819" s="36"/>
      <c r="I819" s="36"/>
      <c r="J819" s="36"/>
      <c r="K819" s="36"/>
      <c r="L819" s="36"/>
      <c r="M819" s="36"/>
      <c r="N819" s="36"/>
      <c r="O819" s="36"/>
    </row>
    <row r="820">
      <c r="A820" s="36"/>
      <c r="B820" s="36"/>
      <c r="C820" s="36"/>
      <c r="H820" s="36"/>
      <c r="I820" s="36"/>
      <c r="J820" s="36"/>
      <c r="K820" s="36"/>
      <c r="L820" s="36"/>
      <c r="M820" s="36"/>
      <c r="N820" s="36"/>
      <c r="O820" s="36"/>
    </row>
    <row r="821">
      <c r="A821" s="36"/>
      <c r="B821" s="36"/>
      <c r="C821" s="36"/>
      <c r="H821" s="36"/>
      <c r="I821" s="36"/>
      <c r="J821" s="36"/>
      <c r="K821" s="36"/>
      <c r="L821" s="36"/>
      <c r="M821" s="36"/>
      <c r="N821" s="36"/>
      <c r="O821" s="36"/>
    </row>
    <row r="822">
      <c r="A822" s="36"/>
      <c r="B822" s="36"/>
      <c r="C822" s="36"/>
      <c r="H822" s="36"/>
      <c r="I822" s="36"/>
      <c r="J822" s="36"/>
      <c r="K822" s="36"/>
      <c r="L822" s="36"/>
      <c r="M822" s="36"/>
      <c r="N822" s="36"/>
      <c r="O822" s="36"/>
    </row>
    <row r="823">
      <c r="A823" s="36"/>
      <c r="B823" s="36"/>
      <c r="C823" s="36"/>
      <c r="H823" s="36"/>
      <c r="I823" s="36"/>
      <c r="J823" s="36"/>
      <c r="K823" s="36"/>
      <c r="L823" s="36"/>
      <c r="M823" s="36"/>
      <c r="N823" s="36"/>
      <c r="O823" s="36"/>
    </row>
    <row r="824">
      <c r="A824" s="36"/>
      <c r="B824" s="36"/>
      <c r="C824" s="36"/>
      <c r="H824" s="36"/>
      <c r="I824" s="36"/>
      <c r="J824" s="36"/>
      <c r="K824" s="36"/>
      <c r="L824" s="36"/>
      <c r="M824" s="36"/>
      <c r="N824" s="36"/>
      <c r="O824" s="36"/>
    </row>
    <row r="825">
      <c r="A825" s="36"/>
      <c r="B825" s="36"/>
      <c r="C825" s="36"/>
      <c r="H825" s="36"/>
      <c r="I825" s="36"/>
      <c r="J825" s="36"/>
      <c r="K825" s="36"/>
      <c r="L825" s="36"/>
      <c r="M825" s="36"/>
      <c r="N825" s="36"/>
      <c r="O825" s="36"/>
    </row>
    <row r="826">
      <c r="A826" s="36"/>
      <c r="B826" s="36"/>
      <c r="C826" s="36"/>
      <c r="H826" s="36"/>
      <c r="I826" s="36"/>
      <c r="J826" s="36"/>
      <c r="K826" s="36"/>
      <c r="L826" s="36"/>
      <c r="M826" s="36"/>
      <c r="N826" s="36"/>
      <c r="O826" s="36"/>
    </row>
    <row r="827">
      <c r="A827" s="36"/>
      <c r="B827" s="36"/>
      <c r="C827" s="36"/>
      <c r="H827" s="36"/>
      <c r="I827" s="36"/>
      <c r="J827" s="36"/>
      <c r="K827" s="36"/>
      <c r="L827" s="36"/>
      <c r="M827" s="36"/>
      <c r="N827" s="36"/>
      <c r="O827" s="36"/>
    </row>
    <row r="828">
      <c r="A828" s="36"/>
      <c r="B828" s="36"/>
      <c r="C828" s="36"/>
      <c r="H828" s="36"/>
      <c r="I828" s="36"/>
      <c r="J828" s="36"/>
      <c r="K828" s="36"/>
      <c r="L828" s="36"/>
      <c r="M828" s="36"/>
      <c r="N828" s="36"/>
      <c r="O828" s="36"/>
    </row>
    <row r="829">
      <c r="A829" s="36"/>
      <c r="B829" s="36"/>
      <c r="C829" s="36"/>
      <c r="H829" s="36"/>
      <c r="I829" s="36"/>
      <c r="J829" s="36"/>
      <c r="K829" s="36"/>
      <c r="L829" s="36"/>
      <c r="M829" s="36"/>
      <c r="N829" s="36"/>
      <c r="O829" s="36"/>
    </row>
    <row r="830">
      <c r="A830" s="36"/>
      <c r="B830" s="36"/>
      <c r="C830" s="36"/>
      <c r="H830" s="36"/>
      <c r="I830" s="36"/>
      <c r="J830" s="36"/>
      <c r="K830" s="36"/>
      <c r="L830" s="36"/>
      <c r="M830" s="36"/>
      <c r="N830" s="36"/>
      <c r="O830" s="36"/>
    </row>
    <row r="831">
      <c r="A831" s="36"/>
      <c r="B831" s="36"/>
      <c r="C831" s="36"/>
      <c r="H831" s="36"/>
      <c r="I831" s="36"/>
      <c r="J831" s="36"/>
      <c r="K831" s="36"/>
      <c r="L831" s="36"/>
      <c r="M831" s="36"/>
      <c r="N831" s="36"/>
      <c r="O831" s="36"/>
    </row>
    <row r="832">
      <c r="A832" s="36"/>
      <c r="B832" s="36"/>
      <c r="C832" s="36"/>
      <c r="H832" s="36"/>
      <c r="I832" s="36"/>
      <c r="J832" s="36"/>
      <c r="K832" s="36"/>
      <c r="L832" s="36"/>
      <c r="M832" s="36"/>
      <c r="N832" s="36"/>
      <c r="O832" s="36"/>
    </row>
    <row r="833">
      <c r="A833" s="36"/>
      <c r="B833" s="36"/>
      <c r="C833" s="36"/>
      <c r="H833" s="36"/>
      <c r="I833" s="36"/>
      <c r="J833" s="36"/>
      <c r="K833" s="36"/>
      <c r="L833" s="36"/>
      <c r="M833" s="36"/>
      <c r="N833" s="36"/>
      <c r="O833" s="36"/>
    </row>
    <row r="834">
      <c r="A834" s="36"/>
      <c r="B834" s="36"/>
      <c r="C834" s="36"/>
      <c r="H834" s="36"/>
      <c r="I834" s="36"/>
      <c r="J834" s="36"/>
      <c r="K834" s="36"/>
      <c r="L834" s="36"/>
      <c r="M834" s="36"/>
      <c r="N834" s="36"/>
      <c r="O834" s="36"/>
    </row>
    <row r="835">
      <c r="A835" s="36"/>
      <c r="B835" s="36"/>
      <c r="C835" s="36"/>
      <c r="H835" s="36"/>
      <c r="I835" s="36"/>
      <c r="J835" s="36"/>
      <c r="K835" s="36"/>
      <c r="L835" s="36"/>
      <c r="M835" s="36"/>
      <c r="N835" s="36"/>
      <c r="O835" s="36"/>
    </row>
    <row r="836">
      <c r="A836" s="36"/>
      <c r="B836" s="36"/>
      <c r="C836" s="36"/>
      <c r="H836" s="36"/>
      <c r="I836" s="36"/>
      <c r="J836" s="36"/>
      <c r="K836" s="36"/>
      <c r="L836" s="36"/>
      <c r="M836" s="36"/>
      <c r="N836" s="36"/>
      <c r="O836" s="36"/>
    </row>
    <row r="837">
      <c r="A837" s="36"/>
      <c r="B837" s="36"/>
      <c r="C837" s="36"/>
      <c r="H837" s="36"/>
      <c r="I837" s="36"/>
      <c r="J837" s="36"/>
      <c r="K837" s="36"/>
      <c r="L837" s="36"/>
      <c r="M837" s="36"/>
      <c r="N837" s="36"/>
      <c r="O837" s="36"/>
    </row>
    <row r="838">
      <c r="A838" s="36"/>
      <c r="B838" s="36"/>
      <c r="C838" s="36"/>
      <c r="H838" s="36"/>
      <c r="I838" s="36"/>
      <c r="J838" s="36"/>
      <c r="K838" s="36"/>
      <c r="L838" s="36"/>
      <c r="M838" s="36"/>
      <c r="N838" s="36"/>
      <c r="O838" s="36"/>
    </row>
    <row r="839">
      <c r="A839" s="36"/>
      <c r="B839" s="36"/>
      <c r="C839" s="36"/>
      <c r="H839" s="36"/>
      <c r="I839" s="36"/>
      <c r="J839" s="36"/>
      <c r="K839" s="36"/>
      <c r="L839" s="36"/>
      <c r="M839" s="36"/>
      <c r="N839" s="36"/>
      <c r="O839" s="36"/>
    </row>
    <row r="840">
      <c r="A840" s="36"/>
      <c r="B840" s="36"/>
      <c r="C840" s="36"/>
      <c r="H840" s="36"/>
      <c r="I840" s="36"/>
      <c r="J840" s="36"/>
      <c r="K840" s="36"/>
      <c r="L840" s="36"/>
      <c r="M840" s="36"/>
      <c r="N840" s="36"/>
      <c r="O840" s="36"/>
    </row>
    <row r="841">
      <c r="A841" s="36"/>
      <c r="B841" s="36"/>
      <c r="C841" s="36"/>
      <c r="H841" s="36"/>
      <c r="I841" s="36"/>
      <c r="J841" s="36"/>
      <c r="K841" s="36"/>
      <c r="L841" s="36"/>
      <c r="M841" s="36"/>
      <c r="N841" s="36"/>
      <c r="O841" s="36"/>
    </row>
    <row r="842">
      <c r="A842" s="36"/>
      <c r="B842" s="36"/>
      <c r="C842" s="36"/>
      <c r="H842" s="36"/>
      <c r="I842" s="36"/>
      <c r="J842" s="36"/>
      <c r="K842" s="36"/>
      <c r="L842" s="36"/>
      <c r="M842" s="36"/>
      <c r="N842" s="36"/>
      <c r="O842" s="36"/>
    </row>
    <row r="843">
      <c r="A843" s="36"/>
      <c r="B843" s="36"/>
      <c r="C843" s="36"/>
      <c r="H843" s="36"/>
      <c r="I843" s="36"/>
      <c r="J843" s="36"/>
      <c r="K843" s="36"/>
      <c r="L843" s="36"/>
      <c r="M843" s="36"/>
      <c r="N843" s="36"/>
      <c r="O843" s="36"/>
    </row>
    <row r="844">
      <c r="A844" s="36"/>
      <c r="B844" s="36"/>
      <c r="C844" s="36"/>
      <c r="H844" s="36"/>
      <c r="I844" s="36"/>
      <c r="J844" s="36"/>
      <c r="K844" s="36"/>
      <c r="L844" s="36"/>
      <c r="M844" s="36"/>
      <c r="N844" s="36"/>
      <c r="O844" s="36"/>
    </row>
    <row r="845">
      <c r="A845" s="36"/>
      <c r="B845" s="36"/>
      <c r="C845" s="36"/>
      <c r="H845" s="36"/>
      <c r="I845" s="36"/>
      <c r="J845" s="36"/>
      <c r="K845" s="36"/>
      <c r="L845" s="36"/>
      <c r="M845" s="36"/>
      <c r="N845" s="36"/>
      <c r="O845" s="36"/>
    </row>
    <row r="846">
      <c r="A846" s="36"/>
      <c r="B846" s="36"/>
      <c r="C846" s="36"/>
      <c r="H846" s="36"/>
      <c r="I846" s="36"/>
      <c r="J846" s="36"/>
      <c r="K846" s="36"/>
      <c r="L846" s="36"/>
      <c r="M846" s="36"/>
      <c r="N846" s="36"/>
      <c r="O846" s="36"/>
    </row>
    <row r="847">
      <c r="A847" s="36"/>
      <c r="B847" s="36"/>
      <c r="C847" s="36"/>
      <c r="H847" s="36"/>
      <c r="I847" s="36"/>
      <c r="J847" s="36"/>
      <c r="K847" s="36"/>
      <c r="L847" s="36"/>
      <c r="M847" s="36"/>
      <c r="N847" s="36"/>
      <c r="O847" s="36"/>
    </row>
    <row r="848">
      <c r="A848" s="36"/>
      <c r="B848" s="36"/>
      <c r="C848" s="36"/>
      <c r="H848" s="36"/>
      <c r="I848" s="36"/>
      <c r="J848" s="36"/>
      <c r="K848" s="36"/>
      <c r="L848" s="36"/>
      <c r="M848" s="36"/>
      <c r="N848" s="36"/>
      <c r="O848" s="36"/>
    </row>
    <row r="849">
      <c r="A849" s="36"/>
      <c r="B849" s="36"/>
      <c r="C849" s="36"/>
      <c r="H849" s="36"/>
      <c r="I849" s="36"/>
      <c r="J849" s="36"/>
      <c r="K849" s="36"/>
      <c r="L849" s="36"/>
      <c r="M849" s="36"/>
      <c r="N849" s="36"/>
      <c r="O849" s="36"/>
    </row>
    <row r="850">
      <c r="A850" s="36"/>
      <c r="B850" s="36"/>
      <c r="C850" s="36"/>
      <c r="H850" s="36"/>
      <c r="I850" s="36"/>
      <c r="J850" s="36"/>
      <c r="K850" s="36"/>
      <c r="L850" s="36"/>
      <c r="M850" s="36"/>
      <c r="N850" s="36"/>
      <c r="O850" s="36"/>
    </row>
    <row r="851">
      <c r="A851" s="36"/>
      <c r="B851" s="36"/>
      <c r="C851" s="36"/>
      <c r="H851" s="36"/>
      <c r="I851" s="36"/>
      <c r="J851" s="36"/>
      <c r="K851" s="36"/>
      <c r="L851" s="36"/>
      <c r="M851" s="36"/>
      <c r="N851" s="36"/>
      <c r="O851" s="36"/>
    </row>
    <row r="852">
      <c r="A852" s="36"/>
      <c r="B852" s="36"/>
      <c r="C852" s="36"/>
      <c r="H852" s="36"/>
      <c r="I852" s="36"/>
      <c r="J852" s="36"/>
      <c r="K852" s="36"/>
      <c r="L852" s="36"/>
      <c r="M852" s="36"/>
      <c r="N852" s="36"/>
      <c r="O852" s="36"/>
    </row>
    <row r="853">
      <c r="A853" s="36"/>
      <c r="B853" s="36"/>
      <c r="C853" s="36"/>
      <c r="H853" s="36"/>
      <c r="I853" s="36"/>
      <c r="J853" s="36"/>
      <c r="K853" s="36"/>
      <c r="L853" s="36"/>
      <c r="M853" s="36"/>
      <c r="N853" s="36"/>
      <c r="O853" s="36"/>
    </row>
    <row r="854">
      <c r="A854" s="36"/>
      <c r="B854" s="36"/>
      <c r="C854" s="36"/>
      <c r="H854" s="36"/>
      <c r="I854" s="36"/>
      <c r="J854" s="36"/>
      <c r="K854" s="36"/>
      <c r="L854" s="36"/>
      <c r="M854" s="36"/>
      <c r="N854" s="36"/>
      <c r="O854" s="36"/>
    </row>
    <row r="855">
      <c r="A855" s="36"/>
      <c r="B855" s="36"/>
      <c r="C855" s="36"/>
      <c r="H855" s="36"/>
      <c r="I855" s="36"/>
      <c r="J855" s="36"/>
      <c r="K855" s="36"/>
      <c r="L855" s="36"/>
      <c r="M855" s="36"/>
      <c r="N855" s="36"/>
      <c r="O855" s="36"/>
    </row>
    <row r="856">
      <c r="A856" s="36"/>
      <c r="B856" s="36"/>
      <c r="C856" s="36"/>
      <c r="H856" s="36"/>
      <c r="I856" s="36"/>
      <c r="J856" s="36"/>
      <c r="K856" s="36"/>
      <c r="L856" s="36"/>
      <c r="M856" s="36"/>
      <c r="N856" s="36"/>
      <c r="O856" s="36"/>
    </row>
    <row r="857">
      <c r="A857" s="36"/>
      <c r="B857" s="36"/>
      <c r="C857" s="36"/>
      <c r="H857" s="36"/>
      <c r="I857" s="36"/>
      <c r="J857" s="36"/>
      <c r="K857" s="36"/>
      <c r="L857" s="36"/>
      <c r="M857" s="36"/>
      <c r="N857" s="36"/>
      <c r="O857" s="36"/>
    </row>
    <row r="858">
      <c r="A858" s="36"/>
      <c r="B858" s="36"/>
      <c r="C858" s="36"/>
      <c r="H858" s="36"/>
      <c r="I858" s="36"/>
      <c r="J858" s="36"/>
      <c r="K858" s="36"/>
      <c r="L858" s="36"/>
      <c r="M858" s="36"/>
      <c r="N858" s="36"/>
      <c r="O858" s="36"/>
    </row>
    <row r="859">
      <c r="A859" s="36"/>
      <c r="B859" s="36"/>
      <c r="C859" s="36"/>
      <c r="H859" s="36"/>
      <c r="I859" s="36"/>
      <c r="J859" s="36"/>
      <c r="K859" s="36"/>
      <c r="L859" s="36"/>
      <c r="M859" s="36"/>
      <c r="N859" s="36"/>
      <c r="O859" s="36"/>
    </row>
    <row r="860">
      <c r="A860" s="36"/>
      <c r="B860" s="36"/>
      <c r="C860" s="36"/>
      <c r="H860" s="36"/>
      <c r="I860" s="36"/>
      <c r="J860" s="36"/>
      <c r="K860" s="36"/>
      <c r="L860" s="36"/>
      <c r="M860" s="36"/>
      <c r="N860" s="36"/>
      <c r="O860" s="36"/>
    </row>
    <row r="861">
      <c r="A861" s="36"/>
      <c r="B861" s="36"/>
      <c r="C861" s="36"/>
      <c r="H861" s="36"/>
      <c r="I861" s="36"/>
      <c r="J861" s="36"/>
      <c r="K861" s="36"/>
      <c r="L861" s="36"/>
      <c r="M861" s="36"/>
      <c r="N861" s="36"/>
      <c r="O861" s="36"/>
    </row>
    <row r="862">
      <c r="A862" s="36"/>
      <c r="B862" s="36"/>
      <c r="C862" s="36"/>
      <c r="H862" s="36"/>
      <c r="I862" s="36"/>
      <c r="J862" s="36"/>
      <c r="K862" s="36"/>
      <c r="L862" s="36"/>
      <c r="M862" s="36"/>
      <c r="N862" s="36"/>
      <c r="O862" s="36"/>
    </row>
    <row r="863">
      <c r="A863" s="36"/>
      <c r="B863" s="36"/>
      <c r="C863" s="36"/>
      <c r="H863" s="36"/>
      <c r="I863" s="36"/>
      <c r="J863" s="36"/>
      <c r="K863" s="36"/>
      <c r="L863" s="36"/>
      <c r="M863" s="36"/>
      <c r="N863" s="36"/>
      <c r="O863" s="36"/>
    </row>
    <row r="864">
      <c r="A864" s="36"/>
      <c r="B864" s="36"/>
      <c r="C864" s="36"/>
      <c r="H864" s="36"/>
      <c r="I864" s="36"/>
      <c r="J864" s="36"/>
      <c r="K864" s="36"/>
      <c r="L864" s="36"/>
      <c r="M864" s="36"/>
      <c r="N864" s="36"/>
      <c r="O864" s="36"/>
    </row>
    <row r="865">
      <c r="A865" s="36"/>
      <c r="B865" s="36"/>
      <c r="C865" s="36"/>
      <c r="H865" s="36"/>
      <c r="I865" s="36"/>
      <c r="J865" s="36"/>
      <c r="K865" s="36"/>
      <c r="L865" s="36"/>
      <c r="M865" s="36"/>
      <c r="N865" s="36"/>
      <c r="O865" s="36"/>
    </row>
    <row r="866">
      <c r="A866" s="36"/>
      <c r="B866" s="36"/>
      <c r="C866" s="36"/>
      <c r="H866" s="36"/>
      <c r="I866" s="36"/>
      <c r="J866" s="36"/>
      <c r="K866" s="36"/>
      <c r="L866" s="36"/>
      <c r="M866" s="36"/>
      <c r="N866" s="36"/>
      <c r="O866" s="36"/>
    </row>
    <row r="867">
      <c r="A867" s="36"/>
      <c r="B867" s="36"/>
      <c r="C867" s="36"/>
      <c r="H867" s="36"/>
      <c r="I867" s="36"/>
      <c r="J867" s="36"/>
      <c r="K867" s="36"/>
      <c r="L867" s="36"/>
      <c r="M867" s="36"/>
      <c r="N867" s="36"/>
      <c r="O867" s="36"/>
    </row>
    <row r="868">
      <c r="A868" s="36"/>
      <c r="B868" s="36"/>
      <c r="C868" s="36"/>
      <c r="H868" s="36"/>
      <c r="I868" s="36"/>
      <c r="J868" s="36"/>
      <c r="K868" s="36"/>
      <c r="L868" s="36"/>
      <c r="M868" s="36"/>
      <c r="N868" s="36"/>
      <c r="O868" s="36"/>
    </row>
    <row r="869">
      <c r="A869" s="36"/>
      <c r="B869" s="36"/>
      <c r="C869" s="36"/>
      <c r="H869" s="36"/>
      <c r="I869" s="36"/>
      <c r="J869" s="36"/>
      <c r="K869" s="36"/>
      <c r="L869" s="36"/>
      <c r="M869" s="36"/>
      <c r="N869" s="36"/>
      <c r="O869" s="36"/>
    </row>
    <row r="870">
      <c r="A870" s="36"/>
      <c r="B870" s="36"/>
      <c r="C870" s="36"/>
      <c r="H870" s="36"/>
      <c r="I870" s="36"/>
      <c r="J870" s="36"/>
      <c r="K870" s="36"/>
      <c r="L870" s="36"/>
      <c r="M870" s="36"/>
      <c r="N870" s="36"/>
      <c r="O870" s="36"/>
    </row>
    <row r="871">
      <c r="A871" s="36"/>
      <c r="B871" s="36"/>
      <c r="C871" s="36"/>
      <c r="H871" s="36"/>
      <c r="I871" s="36"/>
      <c r="J871" s="36"/>
      <c r="K871" s="36"/>
      <c r="L871" s="36"/>
      <c r="M871" s="36"/>
      <c r="N871" s="36"/>
      <c r="O871" s="36"/>
    </row>
    <row r="872">
      <c r="A872" s="36"/>
      <c r="B872" s="36"/>
      <c r="C872" s="36"/>
      <c r="H872" s="36"/>
      <c r="I872" s="36"/>
      <c r="J872" s="36"/>
      <c r="K872" s="36"/>
      <c r="L872" s="36"/>
      <c r="M872" s="36"/>
      <c r="N872" s="36"/>
      <c r="O872" s="36"/>
    </row>
    <row r="873">
      <c r="A873" s="36"/>
      <c r="B873" s="36"/>
      <c r="C873" s="36"/>
      <c r="H873" s="36"/>
      <c r="I873" s="36"/>
      <c r="J873" s="36"/>
      <c r="K873" s="36"/>
      <c r="L873" s="36"/>
      <c r="M873" s="36"/>
      <c r="N873" s="36"/>
      <c r="O873" s="36"/>
    </row>
    <row r="874">
      <c r="A874" s="36"/>
      <c r="B874" s="36"/>
      <c r="C874" s="36"/>
      <c r="H874" s="36"/>
      <c r="I874" s="36"/>
      <c r="J874" s="36"/>
      <c r="K874" s="36"/>
      <c r="L874" s="36"/>
      <c r="M874" s="36"/>
      <c r="N874" s="36"/>
      <c r="O874" s="36"/>
    </row>
    <row r="875">
      <c r="A875" s="36"/>
      <c r="B875" s="36"/>
      <c r="C875" s="36"/>
      <c r="H875" s="36"/>
      <c r="I875" s="36"/>
      <c r="J875" s="36"/>
      <c r="K875" s="36"/>
      <c r="L875" s="36"/>
      <c r="M875" s="36"/>
      <c r="N875" s="36"/>
      <c r="O875" s="36"/>
    </row>
    <row r="876">
      <c r="A876" s="36"/>
      <c r="B876" s="36"/>
      <c r="C876" s="36"/>
      <c r="H876" s="36"/>
      <c r="I876" s="36"/>
      <c r="J876" s="36"/>
      <c r="K876" s="36"/>
      <c r="L876" s="36"/>
      <c r="M876" s="36"/>
      <c r="N876" s="36"/>
      <c r="O876" s="36"/>
    </row>
    <row r="877">
      <c r="A877" s="36"/>
      <c r="B877" s="36"/>
      <c r="C877" s="36"/>
      <c r="H877" s="36"/>
      <c r="I877" s="36"/>
      <c r="J877" s="36"/>
      <c r="K877" s="36"/>
      <c r="L877" s="36"/>
      <c r="M877" s="36"/>
      <c r="N877" s="36"/>
      <c r="O877" s="36"/>
    </row>
    <row r="878">
      <c r="A878" s="36"/>
      <c r="B878" s="36"/>
      <c r="C878" s="36"/>
      <c r="H878" s="36"/>
      <c r="I878" s="36"/>
      <c r="J878" s="36"/>
      <c r="K878" s="36"/>
      <c r="L878" s="36"/>
      <c r="M878" s="36"/>
      <c r="N878" s="36"/>
      <c r="O878" s="36"/>
    </row>
    <row r="879">
      <c r="A879" s="36"/>
      <c r="B879" s="36"/>
      <c r="C879" s="36"/>
      <c r="H879" s="36"/>
      <c r="I879" s="36"/>
      <c r="J879" s="36"/>
      <c r="K879" s="36"/>
      <c r="L879" s="36"/>
      <c r="M879" s="36"/>
      <c r="N879" s="36"/>
      <c r="O879" s="36"/>
    </row>
    <row r="880">
      <c r="A880" s="36"/>
      <c r="B880" s="36"/>
      <c r="C880" s="36"/>
      <c r="H880" s="36"/>
      <c r="I880" s="36"/>
      <c r="J880" s="36"/>
      <c r="K880" s="36"/>
      <c r="L880" s="36"/>
      <c r="M880" s="36"/>
      <c r="N880" s="36"/>
      <c r="O880" s="36"/>
    </row>
    <row r="881">
      <c r="A881" s="36"/>
      <c r="B881" s="36"/>
      <c r="C881" s="36"/>
      <c r="H881" s="36"/>
      <c r="I881" s="36"/>
      <c r="J881" s="36"/>
      <c r="K881" s="36"/>
      <c r="L881" s="36"/>
      <c r="M881" s="36"/>
      <c r="N881" s="36"/>
      <c r="O881" s="36"/>
    </row>
    <row r="882">
      <c r="A882" s="36"/>
      <c r="B882" s="36"/>
      <c r="C882" s="36"/>
      <c r="H882" s="36"/>
      <c r="I882" s="36"/>
      <c r="J882" s="36"/>
      <c r="K882" s="36"/>
      <c r="L882" s="36"/>
      <c r="M882" s="36"/>
      <c r="N882" s="36"/>
      <c r="O882" s="36"/>
    </row>
    <row r="883">
      <c r="A883" s="36"/>
      <c r="B883" s="36"/>
      <c r="C883" s="36"/>
      <c r="H883" s="36"/>
      <c r="I883" s="36"/>
      <c r="J883" s="36"/>
      <c r="K883" s="36"/>
      <c r="L883" s="36"/>
      <c r="M883" s="36"/>
      <c r="N883" s="36"/>
      <c r="O883" s="36"/>
    </row>
    <row r="884">
      <c r="A884" s="36"/>
      <c r="B884" s="36"/>
      <c r="C884" s="36"/>
      <c r="H884" s="36"/>
      <c r="I884" s="36"/>
      <c r="J884" s="36"/>
      <c r="K884" s="36"/>
      <c r="L884" s="36"/>
      <c r="M884" s="36"/>
      <c r="N884" s="36"/>
      <c r="O884" s="36"/>
    </row>
    <row r="885">
      <c r="A885" s="36"/>
      <c r="B885" s="36"/>
      <c r="C885" s="36"/>
      <c r="H885" s="36"/>
      <c r="I885" s="36"/>
      <c r="J885" s="36"/>
      <c r="K885" s="36"/>
      <c r="L885" s="36"/>
      <c r="M885" s="36"/>
      <c r="N885" s="36"/>
      <c r="O885" s="36"/>
    </row>
    <row r="886">
      <c r="A886" s="36"/>
      <c r="B886" s="36"/>
      <c r="C886" s="36"/>
      <c r="H886" s="36"/>
      <c r="I886" s="36"/>
      <c r="J886" s="36"/>
      <c r="K886" s="36"/>
      <c r="L886" s="36"/>
      <c r="M886" s="36"/>
      <c r="N886" s="36"/>
      <c r="O886" s="36"/>
    </row>
    <row r="887">
      <c r="A887" s="36"/>
      <c r="B887" s="36"/>
      <c r="C887" s="36"/>
      <c r="H887" s="36"/>
      <c r="I887" s="36"/>
      <c r="J887" s="36"/>
      <c r="K887" s="36"/>
      <c r="L887" s="36"/>
      <c r="M887" s="36"/>
      <c r="N887" s="36"/>
      <c r="O887" s="36"/>
    </row>
    <row r="888">
      <c r="A888" s="36"/>
      <c r="B888" s="36"/>
      <c r="C888" s="36"/>
      <c r="H888" s="36"/>
      <c r="I888" s="36"/>
      <c r="J888" s="36"/>
      <c r="K888" s="36"/>
      <c r="L888" s="36"/>
      <c r="M888" s="36"/>
      <c r="N888" s="36"/>
      <c r="O888" s="36"/>
    </row>
    <row r="889">
      <c r="A889" s="36"/>
      <c r="B889" s="36"/>
      <c r="C889" s="36"/>
      <c r="H889" s="36"/>
      <c r="I889" s="36"/>
      <c r="J889" s="36"/>
      <c r="K889" s="36"/>
      <c r="L889" s="36"/>
      <c r="M889" s="36"/>
      <c r="N889" s="36"/>
      <c r="O889" s="36"/>
    </row>
    <row r="890">
      <c r="A890" s="36"/>
      <c r="B890" s="36"/>
      <c r="C890" s="36"/>
      <c r="H890" s="36"/>
      <c r="I890" s="36"/>
      <c r="J890" s="36"/>
      <c r="K890" s="36"/>
      <c r="L890" s="36"/>
      <c r="M890" s="36"/>
      <c r="N890" s="36"/>
      <c r="O890" s="36"/>
    </row>
    <row r="891">
      <c r="A891" s="36"/>
      <c r="B891" s="36"/>
      <c r="C891" s="36"/>
      <c r="H891" s="36"/>
      <c r="I891" s="36"/>
      <c r="J891" s="36"/>
      <c r="K891" s="36"/>
      <c r="L891" s="36"/>
      <c r="M891" s="36"/>
      <c r="N891" s="36"/>
      <c r="O891" s="36"/>
    </row>
    <row r="892">
      <c r="A892" s="36"/>
      <c r="B892" s="36"/>
      <c r="C892" s="36"/>
      <c r="H892" s="36"/>
      <c r="I892" s="36"/>
      <c r="J892" s="36"/>
      <c r="K892" s="36"/>
      <c r="L892" s="36"/>
      <c r="M892" s="36"/>
      <c r="N892" s="36"/>
      <c r="O892" s="36"/>
    </row>
    <row r="893">
      <c r="A893" s="36"/>
      <c r="B893" s="36"/>
      <c r="C893" s="36"/>
      <c r="H893" s="36"/>
      <c r="I893" s="36"/>
      <c r="J893" s="36"/>
      <c r="K893" s="36"/>
      <c r="L893" s="36"/>
      <c r="M893" s="36"/>
      <c r="N893" s="36"/>
      <c r="O893" s="36"/>
    </row>
    <row r="894">
      <c r="A894" s="36"/>
      <c r="B894" s="36"/>
      <c r="C894" s="36"/>
      <c r="H894" s="36"/>
      <c r="I894" s="36"/>
      <c r="J894" s="36"/>
      <c r="K894" s="36"/>
      <c r="L894" s="36"/>
      <c r="M894" s="36"/>
      <c r="N894" s="36"/>
      <c r="O894" s="36"/>
    </row>
    <row r="895">
      <c r="A895" s="36"/>
      <c r="B895" s="36"/>
      <c r="C895" s="36"/>
      <c r="H895" s="36"/>
      <c r="I895" s="36"/>
      <c r="J895" s="36"/>
      <c r="K895" s="36"/>
      <c r="L895" s="36"/>
      <c r="M895" s="36"/>
      <c r="N895" s="36"/>
      <c r="O895" s="36"/>
    </row>
    <row r="896">
      <c r="A896" s="36"/>
      <c r="B896" s="36"/>
      <c r="C896" s="36"/>
      <c r="H896" s="36"/>
      <c r="I896" s="36"/>
      <c r="J896" s="36"/>
      <c r="K896" s="36"/>
      <c r="L896" s="36"/>
      <c r="M896" s="36"/>
      <c r="N896" s="36"/>
      <c r="O896" s="36"/>
    </row>
    <row r="897">
      <c r="A897" s="36"/>
      <c r="B897" s="36"/>
      <c r="C897" s="36"/>
      <c r="H897" s="36"/>
      <c r="I897" s="36"/>
      <c r="J897" s="36"/>
      <c r="K897" s="36"/>
      <c r="L897" s="36"/>
      <c r="M897" s="36"/>
      <c r="N897" s="36"/>
      <c r="O897" s="36"/>
    </row>
    <row r="898">
      <c r="A898" s="36"/>
      <c r="B898" s="36"/>
      <c r="C898" s="36"/>
      <c r="H898" s="36"/>
      <c r="I898" s="36"/>
      <c r="J898" s="36"/>
      <c r="K898" s="36"/>
      <c r="L898" s="36"/>
      <c r="M898" s="36"/>
      <c r="N898" s="36"/>
      <c r="O898" s="36"/>
    </row>
    <row r="899">
      <c r="A899" s="36"/>
      <c r="B899" s="36"/>
      <c r="C899" s="36"/>
      <c r="H899" s="36"/>
      <c r="I899" s="36"/>
      <c r="J899" s="36"/>
      <c r="K899" s="36"/>
      <c r="L899" s="36"/>
      <c r="M899" s="36"/>
      <c r="N899" s="36"/>
      <c r="O899" s="36"/>
    </row>
    <row r="900">
      <c r="A900" s="36"/>
      <c r="B900" s="36"/>
      <c r="C900" s="36"/>
      <c r="H900" s="36"/>
      <c r="I900" s="36"/>
      <c r="J900" s="36"/>
      <c r="K900" s="36"/>
      <c r="L900" s="36"/>
      <c r="M900" s="36"/>
      <c r="N900" s="36"/>
      <c r="O900" s="36"/>
    </row>
    <row r="901">
      <c r="A901" s="36"/>
      <c r="B901" s="36"/>
      <c r="C901" s="36"/>
      <c r="H901" s="36"/>
      <c r="I901" s="36"/>
      <c r="J901" s="36"/>
      <c r="K901" s="36"/>
      <c r="L901" s="36"/>
      <c r="M901" s="36"/>
      <c r="N901" s="36"/>
      <c r="O901" s="36"/>
    </row>
    <row r="902">
      <c r="A902" s="36"/>
      <c r="B902" s="36"/>
      <c r="C902" s="36"/>
      <c r="H902" s="36"/>
      <c r="I902" s="36"/>
      <c r="J902" s="36"/>
      <c r="K902" s="36"/>
      <c r="L902" s="36"/>
      <c r="M902" s="36"/>
      <c r="N902" s="36"/>
      <c r="O902" s="36"/>
    </row>
    <row r="903">
      <c r="A903" s="36"/>
      <c r="B903" s="36"/>
      <c r="C903" s="36"/>
      <c r="H903" s="36"/>
      <c r="I903" s="36"/>
      <c r="J903" s="36"/>
      <c r="K903" s="36"/>
      <c r="L903" s="36"/>
      <c r="M903" s="36"/>
      <c r="N903" s="36"/>
      <c r="O903" s="36"/>
    </row>
    <row r="904">
      <c r="A904" s="36"/>
      <c r="B904" s="36"/>
      <c r="C904" s="36"/>
      <c r="H904" s="36"/>
      <c r="I904" s="36"/>
      <c r="J904" s="36"/>
      <c r="K904" s="36"/>
      <c r="L904" s="36"/>
      <c r="M904" s="36"/>
      <c r="N904" s="36"/>
      <c r="O904" s="36"/>
    </row>
    <row r="905">
      <c r="A905" s="36"/>
      <c r="B905" s="36"/>
      <c r="C905" s="36"/>
      <c r="H905" s="36"/>
      <c r="I905" s="36"/>
      <c r="J905" s="36"/>
      <c r="K905" s="36"/>
      <c r="L905" s="36"/>
      <c r="M905" s="36"/>
      <c r="N905" s="36"/>
      <c r="O905" s="36"/>
    </row>
    <row r="906">
      <c r="A906" s="36"/>
      <c r="B906" s="36"/>
      <c r="C906" s="36"/>
      <c r="H906" s="36"/>
      <c r="I906" s="36"/>
      <c r="J906" s="36"/>
      <c r="K906" s="36"/>
      <c r="L906" s="36"/>
      <c r="M906" s="36"/>
      <c r="N906" s="36"/>
      <c r="O906" s="36"/>
    </row>
    <row r="907">
      <c r="A907" s="36"/>
      <c r="B907" s="36"/>
      <c r="C907" s="36"/>
      <c r="H907" s="36"/>
      <c r="I907" s="36"/>
      <c r="J907" s="36"/>
      <c r="K907" s="36"/>
      <c r="L907" s="36"/>
      <c r="M907" s="36"/>
      <c r="N907" s="36"/>
      <c r="O907" s="36"/>
    </row>
    <row r="908">
      <c r="A908" s="36"/>
      <c r="B908" s="36"/>
      <c r="C908" s="36"/>
      <c r="H908" s="36"/>
      <c r="I908" s="36"/>
      <c r="J908" s="36"/>
      <c r="K908" s="36"/>
      <c r="L908" s="36"/>
      <c r="M908" s="36"/>
      <c r="N908" s="36"/>
      <c r="O908" s="36"/>
    </row>
    <row r="909">
      <c r="A909" s="36"/>
      <c r="B909" s="36"/>
      <c r="C909" s="36"/>
      <c r="H909" s="36"/>
      <c r="I909" s="36"/>
      <c r="J909" s="36"/>
      <c r="K909" s="36"/>
      <c r="L909" s="36"/>
      <c r="M909" s="36"/>
      <c r="N909" s="36"/>
      <c r="O909" s="36"/>
    </row>
    <row r="910">
      <c r="A910" s="36"/>
      <c r="B910" s="36"/>
      <c r="C910" s="36"/>
      <c r="H910" s="36"/>
      <c r="I910" s="36"/>
      <c r="J910" s="36"/>
      <c r="K910" s="36"/>
      <c r="L910" s="36"/>
      <c r="M910" s="36"/>
      <c r="N910" s="36"/>
      <c r="O910" s="36"/>
    </row>
    <row r="911">
      <c r="A911" s="36"/>
      <c r="B911" s="36"/>
      <c r="C911" s="36"/>
      <c r="H911" s="36"/>
      <c r="I911" s="36"/>
      <c r="J911" s="36"/>
      <c r="K911" s="36"/>
      <c r="L911" s="36"/>
      <c r="M911" s="36"/>
      <c r="N911" s="36"/>
      <c r="O911" s="36"/>
    </row>
    <row r="912">
      <c r="A912" s="36"/>
      <c r="B912" s="36"/>
      <c r="C912" s="36"/>
      <c r="H912" s="36"/>
      <c r="I912" s="36"/>
      <c r="J912" s="36"/>
      <c r="K912" s="36"/>
      <c r="L912" s="36"/>
      <c r="M912" s="36"/>
      <c r="N912" s="36"/>
      <c r="O912" s="36"/>
    </row>
    <row r="913">
      <c r="A913" s="36"/>
      <c r="B913" s="36"/>
      <c r="C913" s="36"/>
      <c r="H913" s="36"/>
      <c r="I913" s="36"/>
      <c r="J913" s="36"/>
      <c r="K913" s="36"/>
      <c r="L913" s="36"/>
      <c r="M913" s="36"/>
      <c r="N913" s="36"/>
      <c r="O913" s="36"/>
    </row>
    <row r="914">
      <c r="A914" s="36"/>
      <c r="B914" s="36"/>
      <c r="C914" s="36"/>
      <c r="H914" s="36"/>
      <c r="I914" s="36"/>
      <c r="J914" s="36"/>
      <c r="K914" s="36"/>
      <c r="L914" s="36"/>
      <c r="M914" s="36"/>
      <c r="N914" s="36"/>
      <c r="O914" s="36"/>
    </row>
    <row r="915">
      <c r="A915" s="36"/>
      <c r="B915" s="36"/>
      <c r="C915" s="36"/>
      <c r="H915" s="36"/>
      <c r="I915" s="36"/>
      <c r="J915" s="36"/>
      <c r="K915" s="36"/>
      <c r="L915" s="36"/>
      <c r="M915" s="36"/>
      <c r="N915" s="36"/>
      <c r="O915" s="36"/>
    </row>
    <row r="916">
      <c r="A916" s="36"/>
      <c r="B916" s="36"/>
      <c r="C916" s="36"/>
      <c r="H916" s="36"/>
      <c r="I916" s="36"/>
      <c r="J916" s="36"/>
      <c r="K916" s="36"/>
      <c r="L916" s="36"/>
      <c r="M916" s="36"/>
      <c r="N916" s="36"/>
      <c r="O916" s="36"/>
    </row>
    <row r="917">
      <c r="A917" s="36"/>
      <c r="B917" s="36"/>
      <c r="C917" s="36"/>
      <c r="H917" s="36"/>
      <c r="I917" s="36"/>
      <c r="J917" s="36"/>
      <c r="K917" s="36"/>
      <c r="L917" s="36"/>
      <c r="M917" s="36"/>
      <c r="N917" s="36"/>
      <c r="O917" s="36"/>
    </row>
    <row r="918">
      <c r="A918" s="36"/>
      <c r="B918" s="36"/>
      <c r="C918" s="36"/>
      <c r="H918" s="36"/>
      <c r="I918" s="36"/>
      <c r="J918" s="36"/>
      <c r="K918" s="36"/>
      <c r="L918" s="36"/>
      <c r="M918" s="36"/>
      <c r="N918" s="36"/>
      <c r="O918" s="36"/>
    </row>
    <row r="919">
      <c r="A919" s="36"/>
      <c r="B919" s="36"/>
      <c r="C919" s="36"/>
      <c r="H919" s="36"/>
      <c r="I919" s="36"/>
      <c r="J919" s="36"/>
      <c r="K919" s="36"/>
      <c r="L919" s="36"/>
      <c r="M919" s="36"/>
      <c r="N919" s="36"/>
      <c r="O919" s="36"/>
    </row>
    <row r="920">
      <c r="A920" s="36"/>
      <c r="B920" s="36"/>
      <c r="C920" s="36"/>
      <c r="H920" s="36"/>
      <c r="I920" s="36"/>
      <c r="J920" s="36"/>
      <c r="K920" s="36"/>
      <c r="L920" s="36"/>
      <c r="M920" s="36"/>
      <c r="N920" s="36"/>
      <c r="O920" s="36"/>
    </row>
    <row r="921">
      <c r="A921" s="36"/>
      <c r="B921" s="36"/>
      <c r="C921" s="36"/>
      <c r="H921" s="36"/>
      <c r="I921" s="36"/>
      <c r="J921" s="36"/>
      <c r="K921" s="36"/>
      <c r="L921" s="36"/>
      <c r="M921" s="36"/>
      <c r="N921" s="36"/>
      <c r="O921" s="36"/>
    </row>
    <row r="922">
      <c r="A922" s="36"/>
      <c r="B922" s="36"/>
      <c r="C922" s="36"/>
      <c r="H922" s="36"/>
      <c r="I922" s="36"/>
      <c r="J922" s="36"/>
      <c r="K922" s="36"/>
      <c r="L922" s="36"/>
      <c r="M922" s="36"/>
      <c r="N922" s="36"/>
      <c r="O922" s="36"/>
    </row>
    <row r="923">
      <c r="A923" s="36"/>
      <c r="B923" s="36"/>
      <c r="C923" s="36"/>
      <c r="H923" s="36"/>
      <c r="I923" s="36"/>
      <c r="J923" s="36"/>
      <c r="K923" s="36"/>
      <c r="L923" s="36"/>
      <c r="M923" s="36"/>
      <c r="N923" s="36"/>
      <c r="O923" s="36"/>
    </row>
    <row r="924">
      <c r="A924" s="36"/>
      <c r="B924" s="36"/>
      <c r="C924" s="36"/>
      <c r="H924" s="36"/>
      <c r="I924" s="36"/>
      <c r="J924" s="36"/>
      <c r="K924" s="36"/>
      <c r="L924" s="36"/>
      <c r="M924" s="36"/>
      <c r="N924" s="36"/>
      <c r="O924" s="36"/>
    </row>
    <row r="925">
      <c r="A925" s="36"/>
      <c r="B925" s="36"/>
      <c r="C925" s="36"/>
      <c r="H925" s="36"/>
      <c r="I925" s="36"/>
      <c r="J925" s="36"/>
      <c r="K925" s="36"/>
      <c r="L925" s="36"/>
      <c r="M925" s="36"/>
      <c r="N925" s="36"/>
      <c r="O925" s="36"/>
    </row>
    <row r="926">
      <c r="A926" s="36"/>
      <c r="B926" s="36"/>
      <c r="C926" s="36"/>
      <c r="H926" s="36"/>
      <c r="I926" s="36"/>
      <c r="J926" s="36"/>
      <c r="K926" s="36"/>
      <c r="L926" s="36"/>
      <c r="M926" s="36"/>
      <c r="N926" s="36"/>
      <c r="O926" s="36"/>
    </row>
    <row r="927">
      <c r="A927" s="36"/>
      <c r="B927" s="36"/>
      <c r="C927" s="36"/>
      <c r="H927" s="36"/>
      <c r="I927" s="36"/>
      <c r="J927" s="36"/>
      <c r="K927" s="36"/>
      <c r="L927" s="36"/>
      <c r="M927" s="36"/>
      <c r="N927" s="36"/>
      <c r="O927" s="36"/>
    </row>
    <row r="928">
      <c r="A928" s="36"/>
      <c r="B928" s="36"/>
      <c r="C928" s="36"/>
      <c r="H928" s="36"/>
      <c r="I928" s="36"/>
      <c r="J928" s="36"/>
      <c r="K928" s="36"/>
      <c r="L928" s="36"/>
      <c r="M928" s="36"/>
      <c r="N928" s="36"/>
      <c r="O928" s="36"/>
    </row>
    <row r="929">
      <c r="A929" s="36"/>
      <c r="B929" s="36"/>
      <c r="C929" s="36"/>
      <c r="H929" s="36"/>
      <c r="I929" s="36"/>
      <c r="J929" s="36"/>
      <c r="K929" s="36"/>
      <c r="L929" s="36"/>
      <c r="M929" s="36"/>
      <c r="N929" s="36"/>
      <c r="O929" s="36"/>
    </row>
    <row r="930">
      <c r="A930" s="36"/>
      <c r="B930" s="36"/>
      <c r="C930" s="36"/>
      <c r="H930" s="36"/>
      <c r="I930" s="36"/>
      <c r="J930" s="36"/>
      <c r="K930" s="36"/>
      <c r="L930" s="36"/>
      <c r="M930" s="36"/>
      <c r="N930" s="36"/>
      <c r="O930" s="36"/>
    </row>
    <row r="931">
      <c r="A931" s="36"/>
      <c r="B931" s="36"/>
      <c r="C931" s="36"/>
      <c r="H931" s="36"/>
      <c r="I931" s="36"/>
      <c r="J931" s="36"/>
      <c r="K931" s="36"/>
      <c r="L931" s="36"/>
      <c r="M931" s="36"/>
      <c r="N931" s="36"/>
      <c r="O931" s="36"/>
    </row>
    <row r="932">
      <c r="A932" s="36"/>
      <c r="B932" s="36"/>
      <c r="C932" s="36"/>
      <c r="H932" s="36"/>
      <c r="I932" s="36"/>
      <c r="J932" s="36"/>
      <c r="K932" s="36"/>
      <c r="L932" s="36"/>
      <c r="M932" s="36"/>
      <c r="N932" s="36"/>
      <c r="O932" s="36"/>
    </row>
    <row r="933">
      <c r="A933" s="36"/>
      <c r="B933" s="36"/>
      <c r="C933" s="36"/>
      <c r="H933" s="36"/>
      <c r="I933" s="36"/>
      <c r="J933" s="36"/>
      <c r="K933" s="36"/>
      <c r="L933" s="36"/>
      <c r="M933" s="36"/>
      <c r="N933" s="36"/>
      <c r="O933" s="36"/>
    </row>
    <row r="934">
      <c r="A934" s="36"/>
      <c r="B934" s="36"/>
      <c r="C934" s="36"/>
      <c r="H934" s="36"/>
      <c r="I934" s="36"/>
      <c r="J934" s="36"/>
      <c r="K934" s="36"/>
      <c r="L934" s="36"/>
      <c r="M934" s="36"/>
      <c r="N934" s="36"/>
      <c r="O934" s="36"/>
    </row>
    <row r="935">
      <c r="A935" s="36"/>
      <c r="B935" s="36"/>
      <c r="C935" s="36"/>
      <c r="H935" s="36"/>
      <c r="I935" s="36"/>
      <c r="J935" s="36"/>
      <c r="K935" s="36"/>
      <c r="L935" s="36"/>
      <c r="M935" s="36"/>
      <c r="N935" s="36"/>
      <c r="O935" s="36"/>
    </row>
    <row r="936">
      <c r="A936" s="36"/>
      <c r="B936" s="36"/>
      <c r="C936" s="36"/>
      <c r="H936" s="36"/>
      <c r="I936" s="36"/>
      <c r="J936" s="36"/>
      <c r="K936" s="36"/>
      <c r="L936" s="36"/>
      <c r="M936" s="36"/>
      <c r="N936" s="36"/>
      <c r="O936" s="36"/>
    </row>
    <row r="937">
      <c r="A937" s="36"/>
      <c r="B937" s="36"/>
      <c r="C937" s="36"/>
      <c r="H937" s="36"/>
      <c r="I937" s="36"/>
      <c r="J937" s="36"/>
      <c r="K937" s="36"/>
      <c r="L937" s="36"/>
      <c r="M937" s="36"/>
      <c r="N937" s="36"/>
      <c r="O937" s="36"/>
    </row>
    <row r="938">
      <c r="A938" s="36"/>
      <c r="B938" s="36"/>
      <c r="C938" s="36"/>
      <c r="H938" s="36"/>
      <c r="I938" s="36"/>
      <c r="J938" s="36"/>
      <c r="K938" s="36"/>
      <c r="L938" s="36"/>
      <c r="M938" s="36"/>
      <c r="N938" s="36"/>
      <c r="O938" s="36"/>
    </row>
    <row r="939">
      <c r="A939" s="36"/>
      <c r="B939" s="36"/>
      <c r="C939" s="36"/>
      <c r="H939" s="36"/>
      <c r="I939" s="36"/>
      <c r="J939" s="36"/>
      <c r="K939" s="36"/>
      <c r="L939" s="36"/>
      <c r="M939" s="36"/>
      <c r="N939" s="36"/>
      <c r="O939" s="36"/>
    </row>
    <row r="940">
      <c r="A940" s="36"/>
      <c r="B940" s="36"/>
      <c r="C940" s="36"/>
      <c r="H940" s="36"/>
      <c r="I940" s="36"/>
      <c r="J940" s="36"/>
      <c r="K940" s="36"/>
      <c r="L940" s="36"/>
      <c r="M940" s="36"/>
      <c r="N940" s="36"/>
      <c r="O940" s="36"/>
    </row>
    <row r="941">
      <c r="A941" s="36"/>
      <c r="B941" s="36"/>
      <c r="C941" s="36"/>
      <c r="H941" s="36"/>
      <c r="I941" s="36"/>
      <c r="J941" s="36"/>
      <c r="K941" s="36"/>
      <c r="L941" s="36"/>
      <c r="M941" s="36"/>
      <c r="N941" s="36"/>
      <c r="O941" s="36"/>
    </row>
    <row r="942">
      <c r="A942" s="36"/>
      <c r="B942" s="36"/>
      <c r="C942" s="36"/>
      <c r="H942" s="36"/>
      <c r="I942" s="36"/>
      <c r="J942" s="36"/>
      <c r="K942" s="36"/>
      <c r="L942" s="36"/>
      <c r="M942" s="36"/>
      <c r="N942" s="36"/>
      <c r="O942" s="36"/>
    </row>
    <row r="943">
      <c r="A943" s="36"/>
      <c r="B943" s="36"/>
      <c r="C943" s="36"/>
      <c r="H943" s="36"/>
      <c r="I943" s="36"/>
      <c r="J943" s="36"/>
      <c r="K943" s="36"/>
      <c r="L943" s="36"/>
      <c r="M943" s="36"/>
      <c r="N943" s="36"/>
      <c r="O943" s="36"/>
    </row>
    <row r="944">
      <c r="A944" s="36"/>
      <c r="B944" s="36"/>
      <c r="C944" s="36"/>
      <c r="H944" s="36"/>
      <c r="I944" s="36"/>
      <c r="J944" s="36"/>
      <c r="K944" s="36"/>
      <c r="L944" s="36"/>
      <c r="M944" s="36"/>
      <c r="N944" s="36"/>
      <c r="O944" s="36"/>
    </row>
    <row r="945">
      <c r="A945" s="36"/>
      <c r="B945" s="36"/>
      <c r="C945" s="36"/>
      <c r="H945" s="36"/>
      <c r="I945" s="36"/>
      <c r="J945" s="36"/>
      <c r="K945" s="36"/>
      <c r="L945" s="36"/>
      <c r="M945" s="36"/>
      <c r="N945" s="36"/>
      <c r="O945" s="36"/>
    </row>
    <row r="946">
      <c r="A946" s="36"/>
      <c r="B946" s="36"/>
      <c r="C946" s="36"/>
      <c r="H946" s="36"/>
      <c r="I946" s="36"/>
      <c r="J946" s="36"/>
      <c r="K946" s="36"/>
      <c r="L946" s="36"/>
      <c r="M946" s="36"/>
      <c r="N946" s="36"/>
      <c r="O946" s="36"/>
    </row>
    <row r="947">
      <c r="A947" s="36"/>
      <c r="B947" s="36"/>
      <c r="C947" s="36"/>
      <c r="H947" s="36"/>
      <c r="I947" s="36"/>
      <c r="J947" s="36"/>
      <c r="K947" s="36"/>
      <c r="L947" s="36"/>
      <c r="M947" s="36"/>
      <c r="N947" s="36"/>
      <c r="O947" s="36"/>
    </row>
    <row r="948">
      <c r="A948" s="36"/>
      <c r="B948" s="36"/>
      <c r="C948" s="36"/>
      <c r="H948" s="36"/>
      <c r="I948" s="36"/>
      <c r="J948" s="36"/>
      <c r="K948" s="36"/>
      <c r="L948" s="36"/>
      <c r="M948" s="36"/>
      <c r="N948" s="36"/>
      <c r="O948" s="36"/>
    </row>
    <row r="949">
      <c r="A949" s="36"/>
      <c r="B949" s="36"/>
      <c r="C949" s="36"/>
      <c r="H949" s="36"/>
      <c r="I949" s="36"/>
      <c r="J949" s="36"/>
      <c r="K949" s="36"/>
      <c r="L949" s="36"/>
      <c r="M949" s="36"/>
      <c r="N949" s="36"/>
      <c r="O949" s="36"/>
    </row>
    <row r="950">
      <c r="A950" s="36"/>
      <c r="B950" s="36"/>
      <c r="C950" s="36"/>
      <c r="H950" s="36"/>
      <c r="I950" s="36"/>
      <c r="J950" s="36"/>
      <c r="K950" s="36"/>
      <c r="L950" s="36"/>
      <c r="M950" s="36"/>
      <c r="N950" s="36"/>
      <c r="O950" s="36"/>
    </row>
    <row r="951">
      <c r="A951" s="36"/>
      <c r="B951" s="36"/>
      <c r="C951" s="36"/>
      <c r="H951" s="36"/>
      <c r="I951" s="36"/>
      <c r="J951" s="36"/>
      <c r="K951" s="36"/>
      <c r="L951" s="36"/>
      <c r="M951" s="36"/>
      <c r="N951" s="36"/>
      <c r="O951" s="36"/>
    </row>
    <row r="952">
      <c r="A952" s="36"/>
      <c r="B952" s="36"/>
      <c r="C952" s="36"/>
      <c r="H952" s="36"/>
      <c r="I952" s="36"/>
      <c r="J952" s="36"/>
      <c r="K952" s="36"/>
      <c r="L952" s="36"/>
      <c r="M952" s="36"/>
      <c r="N952" s="36"/>
      <c r="O952" s="36"/>
    </row>
    <row r="953">
      <c r="A953" s="36"/>
      <c r="B953" s="36"/>
      <c r="C953" s="36"/>
      <c r="H953" s="36"/>
      <c r="I953" s="36"/>
      <c r="J953" s="36"/>
      <c r="K953" s="36"/>
      <c r="L953" s="36"/>
      <c r="M953" s="36"/>
      <c r="N953" s="36"/>
      <c r="O953" s="36"/>
    </row>
    <row r="954">
      <c r="A954" s="36"/>
      <c r="B954" s="36"/>
      <c r="C954" s="36"/>
      <c r="H954" s="36"/>
      <c r="I954" s="36"/>
      <c r="J954" s="36"/>
      <c r="K954" s="36"/>
      <c r="L954" s="36"/>
      <c r="M954" s="36"/>
      <c r="N954" s="36"/>
      <c r="O954" s="36"/>
    </row>
    <row r="955">
      <c r="A955" s="36"/>
      <c r="B955" s="36"/>
      <c r="C955" s="36"/>
      <c r="H955" s="36"/>
      <c r="I955" s="36"/>
      <c r="J955" s="36"/>
      <c r="K955" s="36"/>
      <c r="L955" s="36"/>
      <c r="M955" s="36"/>
      <c r="N955" s="36"/>
      <c r="O955" s="36"/>
    </row>
    <row r="956">
      <c r="A956" s="36"/>
      <c r="B956" s="36"/>
      <c r="C956" s="36"/>
      <c r="H956" s="36"/>
      <c r="I956" s="36"/>
      <c r="J956" s="36"/>
      <c r="K956" s="36"/>
      <c r="L956" s="36"/>
      <c r="M956" s="36"/>
      <c r="N956" s="36"/>
      <c r="O956" s="36"/>
    </row>
    <row r="957">
      <c r="A957" s="36"/>
      <c r="B957" s="36"/>
      <c r="C957" s="36"/>
      <c r="H957" s="36"/>
      <c r="I957" s="36"/>
      <c r="J957" s="36"/>
      <c r="K957" s="36"/>
      <c r="L957" s="36"/>
      <c r="M957" s="36"/>
      <c r="N957" s="36"/>
      <c r="O957" s="36"/>
    </row>
    <row r="958">
      <c r="A958" s="36"/>
      <c r="B958" s="36"/>
      <c r="C958" s="36"/>
      <c r="H958" s="36"/>
      <c r="I958" s="36"/>
      <c r="J958" s="36"/>
      <c r="K958" s="36"/>
      <c r="L958" s="36"/>
      <c r="M958" s="36"/>
      <c r="N958" s="36"/>
      <c r="O958" s="36"/>
    </row>
    <row r="959">
      <c r="A959" s="36"/>
      <c r="B959" s="36"/>
      <c r="C959" s="36"/>
      <c r="H959" s="36"/>
      <c r="I959" s="36"/>
      <c r="J959" s="36"/>
      <c r="K959" s="36"/>
      <c r="L959" s="36"/>
      <c r="M959" s="36"/>
      <c r="N959" s="36"/>
      <c r="O959" s="36"/>
    </row>
    <row r="960">
      <c r="A960" s="36"/>
      <c r="B960" s="36"/>
      <c r="C960" s="36"/>
      <c r="H960" s="36"/>
      <c r="I960" s="36"/>
      <c r="J960" s="36"/>
      <c r="K960" s="36"/>
      <c r="L960" s="36"/>
      <c r="M960" s="36"/>
      <c r="N960" s="36"/>
      <c r="O960" s="36"/>
    </row>
    <row r="961">
      <c r="A961" s="36"/>
      <c r="B961" s="36"/>
      <c r="C961" s="36"/>
      <c r="H961" s="36"/>
      <c r="I961" s="36"/>
      <c r="J961" s="36"/>
      <c r="K961" s="36"/>
      <c r="L961" s="36"/>
      <c r="M961" s="36"/>
      <c r="N961" s="36"/>
      <c r="O961" s="36"/>
    </row>
    <row r="962">
      <c r="A962" s="36"/>
      <c r="B962" s="36"/>
      <c r="C962" s="36"/>
      <c r="H962" s="36"/>
      <c r="I962" s="36"/>
      <c r="J962" s="36"/>
      <c r="K962" s="36"/>
      <c r="L962" s="36"/>
      <c r="M962" s="36"/>
      <c r="N962" s="36"/>
      <c r="O962" s="36"/>
    </row>
    <row r="963">
      <c r="A963" s="36"/>
      <c r="B963" s="36"/>
      <c r="C963" s="36"/>
      <c r="H963" s="36"/>
      <c r="I963" s="36"/>
      <c r="J963" s="36"/>
      <c r="K963" s="36"/>
      <c r="L963" s="36"/>
      <c r="M963" s="36"/>
      <c r="N963" s="36"/>
      <c r="O963" s="36"/>
    </row>
    <row r="964">
      <c r="A964" s="36"/>
      <c r="B964" s="36"/>
      <c r="C964" s="36"/>
      <c r="H964" s="36"/>
      <c r="I964" s="36"/>
      <c r="J964" s="36"/>
      <c r="K964" s="36"/>
      <c r="L964" s="36"/>
      <c r="M964" s="36"/>
      <c r="N964" s="36"/>
      <c r="O964" s="36"/>
    </row>
    <row r="965">
      <c r="A965" s="36"/>
      <c r="B965" s="36"/>
      <c r="C965" s="36"/>
      <c r="H965" s="36"/>
      <c r="I965" s="36"/>
      <c r="J965" s="36"/>
      <c r="K965" s="36"/>
      <c r="L965" s="36"/>
      <c r="M965" s="36"/>
      <c r="N965" s="36"/>
      <c r="O965" s="36"/>
    </row>
    <row r="966">
      <c r="A966" s="36"/>
      <c r="B966" s="36"/>
      <c r="C966" s="36"/>
      <c r="H966" s="36"/>
      <c r="I966" s="36"/>
      <c r="J966" s="36"/>
      <c r="K966" s="36"/>
      <c r="L966" s="36"/>
      <c r="M966" s="36"/>
      <c r="N966" s="36"/>
      <c r="O966" s="36"/>
    </row>
    <row r="967">
      <c r="A967" s="36"/>
      <c r="B967" s="36"/>
      <c r="C967" s="36"/>
      <c r="H967" s="36"/>
      <c r="I967" s="36"/>
      <c r="J967" s="36"/>
      <c r="K967" s="36"/>
      <c r="L967" s="36"/>
      <c r="M967" s="36"/>
      <c r="N967" s="36"/>
      <c r="O967" s="36"/>
    </row>
    <row r="968">
      <c r="A968" s="36"/>
      <c r="B968" s="36"/>
      <c r="C968" s="36"/>
      <c r="H968" s="36"/>
      <c r="I968" s="36"/>
      <c r="J968" s="36"/>
      <c r="K968" s="36"/>
      <c r="L968" s="36"/>
      <c r="M968" s="36"/>
      <c r="N968" s="36"/>
      <c r="O968" s="36"/>
    </row>
    <row r="969">
      <c r="A969" s="36"/>
      <c r="B969" s="36"/>
      <c r="C969" s="36"/>
      <c r="H969" s="36"/>
      <c r="I969" s="36"/>
      <c r="J969" s="36"/>
      <c r="K969" s="36"/>
      <c r="L969" s="36"/>
      <c r="M969" s="36"/>
      <c r="N969" s="36"/>
      <c r="O969" s="36"/>
    </row>
    <row r="970">
      <c r="A970" s="36"/>
      <c r="B970" s="36"/>
      <c r="C970" s="36"/>
      <c r="H970" s="36"/>
      <c r="I970" s="36"/>
      <c r="J970" s="36"/>
      <c r="K970" s="36"/>
      <c r="L970" s="36"/>
      <c r="M970" s="36"/>
      <c r="N970" s="36"/>
      <c r="O970" s="36"/>
    </row>
    <row r="971">
      <c r="A971" s="36"/>
      <c r="B971" s="36"/>
      <c r="C971" s="36"/>
      <c r="H971" s="36"/>
      <c r="I971" s="36"/>
      <c r="J971" s="36"/>
      <c r="K971" s="36"/>
      <c r="L971" s="36"/>
      <c r="M971" s="36"/>
      <c r="N971" s="36"/>
      <c r="O971" s="36"/>
    </row>
    <row r="972">
      <c r="A972" s="36"/>
      <c r="B972" s="36"/>
      <c r="C972" s="36"/>
      <c r="H972" s="36"/>
      <c r="I972" s="36"/>
      <c r="J972" s="36"/>
      <c r="K972" s="36"/>
      <c r="L972" s="36"/>
      <c r="M972" s="36"/>
      <c r="N972" s="36"/>
      <c r="O972" s="36"/>
    </row>
    <row r="973">
      <c r="A973" s="36"/>
      <c r="B973" s="36"/>
      <c r="C973" s="36"/>
      <c r="H973" s="36"/>
      <c r="I973" s="36"/>
      <c r="J973" s="36"/>
      <c r="K973" s="36"/>
      <c r="L973" s="36"/>
      <c r="M973" s="36"/>
      <c r="N973" s="36"/>
      <c r="O973" s="36"/>
    </row>
    <row r="974">
      <c r="A974" s="36"/>
      <c r="B974" s="36"/>
      <c r="C974" s="36"/>
      <c r="H974" s="36"/>
      <c r="I974" s="36"/>
      <c r="J974" s="36"/>
      <c r="K974" s="36"/>
      <c r="L974" s="36"/>
      <c r="M974" s="36"/>
      <c r="N974" s="36"/>
      <c r="O974" s="36"/>
    </row>
    <row r="975">
      <c r="A975" s="36"/>
      <c r="B975" s="36"/>
      <c r="C975" s="36"/>
      <c r="H975" s="36"/>
      <c r="I975" s="36"/>
      <c r="J975" s="36"/>
      <c r="K975" s="36"/>
      <c r="L975" s="36"/>
      <c r="M975" s="36"/>
      <c r="N975" s="36"/>
      <c r="O975" s="36"/>
    </row>
    <row r="976">
      <c r="A976" s="36"/>
      <c r="B976" s="36"/>
      <c r="C976" s="36"/>
      <c r="H976" s="36"/>
      <c r="I976" s="36"/>
      <c r="J976" s="36"/>
      <c r="K976" s="36"/>
      <c r="L976" s="36"/>
      <c r="M976" s="36"/>
      <c r="N976" s="36"/>
      <c r="O976" s="36"/>
    </row>
    <row r="977">
      <c r="A977" s="36"/>
      <c r="B977" s="36"/>
      <c r="C977" s="36"/>
      <c r="H977" s="36"/>
      <c r="I977" s="36"/>
      <c r="J977" s="36"/>
      <c r="K977" s="36"/>
      <c r="L977" s="36"/>
      <c r="M977" s="36"/>
      <c r="N977" s="36"/>
      <c r="O977" s="36"/>
    </row>
    <row r="978">
      <c r="A978" s="36"/>
      <c r="B978" s="36"/>
      <c r="C978" s="36"/>
      <c r="H978" s="36"/>
      <c r="I978" s="36"/>
      <c r="J978" s="36"/>
      <c r="K978" s="36"/>
      <c r="L978" s="36"/>
      <c r="M978" s="36"/>
      <c r="N978" s="36"/>
      <c r="O978" s="36"/>
    </row>
    <row r="979">
      <c r="A979" s="36"/>
      <c r="B979" s="36"/>
      <c r="C979" s="36"/>
      <c r="H979" s="36"/>
      <c r="I979" s="36"/>
      <c r="J979" s="36"/>
      <c r="K979" s="36"/>
      <c r="L979" s="36"/>
      <c r="M979" s="36"/>
      <c r="N979" s="36"/>
      <c r="O979" s="36"/>
    </row>
    <row r="980">
      <c r="A980" s="36"/>
      <c r="B980" s="36"/>
      <c r="C980" s="36"/>
      <c r="H980" s="36"/>
      <c r="I980" s="36"/>
      <c r="J980" s="36"/>
      <c r="K980" s="36"/>
      <c r="L980" s="36"/>
      <c r="M980" s="36"/>
      <c r="N980" s="36"/>
      <c r="O980" s="36"/>
    </row>
    <row r="981">
      <c r="A981" s="36"/>
      <c r="B981" s="36"/>
      <c r="C981" s="36"/>
      <c r="H981" s="36"/>
      <c r="I981" s="36"/>
      <c r="J981" s="36"/>
      <c r="K981" s="36"/>
      <c r="L981" s="36"/>
      <c r="M981" s="36"/>
      <c r="N981" s="36"/>
      <c r="O981" s="36"/>
    </row>
    <row r="982">
      <c r="A982" s="36"/>
      <c r="B982" s="36"/>
      <c r="C982" s="36"/>
      <c r="H982" s="36"/>
      <c r="I982" s="36"/>
      <c r="J982" s="36"/>
      <c r="K982" s="36"/>
      <c r="L982" s="36"/>
      <c r="M982" s="36"/>
      <c r="N982" s="36"/>
      <c r="O982" s="36"/>
    </row>
    <row r="983">
      <c r="A983" s="36"/>
      <c r="B983" s="36"/>
      <c r="C983" s="36"/>
      <c r="H983" s="36"/>
      <c r="I983" s="36"/>
      <c r="J983" s="36"/>
      <c r="K983" s="36"/>
      <c r="L983" s="36"/>
      <c r="M983" s="36"/>
      <c r="N983" s="36"/>
      <c r="O983" s="36"/>
    </row>
    <row r="984">
      <c r="A984" s="36"/>
      <c r="B984" s="36"/>
      <c r="C984" s="36"/>
      <c r="H984" s="36"/>
      <c r="I984" s="36"/>
      <c r="J984" s="36"/>
      <c r="K984" s="36"/>
      <c r="L984" s="36"/>
      <c r="M984" s="36"/>
      <c r="N984" s="36"/>
      <c r="O984" s="36"/>
    </row>
    <row r="985">
      <c r="A985" s="36"/>
      <c r="B985" s="36"/>
      <c r="C985" s="36"/>
      <c r="H985" s="36"/>
      <c r="I985" s="36"/>
      <c r="J985" s="36"/>
      <c r="K985" s="36"/>
      <c r="L985" s="36"/>
      <c r="M985" s="36"/>
      <c r="N985" s="36"/>
      <c r="O985" s="36"/>
    </row>
    <row r="986">
      <c r="A986" s="36"/>
      <c r="B986" s="36"/>
      <c r="C986" s="36"/>
      <c r="H986" s="36"/>
      <c r="I986" s="36"/>
      <c r="J986" s="36"/>
      <c r="K986" s="36"/>
      <c r="L986" s="36"/>
      <c r="M986" s="36"/>
      <c r="N986" s="36"/>
      <c r="O986" s="36"/>
    </row>
    <row r="987">
      <c r="A987" s="36"/>
      <c r="B987" s="36"/>
      <c r="C987" s="36"/>
      <c r="H987" s="36"/>
      <c r="I987" s="36"/>
      <c r="J987" s="36"/>
      <c r="K987" s="36"/>
      <c r="L987" s="36"/>
      <c r="M987" s="36"/>
      <c r="N987" s="36"/>
      <c r="O987" s="36"/>
    </row>
    <row r="988">
      <c r="A988" s="36"/>
      <c r="B988" s="36"/>
      <c r="C988" s="36"/>
      <c r="H988" s="36"/>
      <c r="I988" s="36"/>
      <c r="J988" s="36"/>
      <c r="K988" s="36"/>
      <c r="L988" s="36"/>
      <c r="M988" s="36"/>
      <c r="N988" s="36"/>
      <c r="O988" s="36"/>
    </row>
    <row r="989">
      <c r="A989" s="36"/>
      <c r="B989" s="36"/>
      <c r="C989" s="36"/>
      <c r="H989" s="36"/>
      <c r="I989" s="36"/>
      <c r="J989" s="36"/>
      <c r="K989" s="36"/>
      <c r="L989" s="36"/>
      <c r="M989" s="36"/>
      <c r="N989" s="36"/>
      <c r="O989" s="36"/>
    </row>
    <row r="990">
      <c r="A990" s="36"/>
      <c r="B990" s="36"/>
      <c r="C990" s="36"/>
      <c r="H990" s="36"/>
      <c r="I990" s="36"/>
      <c r="J990" s="36"/>
      <c r="K990" s="36"/>
      <c r="L990" s="36"/>
      <c r="M990" s="36"/>
      <c r="N990" s="36"/>
      <c r="O990" s="36"/>
    </row>
    <row r="991">
      <c r="A991" s="36"/>
      <c r="B991" s="36"/>
      <c r="C991" s="36"/>
      <c r="H991" s="36"/>
      <c r="I991" s="36"/>
      <c r="J991" s="36"/>
      <c r="K991" s="36"/>
      <c r="L991" s="36"/>
      <c r="M991" s="36"/>
      <c r="N991" s="36"/>
      <c r="O991" s="36"/>
    </row>
    <row r="992">
      <c r="A992" s="36"/>
      <c r="B992" s="36"/>
      <c r="C992" s="36"/>
      <c r="H992" s="36"/>
      <c r="I992" s="36"/>
      <c r="J992" s="36"/>
      <c r="K992" s="36"/>
      <c r="L992" s="36"/>
      <c r="M992" s="36"/>
      <c r="N992" s="36"/>
      <c r="O992" s="36"/>
    </row>
    <row r="993">
      <c r="A993" s="36"/>
      <c r="B993" s="36"/>
      <c r="C993" s="36"/>
      <c r="H993" s="36"/>
      <c r="I993" s="36"/>
      <c r="J993" s="36"/>
      <c r="K993" s="36"/>
      <c r="L993" s="36"/>
      <c r="M993" s="36"/>
      <c r="N993" s="36"/>
      <c r="O993" s="36"/>
    </row>
    <row r="994">
      <c r="A994" s="36"/>
      <c r="B994" s="36"/>
      <c r="C994" s="36"/>
      <c r="H994" s="36"/>
      <c r="I994" s="36"/>
      <c r="J994" s="36"/>
      <c r="K994" s="36"/>
      <c r="L994" s="36"/>
      <c r="M994" s="36"/>
      <c r="N994" s="36"/>
      <c r="O994" s="36"/>
    </row>
  </sheetData>
  <autoFilter ref="$A$1:$O$245"/>
  <conditionalFormatting sqref="B184:E184 G184:H184 J184 M184">
    <cfRule type="expression" dxfId="0" priority="1">
      <formula>COUNTIF($A$2:$A$266,B184)&gt;0</formula>
    </cfRule>
  </conditionalFormatting>
  <conditionalFormatting sqref="B184 D184">
    <cfRule type="expression" dxfId="0" priority="2">
      <formula>COUNTIF($A$2:$A$135,B184)&gt;0</formula>
    </cfRule>
  </conditionalFormatting>
  <conditionalFormatting sqref="B184 D184:D245">
    <cfRule type="expression" dxfId="0" priority="3">
      <formula>COUNTIF($A$2:$A$184,B184)&gt;0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38"/>
  </cols>
  <sheetData>
    <row r="1">
      <c r="A1" s="60" t="s">
        <v>207</v>
      </c>
      <c r="B1" s="60" t="s">
        <v>1</v>
      </c>
      <c r="C1" s="60" t="s">
        <v>2</v>
      </c>
      <c r="D1" s="61" t="s">
        <v>208</v>
      </c>
      <c r="E1" s="61" t="s">
        <v>111</v>
      </c>
      <c r="F1" s="61" t="s">
        <v>209</v>
      </c>
      <c r="G1" s="56" t="s">
        <v>6</v>
      </c>
      <c r="H1" s="57" t="s">
        <v>7</v>
      </c>
      <c r="I1" s="2" t="s">
        <v>8</v>
      </c>
      <c r="J1" s="62" t="s">
        <v>9</v>
      </c>
      <c r="K1" s="62" t="s">
        <v>10</v>
      </c>
      <c r="L1" s="2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36"/>
      <c r="AE1" s="36"/>
      <c r="AF1" s="36"/>
      <c r="AG1" s="10"/>
      <c r="AH1" s="10"/>
      <c r="AI1" s="10"/>
    </row>
    <row r="2">
      <c r="A2" s="11" t="s">
        <v>20</v>
      </c>
      <c r="B2" s="41">
        <f>IFERROR(__xludf.DUMMYFUNCTION("VLOOKUP(A2,IMPORTRANGE(""1EmrnCz2gLVTx5Cbj0e5tfuHPhTtmru8KTGuQvh7STl0/edit#gid=2147150001"",""Whole Data Set!$A$2:$NQ$253""),381,FALSE)"),83.25)</f>
        <v>83.25</v>
      </c>
      <c r="C2" s="63">
        <f t="shared" ref="C2:C233" si="1">B2/250</f>
        <v>0.333</v>
      </c>
      <c r="D2" s="12">
        <f>IFERROR(__xludf.DUMMYFUNCTION("VLOOKUP(A2,IMPORTRANGE(""1aFCnJY1qhIj8-JckJhDJ18aqmVo17tofpQmOjcYa3u8/edit#gid=948248086"",""Whole Data Set!$A$2:$NG$253""),371,FALSE)"),46.75)</f>
        <v>46.75</v>
      </c>
      <c r="E2" s="13">
        <f t="shared" ref="E2:E233" si="2">D2/250</f>
        <v>0.187</v>
      </c>
      <c r="F2" s="13">
        <f t="shared" ref="F2:F234" si="3">C2-E2</f>
        <v>0.146</v>
      </c>
      <c r="G2" s="12">
        <f>IFERROR(__xludf.DUMMYFUNCTION("VLOOKUP(A2,IMPORTRANGE(""1QZ5UxyNCwadreQAXnQ7oCoH982DjIA-QnZdO7ZoqkC0/edit#gid=0"",""2020-2021!$A$2:$O$255""),2,FALSE)"),49.75)</f>
        <v>49.75</v>
      </c>
      <c r="H2" s="14">
        <f t="shared" ref="H2:H233" si="4">G2/250</f>
        <v>0.199</v>
      </c>
      <c r="I2" s="15">
        <f t="shared" ref="I2:I234" si="5">C2-H2</f>
        <v>0.134</v>
      </c>
      <c r="J2" s="16">
        <f>IFERROR(__xludf.DUMMYFUNCTION("VLOOKUP(A2,IMPORTRANGE(""1QZ5UxyNCwadreQAXnQ7oCoH982DjIA-QnZdO7ZoqkC0/edit#gid=0"",""2020-2021!$A$2:$O$251""),4,FALSE)"),62.0)</f>
        <v>62</v>
      </c>
      <c r="K2" s="17">
        <f t="shared" ref="K2:K233" si="6">J2/250</f>
        <v>0.248</v>
      </c>
      <c r="L2" s="17">
        <f t="shared" ref="L2:L234" si="7">C2-K2</f>
        <v>0.085</v>
      </c>
    </row>
    <row r="3">
      <c r="A3" s="19" t="s">
        <v>89</v>
      </c>
      <c r="B3" s="41">
        <f>IFERROR(__xludf.DUMMYFUNCTION("VLOOKUP(A3,IMPORTRANGE(""1EmrnCz2gLVTx5Cbj0e5tfuHPhTtmru8KTGuQvh7STl0/edit#gid=2147150001"",""Whole Data Set!$A$2:$NQ$253""),381,FALSE)"),140.0)</f>
        <v>140</v>
      </c>
      <c r="C3" s="63">
        <f t="shared" si="1"/>
        <v>0.56</v>
      </c>
      <c r="D3" s="12">
        <f>IFERROR(__xludf.DUMMYFUNCTION("VLOOKUP(A3,IMPORTRANGE(""1aFCnJY1qhIj8-JckJhDJ18aqmVo17tofpQmOjcYa3u8/edit#gid=948248086"",""Whole Data Set!$A$2:$NG$253""),371,FALSE)"),128.0)</f>
        <v>128</v>
      </c>
      <c r="E3" s="13">
        <f t="shared" si="2"/>
        <v>0.512</v>
      </c>
      <c r="F3" s="13">
        <f t="shared" si="3"/>
        <v>0.048</v>
      </c>
      <c r="G3" s="12">
        <f>IFERROR(__xludf.DUMMYFUNCTION("VLOOKUP(A3,IMPORTRANGE(""1QZ5UxyNCwadreQAXnQ7oCoH982DjIA-QnZdO7ZoqkC0/edit#gid=0"",""2020-2021!$A$2:$O$255""),2,FALSE)"),136.0)</f>
        <v>136</v>
      </c>
      <c r="H3" s="14">
        <f t="shared" si="4"/>
        <v>0.544</v>
      </c>
      <c r="I3" s="15">
        <f t="shared" si="5"/>
        <v>0.016</v>
      </c>
      <c r="J3" s="16">
        <f>IFERROR(__xludf.DUMMYFUNCTION("VLOOKUP(A3,IMPORTRANGE(""1QZ5UxyNCwadreQAXnQ7oCoH982DjIA-QnZdO7ZoqkC0/edit#gid=0"",""2020-2021!$A$2:$O$251""),4,FALSE)"),173.5)</f>
        <v>173.5</v>
      </c>
      <c r="K3" s="17">
        <f t="shared" si="6"/>
        <v>0.694</v>
      </c>
      <c r="L3" s="17">
        <f t="shared" si="7"/>
        <v>-0.134</v>
      </c>
    </row>
    <row r="4">
      <c r="A4" s="19" t="s">
        <v>27</v>
      </c>
      <c r="B4" s="41">
        <f>IFERROR(__xludf.DUMMYFUNCTION("VLOOKUP(A4,IMPORTRANGE(""1EmrnCz2gLVTx5Cbj0e5tfuHPhTtmru8KTGuQvh7STl0/edit#gid=2147150001"",""Whole Data Set!$A$2:$NQ$253""),381,FALSE)"),7.5)</f>
        <v>7.5</v>
      </c>
      <c r="C4" s="63">
        <f t="shared" si="1"/>
        <v>0.03</v>
      </c>
      <c r="D4" s="12">
        <f>IFERROR(__xludf.DUMMYFUNCTION("VLOOKUP(A4,IMPORTRANGE(""1aFCnJY1qhIj8-JckJhDJ18aqmVo17tofpQmOjcYa3u8/edit#gid=948248086"",""Whole Data Set!$A$2:$NG$253""),371,FALSE)"),6.5)</f>
        <v>6.5</v>
      </c>
      <c r="E4" s="13">
        <f t="shared" si="2"/>
        <v>0.026</v>
      </c>
      <c r="F4" s="13">
        <f t="shared" si="3"/>
        <v>0.004</v>
      </c>
      <c r="G4" s="12">
        <f>IFERROR(__xludf.DUMMYFUNCTION("VLOOKUP(A4,IMPORTRANGE(""1QZ5UxyNCwadreQAXnQ7oCoH982DjIA-QnZdO7ZoqkC0/edit#gid=0"",""2020-2021!$A$2:$O$255""),2,FALSE)"),8.5)</f>
        <v>8.5</v>
      </c>
      <c r="H4" s="14">
        <f t="shared" si="4"/>
        <v>0.034</v>
      </c>
      <c r="I4" s="15">
        <f t="shared" si="5"/>
        <v>-0.004</v>
      </c>
      <c r="J4" s="16">
        <f>IFERROR(__xludf.DUMMYFUNCTION("VLOOKUP(A4,IMPORTRANGE(""1QZ5UxyNCwadreQAXnQ7oCoH982DjIA-QnZdO7ZoqkC0/edit#gid=0"",""2020-2021!$A$2:$O$251""),4,FALSE)"),10.0)</f>
        <v>10</v>
      </c>
      <c r="K4" s="17">
        <f t="shared" si="6"/>
        <v>0.04</v>
      </c>
      <c r="L4" s="17">
        <f t="shared" si="7"/>
        <v>-0.01</v>
      </c>
    </row>
    <row r="5">
      <c r="A5" s="19" t="s">
        <v>161</v>
      </c>
      <c r="B5" s="41">
        <f>IFERROR(__xludf.DUMMYFUNCTION("VLOOKUP(A5,IMPORTRANGE(""1EmrnCz2gLVTx5Cbj0e5tfuHPhTtmru8KTGuQvh7STl0/edit#gid=2147150001"",""Whole Data Set!$A$2:$NQ$253""),381,FALSE)"),78.0)</f>
        <v>78</v>
      </c>
      <c r="C5" s="63">
        <f t="shared" si="1"/>
        <v>0.312</v>
      </c>
      <c r="D5" s="12">
        <f>IFERROR(__xludf.DUMMYFUNCTION("VLOOKUP(A5,IMPORTRANGE(""1aFCnJY1qhIj8-JckJhDJ18aqmVo17tofpQmOjcYa3u8/edit#gid=948248086"",""Whole Data Set!$A$2:$NG$253""),371,FALSE)"),77.5)</f>
        <v>77.5</v>
      </c>
      <c r="E5" s="13">
        <f t="shared" si="2"/>
        <v>0.31</v>
      </c>
      <c r="F5" s="13">
        <f t="shared" si="3"/>
        <v>0.002</v>
      </c>
      <c r="G5" s="12">
        <f>IFERROR(__xludf.DUMMYFUNCTION("VLOOKUP(A5,IMPORTRANGE(""1QZ5UxyNCwadreQAXnQ7oCoH982DjIA-QnZdO7ZoqkC0/edit#gid=0"",""2020-2021!$A$2:$O$255""),2,FALSE)"),62.0)</f>
        <v>62</v>
      </c>
      <c r="H5" s="14">
        <f t="shared" si="4"/>
        <v>0.248</v>
      </c>
      <c r="I5" s="15">
        <f t="shared" si="5"/>
        <v>0.064</v>
      </c>
      <c r="J5" s="16">
        <f>IFERROR(__xludf.DUMMYFUNCTION("VLOOKUP(A5,IMPORTRANGE(""1QZ5UxyNCwadreQAXnQ7oCoH982DjIA-QnZdO7ZoqkC0/edit#gid=0"",""2020-2021!$A$2:$O$251""),4,FALSE)"),63.0)</f>
        <v>63</v>
      </c>
      <c r="K5" s="17">
        <f t="shared" si="6"/>
        <v>0.252</v>
      </c>
      <c r="L5" s="17">
        <f t="shared" si="7"/>
        <v>0.06</v>
      </c>
    </row>
    <row r="6">
      <c r="A6" s="19" t="s">
        <v>162</v>
      </c>
      <c r="B6" s="41">
        <f>IFERROR(__xludf.DUMMYFUNCTION("VLOOKUP(A6,IMPORTRANGE(""1EmrnCz2gLVTx5Cbj0e5tfuHPhTtmru8KTGuQvh7STl0/edit#gid=2147150001"",""Whole Data Set!$A$2:$NQ$253""),381,FALSE)"),86.0)</f>
        <v>86</v>
      </c>
      <c r="C6" s="63">
        <f t="shared" si="1"/>
        <v>0.344</v>
      </c>
      <c r="D6" s="12">
        <f>IFERROR(__xludf.DUMMYFUNCTION("VLOOKUP(A6,IMPORTRANGE(""1aFCnJY1qhIj8-JckJhDJ18aqmVo17tofpQmOjcYa3u8/edit#gid=948248086"",""Whole Data Set!$A$2:$NG$253""),371,FALSE)"),76.0)</f>
        <v>76</v>
      </c>
      <c r="E6" s="13">
        <f t="shared" si="2"/>
        <v>0.304</v>
      </c>
      <c r="F6" s="13">
        <f t="shared" si="3"/>
        <v>0.04</v>
      </c>
      <c r="G6" s="12">
        <f>IFERROR(__xludf.DUMMYFUNCTION("VLOOKUP(A6,IMPORTRANGE(""1QZ5UxyNCwadreQAXnQ7oCoH982DjIA-QnZdO7ZoqkC0/edit#gid=0"",""2020-2021!$A$2:$O$255""),2,FALSE)"),77.0)</f>
        <v>77</v>
      </c>
      <c r="H6" s="14">
        <f t="shared" si="4"/>
        <v>0.308</v>
      </c>
      <c r="I6" s="15">
        <f t="shared" si="5"/>
        <v>0.036</v>
      </c>
      <c r="J6" s="16">
        <f>IFERROR(__xludf.DUMMYFUNCTION("VLOOKUP(A6,IMPORTRANGE(""1QZ5UxyNCwadreQAXnQ7oCoH982DjIA-QnZdO7ZoqkC0/edit#gid=0"",""2020-2021!$A$2:$O$251""),4,FALSE)"),75.0)</f>
        <v>75</v>
      </c>
      <c r="K6" s="17">
        <f t="shared" si="6"/>
        <v>0.3</v>
      </c>
      <c r="L6" s="17">
        <f t="shared" si="7"/>
        <v>0.044</v>
      </c>
    </row>
    <row r="7">
      <c r="A7" s="19" t="s">
        <v>163</v>
      </c>
      <c r="B7" s="41">
        <f>IFERROR(__xludf.DUMMYFUNCTION("VLOOKUP(A7,IMPORTRANGE(""1EmrnCz2gLVTx5Cbj0e5tfuHPhTtmru8KTGuQvh7STl0/edit#gid=2147150001"",""Whole Data Set!$A$2:$NQ$253""),381,FALSE)"),35.75)</f>
        <v>35.75</v>
      </c>
      <c r="C7" s="63">
        <f t="shared" si="1"/>
        <v>0.143</v>
      </c>
      <c r="D7" s="12">
        <f>IFERROR(__xludf.DUMMYFUNCTION("VLOOKUP(A7,IMPORTRANGE(""1aFCnJY1qhIj8-JckJhDJ18aqmVo17tofpQmOjcYa3u8/edit#gid=948248086"",""Whole Data Set!$A$2:$NG$253""),371,FALSE)"),35.0)</f>
        <v>35</v>
      </c>
      <c r="E7" s="13">
        <f t="shared" si="2"/>
        <v>0.14</v>
      </c>
      <c r="F7" s="13">
        <f t="shared" si="3"/>
        <v>0.003</v>
      </c>
      <c r="G7" s="12">
        <f>IFERROR(__xludf.DUMMYFUNCTION("VLOOKUP(A7,IMPORTRANGE(""1QZ5UxyNCwadreQAXnQ7oCoH982DjIA-QnZdO7ZoqkC0/edit#gid=0"",""2020-2021!$A$2:$O$255""),2,FALSE)"),35.5)</f>
        <v>35.5</v>
      </c>
      <c r="H7" s="14">
        <f t="shared" si="4"/>
        <v>0.142</v>
      </c>
      <c r="I7" s="15">
        <f t="shared" si="5"/>
        <v>0.001</v>
      </c>
      <c r="J7" s="16">
        <f>IFERROR(__xludf.DUMMYFUNCTION("VLOOKUP(A7,IMPORTRANGE(""1QZ5UxyNCwadreQAXnQ7oCoH982DjIA-QnZdO7ZoqkC0/edit#gid=0"",""2020-2021!$A$2:$O$251""),4,FALSE)"),43.5)</f>
        <v>43.5</v>
      </c>
      <c r="K7" s="17">
        <f t="shared" si="6"/>
        <v>0.174</v>
      </c>
      <c r="L7" s="17">
        <f t="shared" si="7"/>
        <v>-0.031</v>
      </c>
    </row>
    <row r="8">
      <c r="A8" s="19" t="s">
        <v>23</v>
      </c>
      <c r="B8" s="41">
        <f>IFERROR(__xludf.DUMMYFUNCTION("VLOOKUP(A8,IMPORTRANGE(""1EmrnCz2gLVTx5Cbj0e5tfuHPhTtmru8KTGuQvh7STl0/edit#gid=2147150001"",""Whole Data Set!$A$2:$NQ$253""),381,FALSE)"),64.25)</f>
        <v>64.25</v>
      </c>
      <c r="C8" s="63">
        <f t="shared" si="1"/>
        <v>0.257</v>
      </c>
      <c r="D8" s="12">
        <f>IFERROR(__xludf.DUMMYFUNCTION("VLOOKUP(A8,IMPORTRANGE(""1aFCnJY1qhIj8-JckJhDJ18aqmVo17tofpQmOjcYa3u8/edit#gid=948248086"",""Whole Data Set!$A$2:$NG$253""),371,FALSE)"),77.25)</f>
        <v>77.25</v>
      </c>
      <c r="E8" s="13">
        <f t="shared" si="2"/>
        <v>0.309</v>
      </c>
      <c r="F8" s="13">
        <f t="shared" si="3"/>
        <v>-0.052</v>
      </c>
      <c r="G8" s="12">
        <f>IFERROR(__xludf.DUMMYFUNCTION("VLOOKUP(A8,IMPORTRANGE(""1QZ5UxyNCwadreQAXnQ7oCoH982DjIA-QnZdO7ZoqkC0/edit#gid=0"",""2020-2021!$A$2:$O$255""),2,FALSE)"),68.25)</f>
        <v>68.25</v>
      </c>
      <c r="H8" s="14">
        <f t="shared" si="4"/>
        <v>0.273</v>
      </c>
      <c r="I8" s="15">
        <f t="shared" si="5"/>
        <v>-0.016</v>
      </c>
      <c r="J8" s="16">
        <f>IFERROR(__xludf.DUMMYFUNCTION("VLOOKUP(A8,IMPORTRANGE(""1QZ5UxyNCwadreQAXnQ7oCoH982DjIA-QnZdO7ZoqkC0/edit#gid=0"",""2020-2021!$A$2:$O$251""),4,FALSE)"),63.5)</f>
        <v>63.5</v>
      </c>
      <c r="K8" s="17">
        <f t="shared" si="6"/>
        <v>0.254</v>
      </c>
      <c r="L8" s="17">
        <f t="shared" si="7"/>
        <v>0.003</v>
      </c>
    </row>
    <row r="9">
      <c r="A9" s="20" t="s">
        <v>24</v>
      </c>
      <c r="B9" s="41">
        <f>IFERROR(__xludf.DUMMYFUNCTION("VLOOKUP(A9,IMPORTRANGE(""1EmrnCz2gLVTx5Cbj0e5tfuHPhTtmru8KTGuQvh7STl0/edit#gid=2147150001"",""Whole Data Set!$A$2:$NQ$253""),381,FALSE)"),53.5)</f>
        <v>53.5</v>
      </c>
      <c r="C9" s="63">
        <f t="shared" si="1"/>
        <v>0.214</v>
      </c>
      <c r="D9" s="12">
        <f>IFERROR(__xludf.DUMMYFUNCTION("VLOOKUP(A9,IMPORTRANGE(""1aFCnJY1qhIj8-JckJhDJ18aqmVo17tofpQmOjcYa3u8/edit#gid=948248086"",""Whole Data Set!$A$2:$NG$253""),371,FALSE)"),45.75)</f>
        <v>45.75</v>
      </c>
      <c r="E9" s="13">
        <f t="shared" si="2"/>
        <v>0.183</v>
      </c>
      <c r="F9" s="13">
        <f t="shared" si="3"/>
        <v>0.031</v>
      </c>
      <c r="G9" s="12">
        <f>IFERROR(__xludf.DUMMYFUNCTION("VLOOKUP(A9,IMPORTRANGE(""1QZ5UxyNCwadreQAXnQ7oCoH982DjIA-QnZdO7ZoqkC0/edit#gid=0"",""2020-2021!$A$2:$O$255""),2,FALSE)"),38.75)</f>
        <v>38.75</v>
      </c>
      <c r="H9" s="14">
        <f t="shared" si="4"/>
        <v>0.155</v>
      </c>
      <c r="I9" s="15">
        <f t="shared" si="5"/>
        <v>0.059</v>
      </c>
      <c r="J9" s="16">
        <f>IFERROR(__xludf.DUMMYFUNCTION("VLOOKUP(A9,IMPORTRANGE(""1QZ5UxyNCwadreQAXnQ7oCoH982DjIA-QnZdO7ZoqkC0/edit#gid=0"",""2020-2021!$A$2:$O$251""),4,FALSE)"),43.0)</f>
        <v>43</v>
      </c>
      <c r="K9" s="17">
        <f t="shared" si="6"/>
        <v>0.172</v>
      </c>
      <c r="L9" s="17">
        <f t="shared" si="7"/>
        <v>0.042</v>
      </c>
    </row>
    <row r="10">
      <c r="A10" s="19" t="s">
        <v>113</v>
      </c>
      <c r="B10" s="41">
        <f>IFERROR(__xludf.DUMMYFUNCTION("VLOOKUP(A10,IMPORTRANGE(""1EmrnCz2gLVTx5Cbj0e5tfuHPhTtmru8KTGuQvh7STl0/edit#gid=2147150001"",""Whole Data Set!$A$2:$NQ$253""),381,FALSE)"),0.25)</f>
        <v>0.25</v>
      </c>
      <c r="C10" s="63">
        <f t="shared" si="1"/>
        <v>0.001</v>
      </c>
      <c r="D10" s="12">
        <f>IFERROR(__xludf.DUMMYFUNCTION("VLOOKUP(A10,IMPORTRANGE(""1aFCnJY1qhIj8-JckJhDJ18aqmVo17tofpQmOjcYa3u8/edit#gid=948248086"",""Whole Data Set!$A$2:$NG$253""),371,FALSE)"),13.25)</f>
        <v>13.25</v>
      </c>
      <c r="E10" s="13">
        <f t="shared" si="2"/>
        <v>0.053</v>
      </c>
      <c r="F10" s="13">
        <f t="shared" si="3"/>
        <v>-0.052</v>
      </c>
      <c r="G10" s="12">
        <f>IFERROR(__xludf.DUMMYFUNCTION("VLOOKUP(A10,IMPORTRANGE(""1QZ5UxyNCwadreQAXnQ7oCoH982DjIA-QnZdO7ZoqkC0/edit#gid=0"",""2020-2021!$A$2:$O$255""),2,FALSE)"),17.5)</f>
        <v>17.5</v>
      </c>
      <c r="H10" s="14">
        <f t="shared" si="4"/>
        <v>0.07</v>
      </c>
      <c r="I10" s="15">
        <f t="shared" si="5"/>
        <v>-0.069</v>
      </c>
      <c r="J10" s="16">
        <f>IFERROR(__xludf.DUMMYFUNCTION("VLOOKUP(A10,IMPORTRANGE(""1QZ5UxyNCwadreQAXnQ7oCoH982DjIA-QnZdO7ZoqkC0/edit#gid=0"",""2020-2021!$A$2:$O$251""),4,FALSE)"),21.0)</f>
        <v>21</v>
      </c>
      <c r="K10" s="17">
        <f t="shared" si="6"/>
        <v>0.084</v>
      </c>
      <c r="L10" s="17">
        <f t="shared" si="7"/>
        <v>-0.083</v>
      </c>
    </row>
    <row r="11">
      <c r="A11" s="19" t="s">
        <v>25</v>
      </c>
      <c r="B11" s="41">
        <f>IFERROR(__xludf.DUMMYFUNCTION("VLOOKUP(A11,IMPORTRANGE(""1EmrnCz2gLVTx5Cbj0e5tfuHPhTtmru8KTGuQvh7STl0/edit#gid=2147150001"",""Whole Data Set!$A$2:$NQ$253""),381,FALSE)"),32.5)</f>
        <v>32.5</v>
      </c>
      <c r="C11" s="63">
        <f t="shared" si="1"/>
        <v>0.13</v>
      </c>
      <c r="D11" s="12">
        <f>IFERROR(__xludf.DUMMYFUNCTION("VLOOKUP(A11,IMPORTRANGE(""1aFCnJY1qhIj8-JckJhDJ18aqmVo17tofpQmOjcYa3u8/edit#gid=948248086"",""Whole Data Set!$A$2:$NG$253""),371,FALSE)"),34.75)</f>
        <v>34.75</v>
      </c>
      <c r="E11" s="13">
        <f t="shared" si="2"/>
        <v>0.139</v>
      </c>
      <c r="F11" s="13">
        <f t="shared" si="3"/>
        <v>-0.009</v>
      </c>
      <c r="G11" s="12">
        <f>IFERROR(__xludf.DUMMYFUNCTION("VLOOKUP(A11,IMPORTRANGE(""1QZ5UxyNCwadreQAXnQ7oCoH982DjIA-QnZdO7ZoqkC0/edit#gid=0"",""2020-2021!$A$2:$O$255""),2,FALSE)"),39.25)</f>
        <v>39.25</v>
      </c>
      <c r="H11" s="14">
        <f t="shared" si="4"/>
        <v>0.157</v>
      </c>
      <c r="I11" s="15">
        <f t="shared" si="5"/>
        <v>-0.027</v>
      </c>
      <c r="J11" s="16">
        <f>IFERROR(__xludf.DUMMYFUNCTION("VLOOKUP(A11,IMPORTRANGE(""1QZ5UxyNCwadreQAXnQ7oCoH982DjIA-QnZdO7ZoqkC0/edit#gid=0"",""2020-2021!$A$2:$O$251""),4,FALSE)"),50.5)</f>
        <v>50.5</v>
      </c>
      <c r="K11" s="17">
        <f t="shared" si="6"/>
        <v>0.202</v>
      </c>
      <c r="L11" s="17">
        <f t="shared" si="7"/>
        <v>-0.072</v>
      </c>
    </row>
    <row r="12">
      <c r="A12" s="19" t="s">
        <v>210</v>
      </c>
      <c r="B12" s="41">
        <f>IFERROR(__xludf.DUMMYFUNCTION("VLOOKUP(A12,IMPORTRANGE(""1EmrnCz2gLVTx5Cbj0e5tfuHPhTtmru8KTGuQvh7STl0/edit#gid=2147150001"",""Whole Data Set!$A$2:$NQ$253""),381,FALSE)"),54.25)</f>
        <v>54.25</v>
      </c>
      <c r="C12" s="63">
        <f t="shared" si="1"/>
        <v>0.217</v>
      </c>
      <c r="D12" s="12">
        <f>IFERROR(__xludf.DUMMYFUNCTION("VLOOKUP(A12,IMPORTRANGE(""1aFCnJY1qhIj8-JckJhDJ18aqmVo17tofpQmOjcYa3u8/edit#gid=948248086"",""Whole Data Set!$A$2:$NG$253""),371,FALSE)"),50.5)</f>
        <v>50.5</v>
      </c>
      <c r="E12" s="13">
        <f t="shared" si="2"/>
        <v>0.202</v>
      </c>
      <c r="F12" s="13">
        <f t="shared" si="3"/>
        <v>0.015</v>
      </c>
      <c r="G12" s="12">
        <f>IFERROR(__xludf.DUMMYFUNCTION("VLOOKUP(A12,IMPORTRANGE(""1QZ5UxyNCwadreQAXnQ7oCoH982DjIA-QnZdO7ZoqkC0/edit#gid=0"",""2020-2021!$A$2:$O$255""),2,FALSE)"),56.75)</f>
        <v>56.75</v>
      </c>
      <c r="H12" s="14">
        <f t="shared" si="4"/>
        <v>0.227</v>
      </c>
      <c r="I12" s="15">
        <f t="shared" si="5"/>
        <v>-0.01</v>
      </c>
      <c r="J12" s="16">
        <f>IFERROR(__xludf.DUMMYFUNCTION("VLOOKUP(A12,IMPORTRANGE(""1QZ5UxyNCwadreQAXnQ7oCoH982DjIA-QnZdO7ZoqkC0/edit#gid=0"",""2020-2021!$A$2:$O$251""),4,FALSE)"),39.5)</f>
        <v>39.5</v>
      </c>
      <c r="K12" s="17">
        <f t="shared" si="6"/>
        <v>0.158</v>
      </c>
      <c r="L12" s="17">
        <f t="shared" si="7"/>
        <v>0.059</v>
      </c>
    </row>
    <row r="13">
      <c r="A13" s="19" t="s">
        <v>26</v>
      </c>
      <c r="B13" s="41">
        <f>IFERROR(__xludf.DUMMYFUNCTION("VLOOKUP(A13,IMPORTRANGE(""1EmrnCz2gLVTx5Cbj0e5tfuHPhTtmru8KTGuQvh7STl0/edit#gid=2147150001"",""Whole Data Set!$A$2:$NQ$253""),381,FALSE)"),95.75)</f>
        <v>95.75</v>
      </c>
      <c r="C13" s="63">
        <f t="shared" si="1"/>
        <v>0.383</v>
      </c>
      <c r="D13" s="12">
        <f>IFERROR(__xludf.DUMMYFUNCTION("VLOOKUP(A13,IMPORTRANGE(""1aFCnJY1qhIj8-JckJhDJ18aqmVo17tofpQmOjcYa3u8/edit#gid=948248086"",""Whole Data Set!$A$2:$NG$253""),371,FALSE)"),48.5)</f>
        <v>48.5</v>
      </c>
      <c r="E13" s="13">
        <f t="shared" si="2"/>
        <v>0.194</v>
      </c>
      <c r="F13" s="13">
        <f t="shared" si="3"/>
        <v>0.189</v>
      </c>
      <c r="G13" s="12">
        <f>IFERROR(__xludf.DUMMYFUNCTION("VLOOKUP(A13,IMPORTRANGE(""1QZ5UxyNCwadreQAXnQ7oCoH982DjIA-QnZdO7ZoqkC0/edit#gid=0"",""2020-2021!$A$2:$O$255""),2,FALSE)"),34.75)</f>
        <v>34.75</v>
      </c>
      <c r="H13" s="14">
        <f t="shared" si="4"/>
        <v>0.139</v>
      </c>
      <c r="I13" s="15">
        <f t="shared" si="5"/>
        <v>0.244</v>
      </c>
      <c r="J13" s="16">
        <f>IFERROR(__xludf.DUMMYFUNCTION("VLOOKUP(A13,IMPORTRANGE(""1QZ5UxyNCwadreQAXnQ7oCoH982DjIA-QnZdO7ZoqkC0/edit#gid=0"",""2020-2021!$A$2:$O$251""),4,FALSE)"),22.0)</f>
        <v>22</v>
      </c>
      <c r="K13" s="17">
        <f t="shared" si="6"/>
        <v>0.088</v>
      </c>
      <c r="L13" s="17">
        <f t="shared" si="7"/>
        <v>0.295</v>
      </c>
    </row>
    <row r="14">
      <c r="A14" s="19" t="s">
        <v>75</v>
      </c>
      <c r="B14" s="41">
        <f>IFERROR(__xludf.DUMMYFUNCTION("VLOOKUP(A14,IMPORTRANGE(""1EmrnCz2gLVTx5Cbj0e5tfuHPhTtmru8KTGuQvh7STl0/edit#gid=2147150001"",""Whole Data Set!$A$2:$NQ$253""),381,FALSE)"),69.75)</f>
        <v>69.75</v>
      </c>
      <c r="C14" s="63">
        <f t="shared" si="1"/>
        <v>0.279</v>
      </c>
      <c r="D14" s="12">
        <f>IFERROR(__xludf.DUMMYFUNCTION("VLOOKUP(A14,IMPORTRANGE(""1aFCnJY1qhIj8-JckJhDJ18aqmVo17tofpQmOjcYa3u8/edit#gid=948248086"",""Whole Data Set!$A$2:$NG$253""),371,FALSE)"),68.5)</f>
        <v>68.5</v>
      </c>
      <c r="E14" s="13">
        <f t="shared" si="2"/>
        <v>0.274</v>
      </c>
      <c r="F14" s="13">
        <f t="shared" si="3"/>
        <v>0.005</v>
      </c>
      <c r="G14" s="12">
        <f>IFERROR(__xludf.DUMMYFUNCTION("VLOOKUP(A14,IMPORTRANGE(""1QZ5UxyNCwadreQAXnQ7oCoH982DjIA-QnZdO7ZoqkC0/edit#gid=0"",""2020-2021!$A$2:$O$255""),2,FALSE)"),95.5)</f>
        <v>95.5</v>
      </c>
      <c r="H14" s="14">
        <f t="shared" si="4"/>
        <v>0.382</v>
      </c>
      <c r="I14" s="15">
        <f t="shared" si="5"/>
        <v>-0.103</v>
      </c>
      <c r="J14" s="16">
        <f>IFERROR(__xludf.DUMMYFUNCTION("VLOOKUP(A14,IMPORTRANGE(""1QZ5UxyNCwadreQAXnQ7oCoH982DjIA-QnZdO7ZoqkC0/edit#gid=0"",""2020-2021!$A$2:$O$251""),4,FALSE)"),84.5)</f>
        <v>84.5</v>
      </c>
      <c r="K14" s="17">
        <f t="shared" si="6"/>
        <v>0.338</v>
      </c>
      <c r="L14" s="17">
        <f t="shared" si="7"/>
        <v>-0.059</v>
      </c>
    </row>
    <row r="15">
      <c r="A15" s="19" t="s">
        <v>28</v>
      </c>
      <c r="B15" s="41">
        <f>IFERROR(__xludf.DUMMYFUNCTION("VLOOKUP(A15,IMPORTRANGE(""1EmrnCz2gLVTx5Cbj0e5tfuHPhTtmru8KTGuQvh7STl0/edit#gid=2147150001"",""Whole Data Set!$A$2:$NQ$253""),381,FALSE)"),113.25)</f>
        <v>113.25</v>
      </c>
      <c r="C15" s="63">
        <f t="shared" si="1"/>
        <v>0.453</v>
      </c>
      <c r="D15" s="12">
        <f>IFERROR(__xludf.DUMMYFUNCTION("VLOOKUP(A15,IMPORTRANGE(""1aFCnJY1qhIj8-JckJhDJ18aqmVo17tofpQmOjcYa3u8/edit#gid=948248086"",""Whole Data Set!$A$2:$NG$253""),371,FALSE)"),110.25)</f>
        <v>110.25</v>
      </c>
      <c r="E15" s="13">
        <f t="shared" si="2"/>
        <v>0.441</v>
      </c>
      <c r="F15" s="13">
        <f t="shared" si="3"/>
        <v>0.012</v>
      </c>
      <c r="G15" s="12">
        <f>IFERROR(__xludf.DUMMYFUNCTION("VLOOKUP(A15,IMPORTRANGE(""1QZ5UxyNCwadreQAXnQ7oCoH982DjIA-QnZdO7ZoqkC0/edit#gid=0"",""2020-2021!$A$2:$O$255""),2,FALSE)"),122.25)</f>
        <v>122.25</v>
      </c>
      <c r="H15" s="14">
        <f t="shared" si="4"/>
        <v>0.489</v>
      </c>
      <c r="I15" s="15">
        <f t="shared" si="5"/>
        <v>-0.036</v>
      </c>
      <c r="J15" s="16">
        <f>IFERROR(__xludf.DUMMYFUNCTION("VLOOKUP(A15,IMPORTRANGE(""1QZ5UxyNCwadreQAXnQ7oCoH982DjIA-QnZdO7ZoqkC0/edit#gid=0"",""2020-2021!$A$2:$O$251""),4,FALSE)"),114.5)</f>
        <v>114.5</v>
      </c>
      <c r="K15" s="17">
        <f t="shared" si="6"/>
        <v>0.458</v>
      </c>
      <c r="L15" s="17">
        <f t="shared" si="7"/>
        <v>-0.005</v>
      </c>
    </row>
    <row r="16">
      <c r="A16" s="19" t="s">
        <v>29</v>
      </c>
      <c r="B16" s="41">
        <f>IFERROR(__xludf.DUMMYFUNCTION("VLOOKUP(A16,IMPORTRANGE(""1EmrnCz2gLVTx5Cbj0e5tfuHPhTtmru8KTGuQvh7STl0/edit#gid=2147150001"",""Whole Data Set!$A$2:$NQ$253""),381,FALSE)"),125.0)</f>
        <v>125</v>
      </c>
      <c r="C16" s="63">
        <f t="shared" si="1"/>
        <v>0.5</v>
      </c>
      <c r="D16" s="12">
        <f>IFERROR(__xludf.DUMMYFUNCTION("VLOOKUP(A16,IMPORTRANGE(""1aFCnJY1qhIj8-JckJhDJ18aqmVo17tofpQmOjcYa3u8/edit#gid=948248086"",""Whole Data Set!$A$2:$NG$253""),371,FALSE)"),126.5)</f>
        <v>126.5</v>
      </c>
      <c r="E16" s="13">
        <f t="shared" si="2"/>
        <v>0.506</v>
      </c>
      <c r="F16" s="13">
        <f t="shared" si="3"/>
        <v>-0.006</v>
      </c>
      <c r="G16" s="12">
        <f>IFERROR(__xludf.DUMMYFUNCTION("VLOOKUP(A16,IMPORTRANGE(""1QZ5UxyNCwadreQAXnQ7oCoH982DjIA-QnZdO7ZoqkC0/edit#gid=0"",""2020-2021!$A$2:$O$255""),2,FALSE)"),118.25)</f>
        <v>118.25</v>
      </c>
      <c r="H16" s="14">
        <f t="shared" si="4"/>
        <v>0.473</v>
      </c>
      <c r="I16" s="15">
        <f t="shared" si="5"/>
        <v>0.027</v>
      </c>
      <c r="J16" s="16">
        <f>IFERROR(__xludf.DUMMYFUNCTION("VLOOKUP(A16,IMPORTRANGE(""1QZ5UxyNCwadreQAXnQ7oCoH982DjIA-QnZdO7ZoqkC0/edit#gid=0"",""2020-2021!$A$2:$O$251""),4,FALSE)"),137.0)</f>
        <v>137</v>
      </c>
      <c r="K16" s="17">
        <f t="shared" si="6"/>
        <v>0.548</v>
      </c>
      <c r="L16" s="17">
        <f t="shared" si="7"/>
        <v>-0.048</v>
      </c>
    </row>
    <row r="17">
      <c r="A17" s="19" t="s">
        <v>211</v>
      </c>
      <c r="B17" s="41">
        <f>IFERROR(__xludf.DUMMYFUNCTION("VLOOKUP(A17,IMPORTRANGE(""1EmrnCz2gLVTx5Cbj0e5tfuHPhTtmru8KTGuQvh7STl0/edit#gid=2147150001"",""Whole Data Set!$A$2:$NQ$253""),381,FALSE)"),126.25)</f>
        <v>126.25</v>
      </c>
      <c r="C17" s="63">
        <f t="shared" si="1"/>
        <v>0.505</v>
      </c>
      <c r="D17" s="12">
        <f>IFERROR(__xludf.DUMMYFUNCTION("VLOOKUP(A17,IMPORTRANGE(""1aFCnJY1qhIj8-JckJhDJ18aqmVo17tofpQmOjcYa3u8/edit#gid=948248086"",""Whole Data Set!$A$2:$NG$253""),371,FALSE)"),116.5)</f>
        <v>116.5</v>
      </c>
      <c r="E17" s="13">
        <f t="shared" si="2"/>
        <v>0.466</v>
      </c>
      <c r="F17" s="13">
        <f t="shared" si="3"/>
        <v>0.039</v>
      </c>
      <c r="G17" s="12">
        <f>IFERROR(__xludf.DUMMYFUNCTION("VLOOKUP(A17,IMPORTRANGE(""1QZ5UxyNCwadreQAXnQ7oCoH982DjIA-QnZdO7ZoqkC0/edit#gid=0"",""2020-2021!$A$2:$O$255""),2,FALSE)"),107.0)</f>
        <v>107</v>
      </c>
      <c r="H17" s="14">
        <f t="shared" si="4"/>
        <v>0.428</v>
      </c>
      <c r="I17" s="15">
        <f t="shared" si="5"/>
        <v>0.077</v>
      </c>
      <c r="J17" s="16">
        <f>IFERROR(__xludf.DUMMYFUNCTION("VLOOKUP(A17,IMPORTRANGE(""1QZ5UxyNCwadreQAXnQ7oCoH982DjIA-QnZdO7ZoqkC0/edit#gid=0"",""2020-2021!$A$2:$O$251""),4,FALSE)"),117.0)</f>
        <v>117</v>
      </c>
      <c r="K17" s="17">
        <f t="shared" si="6"/>
        <v>0.468</v>
      </c>
      <c r="L17" s="17">
        <f t="shared" si="7"/>
        <v>0.037</v>
      </c>
    </row>
    <row r="18">
      <c r="A18" s="19" t="s">
        <v>212</v>
      </c>
      <c r="B18" s="41">
        <f>IFERROR(__xludf.DUMMYFUNCTION("VLOOKUP(A18,IMPORTRANGE(""1EmrnCz2gLVTx5Cbj0e5tfuHPhTtmru8KTGuQvh7STl0/edit#gid=2147150001"",""Whole Data Set!$A$2:$NQ$253""),381,FALSE)"),82.75)</f>
        <v>82.75</v>
      </c>
      <c r="C18" s="63">
        <f t="shared" si="1"/>
        <v>0.331</v>
      </c>
      <c r="D18" s="12">
        <f>IFERROR(__xludf.DUMMYFUNCTION("VLOOKUP(A18,IMPORTRANGE(""1aFCnJY1qhIj8-JckJhDJ18aqmVo17tofpQmOjcYa3u8/edit#gid=948248086"",""Whole Data Set!$A$2:$NG$253""),371,FALSE)"),62.25)</f>
        <v>62.25</v>
      </c>
      <c r="E18" s="13">
        <f t="shared" si="2"/>
        <v>0.249</v>
      </c>
      <c r="F18" s="13">
        <f t="shared" si="3"/>
        <v>0.082</v>
      </c>
      <c r="G18" s="12">
        <f>IFERROR(__xludf.DUMMYFUNCTION("VLOOKUP(A18,IMPORTRANGE(""1QZ5UxyNCwadreQAXnQ7oCoH982DjIA-QnZdO7ZoqkC0/edit#gid=0"",""2020-2021!$A$2:$O$255""),2,FALSE)"),35.0)</f>
        <v>35</v>
      </c>
      <c r="H18" s="14">
        <f t="shared" si="4"/>
        <v>0.14</v>
      </c>
      <c r="I18" s="15">
        <f t="shared" si="5"/>
        <v>0.191</v>
      </c>
      <c r="J18" s="16">
        <f>IFERROR(__xludf.DUMMYFUNCTION("VLOOKUP(A18,IMPORTRANGE(""1QZ5UxyNCwadreQAXnQ7oCoH982DjIA-QnZdO7ZoqkC0/edit#gid=0"",""2020-2021!$A$2:$O$251""),4,FALSE)"),0.0)</f>
        <v>0</v>
      </c>
      <c r="K18" s="17">
        <f t="shared" si="6"/>
        <v>0</v>
      </c>
      <c r="L18" s="17">
        <f t="shared" si="7"/>
        <v>0.331</v>
      </c>
    </row>
    <row r="19">
      <c r="A19" s="20" t="s">
        <v>57</v>
      </c>
      <c r="B19" s="41">
        <f>IFERROR(__xludf.DUMMYFUNCTION("VLOOKUP(A19,IMPORTRANGE(""1EmrnCz2gLVTx5Cbj0e5tfuHPhTtmru8KTGuQvh7STl0/edit#gid=2147150001"",""Whole Data Set!$A$2:$NQ$253""),381,FALSE)"),120.25)</f>
        <v>120.25</v>
      </c>
      <c r="C19" s="63">
        <f t="shared" si="1"/>
        <v>0.481</v>
      </c>
      <c r="D19" s="12">
        <f>IFERROR(__xludf.DUMMYFUNCTION("VLOOKUP(A19,IMPORTRANGE(""1aFCnJY1qhIj8-JckJhDJ18aqmVo17tofpQmOjcYa3u8/edit#gid=948248086"",""Whole Data Set!$A$2:$NG$253""),371,FALSE)"),109.5)</f>
        <v>109.5</v>
      </c>
      <c r="E19" s="13">
        <f t="shared" si="2"/>
        <v>0.438</v>
      </c>
      <c r="F19" s="13">
        <f t="shared" si="3"/>
        <v>0.043</v>
      </c>
      <c r="G19" s="12">
        <f>IFERROR(__xludf.DUMMYFUNCTION("VLOOKUP(A19,IMPORTRANGE(""1QZ5UxyNCwadreQAXnQ7oCoH982DjIA-QnZdO7ZoqkC0/edit#gid=0"",""2020-2021!$A$2:$O$255""),2,FALSE)"),123.0)</f>
        <v>123</v>
      </c>
      <c r="H19" s="14">
        <f t="shared" si="4"/>
        <v>0.492</v>
      </c>
      <c r="I19" s="15">
        <f t="shared" si="5"/>
        <v>-0.011</v>
      </c>
      <c r="J19" s="16">
        <f>IFERROR(__xludf.DUMMYFUNCTION("VLOOKUP(A19,IMPORTRANGE(""1QZ5UxyNCwadreQAXnQ7oCoH982DjIA-QnZdO7ZoqkC0/edit#gid=0"",""2020-2021!$A$2:$O$251""),4,FALSE)"),125.0)</f>
        <v>125</v>
      </c>
      <c r="K19" s="17">
        <f t="shared" si="6"/>
        <v>0.5</v>
      </c>
      <c r="L19" s="17">
        <f t="shared" si="7"/>
        <v>-0.019</v>
      </c>
    </row>
    <row r="20">
      <c r="A20" s="20" t="s">
        <v>164</v>
      </c>
      <c r="B20" s="41">
        <f>IFERROR(__xludf.DUMMYFUNCTION("VLOOKUP(A20,IMPORTRANGE(""1EmrnCz2gLVTx5Cbj0e5tfuHPhTtmru8KTGuQvh7STl0/edit#gid=2147150001"",""Whole Data Set!$A$2:$NQ$253""),381,FALSE)"),3.25)</f>
        <v>3.25</v>
      </c>
      <c r="C20" s="63">
        <f t="shared" si="1"/>
        <v>0.013</v>
      </c>
      <c r="D20" s="12">
        <f>IFERROR(__xludf.DUMMYFUNCTION("VLOOKUP(A20,IMPORTRANGE(""1aFCnJY1qhIj8-JckJhDJ18aqmVo17tofpQmOjcYa3u8/edit#gid=948248086"",""Whole Data Set!$A$2:$NG$253""),371,FALSE)"),3.25)</f>
        <v>3.25</v>
      </c>
      <c r="E20" s="13">
        <f t="shared" si="2"/>
        <v>0.013</v>
      </c>
      <c r="F20" s="13">
        <f t="shared" si="3"/>
        <v>0</v>
      </c>
      <c r="G20" s="12">
        <f>IFERROR(__xludf.DUMMYFUNCTION("VLOOKUP(A20,IMPORTRANGE(""1QZ5UxyNCwadreQAXnQ7oCoH982DjIA-QnZdO7ZoqkC0/edit#gid=0"",""2020-2021!$A$2:$O$255""),2,FALSE)"),4.75)</f>
        <v>4.75</v>
      </c>
      <c r="H20" s="14">
        <f t="shared" si="4"/>
        <v>0.019</v>
      </c>
      <c r="I20" s="15">
        <f t="shared" si="5"/>
        <v>-0.006</v>
      </c>
      <c r="J20" s="16">
        <f>IFERROR(__xludf.DUMMYFUNCTION("VLOOKUP(A20,IMPORTRANGE(""1QZ5UxyNCwadreQAXnQ7oCoH982DjIA-QnZdO7ZoqkC0/edit#gid=0"",""2020-2021!$A$2:$O$251""),4,FALSE)"),8.0)</f>
        <v>8</v>
      </c>
      <c r="K20" s="17">
        <f t="shared" si="6"/>
        <v>0.032</v>
      </c>
      <c r="L20" s="17">
        <f t="shared" si="7"/>
        <v>-0.019</v>
      </c>
    </row>
    <row r="21">
      <c r="A21" s="19" t="s">
        <v>165</v>
      </c>
      <c r="B21" s="41">
        <f>IFERROR(__xludf.DUMMYFUNCTION("VLOOKUP(A21,IMPORTRANGE(""1EmrnCz2gLVTx5Cbj0e5tfuHPhTtmru8KTGuQvh7STl0/edit#gid=2147150001"",""Whole Data Set!$A$2:$NQ$253""),381,FALSE)"),17.0)</f>
        <v>17</v>
      </c>
      <c r="C21" s="63">
        <f t="shared" si="1"/>
        <v>0.068</v>
      </c>
      <c r="D21" s="12">
        <f>IFERROR(__xludf.DUMMYFUNCTION("VLOOKUP(A21,IMPORTRANGE(""1aFCnJY1qhIj8-JckJhDJ18aqmVo17tofpQmOjcYa3u8/edit#gid=948248086"",""Whole Data Set!$A$2:$NG$253""),371,FALSE)"),17.75)</f>
        <v>17.75</v>
      </c>
      <c r="E21" s="13">
        <f t="shared" si="2"/>
        <v>0.071</v>
      </c>
      <c r="F21" s="13">
        <f t="shared" si="3"/>
        <v>-0.003</v>
      </c>
      <c r="G21" s="12">
        <f>IFERROR(__xludf.DUMMYFUNCTION("VLOOKUP(A21,IMPORTRANGE(""1QZ5UxyNCwadreQAXnQ7oCoH982DjIA-QnZdO7ZoqkC0/edit#gid=0"",""2020-2021!$A$2:$O$255""),2,FALSE)"),17.5)</f>
        <v>17.5</v>
      </c>
      <c r="H21" s="14">
        <f t="shared" si="4"/>
        <v>0.07</v>
      </c>
      <c r="I21" s="15">
        <f t="shared" si="5"/>
        <v>-0.002</v>
      </c>
      <c r="J21" s="16">
        <f>IFERROR(__xludf.DUMMYFUNCTION("VLOOKUP(A21,IMPORTRANGE(""1QZ5UxyNCwadreQAXnQ7oCoH982DjIA-QnZdO7ZoqkC0/edit#gid=0"",""2020-2021!$A$2:$O$251""),4,FALSE)"),19.0)</f>
        <v>19</v>
      </c>
      <c r="K21" s="17">
        <f t="shared" si="6"/>
        <v>0.076</v>
      </c>
      <c r="L21" s="17">
        <f t="shared" si="7"/>
        <v>-0.008</v>
      </c>
    </row>
    <row r="22">
      <c r="A22" s="19" t="s">
        <v>213</v>
      </c>
      <c r="B22" s="41">
        <f>IFERROR(__xludf.DUMMYFUNCTION("VLOOKUP(A22,IMPORTRANGE(""1EmrnCz2gLVTx5Cbj0e5tfuHPhTtmru8KTGuQvh7STl0/edit#gid=2147150001"",""Whole Data Set!$A$2:$NQ$253""),381,FALSE)"),0.0)</f>
        <v>0</v>
      </c>
      <c r="C22" s="63">
        <f t="shared" si="1"/>
        <v>0</v>
      </c>
      <c r="D22" s="12">
        <f>IFERROR(__xludf.DUMMYFUNCTION("VLOOKUP(A22,IMPORTRANGE(""1aFCnJY1qhIj8-JckJhDJ18aqmVo17tofpQmOjcYa3u8/edit#gid=948248086"",""Whole Data Set!$A$2:$NG$253""),371,FALSE)"),0.0)</f>
        <v>0</v>
      </c>
      <c r="E22" s="13">
        <f t="shared" si="2"/>
        <v>0</v>
      </c>
      <c r="F22" s="13">
        <f t="shared" si="3"/>
        <v>0</v>
      </c>
      <c r="G22" s="12">
        <f>IFERROR(__xludf.DUMMYFUNCTION("VLOOKUP(A22,IMPORTRANGE(""1QZ5UxyNCwadreQAXnQ7oCoH982DjIA-QnZdO7ZoqkC0/edit#gid=0"",""2020-2021!$A$2:$O$255""),2,FALSE)"),0.0)</f>
        <v>0</v>
      </c>
      <c r="H22" s="14">
        <f t="shared" si="4"/>
        <v>0</v>
      </c>
      <c r="I22" s="15">
        <f t="shared" si="5"/>
        <v>0</v>
      </c>
      <c r="J22" s="16">
        <f>IFERROR(__xludf.DUMMYFUNCTION("VLOOKUP(A22,IMPORTRANGE(""1QZ5UxyNCwadreQAXnQ7oCoH982DjIA-QnZdO7ZoqkC0/edit#gid=0"",""2020-2021!$A$2:$O$251""),4,FALSE)"),0.0)</f>
        <v>0</v>
      </c>
      <c r="K22" s="17">
        <f t="shared" si="6"/>
        <v>0</v>
      </c>
      <c r="L22" s="17">
        <f t="shared" si="7"/>
        <v>0</v>
      </c>
    </row>
    <row r="23">
      <c r="A23" s="19" t="s">
        <v>31</v>
      </c>
      <c r="B23" s="41">
        <f>IFERROR(__xludf.DUMMYFUNCTION("VLOOKUP(A23,IMPORTRANGE(""1EmrnCz2gLVTx5Cbj0e5tfuHPhTtmru8KTGuQvh7STl0/edit#gid=2147150001"",""Whole Data Set!$A$2:$NQ$253""),381,FALSE)"),124.5)</f>
        <v>124.5</v>
      </c>
      <c r="C23" s="63">
        <f t="shared" si="1"/>
        <v>0.498</v>
      </c>
      <c r="D23" s="12">
        <f>IFERROR(__xludf.DUMMYFUNCTION("VLOOKUP(A23,IMPORTRANGE(""1aFCnJY1qhIj8-JckJhDJ18aqmVo17tofpQmOjcYa3u8/edit#gid=948248086"",""Whole Data Set!$A$2:$NG$253""),371,FALSE)"),107.75)</f>
        <v>107.75</v>
      </c>
      <c r="E23" s="13">
        <f t="shared" si="2"/>
        <v>0.431</v>
      </c>
      <c r="F23" s="13">
        <f t="shared" si="3"/>
        <v>0.067</v>
      </c>
      <c r="G23" s="12">
        <f>IFERROR(__xludf.DUMMYFUNCTION("VLOOKUP(A23,IMPORTRANGE(""1QZ5UxyNCwadreQAXnQ7oCoH982DjIA-QnZdO7ZoqkC0/edit#gid=0"",""2020-2021!$A$2:$O$255""),2,FALSE)"),89.5)</f>
        <v>89.5</v>
      </c>
      <c r="H23" s="14">
        <f t="shared" si="4"/>
        <v>0.358</v>
      </c>
      <c r="I23" s="15">
        <f t="shared" si="5"/>
        <v>0.14</v>
      </c>
      <c r="J23" s="16">
        <f>IFERROR(__xludf.DUMMYFUNCTION("VLOOKUP(A23,IMPORTRANGE(""1QZ5UxyNCwadreQAXnQ7oCoH982DjIA-QnZdO7ZoqkC0/edit#gid=0"",""2020-2021!$A$2:$O$251""),4,FALSE)"),110.5)</f>
        <v>110.5</v>
      </c>
      <c r="K23" s="17">
        <f t="shared" si="6"/>
        <v>0.442</v>
      </c>
      <c r="L23" s="17">
        <f t="shared" si="7"/>
        <v>0.056</v>
      </c>
    </row>
    <row r="24">
      <c r="A24" s="20" t="s">
        <v>214</v>
      </c>
      <c r="B24" s="41">
        <f>IFERROR(__xludf.DUMMYFUNCTION("VLOOKUP(A24,IMPORTRANGE(""1EmrnCz2gLVTx5Cbj0e5tfuHPhTtmru8KTGuQvh7STl0/edit#gid=2147150001"",""Whole Data Set!$A$2:$NQ$253""),381,FALSE)"),0.0)</f>
        <v>0</v>
      </c>
      <c r="C24" s="63">
        <f t="shared" si="1"/>
        <v>0</v>
      </c>
      <c r="D24" s="12">
        <f>IFERROR(__xludf.DUMMYFUNCTION("VLOOKUP(A24,IMPORTRANGE(""1aFCnJY1qhIj8-JckJhDJ18aqmVo17tofpQmOjcYa3u8/edit#gid=948248086"",""Whole Data Set!$A$2:$NG$253""),371,FALSE)"),0.0)</f>
        <v>0</v>
      </c>
      <c r="E24" s="13">
        <f t="shared" si="2"/>
        <v>0</v>
      </c>
      <c r="F24" s="13">
        <f t="shared" si="3"/>
        <v>0</v>
      </c>
      <c r="G24" s="12">
        <f>IFERROR(__xludf.DUMMYFUNCTION("VLOOKUP(A24,IMPORTRANGE(""1QZ5UxyNCwadreQAXnQ7oCoH982DjIA-QnZdO7ZoqkC0/edit#gid=0"",""2020-2021!$A$2:$O$255""),2,FALSE)"),0.0)</f>
        <v>0</v>
      </c>
      <c r="H24" s="14">
        <f t="shared" si="4"/>
        <v>0</v>
      </c>
      <c r="I24" s="15">
        <f t="shared" si="5"/>
        <v>0</v>
      </c>
      <c r="J24" s="16">
        <f>IFERROR(__xludf.DUMMYFUNCTION("VLOOKUP(A24,IMPORTRANGE(""1QZ5UxyNCwadreQAXnQ7oCoH982DjIA-QnZdO7ZoqkC0/edit#gid=0"",""2020-2021!$A$2:$O$251""),4,FALSE)"),3.0)</f>
        <v>3</v>
      </c>
      <c r="K24" s="17">
        <f t="shared" si="6"/>
        <v>0.012</v>
      </c>
      <c r="L24" s="17">
        <f t="shared" si="7"/>
        <v>-0.012</v>
      </c>
    </row>
    <row r="25">
      <c r="A25" s="19" t="s">
        <v>215</v>
      </c>
      <c r="B25" s="41">
        <f>IFERROR(__xludf.DUMMYFUNCTION("VLOOKUP(A25,IMPORTRANGE(""1EmrnCz2gLVTx5Cbj0e5tfuHPhTtmru8KTGuQvh7STl0/edit#gid=2147150001"",""Whole Data Set!$A$2:$NQ$253""),381,FALSE)"),97.0)</f>
        <v>97</v>
      </c>
      <c r="C25" s="63">
        <f t="shared" si="1"/>
        <v>0.388</v>
      </c>
      <c r="D25" s="12">
        <f>IFERROR(__xludf.DUMMYFUNCTION("VLOOKUP(A25,IMPORTRANGE(""1aFCnJY1qhIj8-JckJhDJ18aqmVo17tofpQmOjcYa3u8/edit#gid=948248086"",""Whole Data Set!$A$2:$NG$253""),371,FALSE)"),95.25)</f>
        <v>95.25</v>
      </c>
      <c r="E25" s="13">
        <f t="shared" si="2"/>
        <v>0.381</v>
      </c>
      <c r="F25" s="13">
        <f t="shared" si="3"/>
        <v>0.007</v>
      </c>
      <c r="G25" s="12">
        <f>IFERROR(__xludf.DUMMYFUNCTION("VLOOKUP(A25,IMPORTRANGE(""1QZ5UxyNCwadreQAXnQ7oCoH982DjIA-QnZdO7ZoqkC0/edit#gid=0"",""2020-2021!$A$2:$O$255""),2,FALSE)"),73.0)</f>
        <v>73</v>
      </c>
      <c r="H25" s="14">
        <f t="shared" si="4"/>
        <v>0.292</v>
      </c>
      <c r="I25" s="15">
        <f t="shared" si="5"/>
        <v>0.096</v>
      </c>
      <c r="J25" s="16">
        <f>IFERROR(__xludf.DUMMYFUNCTION("VLOOKUP(A25,IMPORTRANGE(""1QZ5UxyNCwadreQAXnQ7oCoH982DjIA-QnZdO7ZoqkC0/edit#gid=0"",""2020-2021!$A$2:$O$251""),4,FALSE)"),75.5)</f>
        <v>75.5</v>
      </c>
      <c r="K25" s="17">
        <f t="shared" si="6"/>
        <v>0.302</v>
      </c>
      <c r="L25" s="17">
        <f t="shared" si="7"/>
        <v>0.086</v>
      </c>
    </row>
    <row r="26">
      <c r="A26" s="19" t="s">
        <v>216</v>
      </c>
      <c r="B26" s="41">
        <f>IFERROR(__xludf.DUMMYFUNCTION("VLOOKUP(A26,IMPORTRANGE(""1EmrnCz2gLVTx5Cbj0e5tfuHPhTtmru8KTGuQvh7STl0/edit#gid=2147150001"",""Whole Data Set!$A$2:$NQ$253""),381,FALSE)"),15.75)</f>
        <v>15.75</v>
      </c>
      <c r="C26" s="63">
        <f t="shared" si="1"/>
        <v>0.063</v>
      </c>
      <c r="D26" s="12">
        <f>IFERROR(__xludf.DUMMYFUNCTION("VLOOKUP(A26,IMPORTRANGE(""1aFCnJY1qhIj8-JckJhDJ18aqmVo17tofpQmOjcYa3u8/edit#gid=948248086"",""Whole Data Set!$A$2:$NG$253""),371,FALSE)"),16.75)</f>
        <v>16.75</v>
      </c>
      <c r="E26" s="13">
        <f t="shared" si="2"/>
        <v>0.067</v>
      </c>
      <c r="F26" s="13">
        <f t="shared" si="3"/>
        <v>-0.004</v>
      </c>
      <c r="G26" s="12">
        <f>IFERROR(__xludf.DUMMYFUNCTION("VLOOKUP(A26,IMPORTRANGE(""1QZ5UxyNCwadreQAXnQ7oCoH982DjIA-QnZdO7ZoqkC0/edit#gid=0"",""2020-2021!$A$2:$O$255""),2,FALSE)"),0.75)</f>
        <v>0.75</v>
      </c>
      <c r="H26" s="14">
        <f t="shared" si="4"/>
        <v>0.003</v>
      </c>
      <c r="I26" s="15">
        <f t="shared" si="5"/>
        <v>0.06</v>
      </c>
      <c r="J26" s="16">
        <f>IFERROR(__xludf.DUMMYFUNCTION("VLOOKUP(A26,IMPORTRANGE(""1QZ5UxyNCwadreQAXnQ7oCoH982DjIA-QnZdO7ZoqkC0/edit#gid=0"",""2020-2021!$A$2:$O$251""),4,FALSE)"),8.5)</f>
        <v>8.5</v>
      </c>
      <c r="K26" s="17">
        <f t="shared" si="6"/>
        <v>0.034</v>
      </c>
      <c r="L26" s="17">
        <f t="shared" si="7"/>
        <v>0.029</v>
      </c>
    </row>
    <row r="27">
      <c r="A27" s="20" t="s">
        <v>114</v>
      </c>
      <c r="B27" s="41">
        <f>IFERROR(__xludf.DUMMYFUNCTION("VLOOKUP(A27,IMPORTRANGE(""1EmrnCz2gLVTx5Cbj0e5tfuHPhTtmru8KTGuQvh7STl0/edit#gid=2147150001"",""Whole Data Set!$A$2:$NQ$253""),381,FALSE)"),16.5)</f>
        <v>16.5</v>
      </c>
      <c r="C27" s="63">
        <f t="shared" si="1"/>
        <v>0.066</v>
      </c>
      <c r="D27" s="12">
        <f>IFERROR(__xludf.DUMMYFUNCTION("VLOOKUP(A27,IMPORTRANGE(""1aFCnJY1qhIj8-JckJhDJ18aqmVo17tofpQmOjcYa3u8/edit#gid=948248086"",""Whole Data Set!$A$2:$NG$253""),371,FALSE)"),14.25)</f>
        <v>14.25</v>
      </c>
      <c r="E27" s="13">
        <f t="shared" si="2"/>
        <v>0.057</v>
      </c>
      <c r="F27" s="13">
        <f t="shared" si="3"/>
        <v>0.009</v>
      </c>
      <c r="G27" s="12">
        <f>IFERROR(__xludf.DUMMYFUNCTION("VLOOKUP(A27,IMPORTRANGE(""1QZ5UxyNCwadreQAXnQ7oCoH982DjIA-QnZdO7ZoqkC0/edit#gid=0"",""2020-2021!$A$2:$O$255""),2,FALSE)"),25.0)</f>
        <v>25</v>
      </c>
      <c r="H27" s="14">
        <f t="shared" si="4"/>
        <v>0.1</v>
      </c>
      <c r="I27" s="15">
        <f t="shared" si="5"/>
        <v>-0.034</v>
      </c>
      <c r="J27" s="16">
        <f>IFERROR(__xludf.DUMMYFUNCTION("VLOOKUP(A27,IMPORTRANGE(""1QZ5UxyNCwadreQAXnQ7oCoH982DjIA-QnZdO7ZoqkC0/edit#gid=0"",""2020-2021!$A$2:$O$251""),4,FALSE)"),39.0)</f>
        <v>39</v>
      </c>
      <c r="K27" s="17">
        <f t="shared" si="6"/>
        <v>0.156</v>
      </c>
      <c r="L27" s="17">
        <f t="shared" si="7"/>
        <v>-0.09</v>
      </c>
    </row>
    <row r="28">
      <c r="A28" s="19" t="s">
        <v>115</v>
      </c>
      <c r="B28" s="41">
        <f>IFERROR(__xludf.DUMMYFUNCTION("VLOOKUP(A28,IMPORTRANGE(""1EmrnCz2gLVTx5Cbj0e5tfuHPhTtmru8KTGuQvh7STl0/edit#gid=2147150001"",""Whole Data Set!$A$2:$NQ$253""),381,FALSE)"),93.0)</f>
        <v>93</v>
      </c>
      <c r="C28" s="63">
        <f t="shared" si="1"/>
        <v>0.372</v>
      </c>
      <c r="D28" s="12">
        <f>IFERROR(__xludf.DUMMYFUNCTION("VLOOKUP(A28,IMPORTRANGE(""1aFCnJY1qhIj8-JckJhDJ18aqmVo17tofpQmOjcYa3u8/edit#gid=948248086"",""Whole Data Set!$A$2:$NG$253""),371,FALSE)"),89.25)</f>
        <v>89.25</v>
      </c>
      <c r="E28" s="13">
        <f t="shared" si="2"/>
        <v>0.357</v>
      </c>
      <c r="F28" s="13">
        <f t="shared" si="3"/>
        <v>0.015</v>
      </c>
      <c r="G28" s="12">
        <f>IFERROR(__xludf.DUMMYFUNCTION("VLOOKUP(A28,IMPORTRANGE(""1QZ5UxyNCwadreQAXnQ7oCoH982DjIA-QnZdO7ZoqkC0/edit#gid=0"",""2020-2021!$A$2:$O$255""),2,FALSE)"),88.25)</f>
        <v>88.25</v>
      </c>
      <c r="H28" s="14">
        <f t="shared" si="4"/>
        <v>0.353</v>
      </c>
      <c r="I28" s="15">
        <f t="shared" si="5"/>
        <v>0.019</v>
      </c>
      <c r="J28" s="16">
        <f>IFERROR(__xludf.DUMMYFUNCTION("VLOOKUP(A28,IMPORTRANGE(""1QZ5UxyNCwadreQAXnQ7oCoH982DjIA-QnZdO7ZoqkC0/edit#gid=0"",""2020-2021!$A$2:$O$251""),4,FALSE)"),107.5)</f>
        <v>107.5</v>
      </c>
      <c r="K28" s="17">
        <f t="shared" si="6"/>
        <v>0.43</v>
      </c>
      <c r="L28" s="17">
        <f t="shared" si="7"/>
        <v>-0.058</v>
      </c>
    </row>
    <row r="29">
      <c r="A29" s="19" t="s">
        <v>166</v>
      </c>
      <c r="B29" s="41">
        <f>IFERROR(__xludf.DUMMYFUNCTION("VLOOKUP(A29,IMPORTRANGE(""1EmrnCz2gLVTx5Cbj0e5tfuHPhTtmru8KTGuQvh7STl0/edit#gid=2147150001"",""Whole Data Set!$A$2:$NQ$253""),381,FALSE)"),60.75)</f>
        <v>60.75</v>
      </c>
      <c r="C29" s="63">
        <f t="shared" si="1"/>
        <v>0.243</v>
      </c>
      <c r="D29" s="12">
        <f>IFERROR(__xludf.DUMMYFUNCTION("VLOOKUP(A29,IMPORTRANGE(""1aFCnJY1qhIj8-JckJhDJ18aqmVo17tofpQmOjcYa3u8/edit#gid=948248086"",""Whole Data Set!$A$2:$NG$253""),371,FALSE)"),70.25)</f>
        <v>70.25</v>
      </c>
      <c r="E29" s="13">
        <f t="shared" si="2"/>
        <v>0.281</v>
      </c>
      <c r="F29" s="13">
        <f t="shared" si="3"/>
        <v>-0.038</v>
      </c>
      <c r="G29" s="12">
        <f>IFERROR(__xludf.DUMMYFUNCTION("VLOOKUP(A29,IMPORTRANGE(""1QZ5UxyNCwadreQAXnQ7oCoH982DjIA-QnZdO7ZoqkC0/edit#gid=0"",""2020-2021!$A$2:$O$255""),2,FALSE)"),49.25)</f>
        <v>49.25</v>
      </c>
      <c r="H29" s="14">
        <f t="shared" si="4"/>
        <v>0.197</v>
      </c>
      <c r="I29" s="15">
        <f t="shared" si="5"/>
        <v>0.046</v>
      </c>
      <c r="J29" s="16">
        <f>IFERROR(__xludf.DUMMYFUNCTION("VLOOKUP(A29,IMPORTRANGE(""1QZ5UxyNCwadreQAXnQ7oCoH982DjIA-QnZdO7ZoqkC0/edit#gid=0"",""2020-2021!$A$2:$O$251""),4,FALSE)"),23.0)</f>
        <v>23</v>
      </c>
      <c r="K29" s="17">
        <f t="shared" si="6"/>
        <v>0.092</v>
      </c>
      <c r="L29" s="17">
        <f t="shared" si="7"/>
        <v>0.151</v>
      </c>
    </row>
    <row r="30">
      <c r="A30" s="19" t="s">
        <v>217</v>
      </c>
      <c r="B30" s="41">
        <f>IFERROR(__xludf.DUMMYFUNCTION("VLOOKUP(A30,IMPORTRANGE(""1EmrnCz2gLVTx5Cbj0e5tfuHPhTtmru8KTGuQvh7STl0/edit#gid=2147150001"",""Whole Data Set!$A$2:$NQ$253""),381,FALSE)"),0.25)</f>
        <v>0.25</v>
      </c>
      <c r="C30" s="63">
        <f t="shared" si="1"/>
        <v>0.001</v>
      </c>
      <c r="D30" s="12">
        <f>IFERROR(__xludf.DUMMYFUNCTION("VLOOKUP(A30,IMPORTRANGE(""1aFCnJY1qhIj8-JckJhDJ18aqmVo17tofpQmOjcYa3u8/edit#gid=948248086"",""Whole Data Set!$A$2:$NG$253""),371,FALSE)"),15.5)</f>
        <v>15.5</v>
      </c>
      <c r="E30" s="13">
        <f t="shared" si="2"/>
        <v>0.062</v>
      </c>
      <c r="F30" s="13">
        <f t="shared" si="3"/>
        <v>-0.061</v>
      </c>
      <c r="G30" s="12">
        <f>IFERROR(__xludf.DUMMYFUNCTION("VLOOKUP(A30,IMPORTRANGE(""1QZ5UxyNCwadreQAXnQ7oCoH982DjIA-QnZdO7ZoqkC0/edit#gid=0"",""2020-2021!$A$2:$O$255""),2,FALSE)"),11.5)</f>
        <v>11.5</v>
      </c>
      <c r="H30" s="14">
        <f t="shared" si="4"/>
        <v>0.046</v>
      </c>
      <c r="I30" s="15">
        <f t="shared" si="5"/>
        <v>-0.045</v>
      </c>
      <c r="J30" s="16">
        <f>IFERROR(__xludf.DUMMYFUNCTION("VLOOKUP(A30,IMPORTRANGE(""1QZ5UxyNCwadreQAXnQ7oCoH982DjIA-QnZdO7ZoqkC0/edit#gid=0"",""2020-2021!$A$2:$O$251""),4,FALSE)"),18.5)</f>
        <v>18.5</v>
      </c>
      <c r="K30" s="17">
        <f t="shared" si="6"/>
        <v>0.074</v>
      </c>
      <c r="L30" s="17">
        <f t="shared" si="7"/>
        <v>-0.073</v>
      </c>
    </row>
    <row r="31">
      <c r="A31" s="20" t="s">
        <v>32</v>
      </c>
      <c r="B31" s="41">
        <f>IFERROR(__xludf.DUMMYFUNCTION("VLOOKUP(A31,IMPORTRANGE(""1EmrnCz2gLVTx5Cbj0e5tfuHPhTtmru8KTGuQvh7STl0/edit#gid=2147150001"",""Whole Data Set!$A$2:$NQ$253""),381,FALSE)"),126.25)</f>
        <v>126.25</v>
      </c>
      <c r="C31" s="63">
        <f t="shared" si="1"/>
        <v>0.505</v>
      </c>
      <c r="D31" s="12">
        <f>IFERROR(__xludf.DUMMYFUNCTION("VLOOKUP(A31,IMPORTRANGE(""1aFCnJY1qhIj8-JckJhDJ18aqmVo17tofpQmOjcYa3u8/edit#gid=948248086"",""Whole Data Set!$A$2:$NG$253""),371,FALSE)"),115.5)</f>
        <v>115.5</v>
      </c>
      <c r="E31" s="13">
        <f t="shared" si="2"/>
        <v>0.462</v>
      </c>
      <c r="F31" s="13">
        <f t="shared" si="3"/>
        <v>0.043</v>
      </c>
      <c r="G31" s="12">
        <f>IFERROR(__xludf.DUMMYFUNCTION("VLOOKUP(A31,IMPORTRANGE(""1QZ5UxyNCwadreQAXnQ7oCoH982DjIA-QnZdO7ZoqkC0/edit#gid=0"",""2020-2021!$A$2:$O$255""),2,FALSE)"),106.0)</f>
        <v>106</v>
      </c>
      <c r="H31" s="14">
        <f t="shared" si="4"/>
        <v>0.424</v>
      </c>
      <c r="I31" s="15">
        <f t="shared" si="5"/>
        <v>0.081</v>
      </c>
      <c r="J31" s="16">
        <f>IFERROR(__xludf.DUMMYFUNCTION("VLOOKUP(A31,IMPORTRANGE(""1QZ5UxyNCwadreQAXnQ7oCoH982DjIA-QnZdO7ZoqkC0/edit#gid=0"",""2020-2021!$A$2:$O$251""),4,FALSE)"),116.0)</f>
        <v>116</v>
      </c>
      <c r="K31" s="17">
        <f t="shared" si="6"/>
        <v>0.464</v>
      </c>
      <c r="L31" s="17">
        <f t="shared" si="7"/>
        <v>0.041</v>
      </c>
    </row>
    <row r="32">
      <c r="A32" s="64" t="s">
        <v>218</v>
      </c>
      <c r="B32" s="41">
        <f>IFERROR(__xludf.DUMMYFUNCTION("VLOOKUP(A32,IMPORTRANGE(""1EmrnCz2gLVTx5Cbj0e5tfuHPhTtmru8KTGuQvh7STl0/edit#gid=2147150001"",""Whole Data Set!$A$2:$NQ$253""),381,FALSE)"),90.25)</f>
        <v>90.25</v>
      </c>
      <c r="C32" s="63">
        <f t="shared" si="1"/>
        <v>0.361</v>
      </c>
      <c r="D32" s="12">
        <f>IFERROR(__xludf.DUMMYFUNCTION("VLOOKUP(A32,IMPORTRANGE(""1aFCnJY1qhIj8-JckJhDJ18aqmVo17tofpQmOjcYa3u8/edit#gid=948248086"",""Whole Data Set!$A$2:$NG$253""),371,FALSE)"),67.75)</f>
        <v>67.75</v>
      </c>
      <c r="E32" s="13">
        <f t="shared" si="2"/>
        <v>0.271</v>
      </c>
      <c r="F32" s="13">
        <f t="shared" si="3"/>
        <v>0.09</v>
      </c>
      <c r="G32" s="12">
        <f>IFERROR(__xludf.DUMMYFUNCTION("VLOOKUP(A32,IMPORTRANGE(""1QZ5UxyNCwadreQAXnQ7oCoH982DjIA-QnZdO7ZoqkC0/edit#gid=0"",""2020-2021!$A$2:$O$255""),2,FALSE)"),74.0)</f>
        <v>74</v>
      </c>
      <c r="H32" s="14">
        <f t="shared" si="4"/>
        <v>0.296</v>
      </c>
      <c r="I32" s="15">
        <f t="shared" si="5"/>
        <v>0.065</v>
      </c>
      <c r="J32" s="16">
        <f>IFERROR(__xludf.DUMMYFUNCTION("VLOOKUP(A32,IMPORTRANGE(""1QZ5UxyNCwadreQAXnQ7oCoH982DjIA-QnZdO7ZoqkC0/edit#gid=0"",""2020-2021!$A$2:$O$251""),4,FALSE)"),63.5)</f>
        <v>63.5</v>
      </c>
      <c r="K32" s="17">
        <f t="shared" si="6"/>
        <v>0.254</v>
      </c>
      <c r="L32" s="17">
        <f t="shared" si="7"/>
        <v>0.107</v>
      </c>
    </row>
    <row r="33">
      <c r="A33" s="20" t="s">
        <v>167</v>
      </c>
      <c r="B33" s="41">
        <f>IFERROR(__xludf.DUMMYFUNCTION("VLOOKUP(A33,IMPORTRANGE(""1EmrnCz2gLVTx5Cbj0e5tfuHPhTtmru8KTGuQvh7STl0/edit#gid=2147150001"",""Whole Data Set!$A$2:$NQ$253""),381,FALSE)"),34.75)</f>
        <v>34.75</v>
      </c>
      <c r="C33" s="63">
        <f t="shared" si="1"/>
        <v>0.139</v>
      </c>
      <c r="D33" s="12">
        <f>IFERROR(__xludf.DUMMYFUNCTION("VLOOKUP(A33,IMPORTRANGE(""1aFCnJY1qhIj8-JckJhDJ18aqmVo17tofpQmOjcYa3u8/edit#gid=948248086"",""Whole Data Set!$A$2:$NG$253""),371,FALSE)"),36.0)</f>
        <v>36</v>
      </c>
      <c r="E33" s="13">
        <f t="shared" si="2"/>
        <v>0.144</v>
      </c>
      <c r="F33" s="13">
        <f t="shared" si="3"/>
        <v>-0.005</v>
      </c>
      <c r="G33" s="12">
        <f>IFERROR(__xludf.DUMMYFUNCTION("VLOOKUP(A33,IMPORTRANGE(""1QZ5UxyNCwadreQAXnQ7oCoH982DjIA-QnZdO7ZoqkC0/edit#gid=0"",""2020-2021!$A$2:$O$255""),2,FALSE)"),12.5)</f>
        <v>12.5</v>
      </c>
      <c r="H33" s="14">
        <f t="shared" si="4"/>
        <v>0.05</v>
      </c>
      <c r="I33" s="15">
        <f t="shared" si="5"/>
        <v>0.089</v>
      </c>
      <c r="J33" s="16">
        <f>IFERROR(__xludf.DUMMYFUNCTION("VLOOKUP(A33,IMPORTRANGE(""1QZ5UxyNCwadreQAXnQ7oCoH982DjIA-QnZdO7ZoqkC0/edit#gid=0"",""2020-2021!$A$2:$O$251""),4,FALSE)"),26.5)</f>
        <v>26.5</v>
      </c>
      <c r="K33" s="17">
        <f t="shared" si="6"/>
        <v>0.106</v>
      </c>
      <c r="L33" s="17">
        <f t="shared" si="7"/>
        <v>0.033</v>
      </c>
    </row>
    <row r="34">
      <c r="A34" s="19" t="s">
        <v>116</v>
      </c>
      <c r="B34" s="41">
        <f>IFERROR(__xludf.DUMMYFUNCTION("VLOOKUP(A34,IMPORTRANGE(""1EmrnCz2gLVTx5Cbj0e5tfuHPhTtmru8KTGuQvh7STl0/edit#gid=2147150001"",""Whole Data Set!$A$2:$NQ$253""),381,FALSE)"),10.0)</f>
        <v>10</v>
      </c>
      <c r="C34" s="63">
        <f t="shared" si="1"/>
        <v>0.04</v>
      </c>
      <c r="D34" s="12">
        <f>IFERROR(__xludf.DUMMYFUNCTION("VLOOKUP(A34,IMPORTRANGE(""1aFCnJY1qhIj8-JckJhDJ18aqmVo17tofpQmOjcYa3u8/edit#gid=948248086"",""Whole Data Set!$A$2:$NG$253""),371,FALSE)"),12.75)</f>
        <v>12.75</v>
      </c>
      <c r="E34" s="13">
        <f t="shared" si="2"/>
        <v>0.051</v>
      </c>
      <c r="F34" s="13">
        <f t="shared" si="3"/>
        <v>-0.011</v>
      </c>
      <c r="G34" s="12">
        <f>IFERROR(__xludf.DUMMYFUNCTION("VLOOKUP(A34,IMPORTRANGE(""1QZ5UxyNCwadreQAXnQ7oCoH982DjIA-QnZdO7ZoqkC0/edit#gid=0"",""2020-2021!$A$2:$O$255""),2,FALSE)"),17.75)</f>
        <v>17.75</v>
      </c>
      <c r="H34" s="14">
        <f t="shared" si="4"/>
        <v>0.071</v>
      </c>
      <c r="I34" s="15">
        <f t="shared" si="5"/>
        <v>-0.031</v>
      </c>
      <c r="J34" s="16">
        <f>IFERROR(__xludf.DUMMYFUNCTION("VLOOKUP(A34,IMPORTRANGE(""1QZ5UxyNCwadreQAXnQ7oCoH982DjIA-QnZdO7ZoqkC0/edit#gid=0"",""2020-2021!$A$2:$O$251""),4,FALSE)"),24.0)</f>
        <v>24</v>
      </c>
      <c r="K34" s="17">
        <f t="shared" si="6"/>
        <v>0.096</v>
      </c>
      <c r="L34" s="17">
        <f t="shared" si="7"/>
        <v>-0.056</v>
      </c>
    </row>
    <row r="35">
      <c r="A35" s="19" t="s">
        <v>33</v>
      </c>
      <c r="B35" s="41">
        <f>IFERROR(__xludf.DUMMYFUNCTION("VLOOKUP(A35,IMPORTRANGE(""1EmrnCz2gLVTx5Cbj0e5tfuHPhTtmru8KTGuQvh7STl0/edit#gid=2147150001"",""Whole Data Set!$A$2:$NQ$253""),381,FALSE)"),95.75)</f>
        <v>95.75</v>
      </c>
      <c r="C35" s="63">
        <f t="shared" si="1"/>
        <v>0.383</v>
      </c>
      <c r="D35" s="12">
        <f>IFERROR(__xludf.DUMMYFUNCTION("VLOOKUP(A35,IMPORTRANGE(""1aFCnJY1qhIj8-JckJhDJ18aqmVo17tofpQmOjcYa3u8/edit#gid=948248086"",""Whole Data Set!$A$2:$NG$253""),371,FALSE)"),98.75)</f>
        <v>98.75</v>
      </c>
      <c r="E35" s="13">
        <f t="shared" si="2"/>
        <v>0.395</v>
      </c>
      <c r="F35" s="13">
        <f t="shared" si="3"/>
        <v>-0.012</v>
      </c>
      <c r="G35" s="12">
        <f>IFERROR(__xludf.DUMMYFUNCTION("VLOOKUP(A35,IMPORTRANGE(""1QZ5UxyNCwadreQAXnQ7oCoH982DjIA-QnZdO7ZoqkC0/edit#gid=0"",""2020-2021!$A$2:$O$255""),2,FALSE)"),84.5)</f>
        <v>84.5</v>
      </c>
      <c r="H35" s="14">
        <f t="shared" si="4"/>
        <v>0.338</v>
      </c>
      <c r="I35" s="15">
        <f t="shared" si="5"/>
        <v>0.045</v>
      </c>
      <c r="J35" s="16">
        <f>IFERROR(__xludf.DUMMYFUNCTION("VLOOKUP(A35,IMPORTRANGE(""1QZ5UxyNCwadreQAXnQ7oCoH982DjIA-QnZdO7ZoqkC0/edit#gid=0"",""2020-2021!$A$2:$O$251""),4,FALSE)"),90.0)</f>
        <v>90</v>
      </c>
      <c r="K35" s="17">
        <f t="shared" si="6"/>
        <v>0.36</v>
      </c>
      <c r="L35" s="17">
        <f t="shared" si="7"/>
        <v>0.023</v>
      </c>
    </row>
    <row r="36">
      <c r="A36" s="19" t="s">
        <v>106</v>
      </c>
      <c r="B36" s="41">
        <f>IFERROR(__xludf.DUMMYFUNCTION("VLOOKUP(A36,IMPORTRANGE(""1EmrnCz2gLVTx5Cbj0e5tfuHPhTtmru8KTGuQvh7STl0/edit#gid=2147150001"",""Whole Data Set!$A$2:$NQ$253""),381,FALSE)"),36.0)</f>
        <v>36</v>
      </c>
      <c r="C36" s="63">
        <f t="shared" si="1"/>
        <v>0.144</v>
      </c>
      <c r="D36" s="12">
        <f>IFERROR(__xludf.DUMMYFUNCTION("VLOOKUP(A36,IMPORTRANGE(""1aFCnJY1qhIj8-JckJhDJ18aqmVo17tofpQmOjcYa3u8/edit#gid=948248086"",""Whole Data Set!$A$2:$NG$253""),371,FALSE)"),31.75)</f>
        <v>31.75</v>
      </c>
      <c r="E36" s="13">
        <f t="shared" si="2"/>
        <v>0.127</v>
      </c>
      <c r="F36" s="13">
        <f t="shared" si="3"/>
        <v>0.017</v>
      </c>
      <c r="G36" s="12">
        <f>IFERROR(__xludf.DUMMYFUNCTION("VLOOKUP(A36,IMPORTRANGE(""1QZ5UxyNCwadreQAXnQ7oCoH982DjIA-QnZdO7ZoqkC0/edit#gid=0"",""2020-2021!$A$2:$O$255""),2,FALSE)"),36.5)</f>
        <v>36.5</v>
      </c>
      <c r="H36" s="14">
        <f t="shared" si="4"/>
        <v>0.146</v>
      </c>
      <c r="I36" s="15">
        <f t="shared" si="5"/>
        <v>-0.002</v>
      </c>
      <c r="J36" s="16">
        <f>IFERROR(__xludf.DUMMYFUNCTION("VLOOKUP(A36,IMPORTRANGE(""1QZ5UxyNCwadreQAXnQ7oCoH982DjIA-QnZdO7ZoqkC0/edit#gid=0"",""2020-2021!$A$2:$O$251""),4,FALSE)"),36.0)</f>
        <v>36</v>
      </c>
      <c r="K36" s="17">
        <f t="shared" si="6"/>
        <v>0.144</v>
      </c>
      <c r="L36" s="17">
        <f t="shared" si="7"/>
        <v>0</v>
      </c>
    </row>
    <row r="37">
      <c r="A37" s="19" t="s">
        <v>35</v>
      </c>
      <c r="B37" s="41">
        <f>IFERROR(__xludf.DUMMYFUNCTION("VLOOKUP(A37,IMPORTRANGE(""1EmrnCz2gLVTx5Cbj0e5tfuHPhTtmru8KTGuQvh7STl0/edit#gid=2147150001"",""Whole Data Set!$A$2:$NQ$253""),381,FALSE)"),169.0)</f>
        <v>169</v>
      </c>
      <c r="C37" s="63">
        <f t="shared" si="1"/>
        <v>0.676</v>
      </c>
      <c r="D37" s="12">
        <f>IFERROR(__xludf.DUMMYFUNCTION("VLOOKUP(A37,IMPORTRANGE(""1aFCnJY1qhIj8-JckJhDJ18aqmVo17tofpQmOjcYa3u8/edit#gid=948248086"",""Whole Data Set!$A$2:$NG$253""),371,FALSE)"),147.75)</f>
        <v>147.75</v>
      </c>
      <c r="E37" s="13">
        <f t="shared" si="2"/>
        <v>0.591</v>
      </c>
      <c r="F37" s="13">
        <f t="shared" si="3"/>
        <v>0.085</v>
      </c>
      <c r="G37" s="12">
        <f>IFERROR(__xludf.DUMMYFUNCTION("VLOOKUP(A37,IMPORTRANGE(""1QZ5UxyNCwadreQAXnQ7oCoH982DjIA-QnZdO7ZoqkC0/edit#gid=0"",""2020-2021!$A$2:$O$255""),2,FALSE)"),162.75)</f>
        <v>162.75</v>
      </c>
      <c r="H37" s="14">
        <f t="shared" si="4"/>
        <v>0.651</v>
      </c>
      <c r="I37" s="15">
        <f t="shared" si="5"/>
        <v>0.025</v>
      </c>
      <c r="J37" s="16">
        <f>IFERROR(__xludf.DUMMYFUNCTION("VLOOKUP(A37,IMPORTRANGE(""1QZ5UxyNCwadreQAXnQ7oCoH982DjIA-QnZdO7ZoqkC0/edit#gid=0"",""2020-2021!$A$2:$O$251""),4,FALSE)"),174.5)</f>
        <v>174.5</v>
      </c>
      <c r="K37" s="17">
        <f t="shared" si="6"/>
        <v>0.698</v>
      </c>
      <c r="L37" s="17">
        <f t="shared" si="7"/>
        <v>-0.022</v>
      </c>
    </row>
    <row r="38">
      <c r="A38" s="19" t="s">
        <v>36</v>
      </c>
      <c r="B38" s="41">
        <f>IFERROR(__xludf.DUMMYFUNCTION("VLOOKUP(A38,IMPORTRANGE(""1EmrnCz2gLVTx5Cbj0e5tfuHPhTtmru8KTGuQvh7STl0/edit#gid=2147150001"",""Whole Data Set!$A$2:$NQ$253""),381,FALSE)"),120.25)</f>
        <v>120.25</v>
      </c>
      <c r="C38" s="63">
        <f t="shared" si="1"/>
        <v>0.481</v>
      </c>
      <c r="D38" s="12">
        <f>IFERROR(__xludf.DUMMYFUNCTION("VLOOKUP(A38,IMPORTRANGE(""1aFCnJY1qhIj8-JckJhDJ18aqmVo17tofpQmOjcYa3u8/edit#gid=948248086"",""Whole Data Set!$A$2:$NG$253""),371,FALSE)"),140.75)</f>
        <v>140.75</v>
      </c>
      <c r="E38" s="13">
        <f t="shared" si="2"/>
        <v>0.563</v>
      </c>
      <c r="F38" s="13">
        <f t="shared" si="3"/>
        <v>-0.082</v>
      </c>
      <c r="G38" s="12">
        <f>IFERROR(__xludf.DUMMYFUNCTION("VLOOKUP(A38,IMPORTRANGE(""1QZ5UxyNCwadreQAXnQ7oCoH982DjIA-QnZdO7ZoqkC0/edit#gid=0"",""2020-2021!$A$2:$O$255""),2,FALSE)"),147.5)</f>
        <v>147.5</v>
      </c>
      <c r="H38" s="14">
        <f t="shared" si="4"/>
        <v>0.59</v>
      </c>
      <c r="I38" s="15">
        <f t="shared" si="5"/>
        <v>-0.109</v>
      </c>
      <c r="J38" s="16">
        <f>IFERROR(__xludf.DUMMYFUNCTION("VLOOKUP(A38,IMPORTRANGE(""1QZ5UxyNCwadreQAXnQ7oCoH982DjIA-QnZdO7ZoqkC0/edit#gid=0"",""2020-2021!$A$2:$O$251""),4,FALSE)"),134.5)</f>
        <v>134.5</v>
      </c>
      <c r="K38" s="17">
        <f t="shared" si="6"/>
        <v>0.538</v>
      </c>
      <c r="L38" s="17">
        <f t="shared" si="7"/>
        <v>-0.057</v>
      </c>
    </row>
    <row r="39">
      <c r="A39" s="19" t="s">
        <v>37</v>
      </c>
      <c r="B39" s="41">
        <f>IFERROR(__xludf.DUMMYFUNCTION("VLOOKUP(A39,IMPORTRANGE(""1EmrnCz2gLVTx5Cbj0e5tfuHPhTtmru8KTGuQvh7STl0/edit#gid=2147150001"",""Whole Data Set!$A$2:$NQ$253""),381,FALSE)"),156.25)</f>
        <v>156.25</v>
      </c>
      <c r="C39" s="63">
        <f t="shared" si="1"/>
        <v>0.625</v>
      </c>
      <c r="D39" s="12">
        <f>IFERROR(__xludf.DUMMYFUNCTION("VLOOKUP(A39,IMPORTRANGE(""1aFCnJY1qhIj8-JckJhDJ18aqmVo17tofpQmOjcYa3u8/edit#gid=948248086"",""Whole Data Set!$A$2:$NG$253""),371,FALSE)"),134.75)</f>
        <v>134.75</v>
      </c>
      <c r="E39" s="13">
        <f t="shared" si="2"/>
        <v>0.539</v>
      </c>
      <c r="F39" s="13">
        <f t="shared" si="3"/>
        <v>0.086</v>
      </c>
      <c r="G39" s="12">
        <f>IFERROR(__xludf.DUMMYFUNCTION("VLOOKUP(A39,IMPORTRANGE(""1QZ5UxyNCwadreQAXnQ7oCoH982DjIA-QnZdO7ZoqkC0/edit#gid=0"",""2020-2021!$A$2:$O$255""),2,FALSE)"),26.75)</f>
        <v>26.75</v>
      </c>
      <c r="H39" s="14">
        <f t="shared" si="4"/>
        <v>0.107</v>
      </c>
      <c r="I39" s="15">
        <f t="shared" si="5"/>
        <v>0.518</v>
      </c>
      <c r="J39" s="16">
        <f>IFERROR(__xludf.DUMMYFUNCTION("VLOOKUP(A39,IMPORTRANGE(""1QZ5UxyNCwadreQAXnQ7oCoH982DjIA-QnZdO7ZoqkC0/edit#gid=0"",""2020-2021!$A$2:$O$251""),4,FALSE)"),33.0)</f>
        <v>33</v>
      </c>
      <c r="K39" s="17">
        <f t="shared" si="6"/>
        <v>0.132</v>
      </c>
      <c r="L39" s="17">
        <f t="shared" si="7"/>
        <v>0.493</v>
      </c>
    </row>
    <row r="40">
      <c r="A40" s="19" t="s">
        <v>219</v>
      </c>
      <c r="B40" s="41">
        <f>IFERROR(__xludf.DUMMYFUNCTION("VLOOKUP(A40,IMPORTRANGE(""1EmrnCz2gLVTx5Cbj0e5tfuHPhTtmru8KTGuQvh7STl0/edit#gid=2147150001"",""Whole Data Set!$A$2:$NQ$253""),381,FALSE)"),38.75)</f>
        <v>38.75</v>
      </c>
      <c r="C40" s="63">
        <f t="shared" si="1"/>
        <v>0.155</v>
      </c>
      <c r="D40" s="12">
        <f>IFERROR(__xludf.DUMMYFUNCTION("VLOOKUP(A40,IMPORTRANGE(""1aFCnJY1qhIj8-JckJhDJ18aqmVo17tofpQmOjcYa3u8/edit#gid=948248086"",""Whole Data Set!$A$2:$NG$253""),371,FALSE)"),21.5)</f>
        <v>21.5</v>
      </c>
      <c r="E40" s="13">
        <f t="shared" si="2"/>
        <v>0.086</v>
      </c>
      <c r="F40" s="13">
        <f t="shared" si="3"/>
        <v>0.069</v>
      </c>
      <c r="G40" s="12">
        <f>IFERROR(__xludf.DUMMYFUNCTION("VLOOKUP(A40,IMPORTRANGE(""1QZ5UxyNCwadreQAXnQ7oCoH982DjIA-QnZdO7ZoqkC0/edit#gid=0"",""2020-2021!$A$2:$O$255""),2,FALSE)"),21.0)</f>
        <v>21</v>
      </c>
      <c r="H40" s="14">
        <f t="shared" si="4"/>
        <v>0.084</v>
      </c>
      <c r="I40" s="15">
        <f t="shared" si="5"/>
        <v>0.071</v>
      </c>
      <c r="J40" s="16">
        <f>IFERROR(__xludf.DUMMYFUNCTION("VLOOKUP(A40,IMPORTRANGE(""1QZ5UxyNCwadreQAXnQ7oCoH982DjIA-QnZdO7ZoqkC0/edit#gid=0"",""2020-2021!$A$2:$O$251""),4,FALSE)"),10.5)</f>
        <v>10.5</v>
      </c>
      <c r="K40" s="17">
        <f t="shared" si="6"/>
        <v>0.042</v>
      </c>
      <c r="L40" s="17">
        <f t="shared" si="7"/>
        <v>0.113</v>
      </c>
    </row>
    <row r="41">
      <c r="A41" s="19" t="s">
        <v>220</v>
      </c>
      <c r="B41" s="41">
        <f>IFERROR(__xludf.DUMMYFUNCTION("VLOOKUP(A41,IMPORTRANGE(""1EmrnCz2gLVTx5Cbj0e5tfuHPhTtmru8KTGuQvh7STl0/edit#gid=2147150001"",""Whole Data Set!$A$2:$NQ$253""),381,FALSE)"),18.5)</f>
        <v>18.5</v>
      </c>
      <c r="C41" s="63">
        <f t="shared" si="1"/>
        <v>0.074</v>
      </c>
      <c r="D41" s="12">
        <f>IFERROR(__xludf.DUMMYFUNCTION("VLOOKUP(A41,IMPORTRANGE(""1aFCnJY1qhIj8-JckJhDJ18aqmVo17tofpQmOjcYa3u8/edit#gid=948248086"",""Whole Data Set!$A$2:$NG$253""),371,FALSE)"),22.75)</f>
        <v>22.75</v>
      </c>
      <c r="E41" s="13">
        <f t="shared" si="2"/>
        <v>0.091</v>
      </c>
      <c r="F41" s="13">
        <f t="shared" si="3"/>
        <v>-0.017</v>
      </c>
      <c r="G41" s="12">
        <f>IFERROR(__xludf.DUMMYFUNCTION("VLOOKUP(A41,IMPORTRANGE(""1QZ5UxyNCwadreQAXnQ7oCoH982DjIA-QnZdO7ZoqkC0/edit#gid=0"",""2020-2021!$A$2:$O$255""),2,FALSE)"),21.5)</f>
        <v>21.5</v>
      </c>
      <c r="H41" s="14">
        <f t="shared" si="4"/>
        <v>0.086</v>
      </c>
      <c r="I41" s="15">
        <f t="shared" si="5"/>
        <v>-0.012</v>
      </c>
      <c r="J41" s="16">
        <f>IFERROR(__xludf.DUMMYFUNCTION("VLOOKUP(A41,IMPORTRANGE(""1QZ5UxyNCwadreQAXnQ7oCoH982DjIA-QnZdO7ZoqkC0/edit#gid=0"",""2020-2021!$A$2:$O$251""),4,FALSE)"),15.0)</f>
        <v>15</v>
      </c>
      <c r="K41" s="17">
        <f t="shared" si="6"/>
        <v>0.06</v>
      </c>
      <c r="L41" s="17">
        <f t="shared" si="7"/>
        <v>0.014</v>
      </c>
    </row>
    <row r="42">
      <c r="A42" s="20" t="s">
        <v>117</v>
      </c>
      <c r="B42" s="41">
        <f>IFERROR(__xludf.DUMMYFUNCTION("VLOOKUP(A42,IMPORTRANGE(""1EmrnCz2gLVTx5Cbj0e5tfuHPhTtmru8KTGuQvh7STl0/edit#gid=2147150001"",""Whole Data Set!$A$2:$NQ$253""),381,FALSE)"),39.25)</f>
        <v>39.25</v>
      </c>
      <c r="C42" s="63">
        <f t="shared" si="1"/>
        <v>0.157</v>
      </c>
      <c r="D42" s="12">
        <f>IFERROR(__xludf.DUMMYFUNCTION("VLOOKUP(A42,IMPORTRANGE(""1aFCnJY1qhIj8-JckJhDJ18aqmVo17tofpQmOjcYa3u8/edit#gid=948248086"",""Whole Data Set!$A$2:$NG$253""),371,FALSE)"),20.5)</f>
        <v>20.5</v>
      </c>
      <c r="E42" s="13">
        <f t="shared" si="2"/>
        <v>0.082</v>
      </c>
      <c r="F42" s="13">
        <f t="shared" si="3"/>
        <v>0.075</v>
      </c>
      <c r="G42" s="12">
        <f>IFERROR(__xludf.DUMMYFUNCTION("VLOOKUP(A42,IMPORTRANGE(""1QZ5UxyNCwadreQAXnQ7oCoH982DjIA-QnZdO7ZoqkC0/edit#gid=0"",""2020-2021!$A$2:$O$255""),2,FALSE)"),35.5)</f>
        <v>35.5</v>
      </c>
      <c r="H42" s="14">
        <f t="shared" si="4"/>
        <v>0.142</v>
      </c>
      <c r="I42" s="15">
        <f t="shared" si="5"/>
        <v>0.015</v>
      </c>
      <c r="J42" s="16">
        <f>IFERROR(__xludf.DUMMYFUNCTION("VLOOKUP(A42,IMPORTRANGE(""1QZ5UxyNCwadreQAXnQ7oCoH982DjIA-QnZdO7ZoqkC0/edit#gid=0"",""2020-2021!$A$2:$O$251""),4,FALSE)"),30.0)</f>
        <v>30</v>
      </c>
      <c r="K42" s="17">
        <f t="shared" si="6"/>
        <v>0.12</v>
      </c>
      <c r="L42" s="17">
        <f t="shared" si="7"/>
        <v>0.037</v>
      </c>
    </row>
    <row r="43">
      <c r="A43" s="19" t="s">
        <v>168</v>
      </c>
      <c r="B43" s="41">
        <f>IFERROR(__xludf.DUMMYFUNCTION("VLOOKUP(A43,IMPORTRANGE(""1EmrnCz2gLVTx5Cbj0e5tfuHPhTtmru8KTGuQvh7STl0/edit#gid=2147150001"",""Whole Data Set!$A$2:$NQ$253""),381,FALSE)"),11.5)</f>
        <v>11.5</v>
      </c>
      <c r="C43" s="63">
        <f t="shared" si="1"/>
        <v>0.046</v>
      </c>
      <c r="D43" s="12">
        <f>IFERROR(__xludf.DUMMYFUNCTION("VLOOKUP(A43,IMPORTRANGE(""1aFCnJY1qhIj8-JckJhDJ18aqmVo17tofpQmOjcYa3u8/edit#gid=948248086"",""Whole Data Set!$A$2:$NG$253""),371,FALSE)"),18.5)</f>
        <v>18.5</v>
      </c>
      <c r="E43" s="13">
        <f t="shared" si="2"/>
        <v>0.074</v>
      </c>
      <c r="F43" s="13">
        <f t="shared" si="3"/>
        <v>-0.028</v>
      </c>
      <c r="G43" s="12">
        <f>IFERROR(__xludf.DUMMYFUNCTION("VLOOKUP(A43,IMPORTRANGE(""1QZ5UxyNCwadreQAXnQ7oCoH982DjIA-QnZdO7ZoqkC0/edit#gid=0"",""2020-2021!$A$2:$O$255""),2,FALSE)"),31.5)</f>
        <v>31.5</v>
      </c>
      <c r="H43" s="14">
        <f t="shared" si="4"/>
        <v>0.126</v>
      </c>
      <c r="I43" s="15">
        <f t="shared" si="5"/>
        <v>-0.08</v>
      </c>
      <c r="J43" s="16">
        <f>IFERROR(__xludf.DUMMYFUNCTION("VLOOKUP(A43,IMPORTRANGE(""1QZ5UxyNCwadreQAXnQ7oCoH982DjIA-QnZdO7ZoqkC0/edit#gid=0"",""2020-2021!$A$2:$O$251""),4,FALSE)"),35.0)</f>
        <v>35</v>
      </c>
      <c r="K43" s="17">
        <f t="shared" si="6"/>
        <v>0.14</v>
      </c>
      <c r="L43" s="17">
        <f t="shared" si="7"/>
        <v>-0.094</v>
      </c>
    </row>
    <row r="44">
      <c r="A44" s="19" t="s">
        <v>169</v>
      </c>
      <c r="B44" s="41">
        <f>IFERROR(__xludf.DUMMYFUNCTION("VLOOKUP(A44,IMPORTRANGE(""1EmrnCz2gLVTx5Cbj0e5tfuHPhTtmru8KTGuQvh7STl0/edit#gid=2147150001"",""Whole Data Set!$A$2:$NQ$253""),381,FALSE)"),58.75)</f>
        <v>58.75</v>
      </c>
      <c r="C44" s="63">
        <f t="shared" si="1"/>
        <v>0.235</v>
      </c>
      <c r="D44" s="12">
        <f>IFERROR(__xludf.DUMMYFUNCTION("VLOOKUP(A44,IMPORTRANGE(""1aFCnJY1qhIj8-JckJhDJ18aqmVo17tofpQmOjcYa3u8/edit#gid=948248086"",""Whole Data Set!$A$2:$NG$253""),371,FALSE)"),62.0)</f>
        <v>62</v>
      </c>
      <c r="E44" s="13">
        <f t="shared" si="2"/>
        <v>0.248</v>
      </c>
      <c r="F44" s="13">
        <f t="shared" si="3"/>
        <v>-0.013</v>
      </c>
      <c r="G44" s="12">
        <f>IFERROR(__xludf.DUMMYFUNCTION("VLOOKUP(A44,IMPORTRANGE(""1QZ5UxyNCwadreQAXnQ7oCoH982DjIA-QnZdO7ZoqkC0/edit#gid=0"",""2020-2021!$A$2:$O$255""),2,FALSE)"),59.25)</f>
        <v>59.25</v>
      </c>
      <c r="H44" s="14">
        <f t="shared" si="4"/>
        <v>0.237</v>
      </c>
      <c r="I44" s="15">
        <f t="shared" si="5"/>
        <v>-0.002</v>
      </c>
      <c r="J44" s="16">
        <f>IFERROR(__xludf.DUMMYFUNCTION("VLOOKUP(A44,IMPORTRANGE(""1QZ5UxyNCwadreQAXnQ7oCoH982DjIA-QnZdO7ZoqkC0/edit#gid=0"",""2020-2021!$A$2:$O$251""),4,FALSE)"),51.0)</f>
        <v>51</v>
      </c>
      <c r="K44" s="17">
        <f t="shared" si="6"/>
        <v>0.204</v>
      </c>
      <c r="L44" s="17">
        <f t="shared" si="7"/>
        <v>0.031</v>
      </c>
    </row>
    <row r="45">
      <c r="A45" s="19" t="s">
        <v>170</v>
      </c>
      <c r="B45" s="41">
        <f>IFERROR(__xludf.DUMMYFUNCTION("VLOOKUP(A45,IMPORTRANGE(""1EmrnCz2gLVTx5Cbj0e5tfuHPhTtmru8KTGuQvh7STl0/edit#gid=2147150001"",""Whole Data Set!$A$2:$NQ$253""),381,FALSE)"),75.5)</f>
        <v>75.5</v>
      </c>
      <c r="C45" s="63">
        <f t="shared" si="1"/>
        <v>0.302</v>
      </c>
      <c r="D45" s="12">
        <f>IFERROR(__xludf.DUMMYFUNCTION("VLOOKUP(A45,IMPORTRANGE(""1aFCnJY1qhIj8-JckJhDJ18aqmVo17tofpQmOjcYa3u8/edit#gid=948248086"",""Whole Data Set!$A$2:$NG$253""),371,FALSE)"),71.75)</f>
        <v>71.75</v>
      </c>
      <c r="E45" s="13">
        <f t="shared" si="2"/>
        <v>0.287</v>
      </c>
      <c r="F45" s="13">
        <f t="shared" si="3"/>
        <v>0.015</v>
      </c>
      <c r="G45" s="12">
        <f>IFERROR(__xludf.DUMMYFUNCTION("VLOOKUP(A45,IMPORTRANGE(""1QZ5UxyNCwadreQAXnQ7oCoH982DjIA-QnZdO7ZoqkC0/edit#gid=0"",""2020-2021!$A$2:$O$255""),2,FALSE)"),55.5)</f>
        <v>55.5</v>
      </c>
      <c r="H45" s="14">
        <f t="shared" si="4"/>
        <v>0.222</v>
      </c>
      <c r="I45" s="15">
        <f t="shared" si="5"/>
        <v>0.08</v>
      </c>
      <c r="J45" s="16">
        <f>IFERROR(__xludf.DUMMYFUNCTION("VLOOKUP(A45,IMPORTRANGE(""1QZ5UxyNCwadreQAXnQ7oCoH982DjIA-QnZdO7ZoqkC0/edit#gid=0"",""2020-2021!$A$2:$O$251""),4,FALSE)"),64.0)</f>
        <v>64</v>
      </c>
      <c r="K45" s="17">
        <f t="shared" si="6"/>
        <v>0.256</v>
      </c>
      <c r="L45" s="17">
        <f t="shared" si="7"/>
        <v>0.046</v>
      </c>
    </row>
    <row r="46">
      <c r="A46" s="19" t="s">
        <v>221</v>
      </c>
      <c r="B46" s="41">
        <f>IFERROR(__xludf.DUMMYFUNCTION("VLOOKUP(A46,IMPORTRANGE(""1EmrnCz2gLVTx5Cbj0e5tfuHPhTtmru8KTGuQvh7STl0/edit#gid=2147150001"",""Whole Data Set!$A$2:$NQ$253""),381,FALSE)"),1.75)</f>
        <v>1.75</v>
      </c>
      <c r="C46" s="63">
        <f t="shared" si="1"/>
        <v>0.007</v>
      </c>
      <c r="D46" s="12">
        <f>IFERROR(__xludf.DUMMYFUNCTION("VLOOKUP(A46,IMPORTRANGE(""1aFCnJY1qhIj8-JckJhDJ18aqmVo17tofpQmOjcYa3u8/edit#gid=948248086"",""Whole Data Set!$A$2:$NG$253""),371,FALSE)"),1.25)</f>
        <v>1.25</v>
      </c>
      <c r="E46" s="13">
        <f t="shared" si="2"/>
        <v>0.005</v>
      </c>
      <c r="F46" s="13">
        <f t="shared" si="3"/>
        <v>0.002</v>
      </c>
      <c r="G46" s="12">
        <f>IFERROR(__xludf.DUMMYFUNCTION("VLOOKUP(A46,IMPORTRANGE(""1QZ5UxyNCwadreQAXnQ7oCoH982DjIA-QnZdO7ZoqkC0/edit#gid=0"",""2020-2021!$A$2:$O$255""),2,FALSE)"),1.0)</f>
        <v>1</v>
      </c>
      <c r="H46" s="14">
        <f t="shared" si="4"/>
        <v>0.004</v>
      </c>
      <c r="I46" s="15">
        <f t="shared" si="5"/>
        <v>0.003</v>
      </c>
      <c r="J46" s="16">
        <f>IFERROR(__xludf.DUMMYFUNCTION("VLOOKUP(A46,IMPORTRANGE(""1QZ5UxyNCwadreQAXnQ7oCoH982DjIA-QnZdO7ZoqkC0/edit#gid=0"",""2020-2021!$A$2:$O$251""),4,FALSE)"),3.5)</f>
        <v>3.5</v>
      </c>
      <c r="K46" s="17">
        <f t="shared" si="6"/>
        <v>0.014</v>
      </c>
      <c r="L46" s="17">
        <f t="shared" si="7"/>
        <v>-0.007</v>
      </c>
    </row>
    <row r="47">
      <c r="A47" s="19" t="s">
        <v>38</v>
      </c>
      <c r="B47" s="41">
        <f>IFERROR(__xludf.DUMMYFUNCTION("VLOOKUP(A47,IMPORTRANGE(""1EmrnCz2gLVTx5Cbj0e5tfuHPhTtmru8KTGuQvh7STl0/edit#gid=2147150001"",""Whole Data Set!$A$2:$NQ$253""),381,FALSE)"),93.75)</f>
        <v>93.75</v>
      </c>
      <c r="C47" s="63">
        <f t="shared" si="1"/>
        <v>0.375</v>
      </c>
      <c r="D47" s="12">
        <f>IFERROR(__xludf.DUMMYFUNCTION("VLOOKUP(A47,IMPORTRANGE(""1aFCnJY1qhIj8-JckJhDJ18aqmVo17tofpQmOjcYa3u8/edit#gid=948248086"",""Whole Data Set!$A$2:$NG$253""),371,FALSE)"),67.75)</f>
        <v>67.75</v>
      </c>
      <c r="E47" s="13">
        <f t="shared" si="2"/>
        <v>0.271</v>
      </c>
      <c r="F47" s="13">
        <f t="shared" si="3"/>
        <v>0.104</v>
      </c>
      <c r="G47" s="12">
        <f>IFERROR(__xludf.DUMMYFUNCTION("VLOOKUP(A47,IMPORTRANGE(""1QZ5UxyNCwadreQAXnQ7oCoH982DjIA-QnZdO7ZoqkC0/edit#gid=0"",""2020-2021!$A$2:$O$255""),2,FALSE)"),98.25)</f>
        <v>98.25</v>
      </c>
      <c r="H47" s="14">
        <f t="shared" si="4"/>
        <v>0.393</v>
      </c>
      <c r="I47" s="15">
        <f t="shared" si="5"/>
        <v>-0.018</v>
      </c>
      <c r="J47" s="16">
        <f>IFERROR(__xludf.DUMMYFUNCTION("VLOOKUP(A47,IMPORTRANGE(""1QZ5UxyNCwadreQAXnQ7oCoH982DjIA-QnZdO7ZoqkC0/edit#gid=0"",""2020-2021!$A$2:$O$251""),4,FALSE)"),97.0)</f>
        <v>97</v>
      </c>
      <c r="K47" s="17">
        <f t="shared" si="6"/>
        <v>0.388</v>
      </c>
      <c r="L47" s="17">
        <f t="shared" si="7"/>
        <v>-0.013</v>
      </c>
    </row>
    <row r="48">
      <c r="A48" s="19" t="s">
        <v>39</v>
      </c>
      <c r="B48" s="41">
        <f>IFERROR(__xludf.DUMMYFUNCTION("VLOOKUP(A48,IMPORTRANGE(""1EmrnCz2gLVTx5Cbj0e5tfuHPhTtmru8KTGuQvh7STl0/edit#gid=2147150001"",""Whole Data Set!$A$2:$NQ$253""),381,FALSE)"),26.5)</f>
        <v>26.5</v>
      </c>
      <c r="C48" s="63">
        <f t="shared" si="1"/>
        <v>0.106</v>
      </c>
      <c r="D48" s="12">
        <f>IFERROR(__xludf.DUMMYFUNCTION("VLOOKUP(A48,IMPORTRANGE(""1aFCnJY1qhIj8-JckJhDJ18aqmVo17tofpQmOjcYa3u8/edit#gid=948248086"",""Whole Data Set!$A$2:$NG$253""),371,FALSE)"),36.75)</f>
        <v>36.75</v>
      </c>
      <c r="E48" s="13">
        <f t="shared" si="2"/>
        <v>0.147</v>
      </c>
      <c r="F48" s="13">
        <f t="shared" si="3"/>
        <v>-0.041</v>
      </c>
      <c r="G48" s="12">
        <f>IFERROR(__xludf.DUMMYFUNCTION("VLOOKUP(A48,IMPORTRANGE(""1QZ5UxyNCwadreQAXnQ7oCoH982DjIA-QnZdO7ZoqkC0/edit#gid=0"",""2020-2021!$A$2:$O$255""),2,FALSE)"),27.0)</f>
        <v>27</v>
      </c>
      <c r="H48" s="14">
        <f t="shared" si="4"/>
        <v>0.108</v>
      </c>
      <c r="I48" s="15">
        <f t="shared" si="5"/>
        <v>-0.002</v>
      </c>
      <c r="J48" s="16">
        <f>IFERROR(__xludf.DUMMYFUNCTION("VLOOKUP(A48,IMPORTRANGE(""1QZ5UxyNCwadreQAXnQ7oCoH982DjIA-QnZdO7ZoqkC0/edit#gid=0"",""2020-2021!$A$2:$O$251""),4,FALSE)"),26.5)</f>
        <v>26.5</v>
      </c>
      <c r="K48" s="17">
        <f t="shared" si="6"/>
        <v>0.106</v>
      </c>
      <c r="L48" s="17">
        <f t="shared" si="7"/>
        <v>0</v>
      </c>
    </row>
    <row r="49">
      <c r="A49" s="19" t="s">
        <v>94</v>
      </c>
      <c r="B49" s="41">
        <f>IFERROR(__xludf.DUMMYFUNCTION("VLOOKUP(A49,IMPORTRANGE(""1EmrnCz2gLVTx5Cbj0e5tfuHPhTtmru8KTGuQvh7STl0/edit#gid=2147150001"",""Whole Data Set!$A$2:$NQ$253""),381,FALSE)"),34.25)</f>
        <v>34.25</v>
      </c>
      <c r="C49" s="63">
        <f t="shared" si="1"/>
        <v>0.137</v>
      </c>
      <c r="D49" s="12">
        <f>IFERROR(__xludf.DUMMYFUNCTION("VLOOKUP(A49,IMPORTRANGE(""1aFCnJY1qhIj8-JckJhDJ18aqmVo17tofpQmOjcYa3u8/edit#gid=948248086"",""Whole Data Set!$A$2:$NG$253""),371,FALSE)"),16.5)</f>
        <v>16.5</v>
      </c>
      <c r="E49" s="13">
        <f t="shared" si="2"/>
        <v>0.066</v>
      </c>
      <c r="F49" s="13">
        <f t="shared" si="3"/>
        <v>0.071</v>
      </c>
      <c r="G49" s="12">
        <f>IFERROR(__xludf.DUMMYFUNCTION("VLOOKUP(A49,IMPORTRANGE(""1QZ5UxyNCwadreQAXnQ7oCoH982DjIA-QnZdO7ZoqkC0/edit#gid=0"",""2020-2021!$A$2:$O$255""),2,FALSE)"),21.0)</f>
        <v>21</v>
      </c>
      <c r="H49" s="14">
        <f t="shared" si="4"/>
        <v>0.084</v>
      </c>
      <c r="I49" s="15">
        <f t="shared" si="5"/>
        <v>0.053</v>
      </c>
      <c r="J49" s="16">
        <f>IFERROR(__xludf.DUMMYFUNCTION("VLOOKUP(A49,IMPORTRANGE(""1QZ5UxyNCwadreQAXnQ7oCoH982DjIA-QnZdO7ZoqkC0/edit#gid=0"",""2020-2021!$A$2:$O$251""),4,FALSE)"),29.5)</f>
        <v>29.5</v>
      </c>
      <c r="K49" s="17">
        <f t="shared" si="6"/>
        <v>0.118</v>
      </c>
      <c r="L49" s="17">
        <f t="shared" si="7"/>
        <v>0.019</v>
      </c>
    </row>
    <row r="50">
      <c r="A50" s="19" t="s">
        <v>222</v>
      </c>
      <c r="B50" s="41">
        <f>IFERROR(__xludf.DUMMYFUNCTION("VLOOKUP(A50,IMPORTRANGE(""1EmrnCz2gLVTx5Cbj0e5tfuHPhTtmru8KTGuQvh7STl0/edit#gid=2147150001"",""Whole Data Set!$A$2:$NQ$253""),381,FALSE)"),107.0)</f>
        <v>107</v>
      </c>
      <c r="C50" s="63">
        <f t="shared" si="1"/>
        <v>0.428</v>
      </c>
      <c r="D50" s="12">
        <f>IFERROR(__xludf.DUMMYFUNCTION("VLOOKUP(A50,IMPORTRANGE(""1aFCnJY1qhIj8-JckJhDJ18aqmVo17tofpQmOjcYa3u8/edit#gid=948248086"",""Whole Data Set!$A$2:$NG$253""),371,FALSE)"),74.5)</f>
        <v>74.5</v>
      </c>
      <c r="E50" s="13">
        <f t="shared" si="2"/>
        <v>0.298</v>
      </c>
      <c r="F50" s="13">
        <f t="shared" si="3"/>
        <v>0.13</v>
      </c>
      <c r="G50" s="12">
        <f>IFERROR(__xludf.DUMMYFUNCTION("VLOOKUP(A50,IMPORTRANGE(""1QZ5UxyNCwadreQAXnQ7oCoH982DjIA-QnZdO7ZoqkC0/edit#gid=0"",""2020-2021!$A$2:$O$255""),2,FALSE)"),46.0)</f>
        <v>46</v>
      </c>
      <c r="H50" s="14">
        <f t="shared" si="4"/>
        <v>0.184</v>
      </c>
      <c r="I50" s="15">
        <f t="shared" si="5"/>
        <v>0.244</v>
      </c>
      <c r="J50" s="16">
        <f>IFERROR(__xludf.DUMMYFUNCTION("VLOOKUP(A50,IMPORTRANGE(""1QZ5UxyNCwadreQAXnQ7oCoH982DjIA-QnZdO7ZoqkC0/edit#gid=0"",""2020-2021!$A$2:$O$251""),4,FALSE)"),50.0)</f>
        <v>50</v>
      </c>
      <c r="K50" s="17">
        <f t="shared" si="6"/>
        <v>0.2</v>
      </c>
      <c r="L50" s="17">
        <f t="shared" si="7"/>
        <v>0.228</v>
      </c>
    </row>
    <row r="51">
      <c r="A51" s="19" t="s">
        <v>171</v>
      </c>
      <c r="B51" s="41">
        <f>IFERROR(__xludf.DUMMYFUNCTION("VLOOKUP(A51,IMPORTRANGE(""1EmrnCz2gLVTx5Cbj0e5tfuHPhTtmru8KTGuQvh7STl0/edit#gid=2147150001"",""Whole Data Set!$A$2:$NQ$253""),381,FALSE)"),42.75)</f>
        <v>42.75</v>
      </c>
      <c r="C51" s="63">
        <f t="shared" si="1"/>
        <v>0.171</v>
      </c>
      <c r="D51" s="12">
        <f>IFERROR(__xludf.DUMMYFUNCTION("VLOOKUP(A51,IMPORTRANGE(""1aFCnJY1qhIj8-JckJhDJ18aqmVo17tofpQmOjcYa3u8/edit#gid=948248086"",""Whole Data Set!$A$2:$NG$253""),371,FALSE)"),66.0)</f>
        <v>66</v>
      </c>
      <c r="E51" s="13">
        <f t="shared" si="2"/>
        <v>0.264</v>
      </c>
      <c r="F51" s="13">
        <f t="shared" si="3"/>
        <v>-0.093</v>
      </c>
      <c r="G51" s="12">
        <f>IFERROR(__xludf.DUMMYFUNCTION("VLOOKUP(A51,IMPORTRANGE(""1QZ5UxyNCwadreQAXnQ7oCoH982DjIA-QnZdO7ZoqkC0/edit#gid=0"",""2020-2021!$A$2:$O$255""),2,FALSE)"),85.25)</f>
        <v>85.25</v>
      </c>
      <c r="H51" s="14">
        <f t="shared" si="4"/>
        <v>0.341</v>
      </c>
      <c r="I51" s="15">
        <f t="shared" si="5"/>
        <v>-0.17</v>
      </c>
      <c r="J51" s="16">
        <f>IFERROR(__xludf.DUMMYFUNCTION("VLOOKUP(A51,IMPORTRANGE(""1QZ5UxyNCwadreQAXnQ7oCoH982DjIA-QnZdO7ZoqkC0/edit#gid=0"",""2020-2021!$A$2:$O$251""),4,FALSE)"),101.0)</f>
        <v>101</v>
      </c>
      <c r="K51" s="17">
        <f t="shared" si="6"/>
        <v>0.404</v>
      </c>
      <c r="L51" s="17">
        <f t="shared" si="7"/>
        <v>-0.233</v>
      </c>
    </row>
    <row r="52">
      <c r="A52" s="19" t="s">
        <v>41</v>
      </c>
      <c r="B52" s="41">
        <f>IFERROR(__xludf.DUMMYFUNCTION("VLOOKUP(A52,IMPORTRANGE(""1EmrnCz2gLVTx5Cbj0e5tfuHPhTtmru8KTGuQvh7STl0/edit#gid=2147150001"",""Whole Data Set!$A$2:$NQ$253""),381,FALSE)"),103.75)</f>
        <v>103.75</v>
      </c>
      <c r="C52" s="63">
        <f t="shared" si="1"/>
        <v>0.415</v>
      </c>
      <c r="D52" s="12">
        <f>IFERROR(__xludf.DUMMYFUNCTION("VLOOKUP(A52,IMPORTRANGE(""1aFCnJY1qhIj8-JckJhDJ18aqmVo17tofpQmOjcYa3u8/edit#gid=948248086"",""Whole Data Set!$A$2:$NG$253""),371,FALSE)"),66.25)</f>
        <v>66.25</v>
      </c>
      <c r="E52" s="13">
        <f t="shared" si="2"/>
        <v>0.265</v>
      </c>
      <c r="F52" s="13">
        <f t="shared" si="3"/>
        <v>0.15</v>
      </c>
      <c r="G52" s="12">
        <f>IFERROR(__xludf.DUMMYFUNCTION("VLOOKUP(A52,IMPORTRANGE(""1QZ5UxyNCwadreQAXnQ7oCoH982DjIA-QnZdO7ZoqkC0/edit#gid=0"",""2020-2021!$A$2:$O$255""),2,FALSE)"),54.0)</f>
        <v>54</v>
      </c>
      <c r="H52" s="14">
        <f t="shared" si="4"/>
        <v>0.216</v>
      </c>
      <c r="I52" s="15">
        <f t="shared" si="5"/>
        <v>0.199</v>
      </c>
      <c r="J52" s="16">
        <f>IFERROR(__xludf.DUMMYFUNCTION("VLOOKUP(A52,IMPORTRANGE(""1QZ5UxyNCwadreQAXnQ7oCoH982DjIA-QnZdO7ZoqkC0/edit#gid=0"",""2020-2021!$A$2:$O$251""),4,FALSE)"),47.0)</f>
        <v>47</v>
      </c>
      <c r="K52" s="17">
        <f t="shared" si="6"/>
        <v>0.188</v>
      </c>
      <c r="L52" s="17">
        <f t="shared" si="7"/>
        <v>0.227</v>
      </c>
    </row>
    <row r="53">
      <c r="A53" s="20" t="s">
        <v>42</v>
      </c>
      <c r="B53" s="41">
        <f>IFERROR(__xludf.DUMMYFUNCTION("VLOOKUP(A53,IMPORTRANGE(""1EmrnCz2gLVTx5Cbj0e5tfuHPhTtmru8KTGuQvh7STl0/edit#gid=2147150001"",""Whole Data Set!$A$2:$NQ$253""),381,FALSE)"),91.75)</f>
        <v>91.75</v>
      </c>
      <c r="C53" s="63">
        <f t="shared" si="1"/>
        <v>0.367</v>
      </c>
      <c r="D53" s="12">
        <f>IFERROR(__xludf.DUMMYFUNCTION("VLOOKUP(A53,IMPORTRANGE(""1aFCnJY1qhIj8-JckJhDJ18aqmVo17tofpQmOjcYa3u8/edit#gid=948248086"",""Whole Data Set!$A$2:$NG$253""),371,FALSE)"),92.25)</f>
        <v>92.25</v>
      </c>
      <c r="E53" s="13">
        <f t="shared" si="2"/>
        <v>0.369</v>
      </c>
      <c r="F53" s="13">
        <f t="shared" si="3"/>
        <v>-0.002</v>
      </c>
      <c r="G53" s="12">
        <f>IFERROR(__xludf.DUMMYFUNCTION("VLOOKUP(A53,IMPORTRANGE(""1QZ5UxyNCwadreQAXnQ7oCoH982DjIA-QnZdO7ZoqkC0/edit#gid=0"",""2020-2021!$A$2:$O$255""),2,FALSE)"),62.25)</f>
        <v>62.25</v>
      </c>
      <c r="H53" s="14">
        <f t="shared" si="4"/>
        <v>0.249</v>
      </c>
      <c r="I53" s="15">
        <f t="shared" si="5"/>
        <v>0.118</v>
      </c>
      <c r="J53" s="16">
        <f>IFERROR(__xludf.DUMMYFUNCTION("VLOOKUP(A53,IMPORTRANGE(""1QZ5UxyNCwadreQAXnQ7oCoH982DjIA-QnZdO7ZoqkC0/edit#gid=0"",""2020-2021!$A$2:$O$251""),4,FALSE)"),70.5)</f>
        <v>70.5</v>
      </c>
      <c r="K53" s="17">
        <f t="shared" si="6"/>
        <v>0.282</v>
      </c>
      <c r="L53" s="17">
        <f t="shared" si="7"/>
        <v>0.085</v>
      </c>
    </row>
    <row r="54">
      <c r="A54" s="19" t="s">
        <v>43</v>
      </c>
      <c r="B54" s="41">
        <f>IFERROR(__xludf.DUMMYFUNCTION("VLOOKUP(A54,IMPORTRANGE(""1EmrnCz2gLVTx5Cbj0e5tfuHPhTtmru8KTGuQvh7STl0/edit#gid=2147150001"",""Whole Data Set!$A$2:$NQ$253""),381,FALSE)"),124.75)</f>
        <v>124.75</v>
      </c>
      <c r="C54" s="63">
        <f t="shared" si="1"/>
        <v>0.499</v>
      </c>
      <c r="D54" s="12">
        <f>IFERROR(__xludf.DUMMYFUNCTION("VLOOKUP(A54,IMPORTRANGE(""1aFCnJY1qhIj8-JckJhDJ18aqmVo17tofpQmOjcYa3u8/edit#gid=948248086"",""Whole Data Set!$A$2:$NG$253""),371,FALSE)"),133.5)</f>
        <v>133.5</v>
      </c>
      <c r="E54" s="13">
        <f t="shared" si="2"/>
        <v>0.534</v>
      </c>
      <c r="F54" s="13">
        <f t="shared" si="3"/>
        <v>-0.035</v>
      </c>
      <c r="G54" s="12">
        <f>IFERROR(__xludf.DUMMYFUNCTION("VLOOKUP(A54,IMPORTRANGE(""1QZ5UxyNCwadreQAXnQ7oCoH982DjIA-QnZdO7ZoqkC0/edit#gid=0"",""2020-2021!$A$2:$O$255""),2,FALSE)"),138.5)</f>
        <v>138.5</v>
      </c>
      <c r="H54" s="14">
        <f t="shared" si="4"/>
        <v>0.554</v>
      </c>
      <c r="I54" s="15">
        <f t="shared" si="5"/>
        <v>-0.055</v>
      </c>
      <c r="J54" s="16">
        <f>IFERROR(__xludf.DUMMYFUNCTION("VLOOKUP(A54,IMPORTRANGE(""1QZ5UxyNCwadreQAXnQ7oCoH982DjIA-QnZdO7ZoqkC0/edit#gid=0"",""2020-2021!$A$2:$O$251""),4,FALSE)"),138.0)</f>
        <v>138</v>
      </c>
      <c r="K54" s="17">
        <f t="shared" si="6"/>
        <v>0.552</v>
      </c>
      <c r="L54" s="17">
        <f t="shared" si="7"/>
        <v>-0.053</v>
      </c>
    </row>
    <row r="55">
      <c r="A55" s="19" t="s">
        <v>118</v>
      </c>
      <c r="B55" s="41">
        <f>IFERROR(__xludf.DUMMYFUNCTION("VLOOKUP(A55,IMPORTRANGE(""1EmrnCz2gLVTx5Cbj0e5tfuHPhTtmru8KTGuQvh7STl0/edit#gid=2147150001"",""Whole Data Set!$A$2:$NQ$253""),381,FALSE)"),51.25)</f>
        <v>51.25</v>
      </c>
      <c r="C55" s="63">
        <f t="shared" si="1"/>
        <v>0.205</v>
      </c>
      <c r="D55" s="12">
        <f>IFERROR(__xludf.DUMMYFUNCTION("VLOOKUP(A55,IMPORTRANGE(""1aFCnJY1qhIj8-JckJhDJ18aqmVo17tofpQmOjcYa3u8/edit#gid=948248086"",""Whole Data Set!$A$2:$NG$253""),371,FALSE)"),41.75)</f>
        <v>41.75</v>
      </c>
      <c r="E55" s="13">
        <f t="shared" si="2"/>
        <v>0.167</v>
      </c>
      <c r="F55" s="13">
        <f t="shared" si="3"/>
        <v>0.038</v>
      </c>
      <c r="G55" s="12">
        <f>IFERROR(__xludf.DUMMYFUNCTION("VLOOKUP(A55,IMPORTRANGE(""1QZ5UxyNCwadreQAXnQ7oCoH982DjIA-QnZdO7ZoqkC0/edit#gid=0"",""2020-2021!$A$2:$O$255""),2,FALSE)"),37.0)</f>
        <v>37</v>
      </c>
      <c r="H55" s="14">
        <f t="shared" si="4"/>
        <v>0.148</v>
      </c>
      <c r="I55" s="15">
        <f t="shared" si="5"/>
        <v>0.057</v>
      </c>
      <c r="J55" s="16">
        <f>IFERROR(__xludf.DUMMYFUNCTION("VLOOKUP(A55,IMPORTRANGE(""1QZ5UxyNCwadreQAXnQ7oCoH982DjIA-QnZdO7ZoqkC0/edit#gid=0"",""2020-2021!$A$2:$O$251""),4,FALSE)"),40.5)</f>
        <v>40.5</v>
      </c>
      <c r="K55" s="17">
        <f t="shared" si="6"/>
        <v>0.162</v>
      </c>
      <c r="L55" s="17">
        <f t="shared" si="7"/>
        <v>0.043</v>
      </c>
    </row>
    <row r="56">
      <c r="A56" s="19" t="s">
        <v>40</v>
      </c>
      <c r="B56" s="41">
        <f>IFERROR(__xludf.DUMMYFUNCTION("VLOOKUP(A56,IMPORTRANGE(""1EmrnCz2gLVTx5Cbj0e5tfuHPhTtmru8KTGuQvh7STl0/edit#gid=2147150001"",""Whole Data Set!$A$2:$NQ$253""),381,FALSE)"),24.25)</f>
        <v>24.25</v>
      </c>
      <c r="C56" s="63">
        <f t="shared" si="1"/>
        <v>0.097</v>
      </c>
      <c r="D56" s="12">
        <f>IFERROR(__xludf.DUMMYFUNCTION("VLOOKUP(A56,IMPORTRANGE(""1aFCnJY1qhIj8-JckJhDJ18aqmVo17tofpQmOjcYa3u8/edit#gid=948248086"",""Whole Data Set!$A$2:$NG$253""),371,FALSE)"),25.25)</f>
        <v>25.25</v>
      </c>
      <c r="E56" s="13">
        <f t="shared" si="2"/>
        <v>0.101</v>
      </c>
      <c r="F56" s="13">
        <f t="shared" si="3"/>
        <v>-0.004</v>
      </c>
      <c r="G56" s="12">
        <f>IFERROR(__xludf.DUMMYFUNCTION("VLOOKUP(A56,IMPORTRANGE(""1QZ5UxyNCwadreQAXnQ7oCoH982DjIA-QnZdO7ZoqkC0/edit#gid=0"",""2020-2021!$A$2:$O$255""),2,FALSE)"),29.25)</f>
        <v>29.25</v>
      </c>
      <c r="H56" s="14">
        <f t="shared" si="4"/>
        <v>0.117</v>
      </c>
      <c r="I56" s="15">
        <f t="shared" si="5"/>
        <v>-0.02</v>
      </c>
      <c r="J56" s="16">
        <f>IFERROR(__xludf.DUMMYFUNCTION("VLOOKUP(A56,IMPORTRANGE(""1QZ5UxyNCwadreQAXnQ7oCoH982DjIA-QnZdO7ZoqkC0/edit#gid=0"",""2020-2021!$A$2:$O$251""),4,FALSE)"),38.0)</f>
        <v>38</v>
      </c>
      <c r="K56" s="17">
        <f t="shared" si="6"/>
        <v>0.152</v>
      </c>
      <c r="L56" s="17">
        <f t="shared" si="7"/>
        <v>-0.055</v>
      </c>
    </row>
    <row r="57">
      <c r="A57" s="19" t="s">
        <v>223</v>
      </c>
      <c r="B57" s="41">
        <f>IFERROR(__xludf.DUMMYFUNCTION("VLOOKUP(A57,IMPORTRANGE(""1EmrnCz2gLVTx5Cbj0e5tfuHPhTtmru8KTGuQvh7STl0/edit#gid=2147150001"",""Whole Data Set!$A$2:$NQ$253""),381,FALSE)"),54.75)</f>
        <v>54.75</v>
      </c>
      <c r="C57" s="63">
        <f t="shared" si="1"/>
        <v>0.219</v>
      </c>
      <c r="D57" s="12">
        <f>IFERROR(__xludf.DUMMYFUNCTION("VLOOKUP(A57,IMPORTRANGE(""1aFCnJY1qhIj8-JckJhDJ18aqmVo17tofpQmOjcYa3u8/edit#gid=948248086"",""Whole Data Set!$A$2:$NG$253""),371,FALSE)"),54.5)</f>
        <v>54.5</v>
      </c>
      <c r="E57" s="13">
        <f t="shared" si="2"/>
        <v>0.218</v>
      </c>
      <c r="F57" s="13">
        <f t="shared" si="3"/>
        <v>0.001</v>
      </c>
      <c r="G57" s="12">
        <f>IFERROR(__xludf.DUMMYFUNCTION("VLOOKUP(A57,IMPORTRANGE(""1QZ5UxyNCwadreQAXnQ7oCoH982DjIA-QnZdO7ZoqkC0/edit#gid=0"",""2020-2021!$A$2:$O$255""),2,FALSE)"),44.0)</f>
        <v>44</v>
      </c>
      <c r="H57" s="14">
        <f t="shared" si="4"/>
        <v>0.176</v>
      </c>
      <c r="I57" s="15">
        <f t="shared" si="5"/>
        <v>0.043</v>
      </c>
      <c r="J57" s="16">
        <f>IFERROR(__xludf.DUMMYFUNCTION("VLOOKUP(A57,IMPORTRANGE(""1QZ5UxyNCwadreQAXnQ7oCoH982DjIA-QnZdO7ZoqkC0/edit#gid=0"",""2020-2021!$A$2:$O$251""),4,FALSE)"),62.5)</f>
        <v>62.5</v>
      </c>
      <c r="K57" s="17">
        <f t="shared" si="6"/>
        <v>0.25</v>
      </c>
      <c r="L57" s="17">
        <f t="shared" si="7"/>
        <v>-0.031</v>
      </c>
    </row>
    <row r="58">
      <c r="A58" s="19" t="s">
        <v>119</v>
      </c>
      <c r="B58" s="41">
        <f>IFERROR(__xludf.DUMMYFUNCTION("VLOOKUP(A58,IMPORTRANGE(""1EmrnCz2gLVTx5Cbj0e5tfuHPhTtmru8KTGuQvh7STl0/edit#gid=2147150001"",""Whole Data Set!$A$2:$NQ$253""),381,FALSE)"),64.5)</f>
        <v>64.5</v>
      </c>
      <c r="C58" s="63">
        <f t="shared" si="1"/>
        <v>0.258</v>
      </c>
      <c r="D58" s="12">
        <f>IFERROR(__xludf.DUMMYFUNCTION("VLOOKUP(A58,IMPORTRANGE(""1aFCnJY1qhIj8-JckJhDJ18aqmVo17tofpQmOjcYa3u8/edit#gid=948248086"",""Whole Data Set!$A$2:$NG$253""),371,FALSE)"),52.75)</f>
        <v>52.75</v>
      </c>
      <c r="E58" s="13">
        <f t="shared" si="2"/>
        <v>0.211</v>
      </c>
      <c r="F58" s="13">
        <f t="shared" si="3"/>
        <v>0.047</v>
      </c>
      <c r="G58" s="12">
        <f>IFERROR(__xludf.DUMMYFUNCTION("VLOOKUP(A58,IMPORTRANGE(""1QZ5UxyNCwadreQAXnQ7oCoH982DjIA-QnZdO7ZoqkC0/edit#gid=0"",""2020-2021!$A$2:$O$255""),2,FALSE)"),59.0)</f>
        <v>59</v>
      </c>
      <c r="H58" s="14">
        <f t="shared" si="4"/>
        <v>0.236</v>
      </c>
      <c r="I58" s="15">
        <f t="shared" si="5"/>
        <v>0.022</v>
      </c>
      <c r="J58" s="16">
        <f>IFERROR(__xludf.DUMMYFUNCTION("VLOOKUP(A58,IMPORTRANGE(""1QZ5UxyNCwadreQAXnQ7oCoH982DjIA-QnZdO7ZoqkC0/edit#gid=0"",""2020-2021!$A$2:$O$251""),4,FALSE)"),58.5)</f>
        <v>58.5</v>
      </c>
      <c r="K58" s="17">
        <f t="shared" si="6"/>
        <v>0.234</v>
      </c>
      <c r="L58" s="17">
        <f t="shared" si="7"/>
        <v>0.024</v>
      </c>
    </row>
    <row r="59">
      <c r="A59" s="19" t="s">
        <v>120</v>
      </c>
      <c r="B59" s="41">
        <f>IFERROR(__xludf.DUMMYFUNCTION("VLOOKUP(A59,IMPORTRANGE(""1EmrnCz2gLVTx5Cbj0e5tfuHPhTtmru8KTGuQvh7STl0/edit#gid=2147150001"",""Whole Data Set!$A$2:$NQ$253""),381,FALSE)"),61.5)</f>
        <v>61.5</v>
      </c>
      <c r="C59" s="63">
        <f t="shared" si="1"/>
        <v>0.246</v>
      </c>
      <c r="D59" s="12">
        <f>IFERROR(__xludf.DUMMYFUNCTION("VLOOKUP(A59,IMPORTRANGE(""1aFCnJY1qhIj8-JckJhDJ18aqmVo17tofpQmOjcYa3u8/edit#gid=948248086"",""Whole Data Set!$A$2:$NG$253""),371,FALSE)"),42.25)</f>
        <v>42.25</v>
      </c>
      <c r="E59" s="13">
        <f t="shared" si="2"/>
        <v>0.169</v>
      </c>
      <c r="F59" s="13">
        <f t="shared" si="3"/>
        <v>0.077</v>
      </c>
      <c r="G59" s="12">
        <f>IFERROR(__xludf.DUMMYFUNCTION("VLOOKUP(A59,IMPORTRANGE(""1QZ5UxyNCwadreQAXnQ7oCoH982DjIA-QnZdO7ZoqkC0/edit#gid=0"",""2020-2021!$A$2:$O$255""),2,FALSE)"),52.5)</f>
        <v>52.5</v>
      </c>
      <c r="H59" s="14">
        <f t="shared" si="4"/>
        <v>0.21</v>
      </c>
      <c r="I59" s="15">
        <f t="shared" si="5"/>
        <v>0.036</v>
      </c>
      <c r="J59" s="16">
        <f>IFERROR(__xludf.DUMMYFUNCTION("VLOOKUP(A59,IMPORTRANGE(""1QZ5UxyNCwadreQAXnQ7oCoH982DjIA-QnZdO7ZoqkC0/edit#gid=0"",""2020-2021!$A$2:$O$251""),4,FALSE)"),42.0)</f>
        <v>42</v>
      </c>
      <c r="K59" s="17">
        <f t="shared" si="6"/>
        <v>0.168</v>
      </c>
      <c r="L59" s="17">
        <f t="shared" si="7"/>
        <v>0.078</v>
      </c>
    </row>
    <row r="60">
      <c r="A60" s="20" t="s">
        <v>121</v>
      </c>
      <c r="B60" s="41">
        <f>IFERROR(__xludf.DUMMYFUNCTION("VLOOKUP(A60,IMPORTRANGE(""1EmrnCz2gLVTx5Cbj0e5tfuHPhTtmru8KTGuQvh7STl0/edit#gid=2147150001"",""Whole Data Set!$A$2:$NQ$253""),381,FALSE)"),68.5)</f>
        <v>68.5</v>
      </c>
      <c r="C60" s="63">
        <f t="shared" si="1"/>
        <v>0.274</v>
      </c>
      <c r="D60" s="12">
        <f>IFERROR(__xludf.DUMMYFUNCTION("VLOOKUP(A60,IMPORTRANGE(""1aFCnJY1qhIj8-JckJhDJ18aqmVo17tofpQmOjcYa3u8/edit#gid=948248086"",""Whole Data Set!$A$2:$NG$253""),371,FALSE)"),60.5)</f>
        <v>60.5</v>
      </c>
      <c r="E60" s="13">
        <f t="shared" si="2"/>
        <v>0.242</v>
      </c>
      <c r="F60" s="13">
        <f t="shared" si="3"/>
        <v>0.032</v>
      </c>
      <c r="G60" s="12">
        <f>IFERROR(__xludf.DUMMYFUNCTION("VLOOKUP(A60,IMPORTRANGE(""1QZ5UxyNCwadreQAXnQ7oCoH982DjIA-QnZdO7ZoqkC0/edit#gid=0"",""2020-2021!$A$2:$O$255""),2,FALSE)"),77.75)</f>
        <v>77.75</v>
      </c>
      <c r="H60" s="14">
        <f t="shared" si="4"/>
        <v>0.311</v>
      </c>
      <c r="I60" s="15">
        <f t="shared" si="5"/>
        <v>-0.037</v>
      </c>
      <c r="J60" s="16">
        <f>IFERROR(__xludf.DUMMYFUNCTION("VLOOKUP(A60,IMPORTRANGE(""1QZ5UxyNCwadreQAXnQ7oCoH982DjIA-QnZdO7ZoqkC0/edit#gid=0"",""2020-2021!$A$2:$O$251""),4,FALSE)"),41.0)</f>
        <v>41</v>
      </c>
      <c r="K60" s="17">
        <f t="shared" si="6"/>
        <v>0.164</v>
      </c>
      <c r="L60" s="17">
        <f t="shared" si="7"/>
        <v>0.11</v>
      </c>
    </row>
    <row r="61">
      <c r="A61" s="19" t="s">
        <v>122</v>
      </c>
      <c r="B61" s="41">
        <f>IFERROR(__xludf.DUMMYFUNCTION("VLOOKUP(A61,IMPORTRANGE(""1EmrnCz2gLVTx5Cbj0e5tfuHPhTtmru8KTGuQvh7STl0/edit#gid=2147150001"",""Whole Data Set!$A$2:$NQ$253""),381,FALSE)"),47.25)</f>
        <v>47.25</v>
      </c>
      <c r="C61" s="63">
        <f t="shared" si="1"/>
        <v>0.189</v>
      </c>
      <c r="D61" s="12">
        <f>IFERROR(__xludf.DUMMYFUNCTION("VLOOKUP(A61,IMPORTRANGE(""1aFCnJY1qhIj8-JckJhDJ18aqmVo17tofpQmOjcYa3u8/edit#gid=948248086"",""Whole Data Set!$A$2:$NG$253""),371,FALSE)"),16.5)</f>
        <v>16.5</v>
      </c>
      <c r="E61" s="13">
        <f t="shared" si="2"/>
        <v>0.066</v>
      </c>
      <c r="F61" s="13">
        <f t="shared" si="3"/>
        <v>0.123</v>
      </c>
      <c r="G61" s="12">
        <f>IFERROR(__xludf.DUMMYFUNCTION("VLOOKUP(A61,IMPORTRANGE(""1QZ5UxyNCwadreQAXnQ7oCoH982DjIA-QnZdO7ZoqkC0/edit#gid=0"",""2020-2021!$A$2:$O$255""),2,FALSE)"),18.0)</f>
        <v>18</v>
      </c>
      <c r="H61" s="14">
        <f t="shared" si="4"/>
        <v>0.072</v>
      </c>
      <c r="I61" s="15">
        <f t="shared" si="5"/>
        <v>0.117</v>
      </c>
      <c r="J61" s="16">
        <f>IFERROR(__xludf.DUMMYFUNCTION("VLOOKUP(A61,IMPORTRANGE(""1QZ5UxyNCwadreQAXnQ7oCoH982DjIA-QnZdO7ZoqkC0/edit#gid=0"",""2020-2021!$A$2:$O$251""),4,FALSE)"),26.5)</f>
        <v>26.5</v>
      </c>
      <c r="K61" s="17">
        <f t="shared" si="6"/>
        <v>0.106</v>
      </c>
      <c r="L61" s="17">
        <f t="shared" si="7"/>
        <v>0.083</v>
      </c>
    </row>
    <row r="62">
      <c r="A62" s="22" t="s">
        <v>45</v>
      </c>
      <c r="B62" s="41">
        <f>IFERROR(__xludf.DUMMYFUNCTION("VLOOKUP(A62,IMPORTRANGE(""1EmrnCz2gLVTx5Cbj0e5tfuHPhTtmru8KTGuQvh7STl0/edit#gid=2147150001"",""Whole Data Set!$A$2:$NQ$253""),381,FALSE)"),8.25)</f>
        <v>8.25</v>
      </c>
      <c r="C62" s="63">
        <f t="shared" si="1"/>
        <v>0.033</v>
      </c>
      <c r="D62" s="12">
        <f>IFERROR(__xludf.DUMMYFUNCTION("VLOOKUP(A62,IMPORTRANGE(""1aFCnJY1qhIj8-JckJhDJ18aqmVo17tofpQmOjcYa3u8/edit#gid=948248086"",""Whole Data Set!$A$2:$NG$253""),371,FALSE)"),11.0)</f>
        <v>11</v>
      </c>
      <c r="E62" s="13">
        <f t="shared" si="2"/>
        <v>0.044</v>
      </c>
      <c r="F62" s="13">
        <f t="shared" si="3"/>
        <v>-0.011</v>
      </c>
      <c r="G62" s="12">
        <f>IFERROR(__xludf.DUMMYFUNCTION("VLOOKUP(A62,IMPORTRANGE(""1QZ5UxyNCwadreQAXnQ7oCoH982DjIA-QnZdO7ZoqkC0/edit#gid=0"",""2020-2021!$A$2:$O$255""),2,FALSE)"),15.25)</f>
        <v>15.25</v>
      </c>
      <c r="H62" s="14">
        <f t="shared" si="4"/>
        <v>0.061</v>
      </c>
      <c r="I62" s="15">
        <f t="shared" si="5"/>
        <v>-0.028</v>
      </c>
      <c r="J62" s="16">
        <f>IFERROR(__xludf.DUMMYFUNCTION("VLOOKUP(A62,IMPORTRANGE(""1QZ5UxyNCwadreQAXnQ7oCoH982DjIA-QnZdO7ZoqkC0/edit#gid=0"",""2020-2021!$A$2:$O$251""),4,FALSE)"),24.0)</f>
        <v>24</v>
      </c>
      <c r="K62" s="17">
        <f t="shared" si="6"/>
        <v>0.096</v>
      </c>
      <c r="L62" s="17">
        <f t="shared" si="7"/>
        <v>-0.063</v>
      </c>
    </row>
    <row r="63">
      <c r="A63" s="19" t="s">
        <v>46</v>
      </c>
      <c r="B63" s="41">
        <f>IFERROR(__xludf.DUMMYFUNCTION("VLOOKUP(A63,IMPORTRANGE(""1EmrnCz2gLVTx5Cbj0e5tfuHPhTtmru8KTGuQvh7STl0/edit#gid=2147150001"",""Whole Data Set!$A$2:$NQ$253""),381,FALSE)"),73.0)</f>
        <v>73</v>
      </c>
      <c r="C63" s="63">
        <f t="shared" si="1"/>
        <v>0.292</v>
      </c>
      <c r="D63" s="12">
        <f>IFERROR(__xludf.DUMMYFUNCTION("VLOOKUP(A63,IMPORTRANGE(""1aFCnJY1qhIj8-JckJhDJ18aqmVo17tofpQmOjcYa3u8/edit#gid=948248086"",""Whole Data Set!$A$2:$NG$253""),371,FALSE)"),71.25)</f>
        <v>71.25</v>
      </c>
      <c r="E63" s="13">
        <f t="shared" si="2"/>
        <v>0.285</v>
      </c>
      <c r="F63" s="13">
        <f t="shared" si="3"/>
        <v>0.007</v>
      </c>
      <c r="G63" s="12">
        <f>IFERROR(__xludf.DUMMYFUNCTION("VLOOKUP(A63,IMPORTRANGE(""1QZ5UxyNCwadreQAXnQ7oCoH982DjIA-QnZdO7ZoqkC0/edit#gid=0"",""2020-2021!$A$2:$O$255""),2,FALSE)"),55.5)</f>
        <v>55.5</v>
      </c>
      <c r="H63" s="14">
        <f t="shared" si="4"/>
        <v>0.222</v>
      </c>
      <c r="I63" s="15">
        <f t="shared" si="5"/>
        <v>0.07</v>
      </c>
      <c r="J63" s="16">
        <f>IFERROR(__xludf.DUMMYFUNCTION("VLOOKUP(A63,IMPORTRANGE(""1QZ5UxyNCwadreQAXnQ7oCoH982DjIA-QnZdO7ZoqkC0/edit#gid=0"",""2020-2021!$A$2:$O$251""),4,FALSE)"),65.0)</f>
        <v>65</v>
      </c>
      <c r="K63" s="17">
        <f t="shared" si="6"/>
        <v>0.26</v>
      </c>
      <c r="L63" s="17">
        <f t="shared" si="7"/>
        <v>0.032</v>
      </c>
    </row>
    <row r="64">
      <c r="A64" s="19" t="s">
        <v>224</v>
      </c>
      <c r="B64" s="41">
        <f>IFERROR(__xludf.DUMMYFUNCTION("VLOOKUP(A64,IMPORTRANGE(""1EmrnCz2gLVTx5Cbj0e5tfuHPhTtmru8KTGuQvh7STl0/edit#gid=2147150001"",""Whole Data Set!$A$2:$NQ$253""),381,FALSE)"),55.0)</f>
        <v>55</v>
      </c>
      <c r="C64" s="63">
        <f t="shared" si="1"/>
        <v>0.22</v>
      </c>
      <c r="D64" s="12">
        <f>IFERROR(__xludf.DUMMYFUNCTION("VLOOKUP(A64,IMPORTRANGE(""1aFCnJY1qhIj8-JckJhDJ18aqmVo17tofpQmOjcYa3u8/edit#gid=948248086"",""Whole Data Set!$A$2:$NG$253""),371,FALSE)"),42.25)</f>
        <v>42.25</v>
      </c>
      <c r="E64" s="13">
        <f t="shared" si="2"/>
        <v>0.169</v>
      </c>
      <c r="F64" s="13">
        <f t="shared" si="3"/>
        <v>0.051</v>
      </c>
      <c r="G64" s="12">
        <f>IFERROR(__xludf.DUMMYFUNCTION("VLOOKUP(A64,IMPORTRANGE(""1QZ5UxyNCwadreQAXnQ7oCoH982DjIA-QnZdO7ZoqkC0/edit#gid=0"",""2020-2021!$A$2:$O$255""),2,FALSE)"),51.25)</f>
        <v>51.25</v>
      </c>
      <c r="H64" s="14">
        <f t="shared" si="4"/>
        <v>0.205</v>
      </c>
      <c r="I64" s="15">
        <f t="shared" si="5"/>
        <v>0.015</v>
      </c>
      <c r="J64" s="16">
        <f>IFERROR(__xludf.DUMMYFUNCTION("VLOOKUP(A64,IMPORTRANGE(""1QZ5UxyNCwadreQAXnQ7oCoH982DjIA-QnZdO7ZoqkC0/edit#gid=0"",""2020-2021!$A$2:$O$251""),4,FALSE)"),57.0)</f>
        <v>57</v>
      </c>
      <c r="K64" s="17">
        <f t="shared" si="6"/>
        <v>0.228</v>
      </c>
      <c r="L64" s="17">
        <f t="shared" si="7"/>
        <v>-0.008</v>
      </c>
    </row>
    <row r="65">
      <c r="A65" s="19" t="s">
        <v>225</v>
      </c>
      <c r="B65" s="41">
        <f>IFERROR(__xludf.DUMMYFUNCTION("VLOOKUP(A65,IMPORTRANGE(""1EmrnCz2gLVTx5Cbj0e5tfuHPhTtmru8KTGuQvh7STl0/edit#gid=2147150001"",""Whole Data Set!$A$2:$NQ$253""),381,FALSE)"),1.5)</f>
        <v>1.5</v>
      </c>
      <c r="C65" s="63">
        <f t="shared" si="1"/>
        <v>0.006</v>
      </c>
      <c r="D65" s="12">
        <f>IFERROR(__xludf.DUMMYFUNCTION("VLOOKUP(A65,IMPORTRANGE(""1aFCnJY1qhIj8-JckJhDJ18aqmVo17tofpQmOjcYa3u8/edit#gid=948248086"",""Whole Data Set!$A$2:$NG$253""),371,FALSE)"),2.5)</f>
        <v>2.5</v>
      </c>
      <c r="E65" s="13">
        <f t="shared" si="2"/>
        <v>0.01</v>
      </c>
      <c r="F65" s="13">
        <f t="shared" si="3"/>
        <v>-0.004</v>
      </c>
      <c r="G65" s="12">
        <f>IFERROR(__xludf.DUMMYFUNCTION("VLOOKUP(A65,IMPORTRANGE(""1QZ5UxyNCwadreQAXnQ7oCoH982DjIA-QnZdO7ZoqkC0/edit#gid=0"",""2020-2021!$A$2:$O$255""),2,FALSE)"),4.5)</f>
        <v>4.5</v>
      </c>
      <c r="H65" s="14">
        <f t="shared" si="4"/>
        <v>0.018</v>
      </c>
      <c r="I65" s="15">
        <f t="shared" si="5"/>
        <v>-0.012</v>
      </c>
      <c r="J65" s="16">
        <f>IFERROR(__xludf.DUMMYFUNCTION("VLOOKUP(A65,IMPORTRANGE(""1QZ5UxyNCwadreQAXnQ7oCoH982DjIA-QnZdO7ZoqkC0/edit#gid=0"",""2020-2021!$A$2:$O$251""),4,FALSE)"),6.0)</f>
        <v>6</v>
      </c>
      <c r="K65" s="17">
        <f t="shared" si="6"/>
        <v>0.024</v>
      </c>
      <c r="L65" s="17">
        <f t="shared" si="7"/>
        <v>-0.018</v>
      </c>
    </row>
    <row r="66">
      <c r="A66" s="20" t="s">
        <v>123</v>
      </c>
      <c r="B66" s="41">
        <f>IFERROR(__xludf.DUMMYFUNCTION("VLOOKUP(A66,IMPORTRANGE(""1EmrnCz2gLVTx5Cbj0e5tfuHPhTtmru8KTGuQvh7STl0/edit#gid=2147150001"",""Whole Data Set!$A$2:$NQ$253""),381,FALSE)"),4.25)</f>
        <v>4.25</v>
      </c>
      <c r="C66" s="63">
        <f t="shared" si="1"/>
        <v>0.017</v>
      </c>
      <c r="D66" s="12">
        <f>IFERROR(__xludf.DUMMYFUNCTION("VLOOKUP(A66,IMPORTRANGE(""1aFCnJY1qhIj8-JckJhDJ18aqmVo17tofpQmOjcYa3u8/edit#gid=948248086"",""Whole Data Set!$A$2:$NG$253""),371,FALSE)"),4.25)</f>
        <v>4.25</v>
      </c>
      <c r="E66" s="13">
        <f t="shared" si="2"/>
        <v>0.017</v>
      </c>
      <c r="F66" s="13">
        <f t="shared" si="3"/>
        <v>0</v>
      </c>
      <c r="G66" s="12">
        <f>IFERROR(__xludf.DUMMYFUNCTION("VLOOKUP(A66,IMPORTRANGE(""1QZ5UxyNCwadreQAXnQ7oCoH982DjIA-QnZdO7ZoqkC0/edit#gid=0"",""2020-2021!$A$2:$O$255""),2,FALSE)"),4.0)</f>
        <v>4</v>
      </c>
      <c r="H66" s="14">
        <f t="shared" si="4"/>
        <v>0.016</v>
      </c>
      <c r="I66" s="15">
        <f t="shared" si="5"/>
        <v>0.001</v>
      </c>
      <c r="J66" s="16">
        <f>IFERROR(__xludf.DUMMYFUNCTION("VLOOKUP(A66,IMPORTRANGE(""1QZ5UxyNCwadreQAXnQ7oCoH982DjIA-QnZdO7ZoqkC0/edit#gid=0"",""2020-2021!$A$2:$O$251""),4,FALSE)"),8.5)</f>
        <v>8.5</v>
      </c>
      <c r="K66" s="17">
        <f t="shared" si="6"/>
        <v>0.034</v>
      </c>
      <c r="L66" s="17">
        <f t="shared" si="7"/>
        <v>-0.017</v>
      </c>
    </row>
    <row r="67">
      <c r="A67" s="19" t="s">
        <v>226</v>
      </c>
      <c r="B67" s="41">
        <f>IFERROR(__xludf.DUMMYFUNCTION("VLOOKUP(A67,IMPORTRANGE(""1EmrnCz2gLVTx5Cbj0e5tfuHPhTtmru8KTGuQvh7STl0/edit#gid=2147150001"",""Whole Data Set!$A$2:$NQ$253""),381,FALSE)"),88.0)</f>
        <v>88</v>
      </c>
      <c r="C67" s="63">
        <f t="shared" si="1"/>
        <v>0.352</v>
      </c>
      <c r="D67" s="12">
        <f>IFERROR(__xludf.DUMMYFUNCTION("VLOOKUP(A67,IMPORTRANGE(""1aFCnJY1qhIj8-JckJhDJ18aqmVo17tofpQmOjcYa3u8/edit#gid=948248086"",""Whole Data Set!$A$2:$NG$253""),371,FALSE)"),75.75)</f>
        <v>75.75</v>
      </c>
      <c r="E67" s="13">
        <f t="shared" si="2"/>
        <v>0.303</v>
      </c>
      <c r="F67" s="13">
        <f t="shared" si="3"/>
        <v>0.049</v>
      </c>
      <c r="G67" s="12">
        <f>IFERROR(__xludf.DUMMYFUNCTION("VLOOKUP(A67,IMPORTRANGE(""1QZ5UxyNCwadreQAXnQ7oCoH982DjIA-QnZdO7ZoqkC0/edit#gid=0"",""2020-2021!$A$2:$O$255""),2,FALSE)"),38.25)</f>
        <v>38.25</v>
      </c>
      <c r="H67" s="14">
        <f t="shared" si="4"/>
        <v>0.153</v>
      </c>
      <c r="I67" s="15">
        <f t="shared" si="5"/>
        <v>0.199</v>
      </c>
      <c r="J67" s="16">
        <f>IFERROR(__xludf.DUMMYFUNCTION("VLOOKUP(A67,IMPORTRANGE(""1QZ5UxyNCwadreQAXnQ7oCoH982DjIA-QnZdO7ZoqkC0/edit#gid=0"",""2020-2021!$A$2:$O$251""),4,FALSE)"),24.0)</f>
        <v>24</v>
      </c>
      <c r="K67" s="17">
        <f t="shared" si="6"/>
        <v>0.096</v>
      </c>
      <c r="L67" s="17">
        <f t="shared" si="7"/>
        <v>0.256</v>
      </c>
    </row>
    <row r="68">
      <c r="A68" s="19" t="s">
        <v>124</v>
      </c>
      <c r="B68" s="41">
        <f>IFERROR(__xludf.DUMMYFUNCTION("VLOOKUP(A68,IMPORTRANGE(""1EmrnCz2gLVTx5Cbj0e5tfuHPhTtmru8KTGuQvh7STl0/edit#gid=2147150001"",""Whole Data Set!$A$2:$NQ$253""),381,FALSE)"),161.25)</f>
        <v>161.25</v>
      </c>
      <c r="C68" s="63">
        <f t="shared" si="1"/>
        <v>0.645</v>
      </c>
      <c r="D68" s="12">
        <f>IFERROR(__xludf.DUMMYFUNCTION("VLOOKUP(A68,IMPORTRANGE(""1aFCnJY1qhIj8-JckJhDJ18aqmVo17tofpQmOjcYa3u8/edit#gid=948248086"",""Whole Data Set!$A$2:$NG$253""),371,FALSE)"),143.0)</f>
        <v>143</v>
      </c>
      <c r="E68" s="13">
        <f t="shared" si="2"/>
        <v>0.572</v>
      </c>
      <c r="F68" s="13">
        <f t="shared" si="3"/>
        <v>0.073</v>
      </c>
      <c r="G68" s="12">
        <f>IFERROR(__xludf.DUMMYFUNCTION("VLOOKUP(A68,IMPORTRANGE(""1QZ5UxyNCwadreQAXnQ7oCoH982DjIA-QnZdO7ZoqkC0/edit#gid=0"",""2020-2021!$A$2:$O$255""),2,FALSE)"),119.0)</f>
        <v>119</v>
      </c>
      <c r="H68" s="14">
        <f t="shared" si="4"/>
        <v>0.476</v>
      </c>
      <c r="I68" s="15">
        <f t="shared" si="5"/>
        <v>0.169</v>
      </c>
      <c r="J68" s="16">
        <f>IFERROR(__xludf.DUMMYFUNCTION("VLOOKUP(A68,IMPORTRANGE(""1QZ5UxyNCwadreQAXnQ7oCoH982DjIA-QnZdO7ZoqkC0/edit#gid=0"",""2020-2021!$A$2:$O$251""),4,FALSE)"),120.0)</f>
        <v>120</v>
      </c>
      <c r="K68" s="17">
        <f t="shared" si="6"/>
        <v>0.48</v>
      </c>
      <c r="L68" s="17">
        <f t="shared" si="7"/>
        <v>0.165</v>
      </c>
    </row>
    <row r="69">
      <c r="A69" s="19" t="s">
        <v>172</v>
      </c>
      <c r="B69" s="41">
        <f>IFERROR(__xludf.DUMMYFUNCTION("VLOOKUP(A69,IMPORTRANGE(""1EmrnCz2gLVTx5Cbj0e5tfuHPhTtmru8KTGuQvh7STl0/edit#gid=2147150001"",""Whole Data Set!$A$2:$NQ$253""),381,FALSE)"),17.25)</f>
        <v>17.25</v>
      </c>
      <c r="C69" s="63">
        <f t="shared" si="1"/>
        <v>0.069</v>
      </c>
      <c r="D69" s="12">
        <f>IFERROR(__xludf.DUMMYFUNCTION("VLOOKUP(A69,IMPORTRANGE(""1aFCnJY1qhIj8-JckJhDJ18aqmVo17tofpQmOjcYa3u8/edit#gid=948248086"",""Whole Data Set!$A$2:$NG$253""),371,FALSE)"),17.25)</f>
        <v>17.25</v>
      </c>
      <c r="E69" s="13">
        <f t="shared" si="2"/>
        <v>0.069</v>
      </c>
      <c r="F69" s="13">
        <f t="shared" si="3"/>
        <v>0</v>
      </c>
      <c r="G69" s="12">
        <f>IFERROR(__xludf.DUMMYFUNCTION("VLOOKUP(A69,IMPORTRANGE(""1QZ5UxyNCwadreQAXnQ7oCoH982DjIA-QnZdO7ZoqkC0/edit#gid=0"",""2020-2021!$A$2:$O$255""),2,FALSE)"),22.5)</f>
        <v>22.5</v>
      </c>
      <c r="H69" s="14">
        <f t="shared" si="4"/>
        <v>0.09</v>
      </c>
      <c r="I69" s="15">
        <f t="shared" si="5"/>
        <v>-0.021</v>
      </c>
      <c r="J69" s="16">
        <f>IFERROR(__xludf.DUMMYFUNCTION("VLOOKUP(A69,IMPORTRANGE(""1QZ5UxyNCwadreQAXnQ7oCoH982DjIA-QnZdO7ZoqkC0/edit#gid=0"",""2020-2021!$A$2:$O$251""),4,FALSE)"),26.0)</f>
        <v>26</v>
      </c>
      <c r="K69" s="17">
        <f t="shared" si="6"/>
        <v>0.104</v>
      </c>
      <c r="L69" s="17">
        <f t="shared" si="7"/>
        <v>-0.035</v>
      </c>
    </row>
    <row r="70">
      <c r="A70" s="19" t="s">
        <v>173</v>
      </c>
      <c r="B70" s="41">
        <f>IFERROR(__xludf.DUMMYFUNCTION("VLOOKUP(A70,IMPORTRANGE(""1EmrnCz2gLVTx5Cbj0e5tfuHPhTtmru8KTGuQvh7STl0/edit#gid=2147150001"",""Whole Data Set!$A$2:$NQ$253""),381,FALSE)"),11.5)</f>
        <v>11.5</v>
      </c>
      <c r="C70" s="63">
        <f t="shared" si="1"/>
        <v>0.046</v>
      </c>
      <c r="D70" s="12">
        <f>IFERROR(__xludf.DUMMYFUNCTION("VLOOKUP(A70,IMPORTRANGE(""1aFCnJY1qhIj8-JckJhDJ18aqmVo17tofpQmOjcYa3u8/edit#gid=948248086"",""Whole Data Set!$A$2:$NG$253""),371,FALSE)"),13.5)</f>
        <v>13.5</v>
      </c>
      <c r="E70" s="13">
        <f t="shared" si="2"/>
        <v>0.054</v>
      </c>
      <c r="F70" s="13">
        <f t="shared" si="3"/>
        <v>-0.008</v>
      </c>
      <c r="G70" s="12">
        <f>IFERROR(__xludf.DUMMYFUNCTION("VLOOKUP(A70,IMPORTRANGE(""1QZ5UxyNCwadreQAXnQ7oCoH982DjIA-QnZdO7ZoqkC0/edit#gid=0"",""2020-2021!$A$2:$O$255""),2,FALSE)"),7.25)</f>
        <v>7.25</v>
      </c>
      <c r="H70" s="14">
        <f t="shared" si="4"/>
        <v>0.029</v>
      </c>
      <c r="I70" s="15">
        <f t="shared" si="5"/>
        <v>0.017</v>
      </c>
      <c r="J70" s="16">
        <f>IFERROR(__xludf.DUMMYFUNCTION("VLOOKUP(A70,IMPORTRANGE(""1QZ5UxyNCwadreQAXnQ7oCoH982DjIA-QnZdO7ZoqkC0/edit#gid=0"",""2020-2021!$A$2:$O$251""),4,FALSE)"),11.5)</f>
        <v>11.5</v>
      </c>
      <c r="K70" s="17">
        <f t="shared" si="6"/>
        <v>0.046</v>
      </c>
      <c r="L70" s="17">
        <f t="shared" si="7"/>
        <v>0</v>
      </c>
    </row>
    <row r="71">
      <c r="A71" s="19" t="s">
        <v>125</v>
      </c>
      <c r="B71" s="41">
        <f>IFERROR(__xludf.DUMMYFUNCTION("VLOOKUP(A71,IMPORTRANGE(""1EmrnCz2gLVTx5Cbj0e5tfuHPhTtmru8KTGuQvh7STl0/edit#gid=2147150001"",""Whole Data Set!$A$2:$NQ$253""),381,FALSE)"),59.5)</f>
        <v>59.5</v>
      </c>
      <c r="C71" s="63">
        <f t="shared" si="1"/>
        <v>0.238</v>
      </c>
      <c r="D71" s="12">
        <f>IFERROR(__xludf.DUMMYFUNCTION("VLOOKUP(A71,IMPORTRANGE(""1aFCnJY1qhIj8-JckJhDJ18aqmVo17tofpQmOjcYa3u8/edit#gid=948248086"",""Whole Data Set!$A$2:$NG$253""),371,FALSE)"),64.5)</f>
        <v>64.5</v>
      </c>
      <c r="E71" s="13">
        <f t="shared" si="2"/>
        <v>0.258</v>
      </c>
      <c r="F71" s="13">
        <f t="shared" si="3"/>
        <v>-0.02</v>
      </c>
      <c r="G71" s="12">
        <f>IFERROR(__xludf.DUMMYFUNCTION("VLOOKUP(A71,IMPORTRANGE(""1QZ5UxyNCwadreQAXnQ7oCoH982DjIA-QnZdO7ZoqkC0/edit#gid=0"",""2020-2021!$A$2:$O$255""),2,FALSE)"),70.25)</f>
        <v>70.25</v>
      </c>
      <c r="H71" s="14">
        <f t="shared" si="4"/>
        <v>0.281</v>
      </c>
      <c r="I71" s="15">
        <f t="shared" si="5"/>
        <v>-0.043</v>
      </c>
      <c r="J71" s="16">
        <f>IFERROR(__xludf.DUMMYFUNCTION("VLOOKUP(A71,IMPORTRANGE(""1QZ5UxyNCwadreQAXnQ7oCoH982DjIA-QnZdO7ZoqkC0/edit#gid=0"",""2020-2021!$A$2:$O$251""),4,FALSE)"),69.5)</f>
        <v>69.5</v>
      </c>
      <c r="K71" s="17">
        <f t="shared" si="6"/>
        <v>0.278</v>
      </c>
      <c r="L71" s="17">
        <f t="shared" si="7"/>
        <v>-0.04</v>
      </c>
    </row>
    <row r="72">
      <c r="A72" s="20" t="s">
        <v>47</v>
      </c>
      <c r="B72" s="41">
        <f>IFERROR(__xludf.DUMMYFUNCTION("VLOOKUP(A72,IMPORTRANGE(""1EmrnCz2gLVTx5Cbj0e5tfuHPhTtmru8KTGuQvh7STl0/edit#gid=2147150001"",""Whole Data Set!$A$2:$NQ$253""),381,FALSE)"),81.5)</f>
        <v>81.5</v>
      </c>
      <c r="C72" s="63">
        <f t="shared" si="1"/>
        <v>0.326</v>
      </c>
      <c r="D72" s="12">
        <f>IFERROR(__xludf.DUMMYFUNCTION("VLOOKUP(A72,IMPORTRANGE(""1aFCnJY1qhIj8-JckJhDJ18aqmVo17tofpQmOjcYa3u8/edit#gid=948248086"",""Whole Data Set!$A$2:$NG$253""),371,FALSE)"),92.25)</f>
        <v>92.25</v>
      </c>
      <c r="E72" s="13">
        <f t="shared" si="2"/>
        <v>0.369</v>
      </c>
      <c r="F72" s="13">
        <f t="shared" si="3"/>
        <v>-0.043</v>
      </c>
      <c r="G72" s="12">
        <f>IFERROR(__xludf.DUMMYFUNCTION("VLOOKUP(A72,IMPORTRANGE(""1QZ5UxyNCwadreQAXnQ7oCoH982DjIA-QnZdO7ZoqkC0/edit#gid=0"",""2020-2021!$A$2:$O$255""),2,FALSE)"),82.0)</f>
        <v>82</v>
      </c>
      <c r="H72" s="14">
        <f t="shared" si="4"/>
        <v>0.328</v>
      </c>
      <c r="I72" s="15">
        <f t="shared" si="5"/>
        <v>-0.002</v>
      </c>
      <c r="J72" s="16">
        <f>IFERROR(__xludf.DUMMYFUNCTION("VLOOKUP(A72,IMPORTRANGE(""1QZ5UxyNCwadreQAXnQ7oCoH982DjIA-QnZdO7ZoqkC0/edit#gid=0"",""2020-2021!$A$2:$O$251""),4,FALSE)"),67.0)</f>
        <v>67</v>
      </c>
      <c r="K72" s="17">
        <f t="shared" si="6"/>
        <v>0.268</v>
      </c>
      <c r="L72" s="17">
        <f t="shared" si="7"/>
        <v>0.058</v>
      </c>
    </row>
    <row r="73">
      <c r="A73" s="19" t="s">
        <v>48</v>
      </c>
      <c r="B73" s="41">
        <f>IFERROR(__xludf.DUMMYFUNCTION("VLOOKUP(A73,IMPORTRANGE(""1EmrnCz2gLVTx5Cbj0e5tfuHPhTtmru8KTGuQvh7STl0/edit#gid=2147150001"",""Whole Data Set!$A$2:$NQ$253""),381,FALSE)"),112.0)</f>
        <v>112</v>
      </c>
      <c r="C73" s="63">
        <f t="shared" si="1"/>
        <v>0.448</v>
      </c>
      <c r="D73" s="12">
        <f>IFERROR(__xludf.DUMMYFUNCTION("VLOOKUP(A73,IMPORTRANGE(""1aFCnJY1qhIj8-JckJhDJ18aqmVo17tofpQmOjcYa3u8/edit#gid=948248086"",""Whole Data Set!$A$2:$NG$253""),371,FALSE)"),140.5)</f>
        <v>140.5</v>
      </c>
      <c r="E73" s="13">
        <f t="shared" si="2"/>
        <v>0.562</v>
      </c>
      <c r="F73" s="13">
        <f t="shared" si="3"/>
        <v>-0.114</v>
      </c>
      <c r="G73" s="12">
        <f>IFERROR(__xludf.DUMMYFUNCTION("VLOOKUP(A73,IMPORTRANGE(""1QZ5UxyNCwadreQAXnQ7oCoH982DjIA-QnZdO7ZoqkC0/edit#gid=0"",""2020-2021!$A$2:$O$255""),2,FALSE)"),150.75)</f>
        <v>150.75</v>
      </c>
      <c r="H73" s="14">
        <f t="shared" si="4"/>
        <v>0.603</v>
      </c>
      <c r="I73" s="15">
        <f t="shared" si="5"/>
        <v>-0.155</v>
      </c>
      <c r="J73" s="16">
        <f>IFERROR(__xludf.DUMMYFUNCTION("VLOOKUP(A73,IMPORTRANGE(""1QZ5UxyNCwadreQAXnQ7oCoH982DjIA-QnZdO7ZoqkC0/edit#gid=0"",""2020-2021!$A$2:$O$251""),4,FALSE)"),160.5)</f>
        <v>160.5</v>
      </c>
      <c r="K73" s="17">
        <f t="shared" si="6"/>
        <v>0.642</v>
      </c>
      <c r="L73" s="17">
        <f t="shared" si="7"/>
        <v>-0.194</v>
      </c>
    </row>
    <row r="74">
      <c r="A74" s="19" t="s">
        <v>71</v>
      </c>
      <c r="B74" s="41">
        <f>IFERROR(__xludf.DUMMYFUNCTION("VLOOKUP(A74,IMPORTRANGE(""1EmrnCz2gLVTx5Cbj0e5tfuHPhTtmru8KTGuQvh7STl0/edit#gid=2147150001"",""Whole Data Set!$A$2:$NQ$253""),381,FALSE)"),15.25)</f>
        <v>15.25</v>
      </c>
      <c r="C74" s="63">
        <f t="shared" si="1"/>
        <v>0.061</v>
      </c>
      <c r="D74" s="12">
        <f>IFERROR(__xludf.DUMMYFUNCTION("VLOOKUP(A74,IMPORTRANGE(""1aFCnJY1qhIj8-JckJhDJ18aqmVo17tofpQmOjcYa3u8/edit#gid=948248086"",""Whole Data Set!$A$2:$NG$253""),371,FALSE)"),12.0)</f>
        <v>12</v>
      </c>
      <c r="E74" s="13">
        <f t="shared" si="2"/>
        <v>0.048</v>
      </c>
      <c r="F74" s="13">
        <f t="shared" si="3"/>
        <v>0.013</v>
      </c>
      <c r="G74" s="12">
        <f>IFERROR(__xludf.DUMMYFUNCTION("VLOOKUP(A74,IMPORTRANGE(""1QZ5UxyNCwadreQAXnQ7oCoH982DjIA-QnZdO7ZoqkC0/edit#gid=0"",""2020-2021!$A$2:$O$255""),2,FALSE)"),14.75)</f>
        <v>14.75</v>
      </c>
      <c r="H74" s="14">
        <f t="shared" si="4"/>
        <v>0.059</v>
      </c>
      <c r="I74" s="15">
        <f t="shared" si="5"/>
        <v>0.002</v>
      </c>
      <c r="J74" s="16">
        <f>IFERROR(__xludf.DUMMYFUNCTION("VLOOKUP(A74,IMPORTRANGE(""1QZ5UxyNCwadreQAXnQ7oCoH982DjIA-QnZdO7ZoqkC0/edit#gid=0"",""2020-2021!$A$2:$O$251""),4,FALSE)"),20.0)</f>
        <v>20</v>
      </c>
      <c r="K74" s="17">
        <f t="shared" si="6"/>
        <v>0.08</v>
      </c>
      <c r="L74" s="17">
        <f t="shared" si="7"/>
        <v>-0.019</v>
      </c>
    </row>
    <row r="75">
      <c r="A75" s="19" t="s">
        <v>126</v>
      </c>
      <c r="B75" s="41">
        <f>IFERROR(__xludf.DUMMYFUNCTION("VLOOKUP(A75,IMPORTRANGE(""1EmrnCz2gLVTx5Cbj0e5tfuHPhTtmru8KTGuQvh7STl0/edit#gid=2147150001"",""Whole Data Set!$A$2:$NQ$253""),381,FALSE)"),26.5)</f>
        <v>26.5</v>
      </c>
      <c r="C75" s="63">
        <f t="shared" si="1"/>
        <v>0.106</v>
      </c>
      <c r="D75" s="12">
        <f>IFERROR(__xludf.DUMMYFUNCTION("VLOOKUP(A75,IMPORTRANGE(""1aFCnJY1qhIj8-JckJhDJ18aqmVo17tofpQmOjcYa3u8/edit#gid=948248086"",""Whole Data Set!$A$2:$NG$253""),371,FALSE)"),32.25)</f>
        <v>32.25</v>
      </c>
      <c r="E75" s="13">
        <f t="shared" si="2"/>
        <v>0.129</v>
      </c>
      <c r="F75" s="13">
        <f t="shared" si="3"/>
        <v>-0.023</v>
      </c>
      <c r="G75" s="12">
        <f>IFERROR(__xludf.DUMMYFUNCTION("VLOOKUP(A75,IMPORTRANGE(""1QZ5UxyNCwadreQAXnQ7oCoH982DjIA-QnZdO7ZoqkC0/edit#gid=0"",""2020-2021!$A$2:$O$255""),2,FALSE)"),43.25)</f>
        <v>43.25</v>
      </c>
      <c r="H75" s="14">
        <f t="shared" si="4"/>
        <v>0.173</v>
      </c>
      <c r="I75" s="15">
        <f t="shared" si="5"/>
        <v>-0.067</v>
      </c>
      <c r="J75" s="16">
        <f>IFERROR(__xludf.DUMMYFUNCTION("VLOOKUP(A75,IMPORTRANGE(""1QZ5UxyNCwadreQAXnQ7oCoH982DjIA-QnZdO7ZoqkC0/edit#gid=0"",""2020-2021!$A$2:$O$251""),4,FALSE)"),42.5)</f>
        <v>42.5</v>
      </c>
      <c r="K75" s="17">
        <f t="shared" si="6"/>
        <v>0.17</v>
      </c>
      <c r="L75" s="17">
        <f t="shared" si="7"/>
        <v>-0.064</v>
      </c>
    </row>
    <row r="76">
      <c r="A76" s="20" t="s">
        <v>174</v>
      </c>
      <c r="B76" s="41">
        <f>IFERROR(__xludf.DUMMYFUNCTION("VLOOKUP(A76,IMPORTRANGE(""1EmrnCz2gLVTx5Cbj0e5tfuHPhTtmru8KTGuQvh7STl0/edit#gid=2147150001"",""Whole Data Set!$A$2:$NQ$253""),381,FALSE)"),22.75)</f>
        <v>22.75</v>
      </c>
      <c r="C76" s="63">
        <f t="shared" si="1"/>
        <v>0.091</v>
      </c>
      <c r="D76" s="12">
        <f>IFERROR(__xludf.DUMMYFUNCTION("VLOOKUP(A76,IMPORTRANGE(""1aFCnJY1qhIj8-JckJhDJ18aqmVo17tofpQmOjcYa3u8/edit#gid=948248086"",""Whole Data Set!$A$2:$NG$253""),371,FALSE)"),20.75)</f>
        <v>20.75</v>
      </c>
      <c r="E76" s="13">
        <f t="shared" si="2"/>
        <v>0.083</v>
      </c>
      <c r="F76" s="13">
        <f t="shared" si="3"/>
        <v>0.008</v>
      </c>
      <c r="G76" s="12">
        <f>IFERROR(__xludf.DUMMYFUNCTION("VLOOKUP(A76,IMPORTRANGE(""1QZ5UxyNCwadreQAXnQ7oCoH982DjIA-QnZdO7ZoqkC0/edit#gid=0"",""2020-2021!$A$2:$O$255""),2,FALSE)"),15.0)</f>
        <v>15</v>
      </c>
      <c r="H76" s="14">
        <f t="shared" si="4"/>
        <v>0.06</v>
      </c>
      <c r="I76" s="15">
        <f t="shared" si="5"/>
        <v>0.031</v>
      </c>
      <c r="J76" s="16">
        <f>IFERROR(__xludf.DUMMYFUNCTION("VLOOKUP(A76,IMPORTRANGE(""1QZ5UxyNCwadreQAXnQ7oCoH982DjIA-QnZdO7ZoqkC0/edit#gid=0"",""2020-2021!$A$2:$O$251""),4,FALSE)"),23.0)</f>
        <v>23</v>
      </c>
      <c r="K76" s="17">
        <f t="shared" si="6"/>
        <v>0.092</v>
      </c>
      <c r="L76" s="17">
        <f t="shared" si="7"/>
        <v>-0.001</v>
      </c>
    </row>
    <row r="77">
      <c r="A77" s="19" t="s">
        <v>175</v>
      </c>
      <c r="B77" s="41">
        <f>IFERROR(__xludf.DUMMYFUNCTION("VLOOKUP(A77,IMPORTRANGE(""1EmrnCz2gLVTx5Cbj0e5tfuHPhTtmru8KTGuQvh7STl0/edit#gid=2147150001"",""Whole Data Set!$A$2:$NQ$253""),381,FALSE)"),44.25)</f>
        <v>44.25</v>
      </c>
      <c r="C77" s="63">
        <f t="shared" si="1"/>
        <v>0.177</v>
      </c>
      <c r="D77" s="12">
        <f>IFERROR(__xludf.DUMMYFUNCTION("VLOOKUP(A77,IMPORTRANGE(""1aFCnJY1qhIj8-JckJhDJ18aqmVo17tofpQmOjcYa3u8/edit#gid=948248086"",""Whole Data Set!$A$2:$NG$253""),371,FALSE)"),35.25)</f>
        <v>35.25</v>
      </c>
      <c r="E77" s="13">
        <f t="shared" si="2"/>
        <v>0.141</v>
      </c>
      <c r="F77" s="13">
        <f t="shared" si="3"/>
        <v>0.036</v>
      </c>
      <c r="G77" s="12">
        <f>IFERROR(__xludf.DUMMYFUNCTION("VLOOKUP(A77,IMPORTRANGE(""1QZ5UxyNCwadreQAXnQ7oCoH982DjIA-QnZdO7ZoqkC0/edit#gid=0"",""2020-2021!$A$2:$O$255""),2,FALSE)"),30.5)</f>
        <v>30.5</v>
      </c>
      <c r="H77" s="14">
        <f t="shared" si="4"/>
        <v>0.122</v>
      </c>
      <c r="I77" s="15">
        <f t="shared" si="5"/>
        <v>0.055</v>
      </c>
      <c r="J77" s="16">
        <f>IFERROR(__xludf.DUMMYFUNCTION("VLOOKUP(A77,IMPORTRANGE(""1QZ5UxyNCwadreQAXnQ7oCoH982DjIA-QnZdO7ZoqkC0/edit#gid=0"",""2020-2021!$A$2:$O$251""),4,FALSE)"),37.5)</f>
        <v>37.5</v>
      </c>
      <c r="K77" s="17">
        <f t="shared" si="6"/>
        <v>0.15</v>
      </c>
      <c r="L77" s="17">
        <f t="shared" si="7"/>
        <v>0.027</v>
      </c>
    </row>
    <row r="78">
      <c r="A78" s="19" t="s">
        <v>227</v>
      </c>
      <c r="B78" s="41">
        <f>IFERROR(__xludf.DUMMYFUNCTION("VLOOKUP(A78,IMPORTRANGE(""1EmrnCz2gLVTx5Cbj0e5tfuHPhTtmru8KTGuQvh7STl0/edit#gid=2147150001"",""Whole Data Set!$A$2:$NQ$253""),381,FALSE)"),0.75)</f>
        <v>0.75</v>
      </c>
      <c r="C78" s="63">
        <f t="shared" si="1"/>
        <v>0.003</v>
      </c>
      <c r="D78" s="12">
        <f>IFERROR(__xludf.DUMMYFUNCTION("VLOOKUP(A78,IMPORTRANGE(""1aFCnJY1qhIj8-JckJhDJ18aqmVo17tofpQmOjcYa3u8/edit#gid=948248086"",""Whole Data Set!$A$2:$NG$253""),371,FALSE)"),0.75)</f>
        <v>0.75</v>
      </c>
      <c r="E78" s="13">
        <f t="shared" si="2"/>
        <v>0.003</v>
      </c>
      <c r="F78" s="13">
        <f t="shared" si="3"/>
        <v>0</v>
      </c>
      <c r="G78" s="12">
        <f>IFERROR(__xludf.DUMMYFUNCTION("VLOOKUP(A78,IMPORTRANGE(""1QZ5UxyNCwadreQAXnQ7oCoH982DjIA-QnZdO7ZoqkC0/edit#gid=0"",""2020-2021!$A$2:$O$255""),2,FALSE)"),0.5)</f>
        <v>0.5</v>
      </c>
      <c r="H78" s="14">
        <f t="shared" si="4"/>
        <v>0.002</v>
      </c>
      <c r="I78" s="15">
        <f t="shared" si="5"/>
        <v>0.001</v>
      </c>
      <c r="J78" s="16">
        <f>IFERROR(__xludf.DUMMYFUNCTION("VLOOKUP(A78,IMPORTRANGE(""1QZ5UxyNCwadreQAXnQ7oCoH982DjIA-QnZdO7ZoqkC0/edit#gid=0"",""2020-2021!$A$2:$O$251""),4,FALSE)"),4.0)</f>
        <v>4</v>
      </c>
      <c r="K78" s="17">
        <f t="shared" si="6"/>
        <v>0.016</v>
      </c>
      <c r="L78" s="17">
        <f t="shared" si="7"/>
        <v>-0.013</v>
      </c>
    </row>
    <row r="79">
      <c r="A79" s="19" t="s">
        <v>127</v>
      </c>
      <c r="B79" s="41">
        <f>IFERROR(__xludf.DUMMYFUNCTION("VLOOKUP(A79,IMPORTRANGE(""1EmrnCz2gLVTx5Cbj0e5tfuHPhTtmru8KTGuQvh7STl0/edit#gid=2147150001"",""Whole Data Set!$A$2:$NQ$253""),381,FALSE)"),145.5)</f>
        <v>145.5</v>
      </c>
      <c r="C79" s="63">
        <f t="shared" si="1"/>
        <v>0.582</v>
      </c>
      <c r="D79" s="12">
        <f>IFERROR(__xludf.DUMMYFUNCTION("VLOOKUP(A79,IMPORTRANGE(""1aFCnJY1qhIj8-JckJhDJ18aqmVo17tofpQmOjcYa3u8/edit#gid=948248086"",""Whole Data Set!$A$2:$NG$253""),371,FALSE)"),133.25)</f>
        <v>133.25</v>
      </c>
      <c r="E79" s="13">
        <f t="shared" si="2"/>
        <v>0.533</v>
      </c>
      <c r="F79" s="13">
        <f t="shared" si="3"/>
        <v>0.049</v>
      </c>
      <c r="G79" s="12">
        <f>IFERROR(__xludf.DUMMYFUNCTION("VLOOKUP(A79,IMPORTRANGE(""1QZ5UxyNCwadreQAXnQ7oCoH982DjIA-QnZdO7ZoqkC0/edit#gid=0"",""2020-2021!$A$2:$O$255""),2,FALSE)"),108.5)</f>
        <v>108.5</v>
      </c>
      <c r="H79" s="14">
        <f t="shared" si="4"/>
        <v>0.434</v>
      </c>
      <c r="I79" s="15">
        <f t="shared" si="5"/>
        <v>0.148</v>
      </c>
      <c r="J79" s="16">
        <f>IFERROR(__xludf.DUMMYFUNCTION("VLOOKUP(A79,IMPORTRANGE(""1QZ5UxyNCwadreQAXnQ7oCoH982DjIA-QnZdO7ZoqkC0/edit#gid=0"",""2020-2021!$A$2:$O$251""),4,FALSE)"),63.0)</f>
        <v>63</v>
      </c>
      <c r="K79" s="17">
        <f t="shared" si="6"/>
        <v>0.252</v>
      </c>
      <c r="L79" s="17">
        <f t="shared" si="7"/>
        <v>0.33</v>
      </c>
    </row>
    <row r="80">
      <c r="A80" s="19" t="s">
        <v>228</v>
      </c>
      <c r="B80" s="41">
        <f>IFERROR(__xludf.DUMMYFUNCTION("VLOOKUP(A80,IMPORTRANGE(""1EmrnCz2gLVTx5Cbj0e5tfuHPhTtmru8KTGuQvh7STl0/edit#gid=2147150001"",""Whole Data Set!$A$2:$NQ$253""),381,FALSE)"),37.25)</f>
        <v>37.25</v>
      </c>
      <c r="C80" s="63">
        <f t="shared" si="1"/>
        <v>0.149</v>
      </c>
      <c r="D80" s="12">
        <f>IFERROR(__xludf.DUMMYFUNCTION("VLOOKUP(A80,IMPORTRANGE(""1aFCnJY1qhIj8-JckJhDJ18aqmVo17tofpQmOjcYa3u8/edit#gid=948248086"",""Whole Data Set!$A$2:$NG$253""),371,FALSE)"),29.5)</f>
        <v>29.5</v>
      </c>
      <c r="E80" s="13">
        <f t="shared" si="2"/>
        <v>0.118</v>
      </c>
      <c r="F80" s="13">
        <f t="shared" si="3"/>
        <v>0.031</v>
      </c>
      <c r="G80" s="12">
        <f>IFERROR(__xludf.DUMMYFUNCTION("VLOOKUP(A80,IMPORTRANGE(""1QZ5UxyNCwadreQAXnQ7oCoH982DjIA-QnZdO7ZoqkC0/edit#gid=0"",""2020-2021!$A$2:$O$255""),2,FALSE)"),10.75)</f>
        <v>10.75</v>
      </c>
      <c r="H80" s="14">
        <f t="shared" si="4"/>
        <v>0.043</v>
      </c>
      <c r="I80" s="15">
        <f t="shared" si="5"/>
        <v>0.106</v>
      </c>
      <c r="J80" s="16">
        <f>IFERROR(__xludf.DUMMYFUNCTION("VLOOKUP(A80,IMPORTRANGE(""1QZ5UxyNCwadreQAXnQ7oCoH982DjIA-QnZdO7ZoqkC0/edit#gid=0"",""2020-2021!$A$2:$O$251""),4,FALSE)"),19.5)</f>
        <v>19.5</v>
      </c>
      <c r="K80" s="17">
        <f t="shared" si="6"/>
        <v>0.078</v>
      </c>
      <c r="L80" s="17">
        <f t="shared" si="7"/>
        <v>0.071</v>
      </c>
    </row>
    <row r="81">
      <c r="A81" s="19" t="s">
        <v>229</v>
      </c>
      <c r="B81" s="41">
        <f>IFERROR(__xludf.DUMMYFUNCTION("VLOOKUP(A81,IMPORTRANGE(""1EmrnCz2gLVTx5Cbj0e5tfuHPhTtmru8KTGuQvh7STl0/edit#gid=2147150001"",""Whole Data Set!$A$2:$NQ$253""),381,FALSE)"),100.0)</f>
        <v>100</v>
      </c>
      <c r="C81" s="63">
        <f t="shared" si="1"/>
        <v>0.4</v>
      </c>
      <c r="D81" s="12">
        <f>IFERROR(__xludf.DUMMYFUNCTION("VLOOKUP(A81,IMPORTRANGE(""1aFCnJY1qhIj8-JckJhDJ18aqmVo17tofpQmOjcYa3u8/edit#gid=948248086"",""Whole Data Set!$A$2:$NG$253""),371,FALSE)"),74.5)</f>
        <v>74.5</v>
      </c>
      <c r="E81" s="13">
        <f t="shared" si="2"/>
        <v>0.298</v>
      </c>
      <c r="F81" s="13">
        <f t="shared" si="3"/>
        <v>0.102</v>
      </c>
      <c r="G81" s="12">
        <f>IFERROR(__xludf.DUMMYFUNCTION("VLOOKUP(A81,IMPORTRANGE(""1QZ5UxyNCwadreQAXnQ7oCoH982DjIA-QnZdO7ZoqkC0/edit#gid=0"",""2020-2021!$A$2:$O$255""),2,FALSE)"),70.0)</f>
        <v>70</v>
      </c>
      <c r="H81" s="14">
        <f t="shared" si="4"/>
        <v>0.28</v>
      </c>
      <c r="I81" s="15">
        <f t="shared" si="5"/>
        <v>0.12</v>
      </c>
      <c r="J81" s="16">
        <f>IFERROR(__xludf.DUMMYFUNCTION("VLOOKUP(A81,IMPORTRANGE(""1QZ5UxyNCwadreQAXnQ7oCoH982DjIA-QnZdO7ZoqkC0/edit#gid=0"",""2020-2021!$A$2:$O$251""),4,FALSE)"),78.0)</f>
        <v>78</v>
      </c>
      <c r="K81" s="17">
        <f t="shared" si="6"/>
        <v>0.312</v>
      </c>
      <c r="L81" s="17">
        <f t="shared" si="7"/>
        <v>0.088</v>
      </c>
    </row>
    <row r="82">
      <c r="A82" s="19" t="s">
        <v>128</v>
      </c>
      <c r="B82" s="41">
        <f>IFERROR(__xludf.DUMMYFUNCTION("VLOOKUP(A82,IMPORTRANGE(""1EmrnCz2gLVTx5Cbj0e5tfuHPhTtmru8KTGuQvh7STl0/edit#gid=2147150001"",""Whole Data Set!$A$2:$NQ$253""),381,FALSE)"),23.0)</f>
        <v>23</v>
      </c>
      <c r="C82" s="63">
        <f t="shared" si="1"/>
        <v>0.092</v>
      </c>
      <c r="D82" s="12">
        <f>IFERROR(__xludf.DUMMYFUNCTION("VLOOKUP(A82,IMPORTRANGE(""1aFCnJY1qhIj8-JckJhDJ18aqmVo17tofpQmOjcYa3u8/edit#gid=948248086"",""Whole Data Set!$A$2:$NG$253""),371,FALSE)"),19.0)</f>
        <v>19</v>
      </c>
      <c r="E82" s="13">
        <f t="shared" si="2"/>
        <v>0.076</v>
      </c>
      <c r="F82" s="13">
        <f t="shared" si="3"/>
        <v>0.016</v>
      </c>
      <c r="G82" s="12">
        <f>IFERROR(__xludf.DUMMYFUNCTION("VLOOKUP(A82,IMPORTRANGE(""1QZ5UxyNCwadreQAXnQ7oCoH982DjIA-QnZdO7ZoqkC0/edit#gid=0"",""2020-2021!$A$2:$O$255""),2,FALSE)"),18.25)</f>
        <v>18.25</v>
      </c>
      <c r="H82" s="14">
        <f t="shared" si="4"/>
        <v>0.073</v>
      </c>
      <c r="I82" s="15">
        <f t="shared" si="5"/>
        <v>0.019</v>
      </c>
      <c r="J82" s="16">
        <f>IFERROR(__xludf.DUMMYFUNCTION("VLOOKUP(A82,IMPORTRANGE(""1QZ5UxyNCwadreQAXnQ7oCoH982DjIA-QnZdO7ZoqkC0/edit#gid=0"",""2020-2021!$A$2:$O$251""),4,FALSE)"),18.5)</f>
        <v>18.5</v>
      </c>
      <c r="K82" s="17">
        <f t="shared" si="6"/>
        <v>0.074</v>
      </c>
      <c r="L82" s="17">
        <f t="shared" si="7"/>
        <v>0.018</v>
      </c>
    </row>
    <row r="83">
      <c r="A83" s="19" t="s">
        <v>230</v>
      </c>
      <c r="B83" s="41">
        <f>IFERROR(__xludf.DUMMYFUNCTION("VLOOKUP(A83,IMPORTRANGE(""1EmrnCz2gLVTx5Cbj0e5tfuHPhTtmru8KTGuQvh7STl0/edit#gid=2147150001"",""Whole Data Set!$A$2:$NQ$253""),381,FALSE)"),44.75)</f>
        <v>44.75</v>
      </c>
      <c r="C83" s="63">
        <f t="shared" si="1"/>
        <v>0.179</v>
      </c>
      <c r="D83" s="12">
        <f>IFERROR(__xludf.DUMMYFUNCTION("VLOOKUP(A83,IMPORTRANGE(""1aFCnJY1qhIj8-JckJhDJ18aqmVo17tofpQmOjcYa3u8/edit#gid=948248086"",""Whole Data Set!$A$2:$NG$253""),371,FALSE)"),45.5)</f>
        <v>45.5</v>
      </c>
      <c r="E83" s="13">
        <f t="shared" si="2"/>
        <v>0.182</v>
      </c>
      <c r="F83" s="13">
        <f t="shared" si="3"/>
        <v>-0.003</v>
      </c>
      <c r="G83" s="12">
        <f>IFERROR(__xludf.DUMMYFUNCTION("VLOOKUP(A83,IMPORTRANGE(""1QZ5UxyNCwadreQAXnQ7oCoH982DjIA-QnZdO7ZoqkC0/edit#gid=0"",""2020-2021!$A$2:$O$255""),2,FALSE)"),42.75)</f>
        <v>42.75</v>
      </c>
      <c r="H83" s="14">
        <f t="shared" si="4"/>
        <v>0.171</v>
      </c>
      <c r="I83" s="15">
        <f t="shared" si="5"/>
        <v>0.008</v>
      </c>
      <c r="J83" s="16">
        <f>IFERROR(__xludf.DUMMYFUNCTION("VLOOKUP(A83,IMPORTRANGE(""1QZ5UxyNCwadreQAXnQ7oCoH982DjIA-QnZdO7ZoqkC0/edit#gid=0"",""2020-2021!$A$2:$O$251""),4,FALSE)"),36.0)</f>
        <v>36</v>
      </c>
      <c r="K83" s="17">
        <f t="shared" si="6"/>
        <v>0.144</v>
      </c>
      <c r="L83" s="17">
        <f t="shared" si="7"/>
        <v>0.035</v>
      </c>
    </row>
    <row r="84">
      <c r="A84" s="19" t="s">
        <v>176</v>
      </c>
      <c r="B84" s="41">
        <f>IFERROR(__xludf.DUMMYFUNCTION("VLOOKUP(A84,IMPORTRANGE(""1EmrnCz2gLVTx5Cbj0e5tfuHPhTtmru8KTGuQvh7STl0/edit#gid=2147150001"",""Whole Data Set!$A$2:$NQ$253""),381,FALSE)"),39.75)</f>
        <v>39.75</v>
      </c>
      <c r="C84" s="63">
        <f t="shared" si="1"/>
        <v>0.159</v>
      </c>
      <c r="D84" s="12">
        <f>IFERROR(__xludf.DUMMYFUNCTION("VLOOKUP(A84,IMPORTRANGE(""1aFCnJY1qhIj8-JckJhDJ18aqmVo17tofpQmOjcYa3u8/edit#gid=948248086"",""Whole Data Set!$A$2:$NG$253""),371,FALSE)"),33.75)</f>
        <v>33.75</v>
      </c>
      <c r="E84" s="13">
        <f t="shared" si="2"/>
        <v>0.135</v>
      </c>
      <c r="F84" s="13">
        <f t="shared" si="3"/>
        <v>0.024</v>
      </c>
      <c r="G84" s="12">
        <f>IFERROR(__xludf.DUMMYFUNCTION("VLOOKUP(A84,IMPORTRANGE(""1QZ5UxyNCwadreQAXnQ7oCoH982DjIA-QnZdO7ZoqkC0/edit#gid=0"",""2020-2021!$A$2:$O$255""),2,FALSE)"),31.25)</f>
        <v>31.25</v>
      </c>
      <c r="H84" s="14">
        <f t="shared" si="4"/>
        <v>0.125</v>
      </c>
      <c r="I84" s="15">
        <f t="shared" si="5"/>
        <v>0.034</v>
      </c>
      <c r="J84" s="16">
        <f>IFERROR(__xludf.DUMMYFUNCTION("VLOOKUP(A84,IMPORTRANGE(""1QZ5UxyNCwadreQAXnQ7oCoH982DjIA-QnZdO7ZoqkC0/edit#gid=0"",""2020-2021!$A$2:$O$251""),4,FALSE)"),32.0)</f>
        <v>32</v>
      </c>
      <c r="K84" s="17">
        <f t="shared" si="6"/>
        <v>0.128</v>
      </c>
      <c r="L84" s="17">
        <f t="shared" si="7"/>
        <v>0.031</v>
      </c>
    </row>
    <row r="85">
      <c r="A85" s="19" t="s">
        <v>231</v>
      </c>
      <c r="B85" s="41">
        <f>IFERROR(__xludf.DUMMYFUNCTION("VLOOKUP(A85,IMPORTRANGE(""1EmrnCz2gLVTx5Cbj0e5tfuHPhTtmru8KTGuQvh7STl0/edit#gid=2147150001"",""Whole Data Set!$A$2:$NQ$253""),381,FALSE)"),32.5)</f>
        <v>32.5</v>
      </c>
      <c r="C85" s="63">
        <f t="shared" si="1"/>
        <v>0.13</v>
      </c>
      <c r="D85" s="12">
        <f>IFERROR(__xludf.DUMMYFUNCTION("VLOOKUP(A85,IMPORTRANGE(""1aFCnJY1qhIj8-JckJhDJ18aqmVo17tofpQmOjcYa3u8/edit#gid=948248086"",""Whole Data Set!$A$2:$NG$253""),371,FALSE)"),34.75)</f>
        <v>34.75</v>
      </c>
      <c r="E85" s="13">
        <f t="shared" si="2"/>
        <v>0.139</v>
      </c>
      <c r="F85" s="13">
        <f t="shared" si="3"/>
        <v>-0.009</v>
      </c>
      <c r="G85" s="12">
        <f>IFERROR(__xludf.DUMMYFUNCTION("VLOOKUP(A85,IMPORTRANGE(""1QZ5UxyNCwadreQAXnQ7oCoH982DjIA-QnZdO7ZoqkC0/edit#gid=0"",""2020-2021!$A$2:$O$255""),2,FALSE)"),39.25)</f>
        <v>39.25</v>
      </c>
      <c r="H85" s="14">
        <f t="shared" si="4"/>
        <v>0.157</v>
      </c>
      <c r="I85" s="15">
        <f t="shared" si="5"/>
        <v>-0.027</v>
      </c>
      <c r="J85" s="16">
        <f>IFERROR(__xludf.DUMMYFUNCTION("VLOOKUP(A85,IMPORTRANGE(""1QZ5UxyNCwadreQAXnQ7oCoH982DjIA-QnZdO7ZoqkC0/edit#gid=0"",""2020-2021!$A$2:$O$251""),4,FALSE)"),51.5)</f>
        <v>51.5</v>
      </c>
      <c r="K85" s="17">
        <f t="shared" si="6"/>
        <v>0.206</v>
      </c>
      <c r="L85" s="17">
        <f t="shared" si="7"/>
        <v>-0.076</v>
      </c>
    </row>
    <row r="86">
      <c r="A86" s="19" t="s">
        <v>177</v>
      </c>
      <c r="B86" s="41">
        <f>IFERROR(__xludf.DUMMYFUNCTION("VLOOKUP(A86,IMPORTRANGE(""1EmrnCz2gLVTx5Cbj0e5tfuHPhTtmru8KTGuQvh7STl0/edit#gid=2147150001"",""Whole Data Set!$A$2:$NQ$253""),381,FALSE)"),11.75)</f>
        <v>11.75</v>
      </c>
      <c r="C86" s="63">
        <f t="shared" si="1"/>
        <v>0.047</v>
      </c>
      <c r="D86" s="12">
        <f>IFERROR(__xludf.DUMMYFUNCTION("VLOOKUP(A86,IMPORTRANGE(""1aFCnJY1qhIj8-JckJhDJ18aqmVo17tofpQmOjcYa3u8/edit#gid=948248086"",""Whole Data Set!$A$2:$NG$253""),371,FALSE)"),14.5)</f>
        <v>14.5</v>
      </c>
      <c r="E86" s="13">
        <f t="shared" si="2"/>
        <v>0.058</v>
      </c>
      <c r="F86" s="13">
        <f t="shared" si="3"/>
        <v>-0.011</v>
      </c>
      <c r="G86" s="12">
        <f>IFERROR(__xludf.DUMMYFUNCTION("VLOOKUP(A86,IMPORTRANGE(""1QZ5UxyNCwadreQAXnQ7oCoH982DjIA-QnZdO7ZoqkC0/edit#gid=0"",""2020-2021!$A$2:$O$255""),2,FALSE)"),17.75)</f>
        <v>17.75</v>
      </c>
      <c r="H86" s="14">
        <f t="shared" si="4"/>
        <v>0.071</v>
      </c>
      <c r="I86" s="15">
        <f t="shared" si="5"/>
        <v>-0.024</v>
      </c>
      <c r="J86" s="16">
        <f>IFERROR(__xludf.DUMMYFUNCTION("VLOOKUP(A86,IMPORTRANGE(""1QZ5UxyNCwadreQAXnQ7oCoH982DjIA-QnZdO7ZoqkC0/edit#gid=0"",""2020-2021!$A$2:$O$251""),4,FALSE)"),25.5)</f>
        <v>25.5</v>
      </c>
      <c r="K86" s="17">
        <f t="shared" si="6"/>
        <v>0.102</v>
      </c>
      <c r="L86" s="17">
        <f t="shared" si="7"/>
        <v>-0.055</v>
      </c>
    </row>
    <row r="87">
      <c r="A87" s="19" t="s">
        <v>129</v>
      </c>
      <c r="B87" s="41">
        <f>IFERROR(__xludf.DUMMYFUNCTION("VLOOKUP(A87,IMPORTRANGE(""1EmrnCz2gLVTx5Cbj0e5tfuHPhTtmru8KTGuQvh7STl0/edit#gid=2147150001"",""Whole Data Set!$A$2:$NQ$253""),381,FALSE)"),122.5)</f>
        <v>122.5</v>
      </c>
      <c r="C87" s="63">
        <f t="shared" si="1"/>
        <v>0.49</v>
      </c>
      <c r="D87" s="12">
        <f>IFERROR(__xludf.DUMMYFUNCTION("VLOOKUP(A87,IMPORTRANGE(""1aFCnJY1qhIj8-JckJhDJ18aqmVo17tofpQmOjcYa3u8/edit#gid=948248086"",""Whole Data Set!$A$2:$NG$253""),371,FALSE)"),109.0)</f>
        <v>109</v>
      </c>
      <c r="E87" s="13">
        <f t="shared" si="2"/>
        <v>0.436</v>
      </c>
      <c r="F87" s="13">
        <f t="shared" si="3"/>
        <v>0.054</v>
      </c>
      <c r="G87" s="12">
        <f>IFERROR(__xludf.DUMMYFUNCTION("VLOOKUP(A87,IMPORTRANGE(""1QZ5UxyNCwadreQAXnQ7oCoH982DjIA-QnZdO7ZoqkC0/edit#gid=0"",""2020-2021!$A$2:$O$255""),2,FALSE)"),107.75)</f>
        <v>107.75</v>
      </c>
      <c r="H87" s="14">
        <f t="shared" si="4"/>
        <v>0.431</v>
      </c>
      <c r="I87" s="15">
        <f t="shared" si="5"/>
        <v>0.059</v>
      </c>
      <c r="J87" s="16">
        <f>IFERROR(__xludf.DUMMYFUNCTION("VLOOKUP(A87,IMPORTRANGE(""1QZ5UxyNCwadreQAXnQ7oCoH982DjIA-QnZdO7ZoqkC0/edit#gid=0"",""2020-2021!$A$2:$O$251""),4,FALSE)"),122.0)</f>
        <v>122</v>
      </c>
      <c r="K87" s="17">
        <f t="shared" si="6"/>
        <v>0.488</v>
      </c>
      <c r="L87" s="17">
        <f t="shared" si="7"/>
        <v>0.002</v>
      </c>
    </row>
    <row r="88">
      <c r="A88" s="19" t="s">
        <v>64</v>
      </c>
      <c r="B88" s="41">
        <f>IFERROR(__xludf.DUMMYFUNCTION("VLOOKUP(A88,IMPORTRANGE(""1EmrnCz2gLVTx5Cbj0e5tfuHPhTtmru8KTGuQvh7STl0/edit#gid=2147150001"",""Whole Data Set!$A$2:$NQ$253""),381,FALSE)"),120.25)</f>
        <v>120.25</v>
      </c>
      <c r="C88" s="63">
        <f t="shared" si="1"/>
        <v>0.481</v>
      </c>
      <c r="D88" s="12">
        <f>IFERROR(__xludf.DUMMYFUNCTION("VLOOKUP(A88,IMPORTRANGE(""1aFCnJY1qhIj8-JckJhDJ18aqmVo17tofpQmOjcYa3u8/edit#gid=948248086"",""Whole Data Set!$A$2:$NG$253""),371,FALSE)"),109.5)</f>
        <v>109.5</v>
      </c>
      <c r="E88" s="13">
        <f t="shared" si="2"/>
        <v>0.438</v>
      </c>
      <c r="F88" s="13">
        <f t="shared" si="3"/>
        <v>0.043</v>
      </c>
      <c r="G88" s="12">
        <f>IFERROR(__xludf.DUMMYFUNCTION("VLOOKUP(A88,IMPORTRANGE(""1QZ5UxyNCwadreQAXnQ7oCoH982DjIA-QnZdO7ZoqkC0/edit#gid=0"",""2020-2021!$A$2:$O$255""),2,FALSE)"),123.0)</f>
        <v>123</v>
      </c>
      <c r="H88" s="14">
        <f t="shared" si="4"/>
        <v>0.492</v>
      </c>
      <c r="I88" s="15">
        <f t="shared" si="5"/>
        <v>-0.011</v>
      </c>
      <c r="J88" s="16">
        <f>IFERROR(__xludf.DUMMYFUNCTION("VLOOKUP(A88,IMPORTRANGE(""1QZ5UxyNCwadreQAXnQ7oCoH982DjIA-QnZdO7ZoqkC0/edit#gid=0"",""2020-2021!$A$2:$O$251""),4,FALSE)"),125.0)</f>
        <v>125</v>
      </c>
      <c r="K88" s="17">
        <f t="shared" si="6"/>
        <v>0.5</v>
      </c>
      <c r="L88" s="17">
        <f t="shared" si="7"/>
        <v>-0.019</v>
      </c>
    </row>
    <row r="89">
      <c r="A89" s="19" t="s">
        <v>232</v>
      </c>
      <c r="B89" s="41">
        <f>IFERROR(__xludf.DUMMYFUNCTION("VLOOKUP(A89,IMPORTRANGE(""1EmrnCz2gLVTx5Cbj0e5tfuHPhTtmru8KTGuQvh7STl0/edit#gid=2147150001"",""Whole Data Set!$A$2:$NQ$253""),381,FALSE)"),20.25)</f>
        <v>20.25</v>
      </c>
      <c r="C89" s="63">
        <f t="shared" si="1"/>
        <v>0.081</v>
      </c>
      <c r="D89" s="12">
        <f>IFERROR(__xludf.DUMMYFUNCTION("VLOOKUP(A89,IMPORTRANGE(""1aFCnJY1qhIj8-JckJhDJ18aqmVo17tofpQmOjcYa3u8/edit#gid=948248086"",""Whole Data Set!$A$2:$NG$253""),371,FALSE)"),12.75)</f>
        <v>12.75</v>
      </c>
      <c r="E89" s="13">
        <f t="shared" si="2"/>
        <v>0.051</v>
      </c>
      <c r="F89" s="13">
        <f t="shared" si="3"/>
        <v>0.03</v>
      </c>
      <c r="G89" s="12">
        <f>IFERROR(__xludf.DUMMYFUNCTION("VLOOKUP(A89,IMPORTRANGE(""1QZ5UxyNCwadreQAXnQ7oCoH982DjIA-QnZdO7ZoqkC0/edit#gid=0"",""2020-2021!$A$2:$O$255""),2,FALSE)"),12.25)</f>
        <v>12.25</v>
      </c>
      <c r="H89" s="14">
        <f t="shared" si="4"/>
        <v>0.049</v>
      </c>
      <c r="I89" s="15">
        <f t="shared" si="5"/>
        <v>0.032</v>
      </c>
      <c r="J89" s="16">
        <f>IFERROR(__xludf.DUMMYFUNCTION("VLOOKUP(A89,IMPORTRANGE(""1QZ5UxyNCwadreQAXnQ7oCoH982DjIA-QnZdO7ZoqkC0/edit#gid=0"",""2020-2021!$A$2:$O$251""),4,FALSE)"),26.0)</f>
        <v>26</v>
      </c>
      <c r="K89" s="17">
        <f t="shared" si="6"/>
        <v>0.104</v>
      </c>
      <c r="L89" s="17">
        <f t="shared" si="7"/>
        <v>-0.023</v>
      </c>
    </row>
    <row r="90">
      <c r="A90" s="19" t="s">
        <v>51</v>
      </c>
      <c r="B90" s="41">
        <f>IFERROR(__xludf.DUMMYFUNCTION("VLOOKUP(A90,IMPORTRANGE(""1EmrnCz2gLVTx5Cbj0e5tfuHPhTtmru8KTGuQvh7STl0/edit#gid=2147150001"",""Whole Data Set!$A$2:$NQ$253""),381,FALSE)"),133.75)</f>
        <v>133.75</v>
      </c>
      <c r="C90" s="63">
        <f t="shared" si="1"/>
        <v>0.535</v>
      </c>
      <c r="D90" s="12">
        <f>IFERROR(__xludf.DUMMYFUNCTION("VLOOKUP(A90,IMPORTRANGE(""1aFCnJY1qhIj8-JckJhDJ18aqmVo17tofpQmOjcYa3u8/edit#gid=948248086"",""Whole Data Set!$A$2:$NG$253""),371,FALSE)"),156.0)</f>
        <v>156</v>
      </c>
      <c r="E90" s="13">
        <f t="shared" si="2"/>
        <v>0.624</v>
      </c>
      <c r="F90" s="13">
        <f t="shared" si="3"/>
        <v>-0.089</v>
      </c>
      <c r="G90" s="12">
        <f>IFERROR(__xludf.DUMMYFUNCTION("VLOOKUP(A90,IMPORTRANGE(""1QZ5UxyNCwadreQAXnQ7oCoH982DjIA-QnZdO7ZoqkC0/edit#gid=0"",""2020-2021!$A$2:$O$255""),2,FALSE)"),157.75)</f>
        <v>157.75</v>
      </c>
      <c r="H90" s="14">
        <f t="shared" si="4"/>
        <v>0.631</v>
      </c>
      <c r="I90" s="15">
        <f t="shared" si="5"/>
        <v>-0.096</v>
      </c>
      <c r="J90" s="16">
        <f>IFERROR(__xludf.DUMMYFUNCTION("VLOOKUP(A90,IMPORTRANGE(""1QZ5UxyNCwadreQAXnQ7oCoH982DjIA-QnZdO7ZoqkC0/edit#gid=0"",""2020-2021!$A$2:$O$251""),4,FALSE)"),123.0)</f>
        <v>123</v>
      </c>
      <c r="K90" s="17">
        <f t="shared" si="6"/>
        <v>0.492</v>
      </c>
      <c r="L90" s="17">
        <f t="shared" si="7"/>
        <v>0.043</v>
      </c>
    </row>
    <row r="91">
      <c r="A91" s="19" t="s">
        <v>52</v>
      </c>
      <c r="B91" s="41">
        <f>IFERROR(__xludf.DUMMYFUNCTION("VLOOKUP(A91,IMPORTRANGE(""1EmrnCz2gLVTx5Cbj0e5tfuHPhTtmru8KTGuQvh7STl0/edit#gid=2147150001"",""Whole Data Set!$A$2:$NQ$253""),381,FALSE)"),199.25)</f>
        <v>199.25</v>
      </c>
      <c r="C91" s="63">
        <f t="shared" si="1"/>
        <v>0.797</v>
      </c>
      <c r="D91" s="12">
        <f>IFERROR(__xludf.DUMMYFUNCTION("VLOOKUP(A91,IMPORTRANGE(""1aFCnJY1qhIj8-JckJhDJ18aqmVo17tofpQmOjcYa3u8/edit#gid=948248086"",""Whole Data Set!$A$2:$NG$253""),371,FALSE)"),147.5)</f>
        <v>147.5</v>
      </c>
      <c r="E91" s="13">
        <f t="shared" si="2"/>
        <v>0.59</v>
      </c>
      <c r="F91" s="13">
        <f t="shared" si="3"/>
        <v>0.207</v>
      </c>
      <c r="G91" s="12">
        <f>IFERROR(__xludf.DUMMYFUNCTION("VLOOKUP(A91,IMPORTRANGE(""1QZ5UxyNCwadreQAXnQ7oCoH982DjIA-QnZdO7ZoqkC0/edit#gid=0"",""2020-2021!$A$2:$O$255""),2,FALSE)"),139.25)</f>
        <v>139.25</v>
      </c>
      <c r="H91" s="14">
        <f t="shared" si="4"/>
        <v>0.557</v>
      </c>
      <c r="I91" s="15">
        <f t="shared" si="5"/>
        <v>0.24</v>
      </c>
      <c r="J91" s="16">
        <f>IFERROR(__xludf.DUMMYFUNCTION("VLOOKUP(A91,IMPORTRANGE(""1QZ5UxyNCwadreQAXnQ7oCoH982DjIA-QnZdO7ZoqkC0/edit#gid=0"",""2020-2021!$A$2:$O$251""),4,FALSE)"),121.0)</f>
        <v>121</v>
      </c>
      <c r="K91" s="17">
        <f t="shared" si="6"/>
        <v>0.484</v>
      </c>
      <c r="L91" s="17">
        <f t="shared" si="7"/>
        <v>0.313</v>
      </c>
    </row>
    <row r="92">
      <c r="A92" s="19" t="s">
        <v>53</v>
      </c>
      <c r="B92" s="41">
        <f>IFERROR(__xludf.DUMMYFUNCTION("VLOOKUP(A92,IMPORTRANGE(""1EmrnCz2gLVTx5Cbj0e5tfuHPhTtmru8KTGuQvh7STl0/edit#gid=2147150001"",""Whole Data Set!$A$2:$NQ$253""),381,FALSE)"),77.25)</f>
        <v>77.25</v>
      </c>
      <c r="C92" s="63">
        <f t="shared" si="1"/>
        <v>0.309</v>
      </c>
      <c r="D92" s="12">
        <f>IFERROR(__xludf.DUMMYFUNCTION("VLOOKUP(A92,IMPORTRANGE(""1aFCnJY1qhIj8-JckJhDJ18aqmVo17tofpQmOjcYa3u8/edit#gid=948248086"",""Whole Data Set!$A$2:$NG$253""),371,FALSE)"),75.0)</f>
        <v>75</v>
      </c>
      <c r="E92" s="13">
        <f t="shared" si="2"/>
        <v>0.3</v>
      </c>
      <c r="F92" s="13">
        <f t="shared" si="3"/>
        <v>0.009</v>
      </c>
      <c r="G92" s="12">
        <f>IFERROR(__xludf.DUMMYFUNCTION("VLOOKUP(A92,IMPORTRANGE(""1QZ5UxyNCwadreQAXnQ7oCoH982DjIA-QnZdO7ZoqkC0/edit#gid=0"",""2020-2021!$A$2:$O$255""),2,FALSE)"),29.75)</f>
        <v>29.75</v>
      </c>
      <c r="H92" s="14">
        <f t="shared" si="4"/>
        <v>0.119</v>
      </c>
      <c r="I92" s="15">
        <f t="shared" si="5"/>
        <v>0.19</v>
      </c>
      <c r="J92" s="16">
        <f>IFERROR(__xludf.DUMMYFUNCTION("VLOOKUP(A92,IMPORTRANGE(""1QZ5UxyNCwadreQAXnQ7oCoH982DjIA-QnZdO7ZoqkC0/edit#gid=0"",""2020-2021!$A$2:$O$251""),4,FALSE)"),48.0)</f>
        <v>48</v>
      </c>
      <c r="K92" s="17">
        <f t="shared" si="6"/>
        <v>0.192</v>
      </c>
      <c r="L92" s="17">
        <f t="shared" si="7"/>
        <v>0.117</v>
      </c>
    </row>
    <row r="93">
      <c r="A93" s="19" t="s">
        <v>54</v>
      </c>
      <c r="B93" s="41">
        <f>IFERROR(__xludf.DUMMYFUNCTION("VLOOKUP(A93,IMPORTRANGE(""1EmrnCz2gLVTx5Cbj0e5tfuHPhTtmru8KTGuQvh7STl0/edit#gid=2147150001"",""Whole Data Set!$A$2:$NQ$253""),381,FALSE)"),177.75)</f>
        <v>177.75</v>
      </c>
      <c r="C93" s="63">
        <f t="shared" si="1"/>
        <v>0.711</v>
      </c>
      <c r="D93" s="12">
        <f>IFERROR(__xludf.DUMMYFUNCTION("VLOOKUP(A93,IMPORTRANGE(""1aFCnJY1qhIj8-JckJhDJ18aqmVo17tofpQmOjcYa3u8/edit#gid=948248086"",""Whole Data Set!$A$2:$NG$253""),371,FALSE)"),164.75)</f>
        <v>164.75</v>
      </c>
      <c r="E93" s="13">
        <f t="shared" si="2"/>
        <v>0.659</v>
      </c>
      <c r="F93" s="13">
        <f t="shared" si="3"/>
        <v>0.052</v>
      </c>
      <c r="G93" s="12">
        <f>IFERROR(__xludf.DUMMYFUNCTION("VLOOKUP(A93,IMPORTRANGE(""1QZ5UxyNCwadreQAXnQ7oCoH982DjIA-QnZdO7ZoqkC0/edit#gid=0"",""2020-2021!$A$2:$O$255""),2,FALSE)"),168.75)</f>
        <v>168.75</v>
      </c>
      <c r="H93" s="14">
        <f t="shared" si="4"/>
        <v>0.675</v>
      </c>
      <c r="I93" s="15">
        <f t="shared" si="5"/>
        <v>0.036</v>
      </c>
      <c r="J93" s="16">
        <f>IFERROR(__xludf.DUMMYFUNCTION("VLOOKUP(A93,IMPORTRANGE(""1QZ5UxyNCwadreQAXnQ7oCoH982DjIA-QnZdO7ZoqkC0/edit#gid=0"",""2020-2021!$A$2:$O$251""),4,FALSE)"),182.0)</f>
        <v>182</v>
      </c>
      <c r="K93" s="17">
        <f t="shared" si="6"/>
        <v>0.728</v>
      </c>
      <c r="L93" s="17">
        <f t="shared" si="7"/>
        <v>-0.017</v>
      </c>
    </row>
    <row r="94">
      <c r="A94" s="19" t="s">
        <v>55</v>
      </c>
      <c r="B94" s="41">
        <f>IFERROR(__xludf.DUMMYFUNCTION("VLOOKUP(A94,IMPORTRANGE(""1EmrnCz2gLVTx5Cbj0e5tfuHPhTtmru8KTGuQvh7STl0/edit#gid=2147150001"",""Whole Data Set!$A$2:$NQ$253""),381,FALSE)"),93.75)</f>
        <v>93.75</v>
      </c>
      <c r="C94" s="63">
        <f t="shared" si="1"/>
        <v>0.375</v>
      </c>
      <c r="D94" s="12">
        <f>IFERROR(__xludf.DUMMYFUNCTION("VLOOKUP(A94,IMPORTRANGE(""1aFCnJY1qhIj8-JckJhDJ18aqmVo17tofpQmOjcYa3u8/edit#gid=948248086"",""Whole Data Set!$A$2:$NG$253""),371,FALSE)"),68.0)</f>
        <v>68</v>
      </c>
      <c r="E94" s="13">
        <f t="shared" si="2"/>
        <v>0.272</v>
      </c>
      <c r="F94" s="13">
        <f t="shared" si="3"/>
        <v>0.103</v>
      </c>
      <c r="G94" s="12">
        <f>IFERROR(__xludf.DUMMYFUNCTION("VLOOKUP(A94,IMPORTRANGE(""1QZ5UxyNCwadreQAXnQ7oCoH982DjIA-QnZdO7ZoqkC0/edit#gid=0"",""2020-2021!$A$2:$O$255""),2,FALSE)"),98.25)</f>
        <v>98.25</v>
      </c>
      <c r="H94" s="14">
        <f t="shared" si="4"/>
        <v>0.393</v>
      </c>
      <c r="I94" s="15">
        <f t="shared" si="5"/>
        <v>-0.018</v>
      </c>
      <c r="J94" s="16">
        <f>IFERROR(__xludf.DUMMYFUNCTION("VLOOKUP(A94,IMPORTRANGE(""1QZ5UxyNCwadreQAXnQ7oCoH982DjIA-QnZdO7ZoqkC0/edit#gid=0"",""2020-2021!$A$2:$O$251""),4,FALSE)"),97.0)</f>
        <v>97</v>
      </c>
      <c r="K94" s="17">
        <f t="shared" si="6"/>
        <v>0.388</v>
      </c>
      <c r="L94" s="17">
        <f t="shared" si="7"/>
        <v>-0.013</v>
      </c>
    </row>
    <row r="95">
      <c r="A95" s="19" t="s">
        <v>50</v>
      </c>
      <c r="B95" s="41">
        <f>IFERROR(__xludf.DUMMYFUNCTION("VLOOKUP(A95,IMPORTRANGE(""1EmrnCz2gLVTx5Cbj0e5tfuHPhTtmru8KTGuQvh7STl0/edit#gid=2147150001"",""Whole Data Set!$A$2:$NQ$253""),381,FALSE)"),0.0)</f>
        <v>0</v>
      </c>
      <c r="C95" s="63">
        <f t="shared" si="1"/>
        <v>0</v>
      </c>
      <c r="D95" s="12">
        <f>IFERROR(__xludf.DUMMYFUNCTION("VLOOKUP(A95,IMPORTRANGE(""1aFCnJY1qhIj8-JckJhDJ18aqmVo17tofpQmOjcYa3u8/edit#gid=948248086"",""Whole Data Set!$A$2:$NG$253""),371,FALSE)"),0.25)</f>
        <v>0.25</v>
      </c>
      <c r="E95" s="13">
        <f t="shared" si="2"/>
        <v>0.001</v>
      </c>
      <c r="F95" s="13">
        <f t="shared" si="3"/>
        <v>-0.001</v>
      </c>
      <c r="G95" s="12">
        <f>IFERROR(__xludf.DUMMYFUNCTION("VLOOKUP(A95,IMPORTRANGE(""1QZ5UxyNCwadreQAXnQ7oCoH982DjIA-QnZdO7ZoqkC0/edit#gid=0"",""2020-2021!$A$2:$O$255""),2,FALSE)"),0.75)</f>
        <v>0.75</v>
      </c>
      <c r="H95" s="14">
        <f t="shared" si="4"/>
        <v>0.003</v>
      </c>
      <c r="I95" s="15">
        <f t="shared" si="5"/>
        <v>-0.003</v>
      </c>
      <c r="J95" s="16">
        <f>IFERROR(__xludf.DUMMYFUNCTION("VLOOKUP(A95,IMPORTRANGE(""1QZ5UxyNCwadreQAXnQ7oCoH982DjIA-QnZdO7ZoqkC0/edit#gid=0"",""2020-2021!$A$2:$O$251""),4,FALSE)"),0.0)</f>
        <v>0</v>
      </c>
      <c r="K95" s="17">
        <f t="shared" si="6"/>
        <v>0</v>
      </c>
      <c r="L95" s="17">
        <f t="shared" si="7"/>
        <v>0</v>
      </c>
    </row>
    <row r="96">
      <c r="A96" s="19" t="s">
        <v>233</v>
      </c>
      <c r="B96" s="41">
        <f>IFERROR(__xludf.DUMMYFUNCTION("VLOOKUP(A96,IMPORTRANGE(""1EmrnCz2gLVTx5Cbj0e5tfuHPhTtmru8KTGuQvh7STl0/edit#gid=2147150001"",""Whole Data Set!$A$2:$NQ$253""),381,FALSE)"),76.0)</f>
        <v>76</v>
      </c>
      <c r="C96" s="63">
        <f t="shared" si="1"/>
        <v>0.304</v>
      </c>
      <c r="D96" s="12">
        <f>IFERROR(__xludf.DUMMYFUNCTION("VLOOKUP(A96,IMPORTRANGE(""1aFCnJY1qhIj8-JckJhDJ18aqmVo17tofpQmOjcYa3u8/edit#gid=948248086"",""Whole Data Set!$A$2:$NG$253""),371,FALSE)"),71.0)</f>
        <v>71</v>
      </c>
      <c r="E96" s="13">
        <f t="shared" si="2"/>
        <v>0.284</v>
      </c>
      <c r="F96" s="13">
        <f t="shared" si="3"/>
        <v>0.02</v>
      </c>
      <c r="G96" s="12">
        <f>IFERROR(__xludf.DUMMYFUNCTION("VLOOKUP(A96,IMPORTRANGE(""1QZ5UxyNCwadreQAXnQ7oCoH982DjIA-QnZdO7ZoqkC0/edit#gid=0"",""2020-2021!$A$2:$O$255""),2,FALSE)"),90.25)</f>
        <v>90.25</v>
      </c>
      <c r="H96" s="14">
        <f t="shared" si="4"/>
        <v>0.361</v>
      </c>
      <c r="I96" s="15">
        <f t="shared" si="5"/>
        <v>-0.057</v>
      </c>
      <c r="J96" s="16">
        <f>IFERROR(__xludf.DUMMYFUNCTION("VLOOKUP(A96,IMPORTRANGE(""1QZ5UxyNCwadreQAXnQ7oCoH982DjIA-QnZdO7ZoqkC0/edit#gid=0"",""2020-2021!$A$2:$O$251""),4,FALSE)"),87.5)</f>
        <v>87.5</v>
      </c>
      <c r="K96" s="17">
        <f t="shared" si="6"/>
        <v>0.35</v>
      </c>
      <c r="L96" s="17">
        <f t="shared" si="7"/>
        <v>-0.046</v>
      </c>
    </row>
    <row r="97">
      <c r="A97" s="19" t="s">
        <v>234</v>
      </c>
      <c r="B97" s="41">
        <f>IFERROR(__xludf.DUMMYFUNCTION("VLOOKUP(A97,IMPORTRANGE(""1EmrnCz2gLVTx5Cbj0e5tfuHPhTtmru8KTGuQvh7STl0/edit#gid=2147150001"",""Whole Data Set!$A$2:$NQ$253""),381,FALSE)"),59.25)</f>
        <v>59.25</v>
      </c>
      <c r="C97" s="63">
        <f t="shared" si="1"/>
        <v>0.237</v>
      </c>
      <c r="D97" s="12">
        <f>IFERROR(__xludf.DUMMYFUNCTION("VLOOKUP(A97,IMPORTRANGE(""1aFCnJY1qhIj8-JckJhDJ18aqmVo17tofpQmOjcYa3u8/edit#gid=948248086"",""Whole Data Set!$A$2:$NG$253""),371,FALSE)"),50.25)</f>
        <v>50.25</v>
      </c>
      <c r="E97" s="13">
        <f t="shared" si="2"/>
        <v>0.201</v>
      </c>
      <c r="F97" s="13">
        <f t="shared" si="3"/>
        <v>0.036</v>
      </c>
      <c r="G97" s="12">
        <f>IFERROR(__xludf.DUMMYFUNCTION("VLOOKUP(A97,IMPORTRANGE(""1QZ5UxyNCwadreQAXnQ7oCoH982DjIA-QnZdO7ZoqkC0/edit#gid=0"",""2020-2021!$A$2:$O$255""),2,FALSE)"),60.25)</f>
        <v>60.25</v>
      </c>
      <c r="H97" s="14">
        <f t="shared" si="4"/>
        <v>0.241</v>
      </c>
      <c r="I97" s="15">
        <f t="shared" si="5"/>
        <v>-0.004</v>
      </c>
      <c r="J97" s="16">
        <f>IFERROR(__xludf.DUMMYFUNCTION("VLOOKUP(A97,IMPORTRANGE(""1QZ5UxyNCwadreQAXnQ7oCoH982DjIA-QnZdO7ZoqkC0/edit#gid=0"",""2020-2021!$A$2:$O$251""),4,FALSE)"),84.5)</f>
        <v>84.5</v>
      </c>
      <c r="K97" s="17">
        <f t="shared" si="6"/>
        <v>0.338</v>
      </c>
      <c r="L97" s="17">
        <f t="shared" si="7"/>
        <v>-0.101</v>
      </c>
    </row>
    <row r="98">
      <c r="A98" s="19" t="s">
        <v>98</v>
      </c>
      <c r="B98" s="41">
        <f>IFERROR(__xludf.DUMMYFUNCTION("VLOOKUP(A98,IMPORTRANGE(""1EmrnCz2gLVTx5Cbj0e5tfuHPhTtmru8KTGuQvh7STl0/edit#gid=2147150001"",""Whole Data Set!$A$2:$NQ$253""),381,FALSE)"),69.75)</f>
        <v>69.75</v>
      </c>
      <c r="C98" s="63">
        <f t="shared" si="1"/>
        <v>0.279</v>
      </c>
      <c r="D98" s="12">
        <f>IFERROR(__xludf.DUMMYFUNCTION("VLOOKUP(A98,IMPORTRANGE(""1aFCnJY1qhIj8-JckJhDJ18aqmVo17tofpQmOjcYa3u8/edit#gid=948248086"",""Whole Data Set!$A$2:$NG$253""),371,FALSE)"),77.25)</f>
        <v>77.25</v>
      </c>
      <c r="E98" s="13">
        <f t="shared" si="2"/>
        <v>0.309</v>
      </c>
      <c r="F98" s="13">
        <f t="shared" si="3"/>
        <v>-0.03</v>
      </c>
      <c r="G98" s="12">
        <f>IFERROR(__xludf.DUMMYFUNCTION("VLOOKUP(A98,IMPORTRANGE(""1QZ5UxyNCwadreQAXnQ7oCoH982DjIA-QnZdO7ZoqkC0/edit#gid=0"",""2020-2021!$A$2:$O$255""),2,FALSE)"),92.75)</f>
        <v>92.75</v>
      </c>
      <c r="H98" s="14">
        <f t="shared" si="4"/>
        <v>0.371</v>
      </c>
      <c r="I98" s="15">
        <f t="shared" si="5"/>
        <v>-0.092</v>
      </c>
      <c r="J98" s="16">
        <f>IFERROR(__xludf.DUMMYFUNCTION("VLOOKUP(A98,IMPORTRANGE(""1QZ5UxyNCwadreQAXnQ7oCoH982DjIA-QnZdO7ZoqkC0/edit#gid=0"",""2020-2021!$A$2:$O$251""),4,FALSE)"),82.5)</f>
        <v>82.5</v>
      </c>
      <c r="K98" s="17">
        <f t="shared" si="6"/>
        <v>0.33</v>
      </c>
      <c r="L98" s="17">
        <f t="shared" si="7"/>
        <v>-0.051</v>
      </c>
    </row>
    <row r="99">
      <c r="A99" s="19" t="s">
        <v>235</v>
      </c>
      <c r="B99" s="41">
        <f>IFERROR(__xludf.DUMMYFUNCTION("VLOOKUP(A99,IMPORTRANGE(""1EmrnCz2gLVTx5Cbj0e5tfuHPhTtmru8KTGuQvh7STl0/edit#gid=2147150001"",""Whole Data Set!$A$2:$NQ$253""),381,FALSE)"),83.25)</f>
        <v>83.25</v>
      </c>
      <c r="C99" s="63">
        <f t="shared" si="1"/>
        <v>0.333</v>
      </c>
      <c r="D99" s="12">
        <f>IFERROR(__xludf.DUMMYFUNCTION("VLOOKUP(A99,IMPORTRANGE(""1aFCnJY1qhIj8-JckJhDJ18aqmVo17tofpQmOjcYa3u8/edit#gid=948248086"",""Whole Data Set!$A$2:$NG$253""),371,FALSE)"),46.75)</f>
        <v>46.75</v>
      </c>
      <c r="E99" s="13">
        <f t="shared" si="2"/>
        <v>0.187</v>
      </c>
      <c r="F99" s="13">
        <f t="shared" si="3"/>
        <v>0.146</v>
      </c>
      <c r="G99" s="12">
        <f>IFERROR(__xludf.DUMMYFUNCTION("VLOOKUP(A99,IMPORTRANGE(""1QZ5UxyNCwadreQAXnQ7oCoH982DjIA-QnZdO7ZoqkC0/edit#gid=0"",""2020-2021!$A$2:$O$255""),2,FALSE)"),49.75)</f>
        <v>49.75</v>
      </c>
      <c r="H99" s="14">
        <f t="shared" si="4"/>
        <v>0.199</v>
      </c>
      <c r="I99" s="15">
        <f t="shared" si="5"/>
        <v>0.134</v>
      </c>
      <c r="J99" s="16">
        <f>IFERROR(__xludf.DUMMYFUNCTION("VLOOKUP(A99,IMPORTRANGE(""1QZ5UxyNCwadreQAXnQ7oCoH982DjIA-QnZdO7ZoqkC0/edit#gid=0"",""2020-2021!$A$2:$O$251""),4,FALSE)"),62.0)</f>
        <v>62</v>
      </c>
      <c r="K99" s="17">
        <f t="shared" si="6"/>
        <v>0.248</v>
      </c>
      <c r="L99" s="17">
        <f t="shared" si="7"/>
        <v>0.085</v>
      </c>
    </row>
    <row r="100">
      <c r="A100" s="19" t="s">
        <v>58</v>
      </c>
      <c r="B100" s="41">
        <f>IFERROR(__xludf.DUMMYFUNCTION("VLOOKUP(A100,IMPORTRANGE(""1EmrnCz2gLVTx5Cbj0e5tfuHPhTtmru8KTGuQvh7STl0/edit#gid=2147150001"",""Whole Data Set!$A$2:$NQ$253""),381,FALSE)"),21.5)</f>
        <v>21.5</v>
      </c>
      <c r="C100" s="63">
        <f t="shared" si="1"/>
        <v>0.086</v>
      </c>
      <c r="D100" s="12">
        <f>IFERROR(__xludf.DUMMYFUNCTION("VLOOKUP(A100,IMPORTRANGE(""1aFCnJY1qhIj8-JckJhDJ18aqmVo17tofpQmOjcYa3u8/edit#gid=948248086"",""Whole Data Set!$A$2:$NG$253""),371,FALSE)"),19.0)</f>
        <v>19</v>
      </c>
      <c r="E100" s="13">
        <f t="shared" si="2"/>
        <v>0.076</v>
      </c>
      <c r="F100" s="13">
        <f t="shared" si="3"/>
        <v>0.01</v>
      </c>
      <c r="G100" s="12">
        <f>IFERROR(__xludf.DUMMYFUNCTION("VLOOKUP(A100,IMPORTRANGE(""1QZ5UxyNCwadreQAXnQ7oCoH982DjIA-QnZdO7ZoqkC0/edit#gid=0"",""2020-2021!$A$2:$O$255""),2,FALSE)"),33.0)</f>
        <v>33</v>
      </c>
      <c r="H100" s="14">
        <f t="shared" si="4"/>
        <v>0.132</v>
      </c>
      <c r="I100" s="15">
        <f t="shared" si="5"/>
        <v>-0.046</v>
      </c>
      <c r="J100" s="16">
        <f>IFERROR(__xludf.DUMMYFUNCTION("VLOOKUP(A100,IMPORTRANGE(""1QZ5UxyNCwadreQAXnQ7oCoH982DjIA-QnZdO7ZoqkC0/edit#gid=0"",""2020-2021!$A$2:$O$251""),4,FALSE)"),47.5)</f>
        <v>47.5</v>
      </c>
      <c r="K100" s="17">
        <f t="shared" si="6"/>
        <v>0.19</v>
      </c>
      <c r="L100" s="17">
        <f t="shared" si="7"/>
        <v>-0.104</v>
      </c>
    </row>
    <row r="101">
      <c r="A101" s="19" t="s">
        <v>59</v>
      </c>
      <c r="B101" s="41">
        <f>IFERROR(__xludf.DUMMYFUNCTION("VLOOKUP(A101,IMPORTRANGE(""1EmrnCz2gLVTx5Cbj0e5tfuHPhTtmru8KTGuQvh7STl0/edit#gid=2147150001"",""Whole Data Set!$A$2:$NQ$253""),381,FALSE)"),137.0)</f>
        <v>137</v>
      </c>
      <c r="C101" s="63">
        <f t="shared" si="1"/>
        <v>0.548</v>
      </c>
      <c r="D101" s="12">
        <f>IFERROR(__xludf.DUMMYFUNCTION("VLOOKUP(A101,IMPORTRANGE(""1aFCnJY1qhIj8-JckJhDJ18aqmVo17tofpQmOjcYa3u8/edit#gid=948248086"",""Whole Data Set!$A$2:$NG$253""),371,FALSE)"),123.25)</f>
        <v>123.25</v>
      </c>
      <c r="E101" s="13">
        <f t="shared" si="2"/>
        <v>0.493</v>
      </c>
      <c r="F101" s="13">
        <f t="shared" si="3"/>
        <v>0.055</v>
      </c>
      <c r="G101" s="12">
        <f>IFERROR(__xludf.DUMMYFUNCTION("VLOOKUP(A101,IMPORTRANGE(""1QZ5UxyNCwadreQAXnQ7oCoH982DjIA-QnZdO7ZoqkC0/edit#gid=0"",""2020-2021!$A$2:$O$255""),2,FALSE)"),84.25)</f>
        <v>84.25</v>
      </c>
      <c r="H101" s="14">
        <f t="shared" si="4"/>
        <v>0.337</v>
      </c>
      <c r="I101" s="15">
        <f t="shared" si="5"/>
        <v>0.211</v>
      </c>
      <c r="J101" s="16">
        <f>IFERROR(__xludf.DUMMYFUNCTION("VLOOKUP(A101,IMPORTRANGE(""1QZ5UxyNCwadreQAXnQ7oCoH982DjIA-QnZdO7ZoqkC0/edit#gid=0"",""2020-2021!$A$2:$O$251""),4,FALSE)"),102.5)</f>
        <v>102.5</v>
      </c>
      <c r="K101" s="17">
        <f t="shared" si="6"/>
        <v>0.41</v>
      </c>
      <c r="L101" s="17">
        <f t="shared" si="7"/>
        <v>0.138</v>
      </c>
    </row>
    <row r="102">
      <c r="A102" s="19" t="s">
        <v>178</v>
      </c>
      <c r="B102" s="41">
        <f>IFERROR(__xludf.DUMMYFUNCTION("VLOOKUP(A102,IMPORTRANGE(""1EmrnCz2gLVTx5Cbj0e5tfuHPhTtmru8KTGuQvh7STl0/edit#gid=2147150001"",""Whole Data Set!$A$2:$NQ$253""),381,FALSE)"),156.25)</f>
        <v>156.25</v>
      </c>
      <c r="C102" s="63">
        <f t="shared" si="1"/>
        <v>0.625</v>
      </c>
      <c r="D102" s="12">
        <f>IFERROR(__xludf.DUMMYFUNCTION("VLOOKUP(A102,IMPORTRANGE(""1aFCnJY1qhIj8-JckJhDJ18aqmVo17tofpQmOjcYa3u8/edit#gid=948248086"",""Whole Data Set!$A$2:$NG$253""),371,FALSE)"),134.75)</f>
        <v>134.75</v>
      </c>
      <c r="E102" s="13">
        <f t="shared" si="2"/>
        <v>0.539</v>
      </c>
      <c r="F102" s="13">
        <f t="shared" si="3"/>
        <v>0.086</v>
      </c>
      <c r="G102" s="12">
        <f>IFERROR(__xludf.DUMMYFUNCTION("VLOOKUP(A102,IMPORTRANGE(""1QZ5UxyNCwadreQAXnQ7oCoH982DjIA-QnZdO7ZoqkC0/edit#gid=0"",""2020-2021!$A$2:$O$255""),2,FALSE)"),26.75)</f>
        <v>26.75</v>
      </c>
      <c r="H102" s="14">
        <f t="shared" si="4"/>
        <v>0.107</v>
      </c>
      <c r="I102" s="15">
        <f t="shared" si="5"/>
        <v>0.518</v>
      </c>
      <c r="J102" s="16">
        <f>IFERROR(__xludf.DUMMYFUNCTION("VLOOKUP(A102,IMPORTRANGE(""1QZ5UxyNCwadreQAXnQ7oCoH982DjIA-QnZdO7ZoqkC0/edit#gid=0"",""2020-2021!$A$2:$O$251""),4,FALSE)"),33.0)</f>
        <v>33</v>
      </c>
      <c r="K102" s="17">
        <f t="shared" si="6"/>
        <v>0.132</v>
      </c>
      <c r="L102" s="17">
        <f t="shared" si="7"/>
        <v>0.493</v>
      </c>
    </row>
    <row r="103">
      <c r="A103" s="19" t="s">
        <v>179</v>
      </c>
      <c r="B103" s="41">
        <f>IFERROR(__xludf.DUMMYFUNCTION("VLOOKUP(A103,IMPORTRANGE(""1EmrnCz2gLVTx5Cbj0e5tfuHPhTtmru8KTGuQvh7STl0/edit#gid=2147150001"",""Whole Data Set!$A$2:$NQ$253""),381,FALSE)"),27.25)</f>
        <v>27.25</v>
      </c>
      <c r="C103" s="63">
        <f t="shared" si="1"/>
        <v>0.109</v>
      </c>
      <c r="D103" s="12">
        <f>IFERROR(__xludf.DUMMYFUNCTION("VLOOKUP(A103,IMPORTRANGE(""1aFCnJY1qhIj8-JckJhDJ18aqmVo17tofpQmOjcYa3u8/edit#gid=948248086"",""Whole Data Set!$A$2:$NG$253""),371,FALSE)"),33.0)</f>
        <v>33</v>
      </c>
      <c r="E103" s="13">
        <f t="shared" si="2"/>
        <v>0.132</v>
      </c>
      <c r="F103" s="13">
        <f t="shared" si="3"/>
        <v>-0.023</v>
      </c>
      <c r="G103" s="12">
        <f>IFERROR(__xludf.DUMMYFUNCTION("VLOOKUP(A103,IMPORTRANGE(""1QZ5UxyNCwadreQAXnQ7oCoH982DjIA-QnZdO7ZoqkC0/edit#gid=0"",""2020-2021!$A$2:$O$255""),2,FALSE)"),36.5)</f>
        <v>36.5</v>
      </c>
      <c r="H103" s="14">
        <f t="shared" si="4"/>
        <v>0.146</v>
      </c>
      <c r="I103" s="15">
        <f t="shared" si="5"/>
        <v>-0.037</v>
      </c>
      <c r="J103" s="16">
        <f>IFERROR(__xludf.DUMMYFUNCTION("VLOOKUP(A103,IMPORTRANGE(""1QZ5UxyNCwadreQAXnQ7oCoH982DjIA-QnZdO7ZoqkC0/edit#gid=0"",""2020-2021!$A$2:$O$251""),4,FALSE)"),51.5)</f>
        <v>51.5</v>
      </c>
      <c r="K103" s="17">
        <f t="shared" si="6"/>
        <v>0.206</v>
      </c>
      <c r="L103" s="17">
        <f t="shared" si="7"/>
        <v>-0.097</v>
      </c>
    </row>
    <row r="104">
      <c r="A104" s="19" t="s">
        <v>60</v>
      </c>
      <c r="B104" s="41">
        <f>IFERROR(__xludf.DUMMYFUNCTION("VLOOKUP(A104,IMPORTRANGE(""1EmrnCz2gLVTx5Cbj0e5tfuHPhTtmru8KTGuQvh7STl0/edit#gid=2147150001"",""Whole Data Set!$A$2:$NQ$253""),381,FALSE)"),102.0)</f>
        <v>102</v>
      </c>
      <c r="C104" s="63">
        <f t="shared" si="1"/>
        <v>0.408</v>
      </c>
      <c r="D104" s="12">
        <f>IFERROR(__xludf.DUMMYFUNCTION("VLOOKUP(A104,IMPORTRANGE(""1aFCnJY1qhIj8-JckJhDJ18aqmVo17tofpQmOjcYa3u8/edit#gid=948248086"",""Whole Data Set!$A$2:$NG$253""),371,FALSE)"),90.75)</f>
        <v>90.75</v>
      </c>
      <c r="E104" s="13">
        <f t="shared" si="2"/>
        <v>0.363</v>
      </c>
      <c r="F104" s="13">
        <f t="shared" si="3"/>
        <v>0.045</v>
      </c>
      <c r="G104" s="12">
        <f>IFERROR(__xludf.DUMMYFUNCTION("VLOOKUP(A104,IMPORTRANGE(""1QZ5UxyNCwadreQAXnQ7oCoH982DjIA-QnZdO7ZoqkC0/edit#gid=0"",""2020-2021!$A$2:$O$255""),2,FALSE)"),63.0)</f>
        <v>63</v>
      </c>
      <c r="H104" s="14">
        <f t="shared" si="4"/>
        <v>0.252</v>
      </c>
      <c r="I104" s="15">
        <f t="shared" si="5"/>
        <v>0.156</v>
      </c>
      <c r="J104" s="16">
        <f>IFERROR(__xludf.DUMMYFUNCTION("VLOOKUP(A104,IMPORTRANGE(""1QZ5UxyNCwadreQAXnQ7oCoH982DjIA-QnZdO7ZoqkC0/edit#gid=0"",""2020-2021!$A$2:$O$251""),4,FALSE)"),73.0)</f>
        <v>73</v>
      </c>
      <c r="K104" s="17">
        <f t="shared" si="6"/>
        <v>0.292</v>
      </c>
      <c r="L104" s="17">
        <f t="shared" si="7"/>
        <v>0.116</v>
      </c>
    </row>
    <row r="105">
      <c r="A105" s="19" t="s">
        <v>130</v>
      </c>
      <c r="B105" s="41">
        <f>IFERROR(__xludf.DUMMYFUNCTION("VLOOKUP(A105,IMPORTRANGE(""1EmrnCz2gLVTx5Cbj0e5tfuHPhTtmru8KTGuQvh7STl0/edit#gid=2147150001"",""Whole Data Set!$A$2:$NQ$253""),381,FALSE)"),73.5)</f>
        <v>73.5</v>
      </c>
      <c r="C105" s="63">
        <f t="shared" si="1"/>
        <v>0.294</v>
      </c>
      <c r="D105" s="12">
        <f>IFERROR(__xludf.DUMMYFUNCTION("VLOOKUP(A105,IMPORTRANGE(""1aFCnJY1qhIj8-JckJhDJ18aqmVo17tofpQmOjcYa3u8/edit#gid=948248086"",""Whole Data Set!$A$2:$NG$253""),371,FALSE)"),58.0)</f>
        <v>58</v>
      </c>
      <c r="E105" s="13">
        <f t="shared" si="2"/>
        <v>0.232</v>
      </c>
      <c r="F105" s="13">
        <f t="shared" si="3"/>
        <v>0.062</v>
      </c>
      <c r="G105" s="12">
        <f>IFERROR(__xludf.DUMMYFUNCTION("VLOOKUP(A105,IMPORTRANGE(""1QZ5UxyNCwadreQAXnQ7oCoH982DjIA-QnZdO7ZoqkC0/edit#gid=0"",""2020-2021!$A$2:$O$255""),2,FALSE)"),66.5)</f>
        <v>66.5</v>
      </c>
      <c r="H105" s="14">
        <f t="shared" si="4"/>
        <v>0.266</v>
      </c>
      <c r="I105" s="15">
        <f t="shared" si="5"/>
        <v>0.028</v>
      </c>
      <c r="J105" s="16">
        <f>IFERROR(__xludf.DUMMYFUNCTION("VLOOKUP(A105,IMPORTRANGE(""1QZ5UxyNCwadreQAXnQ7oCoH982DjIA-QnZdO7ZoqkC0/edit#gid=0"",""2020-2021!$A$2:$O$251""),4,FALSE)"),40.0)</f>
        <v>40</v>
      </c>
      <c r="K105" s="17">
        <f t="shared" si="6"/>
        <v>0.16</v>
      </c>
      <c r="L105" s="17">
        <f t="shared" si="7"/>
        <v>0.134</v>
      </c>
    </row>
    <row r="106">
      <c r="A106" s="19" t="s">
        <v>236</v>
      </c>
      <c r="B106" s="41">
        <f>IFERROR(__xludf.DUMMYFUNCTION("VLOOKUP(A106,IMPORTRANGE(""1EmrnCz2gLVTx5Cbj0e5tfuHPhTtmru8KTGuQvh7STl0/edit#gid=2147150001"",""Whole Data Set!$A$2:$NQ$253""),381,FALSE)"),44.25)</f>
        <v>44.25</v>
      </c>
      <c r="C106" s="63">
        <f t="shared" si="1"/>
        <v>0.177</v>
      </c>
      <c r="D106" s="12">
        <f>IFERROR(__xludf.DUMMYFUNCTION("VLOOKUP(A106,IMPORTRANGE(""1aFCnJY1qhIj8-JckJhDJ18aqmVo17tofpQmOjcYa3u8/edit#gid=948248086"",""Whole Data Set!$A$2:$NG$253""),371,FALSE)"),1.0)</f>
        <v>1</v>
      </c>
      <c r="E106" s="13">
        <f t="shared" si="2"/>
        <v>0.004</v>
      </c>
      <c r="F106" s="13">
        <f t="shared" si="3"/>
        <v>0.173</v>
      </c>
      <c r="G106" s="12">
        <f>IFERROR(__xludf.DUMMYFUNCTION("VLOOKUP(A106,IMPORTRANGE(""1QZ5UxyNCwadreQAXnQ7oCoH982DjIA-QnZdO7ZoqkC0/edit#gid=0"",""2020-2021!$A$2:$O$255""),2,FALSE)"),15.25)</f>
        <v>15.25</v>
      </c>
      <c r="H106" s="14">
        <f t="shared" si="4"/>
        <v>0.061</v>
      </c>
      <c r="I106" s="15">
        <f t="shared" si="5"/>
        <v>0.116</v>
      </c>
      <c r="J106" s="16">
        <f>IFERROR(__xludf.DUMMYFUNCTION("VLOOKUP(A106,IMPORTRANGE(""1QZ5UxyNCwadreQAXnQ7oCoH982DjIA-QnZdO7ZoqkC0/edit#gid=0"",""2020-2021!$A$2:$O$251""),4,FALSE)"),15.5)</f>
        <v>15.5</v>
      </c>
      <c r="K106" s="17">
        <f t="shared" si="6"/>
        <v>0.062</v>
      </c>
      <c r="L106" s="17">
        <f t="shared" si="7"/>
        <v>0.115</v>
      </c>
    </row>
    <row r="107">
      <c r="A107" s="19" t="s">
        <v>237</v>
      </c>
      <c r="B107" s="41">
        <f>IFERROR(__xludf.DUMMYFUNCTION("VLOOKUP(A107,IMPORTRANGE(""1EmrnCz2gLVTx5Cbj0e5tfuHPhTtmru8KTGuQvh7STl0/edit#gid=2147150001"",""Whole Data Set!$A$2:$NQ$253""),381,FALSE)"),5.0)</f>
        <v>5</v>
      </c>
      <c r="C107" s="63">
        <f t="shared" si="1"/>
        <v>0.02</v>
      </c>
      <c r="D107" s="12">
        <f>IFERROR(__xludf.DUMMYFUNCTION("VLOOKUP(A107,IMPORTRANGE(""1aFCnJY1qhIj8-JckJhDJ18aqmVo17tofpQmOjcYa3u8/edit#gid=948248086"",""Whole Data Set!$A$2:$NG$253""),371,FALSE)"),5.5)</f>
        <v>5.5</v>
      </c>
      <c r="E107" s="13">
        <f t="shared" si="2"/>
        <v>0.022</v>
      </c>
      <c r="F107" s="13">
        <f t="shared" si="3"/>
        <v>-0.002</v>
      </c>
      <c r="G107" s="12">
        <f>IFERROR(__xludf.DUMMYFUNCTION("VLOOKUP(A107,IMPORTRANGE(""1QZ5UxyNCwadreQAXnQ7oCoH982DjIA-QnZdO7ZoqkC0/edit#gid=0"",""2020-2021!$A$2:$O$255""),2,FALSE)"),5.5)</f>
        <v>5.5</v>
      </c>
      <c r="H107" s="14">
        <f t="shared" si="4"/>
        <v>0.022</v>
      </c>
      <c r="I107" s="15">
        <f t="shared" si="5"/>
        <v>-0.002</v>
      </c>
      <c r="J107" s="16">
        <f>IFERROR(__xludf.DUMMYFUNCTION("VLOOKUP(A107,IMPORTRANGE(""1QZ5UxyNCwadreQAXnQ7oCoH982DjIA-QnZdO7ZoqkC0/edit#gid=0"",""2020-2021!$A$2:$O$251""),4,FALSE)"),11.0)</f>
        <v>11</v>
      </c>
      <c r="K107" s="17">
        <f t="shared" si="6"/>
        <v>0.044</v>
      </c>
      <c r="L107" s="17">
        <f t="shared" si="7"/>
        <v>-0.024</v>
      </c>
    </row>
    <row r="108">
      <c r="A108" s="19" t="s">
        <v>131</v>
      </c>
      <c r="B108" s="41">
        <f>IFERROR(__xludf.DUMMYFUNCTION("VLOOKUP(A108,IMPORTRANGE(""1EmrnCz2gLVTx5Cbj0e5tfuHPhTtmru8KTGuQvh7STl0/edit#gid=2147150001"",""Whole Data Set!$A$2:$NQ$253""),381,FALSE)"),44.5)</f>
        <v>44.5</v>
      </c>
      <c r="C108" s="63">
        <f t="shared" si="1"/>
        <v>0.178</v>
      </c>
      <c r="D108" s="12">
        <f>IFERROR(__xludf.DUMMYFUNCTION("VLOOKUP(A108,IMPORTRANGE(""1aFCnJY1qhIj8-JckJhDJ18aqmVo17tofpQmOjcYa3u8/edit#gid=948248086"",""Whole Data Set!$A$2:$NG$253""),371,FALSE)"),44.5)</f>
        <v>44.5</v>
      </c>
      <c r="E108" s="13">
        <f t="shared" si="2"/>
        <v>0.178</v>
      </c>
      <c r="F108" s="13">
        <f t="shared" si="3"/>
        <v>0</v>
      </c>
      <c r="G108" s="12">
        <f>IFERROR(__xludf.DUMMYFUNCTION("VLOOKUP(A108,IMPORTRANGE(""1QZ5UxyNCwadreQAXnQ7oCoH982DjIA-QnZdO7ZoqkC0/edit#gid=0"",""2020-2021!$A$2:$O$255""),2,FALSE)"),33.5)</f>
        <v>33.5</v>
      </c>
      <c r="H108" s="14">
        <f t="shared" si="4"/>
        <v>0.134</v>
      </c>
      <c r="I108" s="15">
        <f t="shared" si="5"/>
        <v>0.044</v>
      </c>
      <c r="J108" s="16">
        <f>IFERROR(__xludf.DUMMYFUNCTION("VLOOKUP(A108,IMPORTRANGE(""1QZ5UxyNCwadreQAXnQ7oCoH982DjIA-QnZdO7ZoqkC0/edit#gid=0"",""2020-2021!$A$2:$O$251""),4,FALSE)"),33.5)</f>
        <v>33.5</v>
      </c>
      <c r="K108" s="17">
        <f t="shared" si="6"/>
        <v>0.134</v>
      </c>
      <c r="L108" s="17">
        <f t="shared" si="7"/>
        <v>0.044</v>
      </c>
    </row>
    <row r="109">
      <c r="A109" s="19" t="s">
        <v>132</v>
      </c>
      <c r="B109" s="41">
        <f>IFERROR(__xludf.DUMMYFUNCTION("VLOOKUP(A109,IMPORTRANGE(""1EmrnCz2gLVTx5Cbj0e5tfuHPhTtmru8KTGuQvh7STl0/edit#gid=2147150001"",""Whole Data Set!$A$2:$NQ$253""),381,FALSE)"),80.0)</f>
        <v>80</v>
      </c>
      <c r="C109" s="63">
        <f t="shared" si="1"/>
        <v>0.32</v>
      </c>
      <c r="D109" s="12">
        <f>IFERROR(__xludf.DUMMYFUNCTION("VLOOKUP(A109,IMPORTRANGE(""1aFCnJY1qhIj8-JckJhDJ18aqmVo17tofpQmOjcYa3u8/edit#gid=948248086"",""Whole Data Set!$A$2:$NG$253""),371,FALSE)"),85.5)</f>
        <v>85.5</v>
      </c>
      <c r="E109" s="13">
        <f t="shared" si="2"/>
        <v>0.342</v>
      </c>
      <c r="F109" s="13">
        <f t="shared" si="3"/>
        <v>-0.022</v>
      </c>
      <c r="G109" s="12">
        <f>IFERROR(__xludf.DUMMYFUNCTION("VLOOKUP(A109,IMPORTRANGE(""1QZ5UxyNCwadreQAXnQ7oCoH982DjIA-QnZdO7ZoqkC0/edit#gid=0"",""2020-2021!$A$2:$O$255""),2,FALSE)"),66.25)</f>
        <v>66.25</v>
      </c>
      <c r="H109" s="14">
        <f t="shared" si="4"/>
        <v>0.265</v>
      </c>
      <c r="I109" s="15">
        <f t="shared" si="5"/>
        <v>0.055</v>
      </c>
      <c r="J109" s="16">
        <f>IFERROR(__xludf.DUMMYFUNCTION("VLOOKUP(A109,IMPORTRANGE(""1QZ5UxyNCwadreQAXnQ7oCoH982DjIA-QnZdO7ZoqkC0/edit#gid=0"",""2020-2021!$A$2:$O$251""),4,FALSE)"),74.0)</f>
        <v>74</v>
      </c>
      <c r="K109" s="17">
        <f t="shared" si="6"/>
        <v>0.296</v>
      </c>
      <c r="L109" s="17">
        <f t="shared" si="7"/>
        <v>0.024</v>
      </c>
    </row>
    <row r="110">
      <c r="A110" s="19" t="s">
        <v>61</v>
      </c>
      <c r="B110" s="41">
        <f>IFERROR(__xludf.DUMMYFUNCTION("VLOOKUP(A110,IMPORTRANGE(""1EmrnCz2gLVTx5Cbj0e5tfuHPhTtmru8KTGuQvh7STl0/edit#gid=2147150001"",""Whole Data Set!$A$2:$NQ$253""),381,FALSE)"),124.75)</f>
        <v>124.75</v>
      </c>
      <c r="C110" s="63">
        <f t="shared" si="1"/>
        <v>0.499</v>
      </c>
      <c r="D110" s="12">
        <f>IFERROR(__xludf.DUMMYFUNCTION("VLOOKUP(A110,IMPORTRANGE(""1aFCnJY1qhIj8-JckJhDJ18aqmVo17tofpQmOjcYa3u8/edit#gid=948248086"",""Whole Data Set!$A$2:$NG$253""),371,FALSE)"),133.5)</f>
        <v>133.5</v>
      </c>
      <c r="E110" s="13">
        <f t="shared" si="2"/>
        <v>0.534</v>
      </c>
      <c r="F110" s="13">
        <f t="shared" si="3"/>
        <v>-0.035</v>
      </c>
      <c r="G110" s="12">
        <f>IFERROR(__xludf.DUMMYFUNCTION("VLOOKUP(A110,IMPORTRANGE(""1QZ5UxyNCwadreQAXnQ7oCoH982DjIA-QnZdO7ZoqkC0/edit#gid=0"",""2020-2021!$A$2:$O$255""),2,FALSE)"),138.5)</f>
        <v>138.5</v>
      </c>
      <c r="H110" s="14">
        <f t="shared" si="4"/>
        <v>0.554</v>
      </c>
      <c r="I110" s="15">
        <f t="shared" si="5"/>
        <v>-0.055</v>
      </c>
      <c r="J110" s="16">
        <f>IFERROR(__xludf.DUMMYFUNCTION("VLOOKUP(A110,IMPORTRANGE(""1QZ5UxyNCwadreQAXnQ7oCoH982DjIA-QnZdO7ZoqkC0/edit#gid=0"",""2020-2021!$A$2:$O$251""),4,FALSE)"),138.0)</f>
        <v>138</v>
      </c>
      <c r="K110" s="17">
        <f t="shared" si="6"/>
        <v>0.552</v>
      </c>
      <c r="L110" s="17">
        <f t="shared" si="7"/>
        <v>-0.053</v>
      </c>
    </row>
    <row r="111">
      <c r="A111" s="19" t="s">
        <v>180</v>
      </c>
      <c r="B111" s="41">
        <f>IFERROR(__xludf.DUMMYFUNCTION("VLOOKUP(A111,IMPORTRANGE(""1EmrnCz2gLVTx5Cbj0e5tfuHPhTtmru8KTGuQvh7STl0/edit#gid=2147150001"",""Whole Data Set!$A$2:$NQ$253""),381,FALSE)"),0.0)</f>
        <v>0</v>
      </c>
      <c r="C111" s="63">
        <f t="shared" si="1"/>
        <v>0</v>
      </c>
      <c r="D111" s="12">
        <f>IFERROR(__xludf.DUMMYFUNCTION("VLOOKUP(A111,IMPORTRANGE(""1aFCnJY1qhIj8-JckJhDJ18aqmVo17tofpQmOjcYa3u8/edit#gid=948248086"",""Whole Data Set!$A$2:$NG$253""),371,FALSE)"),0.0)</f>
        <v>0</v>
      </c>
      <c r="E111" s="13">
        <f t="shared" si="2"/>
        <v>0</v>
      </c>
      <c r="F111" s="13">
        <f t="shared" si="3"/>
        <v>0</v>
      </c>
      <c r="G111" s="12">
        <f>IFERROR(__xludf.DUMMYFUNCTION("VLOOKUP(A111,IMPORTRANGE(""1QZ5UxyNCwadreQAXnQ7oCoH982DjIA-QnZdO7ZoqkC0/edit#gid=0"",""2020-2021!$A$2:$O$255""),2,FALSE)"),10.0)</f>
        <v>10</v>
      </c>
      <c r="H111" s="14">
        <f t="shared" si="4"/>
        <v>0.04</v>
      </c>
      <c r="I111" s="15">
        <f t="shared" si="5"/>
        <v>-0.04</v>
      </c>
      <c r="J111" s="16">
        <f>IFERROR(__xludf.DUMMYFUNCTION("VLOOKUP(A111,IMPORTRANGE(""1QZ5UxyNCwadreQAXnQ7oCoH982DjIA-QnZdO7ZoqkC0/edit#gid=0"",""2020-2021!$A$2:$O$251""),4,FALSE)"),15.0)</f>
        <v>15</v>
      </c>
      <c r="K111" s="17">
        <f t="shared" si="6"/>
        <v>0.06</v>
      </c>
      <c r="L111" s="17">
        <f t="shared" si="7"/>
        <v>-0.06</v>
      </c>
    </row>
    <row r="112">
      <c r="A112" s="19" t="s">
        <v>133</v>
      </c>
      <c r="B112" s="41">
        <f>IFERROR(__xludf.DUMMYFUNCTION("VLOOKUP(A112,IMPORTRANGE(""1EmrnCz2gLVTx5Cbj0e5tfuHPhTtmru8KTGuQvh7STl0/edit#gid=2147150001"",""Whole Data Set!$A$2:$NQ$253""),381,FALSE)"),101.75)</f>
        <v>101.75</v>
      </c>
      <c r="C112" s="63">
        <f t="shared" si="1"/>
        <v>0.407</v>
      </c>
      <c r="D112" s="12">
        <f>IFERROR(__xludf.DUMMYFUNCTION("VLOOKUP(A112,IMPORTRANGE(""1aFCnJY1qhIj8-JckJhDJ18aqmVo17tofpQmOjcYa3u8/edit#gid=948248086"",""Whole Data Set!$A$2:$NG$253""),371,FALSE)"),62.25)</f>
        <v>62.25</v>
      </c>
      <c r="E112" s="13">
        <f t="shared" si="2"/>
        <v>0.249</v>
      </c>
      <c r="F112" s="13">
        <f t="shared" si="3"/>
        <v>0.158</v>
      </c>
      <c r="G112" s="12">
        <f>IFERROR(__xludf.DUMMYFUNCTION("VLOOKUP(A112,IMPORTRANGE(""1QZ5UxyNCwadreQAXnQ7oCoH982DjIA-QnZdO7ZoqkC0/edit#gid=0"",""2020-2021!$A$2:$O$255""),2,FALSE)"),54.0)</f>
        <v>54</v>
      </c>
      <c r="H112" s="14">
        <f t="shared" si="4"/>
        <v>0.216</v>
      </c>
      <c r="I112" s="15">
        <f t="shared" si="5"/>
        <v>0.191</v>
      </c>
      <c r="J112" s="16">
        <f>IFERROR(__xludf.DUMMYFUNCTION("VLOOKUP(A112,IMPORTRANGE(""1QZ5UxyNCwadreQAXnQ7oCoH982DjIA-QnZdO7ZoqkC0/edit#gid=0"",""2020-2021!$A$2:$O$251""),4,FALSE)"),47.0)</f>
        <v>47</v>
      </c>
      <c r="K112" s="17">
        <f t="shared" si="6"/>
        <v>0.188</v>
      </c>
      <c r="L112" s="17">
        <f t="shared" si="7"/>
        <v>0.219</v>
      </c>
    </row>
    <row r="113">
      <c r="A113" s="19" t="s">
        <v>238</v>
      </c>
      <c r="B113" s="41">
        <f>IFERROR(__xludf.DUMMYFUNCTION("VLOOKUP(A113,IMPORTRANGE(""1EmrnCz2gLVTx5Cbj0e5tfuHPhTtmru8KTGuQvh7STl0/edit#gid=2147150001"",""Whole Data Set!$A$2:$NQ$253""),381,FALSE)"),72.25)</f>
        <v>72.25</v>
      </c>
      <c r="C113" s="63">
        <f t="shared" si="1"/>
        <v>0.289</v>
      </c>
      <c r="D113" s="12">
        <f>IFERROR(__xludf.DUMMYFUNCTION("VLOOKUP(A113,IMPORTRANGE(""1aFCnJY1qhIj8-JckJhDJ18aqmVo17tofpQmOjcYa3u8/edit#gid=948248086"",""Whole Data Set!$A$2:$NG$253""),371,FALSE)"),57.0)</f>
        <v>57</v>
      </c>
      <c r="E113" s="13">
        <f t="shared" si="2"/>
        <v>0.228</v>
      </c>
      <c r="F113" s="13">
        <f t="shared" si="3"/>
        <v>0.061</v>
      </c>
      <c r="G113" s="12">
        <f>IFERROR(__xludf.DUMMYFUNCTION("VLOOKUP(A113,IMPORTRANGE(""1QZ5UxyNCwadreQAXnQ7oCoH982DjIA-QnZdO7ZoqkC0/edit#gid=0"",""2020-2021!$A$2:$O$255""),2,FALSE)"),61.75)</f>
        <v>61.75</v>
      </c>
      <c r="H113" s="14">
        <f t="shared" si="4"/>
        <v>0.247</v>
      </c>
      <c r="I113" s="15">
        <f t="shared" si="5"/>
        <v>0.042</v>
      </c>
      <c r="J113" s="16">
        <f>IFERROR(__xludf.DUMMYFUNCTION("VLOOKUP(A113,IMPORTRANGE(""1QZ5UxyNCwadreQAXnQ7oCoH982DjIA-QnZdO7ZoqkC0/edit#gid=0"",""2020-2021!$A$2:$O$251""),4,FALSE)"),75.5)</f>
        <v>75.5</v>
      </c>
      <c r="K113" s="17">
        <f t="shared" si="6"/>
        <v>0.302</v>
      </c>
      <c r="L113" s="17">
        <f t="shared" si="7"/>
        <v>-0.013</v>
      </c>
    </row>
    <row r="114">
      <c r="A114" s="19" t="s">
        <v>239</v>
      </c>
      <c r="B114" s="41">
        <f>IFERROR(__xludf.DUMMYFUNCTION("VLOOKUP(A114,IMPORTRANGE(""1EmrnCz2gLVTx5Cbj0e5tfuHPhTtmru8KTGuQvh7STl0/edit#gid=2147150001"",""Whole Data Set!$A$2:$NQ$253""),381,FALSE)"),29.0)</f>
        <v>29</v>
      </c>
      <c r="C114" s="63">
        <f t="shared" si="1"/>
        <v>0.116</v>
      </c>
      <c r="D114" s="12">
        <f>IFERROR(__xludf.DUMMYFUNCTION("VLOOKUP(A114,IMPORTRANGE(""1aFCnJY1qhIj8-JckJhDJ18aqmVo17tofpQmOjcYa3u8/edit#gid=948248086"",""Whole Data Set!$A$2:$NG$253""),371,FALSE)"),39.75)</f>
        <v>39.75</v>
      </c>
      <c r="E114" s="13">
        <f t="shared" si="2"/>
        <v>0.159</v>
      </c>
      <c r="F114" s="13">
        <f t="shared" si="3"/>
        <v>-0.043</v>
      </c>
      <c r="G114" s="12">
        <f>IFERROR(__xludf.DUMMYFUNCTION("VLOOKUP(A114,IMPORTRANGE(""1QZ5UxyNCwadreQAXnQ7oCoH982DjIA-QnZdO7ZoqkC0/edit#gid=0"",""2020-2021!$A$2:$O$255""),2,FALSE)"),34.25)</f>
        <v>34.25</v>
      </c>
      <c r="H114" s="14">
        <f t="shared" si="4"/>
        <v>0.137</v>
      </c>
      <c r="I114" s="15">
        <f t="shared" si="5"/>
        <v>-0.021</v>
      </c>
      <c r="J114" s="16">
        <f>IFERROR(__xludf.DUMMYFUNCTION("VLOOKUP(A114,IMPORTRANGE(""1QZ5UxyNCwadreQAXnQ7oCoH982DjIA-QnZdO7ZoqkC0/edit#gid=0"",""2020-2021!$A$2:$O$251""),4,FALSE)"),45.5)</f>
        <v>45.5</v>
      </c>
      <c r="K114" s="17">
        <f t="shared" si="6"/>
        <v>0.182</v>
      </c>
      <c r="L114" s="17">
        <f t="shared" si="7"/>
        <v>-0.066</v>
      </c>
    </row>
    <row r="115">
      <c r="A115" s="19" t="s">
        <v>134</v>
      </c>
      <c r="B115" s="41">
        <f>IFERROR(__xludf.DUMMYFUNCTION("VLOOKUP(A115,IMPORTRANGE(""1EmrnCz2gLVTx5Cbj0e5tfuHPhTtmru8KTGuQvh7STl0/edit#gid=2147150001"",""Whole Data Set!$A$2:$NQ$253""),381,FALSE)"),41.5)</f>
        <v>41.5</v>
      </c>
      <c r="C115" s="63">
        <f t="shared" si="1"/>
        <v>0.166</v>
      </c>
      <c r="D115" s="12">
        <f>IFERROR(__xludf.DUMMYFUNCTION("VLOOKUP(A115,IMPORTRANGE(""1aFCnJY1qhIj8-JckJhDJ18aqmVo17tofpQmOjcYa3u8/edit#gid=948248086"",""Whole Data Set!$A$2:$NG$253""),371,FALSE)"),29.0)</f>
        <v>29</v>
      </c>
      <c r="E115" s="13">
        <f t="shared" si="2"/>
        <v>0.116</v>
      </c>
      <c r="F115" s="13">
        <f t="shared" si="3"/>
        <v>0.05</v>
      </c>
      <c r="G115" s="12">
        <f>IFERROR(__xludf.DUMMYFUNCTION("VLOOKUP(A115,IMPORTRANGE(""1QZ5UxyNCwadreQAXnQ7oCoH982DjIA-QnZdO7ZoqkC0/edit#gid=0"",""2020-2021!$A$2:$O$255""),2,FALSE)"),35.75)</f>
        <v>35.75</v>
      </c>
      <c r="H115" s="14">
        <f t="shared" si="4"/>
        <v>0.143</v>
      </c>
      <c r="I115" s="15">
        <f t="shared" si="5"/>
        <v>0.023</v>
      </c>
      <c r="J115" s="16">
        <f>IFERROR(__xludf.DUMMYFUNCTION("VLOOKUP(A115,IMPORTRANGE(""1QZ5UxyNCwadreQAXnQ7oCoH982DjIA-QnZdO7ZoqkC0/edit#gid=0"",""2020-2021!$A$2:$O$251""),4,FALSE)"),45.0)</f>
        <v>45</v>
      </c>
      <c r="K115" s="17">
        <f t="shared" si="6"/>
        <v>0.18</v>
      </c>
      <c r="L115" s="17">
        <f t="shared" si="7"/>
        <v>-0.014</v>
      </c>
    </row>
    <row r="116">
      <c r="A116" s="22" t="s">
        <v>240</v>
      </c>
      <c r="B116" s="41">
        <f>IFERROR(__xludf.DUMMYFUNCTION("VLOOKUP(A116,IMPORTRANGE(""1EmrnCz2gLVTx5Cbj0e5tfuHPhTtmru8KTGuQvh7STl0/edit#gid=2147150001"",""Whole Data Set!$A$2:$NQ$253""),381,FALSE)"),16.0)</f>
        <v>16</v>
      </c>
      <c r="C116" s="63">
        <f t="shared" si="1"/>
        <v>0.064</v>
      </c>
      <c r="D116" s="12">
        <f>IFERROR(__xludf.DUMMYFUNCTION("VLOOKUP(A116,IMPORTRANGE(""1aFCnJY1qhIj8-JckJhDJ18aqmVo17tofpQmOjcYa3u8/edit#gid=948248086"",""Whole Data Set!$A$2:$NG$253""),371,FALSE)"),16.25)</f>
        <v>16.25</v>
      </c>
      <c r="E116" s="13">
        <f t="shared" si="2"/>
        <v>0.065</v>
      </c>
      <c r="F116" s="13">
        <f t="shared" si="3"/>
        <v>-0.001</v>
      </c>
      <c r="G116" s="12">
        <f>IFERROR(__xludf.DUMMYFUNCTION("VLOOKUP(A116,IMPORTRANGE(""1QZ5UxyNCwadreQAXnQ7oCoH982DjIA-QnZdO7ZoqkC0/edit#gid=0"",""2020-2021!$A$2:$O$255""),2,FALSE)"),21.0)</f>
        <v>21</v>
      </c>
      <c r="H116" s="14">
        <f t="shared" si="4"/>
        <v>0.084</v>
      </c>
      <c r="I116" s="15">
        <f t="shared" si="5"/>
        <v>-0.02</v>
      </c>
      <c r="J116" s="16">
        <f>IFERROR(__xludf.DUMMYFUNCTION("VLOOKUP(A116,IMPORTRANGE(""1QZ5UxyNCwadreQAXnQ7oCoH982DjIA-QnZdO7ZoqkC0/edit#gid=0"",""2020-2021!$A$2:$O$251""),4,FALSE)"),44.5)</f>
        <v>44.5</v>
      </c>
      <c r="K116" s="17">
        <f t="shared" si="6"/>
        <v>0.178</v>
      </c>
      <c r="L116" s="17">
        <f t="shared" si="7"/>
        <v>-0.114</v>
      </c>
    </row>
    <row r="117">
      <c r="A117" s="20" t="s">
        <v>241</v>
      </c>
      <c r="B117" s="41">
        <f>IFERROR(__xludf.DUMMYFUNCTION("VLOOKUP(A117,IMPORTRANGE(""1EmrnCz2gLVTx5Cbj0e5tfuHPhTtmru8KTGuQvh7STl0/edit#gid=2147150001"",""Whole Data Set!$A$2:$NQ$253""),381,FALSE)"),191.0)</f>
        <v>191</v>
      </c>
      <c r="C117" s="63">
        <f t="shared" si="1"/>
        <v>0.764</v>
      </c>
      <c r="D117" s="12">
        <f>IFERROR(__xludf.DUMMYFUNCTION("VLOOKUP(A117,IMPORTRANGE(""1aFCnJY1qhIj8-JckJhDJ18aqmVo17tofpQmOjcYa3u8/edit#gid=948248086"",""Whole Data Set!$A$2:$NG$253""),371,FALSE)"),196.0)</f>
        <v>196</v>
      </c>
      <c r="E117" s="13">
        <f t="shared" si="2"/>
        <v>0.784</v>
      </c>
      <c r="F117" s="13">
        <f t="shared" si="3"/>
        <v>-0.02</v>
      </c>
      <c r="G117" s="12">
        <f>IFERROR(__xludf.DUMMYFUNCTION("VLOOKUP(A117,IMPORTRANGE(""1QZ5UxyNCwadreQAXnQ7oCoH982DjIA-QnZdO7ZoqkC0/edit#gid=0"",""2020-2021!$A$2:$O$255""),2,FALSE)"),139.25)</f>
        <v>139.25</v>
      </c>
      <c r="H117" s="14">
        <f t="shared" si="4"/>
        <v>0.557</v>
      </c>
      <c r="I117" s="15">
        <f t="shared" si="5"/>
        <v>0.207</v>
      </c>
      <c r="J117" s="16">
        <f>IFERROR(__xludf.DUMMYFUNCTION("VLOOKUP(A117,IMPORTRANGE(""1QZ5UxyNCwadreQAXnQ7oCoH982DjIA-QnZdO7ZoqkC0/edit#gid=0"",""2020-2021!$A$2:$O$251""),4,FALSE)"),82.0)</f>
        <v>82</v>
      </c>
      <c r="K117" s="17">
        <f t="shared" si="6"/>
        <v>0.328</v>
      </c>
      <c r="L117" s="17">
        <f t="shared" si="7"/>
        <v>0.436</v>
      </c>
    </row>
    <row r="118">
      <c r="A118" s="19" t="s">
        <v>74</v>
      </c>
      <c r="B118" s="41">
        <f>IFERROR(__xludf.DUMMYFUNCTION("VLOOKUP(A118,IMPORTRANGE(""1EmrnCz2gLVTx5Cbj0e5tfuHPhTtmru8KTGuQvh7STl0/edit#gid=2147150001"",""Whole Data Set!$A$2:$NQ$253""),381,FALSE)"),41.75)</f>
        <v>41.75</v>
      </c>
      <c r="C118" s="63">
        <f t="shared" si="1"/>
        <v>0.167</v>
      </c>
      <c r="D118" s="12">
        <f>IFERROR(__xludf.DUMMYFUNCTION("VLOOKUP(A118,IMPORTRANGE(""1aFCnJY1qhIj8-JckJhDJ18aqmVo17tofpQmOjcYa3u8/edit#gid=948248086"",""Whole Data Set!$A$2:$NG$253""),371,FALSE)"),36.0)</f>
        <v>36</v>
      </c>
      <c r="E118" s="13">
        <f t="shared" si="2"/>
        <v>0.144</v>
      </c>
      <c r="F118" s="13">
        <f t="shared" si="3"/>
        <v>0.023</v>
      </c>
      <c r="G118" s="12">
        <f>IFERROR(__xludf.DUMMYFUNCTION("VLOOKUP(A118,IMPORTRANGE(""1QZ5UxyNCwadreQAXnQ7oCoH982DjIA-QnZdO7ZoqkC0/edit#gid=0"",""2020-2021!$A$2:$O$255""),2,FALSE)"),37.25)</f>
        <v>37.25</v>
      </c>
      <c r="H118" s="14">
        <f t="shared" si="4"/>
        <v>0.149</v>
      </c>
      <c r="I118" s="15">
        <f t="shared" si="5"/>
        <v>0.018</v>
      </c>
      <c r="J118" s="16">
        <f>IFERROR(__xludf.DUMMYFUNCTION("VLOOKUP(A118,IMPORTRANGE(""1QZ5UxyNCwadreQAXnQ7oCoH982DjIA-QnZdO7ZoqkC0/edit#gid=0"",""2020-2021!$A$2:$O$251""),4,FALSE)"),41.0)</f>
        <v>41</v>
      </c>
      <c r="K118" s="17">
        <f t="shared" si="6"/>
        <v>0.164</v>
      </c>
      <c r="L118" s="17">
        <f t="shared" si="7"/>
        <v>0.003</v>
      </c>
    </row>
    <row r="119">
      <c r="A119" s="19" t="s">
        <v>242</v>
      </c>
      <c r="B119" s="41">
        <f>IFERROR(__xludf.DUMMYFUNCTION("VLOOKUP(A119,IMPORTRANGE(""1EmrnCz2gLVTx5Cbj0e5tfuHPhTtmru8KTGuQvh7STl0/edit#gid=2147150001"",""Whole Data Set!$A$2:$NQ$253""),381,FALSE)"),0.0)</f>
        <v>0</v>
      </c>
      <c r="C119" s="63">
        <f t="shared" si="1"/>
        <v>0</v>
      </c>
      <c r="D119" s="12">
        <f>IFERROR(__xludf.DUMMYFUNCTION("VLOOKUP(A119,IMPORTRANGE(""1aFCnJY1qhIj8-JckJhDJ18aqmVo17tofpQmOjcYa3u8/edit#gid=948248086"",""Whole Data Set!$A$2:$NG$253""),371,FALSE)"),0.0)</f>
        <v>0</v>
      </c>
      <c r="E119" s="13">
        <f t="shared" si="2"/>
        <v>0</v>
      </c>
      <c r="F119" s="13">
        <f t="shared" si="3"/>
        <v>0</v>
      </c>
      <c r="G119" s="12">
        <f>IFERROR(__xludf.DUMMYFUNCTION("VLOOKUP(A119,IMPORTRANGE(""1QZ5UxyNCwadreQAXnQ7oCoH982DjIA-QnZdO7ZoqkC0/edit#gid=0"",""2020-2021!$A$2:$O$255""),2,FALSE)"),0.0)</f>
        <v>0</v>
      </c>
      <c r="H119" s="14">
        <f t="shared" si="4"/>
        <v>0</v>
      </c>
      <c r="I119" s="15">
        <f t="shared" si="5"/>
        <v>0</v>
      </c>
      <c r="J119" s="16">
        <f>IFERROR(__xludf.DUMMYFUNCTION("VLOOKUP(A119,IMPORTRANGE(""1QZ5UxyNCwadreQAXnQ7oCoH982DjIA-QnZdO7ZoqkC0/edit#gid=0"",""2020-2021!$A$2:$O$251""),4,FALSE)"),4.0)</f>
        <v>4</v>
      </c>
      <c r="K119" s="17">
        <f t="shared" si="6"/>
        <v>0.016</v>
      </c>
      <c r="L119" s="17">
        <f t="shared" si="7"/>
        <v>-0.016</v>
      </c>
    </row>
    <row r="120">
      <c r="A120" s="19" t="s">
        <v>243</v>
      </c>
      <c r="B120" s="41">
        <f>IFERROR(__xludf.DUMMYFUNCTION("VLOOKUP(A120,IMPORTRANGE(""1EmrnCz2gLVTx5Cbj0e5tfuHPhTtmru8KTGuQvh7STl0/edit#gid=2147150001"",""Whole Data Set!$A$2:$NQ$253""),381,FALSE)"),31.5)</f>
        <v>31.5</v>
      </c>
      <c r="C120" s="63">
        <f t="shared" si="1"/>
        <v>0.126</v>
      </c>
      <c r="D120" s="12">
        <f>IFERROR(__xludf.DUMMYFUNCTION("VLOOKUP(A120,IMPORTRANGE(""1aFCnJY1qhIj8-JckJhDJ18aqmVo17tofpQmOjcYa3u8/edit#gid=948248086"",""Whole Data Set!$A$2:$NG$253""),371,FALSE)"),28.25)</f>
        <v>28.25</v>
      </c>
      <c r="E120" s="13">
        <f t="shared" si="2"/>
        <v>0.113</v>
      </c>
      <c r="F120" s="13">
        <f t="shared" si="3"/>
        <v>0.013</v>
      </c>
      <c r="G120" s="12">
        <f>IFERROR(__xludf.DUMMYFUNCTION("VLOOKUP(A120,IMPORTRANGE(""1QZ5UxyNCwadreQAXnQ7oCoH982DjIA-QnZdO7ZoqkC0/edit#gid=0"",""2020-2021!$A$2:$O$255""),2,FALSE)"),22.5)</f>
        <v>22.5</v>
      </c>
      <c r="H120" s="14">
        <f t="shared" si="4"/>
        <v>0.09</v>
      </c>
      <c r="I120" s="15">
        <f t="shared" si="5"/>
        <v>0.036</v>
      </c>
      <c r="J120" s="16">
        <f>IFERROR(__xludf.DUMMYFUNCTION("VLOOKUP(A120,IMPORTRANGE(""1QZ5UxyNCwadreQAXnQ7oCoH982DjIA-QnZdO7ZoqkC0/edit#gid=0"",""2020-2021!$A$2:$O$251""),4,FALSE)"),28.5)</f>
        <v>28.5</v>
      </c>
      <c r="K120" s="17">
        <f t="shared" si="6"/>
        <v>0.114</v>
      </c>
      <c r="L120" s="17">
        <f t="shared" si="7"/>
        <v>0.012</v>
      </c>
    </row>
    <row r="121">
      <c r="A121" s="19" t="s">
        <v>63</v>
      </c>
      <c r="B121" s="41">
        <f>IFERROR(__xludf.DUMMYFUNCTION("VLOOKUP(A121,IMPORTRANGE(""1EmrnCz2gLVTx5Cbj0e5tfuHPhTtmru8KTGuQvh7STl0/edit#gid=2147150001"",""Whole Data Set!$A$2:$NQ$253""),381,FALSE)"),93.75)</f>
        <v>93.75</v>
      </c>
      <c r="C121" s="63">
        <f t="shared" si="1"/>
        <v>0.375</v>
      </c>
      <c r="D121" s="12">
        <f>IFERROR(__xludf.DUMMYFUNCTION("VLOOKUP(A121,IMPORTRANGE(""1aFCnJY1qhIj8-JckJhDJ18aqmVo17tofpQmOjcYa3u8/edit#gid=948248086"",""Whole Data Set!$A$2:$NG$253""),371,FALSE)"),95.75)</f>
        <v>95.75</v>
      </c>
      <c r="E121" s="13">
        <f t="shared" si="2"/>
        <v>0.383</v>
      </c>
      <c r="F121" s="13">
        <f t="shared" si="3"/>
        <v>-0.008</v>
      </c>
      <c r="G121" s="12">
        <f>IFERROR(__xludf.DUMMYFUNCTION("VLOOKUP(A121,IMPORTRANGE(""1QZ5UxyNCwadreQAXnQ7oCoH982DjIA-QnZdO7ZoqkC0/edit#gid=0"",""2020-2021!$A$2:$O$255""),2,FALSE)"),86.75)</f>
        <v>86.75</v>
      </c>
      <c r="H121" s="14">
        <f t="shared" si="4"/>
        <v>0.347</v>
      </c>
      <c r="I121" s="15">
        <f t="shared" si="5"/>
        <v>0.028</v>
      </c>
      <c r="J121" s="16">
        <f>IFERROR(__xludf.DUMMYFUNCTION("VLOOKUP(A121,IMPORTRANGE(""1QZ5UxyNCwadreQAXnQ7oCoH982DjIA-QnZdO7ZoqkC0/edit#gid=0"",""2020-2021!$A$2:$O$251""),4,FALSE)"),61.5)</f>
        <v>61.5</v>
      </c>
      <c r="K121" s="17">
        <f t="shared" si="6"/>
        <v>0.246</v>
      </c>
      <c r="L121" s="17">
        <f t="shared" si="7"/>
        <v>0.129</v>
      </c>
    </row>
    <row r="122">
      <c r="A122" s="19" t="s">
        <v>34</v>
      </c>
      <c r="B122" s="41">
        <f>IFERROR(__xludf.DUMMYFUNCTION("VLOOKUP(A122,IMPORTRANGE(""1EmrnCz2gLVTx5Cbj0e5tfuHPhTtmru8KTGuQvh7STl0/edit#gid=2147150001"",""Whole Data Set!$A$2:$NQ$253""),381,FALSE)"),31.0)</f>
        <v>31</v>
      </c>
      <c r="C122" s="63">
        <f t="shared" si="1"/>
        <v>0.124</v>
      </c>
      <c r="D122" s="12">
        <f>IFERROR(__xludf.DUMMYFUNCTION("VLOOKUP(A122,IMPORTRANGE(""1aFCnJY1qhIj8-JckJhDJ18aqmVo17tofpQmOjcYa3u8/edit#gid=948248086"",""Whole Data Set!$A$2:$NG$253""),371,FALSE)"),32.5)</f>
        <v>32.5</v>
      </c>
      <c r="E122" s="13">
        <f t="shared" si="2"/>
        <v>0.13</v>
      </c>
      <c r="F122" s="13">
        <f t="shared" si="3"/>
        <v>-0.006</v>
      </c>
      <c r="G122" s="12">
        <f>IFERROR(__xludf.DUMMYFUNCTION("VLOOKUP(A122,IMPORTRANGE(""1QZ5UxyNCwadreQAXnQ7oCoH982DjIA-QnZdO7ZoqkC0/edit#gid=0"",""2020-2021!$A$2:$O$255""),2,FALSE)"),36.0)</f>
        <v>36</v>
      </c>
      <c r="H122" s="14">
        <f t="shared" si="4"/>
        <v>0.144</v>
      </c>
      <c r="I122" s="15">
        <f t="shared" si="5"/>
        <v>-0.02</v>
      </c>
      <c r="J122" s="16">
        <f>IFERROR(__xludf.DUMMYFUNCTION("VLOOKUP(A122,IMPORTRANGE(""1QZ5UxyNCwadreQAXnQ7oCoH982DjIA-QnZdO7ZoqkC0/edit#gid=0"",""2020-2021!$A$2:$O$251""),4,FALSE)"),46.5)</f>
        <v>46.5</v>
      </c>
      <c r="K122" s="17">
        <f t="shared" si="6"/>
        <v>0.186</v>
      </c>
      <c r="L122" s="17">
        <f t="shared" si="7"/>
        <v>-0.062</v>
      </c>
    </row>
    <row r="123">
      <c r="A123" s="20" t="s">
        <v>65</v>
      </c>
      <c r="B123" s="41">
        <f>IFERROR(__xludf.DUMMYFUNCTION("VLOOKUP(A123,IMPORTRANGE(""1EmrnCz2gLVTx5Cbj0e5tfuHPhTtmru8KTGuQvh7STl0/edit#gid=2147150001"",""Whole Data Set!$A$2:$NQ$253""),381,FALSE)"),151.0)</f>
        <v>151</v>
      </c>
      <c r="C123" s="63">
        <f t="shared" si="1"/>
        <v>0.604</v>
      </c>
      <c r="D123" s="12">
        <f>IFERROR(__xludf.DUMMYFUNCTION("VLOOKUP(A123,IMPORTRANGE(""1aFCnJY1qhIj8-JckJhDJ18aqmVo17tofpQmOjcYa3u8/edit#gid=948248086"",""Whole Data Set!$A$2:$NG$253""),371,FALSE)"),123.5)</f>
        <v>123.5</v>
      </c>
      <c r="E123" s="13">
        <f t="shared" si="2"/>
        <v>0.494</v>
      </c>
      <c r="F123" s="13">
        <f t="shared" si="3"/>
        <v>0.11</v>
      </c>
      <c r="G123" s="12">
        <f>IFERROR(__xludf.DUMMYFUNCTION("VLOOKUP(A123,IMPORTRANGE(""1QZ5UxyNCwadreQAXnQ7oCoH982DjIA-QnZdO7ZoqkC0/edit#gid=0"",""2020-2021!$A$2:$O$255""),2,FALSE)"),110.75)</f>
        <v>110.75</v>
      </c>
      <c r="H123" s="14">
        <f t="shared" si="4"/>
        <v>0.443</v>
      </c>
      <c r="I123" s="15">
        <f t="shared" si="5"/>
        <v>0.161</v>
      </c>
      <c r="J123" s="16">
        <f>IFERROR(__xludf.DUMMYFUNCTION("VLOOKUP(A123,IMPORTRANGE(""1QZ5UxyNCwadreQAXnQ7oCoH982DjIA-QnZdO7ZoqkC0/edit#gid=0"",""2020-2021!$A$2:$O$251""),4,FALSE)"),119.5)</f>
        <v>119.5</v>
      </c>
      <c r="K123" s="17">
        <f t="shared" si="6"/>
        <v>0.478</v>
      </c>
      <c r="L123" s="17">
        <f t="shared" si="7"/>
        <v>0.126</v>
      </c>
    </row>
    <row r="124">
      <c r="A124" s="19" t="s">
        <v>181</v>
      </c>
      <c r="B124" s="41">
        <f>IFERROR(__xludf.DUMMYFUNCTION("VLOOKUP(A124,IMPORTRANGE(""1EmrnCz2gLVTx5Cbj0e5tfuHPhTtmru8KTGuQvh7STl0/edit#gid=2147150001"",""Whole Data Set!$A$2:$NQ$253""),381,FALSE)"),21.5)</f>
        <v>21.5</v>
      </c>
      <c r="C124" s="63">
        <f t="shared" si="1"/>
        <v>0.086</v>
      </c>
      <c r="D124" s="12">
        <f>IFERROR(__xludf.DUMMYFUNCTION("VLOOKUP(A124,IMPORTRANGE(""1aFCnJY1qhIj8-JckJhDJ18aqmVo17tofpQmOjcYa3u8/edit#gid=948248086"",""Whole Data Set!$A$2:$NG$253""),371,FALSE)"),22.25)</f>
        <v>22.25</v>
      </c>
      <c r="E124" s="13">
        <f t="shared" si="2"/>
        <v>0.089</v>
      </c>
      <c r="F124" s="13">
        <f t="shared" si="3"/>
        <v>-0.003</v>
      </c>
      <c r="G124" s="12">
        <f>IFERROR(__xludf.DUMMYFUNCTION("VLOOKUP(A124,IMPORTRANGE(""1QZ5UxyNCwadreQAXnQ7oCoH982DjIA-QnZdO7ZoqkC0/edit#gid=0"",""2020-2021!$A$2:$O$255""),2,FALSE)"),31.75)</f>
        <v>31.75</v>
      </c>
      <c r="H124" s="14">
        <f t="shared" si="4"/>
        <v>0.127</v>
      </c>
      <c r="I124" s="15">
        <f t="shared" si="5"/>
        <v>-0.041</v>
      </c>
      <c r="J124" s="16">
        <f>IFERROR(__xludf.DUMMYFUNCTION("VLOOKUP(A124,IMPORTRANGE(""1QZ5UxyNCwadreQAXnQ7oCoH982DjIA-QnZdO7ZoqkC0/edit#gid=0"",""2020-2021!$A$2:$O$251""),4,FALSE)"),38.5)</f>
        <v>38.5</v>
      </c>
      <c r="K124" s="17">
        <f t="shared" si="6"/>
        <v>0.154</v>
      </c>
      <c r="L124" s="17">
        <f t="shared" si="7"/>
        <v>-0.068</v>
      </c>
    </row>
    <row r="125">
      <c r="A125" s="19" t="s">
        <v>135</v>
      </c>
      <c r="B125" s="41">
        <f>IFERROR(__xludf.DUMMYFUNCTION("VLOOKUP(A125,IMPORTRANGE(""1EmrnCz2gLVTx5Cbj0e5tfuHPhTtmru8KTGuQvh7STl0/edit#gid=2147150001"",""Whole Data Set!$A$2:$NQ$253""),381,FALSE)"),62.5)</f>
        <v>62.5</v>
      </c>
      <c r="C125" s="63">
        <f t="shared" si="1"/>
        <v>0.25</v>
      </c>
      <c r="D125" s="12">
        <f>IFERROR(__xludf.DUMMYFUNCTION("VLOOKUP(A125,IMPORTRANGE(""1aFCnJY1qhIj8-JckJhDJ18aqmVo17tofpQmOjcYa3u8/edit#gid=948248086"",""Whole Data Set!$A$2:$NG$253""),371,FALSE)"),74.75)</f>
        <v>74.75</v>
      </c>
      <c r="E125" s="13">
        <f t="shared" si="2"/>
        <v>0.299</v>
      </c>
      <c r="F125" s="13">
        <f t="shared" si="3"/>
        <v>-0.049</v>
      </c>
      <c r="G125" s="12">
        <f>IFERROR(__xludf.DUMMYFUNCTION("VLOOKUP(A125,IMPORTRANGE(""1QZ5UxyNCwadreQAXnQ7oCoH982DjIA-QnZdO7ZoqkC0/edit#gid=0"",""2020-2021!$A$2:$O$255""),2,FALSE)"),68.0)</f>
        <v>68</v>
      </c>
      <c r="H125" s="14">
        <f t="shared" si="4"/>
        <v>0.272</v>
      </c>
      <c r="I125" s="15">
        <f t="shared" si="5"/>
        <v>-0.022</v>
      </c>
      <c r="J125" s="16">
        <f>IFERROR(__xludf.DUMMYFUNCTION("VLOOKUP(A125,IMPORTRANGE(""1QZ5UxyNCwadreQAXnQ7oCoH982DjIA-QnZdO7ZoqkC0/edit#gid=0"",""2020-2021!$A$2:$O$251""),4,FALSE)"),67.0)</f>
        <v>67</v>
      </c>
      <c r="K125" s="17">
        <f t="shared" si="6"/>
        <v>0.268</v>
      </c>
      <c r="L125" s="17">
        <f t="shared" si="7"/>
        <v>-0.018</v>
      </c>
    </row>
    <row r="126">
      <c r="A126" s="19" t="s">
        <v>136</v>
      </c>
      <c r="B126" s="41">
        <f>IFERROR(__xludf.DUMMYFUNCTION("VLOOKUP(A126,IMPORTRANGE(""1EmrnCz2gLVTx5Cbj0e5tfuHPhTtmru8KTGuQvh7STl0/edit#gid=2147150001"",""Whole Data Set!$A$2:$NQ$253""),381,FALSE)"),108.75)</f>
        <v>108.75</v>
      </c>
      <c r="C126" s="63">
        <f t="shared" si="1"/>
        <v>0.435</v>
      </c>
      <c r="D126" s="12">
        <f>IFERROR(__xludf.DUMMYFUNCTION("VLOOKUP(A126,IMPORTRANGE(""1aFCnJY1qhIj8-JckJhDJ18aqmVo17tofpQmOjcYa3u8/edit#gid=948248086"",""Whole Data Set!$A$2:$NG$253""),371,FALSE)"),106.0)</f>
        <v>106</v>
      </c>
      <c r="E126" s="13">
        <f t="shared" si="2"/>
        <v>0.424</v>
      </c>
      <c r="F126" s="13">
        <f t="shared" si="3"/>
        <v>0.011</v>
      </c>
      <c r="G126" s="12">
        <f>IFERROR(__xludf.DUMMYFUNCTION("VLOOKUP(A126,IMPORTRANGE(""1QZ5UxyNCwadreQAXnQ7oCoH982DjIA-QnZdO7ZoqkC0/edit#gid=0"",""2020-2021!$A$2:$O$255""),2,FALSE)"),126.0)</f>
        <v>126</v>
      </c>
      <c r="H126" s="14">
        <f t="shared" si="4"/>
        <v>0.504</v>
      </c>
      <c r="I126" s="15">
        <f t="shared" si="5"/>
        <v>-0.069</v>
      </c>
      <c r="J126" s="16">
        <f>IFERROR(__xludf.DUMMYFUNCTION("VLOOKUP(A126,IMPORTRANGE(""1QZ5UxyNCwadreQAXnQ7oCoH982DjIA-QnZdO7ZoqkC0/edit#gid=0"",""2020-2021!$A$2:$O$251""),4,FALSE)"),124.0)</f>
        <v>124</v>
      </c>
      <c r="K126" s="17">
        <f t="shared" si="6"/>
        <v>0.496</v>
      </c>
      <c r="L126" s="17">
        <f t="shared" si="7"/>
        <v>-0.061</v>
      </c>
    </row>
    <row r="127">
      <c r="A127" s="19" t="s">
        <v>88</v>
      </c>
      <c r="B127" s="41">
        <f>IFERROR(__xludf.DUMMYFUNCTION("VLOOKUP(A127,IMPORTRANGE(""1EmrnCz2gLVTx5Cbj0e5tfuHPhTtmru8KTGuQvh7STl0/edit#gid=2147150001"",""Whole Data Set!$A$2:$NQ$253""),381,FALSE)"),21.0)</f>
        <v>21</v>
      </c>
      <c r="C127" s="63">
        <f t="shared" si="1"/>
        <v>0.084</v>
      </c>
      <c r="D127" s="12">
        <f>IFERROR(__xludf.DUMMYFUNCTION("VLOOKUP(A127,IMPORTRANGE(""1aFCnJY1qhIj8-JckJhDJ18aqmVo17tofpQmOjcYa3u8/edit#gid=948248086"",""Whole Data Set!$A$2:$NG$253""),371,FALSE)"),24.5)</f>
        <v>24.5</v>
      </c>
      <c r="E127" s="13">
        <f t="shared" si="2"/>
        <v>0.098</v>
      </c>
      <c r="F127" s="13">
        <f t="shared" si="3"/>
        <v>-0.014</v>
      </c>
      <c r="G127" s="12">
        <f>IFERROR(__xludf.DUMMYFUNCTION("VLOOKUP(A127,IMPORTRANGE(""1QZ5UxyNCwadreQAXnQ7oCoH982DjIA-QnZdO7ZoqkC0/edit#gid=0"",""2020-2021!$A$2:$O$255""),2,FALSE)"),21.5)</f>
        <v>21.5</v>
      </c>
      <c r="H127" s="14">
        <f t="shared" si="4"/>
        <v>0.086</v>
      </c>
      <c r="I127" s="15">
        <f t="shared" si="5"/>
        <v>-0.002</v>
      </c>
      <c r="J127" s="16">
        <f>IFERROR(__xludf.DUMMYFUNCTION("VLOOKUP(A127,IMPORTRANGE(""1QZ5UxyNCwadreQAXnQ7oCoH982DjIA-QnZdO7ZoqkC0/edit#gid=0"",""2020-2021!$A$2:$O$251""),4,FALSE)"),15.0)</f>
        <v>15</v>
      </c>
      <c r="K127" s="17">
        <f t="shared" si="6"/>
        <v>0.06</v>
      </c>
      <c r="L127" s="17">
        <f t="shared" si="7"/>
        <v>0.024</v>
      </c>
    </row>
    <row r="128">
      <c r="A128" s="19" t="s">
        <v>137</v>
      </c>
      <c r="B128" s="41">
        <f>IFERROR(__xludf.DUMMYFUNCTION("VLOOKUP(A128,IMPORTRANGE(""1EmrnCz2gLVTx5Cbj0e5tfuHPhTtmru8KTGuQvh7STl0/edit#gid=2147150001"",""Whole Data Set!$A$2:$NQ$253""),381,FALSE)"),6.0)</f>
        <v>6</v>
      </c>
      <c r="C128" s="63">
        <f t="shared" si="1"/>
        <v>0.024</v>
      </c>
      <c r="D128" s="12">
        <f>IFERROR(__xludf.DUMMYFUNCTION("VLOOKUP(A128,IMPORTRANGE(""1aFCnJY1qhIj8-JckJhDJ18aqmVo17tofpQmOjcYa3u8/edit#gid=948248086"",""Whole Data Set!$A$2:$NG$253""),371,FALSE)"),8.25)</f>
        <v>8.25</v>
      </c>
      <c r="E128" s="13">
        <f t="shared" si="2"/>
        <v>0.033</v>
      </c>
      <c r="F128" s="13">
        <f t="shared" si="3"/>
        <v>-0.009</v>
      </c>
      <c r="G128" s="12">
        <f>IFERROR(__xludf.DUMMYFUNCTION("VLOOKUP(A128,IMPORTRANGE(""1QZ5UxyNCwadreQAXnQ7oCoH982DjIA-QnZdO7ZoqkC0/edit#gid=0"",""2020-2021!$A$2:$O$255""),2,FALSE)"),7.0)</f>
        <v>7</v>
      </c>
      <c r="H128" s="14">
        <f t="shared" si="4"/>
        <v>0.028</v>
      </c>
      <c r="I128" s="15">
        <f t="shared" si="5"/>
        <v>-0.004</v>
      </c>
      <c r="J128" s="16">
        <f>IFERROR(__xludf.DUMMYFUNCTION("VLOOKUP(A128,IMPORTRANGE(""1QZ5UxyNCwadreQAXnQ7oCoH982DjIA-QnZdO7ZoqkC0/edit#gid=0"",""2020-2021!$A$2:$O$251""),4,FALSE)"),7.5)</f>
        <v>7.5</v>
      </c>
      <c r="K128" s="17">
        <f t="shared" si="6"/>
        <v>0.03</v>
      </c>
      <c r="L128" s="17">
        <f t="shared" si="7"/>
        <v>-0.006</v>
      </c>
    </row>
    <row r="129">
      <c r="A129" s="19" t="s">
        <v>67</v>
      </c>
      <c r="B129" s="41">
        <f>IFERROR(__xludf.DUMMYFUNCTION("VLOOKUP(A129,IMPORTRANGE(""1EmrnCz2gLVTx5Cbj0e5tfuHPhTtmru8KTGuQvh7STl0/edit#gid=2147150001"",""Whole Data Set!$A$2:$NQ$253""),381,FALSE)"),72.0)</f>
        <v>72</v>
      </c>
      <c r="C129" s="63">
        <f t="shared" si="1"/>
        <v>0.288</v>
      </c>
      <c r="D129" s="12">
        <f>IFERROR(__xludf.DUMMYFUNCTION("VLOOKUP(A129,IMPORTRANGE(""1aFCnJY1qhIj8-JckJhDJ18aqmVo17tofpQmOjcYa3u8/edit#gid=948248086"",""Whole Data Set!$A$2:$NG$253""),371,FALSE)"),72.25)</f>
        <v>72.25</v>
      </c>
      <c r="E129" s="13">
        <f t="shared" si="2"/>
        <v>0.289</v>
      </c>
      <c r="F129" s="13">
        <f t="shared" si="3"/>
        <v>-0.001</v>
      </c>
      <c r="G129" s="12">
        <f>IFERROR(__xludf.DUMMYFUNCTION("VLOOKUP(A129,IMPORTRANGE(""1QZ5UxyNCwadreQAXnQ7oCoH982DjIA-QnZdO7ZoqkC0/edit#gid=0"",""2020-2021!$A$2:$O$255""),2,FALSE)"),55.5)</f>
        <v>55.5</v>
      </c>
      <c r="H129" s="14">
        <f t="shared" si="4"/>
        <v>0.222</v>
      </c>
      <c r="I129" s="15">
        <f t="shared" si="5"/>
        <v>0.066</v>
      </c>
      <c r="J129" s="16">
        <f>IFERROR(__xludf.DUMMYFUNCTION("VLOOKUP(A129,IMPORTRANGE(""1QZ5UxyNCwadreQAXnQ7oCoH982DjIA-QnZdO7ZoqkC0/edit#gid=0"",""2020-2021!$A$2:$O$251""),4,FALSE)"),65.0)</f>
        <v>65</v>
      </c>
      <c r="K129" s="17">
        <f t="shared" si="6"/>
        <v>0.26</v>
      </c>
      <c r="L129" s="17">
        <f t="shared" si="7"/>
        <v>0.028</v>
      </c>
    </row>
    <row r="130">
      <c r="A130" s="19" t="s">
        <v>68</v>
      </c>
      <c r="B130" s="41">
        <f>IFERROR(__xludf.DUMMYFUNCTION("VLOOKUP(A130,IMPORTRANGE(""1EmrnCz2gLVTx5Cbj0e5tfuHPhTtmru8KTGuQvh7STl0/edit#gid=2147150001"",""Whole Data Set!$A$2:$NQ$253""),381,FALSE)"),129.75)</f>
        <v>129.75</v>
      </c>
      <c r="C130" s="63">
        <f t="shared" si="1"/>
        <v>0.519</v>
      </c>
      <c r="D130" s="12">
        <f>IFERROR(__xludf.DUMMYFUNCTION("VLOOKUP(A130,IMPORTRANGE(""1aFCnJY1qhIj8-JckJhDJ18aqmVo17tofpQmOjcYa3u8/edit#gid=948248086"",""Whole Data Set!$A$2:$NG$253""),371,FALSE)"),129.75)</f>
        <v>129.75</v>
      </c>
      <c r="E130" s="13">
        <f t="shared" si="2"/>
        <v>0.519</v>
      </c>
      <c r="F130" s="13">
        <f t="shared" si="3"/>
        <v>0</v>
      </c>
      <c r="G130" s="12">
        <f>IFERROR(__xludf.DUMMYFUNCTION("VLOOKUP(A130,IMPORTRANGE(""1QZ5UxyNCwadreQAXnQ7oCoH982DjIA-QnZdO7ZoqkC0/edit#gid=0"",""2020-2021!$A$2:$O$255""),2,FALSE)"),105.75)</f>
        <v>105.75</v>
      </c>
      <c r="H130" s="14">
        <f t="shared" si="4"/>
        <v>0.423</v>
      </c>
      <c r="I130" s="15">
        <f t="shared" si="5"/>
        <v>0.096</v>
      </c>
      <c r="J130" s="16">
        <f>IFERROR(__xludf.DUMMYFUNCTION("VLOOKUP(A130,IMPORTRANGE(""1QZ5UxyNCwadreQAXnQ7oCoH982DjIA-QnZdO7ZoqkC0/edit#gid=0"",""2020-2021!$A$2:$O$251""),4,FALSE)"),114.0)</f>
        <v>114</v>
      </c>
      <c r="K130" s="17">
        <f t="shared" si="6"/>
        <v>0.456</v>
      </c>
      <c r="L130" s="17">
        <f t="shared" si="7"/>
        <v>0.063</v>
      </c>
    </row>
    <row r="131">
      <c r="A131" s="19" t="s">
        <v>69</v>
      </c>
      <c r="B131" s="41">
        <f>IFERROR(__xludf.DUMMYFUNCTION("VLOOKUP(A131,IMPORTRANGE(""1EmrnCz2gLVTx5Cbj0e5tfuHPhTtmru8KTGuQvh7STl0/edit#gid=2147150001"",""Whole Data Set!$A$2:$NQ$253""),381,FALSE)"),16.5)</f>
        <v>16.5</v>
      </c>
      <c r="C131" s="63">
        <f t="shared" si="1"/>
        <v>0.066</v>
      </c>
      <c r="D131" s="12">
        <f>IFERROR(__xludf.DUMMYFUNCTION("VLOOKUP(A131,IMPORTRANGE(""1aFCnJY1qhIj8-JckJhDJ18aqmVo17tofpQmOjcYa3u8/edit#gid=948248086"",""Whole Data Set!$A$2:$NG$253""),371,FALSE)"),14.25)</f>
        <v>14.25</v>
      </c>
      <c r="E131" s="13">
        <f t="shared" si="2"/>
        <v>0.057</v>
      </c>
      <c r="F131" s="13">
        <f t="shared" si="3"/>
        <v>0.009</v>
      </c>
      <c r="G131" s="12">
        <f>IFERROR(__xludf.DUMMYFUNCTION("VLOOKUP(A131,IMPORTRANGE(""1QZ5UxyNCwadreQAXnQ7oCoH982DjIA-QnZdO7ZoqkC0/edit#gid=0"",""2020-2021!$A$2:$O$255""),2,FALSE)"),25.0)</f>
        <v>25</v>
      </c>
      <c r="H131" s="14">
        <f t="shared" si="4"/>
        <v>0.1</v>
      </c>
      <c r="I131" s="15">
        <f t="shared" si="5"/>
        <v>-0.034</v>
      </c>
      <c r="J131" s="16">
        <f>IFERROR(__xludf.DUMMYFUNCTION("VLOOKUP(A131,IMPORTRANGE(""1QZ5UxyNCwadreQAXnQ7oCoH982DjIA-QnZdO7ZoqkC0/edit#gid=0"",""2020-2021!$A$2:$O$251""),4,FALSE)"),39.0)</f>
        <v>39</v>
      </c>
      <c r="K131" s="17">
        <f t="shared" si="6"/>
        <v>0.156</v>
      </c>
      <c r="L131" s="17">
        <f t="shared" si="7"/>
        <v>-0.09</v>
      </c>
    </row>
    <row r="132">
      <c r="A132" s="19" t="s">
        <v>182</v>
      </c>
      <c r="B132" s="41">
        <f>IFERROR(__xludf.DUMMYFUNCTION("VLOOKUP(A132,IMPORTRANGE(""1EmrnCz2gLVTx5Cbj0e5tfuHPhTtmru8KTGuQvh7STl0/edit#gid=2147150001"",""Whole Data Set!$A$2:$NQ$253""),381,FALSE)"),86.25)</f>
        <v>86.25</v>
      </c>
      <c r="C132" s="63">
        <f t="shared" si="1"/>
        <v>0.345</v>
      </c>
      <c r="D132" s="12">
        <f>IFERROR(__xludf.DUMMYFUNCTION("VLOOKUP(A132,IMPORTRANGE(""1aFCnJY1qhIj8-JckJhDJ18aqmVo17tofpQmOjcYa3u8/edit#gid=948248086"",""Whole Data Set!$A$2:$NG$253""),371,FALSE)"),66.0)</f>
        <v>66</v>
      </c>
      <c r="E132" s="13">
        <f t="shared" si="2"/>
        <v>0.264</v>
      </c>
      <c r="F132" s="13">
        <f t="shared" si="3"/>
        <v>0.081</v>
      </c>
      <c r="G132" s="12">
        <f>IFERROR(__xludf.DUMMYFUNCTION("VLOOKUP(A132,IMPORTRANGE(""1QZ5UxyNCwadreQAXnQ7oCoH982DjIA-QnZdO7ZoqkC0/edit#gid=0"",""2020-2021!$A$2:$O$255""),2,FALSE)"),78.0)</f>
        <v>78</v>
      </c>
      <c r="H132" s="14">
        <f t="shared" si="4"/>
        <v>0.312</v>
      </c>
      <c r="I132" s="15">
        <f t="shared" si="5"/>
        <v>0.033</v>
      </c>
      <c r="J132" s="16">
        <f>IFERROR(__xludf.DUMMYFUNCTION("VLOOKUP(A132,IMPORTRANGE(""1QZ5UxyNCwadreQAXnQ7oCoH982DjIA-QnZdO7ZoqkC0/edit#gid=0"",""2020-2021!$A$2:$O$251""),4,FALSE)"),78.5)</f>
        <v>78.5</v>
      </c>
      <c r="K132" s="17">
        <f t="shared" si="6"/>
        <v>0.314</v>
      </c>
      <c r="L132" s="17">
        <f t="shared" si="7"/>
        <v>0.031</v>
      </c>
    </row>
    <row r="133">
      <c r="A133" s="19" t="s">
        <v>70</v>
      </c>
      <c r="B133" s="41">
        <f>IFERROR(__xludf.DUMMYFUNCTION("VLOOKUP(A133,IMPORTRANGE(""1EmrnCz2gLVTx5Cbj0e5tfuHPhTtmru8KTGuQvh7STl0/edit#gid=2147150001"",""Whole Data Set!$A$2:$NQ$253""),381,FALSE)"),122.0)</f>
        <v>122</v>
      </c>
      <c r="C133" s="63">
        <f t="shared" si="1"/>
        <v>0.488</v>
      </c>
      <c r="D133" s="12">
        <f>IFERROR(__xludf.DUMMYFUNCTION("VLOOKUP(A133,IMPORTRANGE(""1aFCnJY1qhIj8-JckJhDJ18aqmVo17tofpQmOjcYa3u8/edit#gid=948248086"",""Whole Data Set!$A$2:$NG$253""),371,FALSE)"),108.75)</f>
        <v>108.75</v>
      </c>
      <c r="E133" s="13">
        <f t="shared" si="2"/>
        <v>0.435</v>
      </c>
      <c r="F133" s="13">
        <f t="shared" si="3"/>
        <v>0.053</v>
      </c>
      <c r="G133" s="12">
        <f>IFERROR(__xludf.DUMMYFUNCTION("VLOOKUP(A133,IMPORTRANGE(""1QZ5UxyNCwadreQAXnQ7oCoH982DjIA-QnZdO7ZoqkC0/edit#gid=0"",""2020-2021!$A$2:$O$255""),2,FALSE)"),64.5)</f>
        <v>64.5</v>
      </c>
      <c r="H133" s="14">
        <f t="shared" si="4"/>
        <v>0.258</v>
      </c>
      <c r="I133" s="15">
        <f t="shared" si="5"/>
        <v>0.23</v>
      </c>
      <c r="J133" s="16">
        <f>IFERROR(__xludf.DUMMYFUNCTION("VLOOKUP(A133,IMPORTRANGE(""1QZ5UxyNCwadreQAXnQ7oCoH982DjIA-QnZdO7ZoqkC0/edit#gid=0"",""2020-2021!$A$2:$O$251""),4,FALSE)"),54.0)</f>
        <v>54</v>
      </c>
      <c r="K133" s="17">
        <f t="shared" si="6"/>
        <v>0.216</v>
      </c>
      <c r="L133" s="17">
        <f t="shared" si="7"/>
        <v>0.272</v>
      </c>
    </row>
    <row r="134">
      <c r="A134" s="19" t="s">
        <v>138</v>
      </c>
      <c r="B134" s="41">
        <f>IFERROR(__xludf.DUMMYFUNCTION("VLOOKUP(A134,IMPORTRANGE(""1EmrnCz2gLVTx5Cbj0e5tfuHPhTtmru8KTGuQvh7STl0/edit#gid=2147150001"",""Whole Data Set!$A$2:$NQ$253""),381,FALSE)"),71.0)</f>
        <v>71</v>
      </c>
      <c r="C134" s="63">
        <f t="shared" si="1"/>
        <v>0.284</v>
      </c>
      <c r="D134" s="12">
        <f>IFERROR(__xludf.DUMMYFUNCTION("VLOOKUP(A134,IMPORTRANGE(""1aFCnJY1qhIj8-JckJhDJ18aqmVo17tofpQmOjcYa3u8/edit#gid=948248086"",""Whole Data Set!$A$2:$NG$253""),371,FALSE)"),70.25)</f>
        <v>70.25</v>
      </c>
      <c r="E134" s="13">
        <f t="shared" si="2"/>
        <v>0.281</v>
      </c>
      <c r="F134" s="13">
        <f t="shared" si="3"/>
        <v>0.003</v>
      </c>
      <c r="G134" s="12">
        <f>IFERROR(__xludf.DUMMYFUNCTION("VLOOKUP(A134,IMPORTRANGE(""1QZ5UxyNCwadreQAXnQ7oCoH982DjIA-QnZdO7ZoqkC0/edit#gid=0"",""2020-2021!$A$2:$O$255""),2,FALSE)"),54.5)</f>
        <v>54.5</v>
      </c>
      <c r="H134" s="14">
        <f t="shared" si="4"/>
        <v>0.218</v>
      </c>
      <c r="I134" s="15">
        <f t="shared" si="5"/>
        <v>0.066</v>
      </c>
      <c r="J134" s="16">
        <f>IFERROR(__xludf.DUMMYFUNCTION("VLOOKUP(A134,IMPORTRANGE(""1QZ5UxyNCwadreQAXnQ7oCoH982DjIA-QnZdO7ZoqkC0/edit#gid=0"",""2020-2021!$A$2:$O$251""),4,FALSE)"),63.0)</f>
        <v>63</v>
      </c>
      <c r="K134" s="17">
        <f t="shared" si="6"/>
        <v>0.252</v>
      </c>
      <c r="L134" s="17">
        <f t="shared" si="7"/>
        <v>0.032</v>
      </c>
    </row>
    <row r="135">
      <c r="A135" s="20" t="s">
        <v>21</v>
      </c>
      <c r="B135" s="41">
        <f>IFERROR(__xludf.DUMMYFUNCTION("VLOOKUP(A135,IMPORTRANGE(""1EmrnCz2gLVTx5Cbj0e5tfuHPhTtmru8KTGuQvh7STl0/edit#gid=2147150001"",""Whole Data Set!$A$2:$NQ$253""),381,FALSE)"),95.25)</f>
        <v>95.25</v>
      </c>
      <c r="C135" s="63">
        <f t="shared" si="1"/>
        <v>0.381</v>
      </c>
      <c r="D135" s="12">
        <f>IFERROR(__xludf.DUMMYFUNCTION("VLOOKUP(A135,IMPORTRANGE(""1aFCnJY1qhIj8-JckJhDJ18aqmVo17tofpQmOjcYa3u8/edit#gid=948248086"",""Whole Data Set!$A$2:$NG$253""),371,FALSE)"),108.75)</f>
        <v>108.75</v>
      </c>
      <c r="E135" s="13">
        <f t="shared" si="2"/>
        <v>0.435</v>
      </c>
      <c r="F135" s="13">
        <f t="shared" si="3"/>
        <v>-0.054</v>
      </c>
      <c r="G135" s="12">
        <f>IFERROR(__xludf.DUMMYFUNCTION("VLOOKUP(A135,IMPORTRANGE(""1QZ5UxyNCwadreQAXnQ7oCoH982DjIA-QnZdO7ZoqkC0/edit#gid=0"",""2020-2021!$A$2:$O$255""),2,FALSE)"),120.25)</f>
        <v>120.25</v>
      </c>
      <c r="H135" s="14">
        <f t="shared" si="4"/>
        <v>0.481</v>
      </c>
      <c r="I135" s="15">
        <f t="shared" si="5"/>
        <v>-0.1</v>
      </c>
      <c r="J135" s="16">
        <f>IFERROR(__xludf.DUMMYFUNCTION("VLOOKUP(A135,IMPORTRANGE(""1QZ5UxyNCwadreQAXnQ7oCoH982DjIA-QnZdO7ZoqkC0/edit#gid=0"",""2020-2021!$A$2:$O$251""),4,FALSE)"),149.0)</f>
        <v>149</v>
      </c>
      <c r="K135" s="17">
        <f t="shared" si="6"/>
        <v>0.596</v>
      </c>
      <c r="L135" s="17">
        <f t="shared" si="7"/>
        <v>-0.215</v>
      </c>
    </row>
    <row r="136">
      <c r="A136" s="19" t="s">
        <v>183</v>
      </c>
      <c r="B136" s="41">
        <f>IFERROR(__xludf.DUMMYFUNCTION("VLOOKUP(A136,IMPORTRANGE(""1EmrnCz2gLVTx5Cbj0e5tfuHPhTtmru8KTGuQvh7STl0/edit#gid=2147150001"",""Whole Data Set!$A$2:$NQ$253""),381,FALSE)"),42.25)</f>
        <v>42.25</v>
      </c>
      <c r="C136" s="63">
        <f t="shared" si="1"/>
        <v>0.169</v>
      </c>
      <c r="D136" s="12">
        <f>IFERROR(__xludf.DUMMYFUNCTION("VLOOKUP(A136,IMPORTRANGE(""1aFCnJY1qhIj8-JckJhDJ18aqmVo17tofpQmOjcYa3u8/edit#gid=948248086"",""Whole Data Set!$A$2:$NG$253""),371,FALSE)"),12.5)</f>
        <v>12.5</v>
      </c>
      <c r="E136" s="13">
        <f t="shared" si="2"/>
        <v>0.05</v>
      </c>
      <c r="F136" s="13">
        <f t="shared" si="3"/>
        <v>0.119</v>
      </c>
      <c r="G136" s="12">
        <f>IFERROR(__xludf.DUMMYFUNCTION("VLOOKUP(A136,IMPORTRANGE(""1QZ5UxyNCwadreQAXnQ7oCoH982DjIA-QnZdO7ZoqkC0/edit#gid=0"",""2020-2021!$A$2:$O$255""),2,FALSE)"),11.25)</f>
        <v>11.25</v>
      </c>
      <c r="H136" s="14">
        <f t="shared" si="4"/>
        <v>0.045</v>
      </c>
      <c r="I136" s="15">
        <f t="shared" si="5"/>
        <v>0.124</v>
      </c>
      <c r="J136" s="16">
        <f>IFERROR(__xludf.DUMMYFUNCTION("VLOOKUP(A136,IMPORTRANGE(""1QZ5UxyNCwadreQAXnQ7oCoH982DjIA-QnZdO7ZoqkC0/edit#gid=0"",""2020-2021!$A$2:$O$251""),4,FALSE)"),26.5)</f>
        <v>26.5</v>
      </c>
      <c r="K136" s="17">
        <f t="shared" si="6"/>
        <v>0.106</v>
      </c>
      <c r="L136" s="17">
        <f t="shared" si="7"/>
        <v>0.063</v>
      </c>
    </row>
    <row r="137">
      <c r="A137" s="19" t="s">
        <v>72</v>
      </c>
      <c r="B137" s="41">
        <f>IFERROR(__xludf.DUMMYFUNCTION("VLOOKUP(A137,IMPORTRANGE(""1EmrnCz2gLVTx5Cbj0e5tfuHPhTtmru8KTGuQvh7STl0/edit#gid=2147150001"",""Whole Data Set!$A$2:$NQ$253""),381,FALSE)"),124.5)</f>
        <v>124.5</v>
      </c>
      <c r="C137" s="63">
        <f t="shared" si="1"/>
        <v>0.498</v>
      </c>
      <c r="D137" s="12">
        <f>IFERROR(__xludf.DUMMYFUNCTION("VLOOKUP(A137,IMPORTRANGE(""1aFCnJY1qhIj8-JckJhDJ18aqmVo17tofpQmOjcYa3u8/edit#gid=948248086"",""Whole Data Set!$A$2:$NG$253""),371,FALSE)"),107.75)</f>
        <v>107.75</v>
      </c>
      <c r="E137" s="13">
        <f t="shared" si="2"/>
        <v>0.431</v>
      </c>
      <c r="F137" s="13">
        <f t="shared" si="3"/>
        <v>0.067</v>
      </c>
      <c r="G137" s="12">
        <f>IFERROR(__xludf.DUMMYFUNCTION("VLOOKUP(A137,IMPORTRANGE(""1QZ5UxyNCwadreQAXnQ7oCoH982DjIA-QnZdO7ZoqkC0/edit#gid=0"",""2020-2021!$A$2:$O$255""),2,FALSE)"),89.5)</f>
        <v>89.5</v>
      </c>
      <c r="H137" s="14">
        <f t="shared" si="4"/>
        <v>0.358</v>
      </c>
      <c r="I137" s="15">
        <f t="shared" si="5"/>
        <v>0.14</v>
      </c>
      <c r="J137" s="16">
        <f>IFERROR(__xludf.DUMMYFUNCTION("VLOOKUP(A137,IMPORTRANGE(""1QZ5UxyNCwadreQAXnQ7oCoH982DjIA-QnZdO7ZoqkC0/edit#gid=0"",""2020-2021!$A$2:$O$251""),4,FALSE)"),110.5)</f>
        <v>110.5</v>
      </c>
      <c r="K137" s="17">
        <f t="shared" si="6"/>
        <v>0.442</v>
      </c>
      <c r="L137" s="17">
        <f t="shared" si="7"/>
        <v>0.056</v>
      </c>
    </row>
    <row r="138">
      <c r="A138" s="19" t="s">
        <v>73</v>
      </c>
      <c r="B138" s="41">
        <f>IFERROR(__xludf.DUMMYFUNCTION("VLOOKUP(A138,IMPORTRANGE(""1EmrnCz2gLVTx5Cbj0e5tfuHPhTtmru8KTGuQvh7STl0/edit#gid=2147150001"",""Whole Data Set!$A$2:$NQ$253""),381,FALSE)"),73.5)</f>
        <v>73.5</v>
      </c>
      <c r="C138" s="63">
        <f t="shared" si="1"/>
        <v>0.294</v>
      </c>
      <c r="D138" s="12">
        <f>IFERROR(__xludf.DUMMYFUNCTION("VLOOKUP(A138,IMPORTRANGE(""1aFCnJY1qhIj8-JckJhDJ18aqmVo17tofpQmOjcYa3u8/edit#gid=948248086"",""Whole Data Set!$A$2:$NG$253""),371,FALSE)"),62.0)</f>
        <v>62</v>
      </c>
      <c r="E138" s="13">
        <f t="shared" si="2"/>
        <v>0.248</v>
      </c>
      <c r="F138" s="13">
        <f t="shared" si="3"/>
        <v>0.046</v>
      </c>
      <c r="G138" s="12">
        <f>IFERROR(__xludf.DUMMYFUNCTION("VLOOKUP(A138,IMPORTRANGE(""1QZ5UxyNCwadreQAXnQ7oCoH982DjIA-QnZdO7ZoqkC0/edit#gid=0"",""2020-2021!$A$2:$O$255""),2,FALSE)"),43.0)</f>
        <v>43</v>
      </c>
      <c r="H138" s="14">
        <f t="shared" si="4"/>
        <v>0.172</v>
      </c>
      <c r="I138" s="15">
        <f t="shared" si="5"/>
        <v>0.122</v>
      </c>
      <c r="J138" s="16">
        <f>IFERROR(__xludf.DUMMYFUNCTION("VLOOKUP(A138,IMPORTRANGE(""1QZ5UxyNCwadreQAXnQ7oCoH982DjIA-QnZdO7ZoqkC0/edit#gid=0"",""2020-2021!$A$2:$O$251""),4,FALSE)"),44.0)</f>
        <v>44</v>
      </c>
      <c r="K138" s="17">
        <f t="shared" si="6"/>
        <v>0.176</v>
      </c>
      <c r="L138" s="17">
        <f t="shared" si="7"/>
        <v>0.118</v>
      </c>
    </row>
    <row r="139">
      <c r="A139" s="19" t="s">
        <v>139</v>
      </c>
      <c r="B139" s="41">
        <f>IFERROR(__xludf.DUMMYFUNCTION("VLOOKUP(A139,IMPORTRANGE(""1EmrnCz2gLVTx5Cbj0e5tfuHPhTtmru8KTGuQvh7STl0/edit#gid=2147150001"",""Whole Data Set!$A$2:$NQ$253""),381,FALSE)"),0.75)</f>
        <v>0.75</v>
      </c>
      <c r="C139" s="63">
        <f t="shared" si="1"/>
        <v>0.003</v>
      </c>
      <c r="D139" s="12">
        <f>IFERROR(__xludf.DUMMYFUNCTION("VLOOKUP(A139,IMPORTRANGE(""1aFCnJY1qhIj8-JckJhDJ18aqmVo17tofpQmOjcYa3u8/edit#gid=948248086"",""Whole Data Set!$A$2:$NG$253""),371,FALSE)"),0.5)</f>
        <v>0.5</v>
      </c>
      <c r="E139" s="13">
        <f t="shared" si="2"/>
        <v>0.002</v>
      </c>
      <c r="F139" s="13">
        <f t="shared" si="3"/>
        <v>0.001</v>
      </c>
      <c r="G139" s="12">
        <f>IFERROR(__xludf.DUMMYFUNCTION("VLOOKUP(A139,IMPORTRANGE(""1QZ5UxyNCwadreQAXnQ7oCoH982DjIA-QnZdO7ZoqkC0/edit#gid=0"",""2020-2021!$A$2:$O$255""),2,FALSE)"),1.0)</f>
        <v>1</v>
      </c>
      <c r="H139" s="14">
        <f t="shared" si="4"/>
        <v>0.004</v>
      </c>
      <c r="I139" s="15">
        <f t="shared" si="5"/>
        <v>-0.001</v>
      </c>
      <c r="J139" s="16">
        <f>IFERROR(__xludf.DUMMYFUNCTION("VLOOKUP(A139,IMPORTRANGE(""1QZ5UxyNCwadreQAXnQ7oCoH982DjIA-QnZdO7ZoqkC0/edit#gid=0"",""2020-2021!$A$2:$O$251""),4,FALSE)"),1.0)</f>
        <v>1</v>
      </c>
      <c r="K139" s="17">
        <f t="shared" si="6"/>
        <v>0.004</v>
      </c>
      <c r="L139" s="17">
        <f t="shared" si="7"/>
        <v>-0.001</v>
      </c>
    </row>
    <row r="140">
      <c r="A140" s="19" t="s">
        <v>184</v>
      </c>
      <c r="B140" s="41">
        <f>IFERROR(__xludf.DUMMYFUNCTION("VLOOKUP(A140,IMPORTRANGE(""1EmrnCz2gLVTx5Cbj0e5tfuHPhTtmru8KTGuQvh7STl0/edit#gid=2147150001"",""Whole Data Set!$A$2:$NQ$253""),381,FALSE)"),20.25)</f>
        <v>20.25</v>
      </c>
      <c r="C140" s="63">
        <f t="shared" si="1"/>
        <v>0.081</v>
      </c>
      <c r="D140" s="12">
        <f>IFERROR(__xludf.DUMMYFUNCTION("VLOOKUP(A140,IMPORTRANGE(""1aFCnJY1qhIj8-JckJhDJ18aqmVo17tofpQmOjcYa3u8/edit#gid=948248086"",""Whole Data Set!$A$2:$NG$253""),371,FALSE)"),12.25)</f>
        <v>12.25</v>
      </c>
      <c r="E140" s="13">
        <f t="shared" si="2"/>
        <v>0.049</v>
      </c>
      <c r="F140" s="13">
        <f t="shared" si="3"/>
        <v>0.032</v>
      </c>
      <c r="G140" s="12">
        <f>IFERROR(__xludf.DUMMYFUNCTION("VLOOKUP(A140,IMPORTRANGE(""1QZ5UxyNCwadreQAXnQ7oCoH982DjIA-QnZdO7ZoqkC0/edit#gid=0"",""2020-2021!$A$2:$O$255""),2,FALSE)"),22.0)</f>
        <v>22</v>
      </c>
      <c r="H140" s="14">
        <f t="shared" si="4"/>
        <v>0.088</v>
      </c>
      <c r="I140" s="15">
        <f t="shared" si="5"/>
        <v>-0.007</v>
      </c>
      <c r="J140" s="16">
        <f>IFERROR(__xludf.DUMMYFUNCTION("VLOOKUP(A140,IMPORTRANGE(""1QZ5UxyNCwadreQAXnQ7oCoH982DjIA-QnZdO7ZoqkC0/edit#gid=0"",""2020-2021!$A$2:$O$251""),4,FALSE)"),27.5)</f>
        <v>27.5</v>
      </c>
      <c r="K140" s="17">
        <f t="shared" si="6"/>
        <v>0.11</v>
      </c>
      <c r="L140" s="17">
        <f t="shared" si="7"/>
        <v>-0.029</v>
      </c>
    </row>
    <row r="141">
      <c r="A141" s="19" t="s">
        <v>185</v>
      </c>
      <c r="B141" s="41">
        <f>IFERROR(__xludf.DUMMYFUNCTION("VLOOKUP(A141,IMPORTRANGE(""1EmrnCz2gLVTx5Cbj0e5tfuHPhTtmru8KTGuQvh7STl0/edit#gid=2147150001"",""Whole Data Set!$A$2:$NQ$253""),381,FALSE)"),0.0)</f>
        <v>0</v>
      </c>
      <c r="C141" s="63">
        <f t="shared" si="1"/>
        <v>0</v>
      </c>
      <c r="D141" s="12">
        <f>IFERROR(__xludf.DUMMYFUNCTION("VLOOKUP(A141,IMPORTRANGE(""1aFCnJY1qhIj8-JckJhDJ18aqmVo17tofpQmOjcYa3u8/edit#gid=948248086"",""Whole Data Set!$A$2:$NG$253""),371,FALSE)"),0.0)</f>
        <v>0</v>
      </c>
      <c r="E141" s="13">
        <f t="shared" si="2"/>
        <v>0</v>
      </c>
      <c r="F141" s="13">
        <f t="shared" si="3"/>
        <v>0</v>
      </c>
      <c r="G141" s="12">
        <f>IFERROR(__xludf.DUMMYFUNCTION("VLOOKUP(A141,IMPORTRANGE(""1QZ5UxyNCwadreQAXnQ7oCoH982DjIA-QnZdO7ZoqkC0/edit#gid=0"",""2020-2021!$A$2:$O$255""),2,FALSE)"),0.0)</f>
        <v>0</v>
      </c>
      <c r="H141" s="14">
        <f t="shared" si="4"/>
        <v>0</v>
      </c>
      <c r="I141" s="15">
        <f t="shared" si="5"/>
        <v>0</v>
      </c>
      <c r="J141" s="16">
        <f>IFERROR(__xludf.DUMMYFUNCTION("VLOOKUP(A141,IMPORTRANGE(""1QZ5UxyNCwadreQAXnQ7oCoH982DjIA-QnZdO7ZoqkC0/edit#gid=0"",""2020-2021!$A$2:$O$251""),4,FALSE)"),2.0)</f>
        <v>2</v>
      </c>
      <c r="K141" s="17">
        <f t="shared" si="6"/>
        <v>0.008</v>
      </c>
      <c r="L141" s="17">
        <f t="shared" si="7"/>
        <v>-0.008</v>
      </c>
    </row>
    <row r="142">
      <c r="A142" s="19" t="s">
        <v>22</v>
      </c>
      <c r="B142" s="41">
        <f>IFERROR(__xludf.DUMMYFUNCTION("VLOOKUP(A142,IMPORTRANGE(""1EmrnCz2gLVTx5Cbj0e5tfuHPhTtmru8KTGuQvh7STl0/edit#gid=2147150001"",""Whole Data Set!$A$2:$NQ$253""),381,FALSE)"),0.0)</f>
        <v>0</v>
      </c>
      <c r="C142" s="63">
        <f t="shared" si="1"/>
        <v>0</v>
      </c>
      <c r="D142" s="12">
        <f>IFERROR(__xludf.DUMMYFUNCTION("VLOOKUP(A142,IMPORTRANGE(""1aFCnJY1qhIj8-JckJhDJ18aqmVo17tofpQmOjcYa3u8/edit#gid=948248086"",""Whole Data Set!$A$2:$NG$253""),371,FALSE)"),0.0)</f>
        <v>0</v>
      </c>
      <c r="E142" s="13">
        <f t="shared" si="2"/>
        <v>0</v>
      </c>
      <c r="F142" s="13">
        <f t="shared" si="3"/>
        <v>0</v>
      </c>
      <c r="G142" s="12">
        <f>IFERROR(__xludf.DUMMYFUNCTION("VLOOKUP(A142,IMPORTRANGE(""1QZ5UxyNCwadreQAXnQ7oCoH982DjIA-QnZdO7ZoqkC0/edit#gid=0"",""2020-2021!$A$2:$O$255""),2,FALSE)"),0.0)</f>
        <v>0</v>
      </c>
      <c r="H142" s="14">
        <f t="shared" si="4"/>
        <v>0</v>
      </c>
      <c r="I142" s="15">
        <f t="shared" si="5"/>
        <v>0</v>
      </c>
      <c r="J142" s="16">
        <f>IFERROR(__xludf.DUMMYFUNCTION("VLOOKUP(A142,IMPORTRANGE(""1QZ5UxyNCwadreQAXnQ7oCoH982DjIA-QnZdO7ZoqkC0/edit#gid=0"",""2020-2021!$A$2:$O$251""),4,FALSE)"),0.0)</f>
        <v>0</v>
      </c>
      <c r="K142" s="17">
        <f t="shared" si="6"/>
        <v>0</v>
      </c>
      <c r="L142" s="17">
        <f t="shared" si="7"/>
        <v>0</v>
      </c>
    </row>
    <row r="143">
      <c r="A143" s="19" t="s">
        <v>100</v>
      </c>
      <c r="B143" s="41">
        <f>IFERROR(__xludf.DUMMYFUNCTION("VLOOKUP(A143,IMPORTRANGE(""1EmrnCz2gLVTx5Cbj0e5tfuHPhTtmru8KTGuQvh7STl0/edit#gid=2147150001"",""Whole Data Set!$A$2:$NQ$253""),381,FALSE)"),58.5)</f>
        <v>58.5</v>
      </c>
      <c r="C143" s="63">
        <f t="shared" si="1"/>
        <v>0.234</v>
      </c>
      <c r="D143" s="12">
        <f>IFERROR(__xludf.DUMMYFUNCTION("VLOOKUP(A143,IMPORTRANGE(""1aFCnJY1qhIj8-JckJhDJ18aqmVo17tofpQmOjcYa3u8/edit#gid=948248086"",""Whole Data Set!$A$2:$NG$253""),371,FALSE)"),33.0)</f>
        <v>33</v>
      </c>
      <c r="E143" s="13">
        <f t="shared" si="2"/>
        <v>0.132</v>
      </c>
      <c r="F143" s="13">
        <f t="shared" si="3"/>
        <v>0.102</v>
      </c>
      <c r="G143" s="12">
        <f>IFERROR(__xludf.DUMMYFUNCTION("VLOOKUP(A143,IMPORTRANGE(""1QZ5UxyNCwadreQAXnQ7oCoH982DjIA-QnZdO7ZoqkC0/edit#gid=0"",""2020-2021!$A$2:$O$255""),2,FALSE)"),39.0)</f>
        <v>39</v>
      </c>
      <c r="H143" s="14">
        <f t="shared" si="4"/>
        <v>0.156</v>
      </c>
      <c r="I143" s="15">
        <f t="shared" si="5"/>
        <v>0.078</v>
      </c>
      <c r="J143" s="16">
        <f>IFERROR(__xludf.DUMMYFUNCTION("VLOOKUP(A143,IMPORTRANGE(""1QZ5UxyNCwadreQAXnQ7oCoH982DjIA-QnZdO7ZoqkC0/edit#gid=0"",""2020-2021!$A$2:$O$251""),4,FALSE)"),19.0)</f>
        <v>19</v>
      </c>
      <c r="K143" s="17">
        <f t="shared" si="6"/>
        <v>0.076</v>
      </c>
      <c r="L143" s="17">
        <f t="shared" si="7"/>
        <v>0.158</v>
      </c>
    </row>
    <row r="144">
      <c r="A144" s="19" t="s">
        <v>76</v>
      </c>
      <c r="B144" s="41">
        <f>IFERROR(__xludf.DUMMYFUNCTION("VLOOKUP(A144,IMPORTRANGE(""1EmrnCz2gLVTx5Cbj0e5tfuHPhTtmru8KTGuQvh7STl0/edit#gid=2147150001"",""Whole Data Set!$A$2:$NQ$253""),381,FALSE)"),85.5)</f>
        <v>85.5</v>
      </c>
      <c r="C144" s="63">
        <f t="shared" si="1"/>
        <v>0.342</v>
      </c>
      <c r="D144" s="12">
        <f>IFERROR(__xludf.DUMMYFUNCTION("VLOOKUP(A144,IMPORTRANGE(""1aFCnJY1qhIj8-JckJhDJ18aqmVo17tofpQmOjcYa3u8/edit#gid=948248086"",""Whole Data Set!$A$2:$NG$253""),371,FALSE)"),44.25)</f>
        <v>44.25</v>
      </c>
      <c r="E144" s="13">
        <f t="shared" si="2"/>
        <v>0.177</v>
      </c>
      <c r="F144" s="13">
        <f t="shared" si="3"/>
        <v>0.165</v>
      </c>
      <c r="G144" s="12">
        <f>IFERROR(__xludf.DUMMYFUNCTION("VLOOKUP(A144,IMPORTRANGE(""1QZ5UxyNCwadreQAXnQ7oCoH982DjIA-QnZdO7ZoqkC0/edit#gid=0"",""2020-2021!$A$2:$O$255""),2,FALSE)"),46.0)</f>
        <v>46</v>
      </c>
      <c r="H144" s="14">
        <f t="shared" si="4"/>
        <v>0.184</v>
      </c>
      <c r="I144" s="15">
        <f t="shared" si="5"/>
        <v>0.158</v>
      </c>
      <c r="J144" s="16">
        <f>IFERROR(__xludf.DUMMYFUNCTION("VLOOKUP(A144,IMPORTRANGE(""1QZ5UxyNCwadreQAXnQ7oCoH982DjIA-QnZdO7ZoqkC0/edit#gid=0"",""2020-2021!$A$2:$O$251""),4,FALSE)"),45.5)</f>
        <v>45.5</v>
      </c>
      <c r="K144" s="17">
        <f t="shared" si="6"/>
        <v>0.182</v>
      </c>
      <c r="L144" s="17">
        <f t="shared" si="7"/>
        <v>0.16</v>
      </c>
    </row>
    <row r="145">
      <c r="A145" s="19" t="s">
        <v>186</v>
      </c>
      <c r="B145" s="41">
        <f>IFERROR(__xludf.DUMMYFUNCTION("VLOOKUP(A145,IMPORTRANGE(""1EmrnCz2gLVTx5Cbj0e5tfuHPhTtmru8KTGuQvh7STl0/edit#gid=2147150001"",""Whole Data Set!$A$2:$NQ$253""),381,FALSE)"),44.75)</f>
        <v>44.75</v>
      </c>
      <c r="C145" s="63">
        <f t="shared" si="1"/>
        <v>0.179</v>
      </c>
      <c r="D145" s="12">
        <f>IFERROR(__xludf.DUMMYFUNCTION("VLOOKUP(A145,IMPORTRANGE(""1aFCnJY1qhIj8-JckJhDJ18aqmVo17tofpQmOjcYa3u8/edit#gid=948248086"",""Whole Data Set!$A$2:$NG$253""),371,FALSE)"),49.0)</f>
        <v>49</v>
      </c>
      <c r="E145" s="13">
        <f t="shared" si="2"/>
        <v>0.196</v>
      </c>
      <c r="F145" s="13">
        <f t="shared" si="3"/>
        <v>-0.017</v>
      </c>
      <c r="G145" s="12">
        <f>IFERROR(__xludf.DUMMYFUNCTION("VLOOKUP(A145,IMPORTRANGE(""1QZ5UxyNCwadreQAXnQ7oCoH982DjIA-QnZdO7ZoqkC0/edit#gid=0"",""2020-2021!$A$2:$O$255""),2,FALSE)"),53.75)</f>
        <v>53.75</v>
      </c>
      <c r="H145" s="14">
        <f t="shared" si="4"/>
        <v>0.215</v>
      </c>
      <c r="I145" s="15">
        <f t="shared" si="5"/>
        <v>-0.036</v>
      </c>
      <c r="J145" s="16">
        <f>IFERROR(__xludf.DUMMYFUNCTION("VLOOKUP(A145,IMPORTRANGE(""1QZ5UxyNCwadreQAXnQ7oCoH982DjIA-QnZdO7ZoqkC0/edit#gid=0"",""2020-2021!$A$2:$O$251""),4,FALSE)"),67.0)</f>
        <v>67</v>
      </c>
      <c r="K145" s="17">
        <f t="shared" si="6"/>
        <v>0.268</v>
      </c>
      <c r="L145" s="17">
        <f t="shared" si="7"/>
        <v>-0.089</v>
      </c>
    </row>
    <row r="146">
      <c r="A146" s="19" t="s">
        <v>187</v>
      </c>
      <c r="B146" s="41">
        <f>IFERROR(__xludf.DUMMYFUNCTION("VLOOKUP(A146,IMPORTRANGE(""1EmrnCz2gLVTx5Cbj0e5tfuHPhTtmru8KTGuQvh7STl0/edit#gid=2147150001"",""Whole Data Set!$A$2:$NQ$253""),381,FALSE)"),66.5)</f>
        <v>66.5</v>
      </c>
      <c r="C146" s="63">
        <f t="shared" si="1"/>
        <v>0.266</v>
      </c>
      <c r="D146" s="12">
        <f>IFERROR(__xludf.DUMMYFUNCTION("VLOOKUP(A146,IMPORTRANGE(""1aFCnJY1qhIj8-JckJhDJ18aqmVo17tofpQmOjcYa3u8/edit#gid=948248086"",""Whole Data Set!$A$2:$NG$253""),371,FALSE)"),43.0)</f>
        <v>43</v>
      </c>
      <c r="E146" s="13">
        <f t="shared" si="2"/>
        <v>0.172</v>
      </c>
      <c r="F146" s="13">
        <f t="shared" si="3"/>
        <v>0.094</v>
      </c>
      <c r="G146" s="12">
        <f>IFERROR(__xludf.DUMMYFUNCTION("VLOOKUP(A146,IMPORTRANGE(""1QZ5UxyNCwadreQAXnQ7oCoH982DjIA-QnZdO7ZoqkC0/edit#gid=0"",""2020-2021!$A$2:$O$255""),2,FALSE)"),44.75)</f>
        <v>44.75</v>
      </c>
      <c r="H146" s="14">
        <f t="shared" si="4"/>
        <v>0.179</v>
      </c>
      <c r="I146" s="15">
        <f t="shared" si="5"/>
        <v>0.087</v>
      </c>
      <c r="J146" s="16">
        <f>IFERROR(__xludf.DUMMYFUNCTION("VLOOKUP(A146,IMPORTRANGE(""1QZ5UxyNCwadreQAXnQ7oCoH982DjIA-QnZdO7ZoqkC0/edit#gid=0"",""2020-2021!$A$2:$O$251""),4,FALSE)"),47.0)</f>
        <v>47</v>
      </c>
      <c r="K146" s="17">
        <f t="shared" si="6"/>
        <v>0.188</v>
      </c>
      <c r="L146" s="17">
        <f t="shared" si="7"/>
        <v>0.078</v>
      </c>
    </row>
    <row r="147">
      <c r="A147" s="19" t="s">
        <v>140</v>
      </c>
      <c r="B147" s="41">
        <f>IFERROR(__xludf.DUMMYFUNCTION("VLOOKUP(A147,IMPORTRANGE(""1EmrnCz2gLVTx5Cbj0e5tfuHPhTtmru8KTGuQvh7STl0/edit#gid=2147150001"",""Whole Data Set!$A$2:$NQ$253""),381,FALSE)"),44.0)</f>
        <v>44</v>
      </c>
      <c r="C147" s="63">
        <f t="shared" si="1"/>
        <v>0.176</v>
      </c>
      <c r="D147" s="12">
        <f>IFERROR(__xludf.DUMMYFUNCTION("VLOOKUP(A147,IMPORTRANGE(""1aFCnJY1qhIj8-JckJhDJ18aqmVo17tofpQmOjcYa3u8/edit#gid=948248086"",""Whole Data Set!$A$2:$NG$253""),371,FALSE)"),46.25)</f>
        <v>46.25</v>
      </c>
      <c r="E147" s="13">
        <f t="shared" si="2"/>
        <v>0.185</v>
      </c>
      <c r="F147" s="13">
        <f t="shared" si="3"/>
        <v>-0.009</v>
      </c>
      <c r="G147" s="12">
        <f>IFERROR(__xludf.DUMMYFUNCTION("VLOOKUP(A147,IMPORTRANGE(""1QZ5UxyNCwadreQAXnQ7oCoH982DjIA-QnZdO7ZoqkC0/edit#gid=0"",""2020-2021!$A$2:$O$255""),2,FALSE)"),45.0)</f>
        <v>45</v>
      </c>
      <c r="H147" s="14">
        <f t="shared" si="4"/>
        <v>0.18</v>
      </c>
      <c r="I147" s="15">
        <f t="shared" si="5"/>
        <v>-0.004</v>
      </c>
      <c r="J147" s="16">
        <f>IFERROR(__xludf.DUMMYFUNCTION("VLOOKUP(A147,IMPORTRANGE(""1QZ5UxyNCwadreQAXnQ7oCoH982DjIA-QnZdO7ZoqkC0/edit#gid=0"",""2020-2021!$A$2:$O$251""),4,FALSE)"),55.0)</f>
        <v>55</v>
      </c>
      <c r="K147" s="17">
        <f t="shared" si="6"/>
        <v>0.22</v>
      </c>
      <c r="L147" s="17">
        <f t="shared" si="7"/>
        <v>-0.044</v>
      </c>
    </row>
    <row r="148">
      <c r="A148" s="19" t="s">
        <v>244</v>
      </c>
      <c r="B148" s="41">
        <f>IFERROR(__xludf.DUMMYFUNCTION("VLOOKUP(A148,IMPORTRANGE(""1EmrnCz2gLVTx5Cbj0e5tfuHPhTtmru8KTGuQvh7STl0/edit#gid=2147150001"",""Whole Data Set!$A$2:$NQ$253""),381,FALSE)"),72.0)</f>
        <v>72</v>
      </c>
      <c r="C148" s="63">
        <f t="shared" si="1"/>
        <v>0.288</v>
      </c>
      <c r="D148" s="12">
        <f>IFERROR(__xludf.DUMMYFUNCTION("VLOOKUP(A148,IMPORTRANGE(""1aFCnJY1qhIj8-JckJhDJ18aqmVo17tofpQmOjcYa3u8/edit#gid=948248086"",""Whole Data Set!$A$2:$NG$253""),371,FALSE)"),66.75)</f>
        <v>66.75</v>
      </c>
      <c r="E148" s="13">
        <f t="shared" si="2"/>
        <v>0.267</v>
      </c>
      <c r="F148" s="13">
        <f t="shared" si="3"/>
        <v>0.021</v>
      </c>
      <c r="G148" s="12">
        <f>IFERROR(__xludf.DUMMYFUNCTION("VLOOKUP(A148,IMPORTRANGE(""1QZ5UxyNCwadreQAXnQ7oCoH982DjIA-QnZdO7ZoqkC0/edit#gid=0"",""2020-2021!$A$2:$O$255""),2,FALSE)"),69.75)</f>
        <v>69.75</v>
      </c>
      <c r="H148" s="14">
        <f t="shared" si="4"/>
        <v>0.279</v>
      </c>
      <c r="I148" s="15">
        <f t="shared" si="5"/>
        <v>0.009</v>
      </c>
      <c r="J148" s="16">
        <f>IFERROR(__xludf.DUMMYFUNCTION("VLOOKUP(A148,IMPORTRANGE(""1QZ5UxyNCwadreQAXnQ7oCoH982DjIA-QnZdO7ZoqkC0/edit#gid=0"",""2020-2021!$A$2:$O$251""),4,FALSE)"),78.5)</f>
        <v>78.5</v>
      </c>
      <c r="K148" s="17">
        <f t="shared" si="6"/>
        <v>0.314</v>
      </c>
      <c r="L148" s="17">
        <f t="shared" si="7"/>
        <v>-0.026</v>
      </c>
    </row>
    <row r="149">
      <c r="A149" s="19" t="s">
        <v>188</v>
      </c>
      <c r="B149" s="41">
        <f>IFERROR(__xludf.DUMMYFUNCTION("VLOOKUP(A149,IMPORTRANGE(""1EmrnCz2gLVTx5Cbj0e5tfuHPhTtmru8KTGuQvh7STl0/edit#gid=2147150001"",""Whole Data Set!$A$2:$NQ$253""),381,FALSE)"),26.75)</f>
        <v>26.75</v>
      </c>
      <c r="C149" s="63">
        <f t="shared" si="1"/>
        <v>0.107</v>
      </c>
      <c r="D149" s="12">
        <f>IFERROR(__xludf.DUMMYFUNCTION("VLOOKUP(A149,IMPORTRANGE(""1aFCnJY1qhIj8-JckJhDJ18aqmVo17tofpQmOjcYa3u8/edit#gid=948248086"",""Whole Data Set!$A$2:$NG$253""),371,FALSE)"),32.25)</f>
        <v>32.25</v>
      </c>
      <c r="E149" s="13">
        <f t="shared" si="2"/>
        <v>0.129</v>
      </c>
      <c r="F149" s="13">
        <f t="shared" si="3"/>
        <v>-0.022</v>
      </c>
      <c r="G149" s="12">
        <f>IFERROR(__xludf.DUMMYFUNCTION("VLOOKUP(A149,IMPORTRANGE(""1QZ5UxyNCwadreQAXnQ7oCoH982DjIA-QnZdO7ZoqkC0/edit#gid=0"",""2020-2021!$A$2:$O$255""),2,FALSE)"),37.25)</f>
        <v>37.25</v>
      </c>
      <c r="H149" s="14">
        <f t="shared" si="4"/>
        <v>0.149</v>
      </c>
      <c r="I149" s="15">
        <f t="shared" si="5"/>
        <v>-0.042</v>
      </c>
      <c r="J149" s="16">
        <f>IFERROR(__xludf.DUMMYFUNCTION("VLOOKUP(A149,IMPORTRANGE(""1QZ5UxyNCwadreQAXnQ7oCoH982DjIA-QnZdO7ZoqkC0/edit#gid=0"",""2020-2021!$A$2:$O$251""),4,FALSE)"),39.5)</f>
        <v>39.5</v>
      </c>
      <c r="K149" s="17">
        <f t="shared" si="6"/>
        <v>0.158</v>
      </c>
      <c r="L149" s="17">
        <f t="shared" si="7"/>
        <v>-0.051</v>
      </c>
    </row>
    <row r="150">
      <c r="A150" s="19" t="s">
        <v>189</v>
      </c>
      <c r="B150" s="41">
        <f>IFERROR(__xludf.DUMMYFUNCTION("VLOOKUP(A150,IMPORTRANGE(""1EmrnCz2gLVTx5Cbj0e5tfuHPhTtmru8KTGuQvh7STl0/edit#gid=2147150001"",""Whole Data Set!$A$2:$NQ$253""),381,FALSE)"),70.25)</f>
        <v>70.25</v>
      </c>
      <c r="C150" s="63">
        <f t="shared" si="1"/>
        <v>0.281</v>
      </c>
      <c r="D150" s="12">
        <f>IFERROR(__xludf.DUMMYFUNCTION("VLOOKUP(A150,IMPORTRANGE(""1aFCnJY1qhIj8-JckJhDJ18aqmVo17tofpQmOjcYa3u8/edit#gid=948248086"",""Whole Data Set!$A$2:$NG$253""),371,FALSE)"),50.25)</f>
        <v>50.25</v>
      </c>
      <c r="E150" s="13">
        <f t="shared" si="2"/>
        <v>0.201</v>
      </c>
      <c r="F150" s="13">
        <f t="shared" si="3"/>
        <v>0.08</v>
      </c>
      <c r="G150" s="12">
        <f>IFERROR(__xludf.DUMMYFUNCTION("VLOOKUP(A150,IMPORTRANGE(""1QZ5UxyNCwadreQAXnQ7oCoH982DjIA-QnZdO7ZoqkC0/edit#gid=0"",""2020-2021!$A$2:$O$255""),2,FALSE)"),55.75)</f>
        <v>55.75</v>
      </c>
      <c r="H150" s="14">
        <f t="shared" si="4"/>
        <v>0.223</v>
      </c>
      <c r="I150" s="15">
        <f t="shared" si="5"/>
        <v>0.058</v>
      </c>
      <c r="J150" s="16">
        <f>IFERROR(__xludf.DUMMYFUNCTION("VLOOKUP(A150,IMPORTRANGE(""1QZ5UxyNCwadreQAXnQ7oCoH982DjIA-QnZdO7ZoqkC0/edit#gid=0"",""2020-2021!$A$2:$O$251""),4,FALSE)"),26.0)</f>
        <v>26</v>
      </c>
      <c r="K150" s="17">
        <f t="shared" si="6"/>
        <v>0.104</v>
      </c>
      <c r="L150" s="17">
        <f t="shared" si="7"/>
        <v>0.177</v>
      </c>
    </row>
    <row r="151">
      <c r="A151" s="19" t="s">
        <v>77</v>
      </c>
      <c r="B151" s="41">
        <f>IFERROR(__xludf.DUMMYFUNCTION("VLOOKUP(A151,IMPORTRANGE(""1EmrnCz2gLVTx5Cbj0e5tfuHPhTtmru8KTGuQvh7STl0/edit#gid=2147150001"",""Whole Data Set!$A$2:$NQ$253""),381,FALSE)"),113.75)</f>
        <v>113.75</v>
      </c>
      <c r="C151" s="63">
        <f t="shared" si="1"/>
        <v>0.455</v>
      </c>
      <c r="D151" s="12">
        <f>IFERROR(__xludf.DUMMYFUNCTION("VLOOKUP(A151,IMPORTRANGE(""1aFCnJY1qhIj8-JckJhDJ18aqmVo17tofpQmOjcYa3u8/edit#gid=948248086"",""Whole Data Set!$A$2:$NG$253""),371,FALSE)"),103.5)</f>
        <v>103.5</v>
      </c>
      <c r="E151" s="13">
        <f t="shared" si="2"/>
        <v>0.414</v>
      </c>
      <c r="F151" s="13">
        <f t="shared" si="3"/>
        <v>0.041</v>
      </c>
      <c r="G151" s="12">
        <f>IFERROR(__xludf.DUMMYFUNCTION("VLOOKUP(A151,IMPORTRANGE(""1QZ5UxyNCwadreQAXnQ7oCoH982DjIA-QnZdO7ZoqkC0/edit#gid=0"",""2020-2021!$A$2:$O$255""),2,FALSE)"),105.75)</f>
        <v>105.75</v>
      </c>
      <c r="H151" s="14">
        <f t="shared" si="4"/>
        <v>0.423</v>
      </c>
      <c r="I151" s="15">
        <f t="shared" si="5"/>
        <v>0.032</v>
      </c>
      <c r="J151" s="16">
        <f>IFERROR(__xludf.DUMMYFUNCTION("VLOOKUP(A151,IMPORTRANGE(""1QZ5UxyNCwadreQAXnQ7oCoH982DjIA-QnZdO7ZoqkC0/edit#gid=0"",""2020-2021!$A$2:$O$251""),4,FALSE)"),121.0)</f>
        <v>121</v>
      </c>
      <c r="K151" s="17">
        <f t="shared" si="6"/>
        <v>0.484</v>
      </c>
      <c r="L151" s="17">
        <f t="shared" si="7"/>
        <v>-0.029</v>
      </c>
    </row>
    <row r="152">
      <c r="A152" s="19" t="s">
        <v>78</v>
      </c>
      <c r="B152" s="41">
        <f>IFERROR(__xludf.DUMMYFUNCTION("VLOOKUP(A152,IMPORTRANGE(""1EmrnCz2gLVTx5Cbj0e5tfuHPhTtmru8KTGuQvh7STl0/edit#gid=2147150001"",""Whole Data Set!$A$2:$NQ$253""),381,FALSE)"),105.0)</f>
        <v>105</v>
      </c>
      <c r="C152" s="63">
        <f t="shared" si="1"/>
        <v>0.42</v>
      </c>
      <c r="D152" s="12">
        <f>IFERROR(__xludf.DUMMYFUNCTION("VLOOKUP(A152,IMPORTRANGE(""1aFCnJY1qhIj8-JckJhDJ18aqmVo17tofpQmOjcYa3u8/edit#gid=948248086"",""Whole Data Set!$A$2:$NG$253""),371,FALSE)"),100.25)</f>
        <v>100.25</v>
      </c>
      <c r="E152" s="13">
        <f t="shared" si="2"/>
        <v>0.401</v>
      </c>
      <c r="F152" s="13">
        <f t="shared" si="3"/>
        <v>0.019</v>
      </c>
      <c r="G152" s="12">
        <f>IFERROR(__xludf.DUMMYFUNCTION("VLOOKUP(A152,IMPORTRANGE(""1QZ5UxyNCwadreQAXnQ7oCoH982DjIA-QnZdO7ZoqkC0/edit#gid=0"",""2020-2021!$A$2:$O$255""),2,FALSE)"),85.5)</f>
        <v>85.5</v>
      </c>
      <c r="H152" s="14">
        <f t="shared" si="4"/>
        <v>0.342</v>
      </c>
      <c r="I152" s="15">
        <f t="shared" si="5"/>
        <v>0.078</v>
      </c>
      <c r="J152" s="16">
        <f>IFERROR(__xludf.DUMMYFUNCTION("VLOOKUP(A152,IMPORTRANGE(""1QZ5UxyNCwadreQAXnQ7oCoH982DjIA-QnZdO7ZoqkC0/edit#gid=0"",""2020-2021!$A$2:$O$251""),4,FALSE)"),106.5)</f>
        <v>106.5</v>
      </c>
      <c r="K152" s="17">
        <f t="shared" si="6"/>
        <v>0.426</v>
      </c>
      <c r="L152" s="17">
        <f t="shared" si="7"/>
        <v>-0.006</v>
      </c>
    </row>
    <row r="153">
      <c r="A153" s="19" t="s">
        <v>141</v>
      </c>
      <c r="B153" s="41">
        <f>IFERROR(__xludf.DUMMYFUNCTION("VLOOKUP(A153,IMPORTRANGE(""1EmrnCz2gLVTx5Cbj0e5tfuHPhTtmru8KTGuQvh7STl0/edit#gid=2147150001"",""Whole Data Set!$A$2:$NQ$253""),381,FALSE)"),0.75)</f>
        <v>0.75</v>
      </c>
      <c r="C153" s="63">
        <f t="shared" si="1"/>
        <v>0.003</v>
      </c>
      <c r="D153" s="12">
        <f>IFERROR(__xludf.DUMMYFUNCTION("VLOOKUP(A153,IMPORTRANGE(""1aFCnJY1qhIj8-JckJhDJ18aqmVo17tofpQmOjcYa3u8/edit#gid=948248086"",""Whole Data Set!$A$2:$NG$253""),371,FALSE)"),0.75)</f>
        <v>0.75</v>
      </c>
      <c r="E153" s="13">
        <f t="shared" si="2"/>
        <v>0.003</v>
      </c>
      <c r="F153" s="13">
        <f t="shared" si="3"/>
        <v>0</v>
      </c>
      <c r="G153" s="12">
        <f>IFERROR(__xludf.DUMMYFUNCTION("VLOOKUP(A153,IMPORTRANGE(""1QZ5UxyNCwadreQAXnQ7oCoH982DjIA-QnZdO7ZoqkC0/edit#gid=0"",""2020-2021!$A$2:$O$255""),2,FALSE)"),1.0)</f>
        <v>1</v>
      </c>
      <c r="H153" s="14">
        <f t="shared" si="4"/>
        <v>0.004</v>
      </c>
      <c r="I153" s="15">
        <f t="shared" si="5"/>
        <v>-0.001</v>
      </c>
      <c r="J153" s="16">
        <f>IFERROR(__xludf.DUMMYFUNCTION("VLOOKUP(A153,IMPORTRANGE(""1QZ5UxyNCwadreQAXnQ7oCoH982DjIA-QnZdO7ZoqkC0/edit#gid=0"",""2020-2021!$A$2:$O$251""),4,FALSE)"),1.5)</f>
        <v>1.5</v>
      </c>
      <c r="K153" s="17">
        <f t="shared" si="6"/>
        <v>0.006</v>
      </c>
      <c r="L153" s="17">
        <f t="shared" si="7"/>
        <v>-0.003</v>
      </c>
    </row>
    <row r="154">
      <c r="A154" s="19" t="s">
        <v>79</v>
      </c>
      <c r="B154" s="41">
        <f>IFERROR(__xludf.DUMMYFUNCTION("VLOOKUP(A154,IMPORTRANGE(""1EmrnCz2gLVTx5Cbj0e5tfuHPhTtmru8KTGuQvh7STl0/edit#gid=2147150001"",""Whole Data Set!$A$2:$NQ$253""),381,FALSE)"),90.5)</f>
        <v>90.5</v>
      </c>
      <c r="C154" s="63">
        <f t="shared" si="1"/>
        <v>0.362</v>
      </c>
      <c r="D154" s="12">
        <f>IFERROR(__xludf.DUMMYFUNCTION("VLOOKUP(A154,IMPORTRANGE(""1aFCnJY1qhIj8-JckJhDJ18aqmVo17tofpQmOjcYa3u8/edit#gid=948248086"",""Whole Data Set!$A$2:$NG$253""),371,FALSE)"),92.75)</f>
        <v>92.75</v>
      </c>
      <c r="E154" s="13">
        <f t="shared" si="2"/>
        <v>0.371</v>
      </c>
      <c r="F154" s="13">
        <f t="shared" si="3"/>
        <v>-0.009</v>
      </c>
      <c r="G154" s="12">
        <f>IFERROR(__xludf.DUMMYFUNCTION("VLOOKUP(A154,IMPORTRANGE(""1QZ5UxyNCwadreQAXnQ7oCoH982DjIA-QnZdO7ZoqkC0/edit#gid=0"",""2020-2021!$A$2:$O$255""),2,FALSE)"),99.25)</f>
        <v>99.25</v>
      </c>
      <c r="H154" s="14">
        <f t="shared" si="4"/>
        <v>0.397</v>
      </c>
      <c r="I154" s="15">
        <f t="shared" si="5"/>
        <v>-0.035</v>
      </c>
      <c r="J154" s="16">
        <f>IFERROR(__xludf.DUMMYFUNCTION("VLOOKUP(A154,IMPORTRANGE(""1QZ5UxyNCwadreQAXnQ7oCoH982DjIA-QnZdO7ZoqkC0/edit#gid=0"",""2020-2021!$A$2:$O$251""),4,FALSE)"),90.5)</f>
        <v>90.5</v>
      </c>
      <c r="K154" s="17">
        <f t="shared" si="6"/>
        <v>0.362</v>
      </c>
      <c r="L154" s="17">
        <f t="shared" si="7"/>
        <v>0</v>
      </c>
    </row>
    <row r="155">
      <c r="A155" s="19" t="s">
        <v>80</v>
      </c>
      <c r="B155" s="41">
        <f>IFERROR(__xludf.DUMMYFUNCTION("VLOOKUP(A155,IMPORTRANGE(""1EmrnCz2gLVTx5Cbj0e5tfuHPhTtmru8KTGuQvh7STl0/edit#gid=2147150001"",""Whole Data Set!$A$2:$NQ$253""),381,FALSE)"),124.75)</f>
        <v>124.75</v>
      </c>
      <c r="C155" s="63">
        <f t="shared" si="1"/>
        <v>0.499</v>
      </c>
      <c r="D155" s="12">
        <f>IFERROR(__xludf.DUMMYFUNCTION("VLOOKUP(A155,IMPORTRANGE(""1aFCnJY1qhIj8-JckJhDJ18aqmVo17tofpQmOjcYa3u8/edit#gid=948248086"",""Whole Data Set!$A$2:$NG$253""),371,FALSE)"),133.5)</f>
        <v>133.5</v>
      </c>
      <c r="E155" s="13">
        <f t="shared" si="2"/>
        <v>0.534</v>
      </c>
      <c r="F155" s="13">
        <f t="shared" si="3"/>
        <v>-0.035</v>
      </c>
      <c r="G155" s="12">
        <f>IFERROR(__xludf.DUMMYFUNCTION("VLOOKUP(A155,IMPORTRANGE(""1QZ5UxyNCwadreQAXnQ7oCoH982DjIA-QnZdO7ZoqkC0/edit#gid=0"",""2020-2021!$A$2:$O$255""),2,FALSE)"),138.5)</f>
        <v>138.5</v>
      </c>
      <c r="H155" s="14">
        <f t="shared" si="4"/>
        <v>0.554</v>
      </c>
      <c r="I155" s="15">
        <f t="shared" si="5"/>
        <v>-0.055</v>
      </c>
      <c r="J155" s="16">
        <f>IFERROR(__xludf.DUMMYFUNCTION("VLOOKUP(A155,IMPORTRANGE(""1QZ5UxyNCwadreQAXnQ7oCoH982DjIA-QnZdO7ZoqkC0/edit#gid=0"",""2020-2021!$A$2:$O$251""),4,FALSE)"),138.0)</f>
        <v>138</v>
      </c>
      <c r="K155" s="17">
        <f t="shared" si="6"/>
        <v>0.552</v>
      </c>
      <c r="L155" s="17">
        <f t="shared" si="7"/>
        <v>-0.053</v>
      </c>
    </row>
    <row r="156">
      <c r="A156" s="19" t="s">
        <v>142</v>
      </c>
      <c r="B156" s="41">
        <f>IFERROR(__xludf.DUMMYFUNCTION("VLOOKUP(A156,IMPORTRANGE(""1EmrnCz2gLVTx5Cbj0e5tfuHPhTtmru8KTGuQvh7STl0/edit#gid=2147150001"",""Whole Data Set!$A$2:$NQ$253""),381,FALSE)"),1.5)</f>
        <v>1.5</v>
      </c>
      <c r="C156" s="63">
        <f t="shared" si="1"/>
        <v>0.006</v>
      </c>
      <c r="D156" s="12">
        <f>IFERROR(__xludf.DUMMYFUNCTION("VLOOKUP(A156,IMPORTRANGE(""1aFCnJY1qhIj8-JckJhDJ18aqmVo17tofpQmOjcYa3u8/edit#gid=948248086"",""Whole Data Set!$A$2:$NG$253""),371,FALSE)"),1.5)</f>
        <v>1.5</v>
      </c>
      <c r="E156" s="13">
        <f t="shared" si="2"/>
        <v>0.006</v>
      </c>
      <c r="F156" s="13">
        <f t="shared" si="3"/>
        <v>0</v>
      </c>
      <c r="G156" s="12">
        <f>IFERROR(__xludf.DUMMYFUNCTION("VLOOKUP(A156,IMPORTRANGE(""1QZ5UxyNCwadreQAXnQ7oCoH982DjIA-QnZdO7ZoqkC0/edit#gid=0"",""2020-2021!$A$2:$O$255""),2,FALSE)"),3.5)</f>
        <v>3.5</v>
      </c>
      <c r="H156" s="14">
        <f t="shared" si="4"/>
        <v>0.014</v>
      </c>
      <c r="I156" s="15">
        <f t="shared" si="5"/>
        <v>-0.008</v>
      </c>
      <c r="J156" s="16">
        <f>IFERROR(__xludf.DUMMYFUNCTION("VLOOKUP(A156,IMPORTRANGE(""1QZ5UxyNCwadreQAXnQ7oCoH982DjIA-QnZdO7ZoqkC0/edit#gid=0"",""2020-2021!$A$2:$O$251""),4,FALSE)"),8.0)</f>
        <v>8</v>
      </c>
      <c r="K156" s="17">
        <f t="shared" si="6"/>
        <v>0.032</v>
      </c>
      <c r="L156" s="17">
        <f t="shared" si="7"/>
        <v>-0.026</v>
      </c>
    </row>
    <row r="157">
      <c r="A157" s="19" t="s">
        <v>82</v>
      </c>
      <c r="B157" s="41">
        <f>IFERROR(__xludf.DUMMYFUNCTION("VLOOKUP(A157,IMPORTRANGE(""1EmrnCz2gLVTx5Cbj0e5tfuHPhTtmru8KTGuQvh7STl0/edit#gid=2147150001"",""Whole Data Set!$A$2:$NQ$253""),381,FALSE)"),65.25)</f>
        <v>65.25</v>
      </c>
      <c r="C157" s="63">
        <f t="shared" si="1"/>
        <v>0.261</v>
      </c>
      <c r="D157" s="12">
        <f>IFERROR(__xludf.DUMMYFUNCTION("VLOOKUP(A157,IMPORTRANGE(""1aFCnJY1qhIj8-JckJhDJ18aqmVo17tofpQmOjcYa3u8/edit#gid=948248086"",""Whole Data Set!$A$2:$NG$253""),371,FALSE)"),42.75)</f>
        <v>42.75</v>
      </c>
      <c r="E157" s="13">
        <f t="shared" si="2"/>
        <v>0.171</v>
      </c>
      <c r="F157" s="13">
        <f t="shared" si="3"/>
        <v>0.09</v>
      </c>
      <c r="G157" s="12">
        <f>IFERROR(__xludf.DUMMYFUNCTION("VLOOKUP(A157,IMPORTRANGE(""1QZ5UxyNCwadreQAXnQ7oCoH982DjIA-QnZdO7ZoqkC0/edit#gid=0"",""2020-2021!$A$2:$O$255""),2,FALSE)"),70.25)</f>
        <v>70.25</v>
      </c>
      <c r="H157" s="14">
        <f t="shared" si="4"/>
        <v>0.281</v>
      </c>
      <c r="I157" s="15">
        <f t="shared" si="5"/>
        <v>-0.02</v>
      </c>
      <c r="J157" s="16">
        <f>IFERROR(__xludf.DUMMYFUNCTION("VLOOKUP(A157,IMPORTRANGE(""1QZ5UxyNCwadreQAXnQ7oCoH982DjIA-QnZdO7ZoqkC0/edit#gid=0"",""2020-2021!$A$2:$O$251""),4,FALSE)"),55.5)</f>
        <v>55.5</v>
      </c>
      <c r="K157" s="17">
        <f t="shared" si="6"/>
        <v>0.222</v>
      </c>
      <c r="L157" s="17">
        <f t="shared" si="7"/>
        <v>0.039</v>
      </c>
    </row>
    <row r="158">
      <c r="A158" s="19" t="s">
        <v>66</v>
      </c>
      <c r="B158" s="41">
        <f>IFERROR(__xludf.DUMMYFUNCTION("VLOOKUP(A158,IMPORTRANGE(""1EmrnCz2gLVTx5Cbj0e5tfuHPhTtmru8KTGuQvh7STl0/edit#gid=2147150001"",""Whole Data Set!$A$2:$NQ$253""),381,FALSE)"),120.25)</f>
        <v>120.25</v>
      </c>
      <c r="C158" s="63">
        <f t="shared" si="1"/>
        <v>0.481</v>
      </c>
      <c r="D158" s="12">
        <f>IFERROR(__xludf.DUMMYFUNCTION("VLOOKUP(A158,IMPORTRANGE(""1aFCnJY1qhIj8-JckJhDJ18aqmVo17tofpQmOjcYa3u8/edit#gid=948248086"",""Whole Data Set!$A$2:$NG$253""),371,FALSE)"),109.5)</f>
        <v>109.5</v>
      </c>
      <c r="E158" s="13">
        <f t="shared" si="2"/>
        <v>0.438</v>
      </c>
      <c r="F158" s="13">
        <f t="shared" si="3"/>
        <v>0.043</v>
      </c>
      <c r="G158" s="12">
        <f>IFERROR(__xludf.DUMMYFUNCTION("VLOOKUP(A158,IMPORTRANGE(""1QZ5UxyNCwadreQAXnQ7oCoH982DjIA-QnZdO7ZoqkC0/edit#gid=0"",""2020-2021!$A$2:$O$255""),2,FALSE)"),123.0)</f>
        <v>123</v>
      </c>
      <c r="H158" s="14">
        <f t="shared" si="4"/>
        <v>0.492</v>
      </c>
      <c r="I158" s="15">
        <f t="shared" si="5"/>
        <v>-0.011</v>
      </c>
      <c r="J158" s="16">
        <f>IFERROR(__xludf.DUMMYFUNCTION("VLOOKUP(A158,IMPORTRANGE(""1QZ5UxyNCwadreQAXnQ7oCoH982DjIA-QnZdO7ZoqkC0/edit#gid=0"",""2020-2021!$A$2:$O$251""),4,FALSE)"),125.0)</f>
        <v>125</v>
      </c>
      <c r="K158" s="17">
        <f t="shared" si="6"/>
        <v>0.5</v>
      </c>
      <c r="L158" s="17">
        <f t="shared" si="7"/>
        <v>-0.019</v>
      </c>
    </row>
    <row r="159">
      <c r="A159" s="19" t="s">
        <v>245</v>
      </c>
      <c r="B159" s="41">
        <f>IFERROR(__xludf.DUMMYFUNCTION("VLOOKUP(A159,IMPORTRANGE(""1EmrnCz2gLVTx5Cbj0e5tfuHPhTtmru8KTGuQvh7STl0/edit#gid=2147150001"",""Whole Data Set!$A$2:$NQ$253""),381,FALSE)"),49.25)</f>
        <v>49.25</v>
      </c>
      <c r="C159" s="63">
        <f t="shared" si="1"/>
        <v>0.197</v>
      </c>
      <c r="D159" s="12">
        <f>IFERROR(__xludf.DUMMYFUNCTION("VLOOKUP(A159,IMPORTRANGE(""1aFCnJY1qhIj8-JckJhDJ18aqmVo17tofpQmOjcYa3u8/edit#gid=948248086"",""Whole Data Set!$A$2:$NG$253""),371,FALSE)"),44.75)</f>
        <v>44.75</v>
      </c>
      <c r="E159" s="13">
        <f t="shared" si="2"/>
        <v>0.179</v>
      </c>
      <c r="F159" s="13">
        <f t="shared" si="3"/>
        <v>0.018</v>
      </c>
      <c r="G159" s="12">
        <f>IFERROR(__xludf.DUMMYFUNCTION("VLOOKUP(A159,IMPORTRANGE(""1QZ5UxyNCwadreQAXnQ7oCoH982DjIA-QnZdO7ZoqkC0/edit#gid=0"",""2020-2021!$A$2:$O$255""),2,FALSE)"),49.5)</f>
        <v>49.5</v>
      </c>
      <c r="H159" s="14">
        <f t="shared" si="4"/>
        <v>0.198</v>
      </c>
      <c r="I159" s="15">
        <f t="shared" si="5"/>
        <v>-0.001</v>
      </c>
      <c r="J159" s="16">
        <f>IFERROR(__xludf.DUMMYFUNCTION("VLOOKUP(A159,IMPORTRANGE(""1QZ5UxyNCwadreQAXnQ7oCoH982DjIA-QnZdO7ZoqkC0/edit#gid=0"",""2020-2021!$A$2:$O$251""),4,FALSE)"),49.0)</f>
        <v>49</v>
      </c>
      <c r="K159" s="17">
        <f t="shared" si="6"/>
        <v>0.196</v>
      </c>
      <c r="L159" s="17">
        <f t="shared" si="7"/>
        <v>0.001</v>
      </c>
    </row>
    <row r="160">
      <c r="A160" s="19" t="s">
        <v>143</v>
      </c>
      <c r="B160" s="41">
        <f>IFERROR(__xludf.DUMMYFUNCTION("VLOOKUP(A160,IMPORTRANGE(""1EmrnCz2gLVTx5Cbj0e5tfuHPhTtmru8KTGuQvh7STl0/edit#gid=2147150001"",""Whole Data Set!$A$2:$NQ$253""),381,FALSE)"),207.5)</f>
        <v>207.5</v>
      </c>
      <c r="C160" s="63">
        <f t="shared" si="1"/>
        <v>0.83</v>
      </c>
      <c r="D160" s="12">
        <f>IFERROR(__xludf.DUMMYFUNCTION("VLOOKUP(A160,IMPORTRANGE(""1aFCnJY1qhIj8-JckJhDJ18aqmVo17tofpQmOjcYa3u8/edit#gid=948248086"",""Whole Data Set!$A$2:$NG$253""),371,FALSE)"),195.5)</f>
        <v>195.5</v>
      </c>
      <c r="E160" s="13">
        <f t="shared" si="2"/>
        <v>0.782</v>
      </c>
      <c r="F160" s="13">
        <f t="shared" si="3"/>
        <v>0.048</v>
      </c>
      <c r="G160" s="12">
        <f>IFERROR(__xludf.DUMMYFUNCTION("VLOOKUP(A160,IMPORTRANGE(""1QZ5UxyNCwadreQAXnQ7oCoH982DjIA-QnZdO7ZoqkC0/edit#gid=0"",""2020-2021!$A$2:$O$255""),2,FALSE)"),196.0)</f>
        <v>196</v>
      </c>
      <c r="H160" s="14">
        <f t="shared" si="4"/>
        <v>0.784</v>
      </c>
      <c r="I160" s="15">
        <f t="shared" si="5"/>
        <v>0.046</v>
      </c>
      <c r="J160" s="16">
        <f>IFERROR(__xludf.DUMMYFUNCTION("VLOOKUP(A160,IMPORTRANGE(""1QZ5UxyNCwadreQAXnQ7oCoH982DjIA-QnZdO7ZoqkC0/edit#gid=0"",""2020-2021!$A$2:$O$251""),4,FALSE)"),86.5)</f>
        <v>86.5</v>
      </c>
      <c r="K160" s="17">
        <f t="shared" si="6"/>
        <v>0.346</v>
      </c>
      <c r="L160" s="17">
        <f t="shared" si="7"/>
        <v>0.484</v>
      </c>
    </row>
    <row r="161">
      <c r="A161" s="19" t="s">
        <v>190</v>
      </c>
      <c r="B161" s="41">
        <f>IFERROR(__xludf.DUMMYFUNCTION("VLOOKUP(A161,IMPORTRANGE(""1EmrnCz2gLVTx5Cbj0e5tfuHPhTtmru8KTGuQvh7STl0/edit#gid=2147150001"",""Whole Data Set!$A$2:$NQ$253""),381,FALSE)"),99.5)</f>
        <v>99.5</v>
      </c>
      <c r="C161" s="63">
        <f t="shared" si="1"/>
        <v>0.398</v>
      </c>
      <c r="D161" s="12">
        <f>IFERROR(__xludf.DUMMYFUNCTION("VLOOKUP(A161,IMPORTRANGE(""1aFCnJY1qhIj8-JckJhDJ18aqmVo17tofpQmOjcYa3u8/edit#gid=948248086"",""Whole Data Set!$A$2:$NG$253""),371,FALSE)"),109.0)</f>
        <v>109</v>
      </c>
      <c r="E161" s="13">
        <f t="shared" si="2"/>
        <v>0.436</v>
      </c>
      <c r="F161" s="13">
        <f t="shared" si="3"/>
        <v>-0.038</v>
      </c>
      <c r="G161" s="12">
        <f>IFERROR(__xludf.DUMMYFUNCTION("VLOOKUP(A161,IMPORTRANGE(""1QZ5UxyNCwadreQAXnQ7oCoH982DjIA-QnZdO7ZoqkC0/edit#gid=0"",""2020-2021!$A$2:$O$255""),2,FALSE)"),138.75)</f>
        <v>138.75</v>
      </c>
      <c r="H161" s="14">
        <f t="shared" si="4"/>
        <v>0.555</v>
      </c>
      <c r="I161" s="15">
        <f t="shared" si="5"/>
        <v>-0.157</v>
      </c>
      <c r="J161" s="16">
        <f>IFERROR(__xludf.DUMMYFUNCTION("VLOOKUP(A161,IMPORTRANGE(""1QZ5UxyNCwadreQAXnQ7oCoH982DjIA-QnZdO7ZoqkC0/edit#gid=0"",""2020-2021!$A$2:$O$251""),4,FALSE)"),151.0)</f>
        <v>151</v>
      </c>
      <c r="K161" s="17">
        <f t="shared" si="6"/>
        <v>0.604</v>
      </c>
      <c r="L161" s="17">
        <f t="shared" si="7"/>
        <v>-0.206</v>
      </c>
    </row>
    <row r="162">
      <c r="A162" s="19" t="s">
        <v>246</v>
      </c>
      <c r="B162" s="41">
        <f>IFERROR(__xludf.DUMMYFUNCTION("VLOOKUP(A162,IMPORTRANGE(""1EmrnCz2gLVTx5Cbj0e5tfuHPhTtmru8KTGuQvh7STl0/edit#gid=2147150001"",""Whole Data Set!$A$2:$NQ$253""),381,FALSE)"),6.0)</f>
        <v>6</v>
      </c>
      <c r="C162" s="63">
        <f t="shared" si="1"/>
        <v>0.024</v>
      </c>
      <c r="D162" s="12">
        <f>IFERROR(__xludf.DUMMYFUNCTION("VLOOKUP(A162,IMPORTRANGE(""1aFCnJY1qhIj8-JckJhDJ18aqmVo17tofpQmOjcYa3u8/edit#gid=948248086"",""Whole Data Set!$A$2:$NG$253""),371,FALSE)"),6.0)</f>
        <v>6</v>
      </c>
      <c r="E162" s="13">
        <f t="shared" si="2"/>
        <v>0.024</v>
      </c>
      <c r="F162" s="13">
        <f t="shared" si="3"/>
        <v>0</v>
      </c>
      <c r="G162" s="12">
        <f>IFERROR(__xludf.DUMMYFUNCTION("VLOOKUP(A162,IMPORTRANGE(""1QZ5UxyNCwadreQAXnQ7oCoH982DjIA-QnZdO7ZoqkC0/edit#gid=0"",""2020-2021!$A$2:$O$255""),2,FALSE)"),0.5)</f>
        <v>0.5</v>
      </c>
      <c r="H162" s="14">
        <f t="shared" si="4"/>
        <v>0.002</v>
      </c>
      <c r="I162" s="15">
        <f t="shared" si="5"/>
        <v>0.022</v>
      </c>
      <c r="J162" s="16">
        <f>IFERROR(__xludf.DUMMYFUNCTION("VLOOKUP(A162,IMPORTRANGE(""1QZ5UxyNCwadreQAXnQ7oCoH982DjIA-QnZdO7ZoqkC0/edit#gid=0"",""2020-2021!$A$2:$O$251""),4,FALSE)"),1.0)</f>
        <v>1</v>
      </c>
      <c r="K162" s="17">
        <f t="shared" si="6"/>
        <v>0.004</v>
      </c>
      <c r="L162" s="17">
        <f t="shared" si="7"/>
        <v>0.02</v>
      </c>
    </row>
    <row r="163">
      <c r="A163" s="19" t="s">
        <v>191</v>
      </c>
      <c r="B163" s="41">
        <f>IFERROR(__xludf.DUMMYFUNCTION("VLOOKUP(A163,IMPORTRANGE(""1EmrnCz2gLVTx5Cbj0e5tfuHPhTtmru8KTGuQvh7STl0/edit#gid=2147150001"",""Whole Data Set!$A$2:$NQ$253""),381,FALSE)"),45.5)</f>
        <v>45.5</v>
      </c>
      <c r="C163" s="63">
        <f t="shared" si="1"/>
        <v>0.182</v>
      </c>
      <c r="D163" s="12">
        <f>IFERROR(__xludf.DUMMYFUNCTION("VLOOKUP(A163,IMPORTRANGE(""1aFCnJY1qhIj8-JckJhDJ18aqmVo17tofpQmOjcYa3u8/edit#gid=948248086"",""Whole Data Set!$A$2:$NG$253""),371,FALSE)"),54.25)</f>
        <v>54.25</v>
      </c>
      <c r="E163" s="13">
        <f t="shared" si="2"/>
        <v>0.217</v>
      </c>
      <c r="F163" s="13">
        <f t="shared" si="3"/>
        <v>-0.035</v>
      </c>
      <c r="G163" s="12">
        <f>IFERROR(__xludf.DUMMYFUNCTION("VLOOKUP(A163,IMPORTRANGE(""1QZ5UxyNCwadreQAXnQ7oCoH982DjIA-QnZdO7ZoqkC0/edit#gid=0"",""2020-2021!$A$2:$O$255""),2,FALSE)"),72.0)</f>
        <v>72</v>
      </c>
      <c r="H163" s="14">
        <f t="shared" si="4"/>
        <v>0.288</v>
      </c>
      <c r="I163" s="15">
        <f t="shared" si="5"/>
        <v>-0.106</v>
      </c>
      <c r="J163" s="16">
        <f>IFERROR(__xludf.DUMMYFUNCTION("VLOOKUP(A163,IMPORTRANGE(""1QZ5UxyNCwadreQAXnQ7oCoH982DjIA-QnZdO7ZoqkC0/edit#gid=0"",""2020-2021!$A$2:$O$251""),4,FALSE)"),45.5)</f>
        <v>45.5</v>
      </c>
      <c r="K163" s="17">
        <f t="shared" si="6"/>
        <v>0.182</v>
      </c>
      <c r="L163" s="17">
        <f t="shared" si="7"/>
        <v>0</v>
      </c>
    </row>
    <row r="164">
      <c r="A164" s="19" t="s">
        <v>83</v>
      </c>
      <c r="B164" s="41">
        <f>IFERROR(__xludf.DUMMYFUNCTION("VLOOKUP(A164,IMPORTRANGE(""1EmrnCz2gLVTx5Cbj0e5tfuHPhTtmru8KTGuQvh7STl0/edit#gid=2147150001"",""Whole Data Set!$A$2:$NQ$253""),381,FALSE)"),85.5)</f>
        <v>85.5</v>
      </c>
      <c r="C164" s="63">
        <f t="shared" si="1"/>
        <v>0.342</v>
      </c>
      <c r="D164" s="12">
        <f>IFERROR(__xludf.DUMMYFUNCTION("VLOOKUP(A164,IMPORTRANGE(""1aFCnJY1qhIj8-JckJhDJ18aqmVo17tofpQmOjcYa3u8/edit#gid=948248086"",""Whole Data Set!$A$2:$NG$253""),371,FALSE)"),44.25)</f>
        <v>44.25</v>
      </c>
      <c r="E164" s="13">
        <f t="shared" si="2"/>
        <v>0.177</v>
      </c>
      <c r="F164" s="13">
        <f t="shared" si="3"/>
        <v>0.165</v>
      </c>
      <c r="G164" s="12">
        <f>IFERROR(__xludf.DUMMYFUNCTION("VLOOKUP(A164,IMPORTRANGE(""1QZ5UxyNCwadreQAXnQ7oCoH982DjIA-QnZdO7ZoqkC0/edit#gid=0"",""2020-2021!$A$2:$O$255""),2,FALSE)"),46.0)</f>
        <v>46</v>
      </c>
      <c r="H164" s="14">
        <f t="shared" si="4"/>
        <v>0.184</v>
      </c>
      <c r="I164" s="15">
        <f t="shared" si="5"/>
        <v>0.158</v>
      </c>
      <c r="J164" s="16">
        <f>IFERROR(__xludf.DUMMYFUNCTION("VLOOKUP(A164,IMPORTRANGE(""1QZ5UxyNCwadreQAXnQ7oCoH982DjIA-QnZdO7ZoqkC0/edit#gid=0"",""2020-2021!$A$2:$O$251""),4,FALSE)"),45.5)</f>
        <v>45.5</v>
      </c>
      <c r="K164" s="17">
        <f t="shared" si="6"/>
        <v>0.182</v>
      </c>
      <c r="L164" s="17">
        <f t="shared" si="7"/>
        <v>0.16</v>
      </c>
    </row>
    <row r="165">
      <c r="A165" s="20" t="s">
        <v>247</v>
      </c>
      <c r="B165" s="41">
        <f>IFERROR(__xludf.DUMMYFUNCTION("VLOOKUP(A165,IMPORTRANGE(""1EmrnCz2gLVTx5Cbj0e5tfuHPhTtmru8KTGuQvh7STl0/edit#gid=2147150001"",""Whole Data Set!$A$2:$NQ$253""),381,FALSE)"),60.75)</f>
        <v>60.75</v>
      </c>
      <c r="C165" s="63">
        <f t="shared" si="1"/>
        <v>0.243</v>
      </c>
      <c r="D165" s="12">
        <f>IFERROR(__xludf.DUMMYFUNCTION("VLOOKUP(A165,IMPORTRANGE(""1aFCnJY1qhIj8-JckJhDJ18aqmVo17tofpQmOjcYa3u8/edit#gid=948248086"",""Whole Data Set!$A$2:$NG$253""),371,FALSE)"),70.25)</f>
        <v>70.25</v>
      </c>
      <c r="E165" s="13">
        <f t="shared" si="2"/>
        <v>0.281</v>
      </c>
      <c r="F165" s="13">
        <f t="shared" si="3"/>
        <v>-0.038</v>
      </c>
      <c r="G165" s="12">
        <f>IFERROR(__xludf.DUMMYFUNCTION("VLOOKUP(A165,IMPORTRANGE(""1QZ5UxyNCwadreQAXnQ7oCoH982DjIA-QnZdO7ZoqkC0/edit#gid=0"",""2020-2021!$A$2:$O$255""),2,FALSE)"),49.25)</f>
        <v>49.25</v>
      </c>
      <c r="H165" s="14">
        <f t="shared" si="4"/>
        <v>0.197</v>
      </c>
      <c r="I165" s="15">
        <f t="shared" si="5"/>
        <v>0.046</v>
      </c>
      <c r="J165" s="16">
        <f>IFERROR(__xludf.DUMMYFUNCTION("VLOOKUP(A165,IMPORTRANGE(""1QZ5UxyNCwadreQAXnQ7oCoH982DjIA-QnZdO7ZoqkC0/edit#gid=0"",""2020-2021!$A$2:$O$251""),4,FALSE)"),23.0)</f>
        <v>23</v>
      </c>
      <c r="K165" s="17">
        <f t="shared" si="6"/>
        <v>0.092</v>
      </c>
      <c r="L165" s="17">
        <f t="shared" si="7"/>
        <v>0.151</v>
      </c>
    </row>
    <row r="166">
      <c r="A166" s="19" t="s">
        <v>84</v>
      </c>
      <c r="B166" s="41">
        <f>IFERROR(__xludf.DUMMYFUNCTION("VLOOKUP(A166,IMPORTRANGE(""1EmrnCz2gLVTx5Cbj0e5tfuHPhTtmru8KTGuQvh7STl0/edit#gid=2147150001"",""Whole Data Set!$A$2:$NQ$253""),381,FALSE)"),99.25)</f>
        <v>99.25</v>
      </c>
      <c r="C166" s="63">
        <f t="shared" si="1"/>
        <v>0.397</v>
      </c>
      <c r="D166" s="12">
        <f>IFERROR(__xludf.DUMMYFUNCTION("VLOOKUP(A166,IMPORTRANGE(""1aFCnJY1qhIj8-JckJhDJ18aqmVo17tofpQmOjcYa3u8/edit#gid=948248086"",""Whole Data Set!$A$2:$NG$253""),371,FALSE)"),88.0)</f>
        <v>88</v>
      </c>
      <c r="E166" s="13">
        <f t="shared" si="2"/>
        <v>0.352</v>
      </c>
      <c r="F166" s="13">
        <f t="shared" si="3"/>
        <v>0.045</v>
      </c>
      <c r="G166" s="12">
        <f>IFERROR(__xludf.DUMMYFUNCTION("VLOOKUP(A166,IMPORTRANGE(""1QZ5UxyNCwadreQAXnQ7oCoH982DjIA-QnZdO7ZoqkC0/edit#gid=0"",""2020-2021!$A$2:$O$255""),2,FALSE)"),95.0)</f>
        <v>95</v>
      </c>
      <c r="H166" s="14">
        <f t="shared" si="4"/>
        <v>0.38</v>
      </c>
      <c r="I166" s="15">
        <f t="shared" si="5"/>
        <v>0.017</v>
      </c>
      <c r="J166" s="16">
        <f>IFERROR(__xludf.DUMMYFUNCTION("VLOOKUP(A166,IMPORTRANGE(""1QZ5UxyNCwadreQAXnQ7oCoH982DjIA-QnZdO7ZoqkC0/edit#gid=0"",""2020-2021!$A$2:$O$251""),4,FALSE)"),96.0)</f>
        <v>96</v>
      </c>
      <c r="K166" s="17">
        <f t="shared" si="6"/>
        <v>0.384</v>
      </c>
      <c r="L166" s="17">
        <f t="shared" si="7"/>
        <v>0.013</v>
      </c>
    </row>
    <row r="167">
      <c r="A167" s="19" t="s">
        <v>192</v>
      </c>
      <c r="B167" s="41">
        <f>IFERROR(__xludf.DUMMYFUNCTION("VLOOKUP(A167,IMPORTRANGE(""1EmrnCz2gLVTx5Cbj0e5tfuHPhTtmru8KTGuQvh7STl0/edit#gid=2147150001"",""Whole Data Set!$A$2:$NQ$253""),381,FALSE)"),56.0)</f>
        <v>56</v>
      </c>
      <c r="C167" s="63">
        <f t="shared" si="1"/>
        <v>0.224</v>
      </c>
      <c r="D167" s="12">
        <f>IFERROR(__xludf.DUMMYFUNCTION("VLOOKUP(A167,IMPORTRANGE(""1aFCnJY1qhIj8-JckJhDJ18aqmVo17tofpQmOjcYa3u8/edit#gid=948248086"",""Whole Data Set!$A$2:$NG$253""),371,FALSE)"),67.5)</f>
        <v>67.5</v>
      </c>
      <c r="E167" s="13">
        <f t="shared" si="2"/>
        <v>0.27</v>
      </c>
      <c r="F167" s="13">
        <f t="shared" si="3"/>
        <v>-0.046</v>
      </c>
      <c r="G167" s="12">
        <f>IFERROR(__xludf.DUMMYFUNCTION("VLOOKUP(A167,IMPORTRANGE(""1QZ5UxyNCwadreQAXnQ7oCoH982DjIA-QnZdO7ZoqkC0/edit#gid=0"",""2020-2021!$A$2:$O$255""),2,FALSE)"),62.75)</f>
        <v>62.75</v>
      </c>
      <c r="H167" s="14">
        <f t="shared" si="4"/>
        <v>0.251</v>
      </c>
      <c r="I167" s="15">
        <f t="shared" si="5"/>
        <v>-0.027</v>
      </c>
      <c r="J167" s="16">
        <f>IFERROR(__xludf.DUMMYFUNCTION("VLOOKUP(A167,IMPORTRANGE(""1QZ5UxyNCwadreQAXnQ7oCoH982DjIA-QnZdO7ZoqkC0/edit#gid=0"",""2020-2021!$A$2:$O$251""),4,FALSE)"),62.0)</f>
        <v>62</v>
      </c>
      <c r="K167" s="17">
        <f t="shared" si="6"/>
        <v>0.248</v>
      </c>
      <c r="L167" s="17">
        <f t="shared" si="7"/>
        <v>-0.024</v>
      </c>
    </row>
    <row r="168">
      <c r="A168" s="19" t="s">
        <v>85</v>
      </c>
      <c r="B168" s="41">
        <f>IFERROR(__xludf.DUMMYFUNCTION("VLOOKUP(A168,IMPORTRANGE(""1EmrnCz2gLVTx5Cbj0e5tfuHPhTtmru8KTGuQvh7STl0/edit#gid=2147150001"",""Whole Data Set!$A$2:$NQ$253""),381,FALSE)"),124.5)</f>
        <v>124.5</v>
      </c>
      <c r="C168" s="63">
        <f t="shared" si="1"/>
        <v>0.498</v>
      </c>
      <c r="D168" s="12">
        <f>IFERROR(__xludf.DUMMYFUNCTION("VLOOKUP(A168,IMPORTRANGE(""1aFCnJY1qhIj8-JckJhDJ18aqmVo17tofpQmOjcYa3u8/edit#gid=948248086"",""Whole Data Set!$A$2:$NG$253""),371,FALSE)"),107.75)</f>
        <v>107.75</v>
      </c>
      <c r="E168" s="13">
        <f t="shared" si="2"/>
        <v>0.431</v>
      </c>
      <c r="F168" s="13">
        <f t="shared" si="3"/>
        <v>0.067</v>
      </c>
      <c r="G168" s="12">
        <f>IFERROR(__xludf.DUMMYFUNCTION("VLOOKUP(A168,IMPORTRANGE(""1QZ5UxyNCwadreQAXnQ7oCoH982DjIA-QnZdO7ZoqkC0/edit#gid=0"",""2020-2021!$A$2:$O$255""),2,FALSE)"),90.5)</f>
        <v>90.5</v>
      </c>
      <c r="H168" s="14">
        <f t="shared" si="4"/>
        <v>0.362</v>
      </c>
      <c r="I168" s="15">
        <f t="shared" si="5"/>
        <v>0.136</v>
      </c>
      <c r="J168" s="16">
        <f>IFERROR(__xludf.DUMMYFUNCTION("VLOOKUP(A168,IMPORTRANGE(""1QZ5UxyNCwadreQAXnQ7oCoH982DjIA-QnZdO7ZoqkC0/edit#gid=0"",""2020-2021!$A$2:$O$251""),4,FALSE)"),110.5)</f>
        <v>110.5</v>
      </c>
      <c r="K168" s="17">
        <f t="shared" si="6"/>
        <v>0.442</v>
      </c>
      <c r="L168" s="17">
        <f t="shared" si="7"/>
        <v>0.056</v>
      </c>
    </row>
    <row r="169">
      <c r="A169" s="19" t="s">
        <v>86</v>
      </c>
      <c r="B169" s="41">
        <f>IFERROR(__xludf.DUMMYFUNCTION("VLOOKUP(A169,IMPORTRANGE(""1EmrnCz2gLVTx5Cbj0e5tfuHPhTtmru8KTGuQvh7STl0/edit#gid=2147150001"",""Whole Data Set!$A$2:$NQ$253""),381,FALSE)"),166.0)</f>
        <v>166</v>
      </c>
      <c r="C169" s="63">
        <f t="shared" si="1"/>
        <v>0.664</v>
      </c>
      <c r="D169" s="12">
        <f>IFERROR(__xludf.DUMMYFUNCTION("VLOOKUP(A169,IMPORTRANGE(""1aFCnJY1qhIj8-JckJhDJ18aqmVo17tofpQmOjcYa3u8/edit#gid=948248086"",""Whole Data Set!$A$2:$NG$253""),371,FALSE)"),146.0)</f>
        <v>146</v>
      </c>
      <c r="E169" s="13">
        <f t="shared" si="2"/>
        <v>0.584</v>
      </c>
      <c r="F169" s="13">
        <f t="shared" si="3"/>
        <v>0.08</v>
      </c>
      <c r="G169" s="12">
        <f>IFERROR(__xludf.DUMMYFUNCTION("VLOOKUP(A169,IMPORTRANGE(""1QZ5UxyNCwadreQAXnQ7oCoH982DjIA-QnZdO7ZoqkC0/edit#gid=0"",""2020-2021!$A$2:$O$255""),2,FALSE)"),127.0)</f>
        <v>127</v>
      </c>
      <c r="H169" s="14">
        <f t="shared" si="4"/>
        <v>0.508</v>
      </c>
      <c r="I169" s="15">
        <f t="shared" si="5"/>
        <v>0.156</v>
      </c>
      <c r="J169" s="16">
        <f>IFERROR(__xludf.DUMMYFUNCTION("VLOOKUP(A169,IMPORTRANGE(""1QZ5UxyNCwadreQAXnQ7oCoH982DjIA-QnZdO7ZoqkC0/edit#gid=0"",""2020-2021!$A$2:$O$251""),4,FALSE)"),141.5)</f>
        <v>141.5</v>
      </c>
      <c r="K169" s="17">
        <f t="shared" si="6"/>
        <v>0.566</v>
      </c>
      <c r="L169" s="17">
        <f t="shared" si="7"/>
        <v>0.098</v>
      </c>
    </row>
    <row r="170">
      <c r="A170" s="19" t="s">
        <v>248</v>
      </c>
      <c r="B170" s="41">
        <f>IFERROR(__xludf.DUMMYFUNCTION("VLOOKUP(A170,IMPORTRANGE(""1EmrnCz2gLVTx5Cbj0e5tfuHPhTtmru8KTGuQvh7STl0/edit#gid=2147150001"",""Whole Data Set!$A$2:$NQ$253""),381,FALSE)"),15.75)</f>
        <v>15.75</v>
      </c>
      <c r="C170" s="63">
        <f t="shared" si="1"/>
        <v>0.063</v>
      </c>
      <c r="D170" s="12">
        <f>IFERROR(__xludf.DUMMYFUNCTION("VLOOKUP(A170,IMPORTRANGE(""1aFCnJY1qhIj8-JckJhDJ18aqmVo17tofpQmOjcYa3u8/edit#gid=948248086"",""Whole Data Set!$A$2:$NG$253""),371,FALSE)"),16.75)</f>
        <v>16.75</v>
      </c>
      <c r="E170" s="13">
        <f t="shared" si="2"/>
        <v>0.067</v>
      </c>
      <c r="F170" s="13">
        <f t="shared" si="3"/>
        <v>-0.004</v>
      </c>
      <c r="G170" s="12">
        <f>IFERROR(__xludf.DUMMYFUNCTION("VLOOKUP(A170,IMPORTRANGE(""1QZ5UxyNCwadreQAXnQ7oCoH982DjIA-QnZdO7ZoqkC0/edit#gid=0"",""2020-2021!$A$2:$O$255""),2,FALSE)"),0.75)</f>
        <v>0.75</v>
      </c>
      <c r="H170" s="14">
        <f t="shared" si="4"/>
        <v>0.003</v>
      </c>
      <c r="I170" s="15">
        <f t="shared" si="5"/>
        <v>0.06</v>
      </c>
      <c r="J170" s="16">
        <f>IFERROR(__xludf.DUMMYFUNCTION("VLOOKUP(A170,IMPORTRANGE(""1QZ5UxyNCwadreQAXnQ7oCoH982DjIA-QnZdO7ZoqkC0/edit#gid=0"",""2020-2021!$A$2:$O$251""),4,FALSE)"),8.5)</f>
        <v>8.5</v>
      </c>
      <c r="K170" s="17">
        <f t="shared" si="6"/>
        <v>0.034</v>
      </c>
      <c r="L170" s="17">
        <f t="shared" si="7"/>
        <v>0.029</v>
      </c>
    </row>
    <row r="171">
      <c r="A171" s="19" t="s">
        <v>87</v>
      </c>
      <c r="B171" s="41">
        <f>IFERROR(__xludf.DUMMYFUNCTION("VLOOKUP(A171,IMPORTRANGE(""1EmrnCz2gLVTx5Cbj0e5tfuHPhTtmru8KTGuQvh7STl0/edit#gid=2147150001"",""Whole Data Set!$A$2:$NQ$253""),381,FALSE)"),134.75)</f>
        <v>134.75</v>
      </c>
      <c r="C171" s="63">
        <f t="shared" si="1"/>
        <v>0.539</v>
      </c>
      <c r="D171" s="12">
        <f>IFERROR(__xludf.DUMMYFUNCTION("VLOOKUP(A171,IMPORTRANGE(""1aFCnJY1qhIj8-JckJhDJ18aqmVo17tofpQmOjcYa3u8/edit#gid=948248086"",""Whole Data Set!$A$2:$NG$253""),371,FALSE)"),123.0)</f>
        <v>123</v>
      </c>
      <c r="E171" s="13">
        <f t="shared" si="2"/>
        <v>0.492</v>
      </c>
      <c r="F171" s="13">
        <f t="shared" si="3"/>
        <v>0.047</v>
      </c>
      <c r="G171" s="12">
        <f>IFERROR(__xludf.DUMMYFUNCTION("VLOOKUP(A171,IMPORTRANGE(""1QZ5UxyNCwadreQAXnQ7oCoH982DjIA-QnZdO7ZoqkC0/edit#gid=0"",""2020-2021!$A$2:$O$255""),2,FALSE)"),71.5)</f>
        <v>71.5</v>
      </c>
      <c r="H171" s="14">
        <f t="shared" si="4"/>
        <v>0.286</v>
      </c>
      <c r="I171" s="15">
        <f t="shared" si="5"/>
        <v>0.253</v>
      </c>
      <c r="J171" s="16">
        <f>IFERROR(__xludf.DUMMYFUNCTION("VLOOKUP(A171,IMPORTRANGE(""1QZ5UxyNCwadreQAXnQ7oCoH982DjIA-QnZdO7ZoqkC0/edit#gid=0"",""2020-2021!$A$2:$O$251""),4,FALSE)"),67.5)</f>
        <v>67.5</v>
      </c>
      <c r="K171" s="17">
        <f t="shared" si="6"/>
        <v>0.27</v>
      </c>
      <c r="L171" s="17">
        <f t="shared" si="7"/>
        <v>0.269</v>
      </c>
    </row>
    <row r="172">
      <c r="A172" s="19" t="s">
        <v>62</v>
      </c>
      <c r="B172" s="41">
        <f>IFERROR(__xludf.DUMMYFUNCTION("VLOOKUP(A172,IMPORTRANGE(""1EmrnCz2gLVTx5Cbj0e5tfuHPhTtmru8KTGuQvh7STl0/edit#gid=2147150001"",""Whole Data Set!$A$2:$NQ$253""),381,FALSE)"),3.0)</f>
        <v>3</v>
      </c>
      <c r="C172" s="63">
        <f t="shared" si="1"/>
        <v>0.012</v>
      </c>
      <c r="D172" s="12">
        <f>IFERROR(__xludf.DUMMYFUNCTION("VLOOKUP(A172,IMPORTRANGE(""1aFCnJY1qhIj8-JckJhDJ18aqmVo17tofpQmOjcYa3u8/edit#gid=948248086"",""Whole Data Set!$A$2:$NG$253""),371,FALSE)"),119.0)</f>
        <v>119</v>
      </c>
      <c r="E172" s="13">
        <f t="shared" si="2"/>
        <v>0.476</v>
      </c>
      <c r="F172" s="13">
        <f t="shared" si="3"/>
        <v>-0.464</v>
      </c>
      <c r="G172" s="12">
        <f>IFERROR(__xludf.DUMMYFUNCTION("VLOOKUP(A172,IMPORTRANGE(""1QZ5UxyNCwadreQAXnQ7oCoH982DjIA-QnZdO7ZoqkC0/edit#gid=0"",""2020-2021!$A$2:$O$255""),2,FALSE)"),136.0)</f>
        <v>136</v>
      </c>
      <c r="H172" s="14">
        <f t="shared" si="4"/>
        <v>0.544</v>
      </c>
      <c r="I172" s="15">
        <f t="shared" si="5"/>
        <v>-0.532</v>
      </c>
      <c r="J172" s="16">
        <f>IFERROR(__xludf.DUMMYFUNCTION("VLOOKUP(A172,IMPORTRANGE(""1QZ5UxyNCwadreQAXnQ7oCoH982DjIA-QnZdO7ZoqkC0/edit#gid=0"",""2020-2021!$A$2:$O$251""),4,FALSE)"),173.5)</f>
        <v>173.5</v>
      </c>
      <c r="K172" s="17">
        <f t="shared" si="6"/>
        <v>0.694</v>
      </c>
      <c r="L172" s="17">
        <f t="shared" si="7"/>
        <v>-0.682</v>
      </c>
    </row>
    <row r="173">
      <c r="A173" s="19" t="s">
        <v>249</v>
      </c>
      <c r="B173" s="41">
        <f>IFERROR(__xludf.DUMMYFUNCTION("VLOOKUP(A173,IMPORTRANGE(""1EmrnCz2gLVTx5Cbj0e5tfuHPhTtmru8KTGuQvh7STl0/edit#gid=2147150001"",""Whole Data Set!$A$2:$NQ$253""),381,FALSE)"),53.75)</f>
        <v>53.75</v>
      </c>
      <c r="C173" s="63">
        <f t="shared" si="1"/>
        <v>0.215</v>
      </c>
      <c r="D173" s="12">
        <f>IFERROR(__xludf.DUMMYFUNCTION("VLOOKUP(A173,IMPORTRANGE(""1aFCnJY1qhIj8-JckJhDJ18aqmVo17tofpQmOjcYa3u8/edit#gid=948248086"",""Whole Data Set!$A$2:$NG$253""),371,FALSE)"),42.0)</f>
        <v>42</v>
      </c>
      <c r="E173" s="13">
        <f t="shared" si="2"/>
        <v>0.168</v>
      </c>
      <c r="F173" s="13">
        <f t="shared" si="3"/>
        <v>0.047</v>
      </c>
      <c r="G173" s="12">
        <f>IFERROR(__xludf.DUMMYFUNCTION("VLOOKUP(A173,IMPORTRANGE(""1QZ5UxyNCwadreQAXnQ7oCoH982DjIA-QnZdO7ZoqkC0/edit#gid=0"",""2020-2021!$A$2:$O$255""),2,FALSE)"),48.5)</f>
        <v>48.5</v>
      </c>
      <c r="H173" s="14">
        <f t="shared" si="4"/>
        <v>0.194</v>
      </c>
      <c r="I173" s="15">
        <f t="shared" si="5"/>
        <v>0.021</v>
      </c>
      <c r="J173" s="16">
        <f>IFERROR(__xludf.DUMMYFUNCTION("VLOOKUP(A173,IMPORTRANGE(""1QZ5UxyNCwadreQAXnQ7oCoH982DjIA-QnZdO7ZoqkC0/edit#gid=0"",""2020-2021!$A$2:$O$251""),4,FALSE)"),58.5)</f>
        <v>58.5</v>
      </c>
      <c r="K173" s="17">
        <f t="shared" si="6"/>
        <v>0.234</v>
      </c>
      <c r="L173" s="17">
        <f t="shared" si="7"/>
        <v>-0.019</v>
      </c>
    </row>
    <row r="174">
      <c r="A174" s="20" t="s">
        <v>250</v>
      </c>
      <c r="B174" s="41">
        <f>IFERROR(__xludf.DUMMYFUNCTION("VLOOKUP(A174,IMPORTRANGE(""1EmrnCz2gLVTx5Cbj0e5tfuHPhTtmru8KTGuQvh7STl0/edit#gid=2147150001"",""Whole Data Set!$A$2:$NQ$253""),381,FALSE)"),25.25)</f>
        <v>25.25</v>
      </c>
      <c r="C174" s="63">
        <f t="shared" si="1"/>
        <v>0.101</v>
      </c>
      <c r="D174" s="12">
        <f>IFERROR(__xludf.DUMMYFUNCTION("VLOOKUP(A174,IMPORTRANGE(""1aFCnJY1qhIj8-JckJhDJ18aqmVo17tofpQmOjcYa3u8/edit#gid=948248086"",""Whole Data Set!$A$2:$NG$253""),371,FALSE)"),17.5)</f>
        <v>17.5</v>
      </c>
      <c r="E174" s="13">
        <f t="shared" si="2"/>
        <v>0.07</v>
      </c>
      <c r="F174" s="13">
        <f t="shared" si="3"/>
        <v>0.031</v>
      </c>
      <c r="G174" s="12">
        <f>IFERROR(__xludf.DUMMYFUNCTION("VLOOKUP(A174,IMPORTRANGE(""1QZ5UxyNCwadreQAXnQ7oCoH982DjIA-QnZdO7ZoqkC0/edit#gid=0"",""2020-2021!$A$2:$O$255""),2,FALSE)"),18.25)</f>
        <v>18.25</v>
      </c>
      <c r="H174" s="14">
        <f t="shared" si="4"/>
        <v>0.073</v>
      </c>
      <c r="I174" s="15">
        <f t="shared" si="5"/>
        <v>0.028</v>
      </c>
      <c r="J174" s="16">
        <f>IFERROR(__xludf.DUMMYFUNCTION("VLOOKUP(A174,IMPORTRANGE(""1QZ5UxyNCwadreQAXnQ7oCoH982DjIA-QnZdO7ZoqkC0/edit#gid=0"",""2020-2021!$A$2:$O$251""),4,FALSE)"),31.0)</f>
        <v>31</v>
      </c>
      <c r="K174" s="17">
        <f t="shared" si="6"/>
        <v>0.124</v>
      </c>
      <c r="L174" s="17">
        <f t="shared" si="7"/>
        <v>-0.023</v>
      </c>
    </row>
    <row r="175">
      <c r="A175" s="19" t="s">
        <v>251</v>
      </c>
      <c r="B175" s="41">
        <f>IFERROR(__xludf.DUMMYFUNCTION("VLOOKUP(A175,IMPORTRANGE(""1EmrnCz2gLVTx5Cbj0e5tfuHPhTtmru8KTGuQvh7STl0/edit#gid=2147150001"",""Whole Data Set!$A$2:$NQ$253""),381,FALSE)"),49.5)</f>
        <v>49.5</v>
      </c>
      <c r="C175" s="63">
        <f t="shared" si="1"/>
        <v>0.198</v>
      </c>
      <c r="D175" s="12">
        <f>IFERROR(__xludf.DUMMYFUNCTION("VLOOKUP(A175,IMPORTRANGE(""1aFCnJY1qhIj8-JckJhDJ18aqmVo17tofpQmOjcYa3u8/edit#gid=948248086"",""Whole Data Set!$A$2:$NG$253""),371,FALSE)"),39.5)</f>
        <v>39.5</v>
      </c>
      <c r="E175" s="13">
        <f t="shared" si="2"/>
        <v>0.158</v>
      </c>
      <c r="F175" s="13">
        <f t="shared" si="3"/>
        <v>0.04</v>
      </c>
      <c r="G175" s="12">
        <f>IFERROR(__xludf.DUMMYFUNCTION("VLOOKUP(A175,IMPORTRANGE(""1QZ5UxyNCwadreQAXnQ7oCoH982DjIA-QnZdO7ZoqkC0/edit#gid=0"",""2020-2021!$A$2:$O$255""),2,FALSE)"),38.0)</f>
        <v>38</v>
      </c>
      <c r="H175" s="14">
        <f t="shared" si="4"/>
        <v>0.152</v>
      </c>
      <c r="I175" s="15">
        <f t="shared" si="5"/>
        <v>0.046</v>
      </c>
      <c r="J175" s="16">
        <f>IFERROR(__xludf.DUMMYFUNCTION("VLOOKUP(A175,IMPORTRANGE(""1QZ5UxyNCwadreQAXnQ7oCoH982DjIA-QnZdO7ZoqkC0/edit#gid=0"",""2020-2021!$A$2:$O$251""),4,FALSE)"),48.5)</f>
        <v>48.5</v>
      </c>
      <c r="K175" s="17">
        <f t="shared" si="6"/>
        <v>0.194</v>
      </c>
      <c r="L175" s="17">
        <f t="shared" si="7"/>
        <v>0.004</v>
      </c>
    </row>
    <row r="176">
      <c r="A176" s="19" t="s">
        <v>193</v>
      </c>
      <c r="B176" s="41">
        <f>IFERROR(__xludf.DUMMYFUNCTION("VLOOKUP(A176,IMPORTRANGE(""1EmrnCz2gLVTx5Cbj0e5tfuHPhTtmru8KTGuQvh7STl0/edit#gid=2147150001"",""Whole Data Set!$A$2:$NQ$253""),381,FALSE)"),4.25)</f>
        <v>4.25</v>
      </c>
      <c r="C176" s="63">
        <f t="shared" si="1"/>
        <v>0.017</v>
      </c>
      <c r="D176" s="12">
        <f>IFERROR(__xludf.DUMMYFUNCTION("VLOOKUP(A176,IMPORTRANGE(""1aFCnJY1qhIj8-JckJhDJ18aqmVo17tofpQmOjcYa3u8/edit#gid=948248086"",""Whole Data Set!$A$2:$NG$253""),371,FALSE)"),7.0)</f>
        <v>7</v>
      </c>
      <c r="E176" s="13">
        <f t="shared" si="2"/>
        <v>0.028</v>
      </c>
      <c r="F176" s="13">
        <f t="shared" si="3"/>
        <v>-0.011</v>
      </c>
      <c r="G176" s="12">
        <f>IFERROR(__xludf.DUMMYFUNCTION("VLOOKUP(A176,IMPORTRANGE(""1QZ5UxyNCwadreQAXnQ7oCoH982DjIA-QnZdO7ZoqkC0/edit#gid=0"",""2020-2021!$A$2:$O$255""),2,FALSE)"),5.5)</f>
        <v>5.5</v>
      </c>
      <c r="H176" s="14">
        <f t="shared" si="4"/>
        <v>0.022</v>
      </c>
      <c r="I176" s="15">
        <f t="shared" si="5"/>
        <v>-0.005</v>
      </c>
      <c r="J176" s="16">
        <f>IFERROR(__xludf.DUMMYFUNCTION("VLOOKUP(A176,IMPORTRANGE(""1QZ5UxyNCwadreQAXnQ7oCoH982DjIA-QnZdO7ZoqkC0/edit#gid=0"",""2020-2021!$A$2:$O$251""),4,FALSE)"),5.5)</f>
        <v>5.5</v>
      </c>
      <c r="K176" s="17">
        <f t="shared" si="6"/>
        <v>0.022</v>
      </c>
      <c r="L176" s="17">
        <f t="shared" si="7"/>
        <v>-0.005</v>
      </c>
    </row>
    <row r="177">
      <c r="A177" s="19" t="s">
        <v>194</v>
      </c>
      <c r="B177" s="41">
        <f>IFERROR(__xludf.DUMMYFUNCTION("VLOOKUP(A177,IMPORTRANGE(""1EmrnCz2gLVTx5Cbj0e5tfuHPhTtmru8KTGuQvh7STl0/edit#gid=2147150001"",""Whole Data Set!$A$2:$NQ$253""),381,FALSE)"),78.75)</f>
        <v>78.75</v>
      </c>
      <c r="C177" s="63">
        <f t="shared" si="1"/>
        <v>0.315</v>
      </c>
      <c r="D177" s="12">
        <f>IFERROR(__xludf.DUMMYFUNCTION("VLOOKUP(A177,IMPORTRANGE(""1aFCnJY1qhIj8-JckJhDJ18aqmVo17tofpQmOjcYa3u8/edit#gid=948248086"",""Whole Data Set!$A$2:$NG$253""),371,FALSE)"),67.25)</f>
        <v>67.25</v>
      </c>
      <c r="E177" s="13">
        <f t="shared" si="2"/>
        <v>0.269</v>
      </c>
      <c r="F177" s="13">
        <f t="shared" si="3"/>
        <v>0.046</v>
      </c>
      <c r="G177" s="12">
        <f>IFERROR(__xludf.DUMMYFUNCTION("VLOOKUP(A177,IMPORTRANGE(""1QZ5UxyNCwadreQAXnQ7oCoH982DjIA-QnZdO7ZoqkC0/edit#gid=0"",""2020-2021!$A$2:$O$255""),2,FALSE)"),55.0)</f>
        <v>55</v>
      </c>
      <c r="H177" s="14">
        <f t="shared" si="4"/>
        <v>0.22</v>
      </c>
      <c r="I177" s="15">
        <f t="shared" si="5"/>
        <v>0.095</v>
      </c>
      <c r="J177" s="16">
        <f>IFERROR(__xludf.DUMMYFUNCTION("VLOOKUP(A177,IMPORTRANGE(""1QZ5UxyNCwadreQAXnQ7oCoH982DjIA-QnZdO7ZoqkC0/edit#gid=0"",""2020-2021!$A$2:$O$251""),4,FALSE)"),55.5)</f>
        <v>55.5</v>
      </c>
      <c r="K177" s="17">
        <f t="shared" si="6"/>
        <v>0.222</v>
      </c>
      <c r="L177" s="17">
        <f t="shared" si="7"/>
        <v>0.093</v>
      </c>
    </row>
    <row r="178">
      <c r="A178" s="20" t="s">
        <v>44</v>
      </c>
      <c r="B178" s="41">
        <f>IFERROR(__xludf.DUMMYFUNCTION("VLOOKUP(A178,IMPORTRANGE(""1EmrnCz2gLVTx5Cbj0e5tfuHPhTtmru8KTGuQvh7STl0/edit#gid=2147150001"",""Whole Data Set!$A$2:$NQ$253""),381,FALSE)"),15.25)</f>
        <v>15.25</v>
      </c>
      <c r="C178" s="63">
        <f t="shared" si="1"/>
        <v>0.061</v>
      </c>
      <c r="D178" s="12">
        <f>IFERROR(__xludf.DUMMYFUNCTION("VLOOKUP(A178,IMPORTRANGE(""1aFCnJY1qhIj8-JckJhDJ18aqmVo17tofpQmOjcYa3u8/edit#gid=948248086"",""Whole Data Set!$A$2:$NG$253""),371,FALSE)"),16.5)</f>
        <v>16.5</v>
      </c>
      <c r="E178" s="13">
        <f t="shared" si="2"/>
        <v>0.066</v>
      </c>
      <c r="F178" s="13">
        <f t="shared" si="3"/>
        <v>-0.005</v>
      </c>
      <c r="G178" s="12">
        <f>IFERROR(__xludf.DUMMYFUNCTION("VLOOKUP(A178,IMPORTRANGE(""1QZ5UxyNCwadreQAXnQ7oCoH982DjIA-QnZdO7ZoqkC0/edit#gid=0"",""2020-2021!$A$2:$O$255""),2,FALSE)"),15.25)</f>
        <v>15.25</v>
      </c>
      <c r="H178" s="14">
        <f t="shared" si="4"/>
        <v>0.061</v>
      </c>
      <c r="I178" s="15">
        <f t="shared" si="5"/>
        <v>0</v>
      </c>
      <c r="J178" s="16">
        <f>IFERROR(__xludf.DUMMYFUNCTION("VLOOKUP(A178,IMPORTRANGE(""1QZ5UxyNCwadreQAXnQ7oCoH982DjIA-QnZdO7ZoqkC0/edit#gid=0"",""2020-2021!$A$2:$O$251""),4,FALSE)"),21.0)</f>
        <v>21</v>
      </c>
      <c r="K178" s="17">
        <f t="shared" si="6"/>
        <v>0.084</v>
      </c>
      <c r="L178" s="17">
        <f t="shared" si="7"/>
        <v>-0.023</v>
      </c>
    </row>
    <row r="179">
      <c r="A179" s="19" t="s">
        <v>252</v>
      </c>
      <c r="B179" s="41">
        <f>IFERROR(__xludf.DUMMYFUNCTION("VLOOKUP(A179,IMPORTRANGE(""1EmrnCz2gLVTx5Cbj0e5tfuHPhTtmru8KTGuQvh7STl0/edit#gid=2147150001"",""Whole Data Set!$A$2:$NQ$253""),381,FALSE)"),15.75)</f>
        <v>15.75</v>
      </c>
      <c r="C179" s="63">
        <f t="shared" si="1"/>
        <v>0.063</v>
      </c>
      <c r="D179" s="12">
        <f>IFERROR(__xludf.DUMMYFUNCTION("VLOOKUP(A179,IMPORTRANGE(""1aFCnJY1qhIj8-JckJhDJ18aqmVo17tofpQmOjcYa3u8/edit#gid=948248086"",""Whole Data Set!$A$2:$NG$253""),371,FALSE)"),16.75)</f>
        <v>16.75</v>
      </c>
      <c r="E179" s="13">
        <f t="shared" si="2"/>
        <v>0.067</v>
      </c>
      <c r="F179" s="13">
        <f t="shared" si="3"/>
        <v>-0.004</v>
      </c>
      <c r="G179" s="12">
        <f>IFERROR(__xludf.DUMMYFUNCTION("VLOOKUP(A179,IMPORTRANGE(""1QZ5UxyNCwadreQAXnQ7oCoH982DjIA-QnZdO7ZoqkC0/edit#gid=0"",""2020-2021!$A$2:$O$255""),2,FALSE)"),0.75)</f>
        <v>0.75</v>
      </c>
      <c r="H179" s="14">
        <f t="shared" si="4"/>
        <v>0.003</v>
      </c>
      <c r="I179" s="15">
        <f t="shared" si="5"/>
        <v>0.06</v>
      </c>
      <c r="J179" s="16">
        <f>IFERROR(__xludf.DUMMYFUNCTION("VLOOKUP(A179,IMPORTRANGE(""1QZ5UxyNCwadreQAXnQ7oCoH982DjIA-QnZdO7ZoqkC0/edit#gid=0"",""2020-2021!$A$2:$O$251""),4,FALSE)"),8.5)</f>
        <v>8.5</v>
      </c>
      <c r="K179" s="17">
        <f t="shared" si="6"/>
        <v>0.034</v>
      </c>
      <c r="L179" s="17">
        <f t="shared" si="7"/>
        <v>0.029</v>
      </c>
    </row>
    <row r="180">
      <c r="A180" s="20" t="s">
        <v>90</v>
      </c>
      <c r="B180" s="41">
        <f>IFERROR(__xludf.DUMMYFUNCTION("VLOOKUP(A180,IMPORTRANGE(""1EmrnCz2gLVTx5Cbj0e5tfuHPhTtmru8KTGuQvh7STl0/edit#gid=2147150001"",""Whole Data Set!$A$2:$NQ$253""),381,FALSE)"),83.75)</f>
        <v>83.75</v>
      </c>
      <c r="C180" s="63">
        <f t="shared" si="1"/>
        <v>0.335</v>
      </c>
      <c r="D180" s="12">
        <f>IFERROR(__xludf.DUMMYFUNCTION("VLOOKUP(A180,IMPORTRANGE(""1aFCnJY1qhIj8-JckJhDJ18aqmVo17tofpQmOjcYa3u8/edit#gid=948248086"",""Whole Data Set!$A$2:$NG$253""),371,FALSE)"),94.5)</f>
        <v>94.5</v>
      </c>
      <c r="E180" s="13">
        <f t="shared" si="2"/>
        <v>0.378</v>
      </c>
      <c r="F180" s="13">
        <f t="shared" si="3"/>
        <v>-0.043</v>
      </c>
      <c r="G180" s="12">
        <f>IFERROR(__xludf.DUMMYFUNCTION("VLOOKUP(A180,IMPORTRANGE(""1QZ5UxyNCwadreQAXnQ7oCoH982DjIA-QnZdO7ZoqkC0/edit#gid=0"",""2020-2021!$A$2:$O$255""),2,FALSE)"),85.0)</f>
        <v>85</v>
      </c>
      <c r="H180" s="14">
        <f t="shared" si="4"/>
        <v>0.34</v>
      </c>
      <c r="I180" s="15">
        <f t="shared" si="5"/>
        <v>-0.005</v>
      </c>
      <c r="J180" s="16">
        <f>IFERROR(__xludf.DUMMYFUNCTION("VLOOKUP(A180,IMPORTRANGE(""1QZ5UxyNCwadreQAXnQ7oCoH982DjIA-QnZdO7ZoqkC0/edit#gid=0"",""2020-2021!$A$2:$O$251""),4,FALSE)"),90.5)</f>
        <v>90.5</v>
      </c>
      <c r="K180" s="17">
        <f t="shared" si="6"/>
        <v>0.362</v>
      </c>
      <c r="L180" s="17">
        <f t="shared" si="7"/>
        <v>-0.027</v>
      </c>
    </row>
    <row r="181">
      <c r="A181" s="19" t="s">
        <v>91</v>
      </c>
      <c r="B181" s="41">
        <f>IFERROR(__xludf.DUMMYFUNCTION("VLOOKUP(A181,IMPORTRANGE(""1EmrnCz2gLVTx5Cbj0e5tfuHPhTtmru8KTGuQvh7STl0/edit#gid=2147150001"",""Whole Data Set!$A$2:$NQ$253""),381,FALSE)"),106.5)</f>
        <v>106.5</v>
      </c>
      <c r="C181" s="63">
        <f t="shared" si="1"/>
        <v>0.426</v>
      </c>
      <c r="D181" s="12">
        <f>IFERROR(__xludf.DUMMYFUNCTION("VLOOKUP(A181,IMPORTRANGE(""1aFCnJY1qhIj8-JckJhDJ18aqmVo17tofpQmOjcYa3u8/edit#gid=948248086"",""Whole Data Set!$A$2:$NG$253""),371,FALSE)"),67.25)</f>
        <v>67.25</v>
      </c>
      <c r="E181" s="13">
        <f t="shared" si="2"/>
        <v>0.269</v>
      </c>
      <c r="F181" s="13">
        <f t="shared" si="3"/>
        <v>0.157</v>
      </c>
      <c r="G181" s="12">
        <f>IFERROR(__xludf.DUMMYFUNCTION("VLOOKUP(A181,IMPORTRANGE(""1QZ5UxyNCwadreQAXnQ7oCoH982DjIA-QnZdO7ZoqkC0/edit#gid=0"",""2020-2021!$A$2:$O$255""),2,FALSE)"),27.0)</f>
        <v>27</v>
      </c>
      <c r="H181" s="14">
        <f t="shared" si="4"/>
        <v>0.108</v>
      </c>
      <c r="I181" s="15">
        <f t="shared" si="5"/>
        <v>0.318</v>
      </c>
      <c r="J181" s="16">
        <f>IFERROR(__xludf.DUMMYFUNCTION("VLOOKUP(A181,IMPORTRANGE(""1QZ5UxyNCwadreQAXnQ7oCoH982DjIA-QnZdO7ZoqkC0/edit#gid=0"",""2020-2021!$A$2:$O$251""),4,FALSE)"),40.5)</f>
        <v>40.5</v>
      </c>
      <c r="K181" s="17">
        <f t="shared" si="6"/>
        <v>0.162</v>
      </c>
      <c r="L181" s="17">
        <f t="shared" si="7"/>
        <v>0.264</v>
      </c>
    </row>
    <row r="182">
      <c r="A182" s="19" t="s">
        <v>144</v>
      </c>
      <c r="B182" s="41">
        <f>IFERROR(__xludf.DUMMYFUNCTION("VLOOKUP(A182,IMPORTRANGE(""1EmrnCz2gLVTx5Cbj0e5tfuHPhTtmru8KTGuQvh7STl0/edit#gid=2147150001"",""Whole Data Set!$A$2:$NQ$253""),381,FALSE)"),126.5)</f>
        <v>126.5</v>
      </c>
      <c r="C182" s="63">
        <f t="shared" si="1"/>
        <v>0.506</v>
      </c>
      <c r="D182" s="12">
        <f>IFERROR(__xludf.DUMMYFUNCTION("VLOOKUP(A182,IMPORTRANGE(""1aFCnJY1qhIj8-JckJhDJ18aqmVo17tofpQmOjcYa3u8/edit#gid=948248086"",""Whole Data Set!$A$2:$NG$253""),371,FALSE)"),111.25)</f>
        <v>111.25</v>
      </c>
      <c r="E182" s="13">
        <f t="shared" si="2"/>
        <v>0.445</v>
      </c>
      <c r="F182" s="13">
        <f t="shared" si="3"/>
        <v>0.061</v>
      </c>
      <c r="G182" s="12">
        <f>IFERROR(__xludf.DUMMYFUNCTION("VLOOKUP(A182,IMPORTRANGE(""1QZ5UxyNCwadreQAXnQ7oCoH982DjIA-QnZdO7ZoqkC0/edit#gid=0"",""2020-2021!$A$2:$O$255""),2,FALSE)"),120.75)</f>
        <v>120.75</v>
      </c>
      <c r="H182" s="14">
        <f t="shared" si="4"/>
        <v>0.483</v>
      </c>
      <c r="I182" s="15">
        <f t="shared" si="5"/>
        <v>0.023</v>
      </c>
      <c r="J182" s="16">
        <f>IFERROR(__xludf.DUMMYFUNCTION("VLOOKUP(A182,IMPORTRANGE(""1QZ5UxyNCwadreQAXnQ7oCoH982DjIA-QnZdO7ZoqkC0/edit#gid=0"",""2020-2021!$A$2:$O$251""),4,FALSE)"),117.5)</f>
        <v>117.5</v>
      </c>
      <c r="K182" s="17">
        <f t="shared" si="6"/>
        <v>0.47</v>
      </c>
      <c r="L182" s="17">
        <f t="shared" si="7"/>
        <v>0.036</v>
      </c>
    </row>
    <row r="183">
      <c r="A183" s="20" t="s">
        <v>92</v>
      </c>
      <c r="B183" s="41">
        <f>IFERROR(__xludf.DUMMYFUNCTION("VLOOKUP(A183,IMPORTRANGE(""1EmrnCz2gLVTx5Cbj0e5tfuHPhTtmru8KTGuQvh7STl0/edit#gid=2147150001"",""Whole Data Set!$A$2:$NQ$253""),381,FALSE)"),126.25)</f>
        <v>126.25</v>
      </c>
      <c r="C183" s="63">
        <f t="shared" si="1"/>
        <v>0.505</v>
      </c>
      <c r="D183" s="12">
        <f>IFERROR(__xludf.DUMMYFUNCTION("VLOOKUP(A183,IMPORTRANGE(""1aFCnJY1qhIj8-JckJhDJ18aqmVo17tofpQmOjcYa3u8/edit#gid=948248086"",""Whole Data Set!$A$2:$NG$253""),371,FALSE)"),116.5)</f>
        <v>116.5</v>
      </c>
      <c r="E183" s="13">
        <f t="shared" si="2"/>
        <v>0.466</v>
      </c>
      <c r="F183" s="13">
        <f t="shared" si="3"/>
        <v>0.039</v>
      </c>
      <c r="G183" s="12">
        <f>IFERROR(__xludf.DUMMYFUNCTION("VLOOKUP(A183,IMPORTRANGE(""1QZ5UxyNCwadreQAXnQ7oCoH982DjIA-QnZdO7ZoqkC0/edit#gid=0"",""2020-2021!$A$2:$O$255""),2,FALSE)"),107.0)</f>
        <v>107</v>
      </c>
      <c r="H183" s="14">
        <f t="shared" si="4"/>
        <v>0.428</v>
      </c>
      <c r="I183" s="15">
        <f t="shared" si="5"/>
        <v>0.077</v>
      </c>
      <c r="J183" s="16">
        <f>IFERROR(__xludf.DUMMYFUNCTION("VLOOKUP(A183,IMPORTRANGE(""1QZ5UxyNCwadreQAXnQ7oCoH982DjIA-QnZdO7ZoqkC0/edit#gid=0"",""2020-2021!$A$2:$O$251""),4,FALSE)"),117.0)</f>
        <v>117</v>
      </c>
      <c r="K183" s="17">
        <f t="shared" si="6"/>
        <v>0.468</v>
      </c>
      <c r="L183" s="17">
        <f t="shared" si="7"/>
        <v>0.037</v>
      </c>
    </row>
    <row r="184">
      <c r="A184" s="20" t="s">
        <v>93</v>
      </c>
      <c r="B184" s="41">
        <f>IFERROR(__xludf.DUMMYFUNCTION("VLOOKUP(A184,IMPORTRANGE(""1EmrnCz2gLVTx5Cbj0e5tfuHPhTtmru8KTGuQvh7STl0/edit#gid=2147150001"",""Whole Data Set!$A$2:$NQ$253""),381,FALSE)"),23.5)</f>
        <v>23.5</v>
      </c>
      <c r="C184" s="63">
        <f t="shared" si="1"/>
        <v>0.094</v>
      </c>
      <c r="D184" s="12">
        <f>IFERROR(__xludf.DUMMYFUNCTION("VLOOKUP(A184,IMPORTRANGE(""1aFCnJY1qhIj8-JckJhDJ18aqmVo17tofpQmOjcYa3u8/edit#gid=948248086"",""Whole Data Set!$A$2:$NG$253""),371,FALSE)"),21.0)</f>
        <v>21</v>
      </c>
      <c r="E184" s="13">
        <f t="shared" si="2"/>
        <v>0.084</v>
      </c>
      <c r="F184" s="13">
        <f t="shared" si="3"/>
        <v>0.01</v>
      </c>
      <c r="G184" s="12">
        <f>IFERROR(__xludf.DUMMYFUNCTION("VLOOKUP(A184,IMPORTRANGE(""1QZ5UxyNCwadreQAXnQ7oCoH982DjIA-QnZdO7ZoqkC0/edit#gid=0"",""2020-2021!$A$2:$O$255""),2,FALSE)"),33.0)</f>
        <v>33</v>
      </c>
      <c r="H184" s="14">
        <f t="shared" si="4"/>
        <v>0.132</v>
      </c>
      <c r="I184" s="15">
        <f t="shared" si="5"/>
        <v>-0.038</v>
      </c>
      <c r="J184" s="16">
        <f>IFERROR(__xludf.DUMMYFUNCTION("VLOOKUP(A184,IMPORTRANGE(""1QZ5UxyNCwadreQAXnQ7oCoH982DjIA-QnZdO7ZoqkC0/edit#gid=0"",""2020-2021!$A$2:$O$251""),4,FALSE)"),47.5)</f>
        <v>47.5</v>
      </c>
      <c r="K184" s="17">
        <f t="shared" si="6"/>
        <v>0.19</v>
      </c>
      <c r="L184" s="17">
        <f t="shared" si="7"/>
        <v>-0.096</v>
      </c>
    </row>
    <row r="185">
      <c r="A185" s="20" t="s">
        <v>145</v>
      </c>
      <c r="B185" s="41">
        <f>IFERROR(__xludf.DUMMYFUNCTION("VLOOKUP(A185,IMPORTRANGE(""1EmrnCz2gLVTx5Cbj0e5tfuHPhTtmru8KTGuQvh7STl0/edit#gid=2147150001"",""Whole Data Set!$A$2:$NQ$253""),381,FALSE)"),60.0)</f>
        <v>60</v>
      </c>
      <c r="C185" s="63">
        <f t="shared" si="1"/>
        <v>0.24</v>
      </c>
      <c r="D185" s="12">
        <f>IFERROR(__xludf.DUMMYFUNCTION("VLOOKUP(A185,IMPORTRANGE(""1aFCnJY1qhIj8-JckJhDJ18aqmVo17tofpQmOjcYa3u8/edit#gid=948248086"",""Whole Data Set!$A$2:$NG$253""),371,FALSE)"),60.0)</f>
        <v>60</v>
      </c>
      <c r="E185" s="13">
        <f t="shared" si="2"/>
        <v>0.24</v>
      </c>
      <c r="F185" s="13">
        <f t="shared" si="3"/>
        <v>0</v>
      </c>
      <c r="G185" s="12">
        <f>IFERROR(__xludf.DUMMYFUNCTION("VLOOKUP(A185,IMPORTRANGE(""1QZ5UxyNCwadreQAXnQ7oCoH982DjIA-QnZdO7ZoqkC0/edit#gid=0"",""2020-2021!$A$2:$O$255""),2,FALSE)"),63.25)</f>
        <v>63.25</v>
      </c>
      <c r="H185" s="14">
        <f t="shared" si="4"/>
        <v>0.253</v>
      </c>
      <c r="I185" s="15">
        <f t="shared" si="5"/>
        <v>-0.013</v>
      </c>
      <c r="J185" s="16">
        <f>IFERROR(__xludf.DUMMYFUNCTION("VLOOKUP(A185,IMPORTRANGE(""1QZ5UxyNCwadreQAXnQ7oCoH982DjIA-QnZdO7ZoqkC0/edit#gid=0"",""2020-2021!$A$2:$O$251""),4,FALSE)"),51.5)</f>
        <v>51.5</v>
      </c>
      <c r="K185" s="17">
        <f t="shared" si="6"/>
        <v>0.206</v>
      </c>
      <c r="L185" s="17">
        <f t="shared" si="7"/>
        <v>0.034</v>
      </c>
    </row>
    <row r="186">
      <c r="A186" s="19" t="s">
        <v>146</v>
      </c>
      <c r="B186" s="41">
        <f>IFERROR(__xludf.DUMMYFUNCTION("VLOOKUP(A186,IMPORTRANGE(""1EmrnCz2gLVTx5Cbj0e5tfuHPhTtmru8KTGuQvh7STl0/edit#gid=2147150001"",""Whole Data Set!$A$2:$NQ$253""),381,FALSE)"),54.25)</f>
        <v>54.25</v>
      </c>
      <c r="C186" s="63">
        <f t="shared" si="1"/>
        <v>0.217</v>
      </c>
      <c r="D186" s="12">
        <f>IFERROR(__xludf.DUMMYFUNCTION("VLOOKUP(A186,IMPORTRANGE(""1aFCnJY1qhIj8-JckJhDJ18aqmVo17tofpQmOjcYa3u8/edit#gid=948248086"",""Whole Data Set!$A$2:$NG$253""),371,FALSE)"),20.5)</f>
        <v>20.5</v>
      </c>
      <c r="E186" s="13">
        <f t="shared" si="2"/>
        <v>0.082</v>
      </c>
      <c r="F186" s="13">
        <f t="shared" si="3"/>
        <v>0.135</v>
      </c>
      <c r="G186" s="12">
        <f>IFERROR(__xludf.DUMMYFUNCTION("VLOOKUP(A186,IMPORTRANGE(""1QZ5UxyNCwadreQAXnQ7oCoH982DjIA-QnZdO7ZoqkC0/edit#gid=0"",""2020-2021!$A$2:$O$255""),2,FALSE)"),22.0)</f>
        <v>22</v>
      </c>
      <c r="H186" s="14">
        <f t="shared" si="4"/>
        <v>0.088</v>
      </c>
      <c r="I186" s="15">
        <f t="shared" si="5"/>
        <v>0.129</v>
      </c>
      <c r="J186" s="16">
        <f>IFERROR(__xludf.DUMMYFUNCTION("VLOOKUP(A186,IMPORTRANGE(""1QZ5UxyNCwadreQAXnQ7oCoH982DjIA-QnZdO7ZoqkC0/edit#gid=0"",""2020-2021!$A$2:$O$251""),4,FALSE)"),28.5)</f>
        <v>28.5</v>
      </c>
      <c r="K186" s="17">
        <f t="shared" si="6"/>
        <v>0.114</v>
      </c>
      <c r="L186" s="17">
        <f t="shared" si="7"/>
        <v>0.103</v>
      </c>
    </row>
    <row r="187">
      <c r="A187" s="19" t="s">
        <v>195</v>
      </c>
      <c r="B187" s="41">
        <f>IFERROR(__xludf.DUMMYFUNCTION("VLOOKUP(A187,IMPORTRANGE(""1EmrnCz2gLVTx5Cbj0e5tfuHPhTtmru8KTGuQvh7STl0/edit#gid=2147150001"",""Whole Data Set!$A$2:$NQ$253""),381,FALSE)"),16.25)</f>
        <v>16.25</v>
      </c>
      <c r="C187" s="63">
        <f t="shared" si="1"/>
        <v>0.065</v>
      </c>
      <c r="D187" s="12">
        <f>IFERROR(__xludf.DUMMYFUNCTION("VLOOKUP(A187,IMPORTRANGE(""1aFCnJY1qhIj8-JckJhDJ18aqmVo17tofpQmOjcYa3u8/edit#gid=948248086"",""Whole Data Set!$A$2:$NG$253""),371,FALSE)"),16.0)</f>
        <v>16</v>
      </c>
      <c r="E187" s="13">
        <f t="shared" si="2"/>
        <v>0.064</v>
      </c>
      <c r="F187" s="13">
        <f t="shared" si="3"/>
        <v>0.001</v>
      </c>
      <c r="G187" s="12">
        <f>IFERROR(__xludf.DUMMYFUNCTION("VLOOKUP(A187,IMPORTRANGE(""1QZ5UxyNCwadreQAXnQ7oCoH982DjIA-QnZdO7ZoqkC0/edit#gid=0"",""2020-2021!$A$2:$O$255""),2,FALSE)"),20.25)</f>
        <v>20.25</v>
      </c>
      <c r="H187" s="14">
        <f t="shared" si="4"/>
        <v>0.081</v>
      </c>
      <c r="I187" s="15">
        <f t="shared" si="5"/>
        <v>-0.016</v>
      </c>
      <c r="J187" s="16">
        <f>IFERROR(__xludf.DUMMYFUNCTION("VLOOKUP(A187,IMPORTRANGE(""1QZ5UxyNCwadreQAXnQ7oCoH982DjIA-QnZdO7ZoqkC0/edit#gid=0"",""2020-2021!$A$2:$O$251""),4,FALSE)"),20.5)</f>
        <v>20.5</v>
      </c>
      <c r="K187" s="17">
        <f t="shared" si="6"/>
        <v>0.082</v>
      </c>
      <c r="L187" s="17">
        <f t="shared" si="7"/>
        <v>-0.017</v>
      </c>
    </row>
    <row r="188">
      <c r="A188" s="19" t="s">
        <v>196</v>
      </c>
      <c r="B188" s="41">
        <f>IFERROR(__xludf.DUMMYFUNCTION("VLOOKUP(A188,IMPORTRANGE(""1EmrnCz2gLVTx5Cbj0e5tfuHPhTtmru8KTGuQvh7STl0/edit#gid=2147150001"",""Whole Data Set!$A$2:$NQ$253""),381,FALSE)"),117.75)</f>
        <v>117.75</v>
      </c>
      <c r="C188" s="63">
        <f t="shared" si="1"/>
        <v>0.471</v>
      </c>
      <c r="D188" s="12">
        <f>IFERROR(__xludf.DUMMYFUNCTION("VLOOKUP(A188,IMPORTRANGE(""1aFCnJY1qhIj8-JckJhDJ18aqmVo17tofpQmOjcYa3u8/edit#gid=948248086"",""Whole Data Set!$A$2:$NG$253""),371,FALSE)"),112.5)</f>
        <v>112.5</v>
      </c>
      <c r="E188" s="13">
        <f t="shared" si="2"/>
        <v>0.45</v>
      </c>
      <c r="F188" s="13">
        <f t="shared" si="3"/>
        <v>0.021</v>
      </c>
      <c r="G188" s="12">
        <f>IFERROR(__xludf.DUMMYFUNCTION("VLOOKUP(A188,IMPORTRANGE(""1QZ5UxyNCwadreQAXnQ7oCoH982DjIA-QnZdO7ZoqkC0/edit#gid=0"",""2020-2021!$A$2:$O$255""),2,FALSE)"),131.25)</f>
        <v>131.25</v>
      </c>
      <c r="H188" s="14">
        <f t="shared" si="4"/>
        <v>0.525</v>
      </c>
      <c r="I188" s="15">
        <f t="shared" si="5"/>
        <v>-0.054</v>
      </c>
      <c r="J188" s="16">
        <f>IFERROR(__xludf.DUMMYFUNCTION("VLOOKUP(A188,IMPORTRANGE(""1QZ5UxyNCwadreQAXnQ7oCoH982DjIA-QnZdO7ZoqkC0/edit#gid=0"",""2020-2021!$A$2:$O$251""),4,FALSE)"),84.5)</f>
        <v>84.5</v>
      </c>
      <c r="K188" s="17">
        <f t="shared" si="6"/>
        <v>0.338</v>
      </c>
      <c r="L188" s="17">
        <f t="shared" si="7"/>
        <v>0.133</v>
      </c>
    </row>
    <row r="189">
      <c r="A189" s="19" t="s">
        <v>147</v>
      </c>
      <c r="B189" s="41">
        <f>IFERROR(__xludf.DUMMYFUNCTION("VLOOKUP(A189,IMPORTRANGE(""1EmrnCz2gLVTx5Cbj0e5tfuHPhTtmru8KTGuQvh7STl0/edit#gid=2147150001"",""Whole Data Set!$A$2:$NQ$253""),381,FALSE)"),17.5)</f>
        <v>17.5</v>
      </c>
      <c r="C189" s="63">
        <f t="shared" si="1"/>
        <v>0.07</v>
      </c>
      <c r="D189" s="12">
        <f>IFERROR(__xludf.DUMMYFUNCTION("VLOOKUP(A189,IMPORTRANGE(""1aFCnJY1qhIj8-JckJhDJ18aqmVo17tofpQmOjcYa3u8/edit#gid=948248086"",""Whole Data Set!$A$2:$NG$253""),371,FALSE)"),14.5)</f>
        <v>14.5</v>
      </c>
      <c r="E189" s="13">
        <f t="shared" si="2"/>
        <v>0.058</v>
      </c>
      <c r="F189" s="13">
        <f t="shared" si="3"/>
        <v>0.012</v>
      </c>
      <c r="G189" s="12">
        <f>IFERROR(__xludf.DUMMYFUNCTION("VLOOKUP(A189,IMPORTRANGE(""1QZ5UxyNCwadreQAXnQ7oCoH982DjIA-QnZdO7ZoqkC0/edit#gid=0"",""2020-2021!$A$2:$O$255""),2,FALSE)"),12.25)</f>
        <v>12.25</v>
      </c>
      <c r="H189" s="14">
        <f t="shared" si="4"/>
        <v>0.049</v>
      </c>
      <c r="I189" s="15">
        <f t="shared" si="5"/>
        <v>0.021</v>
      </c>
      <c r="J189" s="16">
        <f>IFERROR(__xludf.DUMMYFUNCTION("VLOOKUP(A189,IMPORTRANGE(""1QZ5UxyNCwadreQAXnQ7oCoH982DjIA-QnZdO7ZoqkC0/edit#gid=0"",""2020-2021!$A$2:$O$251""),4,FALSE)"),15.0)</f>
        <v>15</v>
      </c>
      <c r="K189" s="17">
        <f t="shared" si="6"/>
        <v>0.06</v>
      </c>
      <c r="L189" s="17">
        <f t="shared" si="7"/>
        <v>0.01</v>
      </c>
    </row>
    <row r="190">
      <c r="A190" s="19" t="s">
        <v>197</v>
      </c>
      <c r="B190" s="41">
        <f>IFERROR(__xludf.DUMMYFUNCTION("VLOOKUP(A190,IMPORTRANGE(""1EmrnCz2gLVTx5Cbj0e5tfuHPhTtmru8KTGuQvh7STl0/edit#gid=2147150001"",""Whole Data Set!$A$2:$NQ$253""),381,FALSE)"),32.5)</f>
        <v>32.5</v>
      </c>
      <c r="C190" s="63">
        <f t="shared" si="1"/>
        <v>0.13</v>
      </c>
      <c r="D190" s="12">
        <f>IFERROR(__xludf.DUMMYFUNCTION("VLOOKUP(A190,IMPORTRANGE(""1aFCnJY1qhIj8-JckJhDJ18aqmVo17tofpQmOjcYa3u8/edit#gid=948248086"",""Whole Data Set!$A$2:$NG$253""),371,FALSE)"),35.25)</f>
        <v>35.25</v>
      </c>
      <c r="E190" s="13">
        <f t="shared" si="2"/>
        <v>0.141</v>
      </c>
      <c r="F190" s="13">
        <f t="shared" si="3"/>
        <v>-0.011</v>
      </c>
      <c r="G190" s="12">
        <f>IFERROR(__xludf.DUMMYFUNCTION("VLOOKUP(A190,IMPORTRANGE(""1QZ5UxyNCwadreQAXnQ7oCoH982DjIA-QnZdO7ZoqkC0/edit#gid=0"",""2020-2021!$A$2:$O$255""),2,FALSE)"),33.75)</f>
        <v>33.75</v>
      </c>
      <c r="H190" s="14">
        <f t="shared" si="4"/>
        <v>0.135</v>
      </c>
      <c r="I190" s="15">
        <f t="shared" si="5"/>
        <v>-0.005</v>
      </c>
      <c r="J190" s="16">
        <f>IFERROR(__xludf.DUMMYFUNCTION("VLOOKUP(A190,IMPORTRANGE(""1QZ5UxyNCwadreQAXnQ7oCoH982DjIA-QnZdO7ZoqkC0/edit#gid=0"",""2020-2021!$A$2:$O$251""),4,FALSE)"),24.0)</f>
        <v>24</v>
      </c>
      <c r="K190" s="17">
        <f t="shared" si="6"/>
        <v>0.096</v>
      </c>
      <c r="L190" s="17">
        <f t="shared" si="7"/>
        <v>0.034</v>
      </c>
    </row>
    <row r="191">
      <c r="A191" s="19" t="s">
        <v>148</v>
      </c>
      <c r="B191" s="41">
        <f>IFERROR(__xludf.DUMMYFUNCTION("VLOOKUP(A191,IMPORTRANGE(""1EmrnCz2gLVTx5Cbj0e5tfuHPhTtmru8KTGuQvh7STl0/edit#gid=2147150001"",""Whole Data Set!$A$2:$NQ$253""),381,FALSE)"),124.5)</f>
        <v>124.5</v>
      </c>
      <c r="C191" s="63">
        <f t="shared" si="1"/>
        <v>0.498</v>
      </c>
      <c r="D191" s="12">
        <f>IFERROR(__xludf.DUMMYFUNCTION("VLOOKUP(A191,IMPORTRANGE(""1aFCnJY1qhIj8-JckJhDJ18aqmVo17tofpQmOjcYa3u8/edit#gid=948248086"",""Whole Data Set!$A$2:$NG$253""),371,FALSE)"),107.75)</f>
        <v>107.75</v>
      </c>
      <c r="E191" s="13">
        <f t="shared" si="2"/>
        <v>0.431</v>
      </c>
      <c r="F191" s="13">
        <f t="shared" si="3"/>
        <v>0.067</v>
      </c>
      <c r="G191" s="12">
        <f>IFERROR(__xludf.DUMMYFUNCTION("VLOOKUP(A191,IMPORTRANGE(""1QZ5UxyNCwadreQAXnQ7oCoH982DjIA-QnZdO7ZoqkC0/edit#gid=0"",""2020-2021!$A$2:$O$255""),2,FALSE)"),89.5)</f>
        <v>89.5</v>
      </c>
      <c r="H191" s="14">
        <f t="shared" si="4"/>
        <v>0.358</v>
      </c>
      <c r="I191" s="15">
        <f t="shared" si="5"/>
        <v>0.14</v>
      </c>
      <c r="J191" s="16">
        <f>IFERROR(__xludf.DUMMYFUNCTION("VLOOKUP(A191,IMPORTRANGE(""1QZ5UxyNCwadreQAXnQ7oCoH982DjIA-QnZdO7ZoqkC0/edit#gid=0"",""2020-2021!$A$2:$O$251""),4,FALSE)"),110.5)</f>
        <v>110.5</v>
      </c>
      <c r="K191" s="17">
        <f t="shared" si="6"/>
        <v>0.442</v>
      </c>
      <c r="L191" s="17">
        <f t="shared" si="7"/>
        <v>0.056</v>
      </c>
    </row>
    <row r="192">
      <c r="A192" s="19" t="s">
        <v>149</v>
      </c>
      <c r="B192" s="41">
        <f>IFERROR(__xludf.DUMMYFUNCTION("VLOOKUP(A192,IMPORTRANGE(""1EmrnCz2gLVTx5Cbj0e5tfuHPhTtmru8KTGuQvh7STl0/edit#gid=2147150001"",""Whole Data Set!$A$2:$NQ$253""),381,FALSE)"),121.5)</f>
        <v>121.5</v>
      </c>
      <c r="C192" s="63">
        <f t="shared" si="1"/>
        <v>0.486</v>
      </c>
      <c r="D192" s="12">
        <f>IFERROR(__xludf.DUMMYFUNCTION("VLOOKUP(A192,IMPORTRANGE(""1aFCnJY1qhIj8-JckJhDJ18aqmVo17tofpQmOjcYa3u8/edit#gid=948248086"",""Whole Data Set!$A$2:$NG$253""),371,FALSE)"),99.0)</f>
        <v>99</v>
      </c>
      <c r="E192" s="13">
        <f t="shared" si="2"/>
        <v>0.396</v>
      </c>
      <c r="F192" s="13">
        <f t="shared" si="3"/>
        <v>0.09</v>
      </c>
      <c r="G192" s="12">
        <f>IFERROR(__xludf.DUMMYFUNCTION("VLOOKUP(A192,IMPORTRANGE(""1QZ5UxyNCwadreQAXnQ7oCoH982DjIA-QnZdO7ZoqkC0/edit#gid=0"",""2020-2021!$A$2:$O$255""),2,FALSE)"),79.25)</f>
        <v>79.25</v>
      </c>
      <c r="H192" s="14">
        <f t="shared" si="4"/>
        <v>0.317</v>
      </c>
      <c r="I192" s="15">
        <f t="shared" si="5"/>
        <v>0.169</v>
      </c>
      <c r="J192" s="16">
        <f>IFERROR(__xludf.DUMMYFUNCTION("VLOOKUP(A192,IMPORTRANGE(""1QZ5UxyNCwadreQAXnQ7oCoH982DjIA-QnZdO7ZoqkC0/edit#gid=0"",""2020-2021!$A$2:$O$251""),4,FALSE)"),50.5)</f>
        <v>50.5</v>
      </c>
      <c r="K192" s="17">
        <f t="shared" si="6"/>
        <v>0.202</v>
      </c>
      <c r="L192" s="17">
        <f t="shared" si="7"/>
        <v>0.284</v>
      </c>
    </row>
    <row r="193">
      <c r="A193" s="19" t="s">
        <v>150</v>
      </c>
      <c r="B193" s="41">
        <f>IFERROR(__xludf.DUMMYFUNCTION("VLOOKUP(A193,IMPORTRANGE(""1EmrnCz2gLVTx5Cbj0e5tfuHPhTtmru8KTGuQvh7STl0/edit#gid=2147150001"",""Whole Data Set!$A$2:$NQ$253""),381,FALSE)"),17.75)</f>
        <v>17.75</v>
      </c>
      <c r="C193" s="63">
        <f t="shared" si="1"/>
        <v>0.071</v>
      </c>
      <c r="D193" s="12">
        <f>IFERROR(__xludf.DUMMYFUNCTION("VLOOKUP(A193,IMPORTRANGE(""1aFCnJY1qhIj8-JckJhDJ18aqmVo17tofpQmOjcYa3u8/edit#gid=948248086"",""Whole Data Set!$A$2:$NG$253""),371,FALSE)"),21.25)</f>
        <v>21.25</v>
      </c>
      <c r="E193" s="13">
        <f t="shared" si="2"/>
        <v>0.085</v>
      </c>
      <c r="F193" s="13">
        <f t="shared" si="3"/>
        <v>-0.014</v>
      </c>
      <c r="G193" s="12">
        <f>IFERROR(__xludf.DUMMYFUNCTION("VLOOKUP(A193,IMPORTRANGE(""1QZ5UxyNCwadreQAXnQ7oCoH982DjIA-QnZdO7ZoqkC0/edit#gid=0"",""2020-2021!$A$2:$O$255""),2,FALSE)"),29.25)</f>
        <v>29.25</v>
      </c>
      <c r="H193" s="14">
        <f t="shared" si="4"/>
        <v>0.117</v>
      </c>
      <c r="I193" s="15">
        <f t="shared" si="5"/>
        <v>-0.046</v>
      </c>
      <c r="J193" s="16">
        <f>IFERROR(__xludf.DUMMYFUNCTION("VLOOKUP(A193,IMPORTRANGE(""1QZ5UxyNCwadreQAXnQ7oCoH982DjIA-QnZdO7ZoqkC0/edit#gid=0"",""2020-2021!$A$2:$O$251""),4,FALSE)"),29.0)</f>
        <v>29</v>
      </c>
      <c r="K193" s="17">
        <f t="shared" si="6"/>
        <v>0.116</v>
      </c>
      <c r="L193" s="17">
        <f t="shared" si="7"/>
        <v>-0.045</v>
      </c>
    </row>
    <row r="194">
      <c r="A194" s="19" t="s">
        <v>81</v>
      </c>
      <c r="B194" s="41">
        <f>IFERROR(__xludf.DUMMYFUNCTION("VLOOKUP(A194,IMPORTRANGE(""1EmrnCz2gLVTx5Cbj0e5tfuHPhTtmru8KTGuQvh7STl0/edit#gid=2147150001"",""Whole Data Set!$A$2:$NQ$253""),381,FALSE)"),93.0)</f>
        <v>93</v>
      </c>
      <c r="C194" s="63">
        <f t="shared" si="1"/>
        <v>0.372</v>
      </c>
      <c r="D194" s="12">
        <f>IFERROR(__xludf.DUMMYFUNCTION("VLOOKUP(A194,IMPORTRANGE(""1aFCnJY1qhIj8-JckJhDJ18aqmVo17tofpQmOjcYa3u8/edit#gid=948248086"",""Whole Data Set!$A$2:$NG$253""),371,FALSE)"),90.0)</f>
        <v>90</v>
      </c>
      <c r="E194" s="13">
        <f t="shared" si="2"/>
        <v>0.36</v>
      </c>
      <c r="F194" s="13">
        <f t="shared" si="3"/>
        <v>0.012</v>
      </c>
      <c r="G194" s="12">
        <f>IFERROR(__xludf.DUMMYFUNCTION("VLOOKUP(A194,IMPORTRANGE(""1QZ5UxyNCwadreQAXnQ7oCoH982DjIA-QnZdO7ZoqkC0/edit#gid=0"",""2020-2021!$A$2:$O$255""),2,FALSE)"),105.25)</f>
        <v>105.25</v>
      </c>
      <c r="H194" s="14">
        <f t="shared" si="4"/>
        <v>0.421</v>
      </c>
      <c r="I194" s="15">
        <f t="shared" si="5"/>
        <v>-0.049</v>
      </c>
      <c r="J194" s="16">
        <f>IFERROR(__xludf.DUMMYFUNCTION("VLOOKUP(A194,IMPORTRANGE(""1QZ5UxyNCwadreQAXnQ7oCoH982DjIA-QnZdO7ZoqkC0/edit#gid=0"",""2020-2021!$A$2:$O$251""),4,FALSE)"),93.5)</f>
        <v>93.5</v>
      </c>
      <c r="K194" s="17">
        <f t="shared" si="6"/>
        <v>0.374</v>
      </c>
      <c r="L194" s="17">
        <f t="shared" si="7"/>
        <v>-0.002</v>
      </c>
    </row>
    <row r="195">
      <c r="A195" s="20" t="s">
        <v>253</v>
      </c>
      <c r="B195" s="41">
        <f>IFERROR(__xludf.DUMMYFUNCTION("VLOOKUP(A195,IMPORTRANGE(""1EmrnCz2gLVTx5Cbj0e5tfuHPhTtmru8KTGuQvh7STl0/edit#gid=2147150001"",""Whole Data Set!$A$2:$NQ$253""),381,FALSE)"),191.0)</f>
        <v>191</v>
      </c>
      <c r="C195" s="63">
        <f t="shared" si="1"/>
        <v>0.764</v>
      </c>
      <c r="D195" s="12">
        <f>IFERROR(__xludf.DUMMYFUNCTION("VLOOKUP(A195,IMPORTRANGE(""1aFCnJY1qhIj8-JckJhDJ18aqmVo17tofpQmOjcYa3u8/edit#gid=948248086"",""Whole Data Set!$A$2:$NG$253""),371,FALSE)"),196.0)</f>
        <v>196</v>
      </c>
      <c r="E195" s="13">
        <f t="shared" si="2"/>
        <v>0.784</v>
      </c>
      <c r="F195" s="13">
        <f t="shared" si="3"/>
        <v>-0.02</v>
      </c>
      <c r="G195" s="12">
        <f>IFERROR(__xludf.DUMMYFUNCTION("VLOOKUP(A195,IMPORTRANGE(""1QZ5UxyNCwadreQAXnQ7oCoH982DjIA-QnZdO7ZoqkC0/edit#gid=0"",""2020-2021!$A$2:$O$255""),2,FALSE)"),139.25)</f>
        <v>139.25</v>
      </c>
      <c r="H195" s="14">
        <f t="shared" si="4"/>
        <v>0.557</v>
      </c>
      <c r="I195" s="15">
        <f t="shared" si="5"/>
        <v>0.207</v>
      </c>
      <c r="J195" s="16">
        <f>IFERROR(__xludf.DUMMYFUNCTION("VLOOKUP(A195,IMPORTRANGE(""1QZ5UxyNCwadreQAXnQ7oCoH982DjIA-QnZdO7ZoqkC0/edit#gid=0"",""2020-2021!$A$2:$O$251""),4,FALSE)"),82.0)</f>
        <v>82</v>
      </c>
      <c r="K195" s="17">
        <f t="shared" si="6"/>
        <v>0.328</v>
      </c>
      <c r="L195" s="17">
        <f t="shared" si="7"/>
        <v>0.436</v>
      </c>
    </row>
    <row r="196">
      <c r="A196" s="19" t="s">
        <v>151</v>
      </c>
      <c r="B196" s="41">
        <f>IFERROR(__xludf.DUMMYFUNCTION("VLOOKUP(A196,IMPORTRANGE(""1EmrnCz2gLVTx5Cbj0e5tfuHPhTtmru8KTGuQvh7STl0/edit#gid=2147150001"",""Whole Data Set!$A$2:$NQ$253""),381,FALSE)"),107.0)</f>
        <v>107</v>
      </c>
      <c r="C196" s="63">
        <f t="shared" si="1"/>
        <v>0.428</v>
      </c>
      <c r="D196" s="12">
        <f>IFERROR(__xludf.DUMMYFUNCTION("VLOOKUP(A196,IMPORTRANGE(""1aFCnJY1qhIj8-JckJhDJ18aqmVo17tofpQmOjcYa3u8/edit#gid=948248086"",""Whole Data Set!$A$2:$NG$253""),371,FALSE)"),111.75)</f>
        <v>111.75</v>
      </c>
      <c r="E196" s="13">
        <f t="shared" si="2"/>
        <v>0.447</v>
      </c>
      <c r="F196" s="13">
        <f t="shared" si="3"/>
        <v>-0.019</v>
      </c>
      <c r="G196" s="12">
        <f>IFERROR(__xludf.DUMMYFUNCTION("VLOOKUP(A196,IMPORTRANGE(""1QZ5UxyNCwadreQAXnQ7oCoH982DjIA-QnZdO7ZoqkC0/edit#gid=0"",""2020-2021!$A$2:$O$255""),2,FALSE)"),133.5)</f>
        <v>133.5</v>
      </c>
      <c r="H196" s="14">
        <f t="shared" si="4"/>
        <v>0.534</v>
      </c>
      <c r="I196" s="15">
        <f t="shared" si="5"/>
        <v>-0.106</v>
      </c>
      <c r="J196" s="16">
        <f>IFERROR(__xludf.DUMMYFUNCTION("VLOOKUP(A196,IMPORTRANGE(""1QZ5UxyNCwadreQAXnQ7oCoH982DjIA-QnZdO7ZoqkC0/edit#gid=0"",""2020-2021!$A$2:$O$251""),4,FALSE)"),121.0)</f>
        <v>121</v>
      </c>
      <c r="K196" s="17">
        <f t="shared" si="6"/>
        <v>0.484</v>
      </c>
      <c r="L196" s="17">
        <f t="shared" si="7"/>
        <v>-0.056</v>
      </c>
    </row>
    <row r="197">
      <c r="A197" s="19" t="s">
        <v>198</v>
      </c>
      <c r="B197" s="41">
        <f>IFERROR(__xludf.DUMMYFUNCTION("VLOOKUP(A197,IMPORTRANGE(""1EmrnCz2gLVTx5Cbj0e5tfuHPhTtmru8KTGuQvh7STl0/edit#gid=2147150001"",""Whole Data Set!$A$2:$NQ$253""),381,FALSE)"),64.5)</f>
        <v>64.5</v>
      </c>
      <c r="C197" s="63">
        <f t="shared" si="1"/>
        <v>0.258</v>
      </c>
      <c r="D197" s="12">
        <f>IFERROR(__xludf.DUMMYFUNCTION("VLOOKUP(A197,IMPORTRANGE(""1aFCnJY1qhIj8-JckJhDJ18aqmVo17tofpQmOjcYa3u8/edit#gid=948248086"",""Whole Data Set!$A$2:$NG$253""),371,FALSE)"),59.25)</f>
        <v>59.25</v>
      </c>
      <c r="E197" s="13">
        <f t="shared" si="2"/>
        <v>0.237</v>
      </c>
      <c r="F197" s="13">
        <f t="shared" si="3"/>
        <v>0.021</v>
      </c>
      <c r="G197" s="12">
        <f>IFERROR(__xludf.DUMMYFUNCTION("VLOOKUP(A197,IMPORTRANGE(""1QZ5UxyNCwadreQAXnQ7oCoH982DjIA-QnZdO7ZoqkC0/edit#gid=0"",""2020-2021!$A$2:$O$255""),2,FALSE)"),53.0)</f>
        <v>53</v>
      </c>
      <c r="H197" s="14">
        <f t="shared" si="4"/>
        <v>0.212</v>
      </c>
      <c r="I197" s="15">
        <f t="shared" si="5"/>
        <v>0.046</v>
      </c>
      <c r="J197" s="16">
        <f>IFERROR(__xludf.DUMMYFUNCTION("VLOOKUP(A197,IMPORTRANGE(""1QZ5UxyNCwadreQAXnQ7oCoH982DjIA-QnZdO7ZoqkC0/edit#gid=0"",""2020-2021!$A$2:$O$251""),4,FALSE)"),58.5)</f>
        <v>58.5</v>
      </c>
      <c r="K197" s="17">
        <f t="shared" si="6"/>
        <v>0.234</v>
      </c>
      <c r="L197" s="17">
        <f t="shared" si="7"/>
        <v>0.024</v>
      </c>
    </row>
    <row r="198">
      <c r="A198" s="19" t="s">
        <v>95</v>
      </c>
      <c r="B198" s="41">
        <f>IFERROR(__xludf.DUMMYFUNCTION("VLOOKUP(A198,IMPORTRANGE(""1EmrnCz2gLVTx5Cbj0e5tfuHPhTtmru8KTGuQvh7STl0/edit#gid=2147150001"",""Whole Data Set!$A$2:$NQ$253""),381,FALSE)"),119.75)</f>
        <v>119.75</v>
      </c>
      <c r="C198" s="63">
        <f t="shared" si="1"/>
        <v>0.479</v>
      </c>
      <c r="D198" s="12">
        <f>IFERROR(__xludf.DUMMYFUNCTION("VLOOKUP(A198,IMPORTRANGE(""1aFCnJY1qhIj8-JckJhDJ18aqmVo17tofpQmOjcYa3u8/edit#gid=948248086"",""Whole Data Set!$A$2:$NG$253""),371,FALSE)"),123.5)</f>
        <v>123.5</v>
      </c>
      <c r="E198" s="13">
        <f t="shared" si="2"/>
        <v>0.494</v>
      </c>
      <c r="F198" s="13">
        <f t="shared" si="3"/>
        <v>-0.015</v>
      </c>
      <c r="G198" s="12">
        <f>IFERROR(__xludf.DUMMYFUNCTION("VLOOKUP(A198,IMPORTRANGE(""1QZ5UxyNCwadreQAXnQ7oCoH982DjIA-QnZdO7ZoqkC0/edit#gid=0"",""2020-2021!$A$2:$O$255""),2,FALSE)"),83.75)</f>
        <v>83.75</v>
      </c>
      <c r="H198" s="14">
        <f t="shared" si="4"/>
        <v>0.335</v>
      </c>
      <c r="I198" s="15">
        <f t="shared" si="5"/>
        <v>0.144</v>
      </c>
      <c r="J198" s="16">
        <f>IFERROR(__xludf.DUMMYFUNCTION("VLOOKUP(A198,IMPORTRANGE(""1QZ5UxyNCwadreQAXnQ7oCoH982DjIA-QnZdO7ZoqkC0/edit#gid=0"",""2020-2021!$A$2:$O$251""),4,FALSE)"),108.5)</f>
        <v>108.5</v>
      </c>
      <c r="K198" s="17">
        <f t="shared" si="6"/>
        <v>0.434</v>
      </c>
      <c r="L198" s="17">
        <f t="shared" si="7"/>
        <v>0.045</v>
      </c>
    </row>
    <row r="199">
      <c r="A199" s="19" t="s">
        <v>199</v>
      </c>
      <c r="B199" s="41">
        <f>IFERROR(__xludf.DUMMYFUNCTION("VLOOKUP(A199,IMPORTRANGE(""1EmrnCz2gLVTx5Cbj0e5tfuHPhTtmru8KTGuQvh7STl0/edit#gid=2147150001"",""Whole Data Set!$A$2:$NQ$253""),381,FALSE)"),156.25)</f>
        <v>156.25</v>
      </c>
      <c r="C199" s="63">
        <f t="shared" si="1"/>
        <v>0.625</v>
      </c>
      <c r="D199" s="12">
        <f>IFERROR(__xludf.DUMMYFUNCTION("VLOOKUP(A199,IMPORTRANGE(""1aFCnJY1qhIj8-JckJhDJ18aqmVo17tofpQmOjcYa3u8/edit#gid=948248086"",""Whole Data Set!$A$2:$NG$253""),371,FALSE)"),134.75)</f>
        <v>134.75</v>
      </c>
      <c r="E199" s="13">
        <f t="shared" si="2"/>
        <v>0.539</v>
      </c>
      <c r="F199" s="13">
        <f t="shared" si="3"/>
        <v>0.086</v>
      </c>
      <c r="G199" s="12">
        <f>IFERROR(__xludf.DUMMYFUNCTION("VLOOKUP(A199,IMPORTRANGE(""1QZ5UxyNCwadreQAXnQ7oCoH982DjIA-QnZdO7ZoqkC0/edit#gid=0"",""2020-2021!$A$2:$O$255""),2,FALSE)"),26.75)</f>
        <v>26.75</v>
      </c>
      <c r="H199" s="14">
        <f t="shared" si="4"/>
        <v>0.107</v>
      </c>
      <c r="I199" s="15">
        <f t="shared" si="5"/>
        <v>0.518</v>
      </c>
      <c r="J199" s="16">
        <f>IFERROR(__xludf.DUMMYFUNCTION("VLOOKUP(A199,IMPORTRANGE(""1QZ5UxyNCwadreQAXnQ7oCoH982DjIA-QnZdO7ZoqkC0/edit#gid=0"",""2020-2021!$A$2:$O$251""),4,FALSE)"),33.0)</f>
        <v>33</v>
      </c>
      <c r="K199" s="17">
        <f t="shared" si="6"/>
        <v>0.132</v>
      </c>
      <c r="L199" s="17">
        <f t="shared" si="7"/>
        <v>0.493</v>
      </c>
    </row>
    <row r="200">
      <c r="A200" s="24" t="s">
        <v>254</v>
      </c>
      <c r="B200" s="41">
        <f>IFERROR(__xludf.DUMMYFUNCTION("VLOOKUP(A200,IMPORTRANGE(""1EmrnCz2gLVTx5Cbj0e5tfuHPhTtmru8KTGuQvh7STl0/edit#gid=2147150001"",""Whole Data Set!$A$2:$NQ$253""),381,FALSE)"),42.25)</f>
        <v>42.25</v>
      </c>
      <c r="C200" s="63">
        <f t="shared" si="1"/>
        <v>0.169</v>
      </c>
      <c r="D200" s="12">
        <f>IFERROR(__xludf.DUMMYFUNCTION("VLOOKUP(A200,IMPORTRANGE(""1aFCnJY1qhIj8-JckJhDJ18aqmVo17tofpQmOjcYa3u8/edit#gid=948248086"",""Whole Data Set!$A$2:$NG$253""),371,FALSE)"),21.75)</f>
        <v>21.75</v>
      </c>
      <c r="E200" s="13">
        <f t="shared" si="2"/>
        <v>0.087</v>
      </c>
      <c r="F200" s="13">
        <f t="shared" si="3"/>
        <v>0.082</v>
      </c>
      <c r="G200" s="12">
        <f>IFERROR(__xludf.DUMMYFUNCTION("VLOOKUP(A200,IMPORTRANGE(""1QZ5UxyNCwadreQAXnQ7oCoH982DjIA-QnZdO7ZoqkC0/edit#gid=0"",""2020-2021!$A$2:$O$255""),2,FALSE)"),23.0)</f>
        <v>23</v>
      </c>
      <c r="H200" s="14">
        <f t="shared" si="4"/>
        <v>0.092</v>
      </c>
      <c r="I200" s="15">
        <f t="shared" si="5"/>
        <v>0.077</v>
      </c>
      <c r="J200" s="16">
        <f>IFERROR(__xludf.DUMMYFUNCTION("VLOOKUP(A200,IMPORTRANGE(""1QZ5UxyNCwadreQAXnQ7oCoH982DjIA-QnZdO7ZoqkC0/edit#gid=0"",""2020-2021!$A$2:$O$251""),4,FALSE)"),22.5)</f>
        <v>22.5</v>
      </c>
      <c r="K200" s="17">
        <f t="shared" si="6"/>
        <v>0.09</v>
      </c>
      <c r="L200" s="17">
        <f t="shared" si="7"/>
        <v>0.079</v>
      </c>
    </row>
    <row r="201">
      <c r="A201" s="20" t="s">
        <v>96</v>
      </c>
      <c r="B201" s="41">
        <f>IFERROR(__xludf.DUMMYFUNCTION("VLOOKUP(A201,IMPORTRANGE(""1EmrnCz2gLVTx5Cbj0e5tfuHPhTtmru8KTGuQvh7STl0/edit#gid=2147150001"",""Whole Data Set!$A$2:$NQ$253""),381,FALSE)"),163.75)</f>
        <v>163.75</v>
      </c>
      <c r="C201" s="63">
        <f t="shared" si="1"/>
        <v>0.655</v>
      </c>
      <c r="D201" s="12">
        <f>IFERROR(__xludf.DUMMYFUNCTION("VLOOKUP(A201,IMPORTRANGE(""1aFCnJY1qhIj8-JckJhDJ18aqmVo17tofpQmOjcYa3u8/edit#gid=948248086"",""Whole Data Set!$A$2:$NG$253""),371,FALSE)"),164.5)</f>
        <v>164.5</v>
      </c>
      <c r="E201" s="13">
        <f t="shared" si="2"/>
        <v>0.658</v>
      </c>
      <c r="F201" s="13">
        <f t="shared" si="3"/>
        <v>-0.003</v>
      </c>
      <c r="G201" s="12">
        <f>IFERROR(__xludf.DUMMYFUNCTION("VLOOKUP(A201,IMPORTRANGE(""1QZ5UxyNCwadreQAXnQ7oCoH982DjIA-QnZdO7ZoqkC0/edit#gid=0"",""2020-2021!$A$2:$O$255""),2,FALSE)"),164.25)</f>
        <v>164.25</v>
      </c>
      <c r="H201" s="14">
        <f t="shared" si="4"/>
        <v>0.657</v>
      </c>
      <c r="I201" s="15">
        <f t="shared" si="5"/>
        <v>-0.002</v>
      </c>
      <c r="J201" s="16">
        <f>IFERROR(__xludf.DUMMYFUNCTION("VLOOKUP(A201,IMPORTRANGE(""1QZ5UxyNCwadreQAXnQ7oCoH982DjIA-QnZdO7ZoqkC0/edit#gid=0"",""2020-2021!$A$2:$O$251""),4,FALSE)"),146.5)</f>
        <v>146.5</v>
      </c>
      <c r="K201" s="17">
        <f t="shared" si="6"/>
        <v>0.586</v>
      </c>
      <c r="L201" s="17">
        <f t="shared" si="7"/>
        <v>0.069</v>
      </c>
    </row>
    <row r="202">
      <c r="A202" s="20" t="s">
        <v>255</v>
      </c>
      <c r="B202" s="41">
        <f>IFERROR(__xludf.DUMMYFUNCTION("VLOOKUP(A202,IMPORTRANGE(""1EmrnCz2gLVTx5Cbj0e5tfuHPhTtmru8KTGuQvh7STl0/edit#gid=2147150001"",""Whole Data Set!$A$2:$NQ$253""),381,FALSE)"),42.75)</f>
        <v>42.75</v>
      </c>
      <c r="C202" s="63">
        <f t="shared" si="1"/>
        <v>0.171</v>
      </c>
      <c r="D202" s="12">
        <f>IFERROR(__xludf.DUMMYFUNCTION("VLOOKUP(A202,IMPORTRANGE(""1aFCnJY1qhIj8-JckJhDJ18aqmVo17tofpQmOjcYa3u8/edit#gid=948248086"",""Whole Data Set!$A$2:$NG$253""),371,FALSE)"),62.5)</f>
        <v>62.5</v>
      </c>
      <c r="E202" s="13">
        <f t="shared" si="2"/>
        <v>0.25</v>
      </c>
      <c r="F202" s="13">
        <f t="shared" si="3"/>
        <v>-0.079</v>
      </c>
      <c r="G202" s="12">
        <f>IFERROR(__xludf.DUMMYFUNCTION("VLOOKUP(A202,IMPORTRANGE(""1QZ5UxyNCwadreQAXnQ7oCoH982DjIA-QnZdO7ZoqkC0/edit#gid=0"",""2020-2021!$A$2:$O$255""),2,FALSE)"),68.0)</f>
        <v>68</v>
      </c>
      <c r="H202" s="14">
        <f t="shared" si="4"/>
        <v>0.272</v>
      </c>
      <c r="I202" s="15">
        <f t="shared" si="5"/>
        <v>-0.101</v>
      </c>
      <c r="J202" s="16">
        <f>IFERROR(__xludf.DUMMYFUNCTION("VLOOKUP(A202,IMPORTRANGE(""1QZ5UxyNCwadreQAXnQ7oCoH982DjIA-QnZdO7ZoqkC0/edit#gid=0"",""2020-2021!$A$2:$O$251""),4,FALSE)"),85.5)</f>
        <v>85.5</v>
      </c>
      <c r="K202" s="17">
        <f t="shared" si="6"/>
        <v>0.342</v>
      </c>
      <c r="L202" s="17">
        <f t="shared" si="7"/>
        <v>-0.171</v>
      </c>
    </row>
    <row r="203">
      <c r="A203" s="19" t="s">
        <v>97</v>
      </c>
      <c r="B203" s="41">
        <f>IFERROR(__xludf.DUMMYFUNCTION("VLOOKUP(A203,IMPORTRANGE(""1EmrnCz2gLVTx5Cbj0e5tfuHPhTtmru8KTGuQvh7STl0/edit#gid=2147150001"",""Whole Data Set!$A$2:$NQ$253""),381,FALSE)"),163.75)</f>
        <v>163.75</v>
      </c>
      <c r="C203" s="63">
        <f t="shared" si="1"/>
        <v>0.655</v>
      </c>
      <c r="D203" s="12">
        <f>IFERROR(__xludf.DUMMYFUNCTION("VLOOKUP(A203,IMPORTRANGE(""1aFCnJY1qhIj8-JckJhDJ18aqmVo17tofpQmOjcYa3u8/edit#gid=948248086"",""Whole Data Set!$A$2:$NG$253""),371,FALSE)"),164.5)</f>
        <v>164.5</v>
      </c>
      <c r="E203" s="13">
        <f t="shared" si="2"/>
        <v>0.658</v>
      </c>
      <c r="F203" s="13">
        <f t="shared" si="3"/>
        <v>-0.003</v>
      </c>
      <c r="G203" s="12">
        <f>IFERROR(__xludf.DUMMYFUNCTION("VLOOKUP(A203,IMPORTRANGE(""1QZ5UxyNCwadreQAXnQ7oCoH982DjIA-QnZdO7ZoqkC0/edit#gid=0"",""2020-2021!$A$2:$O$255""),2,FALSE)"),164.25)</f>
        <v>164.25</v>
      </c>
      <c r="H203" s="14">
        <f t="shared" si="4"/>
        <v>0.657</v>
      </c>
      <c r="I203" s="15">
        <f t="shared" si="5"/>
        <v>-0.002</v>
      </c>
      <c r="J203" s="16">
        <f>IFERROR(__xludf.DUMMYFUNCTION("VLOOKUP(A203,IMPORTRANGE(""1QZ5UxyNCwadreQAXnQ7oCoH982DjIA-QnZdO7ZoqkC0/edit#gid=0"",""2020-2021!$A$2:$O$251""),4,FALSE)"),147.0)</f>
        <v>147</v>
      </c>
      <c r="K203" s="17">
        <f t="shared" si="6"/>
        <v>0.588</v>
      </c>
      <c r="L203" s="17">
        <f t="shared" si="7"/>
        <v>0.067</v>
      </c>
    </row>
    <row r="204">
      <c r="A204" s="19" t="s">
        <v>30</v>
      </c>
      <c r="B204" s="41">
        <f>IFERROR(__xludf.DUMMYFUNCTION("VLOOKUP(A204,IMPORTRANGE(""1EmrnCz2gLVTx5Cbj0e5tfuHPhTtmru8KTGuQvh7STl0/edit#gid=2147150001"",""Whole Data Set!$A$2:$NQ$253""),381,FALSE)"),32.75)</f>
        <v>32.75</v>
      </c>
      <c r="C204" s="63">
        <f t="shared" si="1"/>
        <v>0.131</v>
      </c>
      <c r="D204" s="12">
        <f>IFERROR(__xludf.DUMMYFUNCTION("VLOOKUP(A204,IMPORTRANGE(""1aFCnJY1qhIj8-JckJhDJ18aqmVo17tofpQmOjcYa3u8/edit#gid=948248086"",""Whole Data Set!$A$2:$NG$253""),371,FALSE)"),31.75)</f>
        <v>31.75</v>
      </c>
      <c r="E204" s="13">
        <f t="shared" si="2"/>
        <v>0.127</v>
      </c>
      <c r="F204" s="13">
        <f t="shared" si="3"/>
        <v>0.004</v>
      </c>
      <c r="G204" s="12">
        <f>IFERROR(__xludf.DUMMYFUNCTION("VLOOKUP(A204,IMPORTRANGE(""1QZ5UxyNCwadreQAXnQ7oCoH982DjIA-QnZdO7ZoqkC0/edit#gid=0"",""2020-2021!$A$2:$O$255""),2,FALSE)"),32.5)</f>
        <v>32.5</v>
      </c>
      <c r="H204" s="14">
        <f t="shared" si="4"/>
        <v>0.13</v>
      </c>
      <c r="I204" s="15">
        <f t="shared" si="5"/>
        <v>0.001</v>
      </c>
      <c r="J204" s="16">
        <f>IFERROR(__xludf.DUMMYFUNCTION("VLOOKUP(A204,IMPORTRANGE(""1QZ5UxyNCwadreQAXnQ7oCoH982DjIA-QnZdO7ZoqkC0/edit#gid=0"",""2020-2021!$A$2:$O$251""),4,FALSE)"),38.0)</f>
        <v>38</v>
      </c>
      <c r="K204" s="17">
        <f t="shared" si="6"/>
        <v>0.152</v>
      </c>
      <c r="L204" s="17">
        <f t="shared" si="7"/>
        <v>-0.021</v>
      </c>
    </row>
    <row r="205">
      <c r="A205" s="19" t="s">
        <v>200</v>
      </c>
      <c r="B205" s="41">
        <f>IFERROR(__xludf.DUMMYFUNCTION("VLOOKUP(A205,IMPORTRANGE(""1EmrnCz2gLVTx5Cbj0e5tfuHPhTtmru8KTGuQvh7STl0/edit#gid=2147150001"",""Whole Data Set!$A$2:$NQ$253""),381,FALSE)"),22.25)</f>
        <v>22.25</v>
      </c>
      <c r="C205" s="63">
        <f t="shared" si="1"/>
        <v>0.089</v>
      </c>
      <c r="D205" s="12">
        <f>IFERROR(__xludf.DUMMYFUNCTION("VLOOKUP(A205,IMPORTRANGE(""1aFCnJY1qhIj8-JckJhDJ18aqmVo17tofpQmOjcYa3u8/edit#gid=948248086"",""Whole Data Set!$A$2:$NG$253""),371,FALSE)"),23.75)</f>
        <v>23.75</v>
      </c>
      <c r="E205" s="13">
        <f t="shared" si="2"/>
        <v>0.095</v>
      </c>
      <c r="F205" s="13">
        <f t="shared" si="3"/>
        <v>-0.006</v>
      </c>
      <c r="G205" s="12">
        <f>IFERROR(__xludf.DUMMYFUNCTION("VLOOKUP(A205,IMPORTRANGE(""1QZ5UxyNCwadreQAXnQ7oCoH982DjIA-QnZdO7ZoqkC0/edit#gid=0"",""2020-2021!$A$2:$O$255""),2,FALSE)"),34.0)</f>
        <v>34</v>
      </c>
      <c r="H205" s="14">
        <f t="shared" si="4"/>
        <v>0.136</v>
      </c>
      <c r="I205" s="15">
        <f t="shared" si="5"/>
        <v>-0.047</v>
      </c>
      <c r="J205" s="16">
        <f>IFERROR(__xludf.DUMMYFUNCTION("VLOOKUP(A205,IMPORTRANGE(""1QZ5UxyNCwadreQAXnQ7oCoH982DjIA-QnZdO7ZoqkC0/edit#gid=0"",""2020-2021!$A$2:$O$251""),4,FALSE)"),50.5)</f>
        <v>50.5</v>
      </c>
      <c r="K205" s="17">
        <f t="shared" si="6"/>
        <v>0.202</v>
      </c>
      <c r="L205" s="17">
        <f t="shared" si="7"/>
        <v>-0.113</v>
      </c>
    </row>
    <row r="206">
      <c r="A206" s="19" t="s">
        <v>201</v>
      </c>
      <c r="B206" s="41">
        <f>IFERROR(__xludf.DUMMYFUNCTION("VLOOKUP(A206,IMPORTRANGE(""1EmrnCz2gLVTx5Cbj0e5tfuHPhTtmru8KTGuQvh7STl0/edit#gid=2147150001"",""Whole Data Set!$A$2:$NQ$253""),381,FALSE)"),0.5)</f>
        <v>0.5</v>
      </c>
      <c r="C206" s="63">
        <f t="shared" si="1"/>
        <v>0.002</v>
      </c>
      <c r="D206" s="12">
        <f>IFERROR(__xludf.DUMMYFUNCTION("VLOOKUP(A206,IMPORTRANGE(""1aFCnJY1qhIj8-JckJhDJ18aqmVo17tofpQmOjcYa3u8/edit#gid=948248086"",""Whole Data Set!$A$2:$NG$253""),371,FALSE)"),0.5)</f>
        <v>0.5</v>
      </c>
      <c r="E206" s="13">
        <f t="shared" si="2"/>
        <v>0.002</v>
      </c>
      <c r="F206" s="13">
        <f t="shared" si="3"/>
        <v>0</v>
      </c>
      <c r="G206" s="12">
        <f>IFERROR(__xludf.DUMMYFUNCTION("VLOOKUP(A206,IMPORTRANGE(""1QZ5UxyNCwadreQAXnQ7oCoH982DjIA-QnZdO7ZoqkC0/edit#gid=0"",""2020-2021!$A$2:$O$255""),2,FALSE)"),0.5)</f>
        <v>0.5</v>
      </c>
      <c r="H206" s="14">
        <f t="shared" si="4"/>
        <v>0.002</v>
      </c>
      <c r="I206" s="15">
        <f t="shared" si="5"/>
        <v>0</v>
      </c>
      <c r="J206" s="16">
        <f>IFERROR(__xludf.DUMMYFUNCTION("VLOOKUP(A206,IMPORTRANGE(""1QZ5UxyNCwadreQAXnQ7oCoH982DjIA-QnZdO7ZoqkC0/edit#gid=0"",""2020-2021!$A$2:$O$251""),4,FALSE)"),0.5)</f>
        <v>0.5</v>
      </c>
      <c r="K206" s="17">
        <f t="shared" si="6"/>
        <v>0.002</v>
      </c>
      <c r="L206" s="17">
        <f t="shared" si="7"/>
        <v>0</v>
      </c>
    </row>
    <row r="207">
      <c r="A207" s="19" t="s">
        <v>202</v>
      </c>
      <c r="B207" s="41">
        <f>IFERROR(__xludf.DUMMYFUNCTION("VLOOKUP(A207,IMPORTRANGE(""1EmrnCz2gLVTx5Cbj0e5tfuHPhTtmru8KTGuQvh7STl0/edit#gid=2147150001"",""Whole Data Set!$A$2:$NQ$253""),381,FALSE)"),125.5)</f>
        <v>125.5</v>
      </c>
      <c r="C207" s="63">
        <f t="shared" si="1"/>
        <v>0.502</v>
      </c>
      <c r="D207" s="12">
        <f>IFERROR(__xludf.DUMMYFUNCTION("VLOOKUP(A207,IMPORTRANGE(""1aFCnJY1qhIj8-JckJhDJ18aqmVo17tofpQmOjcYa3u8/edit#gid=948248086"",""Whole Data Set!$A$2:$NG$253""),371,FALSE)"),106.0)</f>
        <v>106</v>
      </c>
      <c r="E207" s="13">
        <f t="shared" si="2"/>
        <v>0.424</v>
      </c>
      <c r="F207" s="13">
        <f t="shared" si="3"/>
        <v>0.078</v>
      </c>
      <c r="G207" s="12">
        <f>IFERROR(__xludf.DUMMYFUNCTION("VLOOKUP(A207,IMPORTRANGE(""1QZ5UxyNCwadreQAXnQ7oCoH982DjIA-QnZdO7ZoqkC0/edit#gid=0"",""2020-2021!$A$2:$O$255""),2,FALSE)"),105.75)</f>
        <v>105.75</v>
      </c>
      <c r="H207" s="14">
        <f t="shared" si="4"/>
        <v>0.423</v>
      </c>
      <c r="I207" s="15">
        <f t="shared" si="5"/>
        <v>0.079</v>
      </c>
      <c r="J207" s="16">
        <f>IFERROR(__xludf.DUMMYFUNCTION("VLOOKUP(A207,IMPORTRANGE(""1QZ5UxyNCwadreQAXnQ7oCoH982DjIA-QnZdO7ZoqkC0/edit#gid=0"",""2020-2021!$A$2:$O$251""),4,FALSE)"),45.0)</f>
        <v>45</v>
      </c>
      <c r="K207" s="17">
        <f t="shared" si="6"/>
        <v>0.18</v>
      </c>
      <c r="L207" s="17">
        <f t="shared" si="7"/>
        <v>0.322</v>
      </c>
    </row>
    <row r="208">
      <c r="A208" s="20" t="s">
        <v>203</v>
      </c>
      <c r="B208" s="41">
        <f>IFERROR(__xludf.DUMMYFUNCTION("VLOOKUP(A208,IMPORTRANGE(""1EmrnCz2gLVTx5Cbj0e5tfuHPhTtmru8KTGuQvh7STl0/edit#gid=2147150001"",""Whole Data Set!$A$2:$NQ$253""),381,FALSE)"),24.0)</f>
        <v>24</v>
      </c>
      <c r="C208" s="63">
        <f t="shared" si="1"/>
        <v>0.096</v>
      </c>
      <c r="D208" s="12">
        <f>IFERROR(__xludf.DUMMYFUNCTION("VLOOKUP(A208,IMPORTRANGE(""1aFCnJY1qhIj8-JckJhDJ18aqmVo17tofpQmOjcYa3u8/edit#gid=948248086"",""Whole Data Set!$A$2:$NG$253""),371,FALSE)"),9.75)</f>
        <v>9.75</v>
      </c>
      <c r="E208" s="13">
        <f t="shared" si="2"/>
        <v>0.039</v>
      </c>
      <c r="F208" s="13">
        <f t="shared" si="3"/>
        <v>0.057</v>
      </c>
      <c r="G208" s="12">
        <f>IFERROR(__xludf.DUMMYFUNCTION("VLOOKUP(A208,IMPORTRANGE(""1QZ5UxyNCwadreQAXnQ7oCoH982DjIA-QnZdO7ZoqkC0/edit#gid=0"",""2020-2021!$A$2:$O$255""),2,FALSE)"),14.0)</f>
        <v>14</v>
      </c>
      <c r="H208" s="14">
        <f t="shared" si="4"/>
        <v>0.056</v>
      </c>
      <c r="I208" s="15">
        <f t="shared" si="5"/>
        <v>0.04</v>
      </c>
      <c r="J208" s="16">
        <f>IFERROR(__xludf.DUMMYFUNCTION("VLOOKUP(A208,IMPORTRANGE(""1QZ5UxyNCwadreQAXnQ7oCoH982DjIA-QnZdO7ZoqkC0/edit#gid=0"",""2020-2021!$A$2:$O$251""),4,FALSE)"),21.0)</f>
        <v>21</v>
      </c>
      <c r="K208" s="17">
        <f t="shared" si="6"/>
        <v>0.084</v>
      </c>
      <c r="L208" s="17">
        <f t="shared" si="7"/>
        <v>0.012</v>
      </c>
    </row>
    <row r="209">
      <c r="A209" s="20" t="s">
        <v>99</v>
      </c>
      <c r="B209" s="41">
        <f>IFERROR(__xludf.DUMMYFUNCTION("VLOOKUP(A209,IMPORTRANGE(""1EmrnCz2gLVTx5Cbj0e5tfuHPhTtmru8KTGuQvh7STl0/edit#gid=2147150001"",""Whole Data Set!$A$2:$NQ$253""),381,FALSE)"),123.75)</f>
        <v>123.75</v>
      </c>
      <c r="C209" s="63">
        <f t="shared" si="1"/>
        <v>0.495</v>
      </c>
      <c r="D209" s="12">
        <f>IFERROR(__xludf.DUMMYFUNCTION("VLOOKUP(A209,IMPORTRANGE(""1aFCnJY1qhIj8-JckJhDJ18aqmVo17tofpQmOjcYa3u8/edit#gid=948248086"",""Whole Data Set!$A$2:$NG$253""),371,FALSE)"),140.75)</f>
        <v>140.75</v>
      </c>
      <c r="E209" s="13">
        <f t="shared" si="2"/>
        <v>0.563</v>
      </c>
      <c r="F209" s="13">
        <f t="shared" si="3"/>
        <v>-0.068</v>
      </c>
      <c r="G209" s="12">
        <f>IFERROR(__xludf.DUMMYFUNCTION("VLOOKUP(A209,IMPORTRANGE(""1QZ5UxyNCwadreQAXnQ7oCoH982DjIA-QnZdO7ZoqkC0/edit#gid=0"",""2020-2021!$A$2:$O$255""),2,FALSE)"),147.5)</f>
        <v>147.5</v>
      </c>
      <c r="H209" s="14">
        <f t="shared" si="4"/>
        <v>0.59</v>
      </c>
      <c r="I209" s="15">
        <f t="shared" si="5"/>
        <v>-0.095</v>
      </c>
      <c r="J209" s="16">
        <f>IFERROR(__xludf.DUMMYFUNCTION("VLOOKUP(A209,IMPORTRANGE(""1QZ5UxyNCwadreQAXnQ7oCoH982DjIA-QnZdO7ZoqkC0/edit#gid=0"",""2020-2021!$A$2:$O$251""),4,FALSE)"),134.5)</f>
        <v>134.5</v>
      </c>
      <c r="K209" s="17">
        <f t="shared" si="6"/>
        <v>0.538</v>
      </c>
      <c r="L209" s="17">
        <f t="shared" si="7"/>
        <v>-0.043</v>
      </c>
    </row>
    <row r="210">
      <c r="A210" s="20" t="s">
        <v>204</v>
      </c>
      <c r="B210" s="41">
        <f>IFERROR(__xludf.DUMMYFUNCTION("VLOOKUP(A210,IMPORTRANGE(""1EmrnCz2gLVTx5Cbj0e5tfuHPhTtmru8KTGuQvh7STl0/edit#gid=2147150001"",""Whole Data Set!$A$2:$NQ$253""),381,FALSE)"),32.75)</f>
        <v>32.75</v>
      </c>
      <c r="C210" s="63">
        <f t="shared" si="1"/>
        <v>0.131</v>
      </c>
      <c r="D210" s="12">
        <f>IFERROR(__xludf.DUMMYFUNCTION("VLOOKUP(A210,IMPORTRANGE(""1aFCnJY1qhIj8-JckJhDJ18aqmVo17tofpQmOjcYa3u8/edit#gid=948248086"",""Whole Data Set!$A$2:$NG$253""),371,FALSE)"),42.75)</f>
        <v>42.75</v>
      </c>
      <c r="E210" s="13">
        <f t="shared" si="2"/>
        <v>0.171</v>
      </c>
      <c r="F210" s="13">
        <f t="shared" si="3"/>
        <v>-0.04</v>
      </c>
      <c r="G210" s="12">
        <f>IFERROR(__xludf.DUMMYFUNCTION("VLOOKUP(A210,IMPORTRANGE(""1QZ5UxyNCwadreQAXnQ7oCoH982DjIA-QnZdO7ZoqkC0/edit#gid=0"",""2020-2021!$A$2:$O$255""),2,FALSE)"),41.0)</f>
        <v>41</v>
      </c>
      <c r="H210" s="14">
        <f t="shared" si="4"/>
        <v>0.164</v>
      </c>
      <c r="I210" s="15">
        <f t="shared" si="5"/>
        <v>-0.033</v>
      </c>
      <c r="J210" s="16">
        <f>IFERROR(__xludf.DUMMYFUNCTION("VLOOKUP(A210,IMPORTRANGE(""1QZ5UxyNCwadreQAXnQ7oCoH982DjIA-QnZdO7ZoqkC0/edit#gid=0"",""2020-2021!$A$2:$O$251""),4,FALSE)"),48.5)</f>
        <v>48.5</v>
      </c>
      <c r="K210" s="17">
        <f t="shared" si="6"/>
        <v>0.194</v>
      </c>
      <c r="L210" s="17">
        <f t="shared" si="7"/>
        <v>-0.063</v>
      </c>
    </row>
    <row r="211">
      <c r="A211" s="19" t="s">
        <v>152</v>
      </c>
      <c r="B211" s="41">
        <f>IFERROR(__xludf.DUMMYFUNCTION("VLOOKUP(A211,IMPORTRANGE(""1EmrnCz2gLVTx5Cbj0e5tfuHPhTtmru8KTGuQvh7STl0/edit#gid=2147150001"",""Whole Data Set!$A$2:$NQ$253""),381,FALSE)"),1.25)</f>
        <v>1.25</v>
      </c>
      <c r="C211" s="63">
        <f t="shared" si="1"/>
        <v>0.005</v>
      </c>
      <c r="D211" s="12">
        <f>IFERROR(__xludf.DUMMYFUNCTION("VLOOKUP(A211,IMPORTRANGE(""1aFCnJY1qhIj8-JckJhDJ18aqmVo17tofpQmOjcYa3u8/edit#gid=948248086"",""Whole Data Set!$A$2:$NG$253""),371,FALSE)"),1.25)</f>
        <v>1.25</v>
      </c>
      <c r="E211" s="13">
        <f t="shared" si="2"/>
        <v>0.005</v>
      </c>
      <c r="F211" s="13">
        <f t="shared" si="3"/>
        <v>0</v>
      </c>
      <c r="G211" s="12">
        <f>IFERROR(__xludf.DUMMYFUNCTION("VLOOKUP(A211,IMPORTRANGE(""1QZ5UxyNCwadreQAXnQ7oCoH982DjIA-QnZdO7ZoqkC0/edit#gid=0"",""2020-2021!$A$2:$O$255""),2,FALSE)"),1.0)</f>
        <v>1</v>
      </c>
      <c r="H211" s="14">
        <f t="shared" si="4"/>
        <v>0.004</v>
      </c>
      <c r="I211" s="15">
        <f t="shared" si="5"/>
        <v>0.001</v>
      </c>
      <c r="J211" s="16">
        <f>IFERROR(__xludf.DUMMYFUNCTION("VLOOKUP(A211,IMPORTRANGE(""1QZ5UxyNCwadreQAXnQ7oCoH982DjIA-QnZdO7ZoqkC0/edit#gid=0"",""2020-2021!$A$2:$O$251""),4,FALSE)"),9.0)</f>
        <v>9</v>
      </c>
      <c r="K211" s="17">
        <f t="shared" si="6"/>
        <v>0.036</v>
      </c>
      <c r="L211" s="17">
        <f t="shared" si="7"/>
        <v>-0.031</v>
      </c>
    </row>
    <row r="212">
      <c r="A212" s="19" t="s">
        <v>49</v>
      </c>
      <c r="B212" s="41">
        <f>IFERROR(__xludf.DUMMYFUNCTION("VLOOKUP(A212,IMPORTRANGE(""1EmrnCz2gLVTx5Cbj0e5tfuHPhTtmru8KTGuQvh7STl0/edit#gid=2147150001"",""Whole Data Set!$A$2:$NQ$253""),381,FALSE)"),18.0)</f>
        <v>18</v>
      </c>
      <c r="C212" s="63">
        <f t="shared" si="1"/>
        <v>0.072</v>
      </c>
      <c r="D212" s="12">
        <f>IFERROR(__xludf.DUMMYFUNCTION("VLOOKUP(A212,IMPORTRANGE(""1aFCnJY1qhIj8-JckJhDJ18aqmVo17tofpQmOjcYa3u8/edit#gid=948248086"",""Whole Data Set!$A$2:$NG$253""),371,FALSE)"),11.75)</f>
        <v>11.75</v>
      </c>
      <c r="E212" s="13">
        <f t="shared" si="2"/>
        <v>0.047</v>
      </c>
      <c r="F212" s="13">
        <f t="shared" si="3"/>
        <v>0.025</v>
      </c>
      <c r="G212" s="12">
        <f>IFERROR(__xludf.DUMMYFUNCTION("VLOOKUP(A212,IMPORTRANGE(""1QZ5UxyNCwadreQAXnQ7oCoH982DjIA-QnZdO7ZoqkC0/edit#gid=0"",""2020-2021!$A$2:$O$255""),2,FALSE)"),14.5)</f>
        <v>14.5</v>
      </c>
      <c r="H212" s="14">
        <f t="shared" si="4"/>
        <v>0.058</v>
      </c>
      <c r="I212" s="15">
        <f t="shared" si="5"/>
        <v>0.014</v>
      </c>
      <c r="J212" s="16">
        <f>IFERROR(__xludf.DUMMYFUNCTION("VLOOKUP(A212,IMPORTRANGE(""1QZ5UxyNCwadreQAXnQ7oCoH982DjIA-QnZdO7ZoqkC0/edit#gid=0"",""2020-2021!$A$2:$O$251""),4,FALSE)"),25.0)</f>
        <v>25</v>
      </c>
      <c r="K212" s="17">
        <f t="shared" si="6"/>
        <v>0.1</v>
      </c>
      <c r="L212" s="17">
        <f t="shared" si="7"/>
        <v>-0.028</v>
      </c>
    </row>
    <row r="213">
      <c r="A213" s="19" t="s">
        <v>256</v>
      </c>
      <c r="B213" s="41">
        <f>IFERROR(__xludf.DUMMYFUNCTION("VLOOKUP(A213,IMPORTRANGE(""1EmrnCz2gLVTx5Cbj0e5tfuHPhTtmru8KTGuQvh7STl0/edit#gid=2147150001"",""Whole Data Set!$A$2:$NQ$253""),381,FALSE)"),18.5)</f>
        <v>18.5</v>
      </c>
      <c r="C213" s="63">
        <f t="shared" si="1"/>
        <v>0.074</v>
      </c>
      <c r="D213" s="12">
        <f>IFERROR(__xludf.DUMMYFUNCTION("VLOOKUP(A213,IMPORTRANGE(""1aFCnJY1qhIj8-JckJhDJ18aqmVo17tofpQmOjcYa3u8/edit#gid=948248086"",""Whole Data Set!$A$2:$NG$253""),371,FALSE)"),10.25)</f>
        <v>10.25</v>
      </c>
      <c r="E213" s="13">
        <f t="shared" si="2"/>
        <v>0.041</v>
      </c>
      <c r="F213" s="13">
        <f t="shared" si="3"/>
        <v>0.033</v>
      </c>
      <c r="G213" s="12">
        <f>IFERROR(__xludf.DUMMYFUNCTION("VLOOKUP(A213,IMPORTRANGE(""1QZ5UxyNCwadreQAXnQ7oCoH982DjIA-QnZdO7ZoqkC0/edit#gid=0"",""2020-2021!$A$2:$O$255""),2,FALSE)"),26.5)</f>
        <v>26.5</v>
      </c>
      <c r="H213" s="14">
        <f t="shared" si="4"/>
        <v>0.106</v>
      </c>
      <c r="I213" s="15">
        <f t="shared" si="5"/>
        <v>-0.032</v>
      </c>
      <c r="J213" s="16">
        <f>IFERROR(__xludf.DUMMYFUNCTION("VLOOKUP(A213,IMPORTRANGE(""1QZ5UxyNCwadreQAXnQ7oCoH982DjIA-QnZdO7ZoqkC0/edit#gid=0"",""2020-2021!$A$2:$O$251""),4,FALSE)"),36.5)</f>
        <v>36.5</v>
      </c>
      <c r="K213" s="17">
        <f t="shared" si="6"/>
        <v>0.146</v>
      </c>
      <c r="L213" s="17">
        <f t="shared" si="7"/>
        <v>-0.072</v>
      </c>
    </row>
    <row r="214">
      <c r="A214" s="19" t="s">
        <v>205</v>
      </c>
      <c r="B214" s="41">
        <f>IFERROR(__xludf.DUMMYFUNCTION("VLOOKUP(A214,IMPORTRANGE(""1EmrnCz2gLVTx5Cbj0e5tfuHPhTtmru8KTGuQvh7STl0/edit#gid=2147150001"",""Whole Data Set!$A$2:$NQ$253""),381,FALSE)"),141.75)</f>
        <v>141.75</v>
      </c>
      <c r="C214" s="63">
        <f t="shared" si="1"/>
        <v>0.567</v>
      </c>
      <c r="D214" s="12">
        <f>IFERROR(__xludf.DUMMYFUNCTION("VLOOKUP(A214,IMPORTRANGE(""1aFCnJY1qhIj8-JckJhDJ18aqmVo17tofpQmOjcYa3u8/edit#gid=948248086"",""Whole Data Set!$A$2:$NG$253""),371,FALSE)"),139.0)</f>
        <v>139</v>
      </c>
      <c r="E214" s="13">
        <f t="shared" si="2"/>
        <v>0.556</v>
      </c>
      <c r="F214" s="13">
        <f t="shared" si="3"/>
        <v>0.011</v>
      </c>
      <c r="G214" s="12">
        <f>IFERROR(__xludf.DUMMYFUNCTION("VLOOKUP(A214,IMPORTRANGE(""1QZ5UxyNCwadreQAXnQ7oCoH982DjIA-QnZdO7ZoqkC0/edit#gid=0"",""2020-2021!$A$2:$O$255""),2,FALSE)"),136.25)</f>
        <v>136.25</v>
      </c>
      <c r="H214" s="14">
        <f t="shared" si="4"/>
        <v>0.545</v>
      </c>
      <c r="I214" s="15">
        <f t="shared" si="5"/>
        <v>0.022</v>
      </c>
      <c r="J214" s="16">
        <f>IFERROR(__xludf.DUMMYFUNCTION("VLOOKUP(A214,IMPORTRANGE(""1QZ5UxyNCwadreQAXnQ7oCoH982DjIA-QnZdO7ZoqkC0/edit#gid=0"",""2020-2021!$A$2:$O$251""),4,FALSE)"),43.5)</f>
        <v>43.5</v>
      </c>
      <c r="K214" s="17">
        <f t="shared" si="6"/>
        <v>0.174</v>
      </c>
      <c r="L214" s="17">
        <f t="shared" si="7"/>
        <v>0.393</v>
      </c>
    </row>
    <row r="215">
      <c r="A215" s="19" t="s">
        <v>101</v>
      </c>
      <c r="B215" s="41">
        <f>IFERROR(__xludf.DUMMYFUNCTION("VLOOKUP(A215,IMPORTRANGE(""1EmrnCz2gLVTx5Cbj0e5tfuHPhTtmru8KTGuQvh7STl0/edit#gid=2147150001"",""Whole Data Set!$A$2:$NQ$253""),381,FALSE)"),69.25)</f>
        <v>69.25</v>
      </c>
      <c r="C215" s="63">
        <f t="shared" si="1"/>
        <v>0.277</v>
      </c>
      <c r="D215" s="12">
        <f>IFERROR(__xludf.DUMMYFUNCTION("VLOOKUP(A215,IMPORTRANGE(""1aFCnJY1qhIj8-JckJhDJ18aqmVo17tofpQmOjcYa3u8/edit#gid=948248086"",""Whole Data Set!$A$2:$NG$253""),371,FALSE)"),54.75)</f>
        <v>54.75</v>
      </c>
      <c r="E215" s="13">
        <f t="shared" si="2"/>
        <v>0.219</v>
      </c>
      <c r="F215" s="13">
        <f t="shared" si="3"/>
        <v>0.058</v>
      </c>
      <c r="G215" s="12">
        <f>IFERROR(__xludf.DUMMYFUNCTION("VLOOKUP(A215,IMPORTRANGE(""1QZ5UxyNCwadreQAXnQ7oCoH982DjIA-QnZdO7ZoqkC0/edit#gid=0"",""2020-2021!$A$2:$O$255""),2,FALSE)"),53.75)</f>
        <v>53.75</v>
      </c>
      <c r="H215" s="14">
        <f t="shared" si="4"/>
        <v>0.215</v>
      </c>
      <c r="I215" s="15">
        <f t="shared" si="5"/>
        <v>0.062</v>
      </c>
      <c r="J215" s="16">
        <f>IFERROR(__xludf.DUMMYFUNCTION("VLOOKUP(A215,IMPORTRANGE(""1QZ5UxyNCwadreQAXnQ7oCoH982DjIA-QnZdO7ZoqkC0/edit#gid=0"",""2020-2021!$A$2:$O$251""),4,FALSE)"),73.0)</f>
        <v>73</v>
      </c>
      <c r="K215" s="17">
        <f t="shared" si="6"/>
        <v>0.292</v>
      </c>
      <c r="L215" s="17">
        <f t="shared" si="7"/>
        <v>-0.015</v>
      </c>
    </row>
    <row r="216">
      <c r="A216" s="19" t="s">
        <v>102</v>
      </c>
      <c r="B216" s="41">
        <f>IFERROR(__xludf.DUMMYFUNCTION("VLOOKUP(A216,IMPORTRANGE(""1EmrnCz2gLVTx5Cbj0e5tfuHPhTtmru8KTGuQvh7STl0/edit#gid=2147150001"",""Whole Data Set!$A$2:$NQ$253""),381,FALSE)"),126.5)</f>
        <v>126.5</v>
      </c>
      <c r="C216" s="63">
        <f t="shared" si="1"/>
        <v>0.506</v>
      </c>
      <c r="D216" s="12">
        <f>IFERROR(__xludf.DUMMYFUNCTION("VLOOKUP(A216,IMPORTRANGE(""1aFCnJY1qhIj8-JckJhDJ18aqmVo17tofpQmOjcYa3u8/edit#gid=948248086"",""Whole Data Set!$A$2:$NG$253""),371,FALSE)"),123.5)</f>
        <v>123.5</v>
      </c>
      <c r="E216" s="13">
        <f t="shared" si="2"/>
        <v>0.494</v>
      </c>
      <c r="F216" s="13">
        <f t="shared" si="3"/>
        <v>0.012</v>
      </c>
      <c r="G216" s="12">
        <f>IFERROR(__xludf.DUMMYFUNCTION("VLOOKUP(A216,IMPORTRANGE(""1QZ5UxyNCwadreQAXnQ7oCoH982DjIA-QnZdO7ZoqkC0/edit#gid=0"",""2020-2021!$A$2:$O$255""),2,FALSE)"),105.25)</f>
        <v>105.25</v>
      </c>
      <c r="H216" s="14">
        <f t="shared" si="4"/>
        <v>0.421</v>
      </c>
      <c r="I216" s="15">
        <f t="shared" si="5"/>
        <v>0.085</v>
      </c>
      <c r="J216" s="16">
        <f>IFERROR(__xludf.DUMMYFUNCTION("VLOOKUP(A216,IMPORTRANGE(""1QZ5UxyNCwadreQAXnQ7oCoH982DjIA-QnZdO7ZoqkC0/edit#gid=0"",""2020-2021!$A$2:$O$251""),4,FALSE)"),99.0)</f>
        <v>99</v>
      </c>
      <c r="K216" s="17">
        <f t="shared" si="6"/>
        <v>0.396</v>
      </c>
      <c r="L216" s="17">
        <f t="shared" si="7"/>
        <v>0.11</v>
      </c>
    </row>
    <row r="217">
      <c r="A217" s="19" t="s">
        <v>257</v>
      </c>
      <c r="B217" s="41">
        <f>IFERROR(__xludf.DUMMYFUNCTION("VLOOKUP(A217,IMPORTRANGE(""1EmrnCz2gLVTx5Cbj0e5tfuHPhTtmru8KTGuQvh7STl0/edit#gid=2147150001"",""Whole Data Set!$A$2:$NQ$253""),381,FALSE)"),41.5)</f>
        <v>41.5</v>
      </c>
      <c r="C217" s="63">
        <f t="shared" si="1"/>
        <v>0.166</v>
      </c>
      <c r="D217" s="12">
        <f>IFERROR(__xludf.DUMMYFUNCTION("VLOOKUP(A217,IMPORTRANGE(""1aFCnJY1qhIj8-JckJhDJ18aqmVo17tofpQmOjcYa3u8/edit#gid=948248086"",""Whole Data Set!$A$2:$NG$253""),371,FALSE)"),23.0)</f>
        <v>23</v>
      </c>
      <c r="E217" s="13">
        <f t="shared" si="2"/>
        <v>0.092</v>
      </c>
      <c r="F217" s="13">
        <f t="shared" si="3"/>
        <v>0.074</v>
      </c>
      <c r="G217" s="12">
        <f>IFERROR(__xludf.DUMMYFUNCTION("VLOOKUP(A217,IMPORTRANGE(""1QZ5UxyNCwadreQAXnQ7oCoH982DjIA-QnZdO7ZoqkC0/edit#gid=0"",""2020-2021!$A$2:$O$255""),2,FALSE)"),21.75)</f>
        <v>21.75</v>
      </c>
      <c r="H217" s="14">
        <f t="shared" si="4"/>
        <v>0.087</v>
      </c>
      <c r="I217" s="15">
        <f t="shared" si="5"/>
        <v>0.079</v>
      </c>
      <c r="J217" s="16">
        <f>IFERROR(__xludf.DUMMYFUNCTION("VLOOKUP(A217,IMPORTRANGE(""1QZ5UxyNCwadreQAXnQ7oCoH982DjIA-QnZdO7ZoqkC0/edit#gid=0"",""2020-2021!$A$2:$O$251""),4,FALSE)"),17.5)</f>
        <v>17.5</v>
      </c>
      <c r="K217" s="17">
        <f t="shared" si="6"/>
        <v>0.07</v>
      </c>
      <c r="L217" s="17">
        <f t="shared" si="7"/>
        <v>0.096</v>
      </c>
    </row>
    <row r="218">
      <c r="A218" s="20" t="s">
        <v>103</v>
      </c>
      <c r="B218" s="41">
        <f>IFERROR(__xludf.DUMMYFUNCTION("VLOOKUP(A218,IMPORTRANGE(""1EmrnCz2gLVTx5Cbj0e5tfuHPhTtmru8KTGuQvh7STl0/edit#gid=2147150001"",""Whole Data Set!$A$2:$NQ$253""),381,FALSE)"),182.5)</f>
        <v>182.5</v>
      </c>
      <c r="C218" s="63">
        <f t="shared" si="1"/>
        <v>0.73</v>
      </c>
      <c r="D218" s="12">
        <f>IFERROR(__xludf.DUMMYFUNCTION("VLOOKUP(A218,IMPORTRANGE(""1aFCnJY1qhIj8-JckJhDJ18aqmVo17tofpQmOjcYa3u8/edit#gid=948248086"",""Whole Data Set!$A$2:$NG$253""),371,FALSE)"),158.0)</f>
        <v>158</v>
      </c>
      <c r="E218" s="13">
        <f t="shared" si="2"/>
        <v>0.632</v>
      </c>
      <c r="F218" s="13">
        <f t="shared" si="3"/>
        <v>0.098</v>
      </c>
      <c r="G218" s="12">
        <f>IFERROR(__xludf.DUMMYFUNCTION("VLOOKUP(A218,IMPORTRANGE(""1QZ5UxyNCwadreQAXnQ7oCoH982DjIA-QnZdO7ZoqkC0/edit#gid=0"",""2020-2021!$A$2:$O$255""),2,FALSE)"),149.25)</f>
        <v>149.25</v>
      </c>
      <c r="H218" s="14">
        <f t="shared" si="4"/>
        <v>0.597</v>
      </c>
      <c r="I218" s="15">
        <f t="shared" si="5"/>
        <v>0.133</v>
      </c>
      <c r="J218" s="16">
        <f>IFERROR(__xludf.DUMMYFUNCTION("VLOOKUP(A218,IMPORTRANGE(""1QZ5UxyNCwadreQAXnQ7oCoH982DjIA-QnZdO7ZoqkC0/edit#gid=0"",""2020-2021!$A$2:$O$251""),4,FALSE)"),136.5)</f>
        <v>136.5</v>
      </c>
      <c r="K218" s="17">
        <f t="shared" si="6"/>
        <v>0.546</v>
      </c>
      <c r="L218" s="17">
        <f t="shared" si="7"/>
        <v>0.184</v>
      </c>
    </row>
    <row r="219">
      <c r="A219" s="20" t="s">
        <v>104</v>
      </c>
      <c r="B219" s="41">
        <f>IFERROR(__xludf.DUMMYFUNCTION("VLOOKUP(A219,IMPORTRANGE(""1EmrnCz2gLVTx5Cbj0e5tfuHPhTtmru8KTGuQvh7STl0/edit#gid=2147150001"",""Whole Data Set!$A$2:$NQ$253""),381,FALSE)"),32.5)</f>
        <v>32.5</v>
      </c>
      <c r="C219" s="63">
        <f t="shared" si="1"/>
        <v>0.13</v>
      </c>
      <c r="D219" s="12">
        <f>IFERROR(__xludf.DUMMYFUNCTION("VLOOKUP(A219,IMPORTRANGE(""1aFCnJY1qhIj8-JckJhDJ18aqmVo17tofpQmOjcYa3u8/edit#gid=948248086"",""Whole Data Set!$A$2:$NG$253""),371,FALSE)"),34.75)</f>
        <v>34.75</v>
      </c>
      <c r="E219" s="13">
        <f t="shared" si="2"/>
        <v>0.139</v>
      </c>
      <c r="F219" s="13">
        <f t="shared" si="3"/>
        <v>-0.009</v>
      </c>
      <c r="G219" s="12">
        <f>IFERROR(__xludf.DUMMYFUNCTION("VLOOKUP(A219,IMPORTRANGE(""1QZ5UxyNCwadreQAXnQ7oCoH982DjIA-QnZdO7ZoqkC0/edit#gid=0"",""2020-2021!$A$2:$O$255""),2,FALSE)"),39.25)</f>
        <v>39.25</v>
      </c>
      <c r="H219" s="14">
        <f t="shared" si="4"/>
        <v>0.157</v>
      </c>
      <c r="I219" s="15">
        <f t="shared" si="5"/>
        <v>-0.027</v>
      </c>
      <c r="J219" s="16">
        <f>IFERROR(__xludf.DUMMYFUNCTION("VLOOKUP(A219,IMPORTRANGE(""1QZ5UxyNCwadreQAXnQ7oCoH982DjIA-QnZdO7ZoqkC0/edit#gid=0"",""2020-2021!$A$2:$O$251""),4,FALSE)"),50.5)</f>
        <v>50.5</v>
      </c>
      <c r="K219" s="17">
        <f t="shared" si="6"/>
        <v>0.202</v>
      </c>
      <c r="L219" s="17">
        <f t="shared" si="7"/>
        <v>-0.072</v>
      </c>
    </row>
    <row r="220">
      <c r="A220" s="19" t="s">
        <v>153</v>
      </c>
      <c r="B220" s="41">
        <f>IFERROR(__xludf.DUMMYFUNCTION("VLOOKUP(A220,IMPORTRANGE(""1EmrnCz2gLVTx5Cbj0e5tfuHPhTtmru8KTGuQvh7STl0/edit#gid=2147150001"",""Whole Data Set!$A$2:$NQ$253""),381,FALSE)"),43.75)</f>
        <v>43.75</v>
      </c>
      <c r="C220" s="63">
        <f t="shared" si="1"/>
        <v>0.175</v>
      </c>
      <c r="D220" s="12">
        <f>IFERROR(__xludf.DUMMYFUNCTION("VLOOKUP(A220,IMPORTRANGE(""1aFCnJY1qhIj8-JckJhDJ18aqmVo17tofpQmOjcYa3u8/edit#gid=948248086"",""Whole Data Set!$A$2:$NG$253""),371,FALSE)"),12.25)</f>
        <v>12.25</v>
      </c>
      <c r="E220" s="13">
        <f t="shared" si="2"/>
        <v>0.049</v>
      </c>
      <c r="F220" s="13">
        <f t="shared" si="3"/>
        <v>0.126</v>
      </c>
      <c r="G220" s="12">
        <f>IFERROR(__xludf.DUMMYFUNCTION("VLOOKUP(A220,IMPORTRANGE(""1QZ5UxyNCwadreQAXnQ7oCoH982DjIA-QnZdO7ZoqkC0/edit#gid=0"",""2020-2021!$A$2:$O$255""),2,FALSE)"),20.25)</f>
        <v>20.25</v>
      </c>
      <c r="H220" s="14">
        <f t="shared" si="4"/>
        <v>0.081</v>
      </c>
      <c r="I220" s="15">
        <f t="shared" si="5"/>
        <v>0.094</v>
      </c>
      <c r="J220" s="16">
        <f>IFERROR(__xludf.DUMMYFUNCTION("VLOOKUP(A220,IMPORTRANGE(""1QZ5UxyNCwadreQAXnQ7oCoH982DjIA-QnZdO7ZoqkC0/edit#gid=0"",""2020-2021!$A$2:$O$251""),4,FALSE)"),24.5)</f>
        <v>24.5</v>
      </c>
      <c r="K220" s="17">
        <f t="shared" si="6"/>
        <v>0.098</v>
      </c>
      <c r="L220" s="17">
        <f t="shared" si="7"/>
        <v>0.077</v>
      </c>
    </row>
    <row r="221">
      <c r="A221" s="19" t="s">
        <v>154</v>
      </c>
      <c r="B221" s="41">
        <f>IFERROR(__xludf.DUMMYFUNCTION("VLOOKUP(A221,IMPORTRANGE(""1EmrnCz2gLVTx5Cbj0e5tfuHPhTtmru8KTGuQvh7STl0/edit#gid=2147150001"",""Whole Data Set!$A$2:$NQ$253""),381,FALSE)"),0.0)</f>
        <v>0</v>
      </c>
      <c r="C221" s="63">
        <f t="shared" si="1"/>
        <v>0</v>
      </c>
      <c r="D221" s="12">
        <f>IFERROR(__xludf.DUMMYFUNCTION("VLOOKUP(A221,IMPORTRANGE(""1aFCnJY1qhIj8-JckJhDJ18aqmVo17tofpQmOjcYa3u8/edit#gid=948248086"",""Whole Data Set!$A$2:$NG$253""),371,FALSE)"),1.75)</f>
        <v>1.75</v>
      </c>
      <c r="E221" s="13">
        <f t="shared" si="2"/>
        <v>0.007</v>
      </c>
      <c r="F221" s="13">
        <f t="shared" si="3"/>
        <v>-0.007</v>
      </c>
      <c r="G221" s="12">
        <f>IFERROR(__xludf.DUMMYFUNCTION("VLOOKUP(A221,IMPORTRANGE(""1QZ5UxyNCwadreQAXnQ7oCoH982DjIA-QnZdO7ZoqkC0/edit#gid=0"",""2020-2021!$A$2:$O$255""),2,FALSE)"),147.5)</f>
        <v>147.5</v>
      </c>
      <c r="H221" s="14">
        <f t="shared" si="4"/>
        <v>0.59</v>
      </c>
      <c r="I221" s="15">
        <f t="shared" si="5"/>
        <v>-0.59</v>
      </c>
      <c r="J221" s="16">
        <f>IFERROR(__xludf.DUMMYFUNCTION("VLOOKUP(A221,IMPORTRANGE(""1QZ5UxyNCwadreQAXnQ7oCoH982DjIA-QnZdO7ZoqkC0/edit#gid=0"",""2020-2021!$A$2:$O$251""),4,FALSE)"),134.5)</f>
        <v>134.5</v>
      </c>
      <c r="K221" s="17">
        <f t="shared" si="6"/>
        <v>0.538</v>
      </c>
      <c r="L221" s="17">
        <f t="shared" si="7"/>
        <v>-0.538</v>
      </c>
    </row>
    <row r="222">
      <c r="A222" s="19" t="s">
        <v>155</v>
      </c>
      <c r="B222" s="41">
        <f>IFERROR(__xludf.DUMMYFUNCTION("VLOOKUP(A222,IMPORTRANGE(""1EmrnCz2gLVTx5Cbj0e5tfuHPhTtmru8KTGuQvh7STl0/edit#gid=2147150001"",""Whole Data Set!$A$2:$NQ$253""),381,FALSE)"),162.75)</f>
        <v>162.75</v>
      </c>
      <c r="C222" s="63">
        <f t="shared" si="1"/>
        <v>0.651</v>
      </c>
      <c r="D222" s="12">
        <f>IFERROR(__xludf.DUMMYFUNCTION("VLOOKUP(A222,IMPORTRANGE(""1aFCnJY1qhIj8-JckJhDJ18aqmVo17tofpQmOjcYa3u8/edit#gid=948248086"",""Whole Data Set!$A$2:$NG$253""),371,FALSE)"),161.5)</f>
        <v>161.5</v>
      </c>
      <c r="E222" s="13">
        <f t="shared" si="2"/>
        <v>0.646</v>
      </c>
      <c r="F222" s="13">
        <f t="shared" si="3"/>
        <v>0.005</v>
      </c>
      <c r="G222" s="12">
        <f>IFERROR(__xludf.DUMMYFUNCTION("VLOOKUP(A222,IMPORTRANGE(""1QZ5UxyNCwadreQAXnQ7oCoH982DjIA-QnZdO7ZoqkC0/edit#gid=0"",""2020-2021!$A$2:$O$255""),2,FALSE)"),162.25)</f>
        <v>162.25</v>
      </c>
      <c r="H222" s="14">
        <f t="shared" si="4"/>
        <v>0.649</v>
      </c>
      <c r="I222" s="15">
        <f t="shared" si="5"/>
        <v>0.002</v>
      </c>
      <c r="J222" s="16">
        <f>IFERROR(__xludf.DUMMYFUNCTION("VLOOKUP(A222,IMPORTRANGE(""1QZ5UxyNCwadreQAXnQ7oCoH982DjIA-QnZdO7ZoqkC0/edit#gid=0"",""2020-2021!$A$2:$O$251""),4,FALSE)"),146.5)</f>
        <v>146.5</v>
      </c>
      <c r="K222" s="17">
        <f t="shared" si="6"/>
        <v>0.586</v>
      </c>
      <c r="L222" s="17">
        <f t="shared" si="7"/>
        <v>0.065</v>
      </c>
    </row>
    <row r="223">
      <c r="A223" s="19" t="s">
        <v>156</v>
      </c>
      <c r="B223" s="41">
        <f>IFERROR(__xludf.DUMMYFUNCTION("VLOOKUP(A223,IMPORTRANGE(""1EmrnCz2gLVTx5Cbj0e5tfuHPhTtmru8KTGuQvh7STl0/edit#gid=2147150001"",""Whole Data Set!$A$2:$NQ$253""),381,FALSE)"),102.0)</f>
        <v>102</v>
      </c>
      <c r="C223" s="63">
        <f t="shared" si="1"/>
        <v>0.408</v>
      </c>
      <c r="D223" s="12">
        <f>IFERROR(__xludf.DUMMYFUNCTION("VLOOKUP(A223,IMPORTRANGE(""1aFCnJY1qhIj8-JckJhDJ18aqmVo17tofpQmOjcYa3u8/edit#gid=948248086"",""Whole Data Set!$A$2:$NG$253""),371,FALSE)"),90.75)</f>
        <v>90.75</v>
      </c>
      <c r="E223" s="13">
        <f t="shared" si="2"/>
        <v>0.363</v>
      </c>
      <c r="F223" s="13">
        <f t="shared" si="3"/>
        <v>0.045</v>
      </c>
      <c r="G223" s="12">
        <f>IFERROR(__xludf.DUMMYFUNCTION("VLOOKUP(A223,IMPORTRANGE(""1QZ5UxyNCwadreQAXnQ7oCoH982DjIA-QnZdO7ZoqkC0/edit#gid=0"",""2020-2021!$A$2:$O$255""),2,FALSE)"),64.0)</f>
        <v>64</v>
      </c>
      <c r="H223" s="14">
        <f t="shared" si="4"/>
        <v>0.256</v>
      </c>
      <c r="I223" s="15">
        <f t="shared" si="5"/>
        <v>0.152</v>
      </c>
      <c r="J223" s="16">
        <f>IFERROR(__xludf.DUMMYFUNCTION("VLOOKUP(A223,IMPORTRANGE(""1QZ5UxyNCwadreQAXnQ7oCoH982DjIA-QnZdO7ZoqkC0/edit#gid=0"",""2020-2021!$A$2:$O$251""),4,FALSE)"),74.0)</f>
        <v>74</v>
      </c>
      <c r="K223" s="17">
        <f t="shared" si="6"/>
        <v>0.296</v>
      </c>
      <c r="L223" s="17">
        <f t="shared" si="7"/>
        <v>0.112</v>
      </c>
    </row>
    <row r="224">
      <c r="A224" s="19" t="s">
        <v>157</v>
      </c>
      <c r="B224" s="41">
        <f>IFERROR(__xludf.DUMMYFUNCTION("VLOOKUP(A224,IMPORTRANGE(""1EmrnCz2gLVTx5Cbj0e5tfuHPhTtmru8KTGuQvh7STl0/edit#gid=2147150001"",""Whole Data Set!$A$2:$NQ$253""),381,FALSE)"),58.75)</f>
        <v>58.75</v>
      </c>
      <c r="C224" s="63">
        <f t="shared" si="1"/>
        <v>0.235</v>
      </c>
      <c r="D224" s="12">
        <f>IFERROR(__xludf.DUMMYFUNCTION("VLOOKUP(A224,IMPORTRANGE(""1aFCnJY1qhIj8-JckJhDJ18aqmVo17tofpQmOjcYa3u8/edit#gid=948248086"",""Whole Data Set!$A$2:$NG$253""),371,FALSE)"),33.0)</f>
        <v>33</v>
      </c>
      <c r="E224" s="13">
        <f t="shared" si="2"/>
        <v>0.132</v>
      </c>
      <c r="F224" s="13">
        <f t="shared" si="3"/>
        <v>0.103</v>
      </c>
      <c r="G224" s="12">
        <f>IFERROR(__xludf.DUMMYFUNCTION("VLOOKUP(A224,IMPORTRANGE(""1QZ5UxyNCwadreQAXnQ7oCoH982DjIA-QnZdO7ZoqkC0/edit#gid=0"",""2020-2021!$A$2:$O$255""),2,FALSE)"),39.0)</f>
        <v>39</v>
      </c>
      <c r="H224" s="14">
        <f t="shared" si="4"/>
        <v>0.156</v>
      </c>
      <c r="I224" s="15">
        <f t="shared" si="5"/>
        <v>0.079</v>
      </c>
      <c r="J224" s="16">
        <f>IFERROR(__xludf.DUMMYFUNCTION("VLOOKUP(A224,IMPORTRANGE(""1QZ5UxyNCwadreQAXnQ7oCoH982DjIA-QnZdO7ZoqkC0/edit#gid=0"",""2020-2021!$A$2:$O$251""),4,FALSE)"),14.5)</f>
        <v>14.5</v>
      </c>
      <c r="K224" s="17">
        <f t="shared" si="6"/>
        <v>0.058</v>
      </c>
      <c r="L224" s="17">
        <f t="shared" si="7"/>
        <v>0.177</v>
      </c>
    </row>
    <row r="225">
      <c r="A225" s="19" t="s">
        <v>206</v>
      </c>
      <c r="B225" s="41">
        <f>IFERROR(__xludf.DUMMYFUNCTION("VLOOKUP(A225,IMPORTRANGE(""1EmrnCz2gLVTx5Cbj0e5tfuHPhTtmru8KTGuQvh7STl0/edit#gid=2147150001"",""Whole Data Set!$A$2:$NQ$253""),381,FALSE)"),67.25)</f>
        <v>67.25</v>
      </c>
      <c r="C225" s="63">
        <f t="shared" si="1"/>
        <v>0.269</v>
      </c>
      <c r="D225" s="12">
        <f>IFERROR(__xludf.DUMMYFUNCTION("VLOOKUP(A225,IMPORTRANGE(""1aFCnJY1qhIj8-JckJhDJ18aqmVo17tofpQmOjcYa3u8/edit#gid=948248086"",""Whole Data Set!$A$2:$NG$253""),371,FALSE)"),53.75)</f>
        <v>53.75</v>
      </c>
      <c r="E225" s="13">
        <f t="shared" si="2"/>
        <v>0.215</v>
      </c>
      <c r="F225" s="13">
        <f t="shared" si="3"/>
        <v>0.054</v>
      </c>
      <c r="G225" s="12">
        <f>IFERROR(__xludf.DUMMYFUNCTION("VLOOKUP(A225,IMPORTRANGE(""1QZ5UxyNCwadreQAXnQ7oCoH982DjIA-QnZdO7ZoqkC0/edit#gid=0"",""2020-2021!$A$2:$O$255""),2,FALSE)"),57.0)</f>
        <v>57</v>
      </c>
      <c r="H225" s="14">
        <f t="shared" si="4"/>
        <v>0.228</v>
      </c>
      <c r="I225" s="15">
        <f t="shared" si="5"/>
        <v>0.041</v>
      </c>
      <c r="J225" s="16">
        <f>IFERROR(__xludf.DUMMYFUNCTION("VLOOKUP(A225,IMPORTRANGE(""1QZ5UxyNCwadreQAXnQ7oCoH982DjIA-QnZdO7ZoqkC0/edit#gid=0"",""2020-2021!$A$2:$O$251""),4,FALSE)"),70.5)</f>
        <v>70.5</v>
      </c>
      <c r="K225" s="17">
        <f t="shared" si="6"/>
        <v>0.282</v>
      </c>
      <c r="L225" s="17">
        <f t="shared" si="7"/>
        <v>-0.013</v>
      </c>
    </row>
    <row r="226">
      <c r="A226" s="20" t="s">
        <v>105</v>
      </c>
      <c r="B226" s="41">
        <f>IFERROR(__xludf.DUMMYFUNCTION("VLOOKUP(A226,IMPORTRANGE(""1EmrnCz2gLVTx5Cbj0e5tfuHPhTtmru8KTGuQvh7STl0/edit#gid=2147150001"",""Whole Data Set!$A$2:$NQ$253""),381,FALSE)"),47.25)</f>
        <v>47.25</v>
      </c>
      <c r="C226" s="63">
        <f t="shared" si="1"/>
        <v>0.189</v>
      </c>
      <c r="D226" s="12">
        <f>IFERROR(__xludf.DUMMYFUNCTION("VLOOKUP(A226,IMPORTRANGE(""1aFCnJY1qhIj8-JckJhDJ18aqmVo17tofpQmOjcYa3u8/edit#gid=948248086"",""Whole Data Set!$A$2:$NG$253""),371,FALSE)"),44.75)</f>
        <v>44.75</v>
      </c>
      <c r="E226" s="13">
        <f t="shared" si="2"/>
        <v>0.179</v>
      </c>
      <c r="F226" s="13">
        <f t="shared" si="3"/>
        <v>0.01</v>
      </c>
      <c r="G226" s="12">
        <f>IFERROR(__xludf.DUMMYFUNCTION("VLOOKUP(A226,IMPORTRANGE(""1QZ5UxyNCwadreQAXnQ7oCoH982DjIA-QnZdO7ZoqkC0/edit#gid=0"",""2020-2021!$A$2:$O$255""),2,FALSE)"),54.0)</f>
        <v>54</v>
      </c>
      <c r="H226" s="14">
        <f t="shared" si="4"/>
        <v>0.216</v>
      </c>
      <c r="I226" s="15">
        <f t="shared" si="5"/>
        <v>-0.027</v>
      </c>
      <c r="J226" s="16">
        <f>IFERROR(__xludf.DUMMYFUNCTION("VLOOKUP(A226,IMPORTRANGE(""1QZ5UxyNCwadreQAXnQ7oCoH982DjIA-QnZdO7ZoqkC0/edit#gid=0"",""2020-2021!$A$2:$O$251""),4,FALSE)"),53.0)</f>
        <v>53</v>
      </c>
      <c r="K226" s="17">
        <f t="shared" si="6"/>
        <v>0.212</v>
      </c>
      <c r="L226" s="17">
        <f t="shared" si="7"/>
        <v>-0.023</v>
      </c>
    </row>
    <row r="227">
      <c r="A227" s="19" t="s">
        <v>56</v>
      </c>
      <c r="B227" s="41">
        <f>IFERROR(__xludf.DUMMYFUNCTION("VLOOKUP(A227,IMPORTRANGE(""1EmrnCz2gLVTx5Cbj0e5tfuHPhTtmru8KTGuQvh7STl0/edit#gid=2147150001"",""Whole Data Set!$A$2:$NQ$253""),381,FALSE)"),57.0)</f>
        <v>57</v>
      </c>
      <c r="C227" s="63">
        <f t="shared" si="1"/>
        <v>0.228</v>
      </c>
      <c r="D227" s="12">
        <f>IFERROR(__xludf.DUMMYFUNCTION("VLOOKUP(A227,IMPORTRANGE(""1aFCnJY1qhIj8-JckJhDJ18aqmVo17tofpQmOjcYa3u8/edit#gid=948248086"",""Whole Data Set!$A$2:$NG$253""),371,FALSE)"),60.5)</f>
        <v>60.5</v>
      </c>
      <c r="E227" s="13">
        <f t="shared" si="2"/>
        <v>0.242</v>
      </c>
      <c r="F227" s="13">
        <f t="shared" si="3"/>
        <v>-0.014</v>
      </c>
      <c r="G227" s="12">
        <f>IFERROR(__xludf.DUMMYFUNCTION("VLOOKUP(A227,IMPORTRANGE(""1QZ5UxyNCwadreQAXnQ7oCoH982DjIA-QnZdO7ZoqkC0/edit#gid=0"",""2020-2021!$A$2:$O$255""),2,FALSE)"),64.25)</f>
        <v>64.25</v>
      </c>
      <c r="H227" s="14">
        <f t="shared" si="4"/>
        <v>0.257</v>
      </c>
      <c r="I227" s="15">
        <f t="shared" si="5"/>
        <v>-0.029</v>
      </c>
      <c r="J227" s="16">
        <f>IFERROR(__xludf.DUMMYFUNCTION("VLOOKUP(A227,IMPORTRANGE(""1QZ5UxyNCwadreQAXnQ7oCoH982DjIA-QnZdO7ZoqkC0/edit#gid=0"",""2020-2021!$A$2:$O$251""),4,FALSE)"),70.0)</f>
        <v>70</v>
      </c>
      <c r="K227" s="17">
        <f t="shared" si="6"/>
        <v>0.28</v>
      </c>
      <c r="L227" s="17">
        <f t="shared" si="7"/>
        <v>-0.052</v>
      </c>
    </row>
    <row r="228">
      <c r="A228" s="20" t="s">
        <v>258</v>
      </c>
      <c r="B228" s="41">
        <f>IFERROR(__xludf.DUMMYFUNCTION("VLOOKUP(A228,IMPORTRANGE(""1EmrnCz2gLVTx5Cbj0e5tfuHPhTtmru8KTGuQvh7STl0/edit#gid=2147150001"",""Whole Data Set!$A$2:$NQ$253""),381,FALSE)"),73.5)</f>
        <v>73.5</v>
      </c>
      <c r="C228" s="63">
        <f t="shared" si="1"/>
        <v>0.294</v>
      </c>
      <c r="D228" s="12">
        <f>IFERROR(__xludf.DUMMYFUNCTION("VLOOKUP(A228,IMPORTRANGE(""1aFCnJY1qhIj8-JckJhDJ18aqmVo17tofpQmOjcYa3u8/edit#gid=948248086"",""Whole Data Set!$A$2:$NG$253""),371,FALSE)"),66.0)</f>
        <v>66</v>
      </c>
      <c r="E228" s="13">
        <f t="shared" si="2"/>
        <v>0.264</v>
      </c>
      <c r="F228" s="13">
        <f t="shared" si="3"/>
        <v>0.03</v>
      </c>
      <c r="G228" s="12">
        <f>IFERROR(__xludf.DUMMYFUNCTION("VLOOKUP(A228,IMPORTRANGE(""1QZ5UxyNCwadreQAXnQ7oCoH982DjIA-QnZdO7ZoqkC0/edit#gid=0"",""2020-2021!$A$2:$O$255""),2,FALSE)"),61.0)</f>
        <v>61</v>
      </c>
      <c r="H228" s="14">
        <f t="shared" si="4"/>
        <v>0.244</v>
      </c>
      <c r="I228" s="15">
        <f t="shared" si="5"/>
        <v>0.05</v>
      </c>
      <c r="J228" s="16">
        <f>IFERROR(__xludf.DUMMYFUNCTION("VLOOKUP(A228,IMPORTRANGE(""1QZ5UxyNCwadreQAXnQ7oCoH982DjIA-QnZdO7ZoqkC0/edit#gid=0"",""2020-2021!$A$2:$O$251""),4,FALSE)"),48.5)</f>
        <v>48.5</v>
      </c>
      <c r="K228" s="17">
        <f t="shared" si="6"/>
        <v>0.194</v>
      </c>
      <c r="L228" s="17">
        <f t="shared" si="7"/>
        <v>0.1</v>
      </c>
    </row>
    <row r="229">
      <c r="A229" s="19" t="s">
        <v>107</v>
      </c>
      <c r="B229" s="41">
        <f>IFERROR(__xludf.DUMMYFUNCTION("VLOOKUP(A229,IMPORTRANGE(""1EmrnCz2gLVTx5Cbj0e5tfuHPhTtmru8KTGuQvh7STl0/edit#gid=2147150001"",""Whole Data Set!$A$2:$NQ$253""),381,FALSE)"),82.25)</f>
        <v>82.25</v>
      </c>
      <c r="C229" s="63">
        <f t="shared" si="1"/>
        <v>0.329</v>
      </c>
      <c r="D229" s="12">
        <f>IFERROR(__xludf.DUMMYFUNCTION("VLOOKUP(A229,IMPORTRANGE(""1aFCnJY1qhIj8-JckJhDJ18aqmVo17tofpQmOjcYa3u8/edit#gid=948248086"",""Whole Data Set!$A$2:$NG$253""),371,FALSE)"),111.25)</f>
        <v>111.25</v>
      </c>
      <c r="E229" s="13">
        <f t="shared" si="2"/>
        <v>0.445</v>
      </c>
      <c r="F229" s="13">
        <f t="shared" si="3"/>
        <v>-0.116</v>
      </c>
      <c r="G229" s="12">
        <f>IFERROR(__xludf.DUMMYFUNCTION("VLOOKUP(A229,IMPORTRANGE(""1QZ5UxyNCwadreQAXnQ7oCoH982DjIA-QnZdO7ZoqkC0/edit#gid=0"",""2020-2021!$A$2:$O$255""),2,FALSE)"),85.5)</f>
        <v>85.5</v>
      </c>
      <c r="H229" s="14">
        <f t="shared" si="4"/>
        <v>0.342</v>
      </c>
      <c r="I229" s="15">
        <f t="shared" si="5"/>
        <v>-0.013</v>
      </c>
      <c r="J229" s="16">
        <f>IFERROR(__xludf.DUMMYFUNCTION("VLOOKUP(A229,IMPORTRANGE(""1QZ5UxyNCwadreQAXnQ7oCoH982DjIA-QnZdO7ZoqkC0/edit#gid=0"",""2020-2021!$A$2:$O$251""),4,FALSE)"),146.5)</f>
        <v>146.5</v>
      </c>
      <c r="K229" s="17">
        <f t="shared" si="6"/>
        <v>0.586</v>
      </c>
      <c r="L229" s="17">
        <f t="shared" si="7"/>
        <v>-0.257</v>
      </c>
    </row>
    <row r="230">
      <c r="A230" s="19" t="s">
        <v>158</v>
      </c>
      <c r="B230" s="41">
        <f>IFERROR(__xludf.DUMMYFUNCTION("VLOOKUP(A230,IMPORTRANGE(""1EmrnCz2gLVTx5Cbj0e5tfuHPhTtmru8KTGuQvh7STl0/edit#gid=2147150001"",""Whole Data Set!$A$2:$NQ$253""),381,FALSE)"),0.0)</f>
        <v>0</v>
      </c>
      <c r="C230" s="63">
        <f t="shared" si="1"/>
        <v>0</v>
      </c>
      <c r="D230" s="12">
        <f>IFERROR(__xludf.DUMMYFUNCTION("VLOOKUP(A230,IMPORTRANGE(""1aFCnJY1qhIj8-JckJhDJ18aqmVo17tofpQmOjcYa3u8/edit#gid=948248086"",""Whole Data Set!$A$2:$NG$253""),371,FALSE)"),0.0)</f>
        <v>0</v>
      </c>
      <c r="E230" s="13">
        <f t="shared" si="2"/>
        <v>0</v>
      </c>
      <c r="F230" s="13">
        <f t="shared" si="3"/>
        <v>0</v>
      </c>
      <c r="G230" s="12">
        <f>IFERROR(__xludf.DUMMYFUNCTION("VLOOKUP(A230,IMPORTRANGE(""1QZ5UxyNCwadreQAXnQ7oCoH982DjIA-QnZdO7ZoqkC0/edit#gid=0"",""2020-2021!$A$2:$O$255""),2,FALSE)"),0.0)</f>
        <v>0</v>
      </c>
      <c r="H230" s="14">
        <f t="shared" si="4"/>
        <v>0</v>
      </c>
      <c r="I230" s="15">
        <f t="shared" si="5"/>
        <v>0</v>
      </c>
      <c r="J230" s="16">
        <f>IFERROR(__xludf.DUMMYFUNCTION("VLOOKUP(A230,IMPORTRANGE(""1QZ5UxyNCwadreQAXnQ7oCoH982DjIA-QnZdO7ZoqkC0/edit#gid=0"",""2020-2021!$A$2:$O$251""),4,FALSE)"),0.0)</f>
        <v>0</v>
      </c>
      <c r="K230" s="17">
        <f t="shared" si="6"/>
        <v>0</v>
      </c>
      <c r="L230" s="17">
        <f t="shared" si="7"/>
        <v>0</v>
      </c>
    </row>
    <row r="231">
      <c r="A231" s="19" t="s">
        <v>108</v>
      </c>
      <c r="B231" s="41">
        <f>IFERROR(__xludf.DUMMYFUNCTION("VLOOKUP(A231,IMPORTRANGE(""1EmrnCz2gLVTx5Cbj0e5tfuHPhTtmru8KTGuQvh7STl0/edit#gid=2147150001"",""Whole Data Set!$A$2:$NQ$253""),381,FALSE)"),99.75)</f>
        <v>99.75</v>
      </c>
      <c r="C231" s="63">
        <f t="shared" si="1"/>
        <v>0.399</v>
      </c>
      <c r="D231" s="12">
        <f>IFERROR(__xludf.DUMMYFUNCTION("VLOOKUP(A231,IMPORTRANGE(""1aFCnJY1qhIj8-JckJhDJ18aqmVo17tofpQmOjcYa3u8/edit#gid=948248086"",""Whole Data Set!$A$2:$NG$253""),371,FALSE)"),110.0)</f>
        <v>110</v>
      </c>
      <c r="E231" s="13">
        <f t="shared" si="2"/>
        <v>0.44</v>
      </c>
      <c r="F231" s="13">
        <f t="shared" si="3"/>
        <v>-0.041</v>
      </c>
      <c r="G231" s="12">
        <f>IFERROR(__xludf.DUMMYFUNCTION("VLOOKUP(A231,IMPORTRANGE(""1QZ5UxyNCwadreQAXnQ7oCoH982DjIA-QnZdO7ZoqkC0/edit#gid=0"",""2020-2021!$A$2:$O$255""),2,FALSE)"),112.25)</f>
        <v>112.25</v>
      </c>
      <c r="H231" s="14">
        <f t="shared" si="4"/>
        <v>0.449</v>
      </c>
      <c r="I231" s="15">
        <f t="shared" si="5"/>
        <v>-0.05</v>
      </c>
      <c r="J231" s="16">
        <f>IFERROR(__xludf.DUMMYFUNCTION("VLOOKUP(A231,IMPORTRANGE(""1QZ5UxyNCwadreQAXnQ7oCoH982DjIA-QnZdO7ZoqkC0/edit#gid=0"",""2020-2021!$A$2:$O$251""),4,FALSE)"),97.5)</f>
        <v>97.5</v>
      </c>
      <c r="K231" s="17">
        <f t="shared" si="6"/>
        <v>0.39</v>
      </c>
      <c r="L231" s="17">
        <f t="shared" si="7"/>
        <v>0.009</v>
      </c>
    </row>
    <row r="232">
      <c r="A232" s="19" t="s">
        <v>109</v>
      </c>
      <c r="B232" s="41">
        <f>IFERROR(__xludf.DUMMYFUNCTION("VLOOKUP(A232,IMPORTRANGE(""1EmrnCz2gLVTx5Cbj0e5tfuHPhTtmru8KTGuQvh7STl0/edit#gid=2147150001"",""Whole Data Set!$A$2:$NQ$253""),381,FALSE)"),124.5)</f>
        <v>124.5</v>
      </c>
      <c r="C232" s="63">
        <f t="shared" si="1"/>
        <v>0.498</v>
      </c>
      <c r="D232" s="12">
        <f>IFERROR(__xludf.DUMMYFUNCTION("VLOOKUP(A232,IMPORTRANGE(""1aFCnJY1qhIj8-JckJhDJ18aqmVo17tofpQmOjcYa3u8/edit#gid=948248086"",""Whole Data Set!$A$2:$NG$253""),371,FALSE)"),107.75)</f>
        <v>107.75</v>
      </c>
      <c r="E232" s="13">
        <f t="shared" si="2"/>
        <v>0.431</v>
      </c>
      <c r="F232" s="13">
        <f t="shared" si="3"/>
        <v>0.067</v>
      </c>
      <c r="G232" s="12">
        <f>IFERROR(__xludf.DUMMYFUNCTION("VLOOKUP(A232,IMPORTRANGE(""1QZ5UxyNCwadreQAXnQ7oCoH982DjIA-QnZdO7ZoqkC0/edit#gid=0"",""2020-2021!$A$2:$O$255""),2,FALSE)"),89.5)</f>
        <v>89.5</v>
      </c>
      <c r="H232" s="14">
        <f t="shared" si="4"/>
        <v>0.358</v>
      </c>
      <c r="I232" s="15">
        <f t="shared" si="5"/>
        <v>0.14</v>
      </c>
      <c r="J232" s="16">
        <f>IFERROR(__xludf.DUMMYFUNCTION("VLOOKUP(A232,IMPORTRANGE(""1QZ5UxyNCwadreQAXnQ7oCoH982DjIA-QnZdO7ZoqkC0/edit#gid=0"",""2020-2021!$A$2:$O$251""),4,FALSE)"),110.5)</f>
        <v>110.5</v>
      </c>
      <c r="K232" s="17">
        <f t="shared" si="6"/>
        <v>0.442</v>
      </c>
      <c r="L232" s="17">
        <f t="shared" si="7"/>
        <v>0.056</v>
      </c>
    </row>
    <row r="233">
      <c r="A233" s="65" t="s">
        <v>259</v>
      </c>
      <c r="B233" s="41">
        <f>IFERROR(__xludf.DUMMYFUNCTION("VLOOKUP(A233,IMPORTRANGE(""1EmrnCz2gLVTx5Cbj0e5tfuHPhTtmru8KTGuQvh7STl0/edit#gid=2147150001"",""Whole Data Set!$A$2:$NQ$253""),381,FALSE)"),134.5)</f>
        <v>134.5</v>
      </c>
      <c r="C233" s="63">
        <f t="shared" si="1"/>
        <v>0.538</v>
      </c>
      <c r="D233" s="12">
        <f>IFERROR(__xludf.DUMMYFUNCTION("VLOOKUP(A233,IMPORTRANGE(""1aFCnJY1qhIj8-JckJhDJ18aqmVo17tofpQmOjcYa3u8/edit#gid=948248086"",""Whole Data Set!$A$2:$NG$253""),371,FALSE)"),143.0)</f>
        <v>143</v>
      </c>
      <c r="E233" s="13">
        <f t="shared" si="2"/>
        <v>0.572</v>
      </c>
      <c r="F233" s="13">
        <f t="shared" si="3"/>
        <v>-0.034</v>
      </c>
      <c r="G233" s="12">
        <f>IFERROR(__xludf.DUMMYFUNCTION("VLOOKUP(A233,IMPORTRANGE(""1QZ5UxyNCwadreQAXnQ7oCoH982DjIA-QnZdO7ZoqkC0/edit#gid=0"",""2020-2021!$A$2:$O$255""),2,FALSE)"),94.0)</f>
        <v>94</v>
      </c>
      <c r="H233" s="14">
        <f t="shared" si="4"/>
        <v>0.376</v>
      </c>
      <c r="I233" s="15">
        <f t="shared" si="5"/>
        <v>0.162</v>
      </c>
      <c r="J233" s="16">
        <f>IFERROR(__xludf.DUMMYFUNCTION("VLOOKUP(A233,IMPORTRANGE(""1QZ5UxyNCwadreQAXnQ7oCoH982DjIA-QnZdO7ZoqkC0/edit#gid=0"",""2020-2021!$A$2:$O$251""),4,FALSE)"),62.0)</f>
        <v>62</v>
      </c>
      <c r="K233" s="17">
        <f t="shared" si="6"/>
        <v>0.248</v>
      </c>
      <c r="L233" s="17">
        <f t="shared" si="7"/>
        <v>0.29</v>
      </c>
    </row>
    <row r="234">
      <c r="A234" s="66"/>
      <c r="B234" s="44">
        <f>AVERAGE(B52:B233)</f>
        <v>68.88598901</v>
      </c>
      <c r="C234" s="67">
        <f t="shared" ref="C234:E234" si="8">AVERAGE(C2:C233)</f>
        <v>0.2710387931</v>
      </c>
      <c r="D234" s="68">
        <f t="shared" si="8"/>
        <v>62.46982759</v>
      </c>
      <c r="E234" s="67">
        <f t="shared" si="8"/>
        <v>0.2498793103</v>
      </c>
      <c r="F234" s="13">
        <f t="shared" si="3"/>
        <v>0.02115948276</v>
      </c>
      <c r="G234" s="69">
        <f t="shared" ref="G234:H234" si="9">AVERAGE(G2:G233)</f>
        <v>59.42456897</v>
      </c>
      <c r="H234" s="70">
        <f t="shared" si="9"/>
        <v>0.2376982759</v>
      </c>
      <c r="I234" s="71">
        <f t="shared" si="5"/>
        <v>0.03334051724</v>
      </c>
      <c r="J234" s="72">
        <f t="shared" ref="J234:K234" si="10">AVERAGE(J2:J233)</f>
        <v>59.92672414</v>
      </c>
      <c r="K234" s="73">
        <f t="shared" si="10"/>
        <v>0.2397068966</v>
      </c>
      <c r="L234" s="74">
        <f t="shared" si="7"/>
        <v>0.03133189655</v>
      </c>
    </row>
    <row r="235">
      <c r="A235" s="75"/>
      <c r="B235" s="75"/>
      <c r="C235" s="75"/>
      <c r="D235" s="75"/>
      <c r="E235" s="76"/>
      <c r="F235" s="76"/>
      <c r="G235" s="76"/>
      <c r="H235" s="77"/>
      <c r="I235" s="78"/>
      <c r="J235" s="78"/>
      <c r="K235" s="79"/>
      <c r="L235" s="79"/>
    </row>
    <row r="236">
      <c r="A236" s="75"/>
      <c r="B236" s="75"/>
      <c r="C236" s="75"/>
      <c r="D236" s="75"/>
      <c r="E236" s="76"/>
      <c r="F236" s="76"/>
      <c r="G236" s="76"/>
      <c r="H236" s="77"/>
      <c r="I236" s="78"/>
      <c r="J236" s="78"/>
      <c r="K236" s="79"/>
      <c r="L236" s="79"/>
    </row>
    <row r="237">
      <c r="A237" s="75"/>
      <c r="B237" s="75"/>
      <c r="C237" s="75"/>
      <c r="D237" s="75"/>
      <c r="E237" s="76"/>
      <c r="F237" s="76"/>
      <c r="G237" s="76"/>
      <c r="H237" s="77"/>
      <c r="I237" s="78"/>
      <c r="J237" s="78"/>
      <c r="K237" s="79"/>
      <c r="L237" s="79"/>
    </row>
    <row r="238">
      <c r="A238" s="75"/>
      <c r="B238" s="75"/>
      <c r="C238" s="75"/>
      <c r="D238" s="75"/>
      <c r="E238" s="80"/>
      <c r="F238" s="80"/>
      <c r="G238" s="80"/>
      <c r="H238" s="77"/>
      <c r="I238" s="78"/>
      <c r="J238" s="78"/>
      <c r="K238" s="79"/>
      <c r="L238" s="79"/>
    </row>
    <row r="239">
      <c r="A239" s="75"/>
      <c r="B239" s="75"/>
      <c r="C239" s="75"/>
      <c r="D239" s="75"/>
      <c r="E239" s="81"/>
      <c r="F239" s="81"/>
      <c r="G239" s="81"/>
      <c r="H239" s="77"/>
      <c r="I239" s="78"/>
      <c r="J239" s="78"/>
      <c r="K239" s="79"/>
      <c r="L239" s="79"/>
    </row>
    <row r="240">
      <c r="A240" s="75"/>
      <c r="B240" s="75"/>
      <c r="C240" s="75"/>
      <c r="D240" s="75"/>
      <c r="E240" s="81"/>
      <c r="F240" s="81"/>
      <c r="G240" s="81"/>
      <c r="H240" s="77"/>
      <c r="I240" s="78"/>
      <c r="J240" s="78"/>
      <c r="K240" s="79"/>
      <c r="L240" s="79"/>
    </row>
    <row r="241">
      <c r="A241" s="75"/>
      <c r="B241" s="75"/>
      <c r="C241" s="75"/>
      <c r="D241" s="75"/>
      <c r="E241" s="81"/>
      <c r="F241" s="81"/>
      <c r="G241" s="81"/>
      <c r="H241" s="77"/>
      <c r="I241" s="78"/>
      <c r="J241" s="78"/>
      <c r="K241" s="79"/>
      <c r="L241" s="79"/>
    </row>
    <row r="242">
      <c r="A242" s="75"/>
      <c r="B242" s="75"/>
      <c r="C242" s="75"/>
      <c r="D242" s="75"/>
      <c r="E242" s="81"/>
      <c r="F242" s="81"/>
      <c r="G242" s="81"/>
      <c r="H242" s="77"/>
      <c r="I242" s="78"/>
      <c r="J242" s="78"/>
      <c r="K242" s="79"/>
      <c r="L242" s="79"/>
    </row>
    <row r="243">
      <c r="A243" s="75"/>
      <c r="B243" s="75"/>
      <c r="C243" s="75"/>
      <c r="D243" s="75"/>
      <c r="E243" s="81"/>
      <c r="F243" s="81"/>
      <c r="G243" s="81"/>
      <c r="H243" s="77"/>
      <c r="I243" s="78"/>
      <c r="J243" s="78"/>
      <c r="K243" s="79"/>
      <c r="L243" s="79"/>
    </row>
    <row r="244">
      <c r="A244" s="75"/>
      <c r="B244" s="75"/>
      <c r="C244" s="75"/>
      <c r="D244" s="75"/>
      <c r="E244" s="81"/>
      <c r="F244" s="81"/>
      <c r="G244" s="81"/>
      <c r="H244" s="77"/>
      <c r="I244" s="78"/>
      <c r="J244" s="78"/>
      <c r="K244" s="79"/>
      <c r="L244" s="79"/>
    </row>
    <row r="245">
      <c r="A245" s="75"/>
      <c r="B245" s="75"/>
      <c r="C245" s="75"/>
      <c r="D245" s="75"/>
      <c r="E245" s="81"/>
      <c r="F245" s="81"/>
      <c r="G245" s="81"/>
      <c r="H245" s="77"/>
      <c r="I245" s="78"/>
      <c r="J245" s="78"/>
      <c r="K245" s="79"/>
      <c r="L245" s="79"/>
    </row>
    <row r="246">
      <c r="A246" s="75"/>
      <c r="B246" s="75"/>
      <c r="C246" s="75"/>
      <c r="D246" s="75"/>
      <c r="E246" s="81"/>
      <c r="F246" s="81"/>
      <c r="G246" s="81"/>
      <c r="H246" s="77"/>
      <c r="I246" s="78"/>
      <c r="J246" s="78"/>
      <c r="K246" s="79"/>
      <c r="L246" s="79"/>
    </row>
    <row r="247">
      <c r="A247" s="75"/>
      <c r="B247" s="75"/>
      <c r="C247" s="75"/>
      <c r="D247" s="75"/>
      <c r="E247" s="81"/>
      <c r="F247" s="81"/>
      <c r="G247" s="81"/>
      <c r="H247" s="77"/>
      <c r="I247" s="78"/>
      <c r="J247" s="78"/>
      <c r="K247" s="79"/>
      <c r="L247" s="79"/>
    </row>
    <row r="248">
      <c r="A248" s="75"/>
      <c r="B248" s="75"/>
      <c r="C248" s="75"/>
      <c r="D248" s="75"/>
      <c r="E248" s="81"/>
      <c r="F248" s="81"/>
      <c r="G248" s="81"/>
      <c r="H248" s="77"/>
      <c r="I248" s="78"/>
      <c r="J248" s="78"/>
      <c r="K248" s="79"/>
      <c r="L248" s="79"/>
    </row>
    <row r="249">
      <c r="A249" s="36"/>
      <c r="B249" s="36"/>
      <c r="C249" s="36"/>
      <c r="H249" s="36"/>
      <c r="I249" s="36"/>
      <c r="J249" s="36"/>
      <c r="K249" s="36"/>
      <c r="L249" s="36"/>
    </row>
    <row r="250">
      <c r="A250" s="36"/>
      <c r="B250" s="36"/>
      <c r="C250" s="36"/>
      <c r="H250" s="36"/>
      <c r="I250" s="36"/>
      <c r="J250" s="36"/>
      <c r="K250" s="36"/>
      <c r="L250" s="36"/>
    </row>
    <row r="251">
      <c r="A251" s="36"/>
      <c r="B251" s="36"/>
      <c r="C251" s="36"/>
      <c r="H251" s="36"/>
      <c r="I251" s="36"/>
      <c r="J251" s="36"/>
      <c r="K251" s="36"/>
      <c r="L251" s="36"/>
    </row>
    <row r="252">
      <c r="A252" s="36"/>
      <c r="B252" s="36"/>
      <c r="C252" s="36"/>
      <c r="H252" s="36"/>
      <c r="I252" s="36"/>
      <c r="J252" s="36"/>
      <c r="K252" s="36"/>
      <c r="L252" s="36"/>
    </row>
    <row r="253">
      <c r="A253" s="36"/>
      <c r="B253" s="36"/>
      <c r="C253" s="36"/>
      <c r="H253" s="36"/>
      <c r="I253" s="36"/>
      <c r="J253" s="36"/>
      <c r="K253" s="36"/>
      <c r="L253" s="36"/>
    </row>
    <row r="254">
      <c r="A254" s="36"/>
      <c r="B254" s="36"/>
      <c r="C254" s="36"/>
      <c r="H254" s="36"/>
      <c r="I254" s="36"/>
      <c r="J254" s="36"/>
      <c r="K254" s="36"/>
      <c r="L254" s="36"/>
    </row>
    <row r="255">
      <c r="A255" s="36"/>
      <c r="B255" s="36"/>
      <c r="C255" s="36"/>
      <c r="H255" s="36"/>
      <c r="I255" s="36"/>
      <c r="J255" s="36"/>
      <c r="K255" s="36"/>
      <c r="L255" s="36"/>
    </row>
    <row r="256">
      <c r="A256" s="36"/>
      <c r="B256" s="36"/>
      <c r="C256" s="36"/>
      <c r="H256" s="36"/>
      <c r="I256" s="36"/>
      <c r="J256" s="36"/>
      <c r="K256" s="36"/>
      <c r="L256" s="36"/>
    </row>
    <row r="257">
      <c r="A257" s="36"/>
      <c r="B257" s="36"/>
      <c r="C257" s="36"/>
      <c r="H257" s="36"/>
      <c r="I257" s="36"/>
      <c r="J257" s="36"/>
      <c r="K257" s="36"/>
      <c r="L257" s="36"/>
    </row>
    <row r="258">
      <c r="A258" s="36"/>
      <c r="B258" s="36"/>
      <c r="C258" s="36"/>
      <c r="H258" s="36"/>
      <c r="I258" s="36"/>
      <c r="J258" s="36"/>
      <c r="K258" s="36"/>
      <c r="L258" s="36"/>
    </row>
    <row r="259">
      <c r="A259" s="36"/>
      <c r="B259" s="36"/>
      <c r="C259" s="36"/>
      <c r="H259" s="36"/>
      <c r="I259" s="36"/>
      <c r="J259" s="36"/>
      <c r="K259" s="36"/>
      <c r="L259" s="36"/>
    </row>
    <row r="260">
      <c r="A260" s="36"/>
      <c r="B260" s="36"/>
      <c r="C260" s="36"/>
      <c r="H260" s="36"/>
      <c r="I260" s="36"/>
      <c r="J260" s="36"/>
      <c r="K260" s="36"/>
      <c r="L260" s="36"/>
    </row>
    <row r="261">
      <c r="A261" s="36"/>
      <c r="B261" s="36"/>
      <c r="C261" s="36"/>
      <c r="H261" s="36"/>
      <c r="I261" s="36"/>
      <c r="J261" s="36"/>
      <c r="K261" s="36"/>
      <c r="L261" s="36"/>
    </row>
    <row r="262">
      <c r="A262" s="36"/>
      <c r="B262" s="36"/>
      <c r="C262" s="36"/>
      <c r="H262" s="36"/>
      <c r="I262" s="36"/>
      <c r="J262" s="36"/>
      <c r="K262" s="36"/>
      <c r="L262" s="36"/>
    </row>
    <row r="263">
      <c r="A263" s="36"/>
      <c r="B263" s="36"/>
      <c r="C263" s="36"/>
      <c r="H263" s="36"/>
      <c r="I263" s="36"/>
      <c r="J263" s="36"/>
      <c r="K263" s="36"/>
      <c r="L263" s="36"/>
    </row>
    <row r="264">
      <c r="A264" s="36"/>
      <c r="B264" s="36"/>
      <c r="C264" s="36"/>
      <c r="H264" s="36"/>
      <c r="I264" s="36"/>
      <c r="J264" s="36"/>
      <c r="K264" s="36"/>
      <c r="L264" s="36"/>
    </row>
    <row r="265">
      <c r="A265" s="36"/>
      <c r="B265" s="36"/>
      <c r="C265" s="36"/>
      <c r="H265" s="36"/>
      <c r="I265" s="36"/>
      <c r="J265" s="36"/>
      <c r="K265" s="36"/>
      <c r="L265" s="36"/>
    </row>
    <row r="266">
      <c r="A266" s="36"/>
      <c r="B266" s="36"/>
      <c r="C266" s="36"/>
      <c r="H266" s="36"/>
      <c r="I266" s="36"/>
      <c r="J266" s="36"/>
      <c r="K266" s="36"/>
      <c r="L266" s="36"/>
    </row>
    <row r="267">
      <c r="A267" s="36"/>
      <c r="B267" s="36"/>
      <c r="C267" s="36"/>
      <c r="H267" s="36"/>
      <c r="I267" s="36"/>
      <c r="J267" s="36"/>
      <c r="K267" s="36"/>
      <c r="L267" s="36"/>
    </row>
    <row r="268">
      <c r="A268" s="36"/>
      <c r="B268" s="36"/>
      <c r="C268" s="36"/>
      <c r="H268" s="36"/>
      <c r="I268" s="36"/>
      <c r="J268" s="36"/>
      <c r="K268" s="36"/>
      <c r="L268" s="36"/>
    </row>
    <row r="269">
      <c r="A269" s="36"/>
      <c r="B269" s="36"/>
      <c r="C269" s="36"/>
      <c r="H269" s="36"/>
      <c r="I269" s="36"/>
      <c r="J269" s="36"/>
      <c r="K269" s="36"/>
      <c r="L269" s="36"/>
    </row>
    <row r="270">
      <c r="A270" s="36"/>
      <c r="B270" s="36"/>
      <c r="C270" s="36"/>
      <c r="H270" s="36"/>
      <c r="I270" s="36"/>
      <c r="J270" s="36"/>
      <c r="K270" s="36"/>
      <c r="L270" s="36"/>
    </row>
    <row r="271">
      <c r="A271" s="36"/>
      <c r="B271" s="36"/>
      <c r="C271" s="36"/>
      <c r="H271" s="36"/>
      <c r="I271" s="36"/>
      <c r="J271" s="36"/>
      <c r="K271" s="36"/>
      <c r="L271" s="36"/>
    </row>
    <row r="272">
      <c r="A272" s="36"/>
      <c r="B272" s="36"/>
      <c r="C272" s="36"/>
      <c r="H272" s="36"/>
      <c r="I272" s="36"/>
      <c r="J272" s="36"/>
      <c r="K272" s="36"/>
      <c r="L272" s="36"/>
    </row>
    <row r="273">
      <c r="A273" s="36"/>
      <c r="B273" s="36"/>
      <c r="C273" s="36"/>
      <c r="H273" s="36"/>
      <c r="I273" s="36"/>
      <c r="J273" s="36"/>
      <c r="K273" s="36"/>
      <c r="L273" s="36"/>
    </row>
    <row r="274">
      <c r="A274" s="36"/>
      <c r="B274" s="36"/>
      <c r="C274" s="36"/>
      <c r="H274" s="36"/>
      <c r="I274" s="36"/>
      <c r="J274" s="36"/>
      <c r="K274" s="36"/>
      <c r="L274" s="36"/>
    </row>
    <row r="275">
      <c r="A275" s="36"/>
      <c r="B275" s="36"/>
      <c r="C275" s="36"/>
      <c r="H275" s="36"/>
      <c r="I275" s="36"/>
      <c r="J275" s="36"/>
      <c r="K275" s="36"/>
      <c r="L275" s="36"/>
    </row>
    <row r="276">
      <c r="A276" s="36"/>
      <c r="B276" s="36"/>
      <c r="C276" s="36"/>
      <c r="H276" s="36"/>
      <c r="I276" s="36"/>
      <c r="J276" s="36"/>
      <c r="K276" s="36"/>
      <c r="L276" s="36"/>
    </row>
    <row r="277">
      <c r="A277" s="36"/>
      <c r="B277" s="36"/>
      <c r="C277" s="36"/>
      <c r="H277" s="36"/>
      <c r="I277" s="36"/>
      <c r="J277" s="36"/>
      <c r="K277" s="36"/>
      <c r="L277" s="36"/>
    </row>
    <row r="278">
      <c r="A278" s="36"/>
      <c r="B278" s="36"/>
      <c r="C278" s="36"/>
      <c r="H278" s="36"/>
      <c r="I278" s="36"/>
      <c r="J278" s="36"/>
      <c r="K278" s="36"/>
      <c r="L278" s="36"/>
    </row>
    <row r="279">
      <c r="A279" s="36"/>
      <c r="B279" s="36"/>
      <c r="C279" s="36"/>
      <c r="H279" s="36"/>
      <c r="I279" s="36"/>
      <c r="J279" s="36"/>
      <c r="K279" s="36"/>
      <c r="L279" s="36"/>
    </row>
    <row r="280">
      <c r="A280" s="36"/>
      <c r="B280" s="36"/>
      <c r="C280" s="36"/>
      <c r="H280" s="36"/>
      <c r="I280" s="36"/>
      <c r="J280" s="36"/>
      <c r="K280" s="36"/>
      <c r="L280" s="36"/>
    </row>
    <row r="281">
      <c r="A281" s="36"/>
      <c r="B281" s="36"/>
      <c r="C281" s="36"/>
      <c r="H281" s="36"/>
      <c r="I281" s="36"/>
      <c r="J281" s="36"/>
      <c r="K281" s="36"/>
      <c r="L281" s="36"/>
    </row>
    <row r="282">
      <c r="A282" s="36"/>
      <c r="B282" s="36"/>
      <c r="C282" s="36"/>
      <c r="H282" s="36"/>
      <c r="I282" s="36"/>
      <c r="J282" s="36"/>
      <c r="K282" s="36"/>
      <c r="L282" s="36"/>
    </row>
    <row r="283">
      <c r="A283" s="36"/>
      <c r="B283" s="36"/>
      <c r="C283" s="36"/>
      <c r="H283" s="36"/>
      <c r="I283" s="36"/>
      <c r="J283" s="36"/>
      <c r="K283" s="36"/>
      <c r="L283" s="36"/>
    </row>
    <row r="284">
      <c r="A284" s="36"/>
      <c r="B284" s="36"/>
      <c r="C284" s="36"/>
      <c r="H284" s="36"/>
      <c r="I284" s="36"/>
      <c r="J284" s="36"/>
      <c r="K284" s="36"/>
      <c r="L284" s="36"/>
    </row>
    <row r="285">
      <c r="A285" s="36"/>
      <c r="B285" s="36"/>
      <c r="C285" s="36"/>
      <c r="H285" s="36"/>
      <c r="I285" s="36"/>
      <c r="J285" s="36"/>
      <c r="K285" s="36"/>
      <c r="L285" s="36"/>
    </row>
    <row r="286">
      <c r="A286" s="36"/>
      <c r="B286" s="36"/>
      <c r="C286" s="36"/>
      <c r="H286" s="36"/>
      <c r="I286" s="36"/>
      <c r="J286" s="36"/>
      <c r="K286" s="36"/>
      <c r="L286" s="36"/>
    </row>
    <row r="287">
      <c r="A287" s="36"/>
      <c r="B287" s="36"/>
      <c r="C287" s="36"/>
      <c r="H287" s="36"/>
      <c r="I287" s="36"/>
      <c r="J287" s="36"/>
      <c r="K287" s="36"/>
      <c r="L287" s="36"/>
    </row>
    <row r="288">
      <c r="A288" s="36"/>
      <c r="B288" s="36"/>
      <c r="C288" s="36"/>
      <c r="H288" s="36"/>
      <c r="I288" s="36"/>
      <c r="J288" s="36"/>
      <c r="K288" s="36"/>
      <c r="L288" s="36"/>
    </row>
    <row r="289">
      <c r="A289" s="36"/>
      <c r="B289" s="36"/>
      <c r="C289" s="36"/>
      <c r="H289" s="36"/>
      <c r="I289" s="36"/>
      <c r="J289" s="36"/>
      <c r="K289" s="36"/>
      <c r="L289" s="36"/>
    </row>
    <row r="290">
      <c r="A290" s="36"/>
      <c r="B290" s="36"/>
      <c r="C290" s="36"/>
      <c r="H290" s="36"/>
      <c r="I290" s="36"/>
      <c r="J290" s="36"/>
      <c r="K290" s="36"/>
      <c r="L290" s="36"/>
    </row>
    <row r="291">
      <c r="A291" s="36"/>
      <c r="B291" s="36"/>
      <c r="C291" s="36"/>
      <c r="H291" s="36"/>
      <c r="I291" s="36"/>
      <c r="J291" s="36"/>
      <c r="K291" s="36"/>
      <c r="L291" s="36"/>
    </row>
    <row r="292">
      <c r="A292" s="36"/>
      <c r="B292" s="36"/>
      <c r="C292" s="36"/>
      <c r="H292" s="36"/>
      <c r="I292" s="36"/>
      <c r="J292" s="36"/>
      <c r="K292" s="36"/>
      <c r="L292" s="36"/>
    </row>
    <row r="293">
      <c r="A293" s="36"/>
      <c r="B293" s="36"/>
      <c r="C293" s="36"/>
      <c r="H293" s="36"/>
      <c r="I293" s="36"/>
      <c r="J293" s="36"/>
      <c r="K293" s="36"/>
      <c r="L293" s="36"/>
    </row>
    <row r="294">
      <c r="A294" s="36"/>
      <c r="B294" s="36"/>
      <c r="C294" s="36"/>
      <c r="H294" s="36"/>
      <c r="I294" s="36"/>
      <c r="J294" s="36"/>
      <c r="K294" s="36"/>
      <c r="L294" s="36"/>
    </row>
    <row r="295">
      <c r="A295" s="36"/>
      <c r="B295" s="36"/>
      <c r="C295" s="36"/>
      <c r="H295" s="36"/>
      <c r="I295" s="36"/>
      <c r="J295" s="36"/>
      <c r="K295" s="36"/>
      <c r="L295" s="36"/>
    </row>
    <row r="296">
      <c r="A296" s="36"/>
      <c r="B296" s="36"/>
      <c r="C296" s="36"/>
      <c r="H296" s="36"/>
      <c r="I296" s="36"/>
      <c r="J296" s="36"/>
      <c r="K296" s="36"/>
      <c r="L296" s="36"/>
    </row>
    <row r="297">
      <c r="A297" s="36"/>
      <c r="B297" s="36"/>
      <c r="C297" s="36"/>
      <c r="H297" s="36"/>
      <c r="I297" s="36"/>
      <c r="J297" s="36"/>
      <c r="K297" s="36"/>
      <c r="L297" s="36"/>
    </row>
    <row r="298">
      <c r="A298" s="36"/>
      <c r="B298" s="36"/>
      <c r="C298" s="36"/>
      <c r="H298" s="36"/>
      <c r="I298" s="36"/>
      <c r="J298" s="36"/>
      <c r="K298" s="36"/>
      <c r="L298" s="36"/>
    </row>
    <row r="299">
      <c r="A299" s="36"/>
      <c r="B299" s="36"/>
      <c r="C299" s="36"/>
      <c r="H299" s="36"/>
      <c r="I299" s="36"/>
      <c r="J299" s="36"/>
      <c r="K299" s="36"/>
      <c r="L299" s="36"/>
    </row>
    <row r="300">
      <c r="A300" s="36"/>
      <c r="B300" s="36"/>
      <c r="C300" s="36"/>
      <c r="H300" s="36"/>
      <c r="I300" s="36"/>
      <c r="J300" s="36"/>
      <c r="K300" s="36"/>
      <c r="L300" s="36"/>
    </row>
    <row r="301">
      <c r="A301" s="36"/>
      <c r="B301" s="36"/>
      <c r="C301" s="36"/>
      <c r="H301" s="36"/>
      <c r="I301" s="36"/>
      <c r="J301" s="36"/>
      <c r="K301" s="36"/>
      <c r="L301" s="36"/>
    </row>
    <row r="302">
      <c r="A302" s="36"/>
      <c r="B302" s="36"/>
      <c r="C302" s="36"/>
      <c r="H302" s="36"/>
      <c r="I302" s="36"/>
      <c r="J302" s="36"/>
      <c r="K302" s="36"/>
      <c r="L302" s="36"/>
    </row>
    <row r="303">
      <c r="A303" s="36"/>
      <c r="B303" s="36"/>
      <c r="C303" s="36"/>
      <c r="H303" s="36"/>
      <c r="I303" s="36"/>
      <c r="J303" s="36"/>
      <c r="K303" s="36"/>
      <c r="L303" s="36"/>
    </row>
    <row r="304">
      <c r="A304" s="36"/>
      <c r="B304" s="36"/>
      <c r="C304" s="36"/>
      <c r="H304" s="36"/>
      <c r="I304" s="36"/>
      <c r="J304" s="36"/>
      <c r="K304" s="36"/>
      <c r="L304" s="36"/>
    </row>
    <row r="305">
      <c r="A305" s="36"/>
      <c r="B305" s="36"/>
      <c r="C305" s="36"/>
      <c r="H305" s="36"/>
      <c r="I305" s="36"/>
      <c r="J305" s="36"/>
      <c r="K305" s="36"/>
      <c r="L305" s="36"/>
    </row>
    <row r="306">
      <c r="A306" s="36"/>
      <c r="B306" s="36"/>
      <c r="C306" s="36"/>
      <c r="H306" s="36"/>
      <c r="I306" s="36"/>
      <c r="J306" s="36"/>
      <c r="K306" s="36"/>
      <c r="L306" s="36"/>
    </row>
    <row r="307">
      <c r="A307" s="36"/>
      <c r="B307" s="36"/>
      <c r="C307" s="36"/>
      <c r="H307" s="36"/>
      <c r="I307" s="36"/>
      <c r="J307" s="36"/>
      <c r="K307" s="36"/>
      <c r="L307" s="36"/>
    </row>
    <row r="308">
      <c r="A308" s="36"/>
      <c r="B308" s="36"/>
      <c r="C308" s="36"/>
      <c r="H308" s="36"/>
      <c r="I308" s="36"/>
      <c r="J308" s="36"/>
      <c r="K308" s="36"/>
      <c r="L308" s="36"/>
    </row>
    <row r="309">
      <c r="A309" s="36"/>
      <c r="B309" s="36"/>
      <c r="C309" s="36"/>
      <c r="H309" s="36"/>
      <c r="I309" s="36"/>
      <c r="J309" s="36"/>
      <c r="K309" s="36"/>
      <c r="L309" s="36"/>
    </row>
    <row r="310">
      <c r="A310" s="36"/>
      <c r="B310" s="36"/>
      <c r="C310" s="36"/>
      <c r="H310" s="36"/>
      <c r="I310" s="36"/>
      <c r="J310" s="36"/>
      <c r="K310" s="36"/>
      <c r="L310" s="36"/>
    </row>
    <row r="311">
      <c r="A311" s="36"/>
      <c r="B311" s="36"/>
      <c r="C311" s="36"/>
      <c r="H311" s="36"/>
      <c r="I311" s="36"/>
      <c r="J311" s="36"/>
      <c r="K311" s="36"/>
      <c r="L311" s="36"/>
    </row>
    <row r="312">
      <c r="A312" s="36"/>
      <c r="B312" s="36"/>
      <c r="C312" s="36"/>
      <c r="H312" s="36"/>
      <c r="I312" s="36"/>
      <c r="J312" s="36"/>
      <c r="K312" s="36"/>
      <c r="L312" s="36"/>
    </row>
    <row r="313">
      <c r="A313" s="36"/>
      <c r="B313" s="36"/>
      <c r="C313" s="36"/>
      <c r="H313" s="36"/>
      <c r="I313" s="36"/>
      <c r="J313" s="36"/>
      <c r="K313" s="36"/>
      <c r="L313" s="36"/>
    </row>
    <row r="314">
      <c r="A314" s="36"/>
      <c r="B314" s="36"/>
      <c r="C314" s="36"/>
      <c r="H314" s="36"/>
      <c r="I314" s="36"/>
      <c r="J314" s="36"/>
      <c r="K314" s="36"/>
      <c r="L314" s="36"/>
    </row>
    <row r="315">
      <c r="A315" s="36"/>
      <c r="B315" s="36"/>
      <c r="C315" s="36"/>
      <c r="H315" s="36"/>
      <c r="I315" s="36"/>
      <c r="J315" s="36"/>
      <c r="K315" s="36"/>
      <c r="L315" s="36"/>
    </row>
    <row r="316">
      <c r="A316" s="36"/>
      <c r="B316" s="36"/>
      <c r="C316" s="36"/>
      <c r="H316" s="36"/>
      <c r="I316" s="36"/>
      <c r="J316" s="36"/>
      <c r="K316" s="36"/>
      <c r="L316" s="36"/>
    </row>
    <row r="317">
      <c r="A317" s="36"/>
      <c r="B317" s="36"/>
      <c r="C317" s="36"/>
      <c r="H317" s="36"/>
      <c r="I317" s="36"/>
      <c r="J317" s="36"/>
      <c r="K317" s="36"/>
      <c r="L317" s="36"/>
    </row>
    <row r="318">
      <c r="A318" s="36"/>
      <c r="B318" s="36"/>
      <c r="C318" s="36"/>
      <c r="H318" s="36"/>
      <c r="I318" s="36"/>
      <c r="J318" s="36"/>
      <c r="K318" s="36"/>
      <c r="L318" s="36"/>
    </row>
    <row r="319">
      <c r="A319" s="36"/>
      <c r="B319" s="36"/>
      <c r="C319" s="36"/>
      <c r="H319" s="36"/>
      <c r="I319" s="36"/>
      <c r="J319" s="36"/>
      <c r="K319" s="36"/>
      <c r="L319" s="36"/>
    </row>
    <row r="320">
      <c r="A320" s="36"/>
      <c r="B320" s="36"/>
      <c r="C320" s="36"/>
      <c r="H320" s="36"/>
      <c r="I320" s="36"/>
      <c r="J320" s="36"/>
      <c r="K320" s="36"/>
      <c r="L320" s="36"/>
    </row>
    <row r="321">
      <c r="A321" s="36"/>
      <c r="B321" s="36"/>
      <c r="C321" s="36"/>
      <c r="H321" s="36"/>
      <c r="I321" s="36"/>
      <c r="J321" s="36"/>
      <c r="K321" s="36"/>
      <c r="L321" s="36"/>
    </row>
    <row r="322">
      <c r="A322" s="36"/>
      <c r="B322" s="36"/>
      <c r="C322" s="36"/>
      <c r="H322" s="36"/>
      <c r="I322" s="36"/>
      <c r="J322" s="36"/>
      <c r="K322" s="36"/>
      <c r="L322" s="36"/>
    </row>
    <row r="323">
      <c r="A323" s="36"/>
      <c r="B323" s="36"/>
      <c r="C323" s="36"/>
      <c r="H323" s="36"/>
      <c r="I323" s="36"/>
      <c r="J323" s="36"/>
      <c r="K323" s="36"/>
      <c r="L323" s="36"/>
    </row>
    <row r="324">
      <c r="A324" s="36"/>
      <c r="B324" s="36"/>
      <c r="C324" s="36"/>
      <c r="H324" s="36"/>
      <c r="I324" s="36"/>
      <c r="J324" s="36"/>
      <c r="K324" s="36"/>
      <c r="L324" s="36"/>
    </row>
    <row r="325">
      <c r="A325" s="36"/>
      <c r="B325" s="36"/>
      <c r="C325" s="36"/>
      <c r="H325" s="36"/>
      <c r="I325" s="36"/>
      <c r="J325" s="36"/>
      <c r="K325" s="36"/>
      <c r="L325" s="36"/>
    </row>
    <row r="326">
      <c r="A326" s="36"/>
      <c r="B326" s="36"/>
      <c r="C326" s="36"/>
      <c r="H326" s="36"/>
      <c r="I326" s="36"/>
      <c r="J326" s="36"/>
      <c r="K326" s="36"/>
      <c r="L326" s="36"/>
    </row>
    <row r="327">
      <c r="A327" s="36"/>
      <c r="B327" s="36"/>
      <c r="C327" s="36"/>
      <c r="H327" s="36"/>
      <c r="I327" s="36"/>
      <c r="J327" s="36"/>
      <c r="K327" s="36"/>
      <c r="L327" s="36"/>
    </row>
    <row r="328">
      <c r="A328" s="36"/>
      <c r="B328" s="36"/>
      <c r="C328" s="36"/>
      <c r="H328" s="36"/>
      <c r="I328" s="36"/>
      <c r="J328" s="36"/>
      <c r="K328" s="36"/>
      <c r="L328" s="36"/>
    </row>
    <row r="329">
      <c r="A329" s="36"/>
      <c r="B329" s="36"/>
      <c r="C329" s="36"/>
      <c r="H329" s="36"/>
      <c r="I329" s="36"/>
      <c r="J329" s="36"/>
      <c r="K329" s="36"/>
      <c r="L329" s="36"/>
    </row>
    <row r="330">
      <c r="A330" s="36"/>
      <c r="B330" s="36"/>
      <c r="C330" s="36"/>
      <c r="H330" s="36"/>
      <c r="I330" s="36"/>
      <c r="J330" s="36"/>
      <c r="K330" s="36"/>
      <c r="L330" s="36"/>
    </row>
    <row r="331">
      <c r="A331" s="36"/>
      <c r="B331" s="36"/>
      <c r="C331" s="36"/>
      <c r="H331" s="36"/>
      <c r="I331" s="36"/>
      <c r="J331" s="36"/>
      <c r="K331" s="36"/>
      <c r="L331" s="36"/>
    </row>
    <row r="332">
      <c r="A332" s="36"/>
      <c r="B332" s="36"/>
      <c r="C332" s="36"/>
      <c r="H332" s="36"/>
      <c r="I332" s="36"/>
      <c r="J332" s="36"/>
      <c r="K332" s="36"/>
      <c r="L332" s="36"/>
    </row>
    <row r="333">
      <c r="A333" s="82"/>
      <c r="B333" s="82"/>
      <c r="C333" s="82"/>
      <c r="H333" s="82"/>
      <c r="I333" s="36"/>
      <c r="J333" s="36"/>
      <c r="K333" s="36"/>
      <c r="L333" s="36"/>
    </row>
    <row r="334">
      <c r="A334" s="82"/>
      <c r="B334" s="82"/>
      <c r="C334" s="82"/>
      <c r="H334" s="82"/>
      <c r="I334" s="82"/>
      <c r="J334" s="82"/>
      <c r="K334" s="82"/>
      <c r="L334" s="82"/>
    </row>
    <row r="335">
      <c r="A335" s="82"/>
      <c r="B335" s="82"/>
      <c r="C335" s="82"/>
      <c r="H335" s="82"/>
      <c r="I335" s="82"/>
      <c r="J335" s="82"/>
      <c r="K335" s="82"/>
      <c r="L335" s="82"/>
    </row>
    <row r="336">
      <c r="A336" s="82"/>
      <c r="B336" s="82"/>
      <c r="C336" s="82"/>
      <c r="H336" s="82"/>
      <c r="I336" s="82"/>
      <c r="J336" s="82"/>
      <c r="K336" s="82"/>
      <c r="L336" s="82"/>
    </row>
    <row r="337">
      <c r="A337" s="82"/>
      <c r="B337" s="82"/>
      <c r="C337" s="82"/>
      <c r="H337" s="82"/>
      <c r="I337" s="82"/>
      <c r="J337" s="82"/>
      <c r="K337" s="82"/>
      <c r="L337" s="82"/>
    </row>
    <row r="338">
      <c r="A338" s="82"/>
      <c r="B338" s="82"/>
      <c r="C338" s="82"/>
      <c r="H338" s="82"/>
      <c r="I338" s="82"/>
      <c r="J338" s="82"/>
      <c r="K338" s="82"/>
      <c r="L338" s="82"/>
    </row>
    <row r="339">
      <c r="A339" s="82"/>
      <c r="B339" s="82"/>
      <c r="C339" s="82"/>
      <c r="H339" s="82"/>
      <c r="I339" s="82"/>
      <c r="J339" s="82"/>
      <c r="K339" s="82"/>
      <c r="L339" s="82"/>
    </row>
    <row r="340">
      <c r="A340" s="82"/>
      <c r="B340" s="82"/>
      <c r="C340" s="82"/>
      <c r="H340" s="82"/>
      <c r="I340" s="82"/>
      <c r="J340" s="82"/>
      <c r="K340" s="82"/>
      <c r="L340" s="82"/>
    </row>
    <row r="341">
      <c r="A341" s="82"/>
      <c r="B341" s="82"/>
      <c r="C341" s="82"/>
      <c r="H341" s="82"/>
      <c r="I341" s="82"/>
      <c r="J341" s="82"/>
      <c r="K341" s="82"/>
      <c r="L341" s="82"/>
    </row>
    <row r="342">
      <c r="A342" s="82"/>
      <c r="B342" s="82"/>
      <c r="C342" s="82"/>
      <c r="H342" s="82"/>
      <c r="I342" s="82"/>
      <c r="J342" s="82"/>
      <c r="K342" s="82"/>
      <c r="L342" s="82"/>
    </row>
    <row r="343">
      <c r="A343" s="82"/>
      <c r="B343" s="82"/>
      <c r="C343" s="82"/>
      <c r="H343" s="82"/>
      <c r="I343" s="82"/>
      <c r="J343" s="82"/>
      <c r="K343" s="82"/>
      <c r="L343" s="82"/>
    </row>
    <row r="344">
      <c r="A344" s="82"/>
      <c r="B344" s="82"/>
      <c r="C344" s="82"/>
      <c r="H344" s="82"/>
      <c r="I344" s="82"/>
      <c r="J344" s="82"/>
      <c r="K344" s="82"/>
      <c r="L344" s="82"/>
    </row>
    <row r="345">
      <c r="A345" s="82"/>
      <c r="B345" s="82"/>
      <c r="C345" s="82"/>
      <c r="H345" s="82"/>
      <c r="I345" s="82"/>
      <c r="J345" s="82"/>
      <c r="K345" s="82"/>
      <c r="L345" s="82"/>
    </row>
    <row r="346">
      <c r="A346" s="82"/>
      <c r="B346" s="82"/>
      <c r="C346" s="82"/>
      <c r="H346" s="82"/>
      <c r="I346" s="82"/>
      <c r="J346" s="82"/>
      <c r="K346" s="82"/>
      <c r="L346" s="82"/>
    </row>
    <row r="347">
      <c r="A347" s="82"/>
      <c r="B347" s="82"/>
      <c r="C347" s="82"/>
      <c r="H347" s="82"/>
      <c r="I347" s="82"/>
      <c r="J347" s="82"/>
      <c r="K347" s="82"/>
      <c r="L347" s="82"/>
    </row>
    <row r="348">
      <c r="A348" s="82"/>
      <c r="B348" s="82"/>
      <c r="C348" s="82"/>
      <c r="H348" s="82"/>
      <c r="I348" s="82"/>
      <c r="J348" s="82"/>
      <c r="K348" s="82"/>
      <c r="L348" s="82"/>
    </row>
    <row r="349">
      <c r="A349" s="82"/>
      <c r="B349" s="82"/>
      <c r="C349" s="82"/>
      <c r="H349" s="82"/>
      <c r="I349" s="82"/>
      <c r="J349" s="82"/>
      <c r="K349" s="82"/>
      <c r="L349" s="82"/>
    </row>
    <row r="350">
      <c r="A350" s="82"/>
      <c r="B350" s="82"/>
      <c r="C350" s="82"/>
      <c r="H350" s="82"/>
      <c r="I350" s="82"/>
      <c r="J350" s="82"/>
      <c r="K350" s="82"/>
      <c r="L350" s="82"/>
    </row>
    <row r="351">
      <c r="A351" s="82"/>
      <c r="B351" s="82"/>
      <c r="C351" s="82"/>
      <c r="H351" s="82"/>
      <c r="I351" s="82"/>
      <c r="J351" s="82"/>
      <c r="K351" s="82"/>
      <c r="L351" s="82"/>
    </row>
    <row r="352">
      <c r="A352" s="82"/>
      <c r="B352" s="82"/>
      <c r="C352" s="82"/>
      <c r="H352" s="82"/>
      <c r="I352" s="82"/>
      <c r="J352" s="82"/>
      <c r="K352" s="82"/>
      <c r="L352" s="82"/>
    </row>
    <row r="353">
      <c r="A353" s="82"/>
      <c r="B353" s="82"/>
      <c r="C353" s="82"/>
      <c r="H353" s="82"/>
      <c r="I353" s="82"/>
      <c r="J353" s="82"/>
      <c r="K353" s="82"/>
      <c r="L353" s="82"/>
    </row>
    <row r="354">
      <c r="A354" s="82"/>
      <c r="B354" s="82"/>
      <c r="C354" s="82"/>
      <c r="H354" s="82"/>
      <c r="I354" s="82"/>
      <c r="J354" s="82"/>
      <c r="K354" s="82"/>
      <c r="L354" s="82"/>
    </row>
    <row r="355">
      <c r="A355" s="82"/>
      <c r="B355" s="82"/>
      <c r="C355" s="82"/>
      <c r="H355" s="82"/>
      <c r="I355" s="82"/>
      <c r="J355" s="82"/>
      <c r="K355" s="82"/>
      <c r="L355" s="82"/>
    </row>
    <row r="356">
      <c r="A356" s="82"/>
      <c r="B356" s="82"/>
      <c r="C356" s="82"/>
      <c r="H356" s="82"/>
      <c r="I356" s="82"/>
      <c r="J356" s="82"/>
      <c r="K356" s="82"/>
      <c r="L356" s="82"/>
    </row>
    <row r="357">
      <c r="A357" s="82"/>
      <c r="B357" s="82"/>
      <c r="C357" s="82"/>
      <c r="H357" s="82"/>
      <c r="I357" s="82"/>
      <c r="J357" s="82"/>
      <c r="K357" s="82"/>
      <c r="L357" s="82"/>
    </row>
    <row r="358">
      <c r="A358" s="82"/>
      <c r="B358" s="82"/>
      <c r="C358" s="82"/>
      <c r="H358" s="82"/>
      <c r="I358" s="82"/>
      <c r="J358" s="82"/>
      <c r="K358" s="82"/>
      <c r="L358" s="82"/>
    </row>
    <row r="359">
      <c r="A359" s="82"/>
      <c r="B359" s="82"/>
      <c r="C359" s="82"/>
      <c r="H359" s="82"/>
      <c r="I359" s="82"/>
      <c r="J359" s="82"/>
      <c r="K359" s="82"/>
      <c r="L359" s="82"/>
    </row>
    <row r="360">
      <c r="A360" s="82"/>
      <c r="B360" s="82"/>
      <c r="C360" s="82"/>
      <c r="H360" s="82"/>
      <c r="I360" s="82"/>
      <c r="J360" s="82"/>
      <c r="K360" s="82"/>
      <c r="L360" s="82"/>
    </row>
    <row r="361">
      <c r="A361" s="82"/>
      <c r="B361" s="82"/>
      <c r="C361" s="82"/>
      <c r="H361" s="82"/>
      <c r="I361" s="82"/>
      <c r="J361" s="82"/>
      <c r="K361" s="82"/>
      <c r="L361" s="82"/>
    </row>
    <row r="362">
      <c r="A362" s="82"/>
      <c r="B362" s="82"/>
      <c r="C362" s="82"/>
      <c r="H362" s="82"/>
      <c r="I362" s="82"/>
      <c r="J362" s="82"/>
      <c r="K362" s="82"/>
      <c r="L362" s="82"/>
    </row>
    <row r="363">
      <c r="A363" s="82"/>
      <c r="B363" s="82"/>
      <c r="C363" s="82"/>
      <c r="H363" s="82"/>
      <c r="I363" s="82"/>
      <c r="J363" s="82"/>
      <c r="K363" s="82"/>
      <c r="L363" s="82"/>
    </row>
    <row r="364">
      <c r="A364" s="82"/>
      <c r="B364" s="82"/>
      <c r="C364" s="82"/>
      <c r="H364" s="82"/>
      <c r="I364" s="82"/>
      <c r="J364" s="82"/>
      <c r="K364" s="82"/>
      <c r="L364" s="82"/>
    </row>
    <row r="365">
      <c r="A365" s="82"/>
      <c r="B365" s="82"/>
      <c r="C365" s="82"/>
      <c r="H365" s="82"/>
      <c r="I365" s="82"/>
      <c r="J365" s="82"/>
      <c r="K365" s="82"/>
      <c r="L365" s="82"/>
    </row>
    <row r="366">
      <c r="A366" s="82"/>
      <c r="B366" s="82"/>
      <c r="C366" s="82"/>
      <c r="H366" s="82"/>
      <c r="I366" s="82"/>
      <c r="J366" s="82"/>
      <c r="K366" s="82"/>
      <c r="L366" s="82"/>
    </row>
    <row r="367">
      <c r="A367" s="82"/>
      <c r="B367" s="82"/>
      <c r="C367" s="82"/>
      <c r="H367" s="82"/>
      <c r="I367" s="82"/>
      <c r="J367" s="82"/>
      <c r="K367" s="82"/>
      <c r="L367" s="82"/>
    </row>
    <row r="368">
      <c r="A368" s="82"/>
      <c r="B368" s="82"/>
      <c r="C368" s="82"/>
      <c r="H368" s="82"/>
      <c r="I368" s="82"/>
      <c r="J368" s="82"/>
      <c r="K368" s="82"/>
      <c r="L368" s="82"/>
    </row>
    <row r="369">
      <c r="A369" s="82"/>
      <c r="B369" s="82"/>
      <c r="C369" s="82"/>
      <c r="H369" s="82"/>
      <c r="I369" s="82"/>
      <c r="J369" s="82"/>
      <c r="K369" s="82"/>
      <c r="L369" s="82"/>
    </row>
    <row r="370">
      <c r="A370" s="82"/>
      <c r="B370" s="82"/>
      <c r="C370" s="82"/>
      <c r="H370" s="82"/>
      <c r="I370" s="82"/>
      <c r="J370" s="82"/>
      <c r="K370" s="82"/>
      <c r="L370" s="82"/>
    </row>
    <row r="371">
      <c r="A371" s="82"/>
      <c r="B371" s="82"/>
      <c r="C371" s="82"/>
      <c r="H371" s="82"/>
      <c r="I371" s="82"/>
      <c r="J371" s="82"/>
      <c r="K371" s="82"/>
      <c r="L371" s="82"/>
    </row>
    <row r="372">
      <c r="A372" s="82"/>
      <c r="B372" s="82"/>
      <c r="C372" s="82"/>
      <c r="H372" s="82"/>
      <c r="I372" s="82"/>
      <c r="J372" s="82"/>
      <c r="K372" s="82"/>
      <c r="L372" s="82"/>
    </row>
    <row r="373">
      <c r="A373" s="82"/>
      <c r="B373" s="82"/>
      <c r="C373" s="82"/>
      <c r="H373" s="82"/>
      <c r="I373" s="82"/>
      <c r="J373" s="82"/>
      <c r="K373" s="82"/>
      <c r="L373" s="82"/>
    </row>
    <row r="374">
      <c r="A374" s="82"/>
      <c r="B374" s="82"/>
      <c r="C374" s="82"/>
      <c r="H374" s="82"/>
      <c r="I374" s="82"/>
      <c r="J374" s="82"/>
      <c r="K374" s="82"/>
      <c r="L374" s="82"/>
    </row>
    <row r="375">
      <c r="A375" s="82"/>
      <c r="B375" s="82"/>
      <c r="C375" s="82"/>
      <c r="H375" s="82"/>
      <c r="I375" s="82"/>
      <c r="J375" s="82"/>
      <c r="K375" s="82"/>
      <c r="L375" s="82"/>
    </row>
    <row r="376">
      <c r="A376" s="82"/>
      <c r="B376" s="82"/>
      <c r="C376" s="82"/>
      <c r="H376" s="82"/>
      <c r="I376" s="82"/>
      <c r="J376" s="82"/>
      <c r="K376" s="82"/>
      <c r="L376" s="82"/>
    </row>
    <row r="377">
      <c r="A377" s="82"/>
      <c r="B377" s="82"/>
      <c r="C377" s="82"/>
      <c r="H377" s="82"/>
      <c r="I377" s="82"/>
      <c r="J377" s="82"/>
      <c r="K377" s="82"/>
      <c r="L377" s="82"/>
    </row>
    <row r="378">
      <c r="A378" s="82"/>
      <c r="B378" s="82"/>
      <c r="C378" s="82"/>
      <c r="H378" s="82"/>
      <c r="I378" s="82"/>
      <c r="J378" s="82"/>
      <c r="K378" s="82"/>
      <c r="L378" s="82"/>
    </row>
    <row r="379">
      <c r="A379" s="82"/>
      <c r="B379" s="82"/>
      <c r="C379" s="82"/>
      <c r="H379" s="82"/>
      <c r="I379" s="82"/>
      <c r="J379" s="82"/>
      <c r="K379" s="82"/>
      <c r="L379" s="82"/>
    </row>
    <row r="380">
      <c r="A380" s="82"/>
      <c r="B380" s="82"/>
      <c r="C380" s="82"/>
      <c r="H380" s="82"/>
      <c r="I380" s="82"/>
      <c r="J380" s="82"/>
      <c r="K380" s="82"/>
      <c r="L380" s="82"/>
    </row>
    <row r="381">
      <c r="A381" s="82"/>
      <c r="B381" s="82"/>
      <c r="C381" s="82"/>
      <c r="H381" s="82"/>
      <c r="I381" s="82"/>
      <c r="J381" s="82"/>
      <c r="K381" s="82"/>
      <c r="L381" s="82"/>
    </row>
    <row r="382">
      <c r="A382" s="82"/>
      <c r="B382" s="82"/>
      <c r="C382" s="82"/>
      <c r="H382" s="82"/>
      <c r="I382" s="82"/>
      <c r="J382" s="82"/>
      <c r="K382" s="82"/>
      <c r="L382" s="82"/>
    </row>
    <row r="383">
      <c r="A383" s="82"/>
      <c r="B383" s="82"/>
      <c r="C383" s="82"/>
      <c r="H383" s="82"/>
      <c r="I383" s="82"/>
      <c r="J383" s="82"/>
      <c r="K383" s="82"/>
      <c r="L383" s="82"/>
    </row>
    <row r="384">
      <c r="A384" s="82"/>
      <c r="B384" s="82"/>
      <c r="C384" s="82"/>
      <c r="H384" s="82"/>
      <c r="I384" s="82"/>
      <c r="J384" s="82"/>
      <c r="K384" s="82"/>
      <c r="L384" s="82"/>
    </row>
    <row r="385">
      <c r="A385" s="82"/>
      <c r="B385" s="82"/>
      <c r="C385" s="82"/>
      <c r="H385" s="82"/>
      <c r="I385" s="82"/>
      <c r="J385" s="82"/>
      <c r="K385" s="82"/>
      <c r="L385" s="82"/>
    </row>
    <row r="386">
      <c r="A386" s="82"/>
      <c r="B386" s="82"/>
      <c r="C386" s="82"/>
      <c r="H386" s="82"/>
      <c r="I386" s="82"/>
      <c r="J386" s="82"/>
      <c r="K386" s="82"/>
      <c r="L386" s="82"/>
    </row>
    <row r="387">
      <c r="A387" s="82"/>
      <c r="B387" s="82"/>
      <c r="C387" s="82"/>
      <c r="H387" s="82"/>
      <c r="I387" s="82"/>
      <c r="J387" s="82"/>
      <c r="K387" s="82"/>
      <c r="L387" s="82"/>
    </row>
    <row r="388">
      <c r="A388" s="82"/>
      <c r="B388" s="82"/>
      <c r="C388" s="82"/>
      <c r="H388" s="82"/>
      <c r="I388" s="82"/>
      <c r="J388" s="82"/>
      <c r="K388" s="82"/>
      <c r="L388" s="82"/>
    </row>
    <row r="389">
      <c r="A389" s="82"/>
      <c r="B389" s="82"/>
      <c r="C389" s="82"/>
      <c r="H389" s="82"/>
      <c r="I389" s="82"/>
      <c r="J389" s="82"/>
      <c r="K389" s="82"/>
      <c r="L389" s="82"/>
    </row>
    <row r="390">
      <c r="A390" s="82"/>
      <c r="B390" s="82"/>
      <c r="C390" s="82"/>
      <c r="H390" s="82"/>
      <c r="I390" s="82"/>
      <c r="J390" s="82"/>
      <c r="K390" s="82"/>
      <c r="L390" s="82"/>
    </row>
    <row r="391">
      <c r="A391" s="82"/>
      <c r="B391" s="82"/>
      <c r="C391" s="82"/>
      <c r="H391" s="82"/>
      <c r="I391" s="82"/>
      <c r="J391" s="82"/>
      <c r="K391" s="82"/>
      <c r="L391" s="82"/>
    </row>
    <row r="392">
      <c r="A392" s="82"/>
      <c r="B392" s="82"/>
      <c r="C392" s="82"/>
      <c r="H392" s="82"/>
      <c r="I392" s="82"/>
      <c r="J392" s="82"/>
      <c r="K392" s="82"/>
      <c r="L392" s="82"/>
    </row>
    <row r="393">
      <c r="A393" s="82"/>
      <c r="B393" s="82"/>
      <c r="C393" s="82"/>
      <c r="H393" s="82"/>
      <c r="I393" s="82"/>
      <c r="J393" s="82"/>
      <c r="K393" s="82"/>
      <c r="L393" s="82"/>
    </row>
    <row r="394">
      <c r="A394" s="82"/>
      <c r="B394" s="82"/>
      <c r="C394" s="82"/>
      <c r="H394" s="82"/>
      <c r="I394" s="82"/>
      <c r="J394" s="82"/>
      <c r="K394" s="82"/>
      <c r="L394" s="82"/>
    </row>
    <row r="395">
      <c r="A395" s="82"/>
      <c r="B395" s="82"/>
      <c r="C395" s="82"/>
      <c r="H395" s="82"/>
      <c r="I395" s="82"/>
      <c r="J395" s="82"/>
      <c r="K395" s="82"/>
      <c r="L395" s="82"/>
    </row>
    <row r="396">
      <c r="A396" s="82"/>
      <c r="B396" s="82"/>
      <c r="C396" s="82"/>
      <c r="H396" s="82"/>
      <c r="I396" s="82"/>
      <c r="J396" s="82"/>
      <c r="K396" s="82"/>
      <c r="L396" s="82"/>
    </row>
    <row r="397">
      <c r="A397" s="82"/>
      <c r="B397" s="82"/>
      <c r="C397" s="82"/>
      <c r="H397" s="82"/>
      <c r="I397" s="82"/>
      <c r="J397" s="82"/>
      <c r="K397" s="82"/>
      <c r="L397" s="82"/>
    </row>
    <row r="398">
      <c r="A398" s="82"/>
      <c r="B398" s="82"/>
      <c r="C398" s="82"/>
      <c r="H398" s="82"/>
      <c r="I398" s="82"/>
      <c r="J398" s="82"/>
      <c r="K398" s="82"/>
      <c r="L398" s="82"/>
    </row>
    <row r="399">
      <c r="A399" s="82"/>
      <c r="B399" s="82"/>
      <c r="C399" s="82"/>
      <c r="H399" s="82"/>
      <c r="I399" s="82"/>
      <c r="J399" s="82"/>
      <c r="K399" s="82"/>
      <c r="L399" s="82"/>
    </row>
    <row r="400">
      <c r="A400" s="82"/>
      <c r="B400" s="82"/>
      <c r="C400" s="82"/>
      <c r="H400" s="82"/>
      <c r="I400" s="82"/>
      <c r="J400" s="82"/>
      <c r="K400" s="82"/>
      <c r="L400" s="82"/>
    </row>
    <row r="401">
      <c r="A401" s="82"/>
      <c r="B401" s="82"/>
      <c r="C401" s="82"/>
      <c r="H401" s="82"/>
      <c r="I401" s="82"/>
      <c r="J401" s="82"/>
      <c r="K401" s="82"/>
      <c r="L401" s="82"/>
    </row>
    <row r="402">
      <c r="A402" s="82"/>
      <c r="B402" s="82"/>
      <c r="C402" s="82"/>
      <c r="H402" s="82"/>
      <c r="I402" s="82"/>
      <c r="J402" s="82"/>
      <c r="K402" s="82"/>
      <c r="L402" s="82"/>
    </row>
    <row r="403">
      <c r="A403" s="82"/>
      <c r="B403" s="82"/>
      <c r="C403" s="82"/>
      <c r="H403" s="82"/>
      <c r="I403" s="82"/>
      <c r="J403" s="82"/>
      <c r="K403" s="82"/>
      <c r="L403" s="82"/>
    </row>
    <row r="404">
      <c r="A404" s="82"/>
      <c r="B404" s="82"/>
      <c r="C404" s="82"/>
      <c r="H404" s="82"/>
      <c r="I404" s="82"/>
      <c r="J404" s="82"/>
      <c r="K404" s="82"/>
      <c r="L404" s="82"/>
    </row>
    <row r="405">
      <c r="A405" s="82"/>
      <c r="B405" s="82"/>
      <c r="C405" s="82"/>
      <c r="H405" s="82"/>
      <c r="I405" s="82"/>
      <c r="J405" s="82"/>
      <c r="K405" s="82"/>
      <c r="L405" s="82"/>
    </row>
    <row r="406">
      <c r="A406" s="82"/>
      <c r="B406" s="82"/>
      <c r="C406" s="82"/>
      <c r="H406" s="82"/>
      <c r="I406" s="82"/>
      <c r="J406" s="82"/>
      <c r="K406" s="82"/>
      <c r="L406" s="82"/>
    </row>
    <row r="407">
      <c r="A407" s="82"/>
      <c r="B407" s="82"/>
      <c r="C407" s="82"/>
      <c r="H407" s="82"/>
      <c r="I407" s="82"/>
      <c r="J407" s="82"/>
      <c r="K407" s="82"/>
      <c r="L407" s="82"/>
    </row>
    <row r="408">
      <c r="A408" s="82"/>
      <c r="B408" s="82"/>
      <c r="C408" s="82"/>
      <c r="H408" s="82"/>
      <c r="I408" s="82"/>
      <c r="J408" s="82"/>
      <c r="K408" s="82"/>
      <c r="L408" s="82"/>
    </row>
    <row r="409">
      <c r="A409" s="82"/>
      <c r="B409" s="82"/>
      <c r="C409" s="82"/>
      <c r="H409" s="82"/>
      <c r="I409" s="82"/>
      <c r="J409" s="82"/>
      <c r="K409" s="82"/>
      <c r="L409" s="82"/>
    </row>
    <row r="410">
      <c r="A410" s="82"/>
      <c r="B410" s="82"/>
      <c r="C410" s="82"/>
      <c r="H410" s="82"/>
      <c r="I410" s="82"/>
      <c r="J410" s="82"/>
      <c r="K410" s="82"/>
      <c r="L410" s="82"/>
    </row>
    <row r="411">
      <c r="A411" s="82"/>
      <c r="B411" s="82"/>
      <c r="C411" s="82"/>
      <c r="H411" s="82"/>
      <c r="I411" s="82"/>
      <c r="J411" s="82"/>
      <c r="K411" s="82"/>
      <c r="L411" s="82"/>
    </row>
    <row r="412">
      <c r="A412" s="82"/>
      <c r="B412" s="82"/>
      <c r="C412" s="82"/>
      <c r="H412" s="82"/>
      <c r="I412" s="82"/>
      <c r="J412" s="82"/>
      <c r="K412" s="82"/>
      <c r="L412" s="82"/>
    </row>
    <row r="413">
      <c r="A413" s="82"/>
      <c r="B413" s="82"/>
      <c r="C413" s="82"/>
      <c r="H413" s="82"/>
      <c r="I413" s="82"/>
      <c r="J413" s="82"/>
      <c r="K413" s="82"/>
      <c r="L413" s="82"/>
    </row>
    <row r="414">
      <c r="A414" s="82"/>
      <c r="B414" s="82"/>
      <c r="C414" s="82"/>
      <c r="H414" s="82"/>
      <c r="I414" s="82"/>
      <c r="J414" s="82"/>
      <c r="K414" s="82"/>
      <c r="L414" s="82"/>
    </row>
    <row r="415">
      <c r="A415" s="82"/>
      <c r="B415" s="82"/>
      <c r="C415" s="82"/>
      <c r="H415" s="82"/>
      <c r="I415" s="82"/>
      <c r="J415" s="82"/>
      <c r="K415" s="82"/>
      <c r="L415" s="82"/>
    </row>
    <row r="416">
      <c r="A416" s="82"/>
      <c r="B416" s="82"/>
      <c r="C416" s="82"/>
      <c r="H416" s="82"/>
      <c r="I416" s="82"/>
      <c r="J416" s="82"/>
      <c r="K416" s="82"/>
      <c r="L416" s="82"/>
    </row>
    <row r="417">
      <c r="A417" s="82"/>
      <c r="B417" s="82"/>
      <c r="C417" s="82"/>
      <c r="H417" s="82"/>
      <c r="I417" s="82"/>
      <c r="J417" s="82"/>
      <c r="K417" s="82"/>
      <c r="L417" s="82"/>
    </row>
    <row r="418">
      <c r="A418" s="82"/>
      <c r="B418" s="82"/>
      <c r="C418" s="82"/>
      <c r="H418" s="82"/>
      <c r="I418" s="82"/>
      <c r="J418" s="82"/>
      <c r="K418" s="82"/>
      <c r="L418" s="82"/>
    </row>
    <row r="419">
      <c r="A419" s="82"/>
      <c r="B419" s="82"/>
      <c r="C419" s="82"/>
      <c r="H419" s="82"/>
      <c r="I419" s="82"/>
      <c r="J419" s="82"/>
      <c r="K419" s="82"/>
      <c r="L419" s="82"/>
    </row>
    <row r="420">
      <c r="A420" s="82"/>
      <c r="B420" s="82"/>
      <c r="C420" s="82"/>
      <c r="H420" s="82"/>
      <c r="I420" s="82"/>
      <c r="J420" s="82"/>
      <c r="K420" s="82"/>
      <c r="L420" s="82"/>
    </row>
    <row r="421">
      <c r="A421" s="82"/>
      <c r="B421" s="82"/>
      <c r="C421" s="82"/>
      <c r="H421" s="82"/>
      <c r="I421" s="82"/>
      <c r="J421" s="82"/>
      <c r="K421" s="82"/>
      <c r="L421" s="82"/>
    </row>
    <row r="422">
      <c r="A422" s="82"/>
      <c r="B422" s="82"/>
      <c r="C422" s="82"/>
      <c r="H422" s="82"/>
      <c r="I422" s="82"/>
      <c r="J422" s="82"/>
      <c r="K422" s="82"/>
      <c r="L422" s="82"/>
    </row>
    <row r="423">
      <c r="A423" s="82"/>
      <c r="B423" s="82"/>
      <c r="C423" s="82"/>
      <c r="H423" s="82"/>
      <c r="I423" s="82"/>
      <c r="J423" s="82"/>
      <c r="K423" s="82"/>
      <c r="L423" s="82"/>
    </row>
    <row r="424">
      <c r="A424" s="82"/>
      <c r="B424" s="82"/>
      <c r="C424" s="82"/>
      <c r="H424" s="82"/>
      <c r="I424" s="82"/>
      <c r="J424" s="82"/>
      <c r="K424" s="82"/>
      <c r="L424" s="82"/>
    </row>
    <row r="425">
      <c r="A425" s="82"/>
      <c r="B425" s="82"/>
      <c r="C425" s="82"/>
      <c r="H425" s="82"/>
      <c r="I425" s="82"/>
      <c r="J425" s="82"/>
      <c r="K425" s="82"/>
      <c r="L425" s="82"/>
    </row>
    <row r="426">
      <c r="A426" s="82"/>
      <c r="B426" s="82"/>
      <c r="C426" s="82"/>
      <c r="H426" s="82"/>
      <c r="I426" s="82"/>
      <c r="J426" s="82"/>
      <c r="K426" s="82"/>
      <c r="L426" s="82"/>
    </row>
    <row r="427">
      <c r="A427" s="82"/>
      <c r="B427" s="82"/>
      <c r="C427" s="82"/>
      <c r="H427" s="82"/>
      <c r="I427" s="82"/>
      <c r="J427" s="82"/>
      <c r="K427" s="82"/>
      <c r="L427" s="82"/>
    </row>
    <row r="428">
      <c r="A428" s="82"/>
      <c r="B428" s="82"/>
      <c r="C428" s="82"/>
      <c r="H428" s="82"/>
      <c r="I428" s="82"/>
      <c r="J428" s="82"/>
      <c r="K428" s="82"/>
      <c r="L428" s="82"/>
    </row>
    <row r="429">
      <c r="A429" s="82"/>
      <c r="B429" s="82"/>
      <c r="C429" s="82"/>
      <c r="H429" s="82"/>
      <c r="I429" s="82"/>
      <c r="J429" s="82"/>
      <c r="K429" s="82"/>
      <c r="L429" s="82"/>
    </row>
    <row r="430">
      <c r="A430" s="82"/>
      <c r="B430" s="82"/>
      <c r="C430" s="82"/>
      <c r="H430" s="82"/>
      <c r="I430" s="82"/>
      <c r="J430" s="82"/>
      <c r="K430" s="82"/>
      <c r="L430" s="82"/>
    </row>
    <row r="431">
      <c r="A431" s="82"/>
      <c r="B431" s="82"/>
      <c r="C431" s="82"/>
      <c r="H431" s="82"/>
      <c r="I431" s="82"/>
      <c r="J431" s="82"/>
      <c r="K431" s="82"/>
      <c r="L431" s="82"/>
    </row>
    <row r="432">
      <c r="A432" s="82"/>
      <c r="B432" s="82"/>
      <c r="C432" s="82"/>
      <c r="H432" s="82"/>
      <c r="I432" s="82"/>
      <c r="J432" s="82"/>
      <c r="K432" s="82"/>
      <c r="L432" s="82"/>
    </row>
    <row r="433">
      <c r="A433" s="82"/>
      <c r="B433" s="82"/>
      <c r="C433" s="82"/>
      <c r="H433" s="82"/>
      <c r="I433" s="82"/>
      <c r="J433" s="82"/>
      <c r="K433" s="82"/>
      <c r="L433" s="82"/>
    </row>
    <row r="434">
      <c r="A434" s="82"/>
      <c r="B434" s="82"/>
      <c r="C434" s="82"/>
      <c r="H434" s="82"/>
      <c r="I434" s="82"/>
      <c r="J434" s="82"/>
      <c r="K434" s="82"/>
      <c r="L434" s="82"/>
    </row>
    <row r="435">
      <c r="A435" s="82"/>
      <c r="B435" s="82"/>
      <c r="C435" s="82"/>
      <c r="H435" s="82"/>
      <c r="I435" s="82"/>
      <c r="J435" s="82"/>
      <c r="K435" s="82"/>
      <c r="L435" s="82"/>
    </row>
    <row r="436">
      <c r="A436" s="82"/>
      <c r="B436" s="82"/>
      <c r="C436" s="82"/>
      <c r="H436" s="82"/>
      <c r="I436" s="82"/>
      <c r="J436" s="82"/>
      <c r="K436" s="82"/>
      <c r="L436" s="82"/>
    </row>
    <row r="437">
      <c r="A437" s="82"/>
      <c r="B437" s="82"/>
      <c r="C437" s="82"/>
      <c r="H437" s="82"/>
      <c r="I437" s="82"/>
      <c r="J437" s="82"/>
      <c r="K437" s="82"/>
      <c r="L437" s="82"/>
    </row>
    <row r="438">
      <c r="A438" s="82"/>
      <c r="B438" s="82"/>
      <c r="C438" s="82"/>
      <c r="H438" s="82"/>
      <c r="I438" s="82"/>
      <c r="J438" s="82"/>
      <c r="K438" s="82"/>
      <c r="L438" s="82"/>
    </row>
    <row r="439">
      <c r="A439" s="36"/>
      <c r="B439" s="36"/>
      <c r="C439" s="36"/>
      <c r="H439" s="36"/>
      <c r="I439" s="36"/>
      <c r="J439" s="36"/>
      <c r="K439" s="36"/>
      <c r="L439" s="36"/>
    </row>
    <row r="440">
      <c r="A440" s="36"/>
      <c r="B440" s="36"/>
      <c r="C440" s="36"/>
      <c r="H440" s="36"/>
      <c r="I440" s="36"/>
      <c r="J440" s="36"/>
      <c r="K440" s="36"/>
      <c r="L440" s="36"/>
    </row>
    <row r="441">
      <c r="A441" s="36"/>
      <c r="B441" s="36"/>
      <c r="C441" s="36"/>
      <c r="H441" s="36"/>
      <c r="I441" s="36"/>
      <c r="J441" s="36"/>
      <c r="K441" s="36"/>
      <c r="L441" s="36"/>
    </row>
    <row r="442">
      <c r="A442" s="36"/>
      <c r="B442" s="36"/>
      <c r="C442" s="36"/>
      <c r="H442" s="36"/>
      <c r="I442" s="36"/>
      <c r="J442" s="36"/>
      <c r="K442" s="36"/>
      <c r="L442" s="36"/>
    </row>
    <row r="443">
      <c r="A443" s="36"/>
      <c r="B443" s="36"/>
      <c r="C443" s="36"/>
      <c r="H443" s="36"/>
      <c r="I443" s="36"/>
      <c r="J443" s="36"/>
      <c r="K443" s="36"/>
      <c r="L443" s="36"/>
    </row>
    <row r="444">
      <c r="A444" s="36"/>
      <c r="B444" s="36"/>
      <c r="C444" s="36"/>
      <c r="H444" s="36"/>
      <c r="I444" s="36"/>
      <c r="J444" s="36"/>
      <c r="K444" s="36"/>
      <c r="L444" s="36"/>
    </row>
    <row r="445">
      <c r="A445" s="36"/>
      <c r="B445" s="36"/>
      <c r="C445" s="36"/>
      <c r="H445" s="36"/>
      <c r="I445" s="36"/>
      <c r="J445" s="36"/>
      <c r="K445" s="36"/>
      <c r="L445" s="36"/>
    </row>
    <row r="446">
      <c r="A446" s="36"/>
      <c r="B446" s="36"/>
      <c r="C446" s="36"/>
      <c r="H446" s="36"/>
      <c r="I446" s="36"/>
      <c r="J446" s="36"/>
      <c r="K446" s="36"/>
      <c r="L446" s="36"/>
    </row>
    <row r="447">
      <c r="A447" s="36"/>
      <c r="B447" s="36"/>
      <c r="C447" s="36"/>
      <c r="H447" s="36"/>
      <c r="I447" s="36"/>
      <c r="J447" s="36"/>
      <c r="K447" s="36"/>
      <c r="L447" s="36"/>
    </row>
    <row r="448">
      <c r="A448" s="36"/>
      <c r="B448" s="36"/>
      <c r="C448" s="36"/>
      <c r="H448" s="36"/>
      <c r="I448" s="36"/>
      <c r="J448" s="36"/>
      <c r="K448" s="36"/>
      <c r="L448" s="36"/>
    </row>
    <row r="449">
      <c r="A449" s="36"/>
      <c r="B449" s="36"/>
      <c r="C449" s="36"/>
      <c r="H449" s="36"/>
      <c r="I449" s="36"/>
      <c r="J449" s="36"/>
      <c r="K449" s="36"/>
      <c r="L449" s="36"/>
    </row>
    <row r="450">
      <c r="A450" s="36"/>
      <c r="B450" s="36"/>
      <c r="C450" s="36"/>
      <c r="H450" s="36"/>
      <c r="I450" s="36"/>
      <c r="J450" s="36"/>
      <c r="K450" s="36"/>
      <c r="L450" s="36"/>
    </row>
    <row r="451">
      <c r="A451" s="36"/>
      <c r="B451" s="36"/>
      <c r="C451" s="36"/>
      <c r="H451" s="36"/>
      <c r="I451" s="36"/>
      <c r="J451" s="36"/>
      <c r="K451" s="36"/>
      <c r="L451" s="36"/>
    </row>
    <row r="452">
      <c r="A452" s="36"/>
      <c r="B452" s="36"/>
      <c r="C452" s="36"/>
      <c r="H452" s="36"/>
      <c r="I452" s="36"/>
      <c r="J452" s="36"/>
      <c r="K452" s="36"/>
      <c r="L452" s="36"/>
    </row>
    <row r="453">
      <c r="A453" s="36"/>
      <c r="B453" s="36"/>
      <c r="C453" s="36"/>
      <c r="H453" s="36"/>
      <c r="I453" s="36"/>
      <c r="J453" s="36"/>
      <c r="K453" s="36"/>
      <c r="L453" s="36"/>
    </row>
    <row r="454">
      <c r="A454" s="36"/>
      <c r="B454" s="36"/>
      <c r="C454" s="36"/>
      <c r="H454" s="36"/>
      <c r="I454" s="36"/>
      <c r="J454" s="36"/>
      <c r="K454" s="36"/>
      <c r="L454" s="36"/>
    </row>
    <row r="455">
      <c r="A455" s="36"/>
      <c r="B455" s="36"/>
      <c r="C455" s="36"/>
      <c r="H455" s="36"/>
      <c r="I455" s="36"/>
      <c r="J455" s="36"/>
      <c r="K455" s="36"/>
      <c r="L455" s="36"/>
    </row>
    <row r="456">
      <c r="A456" s="36"/>
      <c r="B456" s="36"/>
      <c r="C456" s="36"/>
      <c r="H456" s="36"/>
      <c r="I456" s="36"/>
      <c r="J456" s="36"/>
      <c r="K456" s="36"/>
      <c r="L456" s="36"/>
    </row>
    <row r="457">
      <c r="A457" s="36"/>
      <c r="B457" s="36"/>
      <c r="C457" s="36"/>
      <c r="H457" s="36"/>
      <c r="I457" s="36"/>
      <c r="J457" s="36"/>
      <c r="K457" s="36"/>
      <c r="L457" s="36"/>
    </row>
    <row r="458">
      <c r="A458" s="36"/>
      <c r="B458" s="36"/>
      <c r="C458" s="36"/>
      <c r="H458" s="36"/>
      <c r="I458" s="36"/>
      <c r="J458" s="36"/>
      <c r="K458" s="36"/>
      <c r="L458" s="36"/>
    </row>
    <row r="459">
      <c r="A459" s="36"/>
      <c r="B459" s="36"/>
      <c r="C459" s="36"/>
      <c r="H459" s="36"/>
      <c r="I459" s="36"/>
      <c r="J459" s="36"/>
      <c r="K459" s="36"/>
      <c r="L459" s="36"/>
    </row>
    <row r="460">
      <c r="A460" s="36"/>
      <c r="B460" s="36"/>
      <c r="C460" s="36"/>
      <c r="H460" s="36"/>
      <c r="I460" s="36"/>
      <c r="J460" s="36"/>
      <c r="K460" s="36"/>
      <c r="L460" s="36"/>
    </row>
    <row r="461">
      <c r="A461" s="36"/>
      <c r="B461" s="36"/>
      <c r="C461" s="36"/>
      <c r="H461" s="36"/>
      <c r="I461" s="36"/>
      <c r="J461" s="36"/>
      <c r="K461" s="36"/>
      <c r="L461" s="36"/>
    </row>
    <row r="462">
      <c r="A462" s="36"/>
      <c r="B462" s="36"/>
      <c r="C462" s="36"/>
      <c r="H462" s="36"/>
      <c r="I462" s="36"/>
      <c r="J462" s="36"/>
      <c r="K462" s="36"/>
      <c r="L462" s="36"/>
    </row>
    <row r="463">
      <c r="A463" s="36"/>
      <c r="B463" s="36"/>
      <c r="C463" s="36"/>
      <c r="H463" s="36"/>
      <c r="I463" s="36"/>
      <c r="J463" s="36"/>
      <c r="K463" s="36"/>
      <c r="L463" s="36"/>
    </row>
    <row r="464">
      <c r="A464" s="36"/>
      <c r="B464" s="36"/>
      <c r="C464" s="36"/>
      <c r="H464" s="36"/>
      <c r="I464" s="36"/>
      <c r="J464" s="36"/>
      <c r="K464" s="36"/>
      <c r="L464" s="36"/>
    </row>
    <row r="465">
      <c r="A465" s="36"/>
      <c r="B465" s="36"/>
      <c r="C465" s="36"/>
      <c r="H465" s="36"/>
      <c r="I465" s="36"/>
      <c r="J465" s="36"/>
      <c r="K465" s="36"/>
      <c r="L465" s="36"/>
    </row>
    <row r="466">
      <c r="A466" s="36"/>
      <c r="B466" s="36"/>
      <c r="C466" s="36"/>
      <c r="H466" s="36"/>
      <c r="I466" s="36"/>
      <c r="J466" s="36"/>
      <c r="K466" s="36"/>
      <c r="L466" s="36"/>
    </row>
    <row r="467">
      <c r="A467" s="36"/>
      <c r="B467" s="36"/>
      <c r="C467" s="36"/>
      <c r="H467" s="36"/>
      <c r="I467" s="36"/>
      <c r="J467" s="36"/>
      <c r="K467" s="36"/>
      <c r="L467" s="36"/>
    </row>
    <row r="468">
      <c r="A468" s="36"/>
      <c r="B468" s="36"/>
      <c r="C468" s="36"/>
      <c r="H468" s="36"/>
      <c r="I468" s="36"/>
      <c r="J468" s="36"/>
      <c r="K468" s="36"/>
      <c r="L468" s="36"/>
    </row>
    <row r="469">
      <c r="A469" s="36"/>
      <c r="B469" s="36"/>
      <c r="C469" s="36"/>
      <c r="H469" s="36"/>
      <c r="I469" s="36"/>
      <c r="J469" s="36"/>
      <c r="K469" s="36"/>
      <c r="L469" s="36"/>
    </row>
    <row r="470">
      <c r="A470" s="36"/>
      <c r="B470" s="36"/>
      <c r="C470" s="36"/>
      <c r="H470" s="36"/>
      <c r="I470" s="36"/>
      <c r="J470" s="36"/>
      <c r="K470" s="36"/>
      <c r="L470" s="36"/>
    </row>
    <row r="471">
      <c r="A471" s="36"/>
      <c r="B471" s="36"/>
      <c r="C471" s="36"/>
      <c r="H471" s="36"/>
      <c r="I471" s="36"/>
      <c r="J471" s="36"/>
      <c r="K471" s="36"/>
      <c r="L471" s="36"/>
    </row>
    <row r="472">
      <c r="A472" s="36"/>
      <c r="B472" s="36"/>
      <c r="C472" s="36"/>
      <c r="H472" s="36"/>
      <c r="I472" s="36"/>
      <c r="J472" s="36"/>
      <c r="K472" s="36"/>
      <c r="L472" s="36"/>
    </row>
    <row r="473">
      <c r="A473" s="36"/>
      <c r="B473" s="36"/>
      <c r="C473" s="36"/>
      <c r="H473" s="36"/>
      <c r="I473" s="36"/>
      <c r="J473" s="36"/>
      <c r="K473" s="36"/>
      <c r="L473" s="36"/>
    </row>
    <row r="474">
      <c r="A474" s="36"/>
      <c r="B474" s="36"/>
      <c r="C474" s="36"/>
      <c r="H474" s="36"/>
      <c r="I474" s="36"/>
      <c r="J474" s="36"/>
      <c r="K474" s="36"/>
      <c r="L474" s="36"/>
    </row>
    <row r="475">
      <c r="A475" s="36"/>
      <c r="B475" s="36"/>
      <c r="C475" s="36"/>
      <c r="H475" s="36"/>
      <c r="I475" s="36"/>
      <c r="J475" s="36"/>
      <c r="K475" s="36"/>
      <c r="L475" s="36"/>
    </row>
    <row r="476">
      <c r="A476" s="36"/>
      <c r="B476" s="36"/>
      <c r="C476" s="36"/>
      <c r="H476" s="36"/>
      <c r="I476" s="36"/>
      <c r="J476" s="36"/>
      <c r="K476" s="36"/>
      <c r="L476" s="36"/>
    </row>
    <row r="477">
      <c r="A477" s="36"/>
      <c r="B477" s="36"/>
      <c r="C477" s="36"/>
      <c r="H477" s="36"/>
      <c r="I477" s="36"/>
      <c r="J477" s="36"/>
      <c r="K477" s="36"/>
      <c r="L477" s="36"/>
    </row>
    <row r="478">
      <c r="A478" s="36"/>
      <c r="B478" s="36"/>
      <c r="C478" s="36"/>
      <c r="H478" s="36"/>
      <c r="I478" s="36"/>
      <c r="J478" s="36"/>
      <c r="K478" s="36"/>
      <c r="L478" s="36"/>
    </row>
    <row r="479">
      <c r="A479" s="36"/>
      <c r="B479" s="36"/>
      <c r="C479" s="36"/>
      <c r="H479" s="36"/>
      <c r="I479" s="36"/>
      <c r="J479" s="36"/>
      <c r="K479" s="36"/>
      <c r="L479" s="36"/>
    </row>
    <row r="480">
      <c r="A480" s="36"/>
      <c r="B480" s="36"/>
      <c r="C480" s="36"/>
      <c r="H480" s="36"/>
      <c r="I480" s="36"/>
      <c r="J480" s="36"/>
      <c r="K480" s="36"/>
      <c r="L480" s="36"/>
    </row>
    <row r="481">
      <c r="A481" s="36"/>
      <c r="B481" s="36"/>
      <c r="C481" s="36"/>
      <c r="H481" s="36"/>
      <c r="I481" s="36"/>
      <c r="J481" s="36"/>
      <c r="K481" s="36"/>
      <c r="L481" s="36"/>
    </row>
    <row r="482">
      <c r="A482" s="36"/>
      <c r="B482" s="36"/>
      <c r="C482" s="36"/>
      <c r="H482" s="36"/>
      <c r="I482" s="36"/>
      <c r="J482" s="36"/>
      <c r="K482" s="36"/>
      <c r="L482" s="36"/>
    </row>
    <row r="483">
      <c r="A483" s="36"/>
      <c r="B483" s="36"/>
      <c r="C483" s="36"/>
      <c r="H483" s="36"/>
      <c r="I483" s="36"/>
      <c r="J483" s="36"/>
      <c r="K483" s="36"/>
      <c r="L483" s="36"/>
    </row>
    <row r="484">
      <c r="A484" s="36"/>
      <c r="B484" s="36"/>
      <c r="C484" s="36"/>
      <c r="H484" s="36"/>
      <c r="I484" s="36"/>
      <c r="J484" s="36"/>
      <c r="K484" s="36"/>
      <c r="L484" s="36"/>
    </row>
    <row r="485">
      <c r="A485" s="36"/>
      <c r="B485" s="36"/>
      <c r="C485" s="36"/>
      <c r="H485" s="36"/>
      <c r="I485" s="36"/>
      <c r="J485" s="36"/>
      <c r="K485" s="36"/>
      <c r="L485" s="36"/>
    </row>
    <row r="486">
      <c r="A486" s="36"/>
      <c r="B486" s="36"/>
      <c r="C486" s="36"/>
      <c r="H486" s="36"/>
      <c r="I486" s="36"/>
      <c r="J486" s="36"/>
      <c r="K486" s="36"/>
      <c r="L486" s="36"/>
    </row>
    <row r="487">
      <c r="A487" s="36"/>
      <c r="B487" s="36"/>
      <c r="C487" s="36"/>
      <c r="H487" s="36"/>
      <c r="I487" s="36"/>
      <c r="J487" s="36"/>
      <c r="K487" s="36"/>
      <c r="L487" s="36"/>
    </row>
    <row r="488">
      <c r="A488" s="36"/>
      <c r="B488" s="36"/>
      <c r="C488" s="36"/>
      <c r="H488" s="36"/>
      <c r="I488" s="36"/>
      <c r="J488" s="36"/>
      <c r="K488" s="36"/>
      <c r="L488" s="36"/>
    </row>
    <row r="489">
      <c r="A489" s="36"/>
      <c r="B489" s="36"/>
      <c r="C489" s="36"/>
      <c r="H489" s="36"/>
      <c r="I489" s="36"/>
      <c r="J489" s="36"/>
      <c r="K489" s="36"/>
      <c r="L489" s="36"/>
    </row>
    <row r="490">
      <c r="A490" s="36"/>
      <c r="B490" s="36"/>
      <c r="C490" s="36"/>
      <c r="H490" s="36"/>
      <c r="I490" s="36"/>
      <c r="J490" s="36"/>
      <c r="K490" s="36"/>
      <c r="L490" s="36"/>
    </row>
    <row r="491">
      <c r="A491" s="36"/>
      <c r="B491" s="36"/>
      <c r="C491" s="36"/>
      <c r="H491" s="36"/>
      <c r="I491" s="36"/>
      <c r="J491" s="36"/>
      <c r="K491" s="36"/>
      <c r="L491" s="36"/>
    </row>
    <row r="492">
      <c r="A492" s="36"/>
      <c r="B492" s="36"/>
      <c r="C492" s="36"/>
      <c r="H492" s="36"/>
      <c r="I492" s="36"/>
      <c r="J492" s="36"/>
      <c r="K492" s="36"/>
      <c r="L492" s="36"/>
    </row>
    <row r="493">
      <c r="A493" s="36"/>
      <c r="B493" s="36"/>
      <c r="C493" s="36"/>
      <c r="H493" s="36"/>
      <c r="I493" s="36"/>
      <c r="J493" s="36"/>
      <c r="K493" s="36"/>
      <c r="L493" s="36"/>
    </row>
    <row r="494">
      <c r="A494" s="36"/>
      <c r="B494" s="36"/>
      <c r="C494" s="36"/>
      <c r="H494" s="36"/>
      <c r="I494" s="36"/>
      <c r="J494" s="36"/>
      <c r="K494" s="36"/>
      <c r="L494" s="36"/>
    </row>
    <row r="495">
      <c r="A495" s="36"/>
      <c r="B495" s="36"/>
      <c r="C495" s="36"/>
      <c r="H495" s="36"/>
      <c r="I495" s="36"/>
      <c r="J495" s="36"/>
      <c r="K495" s="36"/>
      <c r="L495" s="36"/>
    </row>
    <row r="496">
      <c r="A496" s="36"/>
      <c r="B496" s="36"/>
      <c r="C496" s="36"/>
      <c r="H496" s="36"/>
      <c r="I496" s="36"/>
      <c r="J496" s="36"/>
      <c r="K496" s="36"/>
      <c r="L496" s="36"/>
    </row>
    <row r="497">
      <c r="A497" s="36"/>
      <c r="B497" s="36"/>
      <c r="C497" s="36"/>
      <c r="H497" s="36"/>
      <c r="I497" s="36"/>
      <c r="J497" s="36"/>
      <c r="K497" s="36"/>
      <c r="L497" s="36"/>
    </row>
    <row r="498">
      <c r="A498" s="36"/>
      <c r="B498" s="36"/>
      <c r="C498" s="36"/>
      <c r="H498" s="36"/>
      <c r="I498" s="36"/>
      <c r="J498" s="36"/>
      <c r="K498" s="36"/>
      <c r="L498" s="36"/>
    </row>
    <row r="499">
      <c r="A499" s="36"/>
      <c r="B499" s="36"/>
      <c r="C499" s="36"/>
      <c r="H499" s="36"/>
      <c r="I499" s="36"/>
      <c r="J499" s="36"/>
      <c r="K499" s="36"/>
      <c r="L499" s="36"/>
    </row>
    <row r="500">
      <c r="A500" s="36"/>
      <c r="B500" s="36"/>
      <c r="C500" s="36"/>
      <c r="H500" s="36"/>
      <c r="I500" s="36"/>
      <c r="J500" s="36"/>
      <c r="K500" s="36"/>
      <c r="L500" s="36"/>
    </row>
    <row r="501">
      <c r="A501" s="36"/>
      <c r="B501" s="36"/>
      <c r="C501" s="36"/>
      <c r="H501" s="36"/>
      <c r="I501" s="36"/>
      <c r="J501" s="36"/>
      <c r="K501" s="36"/>
      <c r="L501" s="36"/>
    </row>
    <row r="502">
      <c r="A502" s="36"/>
      <c r="B502" s="36"/>
      <c r="C502" s="36"/>
      <c r="H502" s="36"/>
      <c r="I502" s="36"/>
      <c r="J502" s="36"/>
      <c r="K502" s="36"/>
      <c r="L502" s="36"/>
    </row>
    <row r="503">
      <c r="A503" s="36"/>
      <c r="B503" s="36"/>
      <c r="C503" s="36"/>
      <c r="H503" s="36"/>
      <c r="I503" s="36"/>
      <c r="J503" s="36"/>
      <c r="K503" s="36"/>
      <c r="L503" s="36"/>
    </row>
    <row r="504">
      <c r="A504" s="36"/>
      <c r="B504" s="36"/>
      <c r="C504" s="36"/>
      <c r="H504" s="36"/>
      <c r="I504" s="36"/>
      <c r="J504" s="36"/>
      <c r="K504" s="36"/>
      <c r="L504" s="36"/>
    </row>
    <row r="505">
      <c r="A505" s="36"/>
      <c r="B505" s="36"/>
      <c r="C505" s="36"/>
      <c r="H505" s="36"/>
      <c r="I505" s="36"/>
      <c r="J505" s="36"/>
      <c r="K505" s="36"/>
      <c r="L505" s="36"/>
    </row>
    <row r="506">
      <c r="A506" s="36"/>
      <c r="B506" s="36"/>
      <c r="C506" s="36"/>
      <c r="H506" s="36"/>
      <c r="I506" s="36"/>
      <c r="J506" s="36"/>
      <c r="K506" s="36"/>
      <c r="L506" s="36"/>
    </row>
    <row r="507">
      <c r="A507" s="36"/>
      <c r="B507" s="36"/>
      <c r="C507" s="36"/>
      <c r="H507" s="36"/>
      <c r="I507" s="36"/>
      <c r="J507" s="36"/>
      <c r="K507" s="36"/>
      <c r="L507" s="36"/>
    </row>
    <row r="508">
      <c r="A508" s="36"/>
      <c r="B508" s="36"/>
      <c r="C508" s="36"/>
      <c r="H508" s="36"/>
      <c r="I508" s="36"/>
      <c r="J508" s="36"/>
      <c r="K508" s="36"/>
      <c r="L508" s="36"/>
    </row>
    <row r="509">
      <c r="A509" s="36"/>
      <c r="B509" s="36"/>
      <c r="C509" s="36"/>
      <c r="H509" s="36"/>
      <c r="I509" s="36"/>
      <c r="J509" s="36"/>
      <c r="K509" s="36"/>
      <c r="L509" s="36"/>
    </row>
    <row r="510">
      <c r="A510" s="36"/>
      <c r="B510" s="36"/>
      <c r="C510" s="36"/>
      <c r="H510" s="36"/>
      <c r="I510" s="36"/>
      <c r="J510" s="36"/>
      <c r="K510" s="36"/>
      <c r="L510" s="36"/>
    </row>
    <row r="511">
      <c r="A511" s="36"/>
      <c r="B511" s="36"/>
      <c r="C511" s="36"/>
      <c r="H511" s="36"/>
      <c r="I511" s="36"/>
      <c r="J511" s="36"/>
      <c r="K511" s="36"/>
      <c r="L511" s="36"/>
    </row>
    <row r="512">
      <c r="A512" s="36"/>
      <c r="B512" s="36"/>
      <c r="C512" s="36"/>
      <c r="H512" s="36"/>
      <c r="I512" s="36"/>
      <c r="J512" s="36"/>
      <c r="K512" s="36"/>
      <c r="L512" s="36"/>
    </row>
    <row r="513">
      <c r="A513" s="36"/>
      <c r="B513" s="36"/>
      <c r="C513" s="36"/>
      <c r="H513" s="36"/>
      <c r="I513" s="36"/>
      <c r="J513" s="36"/>
      <c r="K513" s="36"/>
      <c r="L513" s="36"/>
    </row>
    <row r="514">
      <c r="A514" s="36"/>
      <c r="B514" s="36"/>
      <c r="C514" s="36"/>
      <c r="H514" s="36"/>
      <c r="I514" s="36"/>
      <c r="J514" s="36"/>
      <c r="K514" s="36"/>
      <c r="L514" s="36"/>
    </row>
    <row r="515">
      <c r="A515" s="36"/>
      <c r="B515" s="36"/>
      <c r="C515" s="36"/>
      <c r="H515" s="36"/>
      <c r="I515" s="36"/>
      <c r="J515" s="36"/>
      <c r="K515" s="36"/>
      <c r="L515" s="36"/>
    </row>
    <row r="516">
      <c r="A516" s="36"/>
      <c r="B516" s="36"/>
      <c r="C516" s="36"/>
      <c r="H516" s="36"/>
      <c r="I516" s="36"/>
      <c r="J516" s="36"/>
      <c r="K516" s="36"/>
      <c r="L516" s="36"/>
    </row>
    <row r="517">
      <c r="A517" s="36"/>
      <c r="B517" s="36"/>
      <c r="C517" s="36"/>
      <c r="H517" s="36"/>
      <c r="I517" s="36"/>
      <c r="J517" s="36"/>
      <c r="K517" s="36"/>
      <c r="L517" s="36"/>
    </row>
    <row r="518">
      <c r="A518" s="36"/>
      <c r="B518" s="36"/>
      <c r="C518" s="36"/>
      <c r="H518" s="36"/>
      <c r="I518" s="36"/>
      <c r="J518" s="36"/>
      <c r="K518" s="36"/>
      <c r="L518" s="36"/>
    </row>
    <row r="519">
      <c r="A519" s="36"/>
      <c r="B519" s="36"/>
      <c r="C519" s="36"/>
      <c r="H519" s="36"/>
      <c r="I519" s="36"/>
      <c r="J519" s="36"/>
      <c r="K519" s="36"/>
      <c r="L519" s="36"/>
    </row>
    <row r="520">
      <c r="A520" s="36"/>
      <c r="B520" s="36"/>
      <c r="C520" s="36"/>
      <c r="H520" s="36"/>
      <c r="I520" s="36"/>
      <c r="J520" s="36"/>
      <c r="K520" s="36"/>
      <c r="L520" s="36"/>
    </row>
    <row r="521">
      <c r="A521" s="36"/>
      <c r="B521" s="36"/>
      <c r="C521" s="36"/>
      <c r="H521" s="36"/>
      <c r="I521" s="36"/>
      <c r="J521" s="36"/>
      <c r="K521" s="36"/>
      <c r="L521" s="36"/>
    </row>
    <row r="522">
      <c r="A522" s="36"/>
      <c r="B522" s="36"/>
      <c r="C522" s="36"/>
      <c r="H522" s="36"/>
      <c r="I522" s="36"/>
      <c r="J522" s="36"/>
      <c r="K522" s="36"/>
      <c r="L522" s="36"/>
    </row>
    <row r="523">
      <c r="A523" s="36"/>
      <c r="B523" s="36"/>
      <c r="C523" s="36"/>
      <c r="H523" s="36"/>
      <c r="I523" s="36"/>
      <c r="J523" s="36"/>
      <c r="K523" s="36"/>
      <c r="L523" s="36"/>
    </row>
    <row r="524">
      <c r="A524" s="36"/>
      <c r="B524" s="36"/>
      <c r="C524" s="36"/>
      <c r="H524" s="36"/>
      <c r="I524" s="36"/>
      <c r="J524" s="36"/>
      <c r="K524" s="36"/>
      <c r="L524" s="36"/>
    </row>
    <row r="525">
      <c r="A525" s="36"/>
      <c r="B525" s="36"/>
      <c r="C525" s="36"/>
      <c r="H525" s="36"/>
      <c r="I525" s="36"/>
      <c r="J525" s="36"/>
      <c r="K525" s="36"/>
      <c r="L525" s="36"/>
    </row>
    <row r="526">
      <c r="A526" s="36"/>
      <c r="B526" s="36"/>
      <c r="C526" s="36"/>
      <c r="H526" s="36"/>
      <c r="I526" s="36"/>
      <c r="J526" s="36"/>
      <c r="K526" s="36"/>
      <c r="L526" s="36"/>
    </row>
    <row r="527">
      <c r="A527" s="36"/>
      <c r="B527" s="36"/>
      <c r="C527" s="36"/>
      <c r="H527" s="36"/>
      <c r="I527" s="36"/>
      <c r="J527" s="36"/>
      <c r="K527" s="36"/>
      <c r="L527" s="36"/>
    </row>
    <row r="528">
      <c r="A528" s="36"/>
      <c r="B528" s="36"/>
      <c r="C528" s="36"/>
      <c r="H528" s="36"/>
      <c r="I528" s="36"/>
      <c r="J528" s="36"/>
      <c r="K528" s="36"/>
      <c r="L528" s="36"/>
    </row>
    <row r="529">
      <c r="A529" s="36"/>
      <c r="B529" s="36"/>
      <c r="C529" s="36"/>
      <c r="H529" s="36"/>
      <c r="I529" s="36"/>
      <c r="J529" s="36"/>
      <c r="K529" s="36"/>
      <c r="L529" s="36"/>
    </row>
    <row r="530">
      <c r="A530" s="36"/>
      <c r="B530" s="36"/>
      <c r="C530" s="36"/>
      <c r="H530" s="36"/>
      <c r="I530" s="36"/>
      <c r="J530" s="36"/>
      <c r="K530" s="36"/>
      <c r="L530" s="36"/>
    </row>
    <row r="531">
      <c r="A531" s="36"/>
      <c r="B531" s="36"/>
      <c r="C531" s="36"/>
      <c r="H531" s="36"/>
      <c r="I531" s="36"/>
      <c r="J531" s="36"/>
      <c r="K531" s="36"/>
      <c r="L531" s="36"/>
    </row>
    <row r="532">
      <c r="A532" s="36"/>
      <c r="B532" s="36"/>
      <c r="C532" s="36"/>
      <c r="H532" s="36"/>
      <c r="I532" s="36"/>
      <c r="J532" s="36"/>
      <c r="K532" s="36"/>
      <c r="L532" s="36"/>
    </row>
    <row r="533">
      <c r="A533" s="36"/>
      <c r="B533" s="36"/>
      <c r="C533" s="36"/>
      <c r="H533" s="36"/>
      <c r="I533" s="36"/>
      <c r="J533" s="36"/>
      <c r="K533" s="36"/>
      <c r="L533" s="36"/>
    </row>
    <row r="534">
      <c r="A534" s="36"/>
      <c r="B534" s="36"/>
      <c r="C534" s="36"/>
      <c r="H534" s="36"/>
      <c r="I534" s="36"/>
      <c r="J534" s="36"/>
      <c r="K534" s="36"/>
      <c r="L534" s="36"/>
    </row>
    <row r="535">
      <c r="A535" s="36"/>
      <c r="B535" s="36"/>
      <c r="C535" s="36"/>
      <c r="H535" s="36"/>
      <c r="I535" s="36"/>
      <c r="J535" s="36"/>
      <c r="K535" s="36"/>
      <c r="L535" s="36"/>
    </row>
    <row r="536">
      <c r="A536" s="36"/>
      <c r="B536" s="36"/>
      <c r="C536" s="36"/>
      <c r="H536" s="36"/>
      <c r="I536" s="36"/>
      <c r="J536" s="36"/>
      <c r="K536" s="36"/>
      <c r="L536" s="36"/>
    </row>
    <row r="537">
      <c r="A537" s="36"/>
      <c r="B537" s="36"/>
      <c r="C537" s="36"/>
      <c r="H537" s="36"/>
      <c r="I537" s="36"/>
      <c r="J537" s="36"/>
      <c r="K537" s="36"/>
      <c r="L537" s="36"/>
    </row>
    <row r="538">
      <c r="A538" s="36"/>
      <c r="B538" s="36"/>
      <c r="C538" s="36"/>
      <c r="H538" s="36"/>
      <c r="I538" s="36"/>
      <c r="J538" s="36"/>
      <c r="K538" s="36"/>
      <c r="L538" s="36"/>
    </row>
    <row r="539">
      <c r="A539" s="36"/>
      <c r="B539" s="36"/>
      <c r="C539" s="36"/>
      <c r="H539" s="36"/>
      <c r="I539" s="36"/>
      <c r="J539" s="36"/>
      <c r="K539" s="36"/>
      <c r="L539" s="36"/>
    </row>
    <row r="540">
      <c r="A540" s="36"/>
      <c r="B540" s="36"/>
      <c r="C540" s="36"/>
      <c r="H540" s="36"/>
      <c r="I540" s="36"/>
      <c r="J540" s="36"/>
      <c r="K540" s="36"/>
      <c r="L540" s="36"/>
    </row>
    <row r="541">
      <c r="A541" s="36"/>
      <c r="B541" s="36"/>
      <c r="C541" s="36"/>
      <c r="H541" s="36"/>
      <c r="I541" s="36"/>
      <c r="J541" s="36"/>
      <c r="K541" s="36"/>
      <c r="L541" s="36"/>
    </row>
    <row r="542">
      <c r="A542" s="36"/>
      <c r="B542" s="36"/>
      <c r="C542" s="36"/>
      <c r="H542" s="36"/>
      <c r="I542" s="36"/>
      <c r="J542" s="36"/>
      <c r="K542" s="36"/>
      <c r="L542" s="36"/>
    </row>
    <row r="543">
      <c r="A543" s="36"/>
      <c r="B543" s="36"/>
      <c r="C543" s="36"/>
      <c r="H543" s="36"/>
      <c r="I543" s="36"/>
      <c r="J543" s="36"/>
      <c r="K543" s="36"/>
      <c r="L543" s="36"/>
    </row>
    <row r="544">
      <c r="A544" s="36"/>
      <c r="B544" s="36"/>
      <c r="C544" s="36"/>
      <c r="H544" s="36"/>
      <c r="I544" s="36"/>
      <c r="J544" s="36"/>
      <c r="K544" s="36"/>
      <c r="L544" s="36"/>
    </row>
    <row r="545">
      <c r="A545" s="36"/>
      <c r="B545" s="36"/>
      <c r="C545" s="36"/>
      <c r="H545" s="36"/>
      <c r="I545" s="36"/>
      <c r="J545" s="36"/>
      <c r="K545" s="36"/>
      <c r="L545" s="36"/>
    </row>
    <row r="546">
      <c r="A546" s="36"/>
      <c r="B546" s="36"/>
      <c r="C546" s="36"/>
      <c r="H546" s="36"/>
      <c r="I546" s="36"/>
      <c r="J546" s="36"/>
      <c r="K546" s="36"/>
      <c r="L546" s="36"/>
    </row>
    <row r="547">
      <c r="A547" s="36"/>
      <c r="B547" s="36"/>
      <c r="C547" s="36"/>
      <c r="H547" s="36"/>
      <c r="I547" s="36"/>
      <c r="J547" s="36"/>
      <c r="K547" s="36"/>
      <c r="L547" s="36"/>
    </row>
    <row r="548">
      <c r="A548" s="36"/>
      <c r="B548" s="36"/>
      <c r="C548" s="36"/>
      <c r="H548" s="36"/>
      <c r="I548" s="36"/>
      <c r="J548" s="36"/>
      <c r="K548" s="36"/>
      <c r="L548" s="36"/>
    </row>
    <row r="549">
      <c r="A549" s="36"/>
      <c r="B549" s="36"/>
      <c r="C549" s="36"/>
      <c r="H549" s="36"/>
      <c r="I549" s="36"/>
      <c r="J549" s="36"/>
      <c r="K549" s="36"/>
      <c r="L549" s="36"/>
    </row>
    <row r="550">
      <c r="A550" s="36"/>
      <c r="B550" s="36"/>
      <c r="C550" s="36"/>
      <c r="H550" s="36"/>
      <c r="I550" s="36"/>
      <c r="J550" s="36"/>
      <c r="K550" s="36"/>
      <c r="L550" s="36"/>
    </row>
    <row r="551">
      <c r="A551" s="36"/>
      <c r="B551" s="36"/>
      <c r="C551" s="36"/>
      <c r="H551" s="36"/>
      <c r="I551" s="36"/>
      <c r="J551" s="36"/>
      <c r="K551" s="36"/>
      <c r="L551" s="36"/>
    </row>
    <row r="552">
      <c r="A552" s="36"/>
      <c r="B552" s="36"/>
      <c r="C552" s="36"/>
      <c r="H552" s="36"/>
      <c r="I552" s="36"/>
      <c r="J552" s="36"/>
      <c r="K552" s="36"/>
      <c r="L552" s="36"/>
    </row>
    <row r="553">
      <c r="A553" s="36"/>
      <c r="B553" s="36"/>
      <c r="C553" s="36"/>
      <c r="H553" s="36"/>
      <c r="I553" s="36"/>
      <c r="J553" s="36"/>
      <c r="K553" s="36"/>
      <c r="L553" s="36"/>
    </row>
    <row r="554">
      <c r="A554" s="36"/>
      <c r="B554" s="36"/>
      <c r="C554" s="36"/>
      <c r="H554" s="36"/>
      <c r="I554" s="36"/>
      <c r="J554" s="36"/>
      <c r="K554" s="36"/>
      <c r="L554" s="36"/>
    </row>
    <row r="555">
      <c r="A555" s="36"/>
      <c r="B555" s="36"/>
      <c r="C555" s="36"/>
      <c r="H555" s="36"/>
      <c r="I555" s="36"/>
      <c r="J555" s="36"/>
      <c r="K555" s="36"/>
      <c r="L555" s="36"/>
    </row>
    <row r="556">
      <c r="A556" s="36"/>
      <c r="B556" s="36"/>
      <c r="C556" s="36"/>
      <c r="H556" s="36"/>
      <c r="I556" s="36"/>
      <c r="J556" s="36"/>
      <c r="K556" s="36"/>
      <c r="L556" s="36"/>
    </row>
    <row r="557">
      <c r="A557" s="36"/>
      <c r="B557" s="36"/>
      <c r="C557" s="36"/>
      <c r="H557" s="36"/>
      <c r="I557" s="36"/>
      <c r="J557" s="36"/>
      <c r="K557" s="36"/>
      <c r="L557" s="36"/>
    </row>
    <row r="558">
      <c r="A558" s="36"/>
      <c r="B558" s="36"/>
      <c r="C558" s="36"/>
      <c r="H558" s="36"/>
      <c r="I558" s="36"/>
      <c r="J558" s="36"/>
      <c r="K558" s="36"/>
      <c r="L558" s="36"/>
    </row>
    <row r="559">
      <c r="A559" s="36"/>
      <c r="B559" s="36"/>
      <c r="C559" s="36"/>
      <c r="H559" s="36"/>
      <c r="I559" s="36"/>
      <c r="J559" s="36"/>
      <c r="K559" s="36"/>
      <c r="L559" s="36"/>
    </row>
    <row r="560">
      <c r="A560" s="36"/>
      <c r="B560" s="36"/>
      <c r="C560" s="36"/>
      <c r="H560" s="36"/>
      <c r="I560" s="36"/>
      <c r="J560" s="36"/>
      <c r="K560" s="36"/>
      <c r="L560" s="36"/>
    </row>
    <row r="561">
      <c r="A561" s="36"/>
      <c r="B561" s="36"/>
      <c r="C561" s="36"/>
      <c r="H561" s="36"/>
      <c r="I561" s="36"/>
      <c r="J561" s="36"/>
      <c r="K561" s="36"/>
      <c r="L561" s="36"/>
    </row>
    <row r="562">
      <c r="A562" s="36"/>
      <c r="B562" s="36"/>
      <c r="C562" s="36"/>
      <c r="H562" s="36"/>
      <c r="I562" s="36"/>
      <c r="J562" s="36"/>
      <c r="K562" s="36"/>
      <c r="L562" s="36"/>
    </row>
    <row r="563">
      <c r="A563" s="36"/>
      <c r="B563" s="36"/>
      <c r="C563" s="36"/>
      <c r="H563" s="36"/>
      <c r="I563" s="36"/>
      <c r="J563" s="36"/>
      <c r="K563" s="36"/>
      <c r="L563" s="36"/>
    </row>
    <row r="564">
      <c r="A564" s="36"/>
      <c r="B564" s="36"/>
      <c r="C564" s="36"/>
      <c r="H564" s="36"/>
      <c r="I564" s="36"/>
      <c r="J564" s="36"/>
      <c r="K564" s="36"/>
      <c r="L564" s="36"/>
    </row>
    <row r="565">
      <c r="A565" s="36"/>
      <c r="B565" s="36"/>
      <c r="C565" s="36"/>
      <c r="H565" s="36"/>
      <c r="I565" s="36"/>
      <c r="J565" s="36"/>
      <c r="K565" s="36"/>
      <c r="L565" s="36"/>
    </row>
    <row r="566">
      <c r="A566" s="36"/>
      <c r="B566" s="36"/>
      <c r="C566" s="36"/>
      <c r="H566" s="36"/>
      <c r="I566" s="36"/>
      <c r="J566" s="36"/>
      <c r="K566" s="36"/>
      <c r="L566" s="36"/>
    </row>
    <row r="567">
      <c r="A567" s="36"/>
      <c r="B567" s="36"/>
      <c r="C567" s="36"/>
      <c r="H567" s="36"/>
      <c r="I567" s="36"/>
      <c r="J567" s="36"/>
      <c r="K567" s="36"/>
      <c r="L567" s="36"/>
    </row>
    <row r="568">
      <c r="A568" s="36"/>
      <c r="B568" s="36"/>
      <c r="C568" s="36"/>
      <c r="H568" s="36"/>
      <c r="I568" s="36"/>
      <c r="J568" s="36"/>
      <c r="K568" s="36"/>
      <c r="L568" s="36"/>
    </row>
    <row r="569">
      <c r="A569" s="36"/>
      <c r="B569" s="36"/>
      <c r="C569" s="36"/>
      <c r="H569" s="36"/>
      <c r="I569" s="36"/>
      <c r="J569" s="36"/>
      <c r="K569" s="36"/>
      <c r="L569" s="36"/>
    </row>
    <row r="570">
      <c r="A570" s="36"/>
      <c r="B570" s="36"/>
      <c r="C570" s="36"/>
      <c r="H570" s="36"/>
      <c r="I570" s="36"/>
      <c r="J570" s="36"/>
      <c r="K570" s="36"/>
      <c r="L570" s="36"/>
    </row>
    <row r="571">
      <c r="A571" s="36"/>
      <c r="B571" s="36"/>
      <c r="C571" s="36"/>
      <c r="H571" s="36"/>
      <c r="I571" s="36"/>
      <c r="J571" s="36"/>
      <c r="K571" s="36"/>
      <c r="L571" s="36"/>
    </row>
    <row r="572">
      <c r="A572" s="36"/>
      <c r="B572" s="36"/>
      <c r="C572" s="36"/>
      <c r="H572" s="36"/>
      <c r="I572" s="36"/>
      <c r="J572" s="36"/>
      <c r="K572" s="36"/>
      <c r="L572" s="36"/>
    </row>
    <row r="573">
      <c r="A573" s="36"/>
      <c r="B573" s="36"/>
      <c r="C573" s="36"/>
      <c r="H573" s="36"/>
      <c r="I573" s="36"/>
      <c r="J573" s="36"/>
      <c r="K573" s="36"/>
      <c r="L573" s="36"/>
    </row>
    <row r="574">
      <c r="A574" s="36"/>
      <c r="B574" s="36"/>
      <c r="C574" s="36"/>
      <c r="H574" s="36"/>
      <c r="I574" s="36"/>
      <c r="J574" s="36"/>
      <c r="K574" s="36"/>
      <c r="L574" s="36"/>
    </row>
    <row r="575">
      <c r="A575" s="36"/>
      <c r="B575" s="36"/>
      <c r="C575" s="36"/>
      <c r="H575" s="36"/>
      <c r="I575" s="36"/>
      <c r="J575" s="36"/>
      <c r="K575" s="36"/>
      <c r="L575" s="36"/>
    </row>
    <row r="576">
      <c r="A576" s="36"/>
      <c r="B576" s="36"/>
      <c r="C576" s="36"/>
      <c r="H576" s="36"/>
      <c r="I576" s="36"/>
      <c r="J576" s="36"/>
      <c r="K576" s="36"/>
      <c r="L576" s="36"/>
    </row>
    <row r="577">
      <c r="A577" s="36"/>
      <c r="B577" s="36"/>
      <c r="C577" s="36"/>
      <c r="H577" s="36"/>
      <c r="I577" s="36"/>
      <c r="J577" s="36"/>
      <c r="K577" s="36"/>
      <c r="L577" s="36"/>
    </row>
    <row r="578">
      <c r="A578" s="36"/>
      <c r="B578" s="36"/>
      <c r="C578" s="36"/>
      <c r="H578" s="36"/>
      <c r="I578" s="36"/>
      <c r="J578" s="36"/>
      <c r="K578" s="36"/>
      <c r="L578" s="36"/>
    </row>
    <row r="579">
      <c r="A579" s="36"/>
      <c r="B579" s="36"/>
      <c r="C579" s="36"/>
      <c r="H579" s="36"/>
      <c r="I579" s="36"/>
      <c r="J579" s="36"/>
      <c r="K579" s="36"/>
      <c r="L579" s="36"/>
    </row>
    <row r="580">
      <c r="A580" s="36"/>
      <c r="B580" s="36"/>
      <c r="C580" s="36"/>
      <c r="H580" s="36"/>
      <c r="I580" s="36"/>
      <c r="J580" s="36"/>
      <c r="K580" s="36"/>
      <c r="L580" s="36"/>
    </row>
    <row r="581">
      <c r="A581" s="36"/>
      <c r="B581" s="36"/>
      <c r="C581" s="36"/>
      <c r="H581" s="36"/>
      <c r="I581" s="36"/>
      <c r="J581" s="36"/>
      <c r="K581" s="36"/>
      <c r="L581" s="36"/>
    </row>
    <row r="582">
      <c r="A582" s="36"/>
      <c r="B582" s="36"/>
      <c r="C582" s="36"/>
      <c r="H582" s="36"/>
      <c r="I582" s="36"/>
      <c r="J582" s="36"/>
      <c r="K582" s="36"/>
      <c r="L582" s="36"/>
    </row>
    <row r="583">
      <c r="A583" s="36"/>
      <c r="B583" s="36"/>
      <c r="C583" s="36"/>
      <c r="H583" s="36"/>
      <c r="I583" s="36"/>
      <c r="J583" s="36"/>
      <c r="K583" s="36"/>
      <c r="L583" s="36"/>
    </row>
    <row r="584">
      <c r="A584" s="36"/>
      <c r="B584" s="36"/>
      <c r="C584" s="36"/>
      <c r="H584" s="36"/>
      <c r="I584" s="36"/>
      <c r="J584" s="36"/>
      <c r="K584" s="36"/>
      <c r="L584" s="36"/>
    </row>
    <row r="585">
      <c r="A585" s="36"/>
      <c r="B585" s="36"/>
      <c r="C585" s="36"/>
      <c r="H585" s="36"/>
      <c r="I585" s="36"/>
      <c r="J585" s="36"/>
      <c r="K585" s="36"/>
      <c r="L585" s="36"/>
    </row>
    <row r="586">
      <c r="A586" s="36"/>
      <c r="B586" s="36"/>
      <c r="C586" s="36"/>
      <c r="H586" s="36"/>
      <c r="I586" s="36"/>
      <c r="J586" s="36"/>
      <c r="K586" s="36"/>
      <c r="L586" s="36"/>
    </row>
    <row r="587">
      <c r="A587" s="36"/>
      <c r="B587" s="36"/>
      <c r="C587" s="36"/>
      <c r="H587" s="36"/>
      <c r="I587" s="36"/>
      <c r="J587" s="36"/>
      <c r="K587" s="36"/>
      <c r="L587" s="36"/>
    </row>
    <row r="588">
      <c r="A588" s="36"/>
      <c r="B588" s="36"/>
      <c r="C588" s="36"/>
      <c r="H588" s="36"/>
      <c r="I588" s="36"/>
      <c r="J588" s="36"/>
      <c r="K588" s="36"/>
      <c r="L588" s="36"/>
    </row>
    <row r="589">
      <c r="A589" s="36"/>
      <c r="B589" s="36"/>
      <c r="C589" s="36"/>
      <c r="H589" s="36"/>
      <c r="I589" s="36"/>
      <c r="J589" s="36"/>
      <c r="K589" s="36"/>
      <c r="L589" s="36"/>
    </row>
    <row r="590">
      <c r="A590" s="36"/>
      <c r="B590" s="36"/>
      <c r="C590" s="36"/>
      <c r="H590" s="36"/>
      <c r="I590" s="36"/>
      <c r="J590" s="36"/>
      <c r="K590" s="36"/>
      <c r="L590" s="36"/>
    </row>
    <row r="591">
      <c r="A591" s="36"/>
      <c r="B591" s="36"/>
      <c r="C591" s="36"/>
      <c r="H591" s="36"/>
      <c r="I591" s="36"/>
      <c r="J591" s="36"/>
      <c r="K591" s="36"/>
      <c r="L591" s="36"/>
    </row>
    <row r="592">
      <c r="A592" s="36"/>
      <c r="B592" s="36"/>
      <c r="C592" s="36"/>
      <c r="H592" s="36"/>
      <c r="I592" s="36"/>
      <c r="J592" s="36"/>
      <c r="K592" s="36"/>
      <c r="L592" s="36"/>
    </row>
    <row r="593">
      <c r="A593" s="36"/>
      <c r="B593" s="36"/>
      <c r="C593" s="36"/>
      <c r="H593" s="36"/>
      <c r="I593" s="36"/>
      <c r="J593" s="36"/>
      <c r="K593" s="36"/>
      <c r="L593" s="36"/>
    </row>
    <row r="594">
      <c r="A594" s="36"/>
      <c r="B594" s="36"/>
      <c r="C594" s="36"/>
      <c r="H594" s="36"/>
      <c r="I594" s="36"/>
      <c r="J594" s="36"/>
      <c r="K594" s="36"/>
      <c r="L594" s="36"/>
    </row>
    <row r="595">
      <c r="A595" s="36"/>
      <c r="B595" s="36"/>
      <c r="C595" s="36"/>
      <c r="H595" s="36"/>
      <c r="I595" s="36"/>
      <c r="J595" s="36"/>
      <c r="K595" s="36"/>
      <c r="L595" s="36"/>
    </row>
    <row r="596">
      <c r="A596" s="36"/>
      <c r="B596" s="36"/>
      <c r="C596" s="36"/>
      <c r="H596" s="36"/>
      <c r="I596" s="36"/>
      <c r="J596" s="36"/>
      <c r="K596" s="36"/>
      <c r="L596" s="36"/>
    </row>
    <row r="597">
      <c r="A597" s="36"/>
      <c r="B597" s="36"/>
      <c r="C597" s="36"/>
      <c r="H597" s="36"/>
      <c r="I597" s="36"/>
      <c r="J597" s="36"/>
      <c r="K597" s="36"/>
      <c r="L597" s="36"/>
    </row>
    <row r="598">
      <c r="A598" s="36"/>
      <c r="B598" s="36"/>
      <c r="C598" s="36"/>
      <c r="H598" s="36"/>
      <c r="I598" s="36"/>
      <c r="J598" s="36"/>
      <c r="K598" s="36"/>
      <c r="L598" s="36"/>
    </row>
    <row r="599">
      <c r="A599" s="36"/>
      <c r="B599" s="36"/>
      <c r="C599" s="36"/>
      <c r="H599" s="36"/>
      <c r="I599" s="36"/>
      <c r="J599" s="36"/>
      <c r="K599" s="36"/>
      <c r="L599" s="36"/>
    </row>
    <row r="600">
      <c r="A600" s="36"/>
      <c r="B600" s="36"/>
      <c r="C600" s="36"/>
      <c r="H600" s="36"/>
      <c r="I600" s="36"/>
      <c r="J600" s="36"/>
      <c r="K600" s="36"/>
      <c r="L600" s="36"/>
    </row>
    <row r="601">
      <c r="A601" s="36"/>
      <c r="B601" s="36"/>
      <c r="C601" s="36"/>
      <c r="H601" s="36"/>
      <c r="I601" s="36"/>
      <c r="J601" s="36"/>
      <c r="K601" s="36"/>
      <c r="L601" s="36"/>
    </row>
    <row r="602">
      <c r="A602" s="36"/>
      <c r="B602" s="36"/>
      <c r="C602" s="36"/>
      <c r="H602" s="36"/>
      <c r="I602" s="36"/>
      <c r="J602" s="36"/>
      <c r="K602" s="36"/>
      <c r="L602" s="36"/>
    </row>
    <row r="603">
      <c r="A603" s="36"/>
      <c r="B603" s="36"/>
      <c r="C603" s="36"/>
      <c r="H603" s="36"/>
      <c r="I603" s="36"/>
      <c r="J603" s="36"/>
      <c r="K603" s="36"/>
      <c r="L603" s="36"/>
    </row>
    <row r="604">
      <c r="A604" s="36"/>
      <c r="B604" s="36"/>
      <c r="C604" s="36"/>
      <c r="H604" s="36"/>
      <c r="I604" s="36"/>
      <c r="J604" s="36"/>
      <c r="K604" s="36"/>
      <c r="L604" s="36"/>
    </row>
    <row r="605">
      <c r="A605" s="36"/>
      <c r="B605" s="36"/>
      <c r="C605" s="36"/>
      <c r="H605" s="36"/>
      <c r="I605" s="36"/>
      <c r="J605" s="36"/>
      <c r="K605" s="36"/>
      <c r="L605" s="36"/>
    </row>
    <row r="606">
      <c r="A606" s="36"/>
      <c r="B606" s="36"/>
      <c r="C606" s="36"/>
      <c r="H606" s="36"/>
      <c r="I606" s="36"/>
      <c r="J606" s="36"/>
      <c r="K606" s="36"/>
      <c r="L606" s="36"/>
    </row>
    <row r="607">
      <c r="A607" s="36"/>
      <c r="B607" s="36"/>
      <c r="C607" s="36"/>
      <c r="H607" s="36"/>
      <c r="I607" s="36"/>
      <c r="J607" s="36"/>
      <c r="K607" s="36"/>
      <c r="L607" s="36"/>
    </row>
    <row r="608">
      <c r="A608" s="36"/>
      <c r="B608" s="36"/>
      <c r="C608" s="36"/>
      <c r="H608" s="36"/>
      <c r="I608" s="36"/>
      <c r="J608" s="36"/>
      <c r="K608" s="36"/>
      <c r="L608" s="36"/>
    </row>
    <row r="609">
      <c r="A609" s="36"/>
      <c r="B609" s="36"/>
      <c r="C609" s="36"/>
      <c r="H609" s="36"/>
      <c r="I609" s="36"/>
      <c r="J609" s="36"/>
      <c r="K609" s="36"/>
      <c r="L609" s="36"/>
    </row>
    <row r="610">
      <c r="A610" s="36"/>
      <c r="B610" s="36"/>
      <c r="C610" s="36"/>
      <c r="H610" s="36"/>
      <c r="I610" s="36"/>
      <c r="J610" s="36"/>
      <c r="K610" s="36"/>
      <c r="L610" s="36"/>
    </row>
    <row r="611">
      <c r="A611" s="36"/>
      <c r="B611" s="36"/>
      <c r="C611" s="36"/>
      <c r="H611" s="36"/>
      <c r="I611" s="36"/>
      <c r="J611" s="36"/>
      <c r="K611" s="36"/>
      <c r="L611" s="36"/>
    </row>
    <row r="612">
      <c r="A612" s="36"/>
      <c r="B612" s="36"/>
      <c r="C612" s="36"/>
      <c r="H612" s="36"/>
      <c r="I612" s="36"/>
      <c r="J612" s="36"/>
      <c r="K612" s="36"/>
      <c r="L612" s="36"/>
    </row>
    <row r="613">
      <c r="A613" s="36"/>
      <c r="B613" s="36"/>
      <c r="C613" s="36"/>
      <c r="H613" s="36"/>
      <c r="I613" s="36"/>
      <c r="J613" s="36"/>
      <c r="K613" s="36"/>
      <c r="L613" s="36"/>
    </row>
    <row r="614">
      <c r="A614" s="36"/>
      <c r="B614" s="36"/>
      <c r="C614" s="36"/>
      <c r="H614" s="36"/>
      <c r="I614" s="36"/>
      <c r="J614" s="36"/>
      <c r="K614" s="36"/>
      <c r="L614" s="36"/>
    </row>
    <row r="615">
      <c r="A615" s="36"/>
      <c r="B615" s="36"/>
      <c r="C615" s="36"/>
      <c r="H615" s="36"/>
      <c r="I615" s="36"/>
      <c r="J615" s="36"/>
      <c r="K615" s="36"/>
      <c r="L615" s="36"/>
    </row>
    <row r="616">
      <c r="A616" s="36"/>
      <c r="B616" s="36"/>
      <c r="C616" s="36"/>
      <c r="H616" s="36"/>
      <c r="I616" s="36"/>
      <c r="J616" s="36"/>
      <c r="K616" s="36"/>
      <c r="L616" s="36"/>
    </row>
    <row r="617">
      <c r="A617" s="36"/>
      <c r="B617" s="36"/>
      <c r="C617" s="36"/>
      <c r="H617" s="36"/>
      <c r="I617" s="36"/>
      <c r="J617" s="36"/>
      <c r="K617" s="36"/>
      <c r="L617" s="36"/>
    </row>
    <row r="618">
      <c r="A618" s="36"/>
      <c r="B618" s="36"/>
      <c r="C618" s="36"/>
      <c r="H618" s="36"/>
      <c r="I618" s="36"/>
      <c r="J618" s="36"/>
      <c r="K618" s="36"/>
      <c r="L618" s="36"/>
    </row>
    <row r="619">
      <c r="A619" s="36"/>
      <c r="B619" s="36"/>
      <c r="C619" s="36"/>
      <c r="H619" s="36"/>
      <c r="I619" s="36"/>
      <c r="J619" s="36"/>
      <c r="K619" s="36"/>
      <c r="L619" s="36"/>
    </row>
    <row r="620">
      <c r="A620" s="36"/>
      <c r="B620" s="36"/>
      <c r="C620" s="36"/>
      <c r="H620" s="36"/>
      <c r="I620" s="36"/>
      <c r="J620" s="36"/>
      <c r="K620" s="36"/>
      <c r="L620" s="36"/>
    </row>
    <row r="621">
      <c r="A621" s="36"/>
      <c r="B621" s="36"/>
      <c r="C621" s="36"/>
      <c r="H621" s="36"/>
      <c r="I621" s="36"/>
      <c r="J621" s="36"/>
      <c r="K621" s="36"/>
      <c r="L621" s="36"/>
    </row>
    <row r="622">
      <c r="A622" s="36"/>
      <c r="B622" s="36"/>
      <c r="C622" s="36"/>
      <c r="H622" s="36"/>
      <c r="I622" s="36"/>
      <c r="J622" s="36"/>
      <c r="K622" s="36"/>
      <c r="L622" s="36"/>
    </row>
    <row r="623">
      <c r="A623" s="36"/>
      <c r="B623" s="36"/>
      <c r="C623" s="36"/>
      <c r="H623" s="36"/>
      <c r="I623" s="36"/>
      <c r="J623" s="36"/>
      <c r="K623" s="36"/>
      <c r="L623" s="36"/>
    </row>
    <row r="624">
      <c r="A624" s="36"/>
      <c r="B624" s="36"/>
      <c r="C624" s="36"/>
      <c r="H624" s="36"/>
      <c r="I624" s="36"/>
      <c r="J624" s="36"/>
      <c r="K624" s="36"/>
      <c r="L624" s="36"/>
    </row>
    <row r="625">
      <c r="A625" s="36"/>
      <c r="B625" s="36"/>
      <c r="C625" s="36"/>
      <c r="H625" s="36"/>
      <c r="I625" s="36"/>
      <c r="J625" s="36"/>
      <c r="K625" s="36"/>
      <c r="L625" s="36"/>
    </row>
    <row r="626">
      <c r="A626" s="36"/>
      <c r="B626" s="36"/>
      <c r="C626" s="36"/>
      <c r="H626" s="36"/>
      <c r="I626" s="36"/>
      <c r="J626" s="36"/>
      <c r="K626" s="36"/>
      <c r="L626" s="36"/>
    </row>
    <row r="627">
      <c r="A627" s="36"/>
      <c r="B627" s="36"/>
      <c r="C627" s="36"/>
      <c r="H627" s="36"/>
      <c r="I627" s="36"/>
      <c r="J627" s="36"/>
      <c r="K627" s="36"/>
      <c r="L627" s="36"/>
    </row>
    <row r="628">
      <c r="A628" s="36"/>
      <c r="B628" s="36"/>
      <c r="C628" s="36"/>
      <c r="H628" s="36"/>
      <c r="I628" s="36"/>
      <c r="J628" s="36"/>
      <c r="K628" s="36"/>
      <c r="L628" s="36"/>
    </row>
    <row r="629">
      <c r="A629" s="36"/>
      <c r="B629" s="36"/>
      <c r="C629" s="36"/>
      <c r="H629" s="36"/>
      <c r="I629" s="36"/>
      <c r="J629" s="36"/>
      <c r="K629" s="36"/>
      <c r="L629" s="36"/>
    </row>
    <row r="630">
      <c r="A630" s="36"/>
      <c r="B630" s="36"/>
      <c r="C630" s="36"/>
      <c r="H630" s="36"/>
      <c r="I630" s="36"/>
      <c r="J630" s="36"/>
      <c r="K630" s="36"/>
      <c r="L630" s="36"/>
    </row>
    <row r="631">
      <c r="A631" s="36"/>
      <c r="B631" s="36"/>
      <c r="C631" s="36"/>
      <c r="H631" s="36"/>
      <c r="I631" s="36"/>
      <c r="J631" s="36"/>
      <c r="K631" s="36"/>
      <c r="L631" s="36"/>
    </row>
    <row r="632">
      <c r="A632" s="36"/>
      <c r="B632" s="36"/>
      <c r="C632" s="36"/>
      <c r="H632" s="36"/>
      <c r="I632" s="36"/>
      <c r="J632" s="36"/>
      <c r="K632" s="36"/>
      <c r="L632" s="36"/>
    </row>
    <row r="633">
      <c r="A633" s="36"/>
      <c r="B633" s="36"/>
      <c r="C633" s="36"/>
      <c r="H633" s="36"/>
      <c r="I633" s="36"/>
      <c r="J633" s="36"/>
      <c r="K633" s="36"/>
      <c r="L633" s="36"/>
    </row>
    <row r="634">
      <c r="A634" s="36"/>
      <c r="B634" s="36"/>
      <c r="C634" s="36"/>
      <c r="H634" s="36"/>
      <c r="I634" s="36"/>
      <c r="J634" s="36"/>
      <c r="K634" s="36"/>
      <c r="L634" s="36"/>
    </row>
    <row r="635">
      <c r="A635" s="36"/>
      <c r="B635" s="36"/>
      <c r="C635" s="36"/>
      <c r="H635" s="36"/>
      <c r="I635" s="36"/>
      <c r="J635" s="36"/>
      <c r="K635" s="36"/>
      <c r="L635" s="36"/>
    </row>
    <row r="636">
      <c r="A636" s="36"/>
      <c r="B636" s="36"/>
      <c r="C636" s="36"/>
      <c r="H636" s="36"/>
      <c r="I636" s="36"/>
      <c r="J636" s="36"/>
      <c r="K636" s="36"/>
      <c r="L636" s="36"/>
    </row>
    <row r="637">
      <c r="A637" s="36"/>
      <c r="B637" s="36"/>
      <c r="C637" s="36"/>
      <c r="H637" s="36"/>
      <c r="I637" s="36"/>
      <c r="J637" s="36"/>
      <c r="K637" s="36"/>
      <c r="L637" s="36"/>
    </row>
    <row r="638">
      <c r="A638" s="36"/>
      <c r="B638" s="36"/>
      <c r="C638" s="36"/>
      <c r="H638" s="36"/>
      <c r="I638" s="36"/>
      <c r="J638" s="36"/>
      <c r="K638" s="36"/>
      <c r="L638" s="36"/>
    </row>
    <row r="639">
      <c r="A639" s="36"/>
      <c r="B639" s="36"/>
      <c r="C639" s="36"/>
      <c r="H639" s="36"/>
      <c r="I639" s="36"/>
      <c r="J639" s="36"/>
      <c r="K639" s="36"/>
      <c r="L639" s="36"/>
    </row>
    <row r="640">
      <c r="A640" s="36"/>
      <c r="B640" s="36"/>
      <c r="C640" s="36"/>
      <c r="H640" s="36"/>
      <c r="I640" s="36"/>
      <c r="J640" s="36"/>
      <c r="K640" s="36"/>
      <c r="L640" s="36"/>
    </row>
    <row r="641">
      <c r="A641" s="36"/>
      <c r="B641" s="36"/>
      <c r="C641" s="36"/>
      <c r="H641" s="36"/>
      <c r="I641" s="36"/>
      <c r="J641" s="36"/>
      <c r="K641" s="36"/>
      <c r="L641" s="36"/>
    </row>
    <row r="642">
      <c r="A642" s="36"/>
      <c r="B642" s="36"/>
      <c r="C642" s="36"/>
      <c r="H642" s="36"/>
      <c r="I642" s="36"/>
      <c r="J642" s="36"/>
      <c r="K642" s="36"/>
      <c r="L642" s="36"/>
    </row>
    <row r="643">
      <c r="A643" s="36"/>
      <c r="B643" s="36"/>
      <c r="C643" s="36"/>
      <c r="H643" s="36"/>
      <c r="I643" s="36"/>
      <c r="J643" s="36"/>
      <c r="K643" s="36"/>
      <c r="L643" s="36"/>
    </row>
    <row r="644">
      <c r="A644" s="36"/>
      <c r="B644" s="36"/>
      <c r="C644" s="36"/>
      <c r="H644" s="36"/>
      <c r="I644" s="36"/>
      <c r="J644" s="36"/>
      <c r="K644" s="36"/>
      <c r="L644" s="36"/>
    </row>
    <row r="645">
      <c r="A645" s="36"/>
      <c r="B645" s="36"/>
      <c r="C645" s="36"/>
      <c r="H645" s="36"/>
      <c r="I645" s="36"/>
      <c r="J645" s="36"/>
      <c r="K645" s="36"/>
      <c r="L645" s="36"/>
    </row>
    <row r="646">
      <c r="A646" s="36"/>
      <c r="B646" s="36"/>
      <c r="C646" s="36"/>
      <c r="H646" s="36"/>
      <c r="I646" s="36"/>
      <c r="J646" s="36"/>
      <c r="K646" s="36"/>
      <c r="L646" s="36"/>
    </row>
    <row r="647">
      <c r="A647" s="36"/>
      <c r="B647" s="36"/>
      <c r="C647" s="36"/>
      <c r="H647" s="36"/>
      <c r="I647" s="36"/>
      <c r="J647" s="36"/>
      <c r="K647" s="36"/>
      <c r="L647" s="36"/>
    </row>
    <row r="648">
      <c r="A648" s="36"/>
      <c r="B648" s="36"/>
      <c r="C648" s="36"/>
      <c r="H648" s="36"/>
      <c r="I648" s="36"/>
      <c r="J648" s="36"/>
      <c r="K648" s="36"/>
      <c r="L648" s="36"/>
    </row>
    <row r="649">
      <c r="A649" s="36"/>
      <c r="B649" s="36"/>
      <c r="C649" s="36"/>
      <c r="H649" s="36"/>
      <c r="I649" s="36"/>
      <c r="J649" s="36"/>
      <c r="K649" s="36"/>
      <c r="L649" s="36"/>
    </row>
    <row r="650">
      <c r="A650" s="36"/>
      <c r="B650" s="36"/>
      <c r="C650" s="36"/>
      <c r="H650" s="36"/>
      <c r="I650" s="36"/>
      <c r="J650" s="36"/>
      <c r="K650" s="36"/>
      <c r="L650" s="36"/>
    </row>
    <row r="651">
      <c r="A651" s="36"/>
      <c r="B651" s="36"/>
      <c r="C651" s="36"/>
      <c r="H651" s="36"/>
      <c r="I651" s="36"/>
      <c r="J651" s="36"/>
      <c r="K651" s="36"/>
      <c r="L651" s="36"/>
    </row>
    <row r="652">
      <c r="A652" s="36"/>
      <c r="B652" s="36"/>
      <c r="C652" s="36"/>
      <c r="H652" s="36"/>
      <c r="I652" s="36"/>
      <c r="J652" s="36"/>
      <c r="K652" s="36"/>
      <c r="L652" s="36"/>
    </row>
    <row r="653">
      <c r="A653" s="36"/>
      <c r="B653" s="36"/>
      <c r="C653" s="36"/>
      <c r="H653" s="36"/>
      <c r="I653" s="36"/>
      <c r="J653" s="36"/>
      <c r="K653" s="36"/>
      <c r="L653" s="36"/>
    </row>
    <row r="654">
      <c r="A654" s="36"/>
      <c r="B654" s="36"/>
      <c r="C654" s="36"/>
      <c r="H654" s="36"/>
      <c r="I654" s="36"/>
      <c r="J654" s="36"/>
      <c r="K654" s="36"/>
      <c r="L654" s="36"/>
    </row>
    <row r="655">
      <c r="A655" s="36"/>
      <c r="B655" s="36"/>
      <c r="C655" s="36"/>
      <c r="H655" s="36"/>
      <c r="I655" s="36"/>
      <c r="J655" s="36"/>
      <c r="K655" s="36"/>
      <c r="L655" s="36"/>
    </row>
    <row r="656">
      <c r="A656" s="36"/>
      <c r="B656" s="36"/>
      <c r="C656" s="36"/>
      <c r="H656" s="36"/>
      <c r="I656" s="36"/>
      <c r="J656" s="36"/>
      <c r="K656" s="36"/>
      <c r="L656" s="36"/>
    </row>
    <row r="657">
      <c r="A657" s="36"/>
      <c r="B657" s="36"/>
      <c r="C657" s="36"/>
      <c r="H657" s="36"/>
      <c r="I657" s="36"/>
      <c r="J657" s="36"/>
      <c r="K657" s="36"/>
      <c r="L657" s="36"/>
    </row>
    <row r="658">
      <c r="A658" s="36"/>
      <c r="B658" s="36"/>
      <c r="C658" s="36"/>
      <c r="H658" s="36"/>
      <c r="I658" s="36"/>
      <c r="J658" s="36"/>
      <c r="K658" s="36"/>
      <c r="L658" s="36"/>
    </row>
    <row r="659">
      <c r="A659" s="36"/>
      <c r="B659" s="36"/>
      <c r="C659" s="36"/>
      <c r="H659" s="36"/>
      <c r="I659" s="36"/>
      <c r="J659" s="36"/>
      <c r="K659" s="36"/>
      <c r="L659" s="36"/>
    </row>
    <row r="660">
      <c r="A660" s="36"/>
      <c r="B660" s="36"/>
      <c r="C660" s="36"/>
      <c r="H660" s="36"/>
      <c r="I660" s="36"/>
      <c r="J660" s="36"/>
      <c r="K660" s="36"/>
      <c r="L660" s="36"/>
    </row>
    <row r="661">
      <c r="A661" s="36"/>
      <c r="B661" s="36"/>
      <c r="C661" s="36"/>
      <c r="H661" s="36"/>
      <c r="I661" s="36"/>
      <c r="J661" s="36"/>
      <c r="K661" s="36"/>
      <c r="L661" s="36"/>
    </row>
    <row r="662">
      <c r="A662" s="36"/>
      <c r="B662" s="36"/>
      <c r="C662" s="36"/>
      <c r="H662" s="36"/>
      <c r="I662" s="36"/>
      <c r="J662" s="36"/>
      <c r="K662" s="36"/>
      <c r="L662" s="36"/>
    </row>
    <row r="663">
      <c r="A663" s="36"/>
      <c r="B663" s="36"/>
      <c r="C663" s="36"/>
      <c r="H663" s="36"/>
      <c r="I663" s="36"/>
      <c r="J663" s="36"/>
      <c r="K663" s="36"/>
      <c r="L663" s="36"/>
    </row>
    <row r="664">
      <c r="A664" s="36"/>
      <c r="B664" s="36"/>
      <c r="C664" s="36"/>
      <c r="H664" s="36"/>
      <c r="I664" s="36"/>
      <c r="J664" s="36"/>
      <c r="K664" s="36"/>
      <c r="L664" s="36"/>
    </row>
    <row r="665">
      <c r="A665" s="36"/>
      <c r="B665" s="36"/>
      <c r="C665" s="36"/>
      <c r="H665" s="36"/>
      <c r="I665" s="36"/>
      <c r="J665" s="36"/>
      <c r="K665" s="36"/>
      <c r="L665" s="36"/>
    </row>
    <row r="666">
      <c r="A666" s="36"/>
      <c r="B666" s="36"/>
      <c r="C666" s="36"/>
      <c r="H666" s="36"/>
      <c r="I666" s="36"/>
      <c r="J666" s="36"/>
      <c r="K666" s="36"/>
      <c r="L666" s="36"/>
    </row>
    <row r="667">
      <c r="A667" s="36"/>
      <c r="B667" s="36"/>
      <c r="C667" s="36"/>
      <c r="H667" s="36"/>
      <c r="I667" s="36"/>
      <c r="J667" s="36"/>
      <c r="K667" s="36"/>
      <c r="L667" s="36"/>
    </row>
    <row r="668">
      <c r="A668" s="36"/>
      <c r="B668" s="36"/>
      <c r="C668" s="36"/>
      <c r="H668" s="36"/>
      <c r="I668" s="36"/>
      <c r="J668" s="36"/>
      <c r="K668" s="36"/>
      <c r="L668" s="36"/>
    </row>
    <row r="669">
      <c r="A669" s="36"/>
      <c r="B669" s="36"/>
      <c r="C669" s="36"/>
      <c r="H669" s="36"/>
      <c r="I669" s="36"/>
      <c r="J669" s="36"/>
      <c r="K669" s="36"/>
      <c r="L669" s="36"/>
    </row>
    <row r="670">
      <c r="A670" s="36"/>
      <c r="B670" s="36"/>
      <c r="C670" s="36"/>
      <c r="H670" s="36"/>
      <c r="I670" s="36"/>
      <c r="J670" s="36"/>
      <c r="K670" s="36"/>
      <c r="L670" s="36"/>
    </row>
    <row r="671">
      <c r="A671" s="36"/>
      <c r="B671" s="36"/>
      <c r="C671" s="36"/>
      <c r="H671" s="36"/>
      <c r="I671" s="36"/>
      <c r="J671" s="36"/>
      <c r="K671" s="36"/>
      <c r="L671" s="36"/>
    </row>
    <row r="672">
      <c r="A672" s="36"/>
      <c r="B672" s="36"/>
      <c r="C672" s="36"/>
      <c r="H672" s="36"/>
      <c r="I672" s="36"/>
      <c r="J672" s="36"/>
      <c r="K672" s="36"/>
      <c r="L672" s="36"/>
    </row>
    <row r="673">
      <c r="A673" s="36"/>
      <c r="B673" s="36"/>
      <c r="C673" s="36"/>
      <c r="H673" s="36"/>
      <c r="I673" s="36"/>
      <c r="J673" s="36"/>
      <c r="K673" s="36"/>
      <c r="L673" s="36"/>
    </row>
    <row r="674">
      <c r="A674" s="36"/>
      <c r="B674" s="36"/>
      <c r="C674" s="36"/>
      <c r="H674" s="36"/>
      <c r="I674" s="36"/>
      <c r="J674" s="36"/>
      <c r="K674" s="36"/>
      <c r="L674" s="36"/>
    </row>
    <row r="675">
      <c r="A675" s="36"/>
      <c r="B675" s="36"/>
      <c r="C675" s="36"/>
      <c r="H675" s="36"/>
      <c r="I675" s="36"/>
      <c r="J675" s="36"/>
      <c r="K675" s="36"/>
      <c r="L675" s="36"/>
    </row>
    <row r="676">
      <c r="A676" s="36"/>
      <c r="B676" s="36"/>
      <c r="C676" s="36"/>
      <c r="H676" s="36"/>
      <c r="I676" s="36"/>
      <c r="J676" s="36"/>
      <c r="K676" s="36"/>
      <c r="L676" s="36"/>
    </row>
    <row r="677">
      <c r="A677" s="36"/>
      <c r="B677" s="36"/>
      <c r="C677" s="36"/>
      <c r="H677" s="36"/>
      <c r="I677" s="36"/>
      <c r="J677" s="36"/>
      <c r="K677" s="36"/>
      <c r="L677" s="36"/>
    </row>
    <row r="678">
      <c r="A678" s="36"/>
      <c r="B678" s="36"/>
      <c r="C678" s="36"/>
      <c r="H678" s="36"/>
      <c r="I678" s="36"/>
      <c r="J678" s="36"/>
      <c r="K678" s="36"/>
      <c r="L678" s="36"/>
    </row>
    <row r="679">
      <c r="A679" s="36"/>
      <c r="B679" s="36"/>
      <c r="C679" s="36"/>
      <c r="H679" s="36"/>
      <c r="I679" s="36"/>
      <c r="J679" s="36"/>
      <c r="K679" s="36"/>
      <c r="L679" s="36"/>
    </row>
    <row r="680">
      <c r="A680" s="36"/>
      <c r="B680" s="36"/>
      <c r="C680" s="36"/>
      <c r="H680" s="36"/>
      <c r="I680" s="36"/>
      <c r="J680" s="36"/>
      <c r="K680" s="36"/>
      <c r="L680" s="36"/>
    </row>
    <row r="681">
      <c r="A681" s="36"/>
      <c r="B681" s="36"/>
      <c r="C681" s="36"/>
      <c r="H681" s="36"/>
      <c r="I681" s="36"/>
      <c r="J681" s="36"/>
      <c r="K681" s="36"/>
      <c r="L681" s="36"/>
    </row>
    <row r="682">
      <c r="A682" s="36"/>
      <c r="B682" s="36"/>
      <c r="C682" s="36"/>
      <c r="H682" s="36"/>
      <c r="I682" s="36"/>
      <c r="J682" s="36"/>
      <c r="K682" s="36"/>
      <c r="L682" s="36"/>
    </row>
    <row r="683">
      <c r="A683" s="36"/>
      <c r="B683" s="36"/>
      <c r="C683" s="36"/>
      <c r="H683" s="36"/>
      <c r="I683" s="36"/>
      <c r="J683" s="36"/>
      <c r="K683" s="36"/>
      <c r="L683" s="36"/>
    </row>
    <row r="684">
      <c r="A684" s="36"/>
      <c r="B684" s="36"/>
      <c r="C684" s="36"/>
      <c r="H684" s="36"/>
      <c r="I684" s="36"/>
      <c r="J684" s="36"/>
      <c r="K684" s="36"/>
      <c r="L684" s="36"/>
    </row>
    <row r="685">
      <c r="A685" s="36"/>
      <c r="B685" s="36"/>
      <c r="C685" s="36"/>
      <c r="H685" s="36"/>
      <c r="I685" s="36"/>
      <c r="J685" s="36"/>
      <c r="K685" s="36"/>
      <c r="L685" s="36"/>
    </row>
    <row r="686">
      <c r="A686" s="36"/>
      <c r="B686" s="36"/>
      <c r="C686" s="36"/>
      <c r="H686" s="36"/>
      <c r="I686" s="36"/>
      <c r="J686" s="36"/>
      <c r="K686" s="36"/>
      <c r="L686" s="36"/>
    </row>
    <row r="687">
      <c r="A687" s="36"/>
      <c r="B687" s="36"/>
      <c r="C687" s="36"/>
      <c r="H687" s="36"/>
      <c r="I687" s="36"/>
      <c r="J687" s="36"/>
      <c r="K687" s="36"/>
      <c r="L687" s="36"/>
    </row>
    <row r="688">
      <c r="A688" s="36"/>
      <c r="B688" s="36"/>
      <c r="C688" s="36"/>
      <c r="H688" s="36"/>
      <c r="I688" s="36"/>
      <c r="J688" s="36"/>
      <c r="K688" s="36"/>
      <c r="L688" s="36"/>
    </row>
    <row r="689">
      <c r="A689" s="36"/>
      <c r="B689" s="36"/>
      <c r="C689" s="36"/>
      <c r="H689" s="36"/>
      <c r="I689" s="36"/>
      <c r="J689" s="36"/>
      <c r="K689" s="36"/>
      <c r="L689" s="36"/>
    </row>
    <row r="690">
      <c r="A690" s="36"/>
      <c r="B690" s="36"/>
      <c r="C690" s="36"/>
      <c r="H690" s="36"/>
      <c r="I690" s="36"/>
      <c r="J690" s="36"/>
      <c r="K690" s="36"/>
      <c r="L690" s="36"/>
    </row>
    <row r="691">
      <c r="A691" s="36"/>
      <c r="B691" s="36"/>
      <c r="C691" s="36"/>
      <c r="H691" s="36"/>
      <c r="I691" s="36"/>
      <c r="J691" s="36"/>
      <c r="K691" s="36"/>
      <c r="L691" s="36"/>
    </row>
    <row r="692">
      <c r="A692" s="36"/>
      <c r="B692" s="36"/>
      <c r="C692" s="36"/>
      <c r="H692" s="36"/>
      <c r="I692" s="36"/>
      <c r="J692" s="36"/>
      <c r="K692" s="36"/>
      <c r="L692" s="36"/>
    </row>
    <row r="693">
      <c r="A693" s="36"/>
      <c r="B693" s="36"/>
      <c r="C693" s="36"/>
      <c r="H693" s="36"/>
      <c r="I693" s="36"/>
      <c r="J693" s="36"/>
      <c r="K693" s="36"/>
      <c r="L693" s="36"/>
    </row>
    <row r="694">
      <c r="A694" s="36"/>
      <c r="B694" s="36"/>
      <c r="C694" s="36"/>
      <c r="H694" s="36"/>
      <c r="I694" s="36"/>
      <c r="J694" s="36"/>
      <c r="K694" s="36"/>
      <c r="L694" s="36"/>
    </row>
    <row r="695">
      <c r="A695" s="36"/>
      <c r="B695" s="36"/>
      <c r="C695" s="36"/>
      <c r="H695" s="36"/>
      <c r="I695" s="36"/>
      <c r="J695" s="36"/>
      <c r="K695" s="36"/>
      <c r="L695" s="36"/>
    </row>
    <row r="696">
      <c r="A696" s="36"/>
      <c r="B696" s="36"/>
      <c r="C696" s="36"/>
      <c r="H696" s="36"/>
      <c r="I696" s="36"/>
      <c r="J696" s="36"/>
      <c r="K696" s="36"/>
      <c r="L696" s="36"/>
    </row>
    <row r="697">
      <c r="A697" s="36"/>
      <c r="B697" s="36"/>
      <c r="C697" s="36"/>
      <c r="H697" s="36"/>
      <c r="I697" s="36"/>
      <c r="J697" s="36"/>
      <c r="K697" s="36"/>
      <c r="L697" s="36"/>
    </row>
    <row r="698">
      <c r="A698" s="36"/>
      <c r="B698" s="36"/>
      <c r="C698" s="36"/>
      <c r="H698" s="36"/>
      <c r="I698" s="36"/>
      <c r="J698" s="36"/>
      <c r="K698" s="36"/>
      <c r="L698" s="36"/>
    </row>
    <row r="699">
      <c r="A699" s="36"/>
      <c r="B699" s="36"/>
      <c r="C699" s="36"/>
      <c r="H699" s="36"/>
      <c r="I699" s="36"/>
      <c r="J699" s="36"/>
      <c r="K699" s="36"/>
      <c r="L699" s="36"/>
    </row>
    <row r="700">
      <c r="A700" s="36"/>
      <c r="B700" s="36"/>
      <c r="C700" s="36"/>
      <c r="H700" s="36"/>
      <c r="I700" s="36"/>
      <c r="J700" s="36"/>
      <c r="K700" s="36"/>
      <c r="L700" s="36"/>
    </row>
    <row r="701">
      <c r="A701" s="36"/>
      <c r="B701" s="36"/>
      <c r="C701" s="36"/>
      <c r="H701" s="36"/>
      <c r="I701" s="36"/>
      <c r="J701" s="36"/>
      <c r="K701" s="36"/>
      <c r="L701" s="36"/>
    </row>
    <row r="702">
      <c r="A702" s="36"/>
      <c r="B702" s="36"/>
      <c r="C702" s="36"/>
      <c r="H702" s="36"/>
      <c r="I702" s="36"/>
      <c r="J702" s="36"/>
      <c r="K702" s="36"/>
      <c r="L702" s="36"/>
    </row>
    <row r="703">
      <c r="A703" s="36"/>
      <c r="B703" s="36"/>
      <c r="C703" s="36"/>
      <c r="H703" s="36"/>
      <c r="I703" s="36"/>
      <c r="J703" s="36"/>
      <c r="K703" s="36"/>
      <c r="L703" s="36"/>
    </row>
    <row r="704">
      <c r="A704" s="36"/>
      <c r="B704" s="36"/>
      <c r="C704" s="36"/>
      <c r="H704" s="36"/>
      <c r="I704" s="36"/>
      <c r="J704" s="36"/>
      <c r="K704" s="36"/>
      <c r="L704" s="36"/>
    </row>
    <row r="705">
      <c r="A705" s="36"/>
      <c r="B705" s="36"/>
      <c r="C705" s="36"/>
      <c r="H705" s="36"/>
      <c r="I705" s="36"/>
      <c r="J705" s="36"/>
      <c r="K705" s="36"/>
      <c r="L705" s="36"/>
    </row>
    <row r="706">
      <c r="A706" s="36"/>
      <c r="B706" s="36"/>
      <c r="C706" s="36"/>
      <c r="H706" s="36"/>
      <c r="I706" s="36"/>
      <c r="J706" s="36"/>
      <c r="K706" s="36"/>
      <c r="L706" s="36"/>
    </row>
    <row r="707">
      <c r="A707" s="36"/>
      <c r="B707" s="36"/>
      <c r="C707" s="36"/>
      <c r="H707" s="36"/>
      <c r="I707" s="36"/>
      <c r="J707" s="36"/>
      <c r="K707" s="36"/>
      <c r="L707" s="36"/>
    </row>
    <row r="708">
      <c r="A708" s="36"/>
      <c r="B708" s="36"/>
      <c r="C708" s="36"/>
      <c r="H708" s="36"/>
      <c r="I708" s="36"/>
      <c r="J708" s="36"/>
      <c r="K708" s="36"/>
      <c r="L708" s="36"/>
    </row>
    <row r="709">
      <c r="A709" s="36"/>
      <c r="B709" s="36"/>
      <c r="C709" s="36"/>
      <c r="H709" s="36"/>
      <c r="I709" s="36"/>
      <c r="J709" s="36"/>
      <c r="K709" s="36"/>
      <c r="L709" s="36"/>
    </row>
    <row r="710">
      <c r="A710" s="36"/>
      <c r="B710" s="36"/>
      <c r="C710" s="36"/>
      <c r="H710" s="36"/>
      <c r="I710" s="36"/>
      <c r="J710" s="36"/>
      <c r="K710" s="36"/>
      <c r="L710" s="36"/>
    </row>
    <row r="711">
      <c r="A711" s="36"/>
      <c r="B711" s="36"/>
      <c r="C711" s="36"/>
      <c r="H711" s="36"/>
      <c r="I711" s="36"/>
      <c r="J711" s="36"/>
      <c r="K711" s="36"/>
      <c r="L711" s="36"/>
    </row>
    <row r="712">
      <c r="A712" s="36"/>
      <c r="B712" s="36"/>
      <c r="C712" s="36"/>
      <c r="H712" s="36"/>
      <c r="I712" s="36"/>
      <c r="J712" s="36"/>
      <c r="K712" s="36"/>
      <c r="L712" s="36"/>
    </row>
    <row r="713">
      <c r="A713" s="36"/>
      <c r="B713" s="36"/>
      <c r="C713" s="36"/>
      <c r="H713" s="36"/>
      <c r="I713" s="36"/>
      <c r="J713" s="36"/>
      <c r="K713" s="36"/>
      <c r="L713" s="36"/>
    </row>
    <row r="714">
      <c r="A714" s="36"/>
      <c r="B714" s="36"/>
      <c r="C714" s="36"/>
      <c r="H714" s="36"/>
      <c r="I714" s="36"/>
      <c r="J714" s="36"/>
      <c r="K714" s="36"/>
      <c r="L714" s="36"/>
    </row>
    <row r="715">
      <c r="A715" s="36"/>
      <c r="B715" s="36"/>
      <c r="C715" s="36"/>
      <c r="H715" s="36"/>
      <c r="I715" s="36"/>
      <c r="J715" s="36"/>
      <c r="K715" s="36"/>
      <c r="L715" s="36"/>
    </row>
    <row r="716">
      <c r="A716" s="36"/>
      <c r="B716" s="36"/>
      <c r="C716" s="36"/>
      <c r="H716" s="36"/>
      <c r="I716" s="36"/>
      <c r="J716" s="36"/>
      <c r="K716" s="36"/>
      <c r="L716" s="36"/>
    </row>
    <row r="717">
      <c r="A717" s="36"/>
      <c r="B717" s="36"/>
      <c r="C717" s="36"/>
      <c r="H717" s="36"/>
      <c r="I717" s="36"/>
      <c r="J717" s="36"/>
      <c r="K717" s="36"/>
      <c r="L717" s="36"/>
    </row>
    <row r="718">
      <c r="A718" s="36"/>
      <c r="B718" s="36"/>
      <c r="C718" s="36"/>
      <c r="H718" s="36"/>
      <c r="I718" s="36"/>
      <c r="J718" s="36"/>
      <c r="K718" s="36"/>
      <c r="L718" s="36"/>
    </row>
    <row r="719">
      <c r="A719" s="36"/>
      <c r="B719" s="36"/>
      <c r="C719" s="36"/>
      <c r="H719" s="36"/>
      <c r="I719" s="36"/>
      <c r="J719" s="36"/>
      <c r="K719" s="36"/>
      <c r="L719" s="36"/>
    </row>
    <row r="720">
      <c r="A720" s="36"/>
      <c r="B720" s="36"/>
      <c r="C720" s="36"/>
      <c r="H720" s="36"/>
      <c r="I720" s="36"/>
      <c r="J720" s="36"/>
      <c r="K720" s="36"/>
      <c r="L720" s="36"/>
    </row>
    <row r="721">
      <c r="A721" s="36"/>
      <c r="B721" s="36"/>
      <c r="C721" s="36"/>
      <c r="H721" s="36"/>
      <c r="I721" s="36"/>
      <c r="J721" s="36"/>
      <c r="K721" s="36"/>
      <c r="L721" s="36"/>
    </row>
    <row r="722">
      <c r="A722" s="36"/>
      <c r="B722" s="36"/>
      <c r="C722" s="36"/>
      <c r="H722" s="36"/>
      <c r="I722" s="36"/>
      <c r="J722" s="36"/>
      <c r="K722" s="36"/>
      <c r="L722" s="36"/>
    </row>
    <row r="723">
      <c r="A723" s="36"/>
      <c r="B723" s="36"/>
      <c r="C723" s="36"/>
      <c r="H723" s="36"/>
      <c r="I723" s="36"/>
      <c r="J723" s="36"/>
      <c r="K723" s="36"/>
      <c r="L723" s="36"/>
    </row>
    <row r="724">
      <c r="A724" s="36"/>
      <c r="B724" s="36"/>
      <c r="C724" s="36"/>
      <c r="H724" s="36"/>
      <c r="I724" s="36"/>
      <c r="J724" s="36"/>
      <c r="K724" s="36"/>
      <c r="L724" s="36"/>
    </row>
    <row r="725">
      <c r="A725" s="36"/>
      <c r="B725" s="36"/>
      <c r="C725" s="36"/>
      <c r="H725" s="36"/>
      <c r="I725" s="36"/>
      <c r="J725" s="36"/>
      <c r="K725" s="36"/>
      <c r="L725" s="36"/>
    </row>
    <row r="726">
      <c r="A726" s="36"/>
      <c r="B726" s="36"/>
      <c r="C726" s="36"/>
      <c r="H726" s="36"/>
      <c r="I726" s="36"/>
      <c r="J726" s="36"/>
      <c r="K726" s="36"/>
      <c r="L726" s="36"/>
    </row>
    <row r="727">
      <c r="A727" s="36"/>
      <c r="B727" s="36"/>
      <c r="C727" s="36"/>
      <c r="H727" s="36"/>
      <c r="I727" s="36"/>
      <c r="J727" s="36"/>
      <c r="K727" s="36"/>
      <c r="L727" s="36"/>
    </row>
    <row r="728">
      <c r="A728" s="36"/>
      <c r="B728" s="36"/>
      <c r="C728" s="36"/>
      <c r="H728" s="36"/>
      <c r="I728" s="36"/>
      <c r="J728" s="36"/>
      <c r="K728" s="36"/>
      <c r="L728" s="36"/>
    </row>
    <row r="729">
      <c r="A729" s="36"/>
      <c r="B729" s="36"/>
      <c r="C729" s="36"/>
      <c r="H729" s="36"/>
      <c r="I729" s="36"/>
      <c r="J729" s="36"/>
      <c r="K729" s="36"/>
      <c r="L729" s="36"/>
    </row>
    <row r="730">
      <c r="A730" s="36"/>
      <c r="B730" s="36"/>
      <c r="C730" s="36"/>
      <c r="H730" s="36"/>
      <c r="I730" s="36"/>
      <c r="J730" s="36"/>
      <c r="K730" s="36"/>
      <c r="L730" s="36"/>
    </row>
    <row r="731">
      <c r="A731" s="36"/>
      <c r="B731" s="36"/>
      <c r="C731" s="36"/>
      <c r="H731" s="36"/>
      <c r="I731" s="36"/>
      <c r="J731" s="36"/>
      <c r="K731" s="36"/>
      <c r="L731" s="36"/>
    </row>
    <row r="732">
      <c r="A732" s="36"/>
      <c r="B732" s="36"/>
      <c r="C732" s="36"/>
      <c r="H732" s="36"/>
      <c r="I732" s="36"/>
      <c r="J732" s="36"/>
      <c r="K732" s="36"/>
      <c r="L732" s="36"/>
    </row>
    <row r="733">
      <c r="A733" s="36"/>
      <c r="B733" s="36"/>
      <c r="C733" s="36"/>
      <c r="H733" s="36"/>
      <c r="I733" s="36"/>
      <c r="J733" s="36"/>
      <c r="K733" s="36"/>
      <c r="L733" s="36"/>
    </row>
    <row r="734">
      <c r="A734" s="36"/>
      <c r="B734" s="36"/>
      <c r="C734" s="36"/>
      <c r="H734" s="36"/>
      <c r="I734" s="36"/>
      <c r="J734" s="36"/>
      <c r="K734" s="36"/>
      <c r="L734" s="36"/>
    </row>
    <row r="735">
      <c r="A735" s="36"/>
      <c r="B735" s="36"/>
      <c r="C735" s="36"/>
      <c r="H735" s="36"/>
      <c r="I735" s="36"/>
      <c r="J735" s="36"/>
      <c r="K735" s="36"/>
      <c r="L735" s="36"/>
    </row>
    <row r="736">
      <c r="A736" s="36"/>
      <c r="B736" s="36"/>
      <c r="C736" s="36"/>
      <c r="H736" s="36"/>
      <c r="I736" s="36"/>
      <c r="J736" s="36"/>
      <c r="K736" s="36"/>
      <c r="L736" s="36"/>
    </row>
    <row r="737">
      <c r="A737" s="36"/>
      <c r="B737" s="36"/>
      <c r="C737" s="36"/>
      <c r="H737" s="36"/>
      <c r="I737" s="36"/>
      <c r="J737" s="36"/>
      <c r="K737" s="36"/>
      <c r="L737" s="36"/>
    </row>
    <row r="738">
      <c r="A738" s="36"/>
      <c r="B738" s="36"/>
      <c r="C738" s="36"/>
      <c r="H738" s="36"/>
      <c r="I738" s="36"/>
      <c r="J738" s="36"/>
      <c r="K738" s="36"/>
      <c r="L738" s="36"/>
    </row>
    <row r="739">
      <c r="A739" s="36"/>
      <c r="B739" s="36"/>
      <c r="C739" s="36"/>
      <c r="H739" s="36"/>
      <c r="I739" s="36"/>
      <c r="J739" s="36"/>
      <c r="K739" s="36"/>
      <c r="L739" s="36"/>
    </row>
    <row r="740">
      <c r="A740" s="36"/>
      <c r="B740" s="36"/>
      <c r="C740" s="36"/>
      <c r="H740" s="36"/>
      <c r="I740" s="36"/>
      <c r="J740" s="36"/>
      <c r="K740" s="36"/>
      <c r="L740" s="36"/>
    </row>
    <row r="741">
      <c r="A741" s="36"/>
      <c r="B741" s="36"/>
      <c r="C741" s="36"/>
      <c r="H741" s="36"/>
      <c r="I741" s="36"/>
      <c r="J741" s="36"/>
      <c r="K741" s="36"/>
      <c r="L741" s="36"/>
    </row>
    <row r="742">
      <c r="A742" s="36"/>
      <c r="B742" s="36"/>
      <c r="C742" s="36"/>
      <c r="H742" s="36"/>
      <c r="I742" s="36"/>
      <c r="J742" s="36"/>
      <c r="K742" s="36"/>
      <c r="L742" s="36"/>
    </row>
    <row r="743">
      <c r="A743" s="36"/>
      <c r="B743" s="36"/>
      <c r="C743" s="36"/>
      <c r="H743" s="36"/>
      <c r="I743" s="36"/>
      <c r="J743" s="36"/>
      <c r="K743" s="36"/>
      <c r="L743" s="36"/>
    </row>
    <row r="744">
      <c r="A744" s="36"/>
      <c r="B744" s="36"/>
      <c r="C744" s="36"/>
      <c r="H744" s="36"/>
      <c r="I744" s="36"/>
      <c r="J744" s="36"/>
      <c r="K744" s="36"/>
      <c r="L744" s="36"/>
    </row>
    <row r="745">
      <c r="A745" s="36"/>
      <c r="B745" s="36"/>
      <c r="C745" s="36"/>
      <c r="H745" s="36"/>
      <c r="I745" s="36"/>
      <c r="J745" s="36"/>
      <c r="K745" s="36"/>
      <c r="L745" s="36"/>
    </row>
    <row r="746">
      <c r="A746" s="36"/>
      <c r="B746" s="36"/>
      <c r="C746" s="36"/>
      <c r="H746" s="36"/>
      <c r="I746" s="36"/>
      <c r="J746" s="36"/>
      <c r="K746" s="36"/>
      <c r="L746" s="36"/>
    </row>
    <row r="747">
      <c r="A747" s="36"/>
      <c r="B747" s="36"/>
      <c r="C747" s="36"/>
      <c r="H747" s="36"/>
      <c r="I747" s="36"/>
      <c r="J747" s="36"/>
      <c r="K747" s="36"/>
      <c r="L747" s="36"/>
    </row>
    <row r="748">
      <c r="A748" s="36"/>
      <c r="B748" s="36"/>
      <c r="C748" s="36"/>
      <c r="H748" s="36"/>
      <c r="I748" s="36"/>
      <c r="J748" s="36"/>
      <c r="K748" s="36"/>
      <c r="L748" s="36"/>
    </row>
    <row r="749">
      <c r="A749" s="36"/>
      <c r="B749" s="36"/>
      <c r="C749" s="36"/>
      <c r="H749" s="36"/>
      <c r="I749" s="36"/>
      <c r="J749" s="36"/>
      <c r="K749" s="36"/>
      <c r="L749" s="36"/>
    </row>
    <row r="750">
      <c r="A750" s="36"/>
      <c r="B750" s="36"/>
      <c r="C750" s="36"/>
      <c r="H750" s="36"/>
      <c r="I750" s="36"/>
      <c r="J750" s="36"/>
      <c r="K750" s="36"/>
      <c r="L750" s="36"/>
    </row>
    <row r="751">
      <c r="A751" s="36"/>
      <c r="B751" s="36"/>
      <c r="C751" s="36"/>
      <c r="H751" s="36"/>
      <c r="I751" s="36"/>
      <c r="J751" s="36"/>
      <c r="K751" s="36"/>
      <c r="L751" s="36"/>
    </row>
    <row r="752">
      <c r="A752" s="36"/>
      <c r="B752" s="36"/>
      <c r="C752" s="36"/>
      <c r="H752" s="36"/>
      <c r="I752" s="36"/>
      <c r="J752" s="36"/>
      <c r="K752" s="36"/>
      <c r="L752" s="36"/>
    </row>
    <row r="753">
      <c r="A753" s="36"/>
      <c r="B753" s="36"/>
      <c r="C753" s="36"/>
      <c r="H753" s="36"/>
      <c r="I753" s="36"/>
      <c r="J753" s="36"/>
      <c r="K753" s="36"/>
      <c r="L753" s="36"/>
    </row>
    <row r="754">
      <c r="A754" s="36"/>
      <c r="B754" s="36"/>
      <c r="C754" s="36"/>
      <c r="H754" s="36"/>
      <c r="I754" s="36"/>
      <c r="J754" s="36"/>
      <c r="K754" s="36"/>
      <c r="L754" s="36"/>
    </row>
    <row r="755">
      <c r="A755" s="36"/>
      <c r="B755" s="36"/>
      <c r="C755" s="36"/>
      <c r="H755" s="36"/>
      <c r="I755" s="36"/>
      <c r="J755" s="36"/>
      <c r="K755" s="36"/>
      <c r="L755" s="36"/>
    </row>
    <row r="756">
      <c r="A756" s="36"/>
      <c r="B756" s="36"/>
      <c r="C756" s="36"/>
      <c r="H756" s="36"/>
      <c r="I756" s="36"/>
      <c r="J756" s="36"/>
      <c r="K756" s="36"/>
      <c r="L756" s="36"/>
    </row>
    <row r="757">
      <c r="A757" s="36"/>
      <c r="B757" s="36"/>
      <c r="C757" s="36"/>
      <c r="H757" s="36"/>
      <c r="I757" s="36"/>
      <c r="J757" s="36"/>
      <c r="K757" s="36"/>
      <c r="L757" s="36"/>
    </row>
    <row r="758">
      <c r="A758" s="36"/>
      <c r="B758" s="36"/>
      <c r="C758" s="36"/>
      <c r="H758" s="36"/>
      <c r="I758" s="36"/>
      <c r="J758" s="36"/>
      <c r="K758" s="36"/>
      <c r="L758" s="36"/>
    </row>
    <row r="759">
      <c r="A759" s="36"/>
      <c r="B759" s="36"/>
      <c r="C759" s="36"/>
      <c r="H759" s="36"/>
      <c r="I759" s="36"/>
      <c r="J759" s="36"/>
      <c r="K759" s="36"/>
      <c r="L759" s="36"/>
    </row>
    <row r="760">
      <c r="A760" s="36"/>
      <c r="B760" s="36"/>
      <c r="C760" s="36"/>
      <c r="H760" s="36"/>
      <c r="I760" s="36"/>
      <c r="J760" s="36"/>
      <c r="K760" s="36"/>
      <c r="L760" s="36"/>
    </row>
    <row r="761">
      <c r="A761" s="36"/>
      <c r="B761" s="36"/>
      <c r="C761" s="36"/>
      <c r="H761" s="36"/>
      <c r="I761" s="36"/>
      <c r="J761" s="36"/>
      <c r="K761" s="36"/>
      <c r="L761" s="36"/>
    </row>
    <row r="762">
      <c r="A762" s="36"/>
      <c r="B762" s="36"/>
      <c r="C762" s="36"/>
      <c r="H762" s="36"/>
      <c r="I762" s="36"/>
      <c r="J762" s="36"/>
      <c r="K762" s="36"/>
      <c r="L762" s="36"/>
    </row>
    <row r="763">
      <c r="A763" s="36"/>
      <c r="B763" s="36"/>
      <c r="C763" s="36"/>
      <c r="H763" s="36"/>
      <c r="I763" s="36"/>
      <c r="J763" s="36"/>
      <c r="K763" s="36"/>
      <c r="L763" s="36"/>
    </row>
    <row r="764">
      <c r="A764" s="36"/>
      <c r="B764" s="36"/>
      <c r="C764" s="36"/>
      <c r="H764" s="36"/>
      <c r="I764" s="36"/>
      <c r="J764" s="36"/>
      <c r="K764" s="36"/>
      <c r="L764" s="36"/>
    </row>
    <row r="765">
      <c r="A765" s="36"/>
      <c r="B765" s="36"/>
      <c r="C765" s="36"/>
      <c r="H765" s="36"/>
      <c r="I765" s="36"/>
      <c r="J765" s="36"/>
      <c r="K765" s="36"/>
      <c r="L765" s="36"/>
    </row>
    <row r="766">
      <c r="A766" s="36"/>
      <c r="B766" s="36"/>
      <c r="C766" s="36"/>
      <c r="H766" s="36"/>
      <c r="I766" s="36"/>
      <c r="J766" s="36"/>
      <c r="K766" s="36"/>
      <c r="L766" s="36"/>
    </row>
    <row r="767">
      <c r="A767" s="36"/>
      <c r="B767" s="36"/>
      <c r="C767" s="36"/>
      <c r="H767" s="36"/>
      <c r="I767" s="36"/>
      <c r="J767" s="36"/>
      <c r="K767" s="36"/>
      <c r="L767" s="36"/>
    </row>
    <row r="768">
      <c r="A768" s="36"/>
      <c r="B768" s="36"/>
      <c r="C768" s="36"/>
      <c r="H768" s="36"/>
      <c r="I768" s="36"/>
      <c r="J768" s="36"/>
      <c r="K768" s="36"/>
      <c r="L768" s="36"/>
    </row>
    <row r="769">
      <c r="A769" s="36"/>
      <c r="B769" s="36"/>
      <c r="C769" s="36"/>
      <c r="H769" s="36"/>
      <c r="I769" s="36"/>
      <c r="J769" s="36"/>
      <c r="K769" s="36"/>
      <c r="L769" s="36"/>
    </row>
    <row r="770">
      <c r="A770" s="36"/>
      <c r="B770" s="36"/>
      <c r="C770" s="36"/>
      <c r="H770" s="36"/>
      <c r="I770" s="36"/>
      <c r="J770" s="36"/>
      <c r="K770" s="36"/>
      <c r="L770" s="36"/>
    </row>
    <row r="771">
      <c r="A771" s="36"/>
      <c r="B771" s="36"/>
      <c r="C771" s="36"/>
      <c r="H771" s="36"/>
      <c r="I771" s="36"/>
      <c r="J771" s="36"/>
      <c r="K771" s="36"/>
      <c r="L771" s="36"/>
    </row>
    <row r="772">
      <c r="A772" s="36"/>
      <c r="B772" s="36"/>
      <c r="C772" s="36"/>
      <c r="H772" s="36"/>
      <c r="I772" s="36"/>
      <c r="J772" s="36"/>
      <c r="K772" s="36"/>
      <c r="L772" s="36"/>
    </row>
    <row r="773">
      <c r="A773" s="36"/>
      <c r="B773" s="36"/>
      <c r="C773" s="36"/>
      <c r="H773" s="36"/>
      <c r="I773" s="36"/>
      <c r="J773" s="36"/>
      <c r="K773" s="36"/>
      <c r="L773" s="36"/>
    </row>
    <row r="774">
      <c r="A774" s="36"/>
      <c r="B774" s="36"/>
      <c r="C774" s="36"/>
      <c r="H774" s="36"/>
      <c r="I774" s="36"/>
      <c r="J774" s="36"/>
      <c r="K774" s="36"/>
      <c r="L774" s="36"/>
    </row>
    <row r="775">
      <c r="A775" s="36"/>
      <c r="B775" s="36"/>
      <c r="C775" s="36"/>
      <c r="H775" s="36"/>
      <c r="I775" s="36"/>
      <c r="J775" s="36"/>
      <c r="K775" s="36"/>
      <c r="L775" s="36"/>
    </row>
    <row r="776">
      <c r="A776" s="36"/>
      <c r="B776" s="36"/>
      <c r="C776" s="36"/>
      <c r="H776" s="36"/>
      <c r="I776" s="36"/>
      <c r="J776" s="36"/>
      <c r="K776" s="36"/>
      <c r="L776" s="36"/>
    </row>
    <row r="777">
      <c r="A777" s="36"/>
      <c r="B777" s="36"/>
      <c r="C777" s="36"/>
      <c r="H777" s="36"/>
      <c r="I777" s="36"/>
      <c r="J777" s="36"/>
      <c r="K777" s="36"/>
      <c r="L777" s="36"/>
    </row>
    <row r="778">
      <c r="A778" s="36"/>
      <c r="B778" s="36"/>
      <c r="C778" s="36"/>
      <c r="H778" s="36"/>
      <c r="I778" s="36"/>
      <c r="J778" s="36"/>
      <c r="K778" s="36"/>
      <c r="L778" s="36"/>
    </row>
    <row r="779">
      <c r="A779" s="36"/>
      <c r="B779" s="36"/>
      <c r="C779" s="36"/>
      <c r="H779" s="36"/>
      <c r="I779" s="36"/>
      <c r="J779" s="36"/>
      <c r="K779" s="36"/>
      <c r="L779" s="36"/>
    </row>
    <row r="780">
      <c r="A780" s="36"/>
      <c r="B780" s="36"/>
      <c r="C780" s="36"/>
      <c r="H780" s="36"/>
      <c r="I780" s="36"/>
      <c r="J780" s="36"/>
      <c r="K780" s="36"/>
      <c r="L780" s="36"/>
    </row>
    <row r="781">
      <c r="A781" s="36"/>
      <c r="B781" s="36"/>
      <c r="C781" s="36"/>
      <c r="H781" s="36"/>
      <c r="I781" s="36"/>
      <c r="J781" s="36"/>
      <c r="K781" s="36"/>
      <c r="L781" s="36"/>
    </row>
    <row r="782">
      <c r="A782" s="36"/>
      <c r="B782" s="36"/>
      <c r="C782" s="36"/>
      <c r="H782" s="36"/>
      <c r="I782" s="36"/>
      <c r="J782" s="36"/>
      <c r="K782" s="36"/>
      <c r="L782" s="36"/>
    </row>
    <row r="783">
      <c r="A783" s="36"/>
      <c r="B783" s="36"/>
      <c r="C783" s="36"/>
      <c r="H783" s="36"/>
      <c r="I783" s="36"/>
      <c r="J783" s="36"/>
      <c r="K783" s="36"/>
      <c r="L783" s="36"/>
    </row>
    <row r="784">
      <c r="A784" s="36"/>
      <c r="B784" s="36"/>
      <c r="C784" s="36"/>
      <c r="H784" s="36"/>
      <c r="I784" s="36"/>
      <c r="J784" s="36"/>
      <c r="K784" s="36"/>
      <c r="L784" s="36"/>
    </row>
    <row r="785">
      <c r="A785" s="36"/>
      <c r="B785" s="36"/>
      <c r="C785" s="36"/>
      <c r="H785" s="36"/>
      <c r="I785" s="36"/>
      <c r="J785" s="36"/>
      <c r="K785" s="36"/>
      <c r="L785" s="36"/>
    </row>
    <row r="786">
      <c r="A786" s="36"/>
      <c r="B786" s="36"/>
      <c r="C786" s="36"/>
      <c r="H786" s="36"/>
      <c r="I786" s="36"/>
      <c r="J786" s="36"/>
      <c r="K786" s="36"/>
      <c r="L786" s="36"/>
    </row>
    <row r="787">
      <c r="A787" s="36"/>
      <c r="B787" s="36"/>
      <c r="C787" s="36"/>
      <c r="H787" s="36"/>
      <c r="I787" s="36"/>
      <c r="J787" s="36"/>
      <c r="K787" s="36"/>
      <c r="L787" s="36"/>
    </row>
    <row r="788">
      <c r="A788" s="36"/>
      <c r="B788" s="36"/>
      <c r="C788" s="36"/>
      <c r="H788" s="36"/>
      <c r="I788" s="36"/>
      <c r="J788" s="36"/>
      <c r="K788" s="36"/>
      <c r="L788" s="36"/>
    </row>
    <row r="789">
      <c r="A789" s="36"/>
      <c r="B789" s="36"/>
      <c r="C789" s="36"/>
      <c r="H789" s="36"/>
      <c r="I789" s="36"/>
      <c r="J789" s="36"/>
      <c r="K789" s="36"/>
      <c r="L789" s="36"/>
    </row>
    <row r="790">
      <c r="A790" s="36"/>
      <c r="B790" s="36"/>
      <c r="C790" s="36"/>
      <c r="H790" s="36"/>
      <c r="I790" s="36"/>
      <c r="J790" s="36"/>
      <c r="K790" s="36"/>
      <c r="L790" s="36"/>
    </row>
    <row r="791">
      <c r="A791" s="36"/>
      <c r="B791" s="36"/>
      <c r="C791" s="36"/>
      <c r="H791" s="36"/>
      <c r="I791" s="36"/>
      <c r="J791" s="36"/>
      <c r="K791" s="36"/>
      <c r="L791" s="36"/>
    </row>
    <row r="792">
      <c r="A792" s="36"/>
      <c r="B792" s="36"/>
      <c r="C792" s="36"/>
      <c r="H792" s="36"/>
      <c r="I792" s="36"/>
      <c r="J792" s="36"/>
      <c r="K792" s="36"/>
      <c r="L792" s="36"/>
    </row>
    <row r="793">
      <c r="A793" s="36"/>
      <c r="B793" s="36"/>
      <c r="C793" s="36"/>
      <c r="H793" s="36"/>
      <c r="I793" s="36"/>
      <c r="J793" s="36"/>
      <c r="K793" s="36"/>
      <c r="L793" s="36"/>
    </row>
    <row r="794">
      <c r="A794" s="36"/>
      <c r="B794" s="36"/>
      <c r="C794" s="36"/>
      <c r="H794" s="36"/>
      <c r="I794" s="36"/>
      <c r="J794" s="36"/>
      <c r="K794" s="36"/>
      <c r="L794" s="36"/>
    </row>
    <row r="795">
      <c r="A795" s="36"/>
      <c r="B795" s="36"/>
      <c r="C795" s="36"/>
      <c r="H795" s="36"/>
      <c r="I795" s="36"/>
      <c r="J795" s="36"/>
      <c r="K795" s="36"/>
      <c r="L795" s="36"/>
    </row>
    <row r="796">
      <c r="A796" s="36"/>
      <c r="B796" s="36"/>
      <c r="C796" s="36"/>
      <c r="H796" s="36"/>
      <c r="I796" s="36"/>
      <c r="J796" s="36"/>
      <c r="K796" s="36"/>
      <c r="L796" s="36"/>
    </row>
    <row r="797">
      <c r="A797" s="36"/>
      <c r="B797" s="36"/>
      <c r="C797" s="36"/>
      <c r="H797" s="36"/>
      <c r="I797" s="36"/>
      <c r="J797" s="36"/>
      <c r="K797" s="36"/>
      <c r="L797" s="36"/>
    </row>
    <row r="798">
      <c r="A798" s="36"/>
      <c r="B798" s="36"/>
      <c r="C798" s="36"/>
      <c r="H798" s="36"/>
      <c r="I798" s="36"/>
      <c r="J798" s="36"/>
      <c r="K798" s="36"/>
      <c r="L798" s="36"/>
    </row>
    <row r="799">
      <c r="A799" s="36"/>
      <c r="B799" s="36"/>
      <c r="C799" s="36"/>
      <c r="H799" s="36"/>
      <c r="I799" s="36"/>
      <c r="J799" s="36"/>
      <c r="K799" s="36"/>
      <c r="L799" s="36"/>
    </row>
    <row r="800">
      <c r="A800" s="36"/>
      <c r="B800" s="36"/>
      <c r="C800" s="36"/>
      <c r="H800" s="36"/>
      <c r="I800" s="36"/>
      <c r="J800" s="36"/>
      <c r="K800" s="36"/>
      <c r="L800" s="36"/>
    </row>
    <row r="801">
      <c r="A801" s="36"/>
      <c r="B801" s="36"/>
      <c r="C801" s="36"/>
      <c r="H801" s="36"/>
      <c r="I801" s="36"/>
      <c r="J801" s="36"/>
      <c r="K801" s="36"/>
      <c r="L801" s="36"/>
    </row>
    <row r="802">
      <c r="A802" s="36"/>
      <c r="B802" s="36"/>
      <c r="C802" s="36"/>
      <c r="H802" s="36"/>
      <c r="I802" s="36"/>
      <c r="J802" s="36"/>
      <c r="K802" s="36"/>
      <c r="L802" s="36"/>
    </row>
    <row r="803">
      <c r="A803" s="36"/>
      <c r="B803" s="36"/>
      <c r="C803" s="36"/>
      <c r="H803" s="36"/>
      <c r="I803" s="36"/>
      <c r="J803" s="36"/>
      <c r="K803" s="36"/>
      <c r="L803" s="36"/>
    </row>
    <row r="804">
      <c r="A804" s="36"/>
      <c r="B804" s="36"/>
      <c r="C804" s="36"/>
      <c r="H804" s="36"/>
      <c r="I804" s="36"/>
      <c r="J804" s="36"/>
      <c r="K804" s="36"/>
      <c r="L804" s="36"/>
    </row>
    <row r="805">
      <c r="A805" s="36"/>
      <c r="B805" s="36"/>
      <c r="C805" s="36"/>
      <c r="H805" s="36"/>
      <c r="I805" s="36"/>
      <c r="J805" s="36"/>
      <c r="K805" s="36"/>
      <c r="L805" s="36"/>
    </row>
    <row r="806">
      <c r="A806" s="36"/>
      <c r="B806" s="36"/>
      <c r="C806" s="36"/>
      <c r="H806" s="36"/>
      <c r="I806" s="36"/>
      <c r="J806" s="36"/>
      <c r="K806" s="36"/>
      <c r="L806" s="36"/>
    </row>
    <row r="807">
      <c r="A807" s="36"/>
      <c r="B807" s="36"/>
      <c r="C807" s="36"/>
      <c r="H807" s="36"/>
      <c r="I807" s="36"/>
      <c r="J807" s="36"/>
      <c r="K807" s="36"/>
      <c r="L807" s="36"/>
    </row>
    <row r="808">
      <c r="A808" s="36"/>
      <c r="B808" s="36"/>
      <c r="C808" s="36"/>
      <c r="H808" s="36"/>
      <c r="I808" s="36"/>
      <c r="J808" s="36"/>
      <c r="K808" s="36"/>
      <c r="L808" s="36"/>
    </row>
    <row r="809">
      <c r="A809" s="36"/>
      <c r="B809" s="36"/>
      <c r="C809" s="36"/>
      <c r="H809" s="36"/>
      <c r="I809" s="36"/>
      <c r="J809" s="36"/>
      <c r="K809" s="36"/>
      <c r="L809" s="36"/>
    </row>
    <row r="810">
      <c r="A810" s="36"/>
      <c r="B810" s="36"/>
      <c r="C810" s="36"/>
      <c r="H810" s="36"/>
      <c r="I810" s="36"/>
      <c r="J810" s="36"/>
      <c r="K810" s="36"/>
      <c r="L810" s="36"/>
    </row>
    <row r="811">
      <c r="A811" s="36"/>
      <c r="B811" s="36"/>
      <c r="C811" s="36"/>
      <c r="H811" s="36"/>
      <c r="I811" s="36"/>
      <c r="J811" s="36"/>
      <c r="K811" s="36"/>
      <c r="L811" s="36"/>
    </row>
    <row r="812">
      <c r="A812" s="36"/>
      <c r="B812" s="36"/>
      <c r="C812" s="36"/>
      <c r="H812" s="36"/>
      <c r="I812" s="36"/>
      <c r="J812" s="36"/>
      <c r="K812" s="36"/>
      <c r="L812" s="36"/>
    </row>
    <row r="813">
      <c r="A813" s="36"/>
      <c r="B813" s="36"/>
      <c r="C813" s="36"/>
      <c r="H813" s="36"/>
      <c r="I813" s="36"/>
      <c r="J813" s="36"/>
      <c r="K813" s="36"/>
      <c r="L813" s="36"/>
    </row>
    <row r="814">
      <c r="A814" s="36"/>
      <c r="B814" s="36"/>
      <c r="C814" s="36"/>
      <c r="H814" s="36"/>
      <c r="I814" s="36"/>
      <c r="J814" s="36"/>
      <c r="K814" s="36"/>
      <c r="L814" s="36"/>
    </row>
    <row r="815">
      <c r="A815" s="36"/>
      <c r="B815" s="36"/>
      <c r="C815" s="36"/>
      <c r="H815" s="36"/>
      <c r="I815" s="36"/>
      <c r="J815" s="36"/>
      <c r="K815" s="36"/>
      <c r="L815" s="36"/>
    </row>
    <row r="816">
      <c r="A816" s="36"/>
      <c r="B816" s="36"/>
      <c r="C816" s="36"/>
      <c r="H816" s="36"/>
      <c r="I816" s="36"/>
      <c r="J816" s="36"/>
      <c r="K816" s="36"/>
      <c r="L816" s="36"/>
    </row>
    <row r="817">
      <c r="A817" s="36"/>
      <c r="B817" s="36"/>
      <c r="C817" s="36"/>
      <c r="H817" s="36"/>
      <c r="I817" s="36"/>
      <c r="J817" s="36"/>
      <c r="K817" s="36"/>
      <c r="L817" s="36"/>
    </row>
    <row r="818">
      <c r="A818" s="36"/>
      <c r="B818" s="36"/>
      <c r="C818" s="36"/>
      <c r="H818" s="36"/>
      <c r="I818" s="36"/>
      <c r="J818" s="36"/>
      <c r="K818" s="36"/>
      <c r="L818" s="36"/>
    </row>
    <row r="819">
      <c r="A819" s="36"/>
      <c r="B819" s="36"/>
      <c r="C819" s="36"/>
      <c r="H819" s="36"/>
      <c r="I819" s="36"/>
      <c r="J819" s="36"/>
      <c r="K819" s="36"/>
      <c r="L819" s="36"/>
    </row>
    <row r="820">
      <c r="A820" s="36"/>
      <c r="B820" s="36"/>
      <c r="C820" s="36"/>
      <c r="H820" s="36"/>
      <c r="I820" s="36"/>
      <c r="J820" s="36"/>
      <c r="K820" s="36"/>
      <c r="L820" s="36"/>
    </row>
    <row r="821">
      <c r="A821" s="36"/>
      <c r="B821" s="36"/>
      <c r="C821" s="36"/>
      <c r="H821" s="36"/>
      <c r="I821" s="36"/>
      <c r="J821" s="36"/>
      <c r="K821" s="36"/>
      <c r="L821" s="36"/>
    </row>
    <row r="822">
      <c r="A822" s="36"/>
      <c r="B822" s="36"/>
      <c r="C822" s="36"/>
      <c r="H822" s="36"/>
      <c r="I822" s="36"/>
      <c r="J822" s="36"/>
      <c r="K822" s="36"/>
      <c r="L822" s="36"/>
    </row>
    <row r="823">
      <c r="A823" s="36"/>
      <c r="B823" s="36"/>
      <c r="C823" s="36"/>
      <c r="H823" s="36"/>
      <c r="I823" s="36"/>
      <c r="J823" s="36"/>
      <c r="K823" s="36"/>
      <c r="L823" s="36"/>
    </row>
    <row r="824">
      <c r="A824" s="36"/>
      <c r="B824" s="36"/>
      <c r="C824" s="36"/>
      <c r="H824" s="36"/>
      <c r="I824" s="36"/>
      <c r="J824" s="36"/>
      <c r="K824" s="36"/>
      <c r="L824" s="36"/>
    </row>
    <row r="825">
      <c r="A825" s="36"/>
      <c r="B825" s="36"/>
      <c r="C825" s="36"/>
      <c r="H825" s="36"/>
      <c r="I825" s="36"/>
      <c r="J825" s="36"/>
      <c r="K825" s="36"/>
      <c r="L825" s="36"/>
    </row>
    <row r="826">
      <c r="A826" s="36"/>
      <c r="B826" s="36"/>
      <c r="C826" s="36"/>
      <c r="H826" s="36"/>
      <c r="I826" s="36"/>
      <c r="J826" s="36"/>
      <c r="K826" s="36"/>
      <c r="L826" s="36"/>
    </row>
    <row r="827">
      <c r="A827" s="36"/>
      <c r="B827" s="36"/>
      <c r="C827" s="36"/>
      <c r="H827" s="36"/>
      <c r="I827" s="36"/>
      <c r="J827" s="36"/>
      <c r="K827" s="36"/>
      <c r="L827" s="36"/>
    </row>
    <row r="828">
      <c r="A828" s="36"/>
      <c r="B828" s="36"/>
      <c r="C828" s="36"/>
      <c r="H828" s="36"/>
      <c r="I828" s="36"/>
      <c r="J828" s="36"/>
      <c r="K828" s="36"/>
      <c r="L828" s="36"/>
    </row>
    <row r="829">
      <c r="A829" s="36"/>
      <c r="B829" s="36"/>
      <c r="C829" s="36"/>
      <c r="H829" s="36"/>
      <c r="I829" s="36"/>
      <c r="J829" s="36"/>
      <c r="K829" s="36"/>
      <c r="L829" s="36"/>
    </row>
    <row r="830">
      <c r="A830" s="36"/>
      <c r="B830" s="36"/>
      <c r="C830" s="36"/>
      <c r="H830" s="36"/>
      <c r="I830" s="36"/>
      <c r="J830" s="36"/>
      <c r="K830" s="36"/>
      <c r="L830" s="36"/>
    </row>
    <row r="831">
      <c r="A831" s="36"/>
      <c r="B831" s="36"/>
      <c r="C831" s="36"/>
      <c r="H831" s="36"/>
      <c r="I831" s="36"/>
      <c r="J831" s="36"/>
      <c r="K831" s="36"/>
      <c r="L831" s="36"/>
    </row>
    <row r="832">
      <c r="A832" s="36"/>
      <c r="B832" s="36"/>
      <c r="C832" s="36"/>
      <c r="H832" s="36"/>
      <c r="I832" s="36"/>
      <c r="J832" s="36"/>
      <c r="K832" s="36"/>
      <c r="L832" s="36"/>
    </row>
    <row r="833">
      <c r="A833" s="36"/>
      <c r="B833" s="36"/>
      <c r="C833" s="36"/>
      <c r="H833" s="36"/>
      <c r="I833" s="36"/>
      <c r="J833" s="36"/>
      <c r="K833" s="36"/>
      <c r="L833" s="36"/>
    </row>
    <row r="834">
      <c r="A834" s="36"/>
      <c r="B834" s="36"/>
      <c r="C834" s="36"/>
      <c r="H834" s="36"/>
      <c r="I834" s="36"/>
      <c r="J834" s="36"/>
      <c r="K834" s="36"/>
      <c r="L834" s="36"/>
    </row>
    <row r="835">
      <c r="A835" s="36"/>
      <c r="B835" s="36"/>
      <c r="C835" s="36"/>
      <c r="H835" s="36"/>
      <c r="I835" s="36"/>
      <c r="J835" s="36"/>
      <c r="K835" s="36"/>
      <c r="L835" s="36"/>
    </row>
    <row r="836">
      <c r="A836" s="36"/>
      <c r="B836" s="36"/>
      <c r="C836" s="36"/>
      <c r="H836" s="36"/>
      <c r="I836" s="36"/>
      <c r="J836" s="36"/>
      <c r="K836" s="36"/>
      <c r="L836" s="36"/>
    </row>
    <row r="837">
      <c r="A837" s="36"/>
      <c r="B837" s="36"/>
      <c r="C837" s="36"/>
      <c r="H837" s="36"/>
      <c r="I837" s="36"/>
      <c r="J837" s="36"/>
      <c r="K837" s="36"/>
      <c r="L837" s="36"/>
    </row>
    <row r="838">
      <c r="A838" s="36"/>
      <c r="B838" s="36"/>
      <c r="C838" s="36"/>
      <c r="H838" s="36"/>
      <c r="I838" s="36"/>
      <c r="J838" s="36"/>
      <c r="K838" s="36"/>
      <c r="L838" s="36"/>
    </row>
    <row r="839">
      <c r="A839" s="36"/>
      <c r="B839" s="36"/>
      <c r="C839" s="36"/>
      <c r="H839" s="36"/>
      <c r="I839" s="36"/>
      <c r="J839" s="36"/>
      <c r="K839" s="36"/>
      <c r="L839" s="36"/>
    </row>
    <row r="840">
      <c r="A840" s="36"/>
      <c r="B840" s="36"/>
      <c r="C840" s="36"/>
      <c r="H840" s="36"/>
      <c r="I840" s="36"/>
      <c r="J840" s="36"/>
      <c r="K840" s="36"/>
      <c r="L840" s="36"/>
    </row>
    <row r="841">
      <c r="A841" s="36"/>
      <c r="B841" s="36"/>
      <c r="C841" s="36"/>
      <c r="H841" s="36"/>
      <c r="I841" s="36"/>
      <c r="J841" s="36"/>
      <c r="K841" s="36"/>
      <c r="L841" s="36"/>
    </row>
    <row r="842">
      <c r="A842" s="36"/>
      <c r="B842" s="36"/>
      <c r="C842" s="36"/>
      <c r="H842" s="36"/>
      <c r="I842" s="36"/>
      <c r="J842" s="36"/>
      <c r="K842" s="36"/>
      <c r="L842" s="36"/>
    </row>
    <row r="843">
      <c r="A843" s="36"/>
      <c r="B843" s="36"/>
      <c r="C843" s="36"/>
      <c r="H843" s="36"/>
      <c r="I843" s="36"/>
      <c r="J843" s="36"/>
      <c r="K843" s="36"/>
      <c r="L843" s="36"/>
    </row>
    <row r="844">
      <c r="A844" s="36"/>
      <c r="B844" s="36"/>
      <c r="C844" s="36"/>
      <c r="H844" s="36"/>
      <c r="I844" s="36"/>
      <c r="J844" s="36"/>
      <c r="K844" s="36"/>
      <c r="L844" s="36"/>
    </row>
    <row r="845">
      <c r="A845" s="36"/>
      <c r="B845" s="36"/>
      <c r="C845" s="36"/>
      <c r="H845" s="36"/>
      <c r="I845" s="36"/>
      <c r="J845" s="36"/>
      <c r="K845" s="36"/>
      <c r="L845" s="36"/>
    </row>
    <row r="846">
      <c r="A846" s="36"/>
      <c r="B846" s="36"/>
      <c r="C846" s="36"/>
      <c r="H846" s="36"/>
      <c r="I846" s="36"/>
      <c r="J846" s="36"/>
      <c r="K846" s="36"/>
      <c r="L846" s="36"/>
    </row>
    <row r="847">
      <c r="A847" s="36"/>
      <c r="B847" s="36"/>
      <c r="C847" s="36"/>
      <c r="H847" s="36"/>
      <c r="I847" s="36"/>
      <c r="J847" s="36"/>
      <c r="K847" s="36"/>
      <c r="L847" s="36"/>
    </row>
    <row r="848">
      <c r="A848" s="36"/>
      <c r="B848" s="36"/>
      <c r="C848" s="36"/>
      <c r="H848" s="36"/>
      <c r="I848" s="36"/>
      <c r="J848" s="36"/>
      <c r="K848" s="36"/>
      <c r="L848" s="36"/>
    </row>
    <row r="849">
      <c r="A849" s="36"/>
      <c r="B849" s="36"/>
      <c r="C849" s="36"/>
      <c r="H849" s="36"/>
      <c r="I849" s="36"/>
      <c r="J849" s="36"/>
      <c r="K849" s="36"/>
      <c r="L849" s="36"/>
    </row>
    <row r="850">
      <c r="A850" s="36"/>
      <c r="B850" s="36"/>
      <c r="C850" s="36"/>
      <c r="H850" s="36"/>
      <c r="I850" s="36"/>
      <c r="J850" s="36"/>
      <c r="K850" s="36"/>
      <c r="L850" s="36"/>
    </row>
    <row r="851">
      <c r="A851" s="36"/>
      <c r="B851" s="36"/>
      <c r="C851" s="36"/>
      <c r="H851" s="36"/>
      <c r="I851" s="36"/>
      <c r="J851" s="36"/>
      <c r="K851" s="36"/>
      <c r="L851" s="36"/>
    </row>
    <row r="852">
      <c r="A852" s="36"/>
      <c r="B852" s="36"/>
      <c r="C852" s="36"/>
      <c r="H852" s="36"/>
      <c r="I852" s="36"/>
      <c r="J852" s="36"/>
      <c r="K852" s="36"/>
      <c r="L852" s="36"/>
    </row>
    <row r="853">
      <c r="A853" s="36"/>
      <c r="B853" s="36"/>
      <c r="C853" s="36"/>
      <c r="H853" s="36"/>
      <c r="I853" s="36"/>
      <c r="J853" s="36"/>
      <c r="K853" s="36"/>
      <c r="L853" s="36"/>
    </row>
    <row r="854">
      <c r="A854" s="36"/>
      <c r="B854" s="36"/>
      <c r="C854" s="36"/>
      <c r="H854" s="36"/>
      <c r="I854" s="36"/>
      <c r="J854" s="36"/>
      <c r="K854" s="36"/>
      <c r="L854" s="36"/>
    </row>
    <row r="855">
      <c r="A855" s="36"/>
      <c r="B855" s="36"/>
      <c r="C855" s="36"/>
      <c r="H855" s="36"/>
      <c r="I855" s="36"/>
      <c r="J855" s="36"/>
      <c r="K855" s="36"/>
      <c r="L855" s="36"/>
    </row>
    <row r="856">
      <c r="A856" s="36"/>
      <c r="B856" s="36"/>
      <c r="C856" s="36"/>
      <c r="H856" s="36"/>
      <c r="I856" s="36"/>
      <c r="J856" s="36"/>
      <c r="K856" s="36"/>
      <c r="L856" s="36"/>
    </row>
    <row r="857">
      <c r="A857" s="36"/>
      <c r="B857" s="36"/>
      <c r="C857" s="36"/>
      <c r="H857" s="36"/>
      <c r="I857" s="36"/>
      <c r="J857" s="36"/>
      <c r="K857" s="36"/>
      <c r="L857" s="36"/>
    </row>
    <row r="858">
      <c r="A858" s="36"/>
      <c r="B858" s="36"/>
      <c r="C858" s="36"/>
      <c r="H858" s="36"/>
      <c r="I858" s="36"/>
      <c r="J858" s="36"/>
      <c r="K858" s="36"/>
      <c r="L858" s="36"/>
    </row>
    <row r="859">
      <c r="A859" s="36"/>
      <c r="B859" s="36"/>
      <c r="C859" s="36"/>
      <c r="H859" s="36"/>
      <c r="I859" s="36"/>
      <c r="J859" s="36"/>
      <c r="K859" s="36"/>
      <c r="L859" s="36"/>
    </row>
    <row r="860">
      <c r="A860" s="36"/>
      <c r="B860" s="36"/>
      <c r="C860" s="36"/>
      <c r="H860" s="36"/>
      <c r="I860" s="36"/>
      <c r="J860" s="36"/>
      <c r="K860" s="36"/>
      <c r="L860" s="36"/>
    </row>
    <row r="861">
      <c r="A861" s="36"/>
      <c r="B861" s="36"/>
      <c r="C861" s="36"/>
      <c r="H861" s="36"/>
      <c r="I861" s="36"/>
      <c r="J861" s="36"/>
      <c r="K861" s="36"/>
      <c r="L861" s="36"/>
    </row>
    <row r="862">
      <c r="A862" s="36"/>
      <c r="B862" s="36"/>
      <c r="C862" s="36"/>
      <c r="H862" s="36"/>
      <c r="I862" s="36"/>
      <c r="J862" s="36"/>
      <c r="K862" s="36"/>
      <c r="L862" s="36"/>
    </row>
    <row r="863">
      <c r="A863" s="36"/>
      <c r="B863" s="36"/>
      <c r="C863" s="36"/>
      <c r="H863" s="36"/>
      <c r="I863" s="36"/>
      <c r="J863" s="36"/>
      <c r="K863" s="36"/>
      <c r="L863" s="36"/>
    </row>
    <row r="864">
      <c r="A864" s="36"/>
      <c r="B864" s="36"/>
      <c r="C864" s="36"/>
      <c r="H864" s="36"/>
      <c r="I864" s="36"/>
      <c r="J864" s="36"/>
      <c r="K864" s="36"/>
      <c r="L864" s="36"/>
    </row>
    <row r="865">
      <c r="A865" s="36"/>
      <c r="B865" s="36"/>
      <c r="C865" s="36"/>
      <c r="H865" s="36"/>
      <c r="I865" s="36"/>
      <c r="J865" s="36"/>
      <c r="K865" s="36"/>
      <c r="L865" s="36"/>
    </row>
    <row r="866">
      <c r="A866" s="36"/>
      <c r="B866" s="36"/>
      <c r="C866" s="36"/>
      <c r="H866" s="36"/>
      <c r="I866" s="36"/>
      <c r="J866" s="36"/>
      <c r="K866" s="36"/>
      <c r="L866" s="36"/>
    </row>
    <row r="867">
      <c r="A867" s="36"/>
      <c r="B867" s="36"/>
      <c r="C867" s="36"/>
      <c r="H867" s="36"/>
      <c r="I867" s="36"/>
      <c r="J867" s="36"/>
      <c r="K867" s="36"/>
      <c r="L867" s="36"/>
    </row>
    <row r="868">
      <c r="A868" s="36"/>
      <c r="B868" s="36"/>
      <c r="C868" s="36"/>
      <c r="H868" s="36"/>
      <c r="I868" s="36"/>
      <c r="J868" s="36"/>
      <c r="K868" s="36"/>
      <c r="L868" s="36"/>
    </row>
    <row r="869">
      <c r="A869" s="36"/>
      <c r="B869" s="36"/>
      <c r="C869" s="36"/>
      <c r="H869" s="36"/>
      <c r="I869" s="36"/>
      <c r="J869" s="36"/>
      <c r="K869" s="36"/>
      <c r="L869" s="36"/>
    </row>
    <row r="870">
      <c r="A870" s="36"/>
      <c r="B870" s="36"/>
      <c r="C870" s="36"/>
      <c r="H870" s="36"/>
      <c r="I870" s="36"/>
      <c r="J870" s="36"/>
      <c r="K870" s="36"/>
      <c r="L870" s="36"/>
    </row>
    <row r="871">
      <c r="A871" s="36"/>
      <c r="B871" s="36"/>
      <c r="C871" s="36"/>
      <c r="H871" s="36"/>
      <c r="I871" s="36"/>
      <c r="J871" s="36"/>
      <c r="K871" s="36"/>
      <c r="L871" s="36"/>
    </row>
    <row r="872">
      <c r="A872" s="36"/>
      <c r="B872" s="36"/>
      <c r="C872" s="36"/>
      <c r="H872" s="36"/>
      <c r="I872" s="36"/>
      <c r="J872" s="36"/>
      <c r="K872" s="36"/>
      <c r="L872" s="36"/>
    </row>
    <row r="873">
      <c r="A873" s="36"/>
      <c r="B873" s="36"/>
      <c r="C873" s="36"/>
      <c r="H873" s="36"/>
      <c r="I873" s="36"/>
      <c r="J873" s="36"/>
      <c r="K873" s="36"/>
      <c r="L873" s="36"/>
    </row>
    <row r="874">
      <c r="A874" s="36"/>
      <c r="B874" s="36"/>
      <c r="C874" s="36"/>
      <c r="H874" s="36"/>
      <c r="I874" s="36"/>
      <c r="J874" s="36"/>
      <c r="K874" s="36"/>
      <c r="L874" s="36"/>
    </row>
    <row r="875">
      <c r="A875" s="36"/>
      <c r="B875" s="36"/>
      <c r="C875" s="36"/>
      <c r="H875" s="36"/>
      <c r="I875" s="36"/>
      <c r="J875" s="36"/>
      <c r="K875" s="36"/>
      <c r="L875" s="36"/>
    </row>
    <row r="876">
      <c r="A876" s="36"/>
      <c r="B876" s="36"/>
      <c r="C876" s="36"/>
      <c r="H876" s="36"/>
      <c r="I876" s="36"/>
      <c r="J876" s="36"/>
      <c r="K876" s="36"/>
      <c r="L876" s="36"/>
    </row>
    <row r="877">
      <c r="A877" s="36"/>
      <c r="B877" s="36"/>
      <c r="C877" s="36"/>
      <c r="H877" s="36"/>
      <c r="I877" s="36"/>
      <c r="J877" s="36"/>
      <c r="K877" s="36"/>
      <c r="L877" s="36"/>
    </row>
    <row r="878">
      <c r="A878" s="36"/>
      <c r="B878" s="36"/>
      <c r="C878" s="36"/>
      <c r="H878" s="36"/>
      <c r="I878" s="36"/>
      <c r="J878" s="36"/>
      <c r="K878" s="36"/>
      <c r="L878" s="36"/>
    </row>
    <row r="879">
      <c r="A879" s="36"/>
      <c r="B879" s="36"/>
      <c r="C879" s="36"/>
      <c r="H879" s="36"/>
      <c r="I879" s="36"/>
      <c r="J879" s="36"/>
      <c r="K879" s="36"/>
      <c r="L879" s="36"/>
    </row>
    <row r="880">
      <c r="A880" s="36"/>
      <c r="B880" s="36"/>
      <c r="C880" s="36"/>
      <c r="H880" s="36"/>
      <c r="I880" s="36"/>
      <c r="J880" s="36"/>
      <c r="K880" s="36"/>
      <c r="L880" s="36"/>
    </row>
    <row r="881">
      <c r="A881" s="36"/>
      <c r="B881" s="36"/>
      <c r="C881" s="36"/>
      <c r="H881" s="36"/>
      <c r="I881" s="36"/>
      <c r="J881" s="36"/>
      <c r="K881" s="36"/>
      <c r="L881" s="36"/>
    </row>
    <row r="882">
      <c r="A882" s="36"/>
      <c r="B882" s="36"/>
      <c r="C882" s="36"/>
      <c r="H882" s="36"/>
      <c r="I882" s="36"/>
      <c r="J882" s="36"/>
      <c r="K882" s="36"/>
      <c r="L882" s="36"/>
    </row>
    <row r="883">
      <c r="A883" s="36"/>
      <c r="B883" s="36"/>
      <c r="C883" s="36"/>
      <c r="H883" s="36"/>
      <c r="I883" s="36"/>
      <c r="J883" s="36"/>
      <c r="K883" s="36"/>
      <c r="L883" s="36"/>
    </row>
    <row r="884">
      <c r="A884" s="36"/>
      <c r="B884" s="36"/>
      <c r="C884" s="36"/>
      <c r="H884" s="36"/>
      <c r="I884" s="36"/>
      <c r="J884" s="36"/>
      <c r="K884" s="36"/>
      <c r="L884" s="36"/>
    </row>
    <row r="885">
      <c r="A885" s="36"/>
      <c r="B885" s="36"/>
      <c r="C885" s="36"/>
      <c r="H885" s="36"/>
      <c r="I885" s="36"/>
      <c r="J885" s="36"/>
      <c r="K885" s="36"/>
      <c r="L885" s="36"/>
    </row>
    <row r="886">
      <c r="A886" s="36"/>
      <c r="B886" s="36"/>
      <c r="C886" s="36"/>
      <c r="H886" s="36"/>
      <c r="I886" s="36"/>
      <c r="J886" s="36"/>
      <c r="K886" s="36"/>
      <c r="L886" s="36"/>
    </row>
    <row r="887">
      <c r="A887" s="36"/>
      <c r="B887" s="36"/>
      <c r="C887" s="36"/>
      <c r="H887" s="36"/>
      <c r="I887" s="36"/>
      <c r="J887" s="36"/>
      <c r="K887" s="36"/>
      <c r="L887" s="36"/>
    </row>
    <row r="888">
      <c r="A888" s="36"/>
      <c r="B888" s="36"/>
      <c r="C888" s="36"/>
      <c r="H888" s="36"/>
      <c r="I888" s="36"/>
      <c r="J888" s="36"/>
      <c r="K888" s="36"/>
      <c r="L888" s="36"/>
    </row>
    <row r="889">
      <c r="A889" s="36"/>
      <c r="B889" s="36"/>
      <c r="C889" s="36"/>
      <c r="H889" s="36"/>
      <c r="I889" s="36"/>
      <c r="J889" s="36"/>
      <c r="K889" s="36"/>
      <c r="L889" s="36"/>
    </row>
    <row r="890">
      <c r="A890" s="36"/>
      <c r="B890" s="36"/>
      <c r="C890" s="36"/>
      <c r="H890" s="36"/>
      <c r="I890" s="36"/>
      <c r="J890" s="36"/>
      <c r="K890" s="36"/>
      <c r="L890" s="36"/>
    </row>
    <row r="891">
      <c r="A891" s="36"/>
      <c r="B891" s="36"/>
      <c r="C891" s="36"/>
      <c r="H891" s="36"/>
      <c r="I891" s="36"/>
      <c r="J891" s="36"/>
      <c r="K891" s="36"/>
      <c r="L891" s="36"/>
    </row>
    <row r="892">
      <c r="A892" s="36"/>
      <c r="B892" s="36"/>
      <c r="C892" s="36"/>
      <c r="H892" s="36"/>
      <c r="I892" s="36"/>
      <c r="J892" s="36"/>
      <c r="K892" s="36"/>
      <c r="L892" s="36"/>
    </row>
    <row r="893">
      <c r="A893" s="36"/>
      <c r="B893" s="36"/>
      <c r="C893" s="36"/>
      <c r="H893" s="36"/>
      <c r="I893" s="36"/>
      <c r="J893" s="36"/>
      <c r="K893" s="36"/>
      <c r="L893" s="36"/>
    </row>
    <row r="894">
      <c r="A894" s="36"/>
      <c r="B894" s="36"/>
      <c r="C894" s="36"/>
      <c r="H894" s="36"/>
      <c r="I894" s="36"/>
      <c r="J894" s="36"/>
      <c r="K894" s="36"/>
      <c r="L894" s="36"/>
    </row>
    <row r="895">
      <c r="A895" s="36"/>
      <c r="B895" s="36"/>
      <c r="C895" s="36"/>
      <c r="H895" s="36"/>
      <c r="I895" s="36"/>
      <c r="J895" s="36"/>
      <c r="K895" s="36"/>
      <c r="L895" s="36"/>
    </row>
    <row r="896">
      <c r="A896" s="36"/>
      <c r="B896" s="36"/>
      <c r="C896" s="36"/>
      <c r="H896" s="36"/>
      <c r="I896" s="36"/>
      <c r="J896" s="36"/>
      <c r="K896" s="36"/>
      <c r="L896" s="36"/>
    </row>
    <row r="897">
      <c r="A897" s="36"/>
      <c r="B897" s="36"/>
      <c r="C897" s="36"/>
      <c r="H897" s="36"/>
      <c r="I897" s="36"/>
      <c r="J897" s="36"/>
      <c r="K897" s="36"/>
      <c r="L897" s="36"/>
    </row>
    <row r="898">
      <c r="A898" s="36"/>
      <c r="B898" s="36"/>
      <c r="C898" s="36"/>
      <c r="H898" s="36"/>
      <c r="I898" s="36"/>
      <c r="J898" s="36"/>
      <c r="K898" s="36"/>
      <c r="L898" s="36"/>
    </row>
    <row r="899">
      <c r="A899" s="36"/>
      <c r="B899" s="36"/>
      <c r="C899" s="36"/>
      <c r="H899" s="36"/>
      <c r="I899" s="36"/>
      <c r="J899" s="36"/>
      <c r="K899" s="36"/>
      <c r="L899" s="36"/>
    </row>
    <row r="900">
      <c r="A900" s="36"/>
      <c r="B900" s="36"/>
      <c r="C900" s="36"/>
      <c r="H900" s="36"/>
      <c r="I900" s="36"/>
      <c r="J900" s="36"/>
      <c r="K900" s="36"/>
      <c r="L900" s="36"/>
    </row>
    <row r="901">
      <c r="A901" s="36"/>
      <c r="B901" s="36"/>
      <c r="C901" s="36"/>
      <c r="H901" s="36"/>
      <c r="I901" s="36"/>
      <c r="J901" s="36"/>
      <c r="K901" s="36"/>
      <c r="L901" s="36"/>
    </row>
    <row r="902">
      <c r="A902" s="36"/>
      <c r="B902" s="36"/>
      <c r="C902" s="36"/>
      <c r="H902" s="36"/>
      <c r="I902" s="36"/>
      <c r="J902" s="36"/>
      <c r="K902" s="36"/>
      <c r="L902" s="36"/>
    </row>
    <row r="903">
      <c r="A903" s="36"/>
      <c r="B903" s="36"/>
      <c r="C903" s="36"/>
      <c r="H903" s="36"/>
      <c r="I903" s="36"/>
      <c r="J903" s="36"/>
      <c r="K903" s="36"/>
      <c r="L903" s="36"/>
    </row>
    <row r="904">
      <c r="A904" s="36"/>
      <c r="B904" s="36"/>
      <c r="C904" s="36"/>
      <c r="H904" s="36"/>
      <c r="I904" s="36"/>
      <c r="J904" s="36"/>
      <c r="K904" s="36"/>
      <c r="L904" s="36"/>
    </row>
    <row r="905">
      <c r="A905" s="36"/>
      <c r="B905" s="36"/>
      <c r="C905" s="36"/>
      <c r="H905" s="36"/>
      <c r="I905" s="36"/>
      <c r="J905" s="36"/>
      <c r="K905" s="36"/>
      <c r="L905" s="36"/>
    </row>
    <row r="906">
      <c r="A906" s="36"/>
      <c r="B906" s="36"/>
      <c r="C906" s="36"/>
      <c r="H906" s="36"/>
      <c r="I906" s="36"/>
      <c r="J906" s="36"/>
      <c r="K906" s="36"/>
      <c r="L906" s="36"/>
    </row>
    <row r="907">
      <c r="A907" s="36"/>
      <c r="B907" s="36"/>
      <c r="C907" s="36"/>
      <c r="H907" s="36"/>
      <c r="I907" s="36"/>
      <c r="J907" s="36"/>
      <c r="K907" s="36"/>
      <c r="L907" s="36"/>
    </row>
    <row r="908">
      <c r="A908" s="36"/>
      <c r="B908" s="36"/>
      <c r="C908" s="36"/>
      <c r="H908" s="36"/>
      <c r="I908" s="36"/>
      <c r="J908" s="36"/>
      <c r="K908" s="36"/>
      <c r="L908" s="36"/>
    </row>
    <row r="909">
      <c r="A909" s="36"/>
      <c r="B909" s="36"/>
      <c r="C909" s="36"/>
      <c r="H909" s="36"/>
      <c r="I909" s="36"/>
      <c r="J909" s="36"/>
      <c r="K909" s="36"/>
      <c r="L909" s="36"/>
    </row>
    <row r="910">
      <c r="A910" s="36"/>
      <c r="B910" s="36"/>
      <c r="C910" s="36"/>
      <c r="H910" s="36"/>
      <c r="I910" s="36"/>
      <c r="J910" s="36"/>
      <c r="K910" s="36"/>
      <c r="L910" s="36"/>
    </row>
    <row r="911">
      <c r="A911" s="36"/>
      <c r="B911" s="36"/>
      <c r="C911" s="36"/>
      <c r="H911" s="36"/>
      <c r="I911" s="36"/>
      <c r="J911" s="36"/>
      <c r="K911" s="36"/>
      <c r="L911" s="36"/>
    </row>
    <row r="912">
      <c r="A912" s="36"/>
      <c r="B912" s="36"/>
      <c r="C912" s="36"/>
      <c r="H912" s="36"/>
      <c r="I912" s="36"/>
      <c r="J912" s="36"/>
      <c r="K912" s="36"/>
      <c r="L912" s="36"/>
    </row>
    <row r="913">
      <c r="A913" s="36"/>
      <c r="B913" s="36"/>
      <c r="C913" s="36"/>
      <c r="H913" s="36"/>
      <c r="I913" s="36"/>
      <c r="J913" s="36"/>
      <c r="K913" s="36"/>
      <c r="L913" s="36"/>
    </row>
    <row r="914">
      <c r="A914" s="36"/>
      <c r="B914" s="36"/>
      <c r="C914" s="36"/>
      <c r="H914" s="36"/>
      <c r="I914" s="36"/>
      <c r="J914" s="36"/>
      <c r="K914" s="36"/>
      <c r="L914" s="36"/>
    </row>
    <row r="915">
      <c r="A915" s="36"/>
      <c r="B915" s="36"/>
      <c r="C915" s="36"/>
      <c r="H915" s="36"/>
      <c r="I915" s="36"/>
      <c r="J915" s="36"/>
      <c r="K915" s="36"/>
      <c r="L915" s="36"/>
    </row>
    <row r="916">
      <c r="A916" s="36"/>
      <c r="B916" s="36"/>
      <c r="C916" s="36"/>
      <c r="H916" s="36"/>
      <c r="I916" s="36"/>
      <c r="J916" s="36"/>
      <c r="K916" s="36"/>
      <c r="L916" s="36"/>
    </row>
    <row r="917">
      <c r="A917" s="36"/>
      <c r="B917" s="36"/>
      <c r="C917" s="36"/>
      <c r="H917" s="36"/>
      <c r="I917" s="36"/>
      <c r="J917" s="36"/>
      <c r="K917" s="36"/>
      <c r="L917" s="36"/>
    </row>
    <row r="918">
      <c r="A918" s="36"/>
      <c r="B918" s="36"/>
      <c r="C918" s="36"/>
      <c r="H918" s="36"/>
      <c r="I918" s="36"/>
      <c r="J918" s="36"/>
      <c r="K918" s="36"/>
      <c r="L918" s="36"/>
    </row>
    <row r="919">
      <c r="A919" s="36"/>
      <c r="B919" s="36"/>
      <c r="C919" s="36"/>
      <c r="H919" s="36"/>
      <c r="I919" s="36"/>
      <c r="J919" s="36"/>
      <c r="K919" s="36"/>
      <c r="L919" s="36"/>
    </row>
    <row r="920">
      <c r="A920" s="36"/>
      <c r="B920" s="36"/>
      <c r="C920" s="36"/>
      <c r="H920" s="36"/>
      <c r="I920" s="36"/>
      <c r="J920" s="36"/>
      <c r="K920" s="36"/>
      <c r="L920" s="36"/>
    </row>
    <row r="921">
      <c r="A921" s="36"/>
      <c r="B921" s="36"/>
      <c r="C921" s="36"/>
      <c r="H921" s="36"/>
      <c r="I921" s="36"/>
      <c r="J921" s="36"/>
      <c r="K921" s="36"/>
      <c r="L921" s="36"/>
    </row>
    <row r="922">
      <c r="A922" s="36"/>
      <c r="B922" s="36"/>
      <c r="C922" s="36"/>
      <c r="H922" s="36"/>
      <c r="I922" s="36"/>
      <c r="J922" s="36"/>
      <c r="K922" s="36"/>
      <c r="L922" s="36"/>
    </row>
    <row r="923">
      <c r="A923" s="36"/>
      <c r="B923" s="36"/>
      <c r="C923" s="36"/>
      <c r="H923" s="36"/>
      <c r="I923" s="36"/>
      <c r="J923" s="36"/>
      <c r="K923" s="36"/>
      <c r="L923" s="36"/>
    </row>
    <row r="924">
      <c r="A924" s="36"/>
      <c r="B924" s="36"/>
      <c r="C924" s="36"/>
      <c r="H924" s="36"/>
      <c r="I924" s="36"/>
      <c r="J924" s="36"/>
      <c r="K924" s="36"/>
      <c r="L924" s="36"/>
    </row>
    <row r="925">
      <c r="A925" s="36"/>
      <c r="B925" s="36"/>
      <c r="C925" s="36"/>
      <c r="H925" s="36"/>
      <c r="I925" s="36"/>
      <c r="J925" s="36"/>
      <c r="K925" s="36"/>
      <c r="L925" s="36"/>
    </row>
    <row r="926">
      <c r="A926" s="36"/>
      <c r="B926" s="36"/>
      <c r="C926" s="36"/>
      <c r="H926" s="36"/>
      <c r="I926" s="36"/>
      <c r="J926" s="36"/>
      <c r="K926" s="36"/>
      <c r="L926" s="36"/>
    </row>
    <row r="927">
      <c r="A927" s="36"/>
      <c r="B927" s="36"/>
      <c r="C927" s="36"/>
      <c r="H927" s="36"/>
      <c r="I927" s="36"/>
      <c r="J927" s="36"/>
      <c r="K927" s="36"/>
      <c r="L927" s="36"/>
    </row>
    <row r="928">
      <c r="A928" s="36"/>
      <c r="B928" s="36"/>
      <c r="C928" s="36"/>
      <c r="H928" s="36"/>
      <c r="I928" s="36"/>
      <c r="J928" s="36"/>
      <c r="K928" s="36"/>
      <c r="L928" s="36"/>
    </row>
    <row r="929">
      <c r="A929" s="36"/>
      <c r="B929" s="36"/>
      <c r="C929" s="36"/>
      <c r="H929" s="36"/>
      <c r="I929" s="36"/>
      <c r="J929" s="36"/>
      <c r="K929" s="36"/>
      <c r="L929" s="36"/>
    </row>
    <row r="930">
      <c r="A930" s="36"/>
      <c r="B930" s="36"/>
      <c r="C930" s="36"/>
      <c r="H930" s="36"/>
      <c r="I930" s="36"/>
      <c r="J930" s="36"/>
      <c r="K930" s="36"/>
      <c r="L930" s="36"/>
    </row>
    <row r="931">
      <c r="A931" s="36"/>
      <c r="B931" s="36"/>
      <c r="C931" s="36"/>
      <c r="H931" s="36"/>
      <c r="I931" s="36"/>
      <c r="J931" s="36"/>
      <c r="K931" s="36"/>
      <c r="L931" s="36"/>
    </row>
    <row r="932">
      <c r="A932" s="36"/>
      <c r="B932" s="36"/>
      <c r="C932" s="36"/>
      <c r="H932" s="36"/>
      <c r="I932" s="36"/>
      <c r="J932" s="36"/>
      <c r="K932" s="36"/>
      <c r="L932" s="36"/>
    </row>
    <row r="933">
      <c r="A933" s="36"/>
      <c r="B933" s="36"/>
      <c r="C933" s="36"/>
      <c r="H933" s="36"/>
      <c r="I933" s="36"/>
      <c r="J933" s="36"/>
      <c r="K933" s="36"/>
      <c r="L933" s="36"/>
    </row>
    <row r="934">
      <c r="A934" s="36"/>
      <c r="B934" s="36"/>
      <c r="C934" s="36"/>
      <c r="H934" s="36"/>
      <c r="I934" s="36"/>
      <c r="J934" s="36"/>
      <c r="K934" s="36"/>
      <c r="L934" s="36"/>
    </row>
    <row r="935">
      <c r="A935" s="36"/>
      <c r="B935" s="36"/>
      <c r="C935" s="36"/>
      <c r="H935" s="36"/>
      <c r="I935" s="36"/>
      <c r="J935" s="36"/>
      <c r="K935" s="36"/>
      <c r="L935" s="36"/>
    </row>
    <row r="936">
      <c r="A936" s="36"/>
      <c r="B936" s="36"/>
      <c r="C936" s="36"/>
      <c r="H936" s="36"/>
      <c r="I936" s="36"/>
      <c r="J936" s="36"/>
      <c r="K936" s="36"/>
      <c r="L936" s="36"/>
    </row>
    <row r="937">
      <c r="A937" s="36"/>
      <c r="B937" s="36"/>
      <c r="C937" s="36"/>
      <c r="H937" s="36"/>
      <c r="I937" s="36"/>
      <c r="J937" s="36"/>
      <c r="K937" s="36"/>
      <c r="L937" s="36"/>
    </row>
    <row r="938">
      <c r="A938" s="36"/>
      <c r="B938" s="36"/>
      <c r="C938" s="36"/>
      <c r="H938" s="36"/>
      <c r="I938" s="36"/>
      <c r="J938" s="36"/>
      <c r="K938" s="36"/>
      <c r="L938" s="36"/>
    </row>
    <row r="939">
      <c r="A939" s="36"/>
      <c r="B939" s="36"/>
      <c r="C939" s="36"/>
      <c r="H939" s="36"/>
      <c r="I939" s="36"/>
      <c r="J939" s="36"/>
      <c r="K939" s="36"/>
      <c r="L939" s="36"/>
    </row>
    <row r="940">
      <c r="A940" s="36"/>
      <c r="B940" s="36"/>
      <c r="C940" s="36"/>
      <c r="H940" s="36"/>
      <c r="I940" s="36"/>
      <c r="J940" s="36"/>
      <c r="K940" s="36"/>
      <c r="L940" s="36"/>
    </row>
    <row r="941">
      <c r="A941" s="36"/>
      <c r="B941" s="36"/>
      <c r="C941" s="36"/>
      <c r="H941" s="36"/>
      <c r="I941" s="36"/>
      <c r="J941" s="36"/>
      <c r="K941" s="36"/>
      <c r="L941" s="36"/>
    </row>
    <row r="942">
      <c r="A942" s="36"/>
      <c r="B942" s="36"/>
      <c r="C942" s="36"/>
      <c r="H942" s="36"/>
      <c r="I942" s="36"/>
      <c r="J942" s="36"/>
      <c r="K942" s="36"/>
      <c r="L942" s="36"/>
    </row>
    <row r="943">
      <c r="A943" s="36"/>
      <c r="B943" s="36"/>
      <c r="C943" s="36"/>
      <c r="H943" s="36"/>
      <c r="I943" s="36"/>
      <c r="J943" s="36"/>
      <c r="K943" s="36"/>
      <c r="L943" s="36"/>
    </row>
    <row r="944">
      <c r="A944" s="36"/>
      <c r="B944" s="36"/>
      <c r="C944" s="36"/>
      <c r="H944" s="36"/>
      <c r="I944" s="36"/>
      <c r="J944" s="36"/>
      <c r="K944" s="36"/>
      <c r="L944" s="36"/>
    </row>
    <row r="945">
      <c r="A945" s="36"/>
      <c r="B945" s="36"/>
      <c r="C945" s="36"/>
      <c r="H945" s="36"/>
      <c r="I945" s="36"/>
      <c r="J945" s="36"/>
      <c r="K945" s="36"/>
      <c r="L945" s="36"/>
    </row>
    <row r="946">
      <c r="A946" s="36"/>
      <c r="B946" s="36"/>
      <c r="C946" s="36"/>
      <c r="H946" s="36"/>
      <c r="I946" s="36"/>
      <c r="J946" s="36"/>
      <c r="K946" s="36"/>
      <c r="L946" s="36"/>
    </row>
    <row r="947">
      <c r="A947" s="36"/>
      <c r="B947" s="36"/>
      <c r="C947" s="36"/>
      <c r="H947" s="36"/>
      <c r="I947" s="36"/>
      <c r="J947" s="36"/>
      <c r="K947" s="36"/>
      <c r="L947" s="36"/>
    </row>
    <row r="948">
      <c r="A948" s="36"/>
      <c r="B948" s="36"/>
      <c r="C948" s="36"/>
      <c r="H948" s="36"/>
      <c r="I948" s="36"/>
      <c r="J948" s="36"/>
      <c r="K948" s="36"/>
      <c r="L948" s="36"/>
    </row>
    <row r="949">
      <c r="A949" s="36"/>
      <c r="B949" s="36"/>
      <c r="C949" s="36"/>
      <c r="H949" s="36"/>
      <c r="I949" s="36"/>
      <c r="J949" s="36"/>
      <c r="K949" s="36"/>
      <c r="L949" s="36"/>
    </row>
    <row r="950">
      <c r="A950" s="36"/>
      <c r="B950" s="36"/>
      <c r="C950" s="36"/>
      <c r="H950" s="36"/>
      <c r="I950" s="36"/>
      <c r="J950" s="36"/>
      <c r="K950" s="36"/>
      <c r="L950" s="36"/>
    </row>
    <row r="951">
      <c r="A951" s="36"/>
      <c r="B951" s="36"/>
      <c r="C951" s="36"/>
      <c r="H951" s="36"/>
      <c r="I951" s="36"/>
      <c r="J951" s="36"/>
      <c r="K951" s="36"/>
      <c r="L951" s="36"/>
    </row>
    <row r="952">
      <c r="A952" s="36"/>
      <c r="B952" s="36"/>
      <c r="C952" s="36"/>
      <c r="H952" s="36"/>
      <c r="I952" s="36"/>
      <c r="J952" s="36"/>
      <c r="K952" s="36"/>
      <c r="L952" s="36"/>
    </row>
    <row r="953">
      <c r="A953" s="36"/>
      <c r="B953" s="36"/>
      <c r="C953" s="36"/>
      <c r="H953" s="36"/>
      <c r="I953" s="36"/>
      <c r="J953" s="36"/>
      <c r="K953" s="36"/>
      <c r="L953" s="36"/>
    </row>
    <row r="954">
      <c r="A954" s="36"/>
      <c r="B954" s="36"/>
      <c r="C954" s="36"/>
      <c r="H954" s="36"/>
      <c r="I954" s="36"/>
      <c r="J954" s="36"/>
      <c r="K954" s="36"/>
      <c r="L954" s="36"/>
    </row>
    <row r="955">
      <c r="A955" s="36"/>
      <c r="B955" s="36"/>
      <c r="C955" s="36"/>
      <c r="H955" s="36"/>
      <c r="I955" s="36"/>
      <c r="J955" s="36"/>
      <c r="K955" s="36"/>
      <c r="L955" s="36"/>
    </row>
    <row r="956">
      <c r="A956" s="36"/>
      <c r="B956" s="36"/>
      <c r="C956" s="36"/>
      <c r="H956" s="36"/>
      <c r="I956" s="36"/>
      <c r="J956" s="36"/>
      <c r="K956" s="36"/>
      <c r="L956" s="36"/>
    </row>
    <row r="957">
      <c r="A957" s="36"/>
      <c r="B957" s="36"/>
      <c r="C957" s="36"/>
      <c r="H957" s="36"/>
      <c r="I957" s="36"/>
      <c r="J957" s="36"/>
      <c r="K957" s="36"/>
      <c r="L957" s="36"/>
    </row>
    <row r="958">
      <c r="A958" s="36"/>
      <c r="B958" s="36"/>
      <c r="C958" s="36"/>
      <c r="H958" s="36"/>
      <c r="I958" s="36"/>
      <c r="J958" s="36"/>
      <c r="K958" s="36"/>
      <c r="L958" s="36"/>
    </row>
    <row r="959">
      <c r="A959" s="36"/>
      <c r="B959" s="36"/>
      <c r="C959" s="36"/>
      <c r="H959" s="36"/>
      <c r="I959" s="36"/>
      <c r="J959" s="36"/>
      <c r="K959" s="36"/>
      <c r="L959" s="36"/>
    </row>
    <row r="960">
      <c r="A960" s="36"/>
      <c r="B960" s="36"/>
      <c r="C960" s="36"/>
      <c r="H960" s="36"/>
      <c r="I960" s="36"/>
      <c r="J960" s="36"/>
      <c r="K960" s="36"/>
      <c r="L960" s="36"/>
    </row>
    <row r="961">
      <c r="A961" s="36"/>
      <c r="B961" s="36"/>
      <c r="C961" s="36"/>
      <c r="H961" s="36"/>
      <c r="I961" s="36"/>
      <c r="J961" s="36"/>
      <c r="K961" s="36"/>
      <c r="L961" s="36"/>
    </row>
    <row r="962">
      <c r="A962" s="36"/>
      <c r="B962" s="36"/>
      <c r="C962" s="36"/>
      <c r="H962" s="36"/>
      <c r="I962" s="36"/>
      <c r="J962" s="36"/>
      <c r="K962" s="36"/>
      <c r="L962" s="36"/>
    </row>
    <row r="963">
      <c r="A963" s="36"/>
      <c r="B963" s="36"/>
      <c r="C963" s="36"/>
      <c r="H963" s="36"/>
      <c r="I963" s="36"/>
      <c r="J963" s="36"/>
      <c r="K963" s="36"/>
      <c r="L963" s="36"/>
    </row>
    <row r="964">
      <c r="A964" s="36"/>
      <c r="B964" s="36"/>
      <c r="C964" s="36"/>
      <c r="H964" s="36"/>
      <c r="I964" s="36"/>
      <c r="J964" s="36"/>
      <c r="K964" s="36"/>
      <c r="L964" s="36"/>
    </row>
    <row r="965">
      <c r="A965" s="36"/>
      <c r="B965" s="36"/>
      <c r="C965" s="36"/>
      <c r="H965" s="36"/>
      <c r="I965" s="36"/>
      <c r="J965" s="36"/>
      <c r="K965" s="36"/>
      <c r="L965" s="36"/>
    </row>
    <row r="966">
      <c r="A966" s="36"/>
      <c r="B966" s="36"/>
      <c r="C966" s="36"/>
      <c r="H966" s="36"/>
      <c r="I966" s="36"/>
      <c r="J966" s="36"/>
      <c r="K966" s="36"/>
      <c r="L966" s="36"/>
    </row>
    <row r="967">
      <c r="A967" s="36"/>
      <c r="B967" s="36"/>
      <c r="C967" s="36"/>
      <c r="H967" s="36"/>
      <c r="I967" s="36"/>
      <c r="J967" s="36"/>
      <c r="K967" s="36"/>
      <c r="L967" s="36"/>
    </row>
    <row r="968">
      <c r="A968" s="36"/>
      <c r="B968" s="36"/>
      <c r="C968" s="36"/>
      <c r="H968" s="36"/>
      <c r="I968" s="36"/>
      <c r="J968" s="36"/>
      <c r="K968" s="36"/>
      <c r="L968" s="36"/>
    </row>
    <row r="969">
      <c r="A969" s="36"/>
      <c r="B969" s="36"/>
      <c r="C969" s="36"/>
      <c r="H969" s="36"/>
      <c r="I969" s="36"/>
      <c r="J969" s="36"/>
      <c r="K969" s="36"/>
      <c r="L969" s="36"/>
    </row>
    <row r="970">
      <c r="A970" s="36"/>
      <c r="B970" s="36"/>
      <c r="C970" s="36"/>
      <c r="H970" s="36"/>
      <c r="I970" s="36"/>
      <c r="J970" s="36"/>
      <c r="K970" s="36"/>
      <c r="L970" s="36"/>
    </row>
    <row r="971">
      <c r="A971" s="36"/>
      <c r="B971" s="36"/>
      <c r="C971" s="36"/>
      <c r="H971" s="36"/>
      <c r="I971" s="36"/>
      <c r="J971" s="36"/>
      <c r="K971" s="36"/>
      <c r="L971" s="36"/>
    </row>
    <row r="972">
      <c r="A972" s="36"/>
      <c r="B972" s="36"/>
      <c r="C972" s="36"/>
      <c r="H972" s="36"/>
      <c r="I972" s="36"/>
      <c r="J972" s="36"/>
      <c r="K972" s="36"/>
      <c r="L972" s="36"/>
    </row>
    <row r="973">
      <c r="A973" s="36"/>
      <c r="B973" s="36"/>
      <c r="C973" s="36"/>
      <c r="H973" s="36"/>
      <c r="I973" s="36"/>
      <c r="J973" s="36"/>
      <c r="K973" s="36"/>
      <c r="L973" s="36"/>
    </row>
    <row r="974">
      <c r="A974" s="36"/>
      <c r="B974" s="36"/>
      <c r="C974" s="36"/>
      <c r="H974" s="36"/>
      <c r="I974" s="36"/>
      <c r="J974" s="36"/>
      <c r="K974" s="36"/>
      <c r="L974" s="36"/>
    </row>
    <row r="975">
      <c r="A975" s="36"/>
      <c r="B975" s="36"/>
      <c r="C975" s="36"/>
      <c r="H975" s="36"/>
      <c r="I975" s="36"/>
      <c r="J975" s="36"/>
      <c r="K975" s="36"/>
      <c r="L975" s="36"/>
    </row>
    <row r="976">
      <c r="A976" s="36"/>
      <c r="B976" s="36"/>
      <c r="C976" s="36"/>
      <c r="H976" s="36"/>
      <c r="I976" s="36"/>
      <c r="J976" s="36"/>
      <c r="K976" s="36"/>
      <c r="L976" s="36"/>
    </row>
    <row r="977">
      <c r="A977" s="36"/>
      <c r="B977" s="36"/>
      <c r="C977" s="36"/>
      <c r="H977" s="36"/>
      <c r="I977" s="36"/>
      <c r="J977" s="36"/>
      <c r="K977" s="36"/>
      <c r="L977" s="36"/>
    </row>
    <row r="978">
      <c r="A978" s="36"/>
      <c r="B978" s="36"/>
      <c r="C978" s="36"/>
      <c r="H978" s="36"/>
      <c r="I978" s="36"/>
      <c r="J978" s="36"/>
      <c r="K978" s="36"/>
      <c r="L978" s="36"/>
    </row>
    <row r="979">
      <c r="A979" s="36"/>
      <c r="B979" s="36"/>
      <c r="C979" s="36"/>
      <c r="H979" s="36"/>
      <c r="I979" s="36"/>
      <c r="J979" s="36"/>
      <c r="K979" s="36"/>
      <c r="L979" s="36"/>
    </row>
    <row r="980">
      <c r="A980" s="36"/>
      <c r="B980" s="36"/>
      <c r="C980" s="36"/>
      <c r="H980" s="36"/>
      <c r="I980" s="36"/>
      <c r="J980" s="36"/>
      <c r="K980" s="36"/>
      <c r="L980" s="36"/>
    </row>
    <row r="981">
      <c r="A981" s="36"/>
      <c r="B981" s="36"/>
      <c r="C981" s="36"/>
      <c r="H981" s="36"/>
      <c r="I981" s="36"/>
      <c r="J981" s="36"/>
      <c r="K981" s="36"/>
      <c r="L981" s="36"/>
    </row>
    <row r="982">
      <c r="A982" s="36"/>
      <c r="B982" s="36"/>
      <c r="C982" s="36"/>
      <c r="H982" s="36"/>
      <c r="I982" s="36"/>
      <c r="J982" s="36"/>
      <c r="K982" s="36"/>
      <c r="L982" s="36"/>
    </row>
    <row r="983">
      <c r="A983" s="36"/>
      <c r="B983" s="36"/>
      <c r="C983" s="36"/>
      <c r="H983" s="36"/>
      <c r="I983" s="36"/>
      <c r="J983" s="36"/>
      <c r="K983" s="36"/>
      <c r="L983" s="36"/>
    </row>
    <row r="984">
      <c r="A984" s="36"/>
      <c r="B984" s="36"/>
      <c r="C984" s="36"/>
      <c r="H984" s="36"/>
      <c r="I984" s="36"/>
      <c r="J984" s="36"/>
      <c r="K984" s="36"/>
      <c r="L984" s="36"/>
    </row>
    <row r="985">
      <c r="A985" s="36"/>
      <c r="B985" s="36"/>
      <c r="C985" s="36"/>
      <c r="H985" s="36"/>
      <c r="I985" s="36"/>
      <c r="J985" s="36"/>
      <c r="K985" s="36"/>
      <c r="L985" s="36"/>
    </row>
    <row r="986">
      <c r="A986" s="36"/>
      <c r="B986" s="36"/>
      <c r="C986" s="36"/>
      <c r="H986" s="36"/>
      <c r="I986" s="36"/>
      <c r="J986" s="36"/>
      <c r="K986" s="36"/>
      <c r="L986" s="36"/>
    </row>
    <row r="987">
      <c r="A987" s="36"/>
      <c r="B987" s="36"/>
      <c r="C987" s="36"/>
      <c r="H987" s="36"/>
      <c r="I987" s="36"/>
      <c r="J987" s="36"/>
      <c r="K987" s="36"/>
      <c r="L987" s="36"/>
    </row>
    <row r="988">
      <c r="A988" s="36"/>
      <c r="B988" s="36"/>
      <c r="C988" s="36"/>
      <c r="H988" s="36"/>
      <c r="I988" s="36"/>
      <c r="J988" s="36"/>
      <c r="K988" s="36"/>
      <c r="L988" s="36"/>
    </row>
    <row r="989">
      <c r="A989" s="36"/>
      <c r="B989" s="36"/>
      <c r="C989" s="36"/>
      <c r="H989" s="36"/>
      <c r="I989" s="36"/>
      <c r="J989" s="36"/>
      <c r="K989" s="36"/>
      <c r="L989" s="36"/>
    </row>
    <row r="990">
      <c r="A990" s="36"/>
      <c r="B990" s="36"/>
      <c r="C990" s="36"/>
      <c r="H990" s="36"/>
      <c r="I990" s="36"/>
      <c r="J990" s="36"/>
      <c r="K990" s="36"/>
      <c r="L990" s="36"/>
    </row>
    <row r="991">
      <c r="A991" s="36"/>
      <c r="B991" s="36"/>
      <c r="C991" s="36"/>
      <c r="H991" s="36"/>
      <c r="I991" s="36"/>
      <c r="J991" s="36"/>
      <c r="K991" s="36"/>
      <c r="L991" s="36"/>
    </row>
    <row r="992">
      <c r="A992" s="36"/>
      <c r="B992" s="36"/>
      <c r="C992" s="36"/>
      <c r="H992" s="36"/>
      <c r="I992" s="36"/>
      <c r="J992" s="36"/>
      <c r="K992" s="36"/>
      <c r="L992" s="36"/>
    </row>
    <row r="993">
      <c r="A993" s="36"/>
      <c r="B993" s="36"/>
      <c r="C993" s="36"/>
      <c r="H993" s="36"/>
      <c r="I993" s="36"/>
      <c r="J993" s="36"/>
      <c r="K993" s="36"/>
      <c r="L993" s="36"/>
    </row>
    <row r="994">
      <c r="A994" s="36"/>
      <c r="B994" s="36"/>
      <c r="C994" s="36"/>
      <c r="H994" s="36"/>
      <c r="I994" s="36"/>
      <c r="J994" s="36"/>
      <c r="K994" s="36"/>
      <c r="L994" s="36"/>
    </row>
    <row r="995">
      <c r="A995" s="36"/>
      <c r="B995" s="36"/>
      <c r="C995" s="36"/>
      <c r="H995" s="36"/>
      <c r="I995" s="36"/>
      <c r="J995" s="36"/>
      <c r="K995" s="36"/>
      <c r="L995" s="36"/>
    </row>
    <row r="996">
      <c r="A996" s="36"/>
      <c r="B996" s="36"/>
      <c r="C996" s="36"/>
      <c r="H996" s="36"/>
      <c r="I996" s="36"/>
      <c r="J996" s="36"/>
      <c r="K996" s="36"/>
      <c r="L996" s="36"/>
    </row>
    <row r="997">
      <c r="A997" s="36"/>
      <c r="B997" s="36"/>
      <c r="C997" s="36"/>
      <c r="H997" s="36"/>
      <c r="I997" s="36"/>
      <c r="J997" s="36"/>
      <c r="K997" s="36"/>
      <c r="L997" s="36"/>
    </row>
  </sheetData>
  <autoFilter ref="$A$1:$L$248"/>
  <conditionalFormatting sqref="B234">
    <cfRule type="expression" dxfId="0" priority="1">
      <formula>COUNTIF($A$2:$A$266,B234)&gt;0</formula>
    </cfRule>
  </conditionalFormatting>
  <conditionalFormatting sqref="B234">
    <cfRule type="expression" dxfId="0" priority="2">
      <formula>COUNTIF($A$2:$A$135,B234)&gt;0</formula>
    </cfRule>
  </conditionalFormatting>
  <conditionalFormatting sqref="B234">
    <cfRule type="expression" dxfId="0" priority="3">
      <formula>COUNTIF($A$2:$A$184,B234)&gt;0</formula>
    </cfRule>
  </conditionalFormatting>
  <conditionalFormatting sqref="C234:E234 G234:H234 J234">
    <cfRule type="expression" dxfId="0" priority="4">
      <formula>COUNTIF($A$2:$A$265,C234)&gt;0</formula>
    </cfRule>
  </conditionalFormatting>
  <conditionalFormatting sqref="D234">
    <cfRule type="expression" dxfId="0" priority="5">
      <formula>COUNTIF($A$2:$A$134,D234)&gt;0</formula>
    </cfRule>
  </conditionalFormatting>
  <conditionalFormatting sqref="D234">
    <cfRule type="expression" dxfId="0" priority="6">
      <formula>COUNTIF($A$2:$A$183,D234)&gt;0</formula>
    </cfRule>
  </conditionalFormatting>
  <conditionalFormatting sqref="A204:A233 A235:D248">
    <cfRule type="expression" dxfId="0" priority="7">
      <formula>COUNTIF($A$2:$A$247,A204)&gt;0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3" width="18.38"/>
    <col customWidth="1" min="5" max="5" width="21.5"/>
    <col customWidth="1" min="6" max="6" width="19.13"/>
    <col customWidth="1" min="7" max="8" width="19.75"/>
  </cols>
  <sheetData>
    <row r="1">
      <c r="A1" s="60" t="s">
        <v>260</v>
      </c>
      <c r="B1" s="60" t="s">
        <v>1</v>
      </c>
      <c r="C1" s="60" t="s">
        <v>2</v>
      </c>
      <c r="D1" s="61" t="s">
        <v>208</v>
      </c>
      <c r="E1" s="61" t="s">
        <v>111</v>
      </c>
      <c r="F1" s="61" t="s">
        <v>5</v>
      </c>
      <c r="G1" s="3" t="s">
        <v>6</v>
      </c>
      <c r="H1" s="4" t="s">
        <v>7</v>
      </c>
      <c r="I1" s="56" t="s">
        <v>261</v>
      </c>
    </row>
    <row r="2">
      <c r="A2" s="40" t="s">
        <v>20</v>
      </c>
      <c r="B2" s="41">
        <f>IFERROR(__xludf.DUMMYFUNCTION("VLOOKUP(A2,IMPORTRANGE(""1EmrnCz2gLVTx5Cbj0e5tfuHPhTtmru8KTGuQvh7STl0/edit#gid=2147150001"",""Whole Data Set!$A$2:$NQ$253""),381,FALSE)"),83.25)</f>
        <v>83.25</v>
      </c>
      <c r="C2" s="58">
        <f t="shared" ref="C2:C244" si="1">B2/250</f>
        <v>0.333</v>
      </c>
      <c r="D2" s="12">
        <f>IFERROR(__xludf.DUMMYFUNCTION("VLOOKUP(A2,IMPORTRANGE(""1aFCnJY1qhIj8-JckJhDJ18aqmVo17tofpQmOjcYa3u8/edit#gid=948248086"",""Whole Data Set!$A$2:$NG$253""),371,FALSE)"),46.75)</f>
        <v>46.75</v>
      </c>
      <c r="E2" s="13">
        <f t="shared" ref="E2:E244" si="2">D2/250</f>
        <v>0.187</v>
      </c>
      <c r="F2" s="13">
        <f t="shared" ref="F2:F245" si="3">C2-E2</f>
        <v>0.146</v>
      </c>
      <c r="G2" s="83">
        <f>IFERROR(__xludf.DUMMYFUNCTION("VLOOKUP(A2,IMPORTRANGE(""1_RYWMH8TzKc0_xU44uur9ZmHGpM-mmp96_oQwwz56co/edit#gid=0"",""Sheet1!$A$2:$O$250""),2,FALSE)"),49.75)</f>
        <v>49.75</v>
      </c>
      <c r="H2" s="84">
        <f t="shared" ref="H2:H244" si="4">G2/250</f>
        <v>0.199</v>
      </c>
      <c r="I2" s="85">
        <f>C2-H2</f>
        <v>0.134</v>
      </c>
    </row>
    <row r="3">
      <c r="A3" s="19" t="s">
        <v>89</v>
      </c>
      <c r="B3" s="41">
        <f>IFERROR(__xludf.DUMMYFUNCTION("VLOOKUP(A3,IMPORTRANGE(""1EmrnCz2gLVTx5Cbj0e5tfuHPhTtmru8KTGuQvh7STl0/edit#gid=2147150001"",""Whole Data Set!$A$2:$NQ$253""),381,FALSE)"),140.0)</f>
        <v>140</v>
      </c>
      <c r="C3" s="58">
        <f t="shared" si="1"/>
        <v>0.56</v>
      </c>
      <c r="D3" s="12">
        <f>IFERROR(__xludf.DUMMYFUNCTION("VLOOKUP(A3,IMPORTRANGE(""1aFCnJY1qhIj8-JckJhDJ18aqmVo17tofpQmOjcYa3u8/edit#gid=948248086"",""Whole Data Set!$A$2:$NG$253""),371,FALSE)"),128.0)</f>
        <v>128</v>
      </c>
      <c r="E3" s="13">
        <f t="shared" si="2"/>
        <v>0.512</v>
      </c>
      <c r="F3" s="13">
        <f t="shared" si="3"/>
        <v>0.048</v>
      </c>
      <c r="G3" s="83">
        <f>IFERROR(__xludf.DUMMYFUNCTION("VLOOKUP(A3,IMPORTRANGE(""1_RYWMH8TzKc0_xU44uur9ZmHGpM-mmp96_oQwwz56co/edit#gid=0"",""Sheet1!$A$2:$O$250""),2,FALSE)"),136.0)</f>
        <v>136</v>
      </c>
      <c r="H3" s="84">
        <f t="shared" si="4"/>
        <v>0.544</v>
      </c>
      <c r="I3" s="85">
        <f t="shared" ref="I3:I244" si="5">E3-H3</f>
        <v>-0.032</v>
      </c>
    </row>
    <row r="4">
      <c r="A4" s="19" t="s">
        <v>27</v>
      </c>
      <c r="B4" s="41">
        <f>IFERROR(__xludf.DUMMYFUNCTION("VLOOKUP(A4,IMPORTRANGE(""1EmrnCz2gLVTx5Cbj0e5tfuHPhTtmru8KTGuQvh7STl0/edit#gid=2147150001"",""Whole Data Set!$A$2:$NQ$253""),381,FALSE)"),7.5)</f>
        <v>7.5</v>
      </c>
      <c r="C4" s="58">
        <f t="shared" si="1"/>
        <v>0.03</v>
      </c>
      <c r="D4" s="12">
        <f>IFERROR(__xludf.DUMMYFUNCTION("VLOOKUP(A4,IMPORTRANGE(""1aFCnJY1qhIj8-JckJhDJ18aqmVo17tofpQmOjcYa3u8/edit#gid=948248086"",""Whole Data Set!$A$2:$NG$253""),371,FALSE)"),6.5)</f>
        <v>6.5</v>
      </c>
      <c r="E4" s="13">
        <f t="shared" si="2"/>
        <v>0.026</v>
      </c>
      <c r="F4" s="13">
        <f t="shared" si="3"/>
        <v>0.004</v>
      </c>
      <c r="G4" s="83">
        <f>IFERROR(__xludf.DUMMYFUNCTION("VLOOKUP(A4,IMPORTRANGE(""1_RYWMH8TzKc0_xU44uur9ZmHGpM-mmp96_oQwwz56co/edit#gid=0"",""Sheet1!$A$2:$O$250""),2,FALSE)"),8.5)</f>
        <v>8.5</v>
      </c>
      <c r="H4" s="84">
        <f t="shared" si="4"/>
        <v>0.034</v>
      </c>
      <c r="I4" s="85">
        <f t="shared" si="5"/>
        <v>-0.008</v>
      </c>
    </row>
    <row r="5">
      <c r="A5" s="86" t="s">
        <v>262</v>
      </c>
      <c r="B5" s="41">
        <f>IFERROR(__xludf.DUMMYFUNCTION("VLOOKUP(A5,IMPORTRANGE(""1EmrnCz2gLVTx5Cbj0e5tfuHPhTtmru8KTGuQvh7STl0/edit#gid=2147150001"",""Whole Data Set!$A$2:$NQ$253""),381,FALSE)"),20.0)</f>
        <v>20</v>
      </c>
      <c r="C5" s="58">
        <f t="shared" si="1"/>
        <v>0.08</v>
      </c>
      <c r="D5" s="12">
        <f>IFERROR(__xludf.DUMMYFUNCTION("VLOOKUP(A5,IMPORTRANGE(""1aFCnJY1qhIj8-JckJhDJ18aqmVo17tofpQmOjcYa3u8/edit#gid=948248086"",""Whole Data Set!$A$2:$NG$253""),371,FALSE)"),17.5)</f>
        <v>17.5</v>
      </c>
      <c r="E5" s="13">
        <f t="shared" si="2"/>
        <v>0.07</v>
      </c>
      <c r="F5" s="13">
        <f t="shared" si="3"/>
        <v>0.01</v>
      </c>
      <c r="G5" s="83">
        <f>IFERROR(__xludf.DUMMYFUNCTION("VLOOKUP(A5,IMPORTRANGE(""1_RYWMH8TzKc0_xU44uur9ZmHGpM-mmp96_oQwwz56co/edit#gid=0"",""Sheet1!$A$2:$O$250""),2,FALSE)"),18.25)</f>
        <v>18.25</v>
      </c>
      <c r="H5" s="84">
        <f t="shared" si="4"/>
        <v>0.073</v>
      </c>
      <c r="I5" s="85">
        <f t="shared" si="5"/>
        <v>-0.003</v>
      </c>
    </row>
    <row r="6">
      <c r="A6" s="19" t="s">
        <v>161</v>
      </c>
      <c r="B6" s="41">
        <f>IFERROR(__xludf.DUMMYFUNCTION("VLOOKUP(A6,IMPORTRANGE(""1EmrnCz2gLVTx5Cbj0e5tfuHPhTtmru8KTGuQvh7STl0/edit#gid=2147150001"",""Whole Data Set!$A$2:$NQ$253""),381,FALSE)"),78.0)</f>
        <v>78</v>
      </c>
      <c r="C6" s="58">
        <f t="shared" si="1"/>
        <v>0.312</v>
      </c>
      <c r="D6" s="12">
        <f>IFERROR(__xludf.DUMMYFUNCTION("VLOOKUP(A6,IMPORTRANGE(""1aFCnJY1qhIj8-JckJhDJ18aqmVo17tofpQmOjcYa3u8/edit#gid=948248086"",""Whole Data Set!$A$2:$NG$253""),371,FALSE)"),77.5)</f>
        <v>77.5</v>
      </c>
      <c r="E6" s="13">
        <f t="shared" si="2"/>
        <v>0.31</v>
      </c>
      <c r="F6" s="13">
        <f t="shared" si="3"/>
        <v>0.002</v>
      </c>
      <c r="G6" s="83">
        <f>IFERROR(__xludf.DUMMYFUNCTION("VLOOKUP(A6,IMPORTRANGE(""1_RYWMH8TzKc0_xU44uur9ZmHGpM-mmp96_oQwwz56co/edit#gid=0"",""Sheet1!$A$2:$O$250""),2,FALSE)"),62.0)</f>
        <v>62</v>
      </c>
      <c r="H6" s="84">
        <f t="shared" si="4"/>
        <v>0.248</v>
      </c>
      <c r="I6" s="85">
        <f t="shared" si="5"/>
        <v>0.062</v>
      </c>
    </row>
    <row r="7">
      <c r="A7" s="19" t="s">
        <v>162</v>
      </c>
      <c r="B7" s="41">
        <f>IFERROR(__xludf.DUMMYFUNCTION("VLOOKUP(A7,IMPORTRANGE(""1EmrnCz2gLVTx5Cbj0e5tfuHPhTtmru8KTGuQvh7STl0/edit#gid=2147150001"",""Whole Data Set!$A$2:$NQ$253""),381,FALSE)"),86.0)</f>
        <v>86</v>
      </c>
      <c r="C7" s="58">
        <f t="shared" si="1"/>
        <v>0.344</v>
      </c>
      <c r="D7" s="12">
        <f>IFERROR(__xludf.DUMMYFUNCTION("VLOOKUP(A7,IMPORTRANGE(""1aFCnJY1qhIj8-JckJhDJ18aqmVo17tofpQmOjcYa3u8/edit#gid=948248086"",""Whole Data Set!$A$2:$NG$253""),371,FALSE)"),76.0)</f>
        <v>76</v>
      </c>
      <c r="E7" s="13">
        <f t="shared" si="2"/>
        <v>0.304</v>
      </c>
      <c r="F7" s="13">
        <f t="shared" si="3"/>
        <v>0.04</v>
      </c>
      <c r="G7" s="83">
        <f>IFERROR(__xludf.DUMMYFUNCTION("VLOOKUP(A7,IMPORTRANGE(""1_RYWMH8TzKc0_xU44uur9ZmHGpM-mmp96_oQwwz56co/edit#gid=0"",""Sheet1!$A$2:$O$250""),2,FALSE)"),77.0)</f>
        <v>77</v>
      </c>
      <c r="H7" s="84">
        <f t="shared" si="4"/>
        <v>0.308</v>
      </c>
      <c r="I7" s="85">
        <f t="shared" si="5"/>
        <v>-0.004</v>
      </c>
    </row>
    <row r="8">
      <c r="A8" s="19" t="s">
        <v>163</v>
      </c>
      <c r="B8" s="41">
        <f>IFERROR(__xludf.DUMMYFUNCTION("VLOOKUP(A8,IMPORTRANGE(""1EmrnCz2gLVTx5Cbj0e5tfuHPhTtmru8KTGuQvh7STl0/edit#gid=2147150001"",""Whole Data Set!$A$2:$NQ$253""),381,FALSE)"),35.75)</f>
        <v>35.75</v>
      </c>
      <c r="C8" s="58">
        <f t="shared" si="1"/>
        <v>0.143</v>
      </c>
      <c r="D8" s="12">
        <f>IFERROR(__xludf.DUMMYFUNCTION("VLOOKUP(A8,IMPORTRANGE(""1aFCnJY1qhIj8-JckJhDJ18aqmVo17tofpQmOjcYa3u8/edit#gid=948248086"",""Whole Data Set!$A$2:$NG$253""),371,FALSE)"),35.0)</f>
        <v>35</v>
      </c>
      <c r="E8" s="13">
        <f t="shared" si="2"/>
        <v>0.14</v>
      </c>
      <c r="F8" s="13">
        <f t="shared" si="3"/>
        <v>0.003</v>
      </c>
      <c r="G8" s="83">
        <f>IFERROR(__xludf.DUMMYFUNCTION("VLOOKUP(A8,IMPORTRANGE(""1_RYWMH8TzKc0_xU44uur9ZmHGpM-mmp96_oQwwz56co/edit#gid=0"",""Sheet1!$A$2:$O$250""),2,FALSE)"),35.5)</f>
        <v>35.5</v>
      </c>
      <c r="H8" s="84">
        <f t="shared" si="4"/>
        <v>0.142</v>
      </c>
      <c r="I8" s="85">
        <f t="shared" si="5"/>
        <v>-0.002</v>
      </c>
    </row>
    <row r="9">
      <c r="A9" s="19" t="s">
        <v>23</v>
      </c>
      <c r="B9" s="41">
        <f>IFERROR(__xludf.DUMMYFUNCTION("VLOOKUP(A9,IMPORTRANGE(""1EmrnCz2gLVTx5Cbj0e5tfuHPhTtmru8KTGuQvh7STl0/edit#gid=2147150001"",""Whole Data Set!$A$2:$NQ$253""),381,FALSE)"),64.25)</f>
        <v>64.25</v>
      </c>
      <c r="C9" s="58">
        <f t="shared" si="1"/>
        <v>0.257</v>
      </c>
      <c r="D9" s="12">
        <f>IFERROR(__xludf.DUMMYFUNCTION("VLOOKUP(A9,IMPORTRANGE(""1aFCnJY1qhIj8-JckJhDJ18aqmVo17tofpQmOjcYa3u8/edit#gid=948248086"",""Whole Data Set!$A$2:$NG$253""),371,FALSE)"),77.25)</f>
        <v>77.25</v>
      </c>
      <c r="E9" s="13">
        <f t="shared" si="2"/>
        <v>0.309</v>
      </c>
      <c r="F9" s="13">
        <f t="shared" si="3"/>
        <v>-0.052</v>
      </c>
      <c r="G9" s="83">
        <f>IFERROR(__xludf.DUMMYFUNCTION("VLOOKUP(A9,IMPORTRANGE(""1_RYWMH8TzKc0_xU44uur9ZmHGpM-mmp96_oQwwz56co/edit#gid=0"",""Sheet1!$A$2:$O$250""),2,FALSE)"),68.25)</f>
        <v>68.25</v>
      </c>
      <c r="H9" s="84">
        <f t="shared" si="4"/>
        <v>0.273</v>
      </c>
      <c r="I9" s="85">
        <f t="shared" si="5"/>
        <v>0.036</v>
      </c>
    </row>
    <row r="10">
      <c r="A10" s="42" t="s">
        <v>24</v>
      </c>
      <c r="B10" s="41">
        <f>IFERROR(__xludf.DUMMYFUNCTION("VLOOKUP(A10,IMPORTRANGE(""1EmrnCz2gLVTx5Cbj0e5tfuHPhTtmru8KTGuQvh7STl0/edit#gid=2147150001"",""Whole Data Set!$A$2:$NQ$253""),381,FALSE)"),53.5)</f>
        <v>53.5</v>
      </c>
      <c r="C10" s="58">
        <f t="shared" si="1"/>
        <v>0.214</v>
      </c>
      <c r="D10" s="12">
        <f>IFERROR(__xludf.DUMMYFUNCTION("VLOOKUP(A10,IMPORTRANGE(""1aFCnJY1qhIj8-JckJhDJ18aqmVo17tofpQmOjcYa3u8/edit#gid=948248086"",""Whole Data Set!$A$2:$NG$253""),371,FALSE)"),45.75)</f>
        <v>45.75</v>
      </c>
      <c r="E10" s="13">
        <f t="shared" si="2"/>
        <v>0.183</v>
      </c>
      <c r="F10" s="13">
        <f t="shared" si="3"/>
        <v>0.031</v>
      </c>
      <c r="G10" s="83">
        <f>IFERROR(__xludf.DUMMYFUNCTION("VLOOKUP(A10,IMPORTRANGE(""1_RYWMH8TzKc0_xU44uur9ZmHGpM-mmp96_oQwwz56co/edit#gid=0"",""Sheet1!$A$2:$O$250""),2,FALSE)"),38.75)</f>
        <v>38.75</v>
      </c>
      <c r="H10" s="84">
        <f t="shared" si="4"/>
        <v>0.155</v>
      </c>
      <c r="I10" s="85">
        <f t="shared" si="5"/>
        <v>0.028</v>
      </c>
    </row>
    <row r="11">
      <c r="A11" s="19" t="s">
        <v>113</v>
      </c>
      <c r="B11" s="41">
        <f>IFERROR(__xludf.DUMMYFUNCTION("VLOOKUP(A11,IMPORTRANGE(""1EmrnCz2gLVTx5Cbj0e5tfuHPhTtmru8KTGuQvh7STl0/edit#gid=2147150001"",""Whole Data Set!$A$2:$NQ$253""),381,FALSE)"),0.25)</f>
        <v>0.25</v>
      </c>
      <c r="C11" s="58">
        <f t="shared" si="1"/>
        <v>0.001</v>
      </c>
      <c r="D11" s="12">
        <f>IFERROR(__xludf.DUMMYFUNCTION("VLOOKUP(A11,IMPORTRANGE(""1aFCnJY1qhIj8-JckJhDJ18aqmVo17tofpQmOjcYa3u8/edit#gid=948248086"",""Whole Data Set!$A$2:$NG$253""),371,FALSE)"),13.25)</f>
        <v>13.25</v>
      </c>
      <c r="E11" s="13">
        <f t="shared" si="2"/>
        <v>0.053</v>
      </c>
      <c r="F11" s="13">
        <f t="shared" si="3"/>
        <v>-0.052</v>
      </c>
      <c r="G11" s="83">
        <f>IFERROR(__xludf.DUMMYFUNCTION("VLOOKUP(A11,IMPORTRANGE(""1_RYWMH8TzKc0_xU44uur9ZmHGpM-mmp96_oQwwz56co/edit#gid=0"",""Sheet1!$A$2:$O$250""),2,FALSE)"),17.5)</f>
        <v>17.5</v>
      </c>
      <c r="H11" s="84">
        <f t="shared" si="4"/>
        <v>0.07</v>
      </c>
      <c r="I11" s="85">
        <f t="shared" si="5"/>
        <v>-0.017</v>
      </c>
    </row>
    <row r="12">
      <c r="A12" s="19" t="s">
        <v>25</v>
      </c>
      <c r="B12" s="41">
        <f>IFERROR(__xludf.DUMMYFUNCTION("VLOOKUP(A12,IMPORTRANGE(""1EmrnCz2gLVTx5Cbj0e5tfuHPhTtmru8KTGuQvh7STl0/edit#gid=2147150001"",""Whole Data Set!$A$2:$NQ$253""),381,FALSE)"),32.5)</f>
        <v>32.5</v>
      </c>
      <c r="C12" s="58">
        <f t="shared" si="1"/>
        <v>0.13</v>
      </c>
      <c r="D12" s="12">
        <f>IFERROR(__xludf.DUMMYFUNCTION("VLOOKUP(A12,IMPORTRANGE(""1aFCnJY1qhIj8-JckJhDJ18aqmVo17tofpQmOjcYa3u8/edit#gid=948248086"",""Whole Data Set!$A$2:$NG$253""),371,FALSE)"),34.75)</f>
        <v>34.75</v>
      </c>
      <c r="E12" s="13">
        <f t="shared" si="2"/>
        <v>0.139</v>
      </c>
      <c r="F12" s="13">
        <f t="shared" si="3"/>
        <v>-0.009</v>
      </c>
      <c r="G12" s="83">
        <f>IFERROR(__xludf.DUMMYFUNCTION("VLOOKUP(A12,IMPORTRANGE(""1_RYWMH8TzKc0_xU44uur9ZmHGpM-mmp96_oQwwz56co/edit#gid=0"",""Sheet1!$A$2:$O$250""),2,FALSE)"),39.25)</f>
        <v>39.25</v>
      </c>
      <c r="H12" s="84">
        <f t="shared" si="4"/>
        <v>0.157</v>
      </c>
      <c r="I12" s="85">
        <f t="shared" si="5"/>
        <v>-0.018</v>
      </c>
    </row>
    <row r="13">
      <c r="A13" s="19" t="s">
        <v>210</v>
      </c>
      <c r="B13" s="41">
        <f>IFERROR(__xludf.DUMMYFUNCTION("VLOOKUP(A13,IMPORTRANGE(""1EmrnCz2gLVTx5Cbj0e5tfuHPhTtmru8KTGuQvh7STl0/edit#gid=2147150001"",""Whole Data Set!$A$2:$NQ$253""),381,FALSE)"),54.25)</f>
        <v>54.25</v>
      </c>
      <c r="C13" s="58">
        <f t="shared" si="1"/>
        <v>0.217</v>
      </c>
      <c r="D13" s="12">
        <f>IFERROR(__xludf.DUMMYFUNCTION("VLOOKUP(A13,IMPORTRANGE(""1aFCnJY1qhIj8-JckJhDJ18aqmVo17tofpQmOjcYa3u8/edit#gid=948248086"",""Whole Data Set!$A$2:$NG$253""),371,FALSE)"),50.5)</f>
        <v>50.5</v>
      </c>
      <c r="E13" s="13">
        <f t="shared" si="2"/>
        <v>0.202</v>
      </c>
      <c r="F13" s="13">
        <f t="shared" si="3"/>
        <v>0.015</v>
      </c>
      <c r="G13" s="83">
        <f>IFERROR(__xludf.DUMMYFUNCTION("VLOOKUP(A13,IMPORTRANGE(""1_RYWMH8TzKc0_xU44uur9ZmHGpM-mmp96_oQwwz56co/edit#gid=0"",""Sheet1!$A$2:$O$250""),2,FALSE)"),56.75)</f>
        <v>56.75</v>
      </c>
      <c r="H13" s="84">
        <f t="shared" si="4"/>
        <v>0.227</v>
      </c>
      <c r="I13" s="85">
        <f t="shared" si="5"/>
        <v>-0.025</v>
      </c>
    </row>
    <row r="14">
      <c r="A14" s="19" t="s">
        <v>26</v>
      </c>
      <c r="B14" s="41">
        <f>IFERROR(__xludf.DUMMYFUNCTION("VLOOKUP(A14,IMPORTRANGE(""1EmrnCz2gLVTx5Cbj0e5tfuHPhTtmru8KTGuQvh7STl0/edit#gid=2147150001"",""Whole Data Set!$A$2:$NQ$253""),381,FALSE)"),95.75)</f>
        <v>95.75</v>
      </c>
      <c r="C14" s="58">
        <f t="shared" si="1"/>
        <v>0.383</v>
      </c>
      <c r="D14" s="12">
        <f>IFERROR(__xludf.DUMMYFUNCTION("VLOOKUP(A14,IMPORTRANGE(""1aFCnJY1qhIj8-JckJhDJ18aqmVo17tofpQmOjcYa3u8/edit#gid=948248086"",""Whole Data Set!$A$2:$NG$253""),371,FALSE)"),48.5)</f>
        <v>48.5</v>
      </c>
      <c r="E14" s="13">
        <f t="shared" si="2"/>
        <v>0.194</v>
      </c>
      <c r="F14" s="13">
        <f t="shared" si="3"/>
        <v>0.189</v>
      </c>
      <c r="G14" s="83">
        <f>IFERROR(__xludf.DUMMYFUNCTION("VLOOKUP(A14,IMPORTRANGE(""1_RYWMH8TzKc0_xU44uur9ZmHGpM-mmp96_oQwwz56co/edit#gid=0"",""Sheet1!$A$2:$O$250""),2,FALSE)"),34.75)</f>
        <v>34.75</v>
      </c>
      <c r="H14" s="84">
        <f t="shared" si="4"/>
        <v>0.139</v>
      </c>
      <c r="I14" s="85">
        <f t="shared" si="5"/>
        <v>0.055</v>
      </c>
    </row>
    <row r="15">
      <c r="A15" s="19" t="s">
        <v>75</v>
      </c>
      <c r="B15" s="41">
        <f>IFERROR(__xludf.DUMMYFUNCTION("VLOOKUP(A15,IMPORTRANGE(""1EmrnCz2gLVTx5Cbj0e5tfuHPhTtmru8KTGuQvh7STl0/edit#gid=2147150001"",""Whole Data Set!$A$2:$NQ$253""),381,FALSE)"),69.75)</f>
        <v>69.75</v>
      </c>
      <c r="C15" s="58">
        <f t="shared" si="1"/>
        <v>0.279</v>
      </c>
      <c r="D15" s="12">
        <f>IFERROR(__xludf.DUMMYFUNCTION("VLOOKUP(A15,IMPORTRANGE(""1aFCnJY1qhIj8-JckJhDJ18aqmVo17tofpQmOjcYa3u8/edit#gid=948248086"",""Whole Data Set!$A$2:$NG$253""),371,FALSE)"),68.5)</f>
        <v>68.5</v>
      </c>
      <c r="E15" s="13">
        <f t="shared" si="2"/>
        <v>0.274</v>
      </c>
      <c r="F15" s="13">
        <f t="shared" si="3"/>
        <v>0.005</v>
      </c>
      <c r="G15" s="83">
        <f>IFERROR(__xludf.DUMMYFUNCTION("VLOOKUP(A15,IMPORTRANGE(""1_RYWMH8TzKc0_xU44uur9ZmHGpM-mmp96_oQwwz56co/edit#gid=0"",""Sheet1!$A$2:$O$250""),2,FALSE)"),95.5)</f>
        <v>95.5</v>
      </c>
      <c r="H15" s="84">
        <f t="shared" si="4"/>
        <v>0.382</v>
      </c>
      <c r="I15" s="85">
        <f t="shared" si="5"/>
        <v>-0.108</v>
      </c>
    </row>
    <row r="16">
      <c r="A16" s="19" t="s">
        <v>28</v>
      </c>
      <c r="B16" s="41">
        <f>IFERROR(__xludf.DUMMYFUNCTION("VLOOKUP(A16,IMPORTRANGE(""1EmrnCz2gLVTx5Cbj0e5tfuHPhTtmru8KTGuQvh7STl0/edit#gid=2147150001"",""Whole Data Set!$A$2:$NQ$253""),381,FALSE)"),113.25)</f>
        <v>113.25</v>
      </c>
      <c r="C16" s="58">
        <f t="shared" si="1"/>
        <v>0.453</v>
      </c>
      <c r="D16" s="12">
        <f>IFERROR(__xludf.DUMMYFUNCTION("VLOOKUP(A16,IMPORTRANGE(""1aFCnJY1qhIj8-JckJhDJ18aqmVo17tofpQmOjcYa3u8/edit#gid=948248086"",""Whole Data Set!$A$2:$NG$253""),371,FALSE)"),110.25)</f>
        <v>110.25</v>
      </c>
      <c r="E16" s="13">
        <f t="shared" si="2"/>
        <v>0.441</v>
      </c>
      <c r="F16" s="13">
        <f t="shared" si="3"/>
        <v>0.012</v>
      </c>
      <c r="G16" s="83">
        <f>IFERROR(__xludf.DUMMYFUNCTION("VLOOKUP(A16,IMPORTRANGE(""1_RYWMH8TzKc0_xU44uur9ZmHGpM-mmp96_oQwwz56co/edit#gid=0"",""Sheet1!$A$2:$O$250""),2,FALSE)"),122.25)</f>
        <v>122.25</v>
      </c>
      <c r="H16" s="84">
        <f t="shared" si="4"/>
        <v>0.489</v>
      </c>
      <c r="I16" s="85">
        <f t="shared" si="5"/>
        <v>-0.048</v>
      </c>
    </row>
    <row r="17">
      <c r="A17" s="19" t="s">
        <v>29</v>
      </c>
      <c r="B17" s="41">
        <f>IFERROR(__xludf.DUMMYFUNCTION("VLOOKUP(A17,IMPORTRANGE(""1EmrnCz2gLVTx5Cbj0e5tfuHPhTtmru8KTGuQvh7STl0/edit#gid=2147150001"",""Whole Data Set!$A$2:$NQ$253""),381,FALSE)"),125.0)</f>
        <v>125</v>
      </c>
      <c r="C17" s="58">
        <f t="shared" si="1"/>
        <v>0.5</v>
      </c>
      <c r="D17" s="12">
        <f>IFERROR(__xludf.DUMMYFUNCTION("VLOOKUP(A17,IMPORTRANGE(""1aFCnJY1qhIj8-JckJhDJ18aqmVo17tofpQmOjcYa3u8/edit#gid=948248086"",""Whole Data Set!$A$2:$NG$253""),371,FALSE)"),126.5)</f>
        <v>126.5</v>
      </c>
      <c r="E17" s="13">
        <f t="shared" si="2"/>
        <v>0.506</v>
      </c>
      <c r="F17" s="13">
        <f t="shared" si="3"/>
        <v>-0.006</v>
      </c>
      <c r="G17" s="83">
        <f>IFERROR(__xludf.DUMMYFUNCTION("VLOOKUP(A17,IMPORTRANGE(""1_RYWMH8TzKc0_xU44uur9ZmHGpM-mmp96_oQwwz56co/edit#gid=0"",""Sheet1!$A$2:$O$250""),2,FALSE)"),118.25)</f>
        <v>118.25</v>
      </c>
      <c r="H17" s="84">
        <f t="shared" si="4"/>
        <v>0.473</v>
      </c>
      <c r="I17" s="85">
        <f t="shared" si="5"/>
        <v>0.033</v>
      </c>
    </row>
    <row r="18">
      <c r="A18" s="19" t="s">
        <v>211</v>
      </c>
      <c r="B18" s="41">
        <f>IFERROR(__xludf.DUMMYFUNCTION("VLOOKUP(A18,IMPORTRANGE(""1EmrnCz2gLVTx5Cbj0e5tfuHPhTtmru8KTGuQvh7STl0/edit#gid=2147150001"",""Whole Data Set!$A$2:$NQ$253""),381,FALSE)"),126.25)</f>
        <v>126.25</v>
      </c>
      <c r="C18" s="58">
        <f t="shared" si="1"/>
        <v>0.505</v>
      </c>
      <c r="D18" s="12">
        <f>IFERROR(__xludf.DUMMYFUNCTION("VLOOKUP(A18,IMPORTRANGE(""1aFCnJY1qhIj8-JckJhDJ18aqmVo17tofpQmOjcYa3u8/edit#gid=948248086"",""Whole Data Set!$A$2:$NG$253""),371,FALSE)"),116.5)</f>
        <v>116.5</v>
      </c>
      <c r="E18" s="13">
        <f t="shared" si="2"/>
        <v>0.466</v>
      </c>
      <c r="F18" s="13">
        <f t="shared" si="3"/>
        <v>0.039</v>
      </c>
      <c r="G18" s="83">
        <f>IFERROR(__xludf.DUMMYFUNCTION("VLOOKUP(A18,IMPORTRANGE(""1_RYWMH8TzKc0_xU44uur9ZmHGpM-mmp96_oQwwz56co/edit#gid=0"",""Sheet1!$A$2:$O$250""),2,FALSE)"),107.0)</f>
        <v>107</v>
      </c>
      <c r="H18" s="84">
        <f t="shared" si="4"/>
        <v>0.428</v>
      </c>
      <c r="I18" s="85">
        <f t="shared" si="5"/>
        <v>0.038</v>
      </c>
    </row>
    <row r="19">
      <c r="A19" s="19" t="s">
        <v>212</v>
      </c>
      <c r="B19" s="41">
        <f>IFERROR(__xludf.DUMMYFUNCTION("VLOOKUP(A19,IMPORTRANGE(""1EmrnCz2gLVTx5Cbj0e5tfuHPhTtmru8KTGuQvh7STl0/edit#gid=2147150001"",""Whole Data Set!$A$2:$NQ$253""),381,FALSE)"),82.75)</f>
        <v>82.75</v>
      </c>
      <c r="C19" s="58">
        <f t="shared" si="1"/>
        <v>0.331</v>
      </c>
      <c r="D19" s="12">
        <f>IFERROR(__xludf.DUMMYFUNCTION("VLOOKUP(A19,IMPORTRANGE(""1aFCnJY1qhIj8-JckJhDJ18aqmVo17tofpQmOjcYa3u8/edit#gid=948248086"",""Whole Data Set!$A$2:$NG$253""),371,FALSE)"),62.25)</f>
        <v>62.25</v>
      </c>
      <c r="E19" s="13">
        <f t="shared" si="2"/>
        <v>0.249</v>
      </c>
      <c r="F19" s="13">
        <f t="shared" si="3"/>
        <v>0.082</v>
      </c>
      <c r="G19" s="83">
        <f>IFERROR(__xludf.DUMMYFUNCTION("VLOOKUP(A19,IMPORTRANGE(""1_RYWMH8TzKc0_xU44uur9ZmHGpM-mmp96_oQwwz56co/edit#gid=0"",""Sheet1!$A$2:$O$250""),2,FALSE)"),35.0)</f>
        <v>35</v>
      </c>
      <c r="H19" s="84">
        <f t="shared" si="4"/>
        <v>0.14</v>
      </c>
      <c r="I19" s="85">
        <f t="shared" si="5"/>
        <v>0.109</v>
      </c>
    </row>
    <row r="20">
      <c r="A20" s="42" t="s">
        <v>57</v>
      </c>
      <c r="B20" s="41">
        <f>IFERROR(__xludf.DUMMYFUNCTION("VLOOKUP(A20,IMPORTRANGE(""1EmrnCz2gLVTx5Cbj0e5tfuHPhTtmru8KTGuQvh7STl0/edit#gid=2147150001"",""Whole Data Set!$A$2:$NQ$253""),381,FALSE)"),120.25)</f>
        <v>120.25</v>
      </c>
      <c r="C20" s="58">
        <f t="shared" si="1"/>
        <v>0.481</v>
      </c>
      <c r="D20" s="12">
        <f>IFERROR(__xludf.DUMMYFUNCTION("VLOOKUP(A20,IMPORTRANGE(""1aFCnJY1qhIj8-JckJhDJ18aqmVo17tofpQmOjcYa3u8/edit#gid=948248086"",""Whole Data Set!$A$2:$NG$253""),371,FALSE)"),109.5)</f>
        <v>109.5</v>
      </c>
      <c r="E20" s="13">
        <f t="shared" si="2"/>
        <v>0.438</v>
      </c>
      <c r="F20" s="13">
        <f t="shared" si="3"/>
        <v>0.043</v>
      </c>
      <c r="G20" s="83">
        <f>IFERROR(__xludf.DUMMYFUNCTION("VLOOKUP(A20,IMPORTRANGE(""1_RYWMH8TzKc0_xU44uur9ZmHGpM-mmp96_oQwwz56co/edit#gid=0"",""Sheet1!$A$2:$O$250""),2,FALSE)"),123.0)</f>
        <v>123</v>
      </c>
      <c r="H20" s="84">
        <f t="shared" si="4"/>
        <v>0.492</v>
      </c>
      <c r="I20" s="85">
        <f t="shared" si="5"/>
        <v>-0.054</v>
      </c>
    </row>
    <row r="21">
      <c r="A21" s="42" t="s">
        <v>164</v>
      </c>
      <c r="B21" s="41">
        <f>IFERROR(__xludf.DUMMYFUNCTION("VLOOKUP(A21,IMPORTRANGE(""1EmrnCz2gLVTx5Cbj0e5tfuHPhTtmru8KTGuQvh7STl0/edit#gid=2147150001"",""Whole Data Set!$A$2:$NQ$253""),381,FALSE)"),3.25)</f>
        <v>3.25</v>
      </c>
      <c r="C21" s="58">
        <f t="shared" si="1"/>
        <v>0.013</v>
      </c>
      <c r="D21" s="12">
        <f>IFERROR(__xludf.DUMMYFUNCTION("VLOOKUP(A21,IMPORTRANGE(""1aFCnJY1qhIj8-JckJhDJ18aqmVo17tofpQmOjcYa3u8/edit#gid=948248086"",""Whole Data Set!$A$2:$NG$253""),371,FALSE)"),3.25)</f>
        <v>3.25</v>
      </c>
      <c r="E21" s="13">
        <f t="shared" si="2"/>
        <v>0.013</v>
      </c>
      <c r="F21" s="13">
        <f t="shared" si="3"/>
        <v>0</v>
      </c>
      <c r="G21" s="83">
        <f>IFERROR(__xludf.DUMMYFUNCTION("VLOOKUP(A21,IMPORTRANGE(""1_RYWMH8TzKc0_xU44uur9ZmHGpM-mmp96_oQwwz56co/edit#gid=0"",""Sheet1!$A$2:$O$250""),2,FALSE)"),4.75)</f>
        <v>4.75</v>
      </c>
      <c r="H21" s="84">
        <f t="shared" si="4"/>
        <v>0.019</v>
      </c>
      <c r="I21" s="85">
        <f t="shared" si="5"/>
        <v>-0.006</v>
      </c>
    </row>
    <row r="22">
      <c r="A22" s="19" t="s">
        <v>165</v>
      </c>
      <c r="B22" s="41">
        <f>IFERROR(__xludf.DUMMYFUNCTION("VLOOKUP(A22,IMPORTRANGE(""1EmrnCz2gLVTx5Cbj0e5tfuHPhTtmru8KTGuQvh7STl0/edit#gid=2147150001"",""Whole Data Set!$A$2:$NQ$253""),381,FALSE)"),17.0)</f>
        <v>17</v>
      </c>
      <c r="C22" s="58">
        <f t="shared" si="1"/>
        <v>0.068</v>
      </c>
      <c r="D22" s="12">
        <f>IFERROR(__xludf.DUMMYFUNCTION("VLOOKUP(A22,IMPORTRANGE(""1aFCnJY1qhIj8-JckJhDJ18aqmVo17tofpQmOjcYa3u8/edit#gid=948248086"",""Whole Data Set!$A$2:$NG$253""),371,FALSE)"),17.75)</f>
        <v>17.75</v>
      </c>
      <c r="E22" s="13">
        <f t="shared" si="2"/>
        <v>0.071</v>
      </c>
      <c r="F22" s="13">
        <f t="shared" si="3"/>
        <v>-0.003</v>
      </c>
      <c r="G22" s="83">
        <f>IFERROR(__xludf.DUMMYFUNCTION("VLOOKUP(A22,IMPORTRANGE(""1_RYWMH8TzKc0_xU44uur9ZmHGpM-mmp96_oQwwz56co/edit#gid=0"",""Sheet1!$A$2:$O$250""),2,FALSE)"),17.5)</f>
        <v>17.5</v>
      </c>
      <c r="H22" s="84">
        <f t="shared" si="4"/>
        <v>0.07</v>
      </c>
      <c r="I22" s="85">
        <f t="shared" si="5"/>
        <v>0.001</v>
      </c>
    </row>
    <row r="23">
      <c r="A23" s="19" t="s">
        <v>213</v>
      </c>
      <c r="B23" s="41">
        <f>IFERROR(__xludf.DUMMYFUNCTION("VLOOKUP(A23,IMPORTRANGE(""1EmrnCz2gLVTx5Cbj0e5tfuHPhTtmru8KTGuQvh7STl0/edit#gid=2147150001"",""Whole Data Set!$A$2:$NQ$253""),381,FALSE)"),0.0)</f>
        <v>0</v>
      </c>
      <c r="C23" s="58">
        <f t="shared" si="1"/>
        <v>0</v>
      </c>
      <c r="D23" s="12">
        <f>IFERROR(__xludf.DUMMYFUNCTION("VLOOKUP(A23,IMPORTRANGE(""1aFCnJY1qhIj8-JckJhDJ18aqmVo17tofpQmOjcYa3u8/edit#gid=948248086"",""Whole Data Set!$A$2:$NG$253""),371,FALSE)"),0.0)</f>
        <v>0</v>
      </c>
      <c r="E23" s="13">
        <f t="shared" si="2"/>
        <v>0</v>
      </c>
      <c r="F23" s="13">
        <f t="shared" si="3"/>
        <v>0</v>
      </c>
      <c r="G23" s="83">
        <f>IFERROR(__xludf.DUMMYFUNCTION("VLOOKUP(A23,IMPORTRANGE(""1_RYWMH8TzKc0_xU44uur9ZmHGpM-mmp96_oQwwz56co/edit#gid=0"",""Sheet1!$A$2:$O$250""),2,FALSE)"),0.0)</f>
        <v>0</v>
      </c>
      <c r="H23" s="84">
        <f t="shared" si="4"/>
        <v>0</v>
      </c>
      <c r="I23" s="85">
        <f t="shared" si="5"/>
        <v>0</v>
      </c>
    </row>
    <row r="24">
      <c r="A24" s="19" t="s">
        <v>31</v>
      </c>
      <c r="B24" s="41">
        <f>IFERROR(__xludf.DUMMYFUNCTION("VLOOKUP(A24,IMPORTRANGE(""1EmrnCz2gLVTx5Cbj0e5tfuHPhTtmru8KTGuQvh7STl0/edit#gid=2147150001"",""Whole Data Set!$A$2:$NQ$253""),381,FALSE)"),124.5)</f>
        <v>124.5</v>
      </c>
      <c r="C24" s="58">
        <f t="shared" si="1"/>
        <v>0.498</v>
      </c>
      <c r="D24" s="12">
        <f>IFERROR(__xludf.DUMMYFUNCTION("VLOOKUP(A24,IMPORTRANGE(""1aFCnJY1qhIj8-JckJhDJ18aqmVo17tofpQmOjcYa3u8/edit#gid=948248086"",""Whole Data Set!$A$2:$NG$253""),371,FALSE)"),107.75)</f>
        <v>107.75</v>
      </c>
      <c r="E24" s="13">
        <f t="shared" si="2"/>
        <v>0.431</v>
      </c>
      <c r="F24" s="13">
        <f t="shared" si="3"/>
        <v>0.067</v>
      </c>
      <c r="G24" s="83">
        <f>IFERROR(__xludf.DUMMYFUNCTION("VLOOKUP(A24,IMPORTRANGE(""1_RYWMH8TzKc0_xU44uur9ZmHGpM-mmp96_oQwwz56co/edit#gid=0"",""Sheet1!$A$2:$O$250""),2,FALSE)"),89.5)</f>
        <v>89.5</v>
      </c>
      <c r="H24" s="84">
        <f t="shared" si="4"/>
        <v>0.358</v>
      </c>
      <c r="I24" s="85">
        <f t="shared" si="5"/>
        <v>0.073</v>
      </c>
    </row>
    <row r="25">
      <c r="A25" s="42" t="s">
        <v>214</v>
      </c>
      <c r="B25" s="41">
        <f>IFERROR(__xludf.DUMMYFUNCTION("VLOOKUP(A25,IMPORTRANGE(""1EmrnCz2gLVTx5Cbj0e5tfuHPhTtmru8KTGuQvh7STl0/edit#gid=2147150001"",""Whole Data Set!$A$2:$NQ$253""),381,FALSE)"),0.0)</f>
        <v>0</v>
      </c>
      <c r="C25" s="58">
        <f t="shared" si="1"/>
        <v>0</v>
      </c>
      <c r="D25" s="12">
        <f>IFERROR(__xludf.DUMMYFUNCTION("VLOOKUP(A25,IMPORTRANGE(""1aFCnJY1qhIj8-JckJhDJ18aqmVo17tofpQmOjcYa3u8/edit#gid=948248086"",""Whole Data Set!$A$2:$NG$253""),371,FALSE)"),0.0)</f>
        <v>0</v>
      </c>
      <c r="E25" s="13">
        <f t="shared" si="2"/>
        <v>0</v>
      </c>
      <c r="F25" s="13">
        <f t="shared" si="3"/>
        <v>0</v>
      </c>
      <c r="G25" s="83">
        <f>IFERROR(__xludf.DUMMYFUNCTION("VLOOKUP(A25,IMPORTRANGE(""1_RYWMH8TzKc0_xU44uur9ZmHGpM-mmp96_oQwwz56co/edit#gid=0"",""Sheet1!$A$2:$O$250""),2,FALSE)"),0.0)</f>
        <v>0</v>
      </c>
      <c r="H25" s="84">
        <f t="shared" si="4"/>
        <v>0</v>
      </c>
      <c r="I25" s="85">
        <f t="shared" si="5"/>
        <v>0</v>
      </c>
    </row>
    <row r="26">
      <c r="A26" s="19" t="s">
        <v>215</v>
      </c>
      <c r="B26" s="41">
        <f>IFERROR(__xludf.DUMMYFUNCTION("VLOOKUP(A26,IMPORTRANGE(""1EmrnCz2gLVTx5Cbj0e5tfuHPhTtmru8KTGuQvh7STl0/edit#gid=2147150001"",""Whole Data Set!$A$2:$NQ$253""),381,FALSE)"),97.0)</f>
        <v>97</v>
      </c>
      <c r="C26" s="58">
        <f t="shared" si="1"/>
        <v>0.388</v>
      </c>
      <c r="D26" s="12">
        <f>IFERROR(__xludf.DUMMYFUNCTION("VLOOKUP(A26,IMPORTRANGE(""1aFCnJY1qhIj8-JckJhDJ18aqmVo17tofpQmOjcYa3u8/edit#gid=948248086"",""Whole Data Set!$A$2:$NG$253""),371,FALSE)"),95.25)</f>
        <v>95.25</v>
      </c>
      <c r="E26" s="13">
        <f t="shared" si="2"/>
        <v>0.381</v>
      </c>
      <c r="F26" s="13">
        <f t="shared" si="3"/>
        <v>0.007</v>
      </c>
      <c r="G26" s="83">
        <f>IFERROR(__xludf.DUMMYFUNCTION("VLOOKUP(A26,IMPORTRANGE(""1_RYWMH8TzKc0_xU44uur9ZmHGpM-mmp96_oQwwz56co/edit#gid=0"",""Sheet1!$A$2:$O$250""),2,FALSE)"),73.0)</f>
        <v>73</v>
      </c>
      <c r="H26" s="84">
        <f t="shared" si="4"/>
        <v>0.292</v>
      </c>
      <c r="I26" s="85">
        <f t="shared" si="5"/>
        <v>0.089</v>
      </c>
    </row>
    <row r="27">
      <c r="A27" s="19" t="s">
        <v>216</v>
      </c>
      <c r="B27" s="41">
        <f>IFERROR(__xludf.DUMMYFUNCTION("VLOOKUP(A27,IMPORTRANGE(""1EmrnCz2gLVTx5Cbj0e5tfuHPhTtmru8KTGuQvh7STl0/edit#gid=2147150001"",""Whole Data Set!$A$2:$NQ$253""),381,FALSE)"),15.75)</f>
        <v>15.75</v>
      </c>
      <c r="C27" s="58">
        <f t="shared" si="1"/>
        <v>0.063</v>
      </c>
      <c r="D27" s="12">
        <f>IFERROR(__xludf.DUMMYFUNCTION("VLOOKUP(A27,IMPORTRANGE(""1aFCnJY1qhIj8-JckJhDJ18aqmVo17tofpQmOjcYa3u8/edit#gid=948248086"",""Whole Data Set!$A$2:$NG$253""),371,FALSE)"),16.75)</f>
        <v>16.75</v>
      </c>
      <c r="E27" s="13">
        <f t="shared" si="2"/>
        <v>0.067</v>
      </c>
      <c r="F27" s="13">
        <f t="shared" si="3"/>
        <v>-0.004</v>
      </c>
      <c r="G27" s="83">
        <f>IFERROR(__xludf.DUMMYFUNCTION("VLOOKUP(A27,IMPORTRANGE(""1_RYWMH8TzKc0_xU44uur9ZmHGpM-mmp96_oQwwz56co/edit#gid=0"",""Sheet1!$A$2:$O$250""),2,FALSE)"),0.75)</f>
        <v>0.75</v>
      </c>
      <c r="H27" s="84">
        <f t="shared" si="4"/>
        <v>0.003</v>
      </c>
      <c r="I27" s="85">
        <f t="shared" si="5"/>
        <v>0.064</v>
      </c>
    </row>
    <row r="28">
      <c r="A28" s="42" t="s">
        <v>114</v>
      </c>
      <c r="B28" s="41">
        <f>IFERROR(__xludf.DUMMYFUNCTION("VLOOKUP(A28,IMPORTRANGE(""1EmrnCz2gLVTx5Cbj0e5tfuHPhTtmru8KTGuQvh7STl0/edit#gid=2147150001"",""Whole Data Set!$A$2:$NQ$253""),381,FALSE)"),16.5)</f>
        <v>16.5</v>
      </c>
      <c r="C28" s="58">
        <f t="shared" si="1"/>
        <v>0.066</v>
      </c>
      <c r="D28" s="12">
        <f>IFERROR(__xludf.DUMMYFUNCTION("VLOOKUP(A28,IMPORTRANGE(""1aFCnJY1qhIj8-JckJhDJ18aqmVo17tofpQmOjcYa3u8/edit#gid=948248086"",""Whole Data Set!$A$2:$NG$253""),371,FALSE)"),14.25)</f>
        <v>14.25</v>
      </c>
      <c r="E28" s="13">
        <f t="shared" si="2"/>
        <v>0.057</v>
      </c>
      <c r="F28" s="13">
        <f t="shared" si="3"/>
        <v>0.009</v>
      </c>
      <c r="G28" s="83">
        <f>IFERROR(__xludf.DUMMYFUNCTION("VLOOKUP(A28,IMPORTRANGE(""1_RYWMH8TzKc0_xU44uur9ZmHGpM-mmp96_oQwwz56co/edit#gid=0"",""Sheet1!$A$2:$O$250""),2,FALSE)"),25.0)</f>
        <v>25</v>
      </c>
      <c r="H28" s="84">
        <f t="shared" si="4"/>
        <v>0.1</v>
      </c>
      <c r="I28" s="85">
        <f t="shared" si="5"/>
        <v>-0.043</v>
      </c>
    </row>
    <row r="29">
      <c r="A29" s="19" t="s">
        <v>115</v>
      </c>
      <c r="B29" s="41">
        <f>IFERROR(__xludf.DUMMYFUNCTION("VLOOKUP(A29,IMPORTRANGE(""1EmrnCz2gLVTx5Cbj0e5tfuHPhTtmru8KTGuQvh7STl0/edit#gid=2147150001"",""Whole Data Set!$A$2:$NQ$253""),381,FALSE)"),93.0)</f>
        <v>93</v>
      </c>
      <c r="C29" s="58">
        <f t="shared" si="1"/>
        <v>0.372</v>
      </c>
      <c r="D29" s="12">
        <f>IFERROR(__xludf.DUMMYFUNCTION("VLOOKUP(A29,IMPORTRANGE(""1aFCnJY1qhIj8-JckJhDJ18aqmVo17tofpQmOjcYa3u8/edit#gid=948248086"",""Whole Data Set!$A$2:$NG$253""),371,FALSE)"),89.25)</f>
        <v>89.25</v>
      </c>
      <c r="E29" s="13">
        <f t="shared" si="2"/>
        <v>0.357</v>
      </c>
      <c r="F29" s="13">
        <f t="shared" si="3"/>
        <v>0.015</v>
      </c>
      <c r="G29" s="83">
        <f>IFERROR(__xludf.DUMMYFUNCTION("VLOOKUP(A29,IMPORTRANGE(""1_RYWMH8TzKc0_xU44uur9ZmHGpM-mmp96_oQwwz56co/edit#gid=0"",""Sheet1!$A$2:$O$250""),2,FALSE)"),88.25)</f>
        <v>88.25</v>
      </c>
      <c r="H29" s="84">
        <f t="shared" si="4"/>
        <v>0.353</v>
      </c>
      <c r="I29" s="85">
        <f t="shared" si="5"/>
        <v>0.004</v>
      </c>
    </row>
    <row r="30">
      <c r="A30" s="19" t="s">
        <v>166</v>
      </c>
      <c r="B30" s="41">
        <f>IFERROR(__xludf.DUMMYFUNCTION("VLOOKUP(A30,IMPORTRANGE(""1EmrnCz2gLVTx5Cbj0e5tfuHPhTtmru8KTGuQvh7STl0/edit#gid=2147150001"",""Whole Data Set!$A$2:$NQ$253""),381,FALSE)"),60.75)</f>
        <v>60.75</v>
      </c>
      <c r="C30" s="58">
        <f t="shared" si="1"/>
        <v>0.243</v>
      </c>
      <c r="D30" s="12">
        <f>IFERROR(__xludf.DUMMYFUNCTION("VLOOKUP(A30,IMPORTRANGE(""1aFCnJY1qhIj8-JckJhDJ18aqmVo17tofpQmOjcYa3u8/edit#gid=948248086"",""Whole Data Set!$A$2:$NG$253""),371,FALSE)"),70.25)</f>
        <v>70.25</v>
      </c>
      <c r="E30" s="13">
        <f t="shared" si="2"/>
        <v>0.281</v>
      </c>
      <c r="F30" s="13">
        <f t="shared" si="3"/>
        <v>-0.038</v>
      </c>
      <c r="G30" s="83">
        <f>IFERROR(__xludf.DUMMYFUNCTION("VLOOKUP(A30,IMPORTRANGE(""1_RYWMH8TzKc0_xU44uur9ZmHGpM-mmp96_oQwwz56co/edit#gid=0"",""Sheet1!$A$2:$O$250""),2,FALSE)"),49.25)</f>
        <v>49.25</v>
      </c>
      <c r="H30" s="84">
        <f t="shared" si="4"/>
        <v>0.197</v>
      </c>
      <c r="I30" s="85">
        <f t="shared" si="5"/>
        <v>0.084</v>
      </c>
    </row>
    <row r="31">
      <c r="A31" s="19" t="s">
        <v>217</v>
      </c>
      <c r="B31" s="41">
        <f>IFERROR(__xludf.DUMMYFUNCTION("VLOOKUP(A31,IMPORTRANGE(""1EmrnCz2gLVTx5Cbj0e5tfuHPhTtmru8KTGuQvh7STl0/edit#gid=2147150001"",""Whole Data Set!$A$2:$NQ$253""),381,FALSE)"),0.25)</f>
        <v>0.25</v>
      </c>
      <c r="C31" s="58">
        <f t="shared" si="1"/>
        <v>0.001</v>
      </c>
      <c r="D31" s="12">
        <f>IFERROR(__xludf.DUMMYFUNCTION("VLOOKUP(A31,IMPORTRANGE(""1aFCnJY1qhIj8-JckJhDJ18aqmVo17tofpQmOjcYa3u8/edit#gid=948248086"",""Whole Data Set!$A$2:$NG$253""),371,FALSE)"),15.5)</f>
        <v>15.5</v>
      </c>
      <c r="E31" s="13">
        <f t="shared" si="2"/>
        <v>0.062</v>
      </c>
      <c r="F31" s="13">
        <f t="shared" si="3"/>
        <v>-0.061</v>
      </c>
      <c r="G31" s="83">
        <f>IFERROR(__xludf.DUMMYFUNCTION("VLOOKUP(A31,IMPORTRANGE(""1_RYWMH8TzKc0_xU44uur9ZmHGpM-mmp96_oQwwz56co/edit#gid=0"",""Sheet1!$A$2:$O$250""),2,FALSE)"),11.5)</f>
        <v>11.5</v>
      </c>
      <c r="H31" s="84">
        <f t="shared" si="4"/>
        <v>0.046</v>
      </c>
      <c r="I31" s="85">
        <f t="shared" si="5"/>
        <v>0.016</v>
      </c>
    </row>
    <row r="32">
      <c r="A32" s="87" t="s">
        <v>32</v>
      </c>
      <c r="B32" s="41">
        <f>IFERROR(__xludf.DUMMYFUNCTION("VLOOKUP(A32,IMPORTRANGE(""1EmrnCz2gLVTx5Cbj0e5tfuHPhTtmru8KTGuQvh7STl0/edit#gid=2147150001"",""Whole Data Set!$A$2:$NQ$253""),381,FALSE)"),126.25)</f>
        <v>126.25</v>
      </c>
      <c r="C32" s="58">
        <f t="shared" si="1"/>
        <v>0.505</v>
      </c>
      <c r="D32" s="12">
        <f>IFERROR(__xludf.DUMMYFUNCTION("VLOOKUP(A32,IMPORTRANGE(""1aFCnJY1qhIj8-JckJhDJ18aqmVo17tofpQmOjcYa3u8/edit#gid=948248086"",""Whole Data Set!$A$2:$NG$253""),371,FALSE)"),115.5)</f>
        <v>115.5</v>
      </c>
      <c r="E32" s="13">
        <f t="shared" si="2"/>
        <v>0.462</v>
      </c>
      <c r="F32" s="13">
        <f t="shared" si="3"/>
        <v>0.043</v>
      </c>
      <c r="G32" s="83">
        <f>IFERROR(__xludf.DUMMYFUNCTION("VLOOKUP(A32,IMPORTRANGE(""1_RYWMH8TzKc0_xU44uur9ZmHGpM-mmp96_oQwwz56co/edit#gid=0"",""Sheet1!$A$2:$O$250""),2,FALSE)"),106.0)</f>
        <v>106</v>
      </c>
      <c r="H32" s="84">
        <f t="shared" si="4"/>
        <v>0.424</v>
      </c>
      <c r="I32" s="85">
        <f t="shared" si="5"/>
        <v>0.038</v>
      </c>
    </row>
    <row r="33">
      <c r="A33" s="64" t="s">
        <v>218</v>
      </c>
      <c r="B33" s="41">
        <f>IFERROR(__xludf.DUMMYFUNCTION("VLOOKUP(A33,IMPORTRANGE(""1EmrnCz2gLVTx5Cbj0e5tfuHPhTtmru8KTGuQvh7STl0/edit#gid=2147150001"",""Whole Data Set!$A$2:$NQ$253""),381,FALSE)"),90.25)</f>
        <v>90.25</v>
      </c>
      <c r="C33" s="58">
        <f t="shared" si="1"/>
        <v>0.361</v>
      </c>
      <c r="D33" s="12">
        <f>IFERROR(__xludf.DUMMYFUNCTION("VLOOKUP(A33,IMPORTRANGE(""1aFCnJY1qhIj8-JckJhDJ18aqmVo17tofpQmOjcYa3u8/edit#gid=948248086"",""Whole Data Set!$A$2:$NG$253""),371,FALSE)"),67.75)</f>
        <v>67.75</v>
      </c>
      <c r="E33" s="13">
        <f t="shared" si="2"/>
        <v>0.271</v>
      </c>
      <c r="F33" s="13">
        <f t="shared" si="3"/>
        <v>0.09</v>
      </c>
      <c r="G33" s="83">
        <f>IFERROR(__xludf.DUMMYFUNCTION("VLOOKUP(A33,IMPORTRANGE(""1_RYWMH8TzKc0_xU44uur9ZmHGpM-mmp96_oQwwz56co/edit#gid=0"",""Sheet1!$A$2:$O$250""),2,FALSE)"),74.0)</f>
        <v>74</v>
      </c>
      <c r="H33" s="84">
        <f t="shared" si="4"/>
        <v>0.296</v>
      </c>
      <c r="I33" s="85">
        <f t="shared" si="5"/>
        <v>-0.025</v>
      </c>
    </row>
    <row r="34">
      <c r="A34" s="42" t="s">
        <v>167</v>
      </c>
      <c r="B34" s="41">
        <f>IFERROR(__xludf.DUMMYFUNCTION("VLOOKUP(A34,IMPORTRANGE(""1EmrnCz2gLVTx5Cbj0e5tfuHPhTtmru8KTGuQvh7STl0/edit#gid=2147150001"",""Whole Data Set!$A$2:$NQ$253""),381,FALSE)"),34.75)</f>
        <v>34.75</v>
      </c>
      <c r="C34" s="58">
        <f t="shared" si="1"/>
        <v>0.139</v>
      </c>
      <c r="D34" s="12">
        <f>IFERROR(__xludf.DUMMYFUNCTION("VLOOKUP(A34,IMPORTRANGE(""1aFCnJY1qhIj8-JckJhDJ18aqmVo17tofpQmOjcYa3u8/edit#gid=948248086"",""Whole Data Set!$A$2:$NG$253""),371,FALSE)"),36.0)</f>
        <v>36</v>
      </c>
      <c r="E34" s="13">
        <f t="shared" si="2"/>
        <v>0.144</v>
      </c>
      <c r="F34" s="13">
        <f t="shared" si="3"/>
        <v>-0.005</v>
      </c>
      <c r="G34" s="83">
        <f>IFERROR(__xludf.DUMMYFUNCTION("VLOOKUP(A34,IMPORTRANGE(""1_RYWMH8TzKc0_xU44uur9ZmHGpM-mmp96_oQwwz56co/edit#gid=0"",""Sheet1!$A$2:$O$250""),2,FALSE)"),12.5)</f>
        <v>12.5</v>
      </c>
      <c r="H34" s="84">
        <f t="shared" si="4"/>
        <v>0.05</v>
      </c>
      <c r="I34" s="85">
        <f t="shared" si="5"/>
        <v>0.094</v>
      </c>
    </row>
    <row r="35">
      <c r="A35" s="19" t="s">
        <v>116</v>
      </c>
      <c r="B35" s="41">
        <f>IFERROR(__xludf.DUMMYFUNCTION("VLOOKUP(A35,IMPORTRANGE(""1EmrnCz2gLVTx5Cbj0e5tfuHPhTtmru8KTGuQvh7STl0/edit#gid=2147150001"",""Whole Data Set!$A$2:$NQ$253""),381,FALSE)"),10.0)</f>
        <v>10</v>
      </c>
      <c r="C35" s="58">
        <f t="shared" si="1"/>
        <v>0.04</v>
      </c>
      <c r="D35" s="12">
        <f>IFERROR(__xludf.DUMMYFUNCTION("VLOOKUP(A35,IMPORTRANGE(""1aFCnJY1qhIj8-JckJhDJ18aqmVo17tofpQmOjcYa3u8/edit#gid=948248086"",""Whole Data Set!$A$2:$NG$253""),371,FALSE)"),12.75)</f>
        <v>12.75</v>
      </c>
      <c r="E35" s="13">
        <f t="shared" si="2"/>
        <v>0.051</v>
      </c>
      <c r="F35" s="13">
        <f t="shared" si="3"/>
        <v>-0.011</v>
      </c>
      <c r="G35" s="83">
        <f>IFERROR(__xludf.DUMMYFUNCTION("VLOOKUP(A35,IMPORTRANGE(""1_RYWMH8TzKc0_xU44uur9ZmHGpM-mmp96_oQwwz56co/edit#gid=0"",""Sheet1!$A$2:$O$250""),2,FALSE)"),17.75)</f>
        <v>17.75</v>
      </c>
      <c r="H35" s="84">
        <f t="shared" si="4"/>
        <v>0.071</v>
      </c>
      <c r="I35" s="85">
        <f t="shared" si="5"/>
        <v>-0.02</v>
      </c>
    </row>
    <row r="36">
      <c r="A36" s="19" t="s">
        <v>33</v>
      </c>
      <c r="B36" s="41">
        <f>IFERROR(__xludf.DUMMYFUNCTION("VLOOKUP(A36,IMPORTRANGE(""1EmrnCz2gLVTx5Cbj0e5tfuHPhTtmru8KTGuQvh7STl0/edit#gid=2147150001"",""Whole Data Set!$A$2:$NQ$253""),381,FALSE)"),95.75)</f>
        <v>95.75</v>
      </c>
      <c r="C36" s="58">
        <f t="shared" si="1"/>
        <v>0.383</v>
      </c>
      <c r="D36" s="12">
        <f>IFERROR(__xludf.DUMMYFUNCTION("VLOOKUP(A36,IMPORTRANGE(""1aFCnJY1qhIj8-JckJhDJ18aqmVo17tofpQmOjcYa3u8/edit#gid=948248086"",""Whole Data Set!$A$2:$NG$253""),371,FALSE)"),98.75)</f>
        <v>98.75</v>
      </c>
      <c r="E36" s="13">
        <f t="shared" si="2"/>
        <v>0.395</v>
      </c>
      <c r="F36" s="13">
        <f t="shared" si="3"/>
        <v>-0.012</v>
      </c>
      <c r="G36" s="83">
        <f>IFERROR(__xludf.DUMMYFUNCTION("VLOOKUP(A36,IMPORTRANGE(""1_RYWMH8TzKc0_xU44uur9ZmHGpM-mmp96_oQwwz56co/edit#gid=0"",""Sheet1!$A$2:$O$250""),2,FALSE)"),84.5)</f>
        <v>84.5</v>
      </c>
      <c r="H36" s="84">
        <f t="shared" si="4"/>
        <v>0.338</v>
      </c>
      <c r="I36" s="85">
        <f t="shared" si="5"/>
        <v>0.057</v>
      </c>
    </row>
    <row r="37">
      <c r="A37" s="19" t="s">
        <v>106</v>
      </c>
      <c r="B37" s="41">
        <f>IFERROR(__xludf.DUMMYFUNCTION("VLOOKUP(A37,IMPORTRANGE(""1EmrnCz2gLVTx5Cbj0e5tfuHPhTtmru8KTGuQvh7STl0/edit#gid=2147150001"",""Whole Data Set!$A$2:$NQ$253""),381,FALSE)"),36.0)</f>
        <v>36</v>
      </c>
      <c r="C37" s="58">
        <f t="shared" si="1"/>
        <v>0.144</v>
      </c>
      <c r="D37" s="12">
        <f>IFERROR(__xludf.DUMMYFUNCTION("VLOOKUP(A37,IMPORTRANGE(""1aFCnJY1qhIj8-JckJhDJ18aqmVo17tofpQmOjcYa3u8/edit#gid=948248086"",""Whole Data Set!$A$2:$NG$253""),371,FALSE)"),31.75)</f>
        <v>31.75</v>
      </c>
      <c r="E37" s="13">
        <f t="shared" si="2"/>
        <v>0.127</v>
      </c>
      <c r="F37" s="13">
        <f t="shared" si="3"/>
        <v>0.017</v>
      </c>
      <c r="G37" s="83">
        <f>IFERROR(__xludf.DUMMYFUNCTION("VLOOKUP(A37,IMPORTRANGE(""1_RYWMH8TzKc0_xU44uur9ZmHGpM-mmp96_oQwwz56co/edit#gid=0"",""Sheet1!$A$2:$O$250""),2,FALSE)"),36.5)</f>
        <v>36.5</v>
      </c>
      <c r="H37" s="84">
        <f t="shared" si="4"/>
        <v>0.146</v>
      </c>
      <c r="I37" s="85">
        <f t="shared" si="5"/>
        <v>-0.019</v>
      </c>
    </row>
    <row r="38">
      <c r="A38" s="19" t="s">
        <v>35</v>
      </c>
      <c r="B38" s="41">
        <f>IFERROR(__xludf.DUMMYFUNCTION("VLOOKUP(A38,IMPORTRANGE(""1EmrnCz2gLVTx5Cbj0e5tfuHPhTtmru8KTGuQvh7STl0/edit#gid=2147150001"",""Whole Data Set!$A$2:$NQ$253""),381,FALSE)"),169.0)</f>
        <v>169</v>
      </c>
      <c r="C38" s="58">
        <f t="shared" si="1"/>
        <v>0.676</v>
      </c>
      <c r="D38" s="12">
        <f>IFERROR(__xludf.DUMMYFUNCTION("VLOOKUP(A38,IMPORTRANGE(""1aFCnJY1qhIj8-JckJhDJ18aqmVo17tofpQmOjcYa3u8/edit#gid=948248086"",""Whole Data Set!$A$2:$NG$253""),371,FALSE)"),147.75)</f>
        <v>147.75</v>
      </c>
      <c r="E38" s="13">
        <f t="shared" si="2"/>
        <v>0.591</v>
      </c>
      <c r="F38" s="13">
        <f t="shared" si="3"/>
        <v>0.085</v>
      </c>
      <c r="G38" s="83">
        <f>IFERROR(__xludf.DUMMYFUNCTION("VLOOKUP(A38,IMPORTRANGE(""1_RYWMH8TzKc0_xU44uur9ZmHGpM-mmp96_oQwwz56co/edit#gid=0"",""Sheet1!$A$2:$O$250""),2,FALSE)"),162.75)</f>
        <v>162.75</v>
      </c>
      <c r="H38" s="84">
        <f t="shared" si="4"/>
        <v>0.651</v>
      </c>
      <c r="I38" s="85">
        <f t="shared" si="5"/>
        <v>-0.06</v>
      </c>
    </row>
    <row r="39">
      <c r="A39" s="19" t="s">
        <v>36</v>
      </c>
      <c r="B39" s="41">
        <f>IFERROR(__xludf.DUMMYFUNCTION("VLOOKUP(A39,IMPORTRANGE(""1EmrnCz2gLVTx5Cbj0e5tfuHPhTtmru8KTGuQvh7STl0/edit#gid=2147150001"",""Whole Data Set!$A$2:$NQ$253""),381,FALSE)"),120.25)</f>
        <v>120.25</v>
      </c>
      <c r="C39" s="58">
        <f t="shared" si="1"/>
        <v>0.481</v>
      </c>
      <c r="D39" s="12">
        <f>IFERROR(__xludf.DUMMYFUNCTION("VLOOKUP(A39,IMPORTRANGE(""1aFCnJY1qhIj8-JckJhDJ18aqmVo17tofpQmOjcYa3u8/edit#gid=948248086"",""Whole Data Set!$A$2:$NG$253""),371,FALSE)"),140.75)</f>
        <v>140.75</v>
      </c>
      <c r="E39" s="13">
        <f t="shared" si="2"/>
        <v>0.563</v>
      </c>
      <c r="F39" s="13">
        <f t="shared" si="3"/>
        <v>-0.082</v>
      </c>
      <c r="G39" s="83">
        <f>IFERROR(__xludf.DUMMYFUNCTION("VLOOKUP(A39,IMPORTRANGE(""1_RYWMH8TzKc0_xU44uur9ZmHGpM-mmp96_oQwwz56co/edit#gid=0"",""Sheet1!$A$2:$O$250""),2,FALSE)"),147.5)</f>
        <v>147.5</v>
      </c>
      <c r="H39" s="84">
        <f t="shared" si="4"/>
        <v>0.59</v>
      </c>
      <c r="I39" s="85">
        <f t="shared" si="5"/>
        <v>-0.027</v>
      </c>
    </row>
    <row r="40">
      <c r="A40" s="19" t="s">
        <v>37</v>
      </c>
      <c r="B40" s="41">
        <f>IFERROR(__xludf.DUMMYFUNCTION("VLOOKUP(A40,IMPORTRANGE(""1EmrnCz2gLVTx5Cbj0e5tfuHPhTtmru8KTGuQvh7STl0/edit#gid=2147150001"",""Whole Data Set!$A$2:$NQ$253""),381,FALSE)"),156.25)</f>
        <v>156.25</v>
      </c>
      <c r="C40" s="58">
        <f t="shared" si="1"/>
        <v>0.625</v>
      </c>
      <c r="D40" s="12">
        <f>IFERROR(__xludf.DUMMYFUNCTION("VLOOKUP(A40,IMPORTRANGE(""1aFCnJY1qhIj8-JckJhDJ18aqmVo17tofpQmOjcYa3u8/edit#gid=948248086"",""Whole Data Set!$A$2:$NG$253""),371,FALSE)"),134.75)</f>
        <v>134.75</v>
      </c>
      <c r="E40" s="13">
        <f t="shared" si="2"/>
        <v>0.539</v>
      </c>
      <c r="F40" s="13">
        <f t="shared" si="3"/>
        <v>0.086</v>
      </c>
      <c r="G40" s="83">
        <f>IFERROR(__xludf.DUMMYFUNCTION("VLOOKUP(A40,IMPORTRANGE(""1_RYWMH8TzKc0_xU44uur9ZmHGpM-mmp96_oQwwz56co/edit#gid=0"",""Sheet1!$A$2:$O$250""),2,FALSE)"),26.75)</f>
        <v>26.75</v>
      </c>
      <c r="H40" s="84">
        <f t="shared" si="4"/>
        <v>0.107</v>
      </c>
      <c r="I40" s="85">
        <f t="shared" si="5"/>
        <v>0.432</v>
      </c>
    </row>
    <row r="41">
      <c r="A41" s="19" t="s">
        <v>219</v>
      </c>
      <c r="B41" s="41">
        <f>IFERROR(__xludf.DUMMYFUNCTION("VLOOKUP(A41,IMPORTRANGE(""1EmrnCz2gLVTx5Cbj0e5tfuHPhTtmru8KTGuQvh7STl0/edit#gid=2147150001"",""Whole Data Set!$A$2:$NQ$253""),381,FALSE)"),38.75)</f>
        <v>38.75</v>
      </c>
      <c r="C41" s="58">
        <f t="shared" si="1"/>
        <v>0.155</v>
      </c>
      <c r="D41" s="12">
        <f>IFERROR(__xludf.DUMMYFUNCTION("VLOOKUP(A41,IMPORTRANGE(""1aFCnJY1qhIj8-JckJhDJ18aqmVo17tofpQmOjcYa3u8/edit#gid=948248086"",""Whole Data Set!$A$2:$NG$253""),371,FALSE)"),21.5)</f>
        <v>21.5</v>
      </c>
      <c r="E41" s="13">
        <f t="shared" si="2"/>
        <v>0.086</v>
      </c>
      <c r="F41" s="13">
        <f t="shared" si="3"/>
        <v>0.069</v>
      </c>
      <c r="G41" s="83">
        <f>IFERROR(__xludf.DUMMYFUNCTION("VLOOKUP(A41,IMPORTRANGE(""1_RYWMH8TzKc0_xU44uur9ZmHGpM-mmp96_oQwwz56co/edit#gid=0"",""Sheet1!$A$2:$O$250""),2,FALSE)"),21.0)</f>
        <v>21</v>
      </c>
      <c r="H41" s="84">
        <f t="shared" si="4"/>
        <v>0.084</v>
      </c>
      <c r="I41" s="85">
        <f t="shared" si="5"/>
        <v>0.002</v>
      </c>
    </row>
    <row r="42">
      <c r="A42" s="19" t="s">
        <v>220</v>
      </c>
      <c r="B42" s="41">
        <f>IFERROR(__xludf.DUMMYFUNCTION("VLOOKUP(A42,IMPORTRANGE(""1EmrnCz2gLVTx5Cbj0e5tfuHPhTtmru8KTGuQvh7STl0/edit#gid=2147150001"",""Whole Data Set!$A$2:$NQ$253""),381,FALSE)"),18.5)</f>
        <v>18.5</v>
      </c>
      <c r="C42" s="58">
        <f t="shared" si="1"/>
        <v>0.074</v>
      </c>
      <c r="D42" s="12">
        <f>IFERROR(__xludf.DUMMYFUNCTION("VLOOKUP(A42,IMPORTRANGE(""1aFCnJY1qhIj8-JckJhDJ18aqmVo17tofpQmOjcYa3u8/edit#gid=948248086"",""Whole Data Set!$A$2:$NG$253""),371,FALSE)"),22.75)</f>
        <v>22.75</v>
      </c>
      <c r="E42" s="13">
        <f t="shared" si="2"/>
        <v>0.091</v>
      </c>
      <c r="F42" s="13">
        <f t="shared" si="3"/>
        <v>-0.017</v>
      </c>
      <c r="G42" s="83">
        <f>IFERROR(__xludf.DUMMYFUNCTION("VLOOKUP(A42,IMPORTRANGE(""1_RYWMH8TzKc0_xU44uur9ZmHGpM-mmp96_oQwwz56co/edit#gid=0"",""Sheet1!$A$2:$O$250""),2,FALSE)"),21.5)</f>
        <v>21.5</v>
      </c>
      <c r="H42" s="84">
        <f t="shared" si="4"/>
        <v>0.086</v>
      </c>
      <c r="I42" s="85">
        <f t="shared" si="5"/>
        <v>0.005</v>
      </c>
    </row>
    <row r="43">
      <c r="A43" s="42" t="s">
        <v>117</v>
      </c>
      <c r="B43" s="41">
        <f>IFERROR(__xludf.DUMMYFUNCTION("VLOOKUP(A43,IMPORTRANGE(""1EmrnCz2gLVTx5Cbj0e5tfuHPhTtmru8KTGuQvh7STl0/edit#gid=2147150001"",""Whole Data Set!$A$2:$NQ$253""),381,FALSE)"),39.25)</f>
        <v>39.25</v>
      </c>
      <c r="C43" s="58">
        <f t="shared" si="1"/>
        <v>0.157</v>
      </c>
      <c r="D43" s="12">
        <f>IFERROR(__xludf.DUMMYFUNCTION("VLOOKUP(A43,IMPORTRANGE(""1aFCnJY1qhIj8-JckJhDJ18aqmVo17tofpQmOjcYa3u8/edit#gid=948248086"",""Whole Data Set!$A$2:$NG$253""),371,FALSE)"),20.5)</f>
        <v>20.5</v>
      </c>
      <c r="E43" s="13">
        <f t="shared" si="2"/>
        <v>0.082</v>
      </c>
      <c r="F43" s="13">
        <f t="shared" si="3"/>
        <v>0.075</v>
      </c>
      <c r="G43" s="83">
        <f>IFERROR(__xludf.DUMMYFUNCTION("VLOOKUP(A43,IMPORTRANGE(""1_RYWMH8TzKc0_xU44uur9ZmHGpM-mmp96_oQwwz56co/edit#gid=0"",""Sheet1!$A$2:$O$250""),2,FALSE)"),35.5)</f>
        <v>35.5</v>
      </c>
      <c r="H43" s="84">
        <f t="shared" si="4"/>
        <v>0.142</v>
      </c>
      <c r="I43" s="85">
        <f t="shared" si="5"/>
        <v>-0.06</v>
      </c>
    </row>
    <row r="44">
      <c r="A44" s="23" t="s">
        <v>168</v>
      </c>
      <c r="B44" s="41">
        <f>IFERROR(__xludf.DUMMYFUNCTION("VLOOKUP(A44,IMPORTRANGE(""1EmrnCz2gLVTx5Cbj0e5tfuHPhTtmru8KTGuQvh7STl0/edit#gid=2147150001"",""Whole Data Set!$A$2:$NQ$253""),381,FALSE)"),11.5)</f>
        <v>11.5</v>
      </c>
      <c r="C44" s="58">
        <f t="shared" si="1"/>
        <v>0.046</v>
      </c>
      <c r="D44" s="12">
        <f>IFERROR(__xludf.DUMMYFUNCTION("VLOOKUP(A44,IMPORTRANGE(""1aFCnJY1qhIj8-JckJhDJ18aqmVo17tofpQmOjcYa3u8/edit#gid=948248086"",""Whole Data Set!$A$2:$NG$253""),371,FALSE)"),18.5)</f>
        <v>18.5</v>
      </c>
      <c r="E44" s="13">
        <f t="shared" si="2"/>
        <v>0.074</v>
      </c>
      <c r="F44" s="13">
        <f t="shared" si="3"/>
        <v>-0.028</v>
      </c>
      <c r="G44" s="83">
        <f>IFERROR(__xludf.DUMMYFUNCTION("VLOOKUP(A44,IMPORTRANGE(""1_RYWMH8TzKc0_xU44uur9ZmHGpM-mmp96_oQwwz56co/edit#gid=0"",""Sheet1!$A$2:$O$250""),2,FALSE)"),31.5)</f>
        <v>31.5</v>
      </c>
      <c r="H44" s="84">
        <f t="shared" si="4"/>
        <v>0.126</v>
      </c>
      <c r="I44" s="85">
        <f t="shared" si="5"/>
        <v>-0.052</v>
      </c>
    </row>
    <row r="45">
      <c r="A45" s="22" t="s">
        <v>169</v>
      </c>
      <c r="B45" s="41">
        <f>IFERROR(__xludf.DUMMYFUNCTION("VLOOKUP(A45,IMPORTRANGE(""1EmrnCz2gLVTx5Cbj0e5tfuHPhTtmru8KTGuQvh7STl0/edit#gid=2147150001"",""Whole Data Set!$A$2:$NQ$253""),381,FALSE)"),58.75)</f>
        <v>58.75</v>
      </c>
      <c r="C45" s="58">
        <f t="shared" si="1"/>
        <v>0.235</v>
      </c>
      <c r="D45" s="12">
        <f>IFERROR(__xludf.DUMMYFUNCTION("VLOOKUP(A45,IMPORTRANGE(""1aFCnJY1qhIj8-JckJhDJ18aqmVo17tofpQmOjcYa3u8/edit#gid=948248086"",""Whole Data Set!$A$2:$NG$253""),371,FALSE)"),62.0)</f>
        <v>62</v>
      </c>
      <c r="E45" s="13">
        <f t="shared" si="2"/>
        <v>0.248</v>
      </c>
      <c r="F45" s="13">
        <f t="shared" si="3"/>
        <v>-0.013</v>
      </c>
      <c r="G45" s="83">
        <f>IFERROR(__xludf.DUMMYFUNCTION("VLOOKUP(A45,IMPORTRANGE(""1_RYWMH8TzKc0_xU44uur9ZmHGpM-mmp96_oQwwz56co/edit#gid=0"",""Sheet1!$A$2:$O$250""),2,FALSE)"),59.25)</f>
        <v>59.25</v>
      </c>
      <c r="H45" s="84">
        <f t="shared" si="4"/>
        <v>0.237</v>
      </c>
      <c r="I45" s="85">
        <f t="shared" si="5"/>
        <v>0.011</v>
      </c>
    </row>
    <row r="46">
      <c r="A46" s="19" t="s">
        <v>263</v>
      </c>
      <c r="B46" s="41">
        <f>IFERROR(__xludf.DUMMYFUNCTION("VLOOKUP(A46,IMPORTRANGE(""1EmrnCz2gLVTx5Cbj0e5tfuHPhTtmru8KTGuQvh7STl0/edit#gid=2147150001"",""Whole Data Set!$A$2:$NQ$253""),381,FALSE)"),61.25)</f>
        <v>61.25</v>
      </c>
      <c r="C46" s="58">
        <f t="shared" si="1"/>
        <v>0.245</v>
      </c>
      <c r="D46" s="12">
        <f>IFERROR(__xludf.DUMMYFUNCTION("VLOOKUP(A46,IMPORTRANGE(""1aFCnJY1qhIj8-JckJhDJ18aqmVo17tofpQmOjcYa3u8/edit#gid=948248086"",""Whole Data Set!$A$2:$NG$253""),371,FALSE)"),45.0)</f>
        <v>45</v>
      </c>
      <c r="E46" s="13">
        <f t="shared" si="2"/>
        <v>0.18</v>
      </c>
      <c r="F46" s="13">
        <f t="shared" si="3"/>
        <v>0.065</v>
      </c>
      <c r="G46" s="83">
        <f>IFERROR(__xludf.DUMMYFUNCTION("VLOOKUP(A46,IMPORTRANGE(""1_RYWMH8TzKc0_xU44uur9ZmHGpM-mmp96_oQwwz56co/edit#gid=0"",""Sheet1!$A$2:$O$250""),2,FALSE)"),30.75)</f>
        <v>30.75</v>
      </c>
      <c r="H46" s="84">
        <f t="shared" si="4"/>
        <v>0.123</v>
      </c>
      <c r="I46" s="85">
        <f t="shared" si="5"/>
        <v>0.057</v>
      </c>
    </row>
    <row r="47">
      <c r="A47" s="19" t="s">
        <v>170</v>
      </c>
      <c r="B47" s="41">
        <f>IFERROR(__xludf.DUMMYFUNCTION("VLOOKUP(A47,IMPORTRANGE(""1EmrnCz2gLVTx5Cbj0e5tfuHPhTtmru8KTGuQvh7STl0/edit#gid=2147150001"",""Whole Data Set!$A$2:$NQ$253""),381,FALSE)"),75.5)</f>
        <v>75.5</v>
      </c>
      <c r="C47" s="58">
        <f t="shared" si="1"/>
        <v>0.302</v>
      </c>
      <c r="D47" s="12">
        <f>IFERROR(__xludf.DUMMYFUNCTION("VLOOKUP(A47,IMPORTRANGE(""1aFCnJY1qhIj8-JckJhDJ18aqmVo17tofpQmOjcYa3u8/edit#gid=948248086"",""Whole Data Set!$A$2:$NG$253""),371,FALSE)"),71.75)</f>
        <v>71.75</v>
      </c>
      <c r="E47" s="13">
        <f t="shared" si="2"/>
        <v>0.287</v>
      </c>
      <c r="F47" s="13">
        <f t="shared" si="3"/>
        <v>0.015</v>
      </c>
      <c r="G47" s="83">
        <f>IFERROR(__xludf.DUMMYFUNCTION("VLOOKUP(A47,IMPORTRANGE(""1_RYWMH8TzKc0_xU44uur9ZmHGpM-mmp96_oQwwz56co/edit#gid=0"",""Sheet1!$A$2:$O$250""),2,FALSE)"),55.5)</f>
        <v>55.5</v>
      </c>
      <c r="H47" s="84">
        <f t="shared" si="4"/>
        <v>0.222</v>
      </c>
      <c r="I47" s="85">
        <f t="shared" si="5"/>
        <v>0.065</v>
      </c>
    </row>
    <row r="48">
      <c r="A48" s="19" t="s">
        <v>221</v>
      </c>
      <c r="B48" s="41">
        <f>IFERROR(__xludf.DUMMYFUNCTION("VLOOKUP(A48,IMPORTRANGE(""1EmrnCz2gLVTx5Cbj0e5tfuHPhTtmru8KTGuQvh7STl0/edit#gid=2147150001"",""Whole Data Set!$A$2:$NQ$253""),381,FALSE)"),1.75)</f>
        <v>1.75</v>
      </c>
      <c r="C48" s="58">
        <f t="shared" si="1"/>
        <v>0.007</v>
      </c>
      <c r="D48" s="12">
        <f>IFERROR(__xludf.DUMMYFUNCTION("VLOOKUP(A48,IMPORTRANGE(""1aFCnJY1qhIj8-JckJhDJ18aqmVo17tofpQmOjcYa3u8/edit#gid=948248086"",""Whole Data Set!$A$2:$NG$253""),371,FALSE)"),1.25)</f>
        <v>1.25</v>
      </c>
      <c r="E48" s="13">
        <f t="shared" si="2"/>
        <v>0.005</v>
      </c>
      <c r="F48" s="13">
        <f t="shared" si="3"/>
        <v>0.002</v>
      </c>
      <c r="G48" s="83">
        <f>IFERROR(__xludf.DUMMYFUNCTION("VLOOKUP(A48,IMPORTRANGE(""1_RYWMH8TzKc0_xU44uur9ZmHGpM-mmp96_oQwwz56co/edit#gid=0"",""Sheet1!$A$2:$O$250""),2,FALSE)"),1.0)</f>
        <v>1</v>
      </c>
      <c r="H48" s="84">
        <f t="shared" si="4"/>
        <v>0.004</v>
      </c>
      <c r="I48" s="85">
        <f t="shared" si="5"/>
        <v>0.001</v>
      </c>
    </row>
    <row r="49">
      <c r="A49" s="19" t="s">
        <v>38</v>
      </c>
      <c r="B49" s="41">
        <f>IFERROR(__xludf.DUMMYFUNCTION("VLOOKUP(A49,IMPORTRANGE(""1EmrnCz2gLVTx5Cbj0e5tfuHPhTtmru8KTGuQvh7STl0/edit#gid=2147150001"",""Whole Data Set!$A$2:$NQ$253""),381,FALSE)"),93.75)</f>
        <v>93.75</v>
      </c>
      <c r="C49" s="58">
        <f t="shared" si="1"/>
        <v>0.375</v>
      </c>
      <c r="D49" s="12">
        <f>IFERROR(__xludf.DUMMYFUNCTION("VLOOKUP(A49,IMPORTRANGE(""1aFCnJY1qhIj8-JckJhDJ18aqmVo17tofpQmOjcYa3u8/edit#gid=948248086"",""Whole Data Set!$A$2:$NG$253""),371,FALSE)"),67.75)</f>
        <v>67.75</v>
      </c>
      <c r="E49" s="13">
        <f t="shared" si="2"/>
        <v>0.271</v>
      </c>
      <c r="F49" s="13">
        <f t="shared" si="3"/>
        <v>0.104</v>
      </c>
      <c r="G49" s="83">
        <f>IFERROR(__xludf.DUMMYFUNCTION("VLOOKUP(A49,IMPORTRANGE(""1_RYWMH8TzKc0_xU44uur9ZmHGpM-mmp96_oQwwz56co/edit#gid=0"",""Sheet1!$A$2:$O$250""),2,FALSE)"),98.25)</f>
        <v>98.25</v>
      </c>
      <c r="H49" s="84">
        <f t="shared" si="4"/>
        <v>0.393</v>
      </c>
      <c r="I49" s="85">
        <f t="shared" si="5"/>
        <v>-0.122</v>
      </c>
    </row>
    <row r="50">
      <c r="A50" s="19" t="s">
        <v>39</v>
      </c>
      <c r="B50" s="41">
        <f>IFERROR(__xludf.DUMMYFUNCTION("VLOOKUP(A50,IMPORTRANGE(""1EmrnCz2gLVTx5Cbj0e5tfuHPhTtmru8KTGuQvh7STl0/edit#gid=2147150001"",""Whole Data Set!$A$2:$NQ$253""),381,FALSE)"),26.5)</f>
        <v>26.5</v>
      </c>
      <c r="C50" s="58">
        <f t="shared" si="1"/>
        <v>0.106</v>
      </c>
      <c r="D50" s="12">
        <f>IFERROR(__xludf.DUMMYFUNCTION("VLOOKUP(A50,IMPORTRANGE(""1aFCnJY1qhIj8-JckJhDJ18aqmVo17tofpQmOjcYa3u8/edit#gid=948248086"",""Whole Data Set!$A$2:$NG$253""),371,FALSE)"),36.75)</f>
        <v>36.75</v>
      </c>
      <c r="E50" s="13">
        <f t="shared" si="2"/>
        <v>0.147</v>
      </c>
      <c r="F50" s="13">
        <f t="shared" si="3"/>
        <v>-0.041</v>
      </c>
      <c r="G50" s="83">
        <f>IFERROR(__xludf.DUMMYFUNCTION("VLOOKUP(A50,IMPORTRANGE(""1_RYWMH8TzKc0_xU44uur9ZmHGpM-mmp96_oQwwz56co/edit#gid=0"",""Sheet1!$A$2:$O$250""),2,FALSE)"),27.0)</f>
        <v>27</v>
      </c>
      <c r="H50" s="84">
        <f t="shared" si="4"/>
        <v>0.108</v>
      </c>
      <c r="I50" s="85">
        <f t="shared" si="5"/>
        <v>0.039</v>
      </c>
    </row>
    <row r="51">
      <c r="A51" s="19" t="s">
        <v>94</v>
      </c>
      <c r="B51" s="41">
        <f>IFERROR(__xludf.DUMMYFUNCTION("VLOOKUP(A51,IMPORTRANGE(""1EmrnCz2gLVTx5Cbj0e5tfuHPhTtmru8KTGuQvh7STl0/edit#gid=2147150001"",""Whole Data Set!$A$2:$NQ$253""),381,FALSE)"),34.25)</f>
        <v>34.25</v>
      </c>
      <c r="C51" s="58">
        <f t="shared" si="1"/>
        <v>0.137</v>
      </c>
      <c r="D51" s="12">
        <f>IFERROR(__xludf.DUMMYFUNCTION("VLOOKUP(A51,IMPORTRANGE(""1aFCnJY1qhIj8-JckJhDJ18aqmVo17tofpQmOjcYa3u8/edit#gid=948248086"",""Whole Data Set!$A$2:$NG$253""),371,FALSE)"),16.5)</f>
        <v>16.5</v>
      </c>
      <c r="E51" s="13">
        <f t="shared" si="2"/>
        <v>0.066</v>
      </c>
      <c r="F51" s="13">
        <f t="shared" si="3"/>
        <v>0.071</v>
      </c>
      <c r="G51" s="83">
        <f>IFERROR(__xludf.DUMMYFUNCTION("VLOOKUP(A51,IMPORTRANGE(""1_RYWMH8TzKc0_xU44uur9ZmHGpM-mmp96_oQwwz56co/edit#gid=0"",""Sheet1!$A$2:$O$250""),2,FALSE)"),21.0)</f>
        <v>21</v>
      </c>
      <c r="H51" s="84">
        <f t="shared" si="4"/>
        <v>0.084</v>
      </c>
      <c r="I51" s="85">
        <f t="shared" si="5"/>
        <v>-0.018</v>
      </c>
    </row>
    <row r="52">
      <c r="A52" s="19" t="s">
        <v>222</v>
      </c>
      <c r="B52" s="41">
        <f>IFERROR(__xludf.DUMMYFUNCTION("VLOOKUP(A52,IMPORTRANGE(""1EmrnCz2gLVTx5Cbj0e5tfuHPhTtmru8KTGuQvh7STl0/edit#gid=2147150001"",""Whole Data Set!$A$2:$NQ$253""),381,FALSE)"),107.0)</f>
        <v>107</v>
      </c>
      <c r="C52" s="58">
        <f t="shared" si="1"/>
        <v>0.428</v>
      </c>
      <c r="D52" s="12">
        <f>IFERROR(__xludf.DUMMYFUNCTION("VLOOKUP(A52,IMPORTRANGE(""1aFCnJY1qhIj8-JckJhDJ18aqmVo17tofpQmOjcYa3u8/edit#gid=948248086"",""Whole Data Set!$A$2:$NG$253""),371,FALSE)"),74.5)</f>
        <v>74.5</v>
      </c>
      <c r="E52" s="13">
        <f t="shared" si="2"/>
        <v>0.298</v>
      </c>
      <c r="F52" s="13">
        <f t="shared" si="3"/>
        <v>0.13</v>
      </c>
      <c r="G52" s="83">
        <f>IFERROR(__xludf.DUMMYFUNCTION("VLOOKUP(A52,IMPORTRANGE(""1_RYWMH8TzKc0_xU44uur9ZmHGpM-mmp96_oQwwz56co/edit#gid=0"",""Sheet1!$A$2:$O$250""),2,FALSE)"),46.0)</f>
        <v>46</v>
      </c>
      <c r="H52" s="84">
        <f t="shared" si="4"/>
        <v>0.184</v>
      </c>
      <c r="I52" s="85">
        <f t="shared" si="5"/>
        <v>0.114</v>
      </c>
    </row>
    <row r="53">
      <c r="A53" s="19" t="s">
        <v>171</v>
      </c>
      <c r="B53" s="41">
        <f>IFERROR(__xludf.DUMMYFUNCTION("VLOOKUP(A53,IMPORTRANGE(""1EmrnCz2gLVTx5Cbj0e5tfuHPhTtmru8KTGuQvh7STl0/edit#gid=2147150001"",""Whole Data Set!$A$2:$NQ$253""),381,FALSE)"),42.75)</f>
        <v>42.75</v>
      </c>
      <c r="C53" s="58">
        <f t="shared" si="1"/>
        <v>0.171</v>
      </c>
      <c r="D53" s="12">
        <f>IFERROR(__xludf.DUMMYFUNCTION("VLOOKUP(A53,IMPORTRANGE(""1aFCnJY1qhIj8-JckJhDJ18aqmVo17tofpQmOjcYa3u8/edit#gid=948248086"",""Whole Data Set!$A$2:$NG$253""),371,FALSE)"),66.0)</f>
        <v>66</v>
      </c>
      <c r="E53" s="13">
        <f t="shared" si="2"/>
        <v>0.264</v>
      </c>
      <c r="F53" s="13">
        <f t="shared" si="3"/>
        <v>-0.093</v>
      </c>
      <c r="G53" s="83">
        <f>IFERROR(__xludf.DUMMYFUNCTION("VLOOKUP(A53,IMPORTRANGE(""1_RYWMH8TzKc0_xU44uur9ZmHGpM-mmp96_oQwwz56co/edit#gid=0"",""Sheet1!$A$2:$O$250""),2,FALSE)"),85.25)</f>
        <v>85.25</v>
      </c>
      <c r="H53" s="84">
        <f t="shared" si="4"/>
        <v>0.341</v>
      </c>
      <c r="I53" s="85">
        <f t="shared" si="5"/>
        <v>-0.077</v>
      </c>
    </row>
    <row r="54">
      <c r="A54" s="19" t="s">
        <v>41</v>
      </c>
      <c r="B54" s="41">
        <f>IFERROR(__xludf.DUMMYFUNCTION("VLOOKUP(A54,IMPORTRANGE(""1EmrnCz2gLVTx5Cbj0e5tfuHPhTtmru8KTGuQvh7STl0/edit#gid=2147150001"",""Whole Data Set!$A$2:$NQ$253""),381,FALSE)"),103.75)</f>
        <v>103.75</v>
      </c>
      <c r="C54" s="58">
        <f t="shared" si="1"/>
        <v>0.415</v>
      </c>
      <c r="D54" s="12">
        <f>IFERROR(__xludf.DUMMYFUNCTION("VLOOKUP(A54,IMPORTRANGE(""1aFCnJY1qhIj8-JckJhDJ18aqmVo17tofpQmOjcYa3u8/edit#gid=948248086"",""Whole Data Set!$A$2:$NG$253""),371,FALSE)"),66.25)</f>
        <v>66.25</v>
      </c>
      <c r="E54" s="13">
        <f t="shared" si="2"/>
        <v>0.265</v>
      </c>
      <c r="F54" s="13">
        <f t="shared" si="3"/>
        <v>0.15</v>
      </c>
      <c r="G54" s="83">
        <f>IFERROR(__xludf.DUMMYFUNCTION("VLOOKUP(A54,IMPORTRANGE(""1_RYWMH8TzKc0_xU44uur9ZmHGpM-mmp96_oQwwz56co/edit#gid=0"",""Sheet1!$A$2:$O$250""),2,FALSE)"),54.0)</f>
        <v>54</v>
      </c>
      <c r="H54" s="84">
        <f t="shared" si="4"/>
        <v>0.216</v>
      </c>
      <c r="I54" s="85">
        <f t="shared" si="5"/>
        <v>0.049</v>
      </c>
    </row>
    <row r="55">
      <c r="A55" s="42" t="s">
        <v>42</v>
      </c>
      <c r="B55" s="41">
        <f>IFERROR(__xludf.DUMMYFUNCTION("VLOOKUP(A55,IMPORTRANGE(""1EmrnCz2gLVTx5Cbj0e5tfuHPhTtmru8KTGuQvh7STl0/edit#gid=2147150001"",""Whole Data Set!$A$2:$NQ$253""),381,FALSE)"),91.75)</f>
        <v>91.75</v>
      </c>
      <c r="C55" s="58">
        <f t="shared" si="1"/>
        <v>0.367</v>
      </c>
      <c r="D55" s="12">
        <f>IFERROR(__xludf.DUMMYFUNCTION("VLOOKUP(A55,IMPORTRANGE(""1aFCnJY1qhIj8-JckJhDJ18aqmVo17tofpQmOjcYa3u8/edit#gid=948248086"",""Whole Data Set!$A$2:$NG$253""),371,FALSE)"),92.25)</f>
        <v>92.25</v>
      </c>
      <c r="E55" s="13">
        <f t="shared" si="2"/>
        <v>0.369</v>
      </c>
      <c r="F55" s="13">
        <f t="shared" si="3"/>
        <v>-0.002</v>
      </c>
      <c r="G55" s="83">
        <f>IFERROR(__xludf.DUMMYFUNCTION("VLOOKUP(A55,IMPORTRANGE(""1_RYWMH8TzKc0_xU44uur9ZmHGpM-mmp96_oQwwz56co/edit#gid=0"",""Sheet1!$A$2:$O$250""),2,FALSE)"),62.25)</f>
        <v>62.25</v>
      </c>
      <c r="H55" s="84">
        <f t="shared" si="4"/>
        <v>0.249</v>
      </c>
      <c r="I55" s="85">
        <f t="shared" si="5"/>
        <v>0.12</v>
      </c>
    </row>
    <row r="56">
      <c r="A56" s="19" t="s">
        <v>43</v>
      </c>
      <c r="B56" s="41">
        <f>IFERROR(__xludf.DUMMYFUNCTION("VLOOKUP(A56,IMPORTRANGE(""1EmrnCz2gLVTx5Cbj0e5tfuHPhTtmru8KTGuQvh7STl0/edit#gid=2147150001"",""Whole Data Set!$A$2:$NQ$253""),381,FALSE)"),124.75)</f>
        <v>124.75</v>
      </c>
      <c r="C56" s="58">
        <f t="shared" si="1"/>
        <v>0.499</v>
      </c>
      <c r="D56" s="12">
        <f>IFERROR(__xludf.DUMMYFUNCTION("VLOOKUP(A56,IMPORTRANGE(""1aFCnJY1qhIj8-JckJhDJ18aqmVo17tofpQmOjcYa3u8/edit#gid=948248086"",""Whole Data Set!$A$2:$NG$253""),371,FALSE)"),133.5)</f>
        <v>133.5</v>
      </c>
      <c r="E56" s="13">
        <f t="shared" si="2"/>
        <v>0.534</v>
      </c>
      <c r="F56" s="13">
        <f t="shared" si="3"/>
        <v>-0.035</v>
      </c>
      <c r="G56" s="83">
        <f>IFERROR(__xludf.DUMMYFUNCTION("VLOOKUP(A56,IMPORTRANGE(""1_RYWMH8TzKc0_xU44uur9ZmHGpM-mmp96_oQwwz56co/edit#gid=0"",""Sheet1!$A$2:$O$250""),2,FALSE)"),138.5)</f>
        <v>138.5</v>
      </c>
      <c r="H56" s="84">
        <f t="shared" si="4"/>
        <v>0.554</v>
      </c>
      <c r="I56" s="85">
        <f t="shared" si="5"/>
        <v>-0.02</v>
      </c>
    </row>
    <row r="57">
      <c r="A57" s="19" t="s">
        <v>118</v>
      </c>
      <c r="B57" s="41">
        <f>IFERROR(__xludf.DUMMYFUNCTION("VLOOKUP(A57,IMPORTRANGE(""1EmrnCz2gLVTx5Cbj0e5tfuHPhTtmru8KTGuQvh7STl0/edit#gid=2147150001"",""Whole Data Set!$A$2:$NQ$253""),381,FALSE)"),51.25)</f>
        <v>51.25</v>
      </c>
      <c r="C57" s="58">
        <f t="shared" si="1"/>
        <v>0.205</v>
      </c>
      <c r="D57" s="12">
        <f>IFERROR(__xludf.DUMMYFUNCTION("VLOOKUP(A57,IMPORTRANGE(""1aFCnJY1qhIj8-JckJhDJ18aqmVo17tofpQmOjcYa3u8/edit#gid=948248086"",""Whole Data Set!$A$2:$NG$253""),371,FALSE)"),41.75)</f>
        <v>41.75</v>
      </c>
      <c r="E57" s="13">
        <f t="shared" si="2"/>
        <v>0.167</v>
      </c>
      <c r="F57" s="13">
        <f t="shared" si="3"/>
        <v>0.038</v>
      </c>
      <c r="G57" s="83">
        <f>IFERROR(__xludf.DUMMYFUNCTION("VLOOKUP(A57,IMPORTRANGE(""1_RYWMH8TzKc0_xU44uur9ZmHGpM-mmp96_oQwwz56co/edit#gid=0"",""Sheet1!$A$2:$O$250""),2,FALSE)"),37.0)</f>
        <v>37</v>
      </c>
      <c r="H57" s="84">
        <f t="shared" si="4"/>
        <v>0.148</v>
      </c>
      <c r="I57" s="85">
        <f t="shared" si="5"/>
        <v>0.019</v>
      </c>
    </row>
    <row r="58">
      <c r="A58" s="19" t="s">
        <v>40</v>
      </c>
      <c r="B58" s="41">
        <f>IFERROR(__xludf.DUMMYFUNCTION("VLOOKUP(A58,IMPORTRANGE(""1EmrnCz2gLVTx5Cbj0e5tfuHPhTtmru8KTGuQvh7STl0/edit#gid=2147150001"",""Whole Data Set!$A$2:$NQ$253""),381,FALSE)"),24.25)</f>
        <v>24.25</v>
      </c>
      <c r="C58" s="58">
        <f t="shared" si="1"/>
        <v>0.097</v>
      </c>
      <c r="D58" s="12">
        <f>IFERROR(__xludf.DUMMYFUNCTION("VLOOKUP(A58,IMPORTRANGE(""1aFCnJY1qhIj8-JckJhDJ18aqmVo17tofpQmOjcYa3u8/edit#gid=948248086"",""Whole Data Set!$A$2:$NG$253""),371,FALSE)"),25.25)</f>
        <v>25.25</v>
      </c>
      <c r="E58" s="13">
        <f t="shared" si="2"/>
        <v>0.101</v>
      </c>
      <c r="F58" s="13">
        <f t="shared" si="3"/>
        <v>-0.004</v>
      </c>
      <c r="G58" s="83">
        <f>IFERROR(__xludf.DUMMYFUNCTION("VLOOKUP(A58,IMPORTRANGE(""1_RYWMH8TzKc0_xU44uur9ZmHGpM-mmp96_oQwwz56co/edit#gid=0"",""Sheet1!$A$2:$O$250""),2,FALSE)"),29.25)</f>
        <v>29.25</v>
      </c>
      <c r="H58" s="84">
        <f t="shared" si="4"/>
        <v>0.117</v>
      </c>
      <c r="I58" s="85">
        <f t="shared" si="5"/>
        <v>-0.016</v>
      </c>
    </row>
    <row r="59">
      <c r="A59" s="19" t="s">
        <v>223</v>
      </c>
      <c r="B59" s="41">
        <f>IFERROR(__xludf.DUMMYFUNCTION("VLOOKUP(A59,IMPORTRANGE(""1EmrnCz2gLVTx5Cbj0e5tfuHPhTtmru8KTGuQvh7STl0/edit#gid=2147150001"",""Whole Data Set!$A$2:$NQ$253""),381,FALSE)"),54.75)</f>
        <v>54.75</v>
      </c>
      <c r="C59" s="58">
        <f t="shared" si="1"/>
        <v>0.219</v>
      </c>
      <c r="D59" s="12">
        <f>IFERROR(__xludf.DUMMYFUNCTION("VLOOKUP(A59,IMPORTRANGE(""1aFCnJY1qhIj8-JckJhDJ18aqmVo17tofpQmOjcYa3u8/edit#gid=948248086"",""Whole Data Set!$A$2:$NG$253""),371,FALSE)"),54.5)</f>
        <v>54.5</v>
      </c>
      <c r="E59" s="13">
        <f t="shared" si="2"/>
        <v>0.218</v>
      </c>
      <c r="F59" s="13">
        <f t="shared" si="3"/>
        <v>0.001</v>
      </c>
      <c r="G59" s="83">
        <f>IFERROR(__xludf.DUMMYFUNCTION("VLOOKUP(A59,IMPORTRANGE(""1_RYWMH8TzKc0_xU44uur9ZmHGpM-mmp96_oQwwz56co/edit#gid=0"",""Sheet1!$A$2:$O$250""),2,FALSE)"),44.0)</f>
        <v>44</v>
      </c>
      <c r="H59" s="84">
        <f t="shared" si="4"/>
        <v>0.176</v>
      </c>
      <c r="I59" s="85">
        <f t="shared" si="5"/>
        <v>0.042</v>
      </c>
    </row>
    <row r="60">
      <c r="A60" s="19" t="s">
        <v>119</v>
      </c>
      <c r="B60" s="41">
        <f>IFERROR(__xludf.DUMMYFUNCTION("VLOOKUP(A60,IMPORTRANGE(""1EmrnCz2gLVTx5Cbj0e5tfuHPhTtmru8KTGuQvh7STl0/edit#gid=2147150001"",""Whole Data Set!$A$2:$NQ$253""),381,FALSE)"),64.5)</f>
        <v>64.5</v>
      </c>
      <c r="C60" s="58">
        <f t="shared" si="1"/>
        <v>0.258</v>
      </c>
      <c r="D60" s="12">
        <f>IFERROR(__xludf.DUMMYFUNCTION("VLOOKUP(A60,IMPORTRANGE(""1aFCnJY1qhIj8-JckJhDJ18aqmVo17tofpQmOjcYa3u8/edit#gid=948248086"",""Whole Data Set!$A$2:$NG$253""),371,FALSE)"),52.75)</f>
        <v>52.75</v>
      </c>
      <c r="E60" s="13">
        <f t="shared" si="2"/>
        <v>0.211</v>
      </c>
      <c r="F60" s="13">
        <f t="shared" si="3"/>
        <v>0.047</v>
      </c>
      <c r="G60" s="83">
        <f>IFERROR(__xludf.DUMMYFUNCTION("VLOOKUP(A60,IMPORTRANGE(""1_RYWMH8TzKc0_xU44uur9ZmHGpM-mmp96_oQwwz56co/edit#gid=0"",""Sheet1!$A$2:$O$250""),2,FALSE)"),59.0)</f>
        <v>59</v>
      </c>
      <c r="H60" s="84">
        <f t="shared" si="4"/>
        <v>0.236</v>
      </c>
      <c r="I60" s="85">
        <f t="shared" si="5"/>
        <v>-0.025</v>
      </c>
    </row>
    <row r="61">
      <c r="A61" s="19" t="s">
        <v>264</v>
      </c>
      <c r="B61" s="41">
        <f>IFERROR(__xludf.DUMMYFUNCTION("VLOOKUP(A61,IMPORTRANGE(""1EmrnCz2gLVTx5Cbj0e5tfuHPhTtmru8KTGuQvh7STl0/edit#gid=2147150001"",""Whole Data Set!$A$2:$NQ$253""),381,FALSE)"),5.5)</f>
        <v>5.5</v>
      </c>
      <c r="C61" s="58">
        <f t="shared" si="1"/>
        <v>0.022</v>
      </c>
      <c r="D61" s="12">
        <f>IFERROR(__xludf.DUMMYFUNCTION("VLOOKUP(A61,IMPORTRANGE(""1aFCnJY1qhIj8-JckJhDJ18aqmVo17tofpQmOjcYa3u8/edit#gid=948248086"",""Whole Data Set!$A$2:$NG$253""),371,FALSE)"),6.25)</f>
        <v>6.25</v>
      </c>
      <c r="E61" s="13">
        <f t="shared" si="2"/>
        <v>0.025</v>
      </c>
      <c r="F61" s="13">
        <f t="shared" si="3"/>
        <v>-0.003</v>
      </c>
      <c r="G61" s="83">
        <f>IFERROR(__xludf.DUMMYFUNCTION("VLOOKUP(A61,IMPORTRANGE(""1_RYWMH8TzKc0_xU44uur9ZmHGpM-mmp96_oQwwz56co/edit#gid=0"",""Sheet1!$A$2:$O$250""),2,FALSE)"),6.0)</f>
        <v>6</v>
      </c>
      <c r="H61" s="84">
        <f t="shared" si="4"/>
        <v>0.024</v>
      </c>
      <c r="I61" s="85">
        <f t="shared" si="5"/>
        <v>0.001</v>
      </c>
    </row>
    <row r="62">
      <c r="A62" s="19" t="s">
        <v>120</v>
      </c>
      <c r="B62" s="41">
        <f>IFERROR(__xludf.DUMMYFUNCTION("VLOOKUP(A62,IMPORTRANGE(""1EmrnCz2gLVTx5Cbj0e5tfuHPhTtmru8KTGuQvh7STl0/edit#gid=2147150001"",""Whole Data Set!$A$2:$NQ$253""),381,FALSE)"),61.5)</f>
        <v>61.5</v>
      </c>
      <c r="C62" s="58">
        <f t="shared" si="1"/>
        <v>0.246</v>
      </c>
      <c r="D62" s="12">
        <f>IFERROR(__xludf.DUMMYFUNCTION("VLOOKUP(A62,IMPORTRANGE(""1aFCnJY1qhIj8-JckJhDJ18aqmVo17tofpQmOjcYa3u8/edit#gid=948248086"",""Whole Data Set!$A$2:$NG$253""),371,FALSE)"),42.25)</f>
        <v>42.25</v>
      </c>
      <c r="E62" s="13">
        <f t="shared" si="2"/>
        <v>0.169</v>
      </c>
      <c r="F62" s="13">
        <f t="shared" si="3"/>
        <v>0.077</v>
      </c>
      <c r="G62" s="83">
        <f>IFERROR(__xludf.DUMMYFUNCTION("VLOOKUP(A62,IMPORTRANGE(""1_RYWMH8TzKc0_xU44uur9ZmHGpM-mmp96_oQwwz56co/edit#gid=0"",""Sheet1!$A$2:$O$250""),2,FALSE)"),52.5)</f>
        <v>52.5</v>
      </c>
      <c r="H62" s="84">
        <f t="shared" si="4"/>
        <v>0.21</v>
      </c>
      <c r="I62" s="85">
        <f t="shared" si="5"/>
        <v>-0.041</v>
      </c>
    </row>
    <row r="63">
      <c r="A63" s="87" t="s">
        <v>121</v>
      </c>
      <c r="B63" s="41">
        <f>IFERROR(__xludf.DUMMYFUNCTION("VLOOKUP(A63,IMPORTRANGE(""1EmrnCz2gLVTx5Cbj0e5tfuHPhTtmru8KTGuQvh7STl0/edit#gid=2147150001"",""Whole Data Set!$A$2:$NQ$253""),381,FALSE)"),68.5)</f>
        <v>68.5</v>
      </c>
      <c r="C63" s="58">
        <f t="shared" si="1"/>
        <v>0.274</v>
      </c>
      <c r="D63" s="12">
        <f>IFERROR(__xludf.DUMMYFUNCTION("VLOOKUP(A63,IMPORTRANGE(""1aFCnJY1qhIj8-JckJhDJ18aqmVo17tofpQmOjcYa3u8/edit#gid=948248086"",""Whole Data Set!$A$2:$NG$253""),371,FALSE)"),60.5)</f>
        <v>60.5</v>
      </c>
      <c r="E63" s="13">
        <f t="shared" si="2"/>
        <v>0.242</v>
      </c>
      <c r="F63" s="13">
        <f t="shared" si="3"/>
        <v>0.032</v>
      </c>
      <c r="G63" s="83">
        <f>IFERROR(__xludf.DUMMYFUNCTION("VLOOKUP(A63,IMPORTRANGE(""1_RYWMH8TzKc0_xU44uur9ZmHGpM-mmp96_oQwwz56co/edit#gid=0"",""Sheet1!$A$2:$O$250""),2,FALSE)"),77.75)</f>
        <v>77.75</v>
      </c>
      <c r="H63" s="84">
        <f t="shared" si="4"/>
        <v>0.311</v>
      </c>
      <c r="I63" s="85">
        <f t="shared" si="5"/>
        <v>-0.069</v>
      </c>
    </row>
    <row r="64">
      <c r="A64" s="19" t="s">
        <v>122</v>
      </c>
      <c r="B64" s="41">
        <f>IFERROR(__xludf.DUMMYFUNCTION("VLOOKUP(A64,IMPORTRANGE(""1EmrnCz2gLVTx5Cbj0e5tfuHPhTtmru8KTGuQvh7STl0/edit#gid=2147150001"",""Whole Data Set!$A$2:$NQ$253""),381,FALSE)"),47.25)</f>
        <v>47.25</v>
      </c>
      <c r="C64" s="58">
        <f t="shared" si="1"/>
        <v>0.189</v>
      </c>
      <c r="D64" s="12">
        <f>IFERROR(__xludf.DUMMYFUNCTION("VLOOKUP(A64,IMPORTRANGE(""1aFCnJY1qhIj8-JckJhDJ18aqmVo17tofpQmOjcYa3u8/edit#gid=948248086"",""Whole Data Set!$A$2:$NG$253""),371,FALSE)"),16.5)</f>
        <v>16.5</v>
      </c>
      <c r="E64" s="13">
        <f t="shared" si="2"/>
        <v>0.066</v>
      </c>
      <c r="F64" s="13">
        <f t="shared" si="3"/>
        <v>0.123</v>
      </c>
      <c r="G64" s="83">
        <f>IFERROR(__xludf.DUMMYFUNCTION("VLOOKUP(A64,IMPORTRANGE(""1_RYWMH8TzKc0_xU44uur9ZmHGpM-mmp96_oQwwz56co/edit#gid=0"",""Sheet1!$A$2:$O$250""),2,FALSE)"),18.0)</f>
        <v>18</v>
      </c>
      <c r="H64" s="84">
        <f t="shared" si="4"/>
        <v>0.072</v>
      </c>
      <c r="I64" s="85">
        <f t="shared" si="5"/>
        <v>-0.006</v>
      </c>
    </row>
    <row r="65">
      <c r="A65" s="22" t="s">
        <v>45</v>
      </c>
      <c r="B65" s="41">
        <f>IFERROR(__xludf.DUMMYFUNCTION("VLOOKUP(A65,IMPORTRANGE(""1EmrnCz2gLVTx5Cbj0e5tfuHPhTtmru8KTGuQvh7STl0/edit#gid=2147150001"",""Whole Data Set!$A$2:$NQ$253""),381,FALSE)"),8.25)</f>
        <v>8.25</v>
      </c>
      <c r="C65" s="58">
        <f t="shared" si="1"/>
        <v>0.033</v>
      </c>
      <c r="D65" s="12">
        <f>IFERROR(__xludf.DUMMYFUNCTION("VLOOKUP(A65,IMPORTRANGE(""1aFCnJY1qhIj8-JckJhDJ18aqmVo17tofpQmOjcYa3u8/edit#gid=948248086"",""Whole Data Set!$A$2:$NG$253""),371,FALSE)"),11.0)</f>
        <v>11</v>
      </c>
      <c r="E65" s="13">
        <f t="shared" si="2"/>
        <v>0.044</v>
      </c>
      <c r="F65" s="13">
        <f t="shared" si="3"/>
        <v>-0.011</v>
      </c>
      <c r="G65" s="83">
        <f>IFERROR(__xludf.DUMMYFUNCTION("VLOOKUP(A65,IMPORTRANGE(""1_RYWMH8TzKc0_xU44uur9ZmHGpM-mmp96_oQwwz56co/edit#gid=0"",""Sheet1!$A$2:$O$250""),2,FALSE)"),15.25)</f>
        <v>15.25</v>
      </c>
      <c r="H65" s="84">
        <f t="shared" si="4"/>
        <v>0.061</v>
      </c>
      <c r="I65" s="85">
        <f t="shared" si="5"/>
        <v>-0.017</v>
      </c>
    </row>
    <row r="66">
      <c r="A66" s="23" t="s">
        <v>46</v>
      </c>
      <c r="B66" s="41">
        <f>IFERROR(__xludf.DUMMYFUNCTION("VLOOKUP(A66,IMPORTRANGE(""1EmrnCz2gLVTx5Cbj0e5tfuHPhTtmru8KTGuQvh7STl0/edit#gid=2147150001"",""Whole Data Set!$A$2:$NQ$253""),381,FALSE)"),73.0)</f>
        <v>73</v>
      </c>
      <c r="C66" s="58">
        <f t="shared" si="1"/>
        <v>0.292</v>
      </c>
      <c r="D66" s="12">
        <f>IFERROR(__xludf.DUMMYFUNCTION("VLOOKUP(A66,IMPORTRANGE(""1aFCnJY1qhIj8-JckJhDJ18aqmVo17tofpQmOjcYa3u8/edit#gid=948248086"",""Whole Data Set!$A$2:$NG$253""),371,FALSE)"),71.25)</f>
        <v>71.25</v>
      </c>
      <c r="E66" s="13">
        <f t="shared" si="2"/>
        <v>0.285</v>
      </c>
      <c r="F66" s="13">
        <f t="shared" si="3"/>
        <v>0.007</v>
      </c>
      <c r="G66" s="83">
        <f>IFERROR(__xludf.DUMMYFUNCTION("VLOOKUP(A66,IMPORTRANGE(""1_RYWMH8TzKc0_xU44uur9ZmHGpM-mmp96_oQwwz56co/edit#gid=0"",""Sheet1!$A$2:$O$250""),2,FALSE)"),55.5)</f>
        <v>55.5</v>
      </c>
      <c r="H66" s="84">
        <f t="shared" si="4"/>
        <v>0.222</v>
      </c>
      <c r="I66" s="85">
        <f t="shared" si="5"/>
        <v>0.063</v>
      </c>
    </row>
    <row r="67">
      <c r="A67" s="19" t="s">
        <v>224</v>
      </c>
      <c r="B67" s="41">
        <f>IFERROR(__xludf.DUMMYFUNCTION("VLOOKUP(A67,IMPORTRANGE(""1EmrnCz2gLVTx5Cbj0e5tfuHPhTtmru8KTGuQvh7STl0/edit#gid=2147150001"",""Whole Data Set!$A$2:$NQ$253""),381,FALSE)"),55.0)</f>
        <v>55</v>
      </c>
      <c r="C67" s="58">
        <f t="shared" si="1"/>
        <v>0.22</v>
      </c>
      <c r="D67" s="12">
        <f>IFERROR(__xludf.DUMMYFUNCTION("VLOOKUP(A67,IMPORTRANGE(""1aFCnJY1qhIj8-JckJhDJ18aqmVo17tofpQmOjcYa3u8/edit#gid=948248086"",""Whole Data Set!$A$2:$NG$253""),371,FALSE)"),42.25)</f>
        <v>42.25</v>
      </c>
      <c r="E67" s="13">
        <f t="shared" si="2"/>
        <v>0.169</v>
      </c>
      <c r="F67" s="13">
        <f t="shared" si="3"/>
        <v>0.051</v>
      </c>
      <c r="G67" s="83">
        <f>IFERROR(__xludf.DUMMYFUNCTION("VLOOKUP(A67,IMPORTRANGE(""1_RYWMH8TzKc0_xU44uur9ZmHGpM-mmp96_oQwwz56co/edit#gid=0"",""Sheet1!$A$2:$O$250""),2,FALSE)"),51.25)</f>
        <v>51.25</v>
      </c>
      <c r="H67" s="84">
        <f t="shared" si="4"/>
        <v>0.205</v>
      </c>
      <c r="I67" s="85">
        <f t="shared" si="5"/>
        <v>-0.036</v>
      </c>
    </row>
    <row r="68">
      <c r="A68" s="19" t="s">
        <v>225</v>
      </c>
      <c r="B68" s="41">
        <f>IFERROR(__xludf.DUMMYFUNCTION("VLOOKUP(A68,IMPORTRANGE(""1EmrnCz2gLVTx5Cbj0e5tfuHPhTtmru8KTGuQvh7STl0/edit#gid=2147150001"",""Whole Data Set!$A$2:$NQ$253""),381,FALSE)"),1.5)</f>
        <v>1.5</v>
      </c>
      <c r="C68" s="58">
        <f t="shared" si="1"/>
        <v>0.006</v>
      </c>
      <c r="D68" s="12">
        <f>IFERROR(__xludf.DUMMYFUNCTION("VLOOKUP(A68,IMPORTRANGE(""1aFCnJY1qhIj8-JckJhDJ18aqmVo17tofpQmOjcYa3u8/edit#gid=948248086"",""Whole Data Set!$A$2:$NG$253""),371,FALSE)"),2.5)</f>
        <v>2.5</v>
      </c>
      <c r="E68" s="13">
        <f t="shared" si="2"/>
        <v>0.01</v>
      </c>
      <c r="F68" s="13">
        <f t="shared" si="3"/>
        <v>-0.004</v>
      </c>
      <c r="G68" s="83">
        <f>IFERROR(__xludf.DUMMYFUNCTION("VLOOKUP(A68,IMPORTRANGE(""1_RYWMH8TzKc0_xU44uur9ZmHGpM-mmp96_oQwwz56co/edit#gid=0"",""Sheet1!$A$2:$O$250""),2,FALSE)"),4.5)</f>
        <v>4.5</v>
      </c>
      <c r="H68" s="84">
        <f t="shared" si="4"/>
        <v>0.018</v>
      </c>
      <c r="I68" s="85">
        <f t="shared" si="5"/>
        <v>-0.008</v>
      </c>
    </row>
    <row r="69">
      <c r="A69" s="42" t="s">
        <v>123</v>
      </c>
      <c r="B69" s="41">
        <f>IFERROR(__xludf.DUMMYFUNCTION("VLOOKUP(A69,IMPORTRANGE(""1EmrnCz2gLVTx5Cbj0e5tfuHPhTtmru8KTGuQvh7STl0/edit#gid=2147150001"",""Whole Data Set!$A$2:$NQ$253""),381,FALSE)"),4.25)</f>
        <v>4.25</v>
      </c>
      <c r="C69" s="58">
        <f t="shared" si="1"/>
        <v>0.017</v>
      </c>
      <c r="D69" s="12">
        <f>IFERROR(__xludf.DUMMYFUNCTION("VLOOKUP(A69,IMPORTRANGE(""1aFCnJY1qhIj8-JckJhDJ18aqmVo17tofpQmOjcYa3u8/edit#gid=948248086"",""Whole Data Set!$A$2:$NG$253""),371,FALSE)"),4.25)</f>
        <v>4.25</v>
      </c>
      <c r="E69" s="13">
        <f t="shared" si="2"/>
        <v>0.017</v>
      </c>
      <c r="F69" s="13">
        <f t="shared" si="3"/>
        <v>0</v>
      </c>
      <c r="G69" s="83">
        <f>IFERROR(__xludf.DUMMYFUNCTION("VLOOKUP(A69,IMPORTRANGE(""1_RYWMH8TzKc0_xU44uur9ZmHGpM-mmp96_oQwwz56co/edit#gid=0"",""Sheet1!$A$2:$O$250""),2,FALSE)"),4.0)</f>
        <v>4</v>
      </c>
      <c r="H69" s="84">
        <f t="shared" si="4"/>
        <v>0.016</v>
      </c>
      <c r="I69" s="85">
        <f t="shared" si="5"/>
        <v>0.001</v>
      </c>
    </row>
    <row r="70">
      <c r="A70" s="19" t="s">
        <v>226</v>
      </c>
      <c r="B70" s="41">
        <f>IFERROR(__xludf.DUMMYFUNCTION("VLOOKUP(A70,IMPORTRANGE(""1EmrnCz2gLVTx5Cbj0e5tfuHPhTtmru8KTGuQvh7STl0/edit#gid=2147150001"",""Whole Data Set!$A$2:$NQ$253""),381,FALSE)"),88.0)</f>
        <v>88</v>
      </c>
      <c r="C70" s="58">
        <f t="shared" si="1"/>
        <v>0.352</v>
      </c>
      <c r="D70" s="12">
        <f>IFERROR(__xludf.DUMMYFUNCTION("VLOOKUP(A70,IMPORTRANGE(""1aFCnJY1qhIj8-JckJhDJ18aqmVo17tofpQmOjcYa3u8/edit#gid=948248086"",""Whole Data Set!$A$2:$NG$253""),371,FALSE)"),75.75)</f>
        <v>75.75</v>
      </c>
      <c r="E70" s="13">
        <f t="shared" si="2"/>
        <v>0.303</v>
      </c>
      <c r="F70" s="13">
        <f t="shared" si="3"/>
        <v>0.049</v>
      </c>
      <c r="G70" s="83">
        <f>IFERROR(__xludf.DUMMYFUNCTION("VLOOKUP(A70,IMPORTRANGE(""1_RYWMH8TzKc0_xU44uur9ZmHGpM-mmp96_oQwwz56co/edit#gid=0"",""Sheet1!$A$2:$O$250""),2,FALSE)"),38.25)</f>
        <v>38.25</v>
      </c>
      <c r="H70" s="84">
        <f t="shared" si="4"/>
        <v>0.153</v>
      </c>
      <c r="I70" s="85">
        <f t="shared" si="5"/>
        <v>0.15</v>
      </c>
    </row>
    <row r="71">
      <c r="A71" s="19" t="s">
        <v>124</v>
      </c>
      <c r="B71" s="41">
        <f>IFERROR(__xludf.DUMMYFUNCTION("VLOOKUP(A71,IMPORTRANGE(""1EmrnCz2gLVTx5Cbj0e5tfuHPhTtmru8KTGuQvh7STl0/edit#gid=2147150001"",""Whole Data Set!$A$2:$NQ$253""),381,FALSE)"),161.25)</f>
        <v>161.25</v>
      </c>
      <c r="C71" s="58">
        <f t="shared" si="1"/>
        <v>0.645</v>
      </c>
      <c r="D71" s="12">
        <f>IFERROR(__xludf.DUMMYFUNCTION("VLOOKUP(A71,IMPORTRANGE(""1aFCnJY1qhIj8-JckJhDJ18aqmVo17tofpQmOjcYa3u8/edit#gid=948248086"",""Whole Data Set!$A$2:$NG$253""),371,FALSE)"),143.0)</f>
        <v>143</v>
      </c>
      <c r="E71" s="13">
        <f t="shared" si="2"/>
        <v>0.572</v>
      </c>
      <c r="F71" s="13">
        <f t="shared" si="3"/>
        <v>0.073</v>
      </c>
      <c r="G71" s="83">
        <f>IFERROR(__xludf.DUMMYFUNCTION("VLOOKUP(A71,IMPORTRANGE(""1_RYWMH8TzKc0_xU44uur9ZmHGpM-mmp96_oQwwz56co/edit#gid=0"",""Sheet1!$A$2:$O$250""),2,FALSE)"),119.0)</f>
        <v>119</v>
      </c>
      <c r="H71" s="84">
        <f t="shared" si="4"/>
        <v>0.476</v>
      </c>
      <c r="I71" s="85">
        <f t="shared" si="5"/>
        <v>0.096</v>
      </c>
    </row>
    <row r="72">
      <c r="A72" s="19" t="s">
        <v>172</v>
      </c>
      <c r="B72" s="41">
        <f>IFERROR(__xludf.DUMMYFUNCTION("VLOOKUP(A72,IMPORTRANGE(""1EmrnCz2gLVTx5Cbj0e5tfuHPhTtmru8KTGuQvh7STl0/edit#gid=2147150001"",""Whole Data Set!$A$2:$NQ$253""),381,FALSE)"),17.25)</f>
        <v>17.25</v>
      </c>
      <c r="C72" s="58">
        <f t="shared" si="1"/>
        <v>0.069</v>
      </c>
      <c r="D72" s="12">
        <f>IFERROR(__xludf.DUMMYFUNCTION("VLOOKUP(A72,IMPORTRANGE(""1aFCnJY1qhIj8-JckJhDJ18aqmVo17tofpQmOjcYa3u8/edit#gid=948248086"",""Whole Data Set!$A$2:$NG$253""),371,FALSE)"),17.25)</f>
        <v>17.25</v>
      </c>
      <c r="E72" s="13">
        <f t="shared" si="2"/>
        <v>0.069</v>
      </c>
      <c r="F72" s="13">
        <f t="shared" si="3"/>
        <v>0</v>
      </c>
      <c r="G72" s="83">
        <f>IFERROR(__xludf.DUMMYFUNCTION("VLOOKUP(A72,IMPORTRANGE(""1_RYWMH8TzKc0_xU44uur9ZmHGpM-mmp96_oQwwz56co/edit#gid=0"",""Sheet1!$A$2:$O$250""),2,FALSE)"),22.5)</f>
        <v>22.5</v>
      </c>
      <c r="H72" s="84">
        <f t="shared" si="4"/>
        <v>0.09</v>
      </c>
      <c r="I72" s="85">
        <f t="shared" si="5"/>
        <v>-0.021</v>
      </c>
    </row>
    <row r="73">
      <c r="A73" s="19" t="s">
        <v>173</v>
      </c>
      <c r="B73" s="41">
        <f>IFERROR(__xludf.DUMMYFUNCTION("VLOOKUP(A73,IMPORTRANGE(""1EmrnCz2gLVTx5Cbj0e5tfuHPhTtmru8KTGuQvh7STl0/edit#gid=2147150001"",""Whole Data Set!$A$2:$NQ$253""),381,FALSE)"),11.5)</f>
        <v>11.5</v>
      </c>
      <c r="C73" s="58">
        <f t="shared" si="1"/>
        <v>0.046</v>
      </c>
      <c r="D73" s="12">
        <f>IFERROR(__xludf.DUMMYFUNCTION("VLOOKUP(A73,IMPORTRANGE(""1aFCnJY1qhIj8-JckJhDJ18aqmVo17tofpQmOjcYa3u8/edit#gid=948248086"",""Whole Data Set!$A$2:$NG$253""),371,FALSE)"),13.5)</f>
        <v>13.5</v>
      </c>
      <c r="E73" s="13">
        <f t="shared" si="2"/>
        <v>0.054</v>
      </c>
      <c r="F73" s="13">
        <f t="shared" si="3"/>
        <v>-0.008</v>
      </c>
      <c r="G73" s="83">
        <f>IFERROR(__xludf.DUMMYFUNCTION("VLOOKUP(A73,IMPORTRANGE(""1_RYWMH8TzKc0_xU44uur9ZmHGpM-mmp96_oQwwz56co/edit#gid=0"",""Sheet1!$A$2:$O$250""),2,FALSE)"),7.25)</f>
        <v>7.25</v>
      </c>
      <c r="H73" s="84">
        <f t="shared" si="4"/>
        <v>0.029</v>
      </c>
      <c r="I73" s="85">
        <f t="shared" si="5"/>
        <v>0.025</v>
      </c>
    </row>
    <row r="74">
      <c r="A74" s="19" t="s">
        <v>125</v>
      </c>
      <c r="B74" s="41">
        <f>IFERROR(__xludf.DUMMYFUNCTION("VLOOKUP(A74,IMPORTRANGE(""1EmrnCz2gLVTx5Cbj0e5tfuHPhTtmru8KTGuQvh7STl0/edit#gid=2147150001"",""Whole Data Set!$A$2:$NQ$253""),381,FALSE)"),59.5)</f>
        <v>59.5</v>
      </c>
      <c r="C74" s="58">
        <f t="shared" si="1"/>
        <v>0.238</v>
      </c>
      <c r="D74" s="12">
        <f>IFERROR(__xludf.DUMMYFUNCTION("VLOOKUP(A74,IMPORTRANGE(""1aFCnJY1qhIj8-JckJhDJ18aqmVo17tofpQmOjcYa3u8/edit#gid=948248086"",""Whole Data Set!$A$2:$NG$253""),371,FALSE)"),64.5)</f>
        <v>64.5</v>
      </c>
      <c r="E74" s="13">
        <f t="shared" si="2"/>
        <v>0.258</v>
      </c>
      <c r="F74" s="13">
        <f t="shared" si="3"/>
        <v>-0.02</v>
      </c>
      <c r="G74" s="83">
        <f>IFERROR(__xludf.DUMMYFUNCTION("VLOOKUP(A74,IMPORTRANGE(""1_RYWMH8TzKc0_xU44uur9ZmHGpM-mmp96_oQwwz56co/edit#gid=0"",""Sheet1!$A$2:$O$250""),2,FALSE)"),70.25)</f>
        <v>70.25</v>
      </c>
      <c r="H74" s="84">
        <f t="shared" si="4"/>
        <v>0.281</v>
      </c>
      <c r="I74" s="85">
        <f t="shared" si="5"/>
        <v>-0.023</v>
      </c>
    </row>
    <row r="75">
      <c r="A75" s="42" t="s">
        <v>47</v>
      </c>
      <c r="B75" s="41">
        <f>IFERROR(__xludf.DUMMYFUNCTION("VLOOKUP(A75,IMPORTRANGE(""1EmrnCz2gLVTx5Cbj0e5tfuHPhTtmru8KTGuQvh7STl0/edit#gid=2147150001"",""Whole Data Set!$A$2:$NQ$253""),381,FALSE)"),81.5)</f>
        <v>81.5</v>
      </c>
      <c r="C75" s="58">
        <f t="shared" si="1"/>
        <v>0.326</v>
      </c>
      <c r="D75" s="12">
        <f>IFERROR(__xludf.DUMMYFUNCTION("VLOOKUP(A75,IMPORTRANGE(""1aFCnJY1qhIj8-JckJhDJ18aqmVo17tofpQmOjcYa3u8/edit#gid=948248086"",""Whole Data Set!$A$2:$NG$253""),371,FALSE)"),92.25)</f>
        <v>92.25</v>
      </c>
      <c r="E75" s="13">
        <f t="shared" si="2"/>
        <v>0.369</v>
      </c>
      <c r="F75" s="13">
        <f t="shared" si="3"/>
        <v>-0.043</v>
      </c>
      <c r="G75" s="83">
        <f>IFERROR(__xludf.DUMMYFUNCTION("VLOOKUP(A75,IMPORTRANGE(""1_RYWMH8TzKc0_xU44uur9ZmHGpM-mmp96_oQwwz56co/edit#gid=0"",""Sheet1!$A$2:$O$250""),2,FALSE)"),82.0)</f>
        <v>82</v>
      </c>
      <c r="H75" s="84">
        <f t="shared" si="4"/>
        <v>0.328</v>
      </c>
      <c r="I75" s="85">
        <f t="shared" si="5"/>
        <v>0.041</v>
      </c>
    </row>
    <row r="76">
      <c r="A76" s="19" t="s">
        <v>48</v>
      </c>
      <c r="B76" s="41">
        <f>IFERROR(__xludf.DUMMYFUNCTION("VLOOKUP(A76,IMPORTRANGE(""1EmrnCz2gLVTx5Cbj0e5tfuHPhTtmru8KTGuQvh7STl0/edit#gid=2147150001"",""Whole Data Set!$A$2:$NQ$253""),381,FALSE)"),112.0)</f>
        <v>112</v>
      </c>
      <c r="C76" s="58">
        <f t="shared" si="1"/>
        <v>0.448</v>
      </c>
      <c r="D76" s="12">
        <f>IFERROR(__xludf.DUMMYFUNCTION("VLOOKUP(A76,IMPORTRANGE(""1aFCnJY1qhIj8-JckJhDJ18aqmVo17tofpQmOjcYa3u8/edit#gid=948248086"",""Whole Data Set!$A$2:$NG$253""),371,FALSE)"),140.5)</f>
        <v>140.5</v>
      </c>
      <c r="E76" s="13">
        <f t="shared" si="2"/>
        <v>0.562</v>
      </c>
      <c r="F76" s="13">
        <f t="shared" si="3"/>
        <v>-0.114</v>
      </c>
      <c r="G76" s="83">
        <f>IFERROR(__xludf.DUMMYFUNCTION("VLOOKUP(A76,IMPORTRANGE(""1_RYWMH8TzKc0_xU44uur9ZmHGpM-mmp96_oQwwz56co/edit#gid=0"",""Sheet1!$A$2:$O$250""),2,FALSE)"),150.75)</f>
        <v>150.75</v>
      </c>
      <c r="H76" s="84">
        <f t="shared" si="4"/>
        <v>0.603</v>
      </c>
      <c r="I76" s="85">
        <f t="shared" si="5"/>
        <v>-0.041</v>
      </c>
    </row>
    <row r="77">
      <c r="A77" s="19" t="s">
        <v>71</v>
      </c>
      <c r="B77" s="41">
        <f>IFERROR(__xludf.DUMMYFUNCTION("VLOOKUP(A77,IMPORTRANGE(""1EmrnCz2gLVTx5Cbj0e5tfuHPhTtmru8KTGuQvh7STl0/edit#gid=2147150001"",""Whole Data Set!$A$2:$NQ$253""),381,FALSE)"),15.25)</f>
        <v>15.25</v>
      </c>
      <c r="C77" s="58">
        <f t="shared" si="1"/>
        <v>0.061</v>
      </c>
      <c r="D77" s="12">
        <f>IFERROR(__xludf.DUMMYFUNCTION("VLOOKUP(A77,IMPORTRANGE(""1aFCnJY1qhIj8-JckJhDJ18aqmVo17tofpQmOjcYa3u8/edit#gid=948248086"",""Whole Data Set!$A$2:$NG$253""),371,FALSE)"),12.0)</f>
        <v>12</v>
      </c>
      <c r="E77" s="13">
        <f t="shared" si="2"/>
        <v>0.048</v>
      </c>
      <c r="F77" s="13">
        <f t="shared" si="3"/>
        <v>0.013</v>
      </c>
      <c r="G77" s="83">
        <f>IFERROR(__xludf.DUMMYFUNCTION("VLOOKUP(A77,IMPORTRANGE(""1_RYWMH8TzKc0_xU44uur9ZmHGpM-mmp96_oQwwz56co/edit#gid=0"",""Sheet1!$A$2:$O$250""),2,FALSE)"),14.75)</f>
        <v>14.75</v>
      </c>
      <c r="H77" s="84">
        <f t="shared" si="4"/>
        <v>0.059</v>
      </c>
      <c r="I77" s="85">
        <f t="shared" si="5"/>
        <v>-0.011</v>
      </c>
    </row>
    <row r="78">
      <c r="A78" s="19" t="s">
        <v>126</v>
      </c>
      <c r="B78" s="41">
        <f>IFERROR(__xludf.DUMMYFUNCTION("VLOOKUP(A78,IMPORTRANGE(""1EmrnCz2gLVTx5Cbj0e5tfuHPhTtmru8KTGuQvh7STl0/edit#gid=2147150001"",""Whole Data Set!$A$2:$NQ$253""),381,FALSE)"),26.5)</f>
        <v>26.5</v>
      </c>
      <c r="C78" s="58">
        <f t="shared" si="1"/>
        <v>0.106</v>
      </c>
      <c r="D78" s="12">
        <f>IFERROR(__xludf.DUMMYFUNCTION("VLOOKUP(A78,IMPORTRANGE(""1aFCnJY1qhIj8-JckJhDJ18aqmVo17tofpQmOjcYa3u8/edit#gid=948248086"",""Whole Data Set!$A$2:$NG$253""),371,FALSE)"),32.25)</f>
        <v>32.25</v>
      </c>
      <c r="E78" s="13">
        <f t="shared" si="2"/>
        <v>0.129</v>
      </c>
      <c r="F78" s="13">
        <f t="shared" si="3"/>
        <v>-0.023</v>
      </c>
      <c r="G78" s="83">
        <f>IFERROR(__xludf.DUMMYFUNCTION("VLOOKUP(A78,IMPORTRANGE(""1_RYWMH8TzKc0_xU44uur9ZmHGpM-mmp96_oQwwz56co/edit#gid=0"",""Sheet1!$A$2:$O$250""),2,FALSE)"),43.25)</f>
        <v>43.25</v>
      </c>
      <c r="H78" s="84">
        <f t="shared" si="4"/>
        <v>0.173</v>
      </c>
      <c r="I78" s="85">
        <f t="shared" si="5"/>
        <v>-0.044</v>
      </c>
    </row>
    <row r="79">
      <c r="A79" s="42" t="s">
        <v>174</v>
      </c>
      <c r="B79" s="41">
        <f>IFERROR(__xludf.DUMMYFUNCTION("VLOOKUP(A79,IMPORTRANGE(""1EmrnCz2gLVTx5Cbj0e5tfuHPhTtmru8KTGuQvh7STl0/edit#gid=2147150001"",""Whole Data Set!$A$2:$NQ$253""),381,FALSE)"),22.75)</f>
        <v>22.75</v>
      </c>
      <c r="C79" s="58">
        <f t="shared" si="1"/>
        <v>0.091</v>
      </c>
      <c r="D79" s="12">
        <f>IFERROR(__xludf.DUMMYFUNCTION("VLOOKUP(A79,IMPORTRANGE(""1aFCnJY1qhIj8-JckJhDJ18aqmVo17tofpQmOjcYa3u8/edit#gid=948248086"",""Whole Data Set!$A$2:$NG$253""),371,FALSE)"),20.75)</f>
        <v>20.75</v>
      </c>
      <c r="E79" s="13">
        <f t="shared" si="2"/>
        <v>0.083</v>
      </c>
      <c r="F79" s="13">
        <f t="shared" si="3"/>
        <v>0.008</v>
      </c>
      <c r="G79" s="83">
        <f>IFERROR(__xludf.DUMMYFUNCTION("VLOOKUP(A79,IMPORTRANGE(""1_RYWMH8TzKc0_xU44uur9ZmHGpM-mmp96_oQwwz56co/edit#gid=0"",""Sheet1!$A$2:$O$250""),2,FALSE)"),15.0)</f>
        <v>15</v>
      </c>
      <c r="H79" s="84">
        <f t="shared" si="4"/>
        <v>0.06</v>
      </c>
      <c r="I79" s="85">
        <f t="shared" si="5"/>
        <v>0.023</v>
      </c>
    </row>
    <row r="80">
      <c r="A80" s="19" t="s">
        <v>175</v>
      </c>
      <c r="B80" s="41">
        <f>IFERROR(__xludf.DUMMYFUNCTION("VLOOKUP(A80,IMPORTRANGE(""1EmrnCz2gLVTx5Cbj0e5tfuHPhTtmru8KTGuQvh7STl0/edit#gid=2147150001"",""Whole Data Set!$A$2:$NQ$253""),381,FALSE)"),44.25)</f>
        <v>44.25</v>
      </c>
      <c r="C80" s="58">
        <f t="shared" si="1"/>
        <v>0.177</v>
      </c>
      <c r="D80" s="12">
        <f>IFERROR(__xludf.DUMMYFUNCTION("VLOOKUP(A80,IMPORTRANGE(""1aFCnJY1qhIj8-JckJhDJ18aqmVo17tofpQmOjcYa3u8/edit#gid=948248086"",""Whole Data Set!$A$2:$NG$253""),371,FALSE)"),35.25)</f>
        <v>35.25</v>
      </c>
      <c r="E80" s="13">
        <f t="shared" si="2"/>
        <v>0.141</v>
      </c>
      <c r="F80" s="13">
        <f t="shared" si="3"/>
        <v>0.036</v>
      </c>
      <c r="G80" s="83">
        <f>IFERROR(__xludf.DUMMYFUNCTION("VLOOKUP(A80,IMPORTRANGE(""1_RYWMH8TzKc0_xU44uur9ZmHGpM-mmp96_oQwwz56co/edit#gid=0"",""Sheet1!$A$2:$O$250""),2,FALSE)"),30.5)</f>
        <v>30.5</v>
      </c>
      <c r="H80" s="84">
        <f t="shared" si="4"/>
        <v>0.122</v>
      </c>
      <c r="I80" s="85">
        <f t="shared" si="5"/>
        <v>0.019</v>
      </c>
    </row>
    <row r="81">
      <c r="A81" s="19" t="s">
        <v>227</v>
      </c>
      <c r="B81" s="41">
        <f>IFERROR(__xludf.DUMMYFUNCTION("VLOOKUP(A81,IMPORTRANGE(""1EmrnCz2gLVTx5Cbj0e5tfuHPhTtmru8KTGuQvh7STl0/edit#gid=2147150001"",""Whole Data Set!$A$2:$NQ$253""),381,FALSE)"),0.75)</f>
        <v>0.75</v>
      </c>
      <c r="C81" s="58">
        <f t="shared" si="1"/>
        <v>0.003</v>
      </c>
      <c r="D81" s="12">
        <f>IFERROR(__xludf.DUMMYFUNCTION("VLOOKUP(A81,IMPORTRANGE(""1aFCnJY1qhIj8-JckJhDJ18aqmVo17tofpQmOjcYa3u8/edit#gid=948248086"",""Whole Data Set!$A$2:$NG$253""),371,FALSE)"),0.75)</f>
        <v>0.75</v>
      </c>
      <c r="E81" s="13">
        <f t="shared" si="2"/>
        <v>0.003</v>
      </c>
      <c r="F81" s="13">
        <f t="shared" si="3"/>
        <v>0</v>
      </c>
      <c r="G81" s="83">
        <f>IFERROR(__xludf.DUMMYFUNCTION("VLOOKUP(A81,IMPORTRANGE(""1_RYWMH8TzKc0_xU44uur9ZmHGpM-mmp96_oQwwz56co/edit#gid=0"",""Sheet1!$A$2:$O$250""),2,FALSE)"),0.5)</f>
        <v>0.5</v>
      </c>
      <c r="H81" s="84">
        <f t="shared" si="4"/>
        <v>0.002</v>
      </c>
      <c r="I81" s="85">
        <f t="shared" si="5"/>
        <v>0.001</v>
      </c>
    </row>
    <row r="82">
      <c r="A82" s="19" t="s">
        <v>127</v>
      </c>
      <c r="B82" s="41">
        <f>IFERROR(__xludf.DUMMYFUNCTION("VLOOKUP(A82,IMPORTRANGE(""1EmrnCz2gLVTx5Cbj0e5tfuHPhTtmru8KTGuQvh7STl0/edit#gid=2147150001"",""Whole Data Set!$A$2:$NQ$253""),381,FALSE)"),145.5)</f>
        <v>145.5</v>
      </c>
      <c r="C82" s="58">
        <f t="shared" si="1"/>
        <v>0.582</v>
      </c>
      <c r="D82" s="12">
        <f>IFERROR(__xludf.DUMMYFUNCTION("VLOOKUP(A82,IMPORTRANGE(""1aFCnJY1qhIj8-JckJhDJ18aqmVo17tofpQmOjcYa3u8/edit#gid=948248086"",""Whole Data Set!$A$2:$NG$253""),371,FALSE)"),133.25)</f>
        <v>133.25</v>
      </c>
      <c r="E82" s="13">
        <f t="shared" si="2"/>
        <v>0.533</v>
      </c>
      <c r="F82" s="13">
        <f t="shared" si="3"/>
        <v>0.049</v>
      </c>
      <c r="G82" s="83">
        <f>IFERROR(__xludf.DUMMYFUNCTION("VLOOKUP(A82,IMPORTRANGE(""1_RYWMH8TzKc0_xU44uur9ZmHGpM-mmp96_oQwwz56co/edit#gid=0"",""Sheet1!$A$2:$O$250""),2,FALSE)"),108.5)</f>
        <v>108.5</v>
      </c>
      <c r="H82" s="84">
        <f t="shared" si="4"/>
        <v>0.434</v>
      </c>
      <c r="I82" s="85">
        <f t="shared" si="5"/>
        <v>0.099</v>
      </c>
    </row>
    <row r="83">
      <c r="A83" s="19" t="s">
        <v>228</v>
      </c>
      <c r="B83" s="41">
        <f>IFERROR(__xludf.DUMMYFUNCTION("VLOOKUP(A83,IMPORTRANGE(""1EmrnCz2gLVTx5Cbj0e5tfuHPhTtmru8KTGuQvh7STl0/edit#gid=2147150001"",""Whole Data Set!$A$2:$NQ$253""),381,FALSE)"),37.25)</f>
        <v>37.25</v>
      </c>
      <c r="C83" s="58">
        <f t="shared" si="1"/>
        <v>0.149</v>
      </c>
      <c r="D83" s="12">
        <f>IFERROR(__xludf.DUMMYFUNCTION("VLOOKUP(A83,IMPORTRANGE(""1aFCnJY1qhIj8-JckJhDJ18aqmVo17tofpQmOjcYa3u8/edit#gid=948248086"",""Whole Data Set!$A$2:$NG$253""),371,FALSE)"),29.5)</f>
        <v>29.5</v>
      </c>
      <c r="E83" s="13">
        <f t="shared" si="2"/>
        <v>0.118</v>
      </c>
      <c r="F83" s="13">
        <f t="shared" si="3"/>
        <v>0.031</v>
      </c>
      <c r="G83" s="83">
        <f>IFERROR(__xludf.DUMMYFUNCTION("VLOOKUP(A83,IMPORTRANGE(""1_RYWMH8TzKc0_xU44uur9ZmHGpM-mmp96_oQwwz56co/edit#gid=0"",""Sheet1!$A$2:$O$250""),2,FALSE)"),10.75)</f>
        <v>10.75</v>
      </c>
      <c r="H83" s="84">
        <f t="shared" si="4"/>
        <v>0.043</v>
      </c>
      <c r="I83" s="85">
        <f t="shared" si="5"/>
        <v>0.075</v>
      </c>
    </row>
    <row r="84">
      <c r="A84" s="19" t="s">
        <v>229</v>
      </c>
      <c r="B84" s="41">
        <f>IFERROR(__xludf.DUMMYFUNCTION("VLOOKUP(A84,IMPORTRANGE(""1EmrnCz2gLVTx5Cbj0e5tfuHPhTtmru8KTGuQvh7STl0/edit#gid=2147150001"",""Whole Data Set!$A$2:$NQ$253""),381,FALSE)"),100.0)</f>
        <v>100</v>
      </c>
      <c r="C84" s="58">
        <f t="shared" si="1"/>
        <v>0.4</v>
      </c>
      <c r="D84" s="12">
        <f>IFERROR(__xludf.DUMMYFUNCTION("VLOOKUP(A84,IMPORTRANGE(""1aFCnJY1qhIj8-JckJhDJ18aqmVo17tofpQmOjcYa3u8/edit#gid=948248086"",""Whole Data Set!$A$2:$NG$253""),371,FALSE)"),74.5)</f>
        <v>74.5</v>
      </c>
      <c r="E84" s="13">
        <f t="shared" si="2"/>
        <v>0.298</v>
      </c>
      <c r="F84" s="13">
        <f t="shared" si="3"/>
        <v>0.102</v>
      </c>
      <c r="G84" s="83">
        <f>IFERROR(__xludf.DUMMYFUNCTION("VLOOKUP(A84,IMPORTRANGE(""1_RYWMH8TzKc0_xU44uur9ZmHGpM-mmp96_oQwwz56co/edit#gid=0"",""Sheet1!$A$2:$O$250""),2,FALSE)"),70.0)</f>
        <v>70</v>
      </c>
      <c r="H84" s="84">
        <f t="shared" si="4"/>
        <v>0.28</v>
      </c>
      <c r="I84" s="85">
        <f t="shared" si="5"/>
        <v>0.018</v>
      </c>
    </row>
    <row r="85">
      <c r="A85" s="19" t="s">
        <v>128</v>
      </c>
      <c r="B85" s="41">
        <f>IFERROR(__xludf.DUMMYFUNCTION("VLOOKUP(A85,IMPORTRANGE(""1EmrnCz2gLVTx5Cbj0e5tfuHPhTtmru8KTGuQvh7STl0/edit#gid=2147150001"",""Whole Data Set!$A$2:$NQ$253""),381,FALSE)"),23.0)</f>
        <v>23</v>
      </c>
      <c r="C85" s="58">
        <f t="shared" si="1"/>
        <v>0.092</v>
      </c>
      <c r="D85" s="12">
        <f>IFERROR(__xludf.DUMMYFUNCTION("VLOOKUP(A85,IMPORTRANGE(""1aFCnJY1qhIj8-JckJhDJ18aqmVo17tofpQmOjcYa3u8/edit#gid=948248086"",""Whole Data Set!$A$2:$NG$253""),371,FALSE)"),19.0)</f>
        <v>19</v>
      </c>
      <c r="E85" s="13">
        <f t="shared" si="2"/>
        <v>0.076</v>
      </c>
      <c r="F85" s="13">
        <f t="shared" si="3"/>
        <v>0.016</v>
      </c>
      <c r="G85" s="83">
        <f>IFERROR(__xludf.DUMMYFUNCTION("VLOOKUP(A85,IMPORTRANGE(""1_RYWMH8TzKc0_xU44uur9ZmHGpM-mmp96_oQwwz56co/edit#gid=0"",""Sheet1!$A$2:$O$250""),2,FALSE)"),18.25)</f>
        <v>18.25</v>
      </c>
      <c r="H85" s="84">
        <f t="shared" si="4"/>
        <v>0.073</v>
      </c>
      <c r="I85" s="85">
        <f t="shared" si="5"/>
        <v>0.003</v>
      </c>
    </row>
    <row r="86">
      <c r="A86" s="19" t="s">
        <v>230</v>
      </c>
      <c r="B86" s="41">
        <f>IFERROR(__xludf.DUMMYFUNCTION("VLOOKUP(A86,IMPORTRANGE(""1EmrnCz2gLVTx5Cbj0e5tfuHPhTtmru8KTGuQvh7STl0/edit#gid=2147150001"",""Whole Data Set!$A$2:$NQ$253""),381,FALSE)"),44.75)</f>
        <v>44.75</v>
      </c>
      <c r="C86" s="58">
        <f t="shared" si="1"/>
        <v>0.179</v>
      </c>
      <c r="D86" s="12">
        <f>IFERROR(__xludf.DUMMYFUNCTION("VLOOKUP(A86,IMPORTRANGE(""1aFCnJY1qhIj8-JckJhDJ18aqmVo17tofpQmOjcYa3u8/edit#gid=948248086"",""Whole Data Set!$A$2:$NG$253""),371,FALSE)"),45.5)</f>
        <v>45.5</v>
      </c>
      <c r="E86" s="13">
        <f t="shared" si="2"/>
        <v>0.182</v>
      </c>
      <c r="F86" s="13">
        <f t="shared" si="3"/>
        <v>-0.003</v>
      </c>
      <c r="G86" s="83">
        <f>IFERROR(__xludf.DUMMYFUNCTION("VLOOKUP(A86,IMPORTRANGE(""1_RYWMH8TzKc0_xU44uur9ZmHGpM-mmp96_oQwwz56co/edit#gid=0"",""Sheet1!$A$2:$O$250""),2,FALSE)"),42.75)</f>
        <v>42.75</v>
      </c>
      <c r="H86" s="84">
        <f t="shared" si="4"/>
        <v>0.171</v>
      </c>
      <c r="I86" s="85">
        <f t="shared" si="5"/>
        <v>0.011</v>
      </c>
    </row>
    <row r="87">
      <c r="A87" s="19" t="s">
        <v>176</v>
      </c>
      <c r="B87" s="41">
        <f>IFERROR(__xludf.DUMMYFUNCTION("VLOOKUP(A87,IMPORTRANGE(""1EmrnCz2gLVTx5Cbj0e5tfuHPhTtmru8KTGuQvh7STl0/edit#gid=2147150001"",""Whole Data Set!$A$2:$NQ$253""),381,FALSE)"),39.75)</f>
        <v>39.75</v>
      </c>
      <c r="C87" s="58">
        <f t="shared" si="1"/>
        <v>0.159</v>
      </c>
      <c r="D87" s="12">
        <f>IFERROR(__xludf.DUMMYFUNCTION("VLOOKUP(A87,IMPORTRANGE(""1aFCnJY1qhIj8-JckJhDJ18aqmVo17tofpQmOjcYa3u8/edit#gid=948248086"",""Whole Data Set!$A$2:$NG$253""),371,FALSE)"),33.75)</f>
        <v>33.75</v>
      </c>
      <c r="E87" s="13">
        <f t="shared" si="2"/>
        <v>0.135</v>
      </c>
      <c r="F87" s="13">
        <f t="shared" si="3"/>
        <v>0.024</v>
      </c>
      <c r="G87" s="83">
        <f>IFERROR(__xludf.DUMMYFUNCTION("VLOOKUP(A87,IMPORTRANGE(""1_RYWMH8TzKc0_xU44uur9ZmHGpM-mmp96_oQwwz56co/edit#gid=0"",""Sheet1!$A$2:$O$250""),2,FALSE)"),31.25)</f>
        <v>31.25</v>
      </c>
      <c r="H87" s="84">
        <f t="shared" si="4"/>
        <v>0.125</v>
      </c>
      <c r="I87" s="85">
        <f t="shared" si="5"/>
        <v>0.01</v>
      </c>
    </row>
    <row r="88">
      <c r="A88" s="19" t="s">
        <v>231</v>
      </c>
      <c r="B88" s="41">
        <f>IFERROR(__xludf.DUMMYFUNCTION("VLOOKUP(A88,IMPORTRANGE(""1EmrnCz2gLVTx5Cbj0e5tfuHPhTtmru8KTGuQvh7STl0/edit#gid=2147150001"",""Whole Data Set!$A$2:$NQ$253""),381,FALSE)"),32.5)</f>
        <v>32.5</v>
      </c>
      <c r="C88" s="58">
        <f t="shared" si="1"/>
        <v>0.13</v>
      </c>
      <c r="D88" s="12">
        <f>IFERROR(__xludf.DUMMYFUNCTION("VLOOKUP(A88,IMPORTRANGE(""1aFCnJY1qhIj8-JckJhDJ18aqmVo17tofpQmOjcYa3u8/edit#gid=948248086"",""Whole Data Set!$A$2:$NG$253""),371,FALSE)"),34.75)</f>
        <v>34.75</v>
      </c>
      <c r="E88" s="13">
        <f t="shared" si="2"/>
        <v>0.139</v>
      </c>
      <c r="F88" s="13">
        <f t="shared" si="3"/>
        <v>-0.009</v>
      </c>
      <c r="G88" s="83">
        <f>IFERROR(__xludf.DUMMYFUNCTION("VLOOKUP(A88,IMPORTRANGE(""1_RYWMH8TzKc0_xU44uur9ZmHGpM-mmp96_oQwwz56co/edit#gid=0"",""Sheet1!$A$2:$O$250""),2,FALSE)"),39.25)</f>
        <v>39.25</v>
      </c>
      <c r="H88" s="84">
        <f t="shared" si="4"/>
        <v>0.157</v>
      </c>
      <c r="I88" s="85">
        <f t="shared" si="5"/>
        <v>-0.018</v>
      </c>
    </row>
    <row r="89">
      <c r="A89" s="88" t="s">
        <v>265</v>
      </c>
      <c r="B89" s="41">
        <f>IFERROR(__xludf.DUMMYFUNCTION("VLOOKUP(A89,IMPORTRANGE(""1EmrnCz2gLVTx5Cbj0e5tfuHPhTtmru8KTGuQvh7STl0/edit#gid=2147150001"",""Whole Data Set!$A$2:$NQ$253""),381,FALSE)"),83.75)</f>
        <v>83.75</v>
      </c>
      <c r="C89" s="58">
        <f t="shared" si="1"/>
        <v>0.335</v>
      </c>
      <c r="D89" s="12">
        <f>IFERROR(__xludf.DUMMYFUNCTION("VLOOKUP(A89,IMPORTRANGE(""1aFCnJY1qhIj8-JckJhDJ18aqmVo17tofpQmOjcYa3u8/edit#gid=948248086"",""Whole Data Set!$A$2:$NG$253""),371,FALSE)"),94.5)</f>
        <v>94.5</v>
      </c>
      <c r="E89" s="13">
        <f t="shared" si="2"/>
        <v>0.378</v>
      </c>
      <c r="F89" s="13">
        <f t="shared" si="3"/>
        <v>-0.043</v>
      </c>
      <c r="G89" s="83">
        <f>IFERROR(__xludf.DUMMYFUNCTION("VLOOKUP(A89,IMPORTRANGE(""1_RYWMH8TzKc0_xU44uur9ZmHGpM-mmp96_oQwwz56co/edit#gid=0"",""Sheet1!$A$2:$O$250""),2,FALSE)"),85.0)</f>
        <v>85</v>
      </c>
      <c r="H89" s="84">
        <f t="shared" si="4"/>
        <v>0.34</v>
      </c>
      <c r="I89" s="85">
        <f t="shared" si="5"/>
        <v>0.038</v>
      </c>
    </row>
    <row r="90">
      <c r="A90" s="19" t="s">
        <v>177</v>
      </c>
      <c r="B90" s="41">
        <f>IFERROR(__xludf.DUMMYFUNCTION("VLOOKUP(A90,IMPORTRANGE(""1EmrnCz2gLVTx5Cbj0e5tfuHPhTtmru8KTGuQvh7STl0/edit#gid=2147150001"",""Whole Data Set!$A$2:$NQ$253""),381,FALSE)"),11.75)</f>
        <v>11.75</v>
      </c>
      <c r="C90" s="58">
        <f t="shared" si="1"/>
        <v>0.047</v>
      </c>
      <c r="D90" s="12">
        <f>IFERROR(__xludf.DUMMYFUNCTION("VLOOKUP(A90,IMPORTRANGE(""1aFCnJY1qhIj8-JckJhDJ18aqmVo17tofpQmOjcYa3u8/edit#gid=948248086"",""Whole Data Set!$A$2:$NG$253""),371,FALSE)"),14.5)</f>
        <v>14.5</v>
      </c>
      <c r="E90" s="13">
        <f t="shared" si="2"/>
        <v>0.058</v>
      </c>
      <c r="F90" s="13">
        <f t="shared" si="3"/>
        <v>-0.011</v>
      </c>
      <c r="G90" s="83">
        <f>IFERROR(__xludf.DUMMYFUNCTION("VLOOKUP(A90,IMPORTRANGE(""1_RYWMH8TzKc0_xU44uur9ZmHGpM-mmp96_oQwwz56co/edit#gid=0"",""Sheet1!$A$2:$O$250""),2,FALSE)"),17.75)</f>
        <v>17.75</v>
      </c>
      <c r="H90" s="84">
        <f t="shared" si="4"/>
        <v>0.071</v>
      </c>
      <c r="I90" s="85">
        <f t="shared" si="5"/>
        <v>-0.013</v>
      </c>
    </row>
    <row r="91">
      <c r="A91" s="19" t="s">
        <v>129</v>
      </c>
      <c r="B91" s="41">
        <f>IFERROR(__xludf.DUMMYFUNCTION("VLOOKUP(A91,IMPORTRANGE(""1EmrnCz2gLVTx5Cbj0e5tfuHPhTtmru8KTGuQvh7STl0/edit#gid=2147150001"",""Whole Data Set!$A$2:$NQ$253""),381,FALSE)"),122.5)</f>
        <v>122.5</v>
      </c>
      <c r="C91" s="58">
        <f t="shared" si="1"/>
        <v>0.49</v>
      </c>
      <c r="D91" s="12">
        <f>IFERROR(__xludf.DUMMYFUNCTION("VLOOKUP(A91,IMPORTRANGE(""1aFCnJY1qhIj8-JckJhDJ18aqmVo17tofpQmOjcYa3u8/edit#gid=948248086"",""Whole Data Set!$A$2:$NG$253""),371,FALSE)"),109.0)</f>
        <v>109</v>
      </c>
      <c r="E91" s="13">
        <f t="shared" si="2"/>
        <v>0.436</v>
      </c>
      <c r="F91" s="13">
        <f t="shared" si="3"/>
        <v>0.054</v>
      </c>
      <c r="G91" s="83">
        <f>IFERROR(__xludf.DUMMYFUNCTION("VLOOKUP(A91,IMPORTRANGE(""1_RYWMH8TzKc0_xU44uur9ZmHGpM-mmp96_oQwwz56co/edit#gid=0"",""Sheet1!$A$2:$O$250""),2,FALSE)"),107.75)</f>
        <v>107.75</v>
      </c>
      <c r="H91" s="84">
        <f t="shared" si="4"/>
        <v>0.431</v>
      </c>
      <c r="I91" s="85">
        <f t="shared" si="5"/>
        <v>0.005</v>
      </c>
    </row>
    <row r="92">
      <c r="A92" s="19" t="s">
        <v>64</v>
      </c>
      <c r="B92" s="41">
        <f>IFERROR(__xludf.DUMMYFUNCTION("VLOOKUP(A92,IMPORTRANGE(""1EmrnCz2gLVTx5Cbj0e5tfuHPhTtmru8KTGuQvh7STl0/edit#gid=2147150001"",""Whole Data Set!$A$2:$NQ$253""),381,FALSE)"),120.25)</f>
        <v>120.25</v>
      </c>
      <c r="C92" s="58">
        <f t="shared" si="1"/>
        <v>0.481</v>
      </c>
      <c r="D92" s="12">
        <f>IFERROR(__xludf.DUMMYFUNCTION("VLOOKUP(A92,IMPORTRANGE(""1aFCnJY1qhIj8-JckJhDJ18aqmVo17tofpQmOjcYa3u8/edit#gid=948248086"",""Whole Data Set!$A$2:$NG$253""),371,FALSE)"),109.5)</f>
        <v>109.5</v>
      </c>
      <c r="E92" s="13">
        <f t="shared" si="2"/>
        <v>0.438</v>
      </c>
      <c r="F92" s="13">
        <f t="shared" si="3"/>
        <v>0.043</v>
      </c>
      <c r="G92" s="83">
        <f>IFERROR(__xludf.DUMMYFUNCTION("VLOOKUP(A92,IMPORTRANGE(""1_RYWMH8TzKc0_xU44uur9ZmHGpM-mmp96_oQwwz56co/edit#gid=0"",""Sheet1!$A$2:$O$250""),2,FALSE)"),123.0)</f>
        <v>123</v>
      </c>
      <c r="H92" s="84">
        <f t="shared" si="4"/>
        <v>0.492</v>
      </c>
      <c r="I92" s="85">
        <f t="shared" si="5"/>
        <v>-0.054</v>
      </c>
    </row>
    <row r="93">
      <c r="A93" s="19" t="s">
        <v>232</v>
      </c>
      <c r="B93" s="41">
        <f>IFERROR(__xludf.DUMMYFUNCTION("VLOOKUP(A93,IMPORTRANGE(""1EmrnCz2gLVTx5Cbj0e5tfuHPhTtmru8KTGuQvh7STl0/edit#gid=2147150001"",""Whole Data Set!$A$2:$NQ$253""),381,FALSE)"),20.25)</f>
        <v>20.25</v>
      </c>
      <c r="C93" s="58">
        <f t="shared" si="1"/>
        <v>0.081</v>
      </c>
      <c r="D93" s="12">
        <f>IFERROR(__xludf.DUMMYFUNCTION("VLOOKUP(A93,IMPORTRANGE(""1aFCnJY1qhIj8-JckJhDJ18aqmVo17tofpQmOjcYa3u8/edit#gid=948248086"",""Whole Data Set!$A$2:$NG$253""),371,FALSE)"),12.75)</f>
        <v>12.75</v>
      </c>
      <c r="E93" s="13">
        <f t="shared" si="2"/>
        <v>0.051</v>
      </c>
      <c r="F93" s="13">
        <f t="shared" si="3"/>
        <v>0.03</v>
      </c>
      <c r="G93" s="83">
        <f>IFERROR(__xludf.DUMMYFUNCTION("VLOOKUP(A93,IMPORTRANGE(""1_RYWMH8TzKc0_xU44uur9ZmHGpM-mmp96_oQwwz56co/edit#gid=0"",""Sheet1!$A$2:$O$250""),2,FALSE)"),12.25)</f>
        <v>12.25</v>
      </c>
      <c r="H93" s="84">
        <f t="shared" si="4"/>
        <v>0.049</v>
      </c>
      <c r="I93" s="85">
        <f t="shared" si="5"/>
        <v>0.002</v>
      </c>
    </row>
    <row r="94">
      <c r="A94" s="19" t="s">
        <v>51</v>
      </c>
      <c r="B94" s="41">
        <f>IFERROR(__xludf.DUMMYFUNCTION("VLOOKUP(A94,IMPORTRANGE(""1EmrnCz2gLVTx5Cbj0e5tfuHPhTtmru8KTGuQvh7STl0/edit#gid=2147150001"",""Whole Data Set!$A$2:$NQ$253""),381,FALSE)"),133.75)</f>
        <v>133.75</v>
      </c>
      <c r="C94" s="58">
        <f t="shared" si="1"/>
        <v>0.535</v>
      </c>
      <c r="D94" s="12">
        <f>IFERROR(__xludf.DUMMYFUNCTION("VLOOKUP(A94,IMPORTRANGE(""1aFCnJY1qhIj8-JckJhDJ18aqmVo17tofpQmOjcYa3u8/edit#gid=948248086"",""Whole Data Set!$A$2:$NG$253""),371,FALSE)"),156.0)</f>
        <v>156</v>
      </c>
      <c r="E94" s="13">
        <f t="shared" si="2"/>
        <v>0.624</v>
      </c>
      <c r="F94" s="13">
        <f t="shared" si="3"/>
        <v>-0.089</v>
      </c>
      <c r="G94" s="83">
        <f>IFERROR(__xludf.DUMMYFUNCTION("VLOOKUP(A94,IMPORTRANGE(""1_RYWMH8TzKc0_xU44uur9ZmHGpM-mmp96_oQwwz56co/edit#gid=0"",""Sheet1!$A$2:$O$250""),2,FALSE)"),157.75)</f>
        <v>157.75</v>
      </c>
      <c r="H94" s="84">
        <f t="shared" si="4"/>
        <v>0.631</v>
      </c>
      <c r="I94" s="85">
        <f t="shared" si="5"/>
        <v>-0.007</v>
      </c>
    </row>
    <row r="95">
      <c r="A95" s="19" t="s">
        <v>266</v>
      </c>
      <c r="B95" s="41">
        <f>IFERROR(__xludf.DUMMYFUNCTION("VLOOKUP(A95,IMPORTRANGE(""1EmrnCz2gLVTx5Cbj0e5tfuHPhTtmru8KTGuQvh7STl0/edit#gid=2147150001"",""Whole Data Set!$A$2:$NQ$253""),381,FALSE)"),126.5)</f>
        <v>126.5</v>
      </c>
      <c r="C95" s="58">
        <f t="shared" si="1"/>
        <v>0.506</v>
      </c>
      <c r="D95" s="12">
        <f>IFERROR(__xludf.DUMMYFUNCTION("VLOOKUP(A95,IMPORTRANGE(""1aFCnJY1qhIj8-JckJhDJ18aqmVo17tofpQmOjcYa3u8/edit#gid=948248086"",""Whole Data Set!$A$2:$NG$253""),371,FALSE)"),123.5)</f>
        <v>123.5</v>
      </c>
      <c r="E95" s="13">
        <f t="shared" si="2"/>
        <v>0.494</v>
      </c>
      <c r="F95" s="13">
        <f t="shared" si="3"/>
        <v>0.012</v>
      </c>
      <c r="G95" s="83">
        <f>IFERROR(__xludf.DUMMYFUNCTION("VLOOKUP(A95,IMPORTRANGE(""1_RYWMH8TzKc0_xU44uur9ZmHGpM-mmp96_oQwwz56co/edit#gid=0"",""Sheet1!$A$2:$O$250""),2,FALSE)"),105.25)</f>
        <v>105.25</v>
      </c>
      <c r="H95" s="84">
        <f t="shared" si="4"/>
        <v>0.421</v>
      </c>
      <c r="I95" s="85">
        <f t="shared" si="5"/>
        <v>0.073</v>
      </c>
    </row>
    <row r="96">
      <c r="A96" s="19" t="s">
        <v>52</v>
      </c>
      <c r="B96" s="41">
        <f>IFERROR(__xludf.DUMMYFUNCTION("VLOOKUP(A96,IMPORTRANGE(""1EmrnCz2gLVTx5Cbj0e5tfuHPhTtmru8KTGuQvh7STl0/edit#gid=2147150001"",""Whole Data Set!$A$2:$NQ$253""),381,FALSE)"),199.25)</f>
        <v>199.25</v>
      </c>
      <c r="C96" s="58">
        <f t="shared" si="1"/>
        <v>0.797</v>
      </c>
      <c r="D96" s="12">
        <f>IFERROR(__xludf.DUMMYFUNCTION("VLOOKUP(A96,IMPORTRANGE(""1aFCnJY1qhIj8-JckJhDJ18aqmVo17tofpQmOjcYa3u8/edit#gid=948248086"",""Whole Data Set!$A$2:$NG$253""),371,FALSE)"),147.5)</f>
        <v>147.5</v>
      </c>
      <c r="E96" s="13">
        <f t="shared" si="2"/>
        <v>0.59</v>
      </c>
      <c r="F96" s="13">
        <f t="shared" si="3"/>
        <v>0.207</v>
      </c>
      <c r="G96" s="83">
        <f>IFERROR(__xludf.DUMMYFUNCTION("VLOOKUP(A96,IMPORTRANGE(""1_RYWMH8TzKc0_xU44uur9ZmHGpM-mmp96_oQwwz56co/edit#gid=0"",""Sheet1!$A$2:$O$250""),2,FALSE)"),139.25)</f>
        <v>139.25</v>
      </c>
      <c r="H96" s="84">
        <f t="shared" si="4"/>
        <v>0.557</v>
      </c>
      <c r="I96" s="85">
        <f t="shared" si="5"/>
        <v>0.033</v>
      </c>
    </row>
    <row r="97">
      <c r="A97" s="19" t="s">
        <v>53</v>
      </c>
      <c r="B97" s="41">
        <f>IFERROR(__xludf.DUMMYFUNCTION("VLOOKUP(A97,IMPORTRANGE(""1EmrnCz2gLVTx5Cbj0e5tfuHPhTtmru8KTGuQvh7STl0/edit#gid=2147150001"",""Whole Data Set!$A$2:$NQ$253""),381,FALSE)"),77.25)</f>
        <v>77.25</v>
      </c>
      <c r="C97" s="58">
        <f t="shared" si="1"/>
        <v>0.309</v>
      </c>
      <c r="D97" s="12">
        <f>IFERROR(__xludf.DUMMYFUNCTION("VLOOKUP(A97,IMPORTRANGE(""1aFCnJY1qhIj8-JckJhDJ18aqmVo17tofpQmOjcYa3u8/edit#gid=948248086"",""Whole Data Set!$A$2:$NG$253""),371,FALSE)"),75.0)</f>
        <v>75</v>
      </c>
      <c r="E97" s="13">
        <f t="shared" si="2"/>
        <v>0.3</v>
      </c>
      <c r="F97" s="13">
        <f t="shared" si="3"/>
        <v>0.009</v>
      </c>
      <c r="G97" s="83">
        <f>IFERROR(__xludf.DUMMYFUNCTION("VLOOKUP(A97,IMPORTRANGE(""1_RYWMH8TzKc0_xU44uur9ZmHGpM-mmp96_oQwwz56co/edit#gid=0"",""Sheet1!$A$2:$O$250""),2,FALSE)"),29.75)</f>
        <v>29.75</v>
      </c>
      <c r="H97" s="84">
        <f t="shared" si="4"/>
        <v>0.119</v>
      </c>
      <c r="I97" s="85">
        <f t="shared" si="5"/>
        <v>0.181</v>
      </c>
    </row>
    <row r="98">
      <c r="A98" s="19" t="s">
        <v>54</v>
      </c>
      <c r="B98" s="41">
        <f>IFERROR(__xludf.DUMMYFUNCTION("VLOOKUP(A98,IMPORTRANGE(""1EmrnCz2gLVTx5Cbj0e5tfuHPhTtmru8KTGuQvh7STl0/edit#gid=2147150001"",""Whole Data Set!$A$2:$NQ$253""),381,FALSE)"),177.75)</f>
        <v>177.75</v>
      </c>
      <c r="C98" s="58">
        <f t="shared" si="1"/>
        <v>0.711</v>
      </c>
      <c r="D98" s="12">
        <f>IFERROR(__xludf.DUMMYFUNCTION("VLOOKUP(A98,IMPORTRANGE(""1aFCnJY1qhIj8-JckJhDJ18aqmVo17tofpQmOjcYa3u8/edit#gid=948248086"",""Whole Data Set!$A$2:$NG$253""),371,FALSE)"),164.75)</f>
        <v>164.75</v>
      </c>
      <c r="E98" s="13">
        <f t="shared" si="2"/>
        <v>0.659</v>
      </c>
      <c r="F98" s="13">
        <f t="shared" si="3"/>
        <v>0.052</v>
      </c>
      <c r="G98" s="83">
        <f>IFERROR(__xludf.DUMMYFUNCTION("VLOOKUP(A98,IMPORTRANGE(""1_RYWMH8TzKc0_xU44uur9ZmHGpM-mmp96_oQwwz56co/edit#gid=0"",""Sheet1!$A$2:$O$250""),2,FALSE)"),168.75)</f>
        <v>168.75</v>
      </c>
      <c r="H98" s="84">
        <f t="shared" si="4"/>
        <v>0.675</v>
      </c>
      <c r="I98" s="85">
        <f t="shared" si="5"/>
        <v>-0.016</v>
      </c>
    </row>
    <row r="99">
      <c r="A99" s="19" t="s">
        <v>55</v>
      </c>
      <c r="B99" s="41">
        <f>IFERROR(__xludf.DUMMYFUNCTION("VLOOKUP(A99,IMPORTRANGE(""1EmrnCz2gLVTx5Cbj0e5tfuHPhTtmru8KTGuQvh7STl0/edit#gid=2147150001"",""Whole Data Set!$A$2:$NQ$253""),381,FALSE)"),93.75)</f>
        <v>93.75</v>
      </c>
      <c r="C99" s="58">
        <f t="shared" si="1"/>
        <v>0.375</v>
      </c>
      <c r="D99" s="12">
        <f>IFERROR(__xludf.DUMMYFUNCTION("VLOOKUP(A99,IMPORTRANGE(""1aFCnJY1qhIj8-JckJhDJ18aqmVo17tofpQmOjcYa3u8/edit#gid=948248086"",""Whole Data Set!$A$2:$NG$253""),371,FALSE)"),68.0)</f>
        <v>68</v>
      </c>
      <c r="E99" s="13">
        <f t="shared" si="2"/>
        <v>0.272</v>
      </c>
      <c r="F99" s="13">
        <f t="shared" si="3"/>
        <v>0.103</v>
      </c>
      <c r="G99" s="83">
        <f>IFERROR(__xludf.DUMMYFUNCTION("VLOOKUP(A99,IMPORTRANGE(""1_RYWMH8TzKc0_xU44uur9ZmHGpM-mmp96_oQwwz56co/edit#gid=0"",""Sheet1!$A$2:$O$250""),2,FALSE)"),98.25)</f>
        <v>98.25</v>
      </c>
      <c r="H99" s="84">
        <f t="shared" si="4"/>
        <v>0.393</v>
      </c>
      <c r="I99" s="85">
        <f t="shared" si="5"/>
        <v>-0.121</v>
      </c>
    </row>
    <row r="100">
      <c r="A100" s="19" t="s">
        <v>50</v>
      </c>
      <c r="B100" s="41">
        <f>IFERROR(__xludf.DUMMYFUNCTION("VLOOKUP(A100,IMPORTRANGE(""1EmrnCz2gLVTx5Cbj0e5tfuHPhTtmru8KTGuQvh7STl0/edit#gid=2147150001"",""Whole Data Set!$A$2:$NQ$253""),381,FALSE)"),0.0)</f>
        <v>0</v>
      </c>
      <c r="C100" s="58">
        <f t="shared" si="1"/>
        <v>0</v>
      </c>
      <c r="D100" s="12">
        <f>IFERROR(__xludf.DUMMYFUNCTION("VLOOKUP(A100,IMPORTRANGE(""1aFCnJY1qhIj8-JckJhDJ18aqmVo17tofpQmOjcYa3u8/edit#gid=948248086"",""Whole Data Set!$A$2:$NG$253""),371,FALSE)"),0.25)</f>
        <v>0.25</v>
      </c>
      <c r="E100" s="13">
        <f t="shared" si="2"/>
        <v>0.001</v>
      </c>
      <c r="F100" s="13">
        <f t="shared" si="3"/>
        <v>-0.001</v>
      </c>
      <c r="G100" s="83">
        <f>IFERROR(__xludf.DUMMYFUNCTION("VLOOKUP(A100,IMPORTRANGE(""1_RYWMH8TzKc0_xU44uur9ZmHGpM-mmp96_oQwwz56co/edit#gid=0"",""Sheet1!$A$2:$O$250""),2,FALSE)"),0.75)</f>
        <v>0.75</v>
      </c>
      <c r="H100" s="84">
        <f t="shared" si="4"/>
        <v>0.003</v>
      </c>
      <c r="I100" s="85">
        <f t="shared" si="5"/>
        <v>-0.002</v>
      </c>
    </row>
    <row r="101">
      <c r="A101" s="19" t="s">
        <v>233</v>
      </c>
      <c r="B101" s="41">
        <f>IFERROR(__xludf.DUMMYFUNCTION("VLOOKUP(A101,IMPORTRANGE(""1EmrnCz2gLVTx5Cbj0e5tfuHPhTtmru8KTGuQvh7STl0/edit#gid=2147150001"",""Whole Data Set!$A$2:$NQ$253""),381,FALSE)"),76.0)</f>
        <v>76</v>
      </c>
      <c r="C101" s="58">
        <f t="shared" si="1"/>
        <v>0.304</v>
      </c>
      <c r="D101" s="12">
        <f>IFERROR(__xludf.DUMMYFUNCTION("VLOOKUP(A101,IMPORTRANGE(""1aFCnJY1qhIj8-JckJhDJ18aqmVo17tofpQmOjcYa3u8/edit#gid=948248086"",""Whole Data Set!$A$2:$NG$253""),371,FALSE)"),71.0)</f>
        <v>71</v>
      </c>
      <c r="E101" s="13">
        <f t="shared" si="2"/>
        <v>0.284</v>
      </c>
      <c r="F101" s="13">
        <f t="shared" si="3"/>
        <v>0.02</v>
      </c>
      <c r="G101" s="83">
        <f>IFERROR(__xludf.DUMMYFUNCTION("VLOOKUP(A101,IMPORTRANGE(""1_RYWMH8TzKc0_xU44uur9ZmHGpM-mmp96_oQwwz56co/edit#gid=0"",""Sheet1!$A$2:$O$250""),2,FALSE)"),90.25)</f>
        <v>90.25</v>
      </c>
      <c r="H101" s="84">
        <f t="shared" si="4"/>
        <v>0.361</v>
      </c>
      <c r="I101" s="85">
        <f t="shared" si="5"/>
        <v>-0.077</v>
      </c>
    </row>
    <row r="102">
      <c r="A102" s="19" t="s">
        <v>234</v>
      </c>
      <c r="B102" s="41">
        <f>IFERROR(__xludf.DUMMYFUNCTION("VLOOKUP(A102,IMPORTRANGE(""1EmrnCz2gLVTx5Cbj0e5tfuHPhTtmru8KTGuQvh7STl0/edit#gid=2147150001"",""Whole Data Set!$A$2:$NQ$253""),381,FALSE)"),59.25)</f>
        <v>59.25</v>
      </c>
      <c r="C102" s="58">
        <f t="shared" si="1"/>
        <v>0.237</v>
      </c>
      <c r="D102" s="12">
        <f>IFERROR(__xludf.DUMMYFUNCTION("VLOOKUP(A102,IMPORTRANGE(""1aFCnJY1qhIj8-JckJhDJ18aqmVo17tofpQmOjcYa3u8/edit#gid=948248086"",""Whole Data Set!$A$2:$NG$253""),371,FALSE)"),50.25)</f>
        <v>50.25</v>
      </c>
      <c r="E102" s="13">
        <f t="shared" si="2"/>
        <v>0.201</v>
      </c>
      <c r="F102" s="13">
        <f t="shared" si="3"/>
        <v>0.036</v>
      </c>
      <c r="G102" s="83">
        <f>IFERROR(__xludf.DUMMYFUNCTION("VLOOKUP(A102,IMPORTRANGE(""1_RYWMH8TzKc0_xU44uur9ZmHGpM-mmp96_oQwwz56co/edit#gid=0"",""Sheet1!$A$2:$O$250""),2,FALSE)"),60.25)</f>
        <v>60.25</v>
      </c>
      <c r="H102" s="84">
        <f t="shared" si="4"/>
        <v>0.241</v>
      </c>
      <c r="I102" s="85">
        <f t="shared" si="5"/>
        <v>-0.04</v>
      </c>
    </row>
    <row r="103">
      <c r="A103" s="19" t="s">
        <v>98</v>
      </c>
      <c r="B103" s="41">
        <f>IFERROR(__xludf.DUMMYFUNCTION("VLOOKUP(A103,IMPORTRANGE(""1EmrnCz2gLVTx5Cbj0e5tfuHPhTtmru8KTGuQvh7STl0/edit#gid=2147150001"",""Whole Data Set!$A$2:$NQ$253""),381,FALSE)"),69.75)</f>
        <v>69.75</v>
      </c>
      <c r="C103" s="58">
        <f t="shared" si="1"/>
        <v>0.279</v>
      </c>
      <c r="D103" s="12">
        <f>IFERROR(__xludf.DUMMYFUNCTION("VLOOKUP(A103,IMPORTRANGE(""1aFCnJY1qhIj8-JckJhDJ18aqmVo17tofpQmOjcYa3u8/edit#gid=948248086"",""Whole Data Set!$A$2:$NG$253""),371,FALSE)"),77.25)</f>
        <v>77.25</v>
      </c>
      <c r="E103" s="13">
        <f t="shared" si="2"/>
        <v>0.309</v>
      </c>
      <c r="F103" s="13">
        <f t="shared" si="3"/>
        <v>-0.03</v>
      </c>
      <c r="G103" s="83">
        <f>IFERROR(__xludf.DUMMYFUNCTION("VLOOKUP(A103,IMPORTRANGE(""1_RYWMH8TzKc0_xU44uur9ZmHGpM-mmp96_oQwwz56co/edit#gid=0"",""Sheet1!$A$2:$O$250""),2,FALSE)"),92.75)</f>
        <v>92.75</v>
      </c>
      <c r="H103" s="84">
        <f t="shared" si="4"/>
        <v>0.371</v>
      </c>
      <c r="I103" s="85">
        <f t="shared" si="5"/>
        <v>-0.062</v>
      </c>
    </row>
    <row r="104">
      <c r="A104" s="19" t="s">
        <v>235</v>
      </c>
      <c r="B104" s="41">
        <f>IFERROR(__xludf.DUMMYFUNCTION("VLOOKUP(A104,IMPORTRANGE(""1EmrnCz2gLVTx5Cbj0e5tfuHPhTtmru8KTGuQvh7STl0/edit#gid=2147150001"",""Whole Data Set!$A$2:$NQ$253""),381,FALSE)"),83.25)</f>
        <v>83.25</v>
      </c>
      <c r="C104" s="58">
        <f t="shared" si="1"/>
        <v>0.333</v>
      </c>
      <c r="D104" s="12">
        <f>IFERROR(__xludf.DUMMYFUNCTION("VLOOKUP(A104,IMPORTRANGE(""1aFCnJY1qhIj8-JckJhDJ18aqmVo17tofpQmOjcYa3u8/edit#gid=948248086"",""Whole Data Set!$A$2:$NG$253""),371,FALSE)"),46.75)</f>
        <v>46.75</v>
      </c>
      <c r="E104" s="13">
        <f t="shared" si="2"/>
        <v>0.187</v>
      </c>
      <c r="F104" s="13">
        <f t="shared" si="3"/>
        <v>0.146</v>
      </c>
      <c r="G104" s="83">
        <f>IFERROR(__xludf.DUMMYFUNCTION("VLOOKUP(A104,IMPORTRANGE(""1_RYWMH8TzKc0_xU44uur9ZmHGpM-mmp96_oQwwz56co/edit#gid=0"",""Sheet1!$A$2:$O$250""),2,FALSE)"),49.75)</f>
        <v>49.75</v>
      </c>
      <c r="H104" s="84">
        <f t="shared" si="4"/>
        <v>0.199</v>
      </c>
      <c r="I104" s="85">
        <f t="shared" si="5"/>
        <v>-0.012</v>
      </c>
    </row>
    <row r="105">
      <c r="A105" s="19" t="s">
        <v>58</v>
      </c>
      <c r="B105" s="41">
        <f>IFERROR(__xludf.DUMMYFUNCTION("VLOOKUP(A105,IMPORTRANGE(""1EmrnCz2gLVTx5Cbj0e5tfuHPhTtmru8KTGuQvh7STl0/edit#gid=2147150001"",""Whole Data Set!$A$2:$NQ$253""),381,FALSE)"),21.5)</f>
        <v>21.5</v>
      </c>
      <c r="C105" s="58">
        <f t="shared" si="1"/>
        <v>0.086</v>
      </c>
      <c r="D105" s="12">
        <f>IFERROR(__xludf.DUMMYFUNCTION("VLOOKUP(A105,IMPORTRANGE(""1aFCnJY1qhIj8-JckJhDJ18aqmVo17tofpQmOjcYa3u8/edit#gid=948248086"",""Whole Data Set!$A$2:$NG$253""),371,FALSE)"),19.0)</f>
        <v>19</v>
      </c>
      <c r="E105" s="13">
        <f t="shared" si="2"/>
        <v>0.076</v>
      </c>
      <c r="F105" s="13">
        <f t="shared" si="3"/>
        <v>0.01</v>
      </c>
      <c r="G105" s="83">
        <f>IFERROR(__xludf.DUMMYFUNCTION("VLOOKUP(A105,IMPORTRANGE(""1_RYWMH8TzKc0_xU44uur9ZmHGpM-mmp96_oQwwz56co/edit#gid=0"",""Sheet1!$A$2:$O$250""),2,FALSE)"),33.0)</f>
        <v>33</v>
      </c>
      <c r="H105" s="84">
        <f t="shared" si="4"/>
        <v>0.132</v>
      </c>
      <c r="I105" s="85">
        <f t="shared" si="5"/>
        <v>-0.056</v>
      </c>
    </row>
    <row r="106">
      <c r="A106" s="19" t="s">
        <v>59</v>
      </c>
      <c r="B106" s="41">
        <f>IFERROR(__xludf.DUMMYFUNCTION("VLOOKUP(A106,IMPORTRANGE(""1EmrnCz2gLVTx5Cbj0e5tfuHPhTtmru8KTGuQvh7STl0/edit#gid=2147150001"",""Whole Data Set!$A$2:$NQ$253""),381,FALSE)"),137.0)</f>
        <v>137</v>
      </c>
      <c r="C106" s="58">
        <f t="shared" si="1"/>
        <v>0.548</v>
      </c>
      <c r="D106" s="12">
        <f>IFERROR(__xludf.DUMMYFUNCTION("VLOOKUP(A106,IMPORTRANGE(""1aFCnJY1qhIj8-JckJhDJ18aqmVo17tofpQmOjcYa3u8/edit#gid=948248086"",""Whole Data Set!$A$2:$NG$253""),371,FALSE)"),123.25)</f>
        <v>123.25</v>
      </c>
      <c r="E106" s="13">
        <f t="shared" si="2"/>
        <v>0.493</v>
      </c>
      <c r="F106" s="13">
        <f t="shared" si="3"/>
        <v>0.055</v>
      </c>
      <c r="G106" s="83">
        <f>IFERROR(__xludf.DUMMYFUNCTION("VLOOKUP(A106,IMPORTRANGE(""1_RYWMH8TzKc0_xU44uur9ZmHGpM-mmp96_oQwwz56co/edit#gid=0"",""Sheet1!$A$2:$O$250""),2,FALSE)"),84.25)</f>
        <v>84.25</v>
      </c>
      <c r="H106" s="84">
        <f t="shared" si="4"/>
        <v>0.337</v>
      </c>
      <c r="I106" s="85">
        <f t="shared" si="5"/>
        <v>0.156</v>
      </c>
    </row>
    <row r="107">
      <c r="A107" s="19" t="s">
        <v>178</v>
      </c>
      <c r="B107" s="41">
        <f>IFERROR(__xludf.DUMMYFUNCTION("VLOOKUP(A107,IMPORTRANGE(""1EmrnCz2gLVTx5Cbj0e5tfuHPhTtmru8KTGuQvh7STl0/edit#gid=2147150001"",""Whole Data Set!$A$2:$NQ$253""),381,FALSE)"),156.25)</f>
        <v>156.25</v>
      </c>
      <c r="C107" s="58">
        <f t="shared" si="1"/>
        <v>0.625</v>
      </c>
      <c r="D107" s="12">
        <f>IFERROR(__xludf.DUMMYFUNCTION("VLOOKUP(A107,IMPORTRANGE(""1aFCnJY1qhIj8-JckJhDJ18aqmVo17tofpQmOjcYa3u8/edit#gid=948248086"",""Whole Data Set!$A$2:$NG$253""),371,FALSE)"),134.75)</f>
        <v>134.75</v>
      </c>
      <c r="E107" s="13">
        <f t="shared" si="2"/>
        <v>0.539</v>
      </c>
      <c r="F107" s="13">
        <f t="shared" si="3"/>
        <v>0.086</v>
      </c>
      <c r="G107" s="83">
        <f>IFERROR(__xludf.DUMMYFUNCTION("VLOOKUP(A107,IMPORTRANGE(""1_RYWMH8TzKc0_xU44uur9ZmHGpM-mmp96_oQwwz56co/edit#gid=0"",""Sheet1!$A$2:$O$250""),2,FALSE)"),26.75)</f>
        <v>26.75</v>
      </c>
      <c r="H107" s="84">
        <f t="shared" si="4"/>
        <v>0.107</v>
      </c>
      <c r="I107" s="85">
        <f t="shared" si="5"/>
        <v>0.432</v>
      </c>
    </row>
    <row r="108">
      <c r="A108" s="19" t="s">
        <v>179</v>
      </c>
      <c r="B108" s="41">
        <f>IFERROR(__xludf.DUMMYFUNCTION("VLOOKUP(A108,IMPORTRANGE(""1EmrnCz2gLVTx5Cbj0e5tfuHPhTtmru8KTGuQvh7STl0/edit#gid=2147150001"",""Whole Data Set!$A$2:$NQ$253""),381,FALSE)"),27.25)</f>
        <v>27.25</v>
      </c>
      <c r="C108" s="58">
        <f t="shared" si="1"/>
        <v>0.109</v>
      </c>
      <c r="D108" s="12">
        <f>IFERROR(__xludf.DUMMYFUNCTION("VLOOKUP(A108,IMPORTRANGE(""1aFCnJY1qhIj8-JckJhDJ18aqmVo17tofpQmOjcYa3u8/edit#gid=948248086"",""Whole Data Set!$A$2:$NG$253""),371,FALSE)"),33.0)</f>
        <v>33</v>
      </c>
      <c r="E108" s="13">
        <f t="shared" si="2"/>
        <v>0.132</v>
      </c>
      <c r="F108" s="13">
        <f t="shared" si="3"/>
        <v>-0.023</v>
      </c>
      <c r="G108" s="83">
        <f>IFERROR(__xludf.DUMMYFUNCTION("VLOOKUP(A108,IMPORTRANGE(""1_RYWMH8TzKc0_xU44uur9ZmHGpM-mmp96_oQwwz56co/edit#gid=0"",""Sheet1!$A$2:$O$250""),2,FALSE)"),36.5)</f>
        <v>36.5</v>
      </c>
      <c r="H108" s="84">
        <f t="shared" si="4"/>
        <v>0.146</v>
      </c>
      <c r="I108" s="85">
        <f t="shared" si="5"/>
        <v>-0.014</v>
      </c>
    </row>
    <row r="109">
      <c r="A109" s="19" t="s">
        <v>60</v>
      </c>
      <c r="B109" s="41">
        <f>IFERROR(__xludf.DUMMYFUNCTION("VLOOKUP(A109,IMPORTRANGE(""1EmrnCz2gLVTx5Cbj0e5tfuHPhTtmru8KTGuQvh7STl0/edit#gid=2147150001"",""Whole Data Set!$A$2:$NQ$253""),381,FALSE)"),102.0)</f>
        <v>102</v>
      </c>
      <c r="C109" s="58">
        <f t="shared" si="1"/>
        <v>0.408</v>
      </c>
      <c r="D109" s="12">
        <f>IFERROR(__xludf.DUMMYFUNCTION("VLOOKUP(A109,IMPORTRANGE(""1aFCnJY1qhIj8-JckJhDJ18aqmVo17tofpQmOjcYa3u8/edit#gid=948248086"",""Whole Data Set!$A$2:$NG$253""),371,FALSE)"),90.75)</f>
        <v>90.75</v>
      </c>
      <c r="E109" s="13">
        <f t="shared" si="2"/>
        <v>0.363</v>
      </c>
      <c r="F109" s="13">
        <f t="shared" si="3"/>
        <v>0.045</v>
      </c>
      <c r="G109" s="83">
        <f>IFERROR(__xludf.DUMMYFUNCTION("VLOOKUP(A109,IMPORTRANGE(""1_RYWMH8TzKc0_xU44uur9ZmHGpM-mmp96_oQwwz56co/edit#gid=0"",""Sheet1!$A$2:$O$250""),2,FALSE)"),63.0)</f>
        <v>63</v>
      </c>
      <c r="H109" s="84">
        <f t="shared" si="4"/>
        <v>0.252</v>
      </c>
      <c r="I109" s="85">
        <f t="shared" si="5"/>
        <v>0.111</v>
      </c>
    </row>
    <row r="110">
      <c r="A110" s="19" t="s">
        <v>130</v>
      </c>
      <c r="B110" s="41">
        <f>IFERROR(__xludf.DUMMYFUNCTION("VLOOKUP(A110,IMPORTRANGE(""1EmrnCz2gLVTx5Cbj0e5tfuHPhTtmru8KTGuQvh7STl0/edit#gid=2147150001"",""Whole Data Set!$A$2:$NQ$253""),381,FALSE)"),73.5)</f>
        <v>73.5</v>
      </c>
      <c r="C110" s="58">
        <f t="shared" si="1"/>
        <v>0.294</v>
      </c>
      <c r="D110" s="12">
        <f>IFERROR(__xludf.DUMMYFUNCTION("VLOOKUP(A110,IMPORTRANGE(""1aFCnJY1qhIj8-JckJhDJ18aqmVo17tofpQmOjcYa3u8/edit#gid=948248086"",""Whole Data Set!$A$2:$NG$253""),371,FALSE)"),58.0)</f>
        <v>58</v>
      </c>
      <c r="E110" s="13">
        <f t="shared" si="2"/>
        <v>0.232</v>
      </c>
      <c r="F110" s="13">
        <f t="shared" si="3"/>
        <v>0.062</v>
      </c>
      <c r="G110" s="83">
        <f>IFERROR(__xludf.DUMMYFUNCTION("VLOOKUP(A110,IMPORTRANGE(""1_RYWMH8TzKc0_xU44uur9ZmHGpM-mmp96_oQwwz56co/edit#gid=0"",""Sheet1!$A$2:$O$250""),2,FALSE)"),66.5)</f>
        <v>66.5</v>
      </c>
      <c r="H110" s="84">
        <f t="shared" si="4"/>
        <v>0.266</v>
      </c>
      <c r="I110" s="85">
        <f t="shared" si="5"/>
        <v>-0.034</v>
      </c>
    </row>
    <row r="111">
      <c r="A111" s="19" t="s">
        <v>236</v>
      </c>
      <c r="B111" s="41">
        <f>IFERROR(__xludf.DUMMYFUNCTION("VLOOKUP(A111,IMPORTRANGE(""1EmrnCz2gLVTx5Cbj0e5tfuHPhTtmru8KTGuQvh7STl0/edit#gid=2147150001"",""Whole Data Set!$A$2:$NQ$253""),381,FALSE)"),44.25)</f>
        <v>44.25</v>
      </c>
      <c r="C111" s="58">
        <f t="shared" si="1"/>
        <v>0.177</v>
      </c>
      <c r="D111" s="12">
        <f>IFERROR(__xludf.DUMMYFUNCTION("VLOOKUP(A111,IMPORTRANGE(""1aFCnJY1qhIj8-JckJhDJ18aqmVo17tofpQmOjcYa3u8/edit#gid=948248086"",""Whole Data Set!$A$2:$NG$253""),371,FALSE)"),1.0)</f>
        <v>1</v>
      </c>
      <c r="E111" s="13">
        <f t="shared" si="2"/>
        <v>0.004</v>
      </c>
      <c r="F111" s="13">
        <f t="shared" si="3"/>
        <v>0.173</v>
      </c>
      <c r="G111" s="83">
        <f>IFERROR(__xludf.DUMMYFUNCTION("VLOOKUP(A111,IMPORTRANGE(""1_RYWMH8TzKc0_xU44uur9ZmHGpM-mmp96_oQwwz56co/edit#gid=0"",""Sheet1!$A$2:$O$250""),2,FALSE)"),15.25)</f>
        <v>15.25</v>
      </c>
      <c r="H111" s="84">
        <f t="shared" si="4"/>
        <v>0.061</v>
      </c>
      <c r="I111" s="85">
        <f t="shared" si="5"/>
        <v>-0.057</v>
      </c>
    </row>
    <row r="112">
      <c r="A112" s="19" t="s">
        <v>237</v>
      </c>
      <c r="B112" s="41">
        <f>IFERROR(__xludf.DUMMYFUNCTION("VLOOKUP(A112,IMPORTRANGE(""1EmrnCz2gLVTx5Cbj0e5tfuHPhTtmru8KTGuQvh7STl0/edit#gid=2147150001"",""Whole Data Set!$A$2:$NQ$253""),381,FALSE)"),5.0)</f>
        <v>5</v>
      </c>
      <c r="C112" s="58">
        <f t="shared" si="1"/>
        <v>0.02</v>
      </c>
      <c r="D112" s="12">
        <f>IFERROR(__xludf.DUMMYFUNCTION("VLOOKUP(A112,IMPORTRANGE(""1aFCnJY1qhIj8-JckJhDJ18aqmVo17tofpQmOjcYa3u8/edit#gid=948248086"",""Whole Data Set!$A$2:$NG$253""),371,FALSE)"),5.5)</f>
        <v>5.5</v>
      </c>
      <c r="E112" s="13">
        <f t="shared" si="2"/>
        <v>0.022</v>
      </c>
      <c r="F112" s="13">
        <f t="shared" si="3"/>
        <v>-0.002</v>
      </c>
      <c r="G112" s="83">
        <f>IFERROR(__xludf.DUMMYFUNCTION("VLOOKUP(A112,IMPORTRANGE(""1_RYWMH8TzKc0_xU44uur9ZmHGpM-mmp96_oQwwz56co/edit#gid=0"",""Sheet1!$A$2:$O$250""),2,FALSE)"),5.5)</f>
        <v>5.5</v>
      </c>
      <c r="H112" s="84">
        <f t="shared" si="4"/>
        <v>0.022</v>
      </c>
      <c r="I112" s="85">
        <f t="shared" si="5"/>
        <v>0</v>
      </c>
    </row>
    <row r="113">
      <c r="A113" s="19" t="s">
        <v>131</v>
      </c>
      <c r="B113" s="41">
        <f>IFERROR(__xludf.DUMMYFUNCTION("VLOOKUP(A113,IMPORTRANGE(""1EmrnCz2gLVTx5Cbj0e5tfuHPhTtmru8KTGuQvh7STl0/edit#gid=2147150001"",""Whole Data Set!$A$2:$NQ$253""),381,FALSE)"),44.5)</f>
        <v>44.5</v>
      </c>
      <c r="C113" s="58">
        <f t="shared" si="1"/>
        <v>0.178</v>
      </c>
      <c r="D113" s="12">
        <f>IFERROR(__xludf.DUMMYFUNCTION("VLOOKUP(A113,IMPORTRANGE(""1aFCnJY1qhIj8-JckJhDJ18aqmVo17tofpQmOjcYa3u8/edit#gid=948248086"",""Whole Data Set!$A$2:$NG$253""),371,FALSE)"),44.5)</f>
        <v>44.5</v>
      </c>
      <c r="E113" s="13">
        <f t="shared" si="2"/>
        <v>0.178</v>
      </c>
      <c r="F113" s="13">
        <f t="shared" si="3"/>
        <v>0</v>
      </c>
      <c r="G113" s="83">
        <f>IFERROR(__xludf.DUMMYFUNCTION("VLOOKUP(A113,IMPORTRANGE(""1_RYWMH8TzKc0_xU44uur9ZmHGpM-mmp96_oQwwz56co/edit#gid=0"",""Sheet1!$A$2:$O$250""),2,FALSE)"),33.5)</f>
        <v>33.5</v>
      </c>
      <c r="H113" s="84">
        <f t="shared" si="4"/>
        <v>0.134</v>
      </c>
      <c r="I113" s="85">
        <f t="shared" si="5"/>
        <v>0.044</v>
      </c>
    </row>
    <row r="114">
      <c r="A114" s="19" t="s">
        <v>132</v>
      </c>
      <c r="B114" s="41">
        <f>IFERROR(__xludf.DUMMYFUNCTION("VLOOKUP(A114,IMPORTRANGE(""1EmrnCz2gLVTx5Cbj0e5tfuHPhTtmru8KTGuQvh7STl0/edit#gid=2147150001"",""Whole Data Set!$A$2:$NQ$253""),381,FALSE)"),80.0)</f>
        <v>80</v>
      </c>
      <c r="C114" s="58">
        <f t="shared" si="1"/>
        <v>0.32</v>
      </c>
      <c r="D114" s="12">
        <f>IFERROR(__xludf.DUMMYFUNCTION("VLOOKUP(A114,IMPORTRANGE(""1aFCnJY1qhIj8-JckJhDJ18aqmVo17tofpQmOjcYa3u8/edit#gid=948248086"",""Whole Data Set!$A$2:$NG$253""),371,FALSE)"),85.5)</f>
        <v>85.5</v>
      </c>
      <c r="E114" s="13">
        <f t="shared" si="2"/>
        <v>0.342</v>
      </c>
      <c r="F114" s="13">
        <f t="shared" si="3"/>
        <v>-0.022</v>
      </c>
      <c r="G114" s="83">
        <f>IFERROR(__xludf.DUMMYFUNCTION("VLOOKUP(A114,IMPORTRANGE(""1_RYWMH8TzKc0_xU44uur9ZmHGpM-mmp96_oQwwz56co/edit#gid=0"",""Sheet1!$A$2:$O$250""),2,FALSE)"),66.25)</f>
        <v>66.25</v>
      </c>
      <c r="H114" s="84">
        <f t="shared" si="4"/>
        <v>0.265</v>
      </c>
      <c r="I114" s="85">
        <f t="shared" si="5"/>
        <v>0.077</v>
      </c>
    </row>
    <row r="115">
      <c r="A115" s="19" t="s">
        <v>61</v>
      </c>
      <c r="B115" s="41">
        <f>IFERROR(__xludf.DUMMYFUNCTION("VLOOKUP(A115,IMPORTRANGE(""1EmrnCz2gLVTx5Cbj0e5tfuHPhTtmru8KTGuQvh7STl0/edit#gid=2147150001"",""Whole Data Set!$A$2:$NQ$253""),381,FALSE)"),124.75)</f>
        <v>124.75</v>
      </c>
      <c r="C115" s="58">
        <f t="shared" si="1"/>
        <v>0.499</v>
      </c>
      <c r="D115" s="12">
        <f>IFERROR(__xludf.DUMMYFUNCTION("VLOOKUP(A115,IMPORTRANGE(""1aFCnJY1qhIj8-JckJhDJ18aqmVo17tofpQmOjcYa3u8/edit#gid=948248086"",""Whole Data Set!$A$2:$NG$253""),371,FALSE)"),133.5)</f>
        <v>133.5</v>
      </c>
      <c r="E115" s="13">
        <f t="shared" si="2"/>
        <v>0.534</v>
      </c>
      <c r="F115" s="13">
        <f t="shared" si="3"/>
        <v>-0.035</v>
      </c>
      <c r="G115" s="83">
        <f>IFERROR(__xludf.DUMMYFUNCTION("VLOOKUP(A115,IMPORTRANGE(""1_RYWMH8TzKc0_xU44uur9ZmHGpM-mmp96_oQwwz56co/edit#gid=0"",""Sheet1!$A$2:$O$250""),2,FALSE)"),138.5)</f>
        <v>138.5</v>
      </c>
      <c r="H115" s="84">
        <f t="shared" si="4"/>
        <v>0.554</v>
      </c>
      <c r="I115" s="85">
        <f t="shared" si="5"/>
        <v>-0.02</v>
      </c>
    </row>
    <row r="116">
      <c r="A116" s="19" t="s">
        <v>180</v>
      </c>
      <c r="B116" s="41">
        <f>IFERROR(__xludf.DUMMYFUNCTION("VLOOKUP(A116,IMPORTRANGE(""1EmrnCz2gLVTx5Cbj0e5tfuHPhTtmru8KTGuQvh7STl0/edit#gid=2147150001"",""Whole Data Set!$A$2:$NQ$253""),381,FALSE)"),0.0)</f>
        <v>0</v>
      </c>
      <c r="C116" s="58">
        <f t="shared" si="1"/>
        <v>0</v>
      </c>
      <c r="D116" s="12">
        <f>IFERROR(__xludf.DUMMYFUNCTION("VLOOKUP(A116,IMPORTRANGE(""1aFCnJY1qhIj8-JckJhDJ18aqmVo17tofpQmOjcYa3u8/edit#gid=948248086"",""Whole Data Set!$A$2:$NG$253""),371,FALSE)"),0.0)</f>
        <v>0</v>
      </c>
      <c r="E116" s="13">
        <f t="shared" si="2"/>
        <v>0</v>
      </c>
      <c r="F116" s="13">
        <f t="shared" si="3"/>
        <v>0</v>
      </c>
      <c r="G116" s="83">
        <f>IFERROR(__xludf.DUMMYFUNCTION("VLOOKUP(A116,IMPORTRANGE(""1_RYWMH8TzKc0_xU44uur9ZmHGpM-mmp96_oQwwz56co/edit#gid=0"",""Sheet1!$A$2:$O$250""),2,FALSE)"),10.0)</f>
        <v>10</v>
      </c>
      <c r="H116" s="84">
        <f t="shared" si="4"/>
        <v>0.04</v>
      </c>
      <c r="I116" s="85">
        <f t="shared" si="5"/>
        <v>-0.04</v>
      </c>
    </row>
    <row r="117">
      <c r="A117" s="19" t="s">
        <v>133</v>
      </c>
      <c r="B117" s="41">
        <f>IFERROR(__xludf.DUMMYFUNCTION("VLOOKUP(A117,IMPORTRANGE(""1EmrnCz2gLVTx5Cbj0e5tfuHPhTtmru8KTGuQvh7STl0/edit#gid=2147150001"",""Whole Data Set!$A$2:$NQ$253""),381,FALSE)"),101.75)</f>
        <v>101.75</v>
      </c>
      <c r="C117" s="58">
        <f t="shared" si="1"/>
        <v>0.407</v>
      </c>
      <c r="D117" s="12">
        <f>IFERROR(__xludf.DUMMYFUNCTION("VLOOKUP(A117,IMPORTRANGE(""1aFCnJY1qhIj8-JckJhDJ18aqmVo17tofpQmOjcYa3u8/edit#gid=948248086"",""Whole Data Set!$A$2:$NG$253""),371,FALSE)"),62.25)</f>
        <v>62.25</v>
      </c>
      <c r="E117" s="13">
        <f t="shared" si="2"/>
        <v>0.249</v>
      </c>
      <c r="F117" s="13">
        <f t="shared" si="3"/>
        <v>0.158</v>
      </c>
      <c r="G117" s="83">
        <f>IFERROR(__xludf.DUMMYFUNCTION("VLOOKUP(A117,IMPORTRANGE(""1_RYWMH8TzKc0_xU44uur9ZmHGpM-mmp96_oQwwz56co/edit#gid=0"",""Sheet1!$A$2:$O$250""),2,FALSE)"),54.0)</f>
        <v>54</v>
      </c>
      <c r="H117" s="84">
        <f t="shared" si="4"/>
        <v>0.216</v>
      </c>
      <c r="I117" s="85">
        <f t="shared" si="5"/>
        <v>0.033</v>
      </c>
    </row>
    <row r="118">
      <c r="A118" s="19" t="s">
        <v>238</v>
      </c>
      <c r="B118" s="41">
        <f>IFERROR(__xludf.DUMMYFUNCTION("VLOOKUP(A118,IMPORTRANGE(""1EmrnCz2gLVTx5Cbj0e5tfuHPhTtmru8KTGuQvh7STl0/edit#gid=2147150001"",""Whole Data Set!$A$2:$NQ$253""),381,FALSE)"),72.25)</f>
        <v>72.25</v>
      </c>
      <c r="C118" s="58">
        <f t="shared" si="1"/>
        <v>0.289</v>
      </c>
      <c r="D118" s="12">
        <f>IFERROR(__xludf.DUMMYFUNCTION("VLOOKUP(A118,IMPORTRANGE(""1aFCnJY1qhIj8-JckJhDJ18aqmVo17tofpQmOjcYa3u8/edit#gid=948248086"",""Whole Data Set!$A$2:$NG$253""),371,FALSE)"),57.0)</f>
        <v>57</v>
      </c>
      <c r="E118" s="13">
        <f t="shared" si="2"/>
        <v>0.228</v>
      </c>
      <c r="F118" s="13">
        <f t="shared" si="3"/>
        <v>0.061</v>
      </c>
      <c r="G118" s="83">
        <f>IFERROR(__xludf.DUMMYFUNCTION("VLOOKUP(A118,IMPORTRANGE(""1_RYWMH8TzKc0_xU44uur9ZmHGpM-mmp96_oQwwz56co/edit#gid=0"",""Sheet1!$A$2:$O$250""),2,FALSE)"),61.75)</f>
        <v>61.75</v>
      </c>
      <c r="H118" s="84">
        <f t="shared" si="4"/>
        <v>0.247</v>
      </c>
      <c r="I118" s="85">
        <f t="shared" si="5"/>
        <v>-0.019</v>
      </c>
    </row>
    <row r="119">
      <c r="A119" s="19" t="s">
        <v>239</v>
      </c>
      <c r="B119" s="41">
        <f>IFERROR(__xludf.DUMMYFUNCTION("VLOOKUP(A119,IMPORTRANGE(""1EmrnCz2gLVTx5Cbj0e5tfuHPhTtmru8KTGuQvh7STl0/edit#gid=2147150001"",""Whole Data Set!$A$2:$NQ$253""),381,FALSE)"),29.0)</f>
        <v>29</v>
      </c>
      <c r="C119" s="58">
        <f t="shared" si="1"/>
        <v>0.116</v>
      </c>
      <c r="D119" s="12">
        <f>IFERROR(__xludf.DUMMYFUNCTION("VLOOKUP(A119,IMPORTRANGE(""1aFCnJY1qhIj8-JckJhDJ18aqmVo17tofpQmOjcYa3u8/edit#gid=948248086"",""Whole Data Set!$A$2:$NG$253""),371,FALSE)"),39.75)</f>
        <v>39.75</v>
      </c>
      <c r="E119" s="13">
        <f t="shared" si="2"/>
        <v>0.159</v>
      </c>
      <c r="F119" s="13">
        <f t="shared" si="3"/>
        <v>-0.043</v>
      </c>
      <c r="G119" s="83">
        <f>IFERROR(__xludf.DUMMYFUNCTION("VLOOKUP(A119,IMPORTRANGE(""1_RYWMH8TzKc0_xU44uur9ZmHGpM-mmp96_oQwwz56co/edit#gid=0"",""Sheet1!$A$2:$O$250""),2,FALSE)"),34.25)</f>
        <v>34.25</v>
      </c>
      <c r="H119" s="84">
        <f t="shared" si="4"/>
        <v>0.137</v>
      </c>
      <c r="I119" s="85">
        <f t="shared" si="5"/>
        <v>0.022</v>
      </c>
    </row>
    <row r="120">
      <c r="A120" s="19" t="s">
        <v>267</v>
      </c>
      <c r="B120" s="41">
        <f>IFERROR(__xludf.DUMMYFUNCTION("VLOOKUP(A120,IMPORTRANGE(""1EmrnCz2gLVTx5Cbj0e5tfuHPhTtmru8KTGuQvh7STl0/edit#gid=2147150001"",""Whole Data Set!$A$2:$NQ$253""),381,FALSE)"),40.25)</f>
        <v>40.25</v>
      </c>
      <c r="C120" s="58">
        <f t="shared" si="1"/>
        <v>0.161</v>
      </c>
      <c r="D120" s="12">
        <f>IFERROR(__xludf.DUMMYFUNCTION("VLOOKUP(A120,IMPORTRANGE(""1aFCnJY1qhIj8-JckJhDJ18aqmVo17tofpQmOjcYa3u8/edit#gid=948248086"",""Whole Data Set!$A$2:$NG$253""),371,FALSE)"),49.75)</f>
        <v>49.75</v>
      </c>
      <c r="E120" s="13">
        <f t="shared" si="2"/>
        <v>0.199</v>
      </c>
      <c r="F120" s="13">
        <f t="shared" si="3"/>
        <v>-0.038</v>
      </c>
      <c r="G120" s="83">
        <f>IFERROR(__xludf.DUMMYFUNCTION("VLOOKUP(A120,IMPORTRANGE(""1_RYWMH8TzKc0_xU44uur9ZmHGpM-mmp96_oQwwz56co/edit#gid=0"",""Sheet1!$A$2:$O$250""),2,FALSE)"),54.0)</f>
        <v>54</v>
      </c>
      <c r="H120" s="84">
        <f t="shared" si="4"/>
        <v>0.216</v>
      </c>
      <c r="I120" s="85">
        <f t="shared" si="5"/>
        <v>-0.017</v>
      </c>
    </row>
    <row r="121">
      <c r="A121" s="19" t="s">
        <v>134</v>
      </c>
      <c r="B121" s="41">
        <f>IFERROR(__xludf.DUMMYFUNCTION("VLOOKUP(A121,IMPORTRANGE(""1EmrnCz2gLVTx5Cbj0e5tfuHPhTtmru8KTGuQvh7STl0/edit#gid=2147150001"",""Whole Data Set!$A$2:$NQ$253""),381,FALSE)"),41.5)</f>
        <v>41.5</v>
      </c>
      <c r="C121" s="58">
        <f t="shared" si="1"/>
        <v>0.166</v>
      </c>
      <c r="D121" s="12">
        <f>IFERROR(__xludf.DUMMYFUNCTION("VLOOKUP(A121,IMPORTRANGE(""1aFCnJY1qhIj8-JckJhDJ18aqmVo17tofpQmOjcYa3u8/edit#gid=948248086"",""Whole Data Set!$A$2:$NG$253""),371,FALSE)"),29.0)</f>
        <v>29</v>
      </c>
      <c r="E121" s="13">
        <f t="shared" si="2"/>
        <v>0.116</v>
      </c>
      <c r="F121" s="13">
        <f t="shared" si="3"/>
        <v>0.05</v>
      </c>
      <c r="G121" s="83">
        <f>IFERROR(__xludf.DUMMYFUNCTION("VLOOKUP(A121,IMPORTRANGE(""1_RYWMH8TzKc0_xU44uur9ZmHGpM-mmp96_oQwwz56co/edit#gid=0"",""Sheet1!$A$2:$O$250""),2,FALSE)"),35.75)</f>
        <v>35.75</v>
      </c>
      <c r="H121" s="84">
        <f t="shared" si="4"/>
        <v>0.143</v>
      </c>
      <c r="I121" s="85">
        <f t="shared" si="5"/>
        <v>-0.027</v>
      </c>
    </row>
    <row r="122">
      <c r="A122" s="22" t="s">
        <v>240</v>
      </c>
      <c r="B122" s="41">
        <f>IFERROR(__xludf.DUMMYFUNCTION("VLOOKUP(A122,IMPORTRANGE(""1EmrnCz2gLVTx5Cbj0e5tfuHPhTtmru8KTGuQvh7STl0/edit#gid=2147150001"",""Whole Data Set!$A$2:$NQ$253""),381,FALSE)"),16.0)</f>
        <v>16</v>
      </c>
      <c r="C122" s="58">
        <f t="shared" si="1"/>
        <v>0.064</v>
      </c>
      <c r="D122" s="12">
        <f>IFERROR(__xludf.DUMMYFUNCTION("VLOOKUP(A122,IMPORTRANGE(""1aFCnJY1qhIj8-JckJhDJ18aqmVo17tofpQmOjcYa3u8/edit#gid=948248086"",""Whole Data Set!$A$2:$NG$253""),371,FALSE)"),16.25)</f>
        <v>16.25</v>
      </c>
      <c r="E122" s="13">
        <f t="shared" si="2"/>
        <v>0.065</v>
      </c>
      <c r="F122" s="13">
        <f t="shared" si="3"/>
        <v>-0.001</v>
      </c>
      <c r="G122" s="83">
        <f>IFERROR(__xludf.DUMMYFUNCTION("VLOOKUP(A122,IMPORTRANGE(""1_RYWMH8TzKc0_xU44uur9ZmHGpM-mmp96_oQwwz56co/edit#gid=0"",""Sheet1!$A$2:$O$250""),2,FALSE)"),21.0)</f>
        <v>21</v>
      </c>
      <c r="H122" s="84">
        <f t="shared" si="4"/>
        <v>0.084</v>
      </c>
      <c r="I122" s="85">
        <f t="shared" si="5"/>
        <v>-0.019</v>
      </c>
    </row>
    <row r="123">
      <c r="A123" s="87" t="s">
        <v>241</v>
      </c>
      <c r="B123" s="41">
        <f>IFERROR(__xludf.DUMMYFUNCTION("VLOOKUP(A123,IMPORTRANGE(""1EmrnCz2gLVTx5Cbj0e5tfuHPhTtmru8KTGuQvh7STl0/edit#gid=2147150001"",""Whole Data Set!$A$2:$NQ$253""),381,FALSE)"),191.0)</f>
        <v>191</v>
      </c>
      <c r="C123" s="58">
        <f t="shared" si="1"/>
        <v>0.764</v>
      </c>
      <c r="D123" s="12">
        <f>IFERROR(__xludf.DUMMYFUNCTION("VLOOKUP(A123,IMPORTRANGE(""1aFCnJY1qhIj8-JckJhDJ18aqmVo17tofpQmOjcYa3u8/edit#gid=948248086"",""Whole Data Set!$A$2:$NG$253""),371,FALSE)"),196.0)</f>
        <v>196</v>
      </c>
      <c r="E123" s="13">
        <f t="shared" si="2"/>
        <v>0.784</v>
      </c>
      <c r="F123" s="13">
        <f t="shared" si="3"/>
        <v>-0.02</v>
      </c>
      <c r="G123" s="83">
        <f>IFERROR(__xludf.DUMMYFUNCTION("VLOOKUP(A123,IMPORTRANGE(""1_RYWMH8TzKc0_xU44uur9ZmHGpM-mmp96_oQwwz56co/edit#gid=0"",""Sheet1!$A$2:$O$250""),2,FALSE)"),139.25)</f>
        <v>139.25</v>
      </c>
      <c r="H123" s="84">
        <f t="shared" si="4"/>
        <v>0.557</v>
      </c>
      <c r="I123" s="85">
        <f t="shared" si="5"/>
        <v>0.227</v>
      </c>
    </row>
    <row r="124">
      <c r="A124" s="19" t="s">
        <v>74</v>
      </c>
      <c r="B124" s="41">
        <f>IFERROR(__xludf.DUMMYFUNCTION("VLOOKUP(A124,IMPORTRANGE(""1EmrnCz2gLVTx5Cbj0e5tfuHPhTtmru8KTGuQvh7STl0/edit#gid=2147150001"",""Whole Data Set!$A$2:$NQ$253""),381,FALSE)"),41.75)</f>
        <v>41.75</v>
      </c>
      <c r="C124" s="58">
        <f t="shared" si="1"/>
        <v>0.167</v>
      </c>
      <c r="D124" s="12">
        <f>IFERROR(__xludf.DUMMYFUNCTION("VLOOKUP(A124,IMPORTRANGE(""1aFCnJY1qhIj8-JckJhDJ18aqmVo17tofpQmOjcYa3u8/edit#gid=948248086"",""Whole Data Set!$A$2:$NG$253""),371,FALSE)"),36.0)</f>
        <v>36</v>
      </c>
      <c r="E124" s="13">
        <f t="shared" si="2"/>
        <v>0.144</v>
      </c>
      <c r="F124" s="13">
        <f t="shared" si="3"/>
        <v>0.023</v>
      </c>
      <c r="G124" s="83">
        <f>IFERROR(__xludf.DUMMYFUNCTION("VLOOKUP(A124,IMPORTRANGE(""1_RYWMH8TzKc0_xU44uur9ZmHGpM-mmp96_oQwwz56co/edit#gid=0"",""Sheet1!$A$2:$O$250""),2,FALSE)"),37.25)</f>
        <v>37.25</v>
      </c>
      <c r="H124" s="84">
        <f t="shared" si="4"/>
        <v>0.149</v>
      </c>
      <c r="I124" s="85">
        <f t="shared" si="5"/>
        <v>-0.005</v>
      </c>
    </row>
    <row r="125">
      <c r="A125" s="19" t="s">
        <v>242</v>
      </c>
      <c r="B125" s="41">
        <f>IFERROR(__xludf.DUMMYFUNCTION("VLOOKUP(A125,IMPORTRANGE(""1EmrnCz2gLVTx5Cbj0e5tfuHPhTtmru8KTGuQvh7STl0/edit#gid=2147150001"",""Whole Data Set!$A$2:$NQ$253""),381,FALSE)"),0.0)</f>
        <v>0</v>
      </c>
      <c r="C125" s="58">
        <f t="shared" si="1"/>
        <v>0</v>
      </c>
      <c r="D125" s="12">
        <f>IFERROR(__xludf.DUMMYFUNCTION("VLOOKUP(A125,IMPORTRANGE(""1aFCnJY1qhIj8-JckJhDJ18aqmVo17tofpQmOjcYa3u8/edit#gid=948248086"",""Whole Data Set!$A$2:$NG$253""),371,FALSE)"),0.0)</f>
        <v>0</v>
      </c>
      <c r="E125" s="13">
        <f t="shared" si="2"/>
        <v>0</v>
      </c>
      <c r="F125" s="13">
        <f t="shared" si="3"/>
        <v>0</v>
      </c>
      <c r="G125" s="83">
        <f>IFERROR(__xludf.DUMMYFUNCTION("VLOOKUP(A125,IMPORTRANGE(""1_RYWMH8TzKc0_xU44uur9ZmHGpM-mmp96_oQwwz56co/edit#gid=0"",""Sheet1!$A$2:$O$250""),2,FALSE)"),0.0)</f>
        <v>0</v>
      </c>
      <c r="H125" s="84">
        <f t="shared" si="4"/>
        <v>0</v>
      </c>
      <c r="I125" s="85">
        <f t="shared" si="5"/>
        <v>0</v>
      </c>
    </row>
    <row r="126">
      <c r="A126" s="19" t="s">
        <v>243</v>
      </c>
      <c r="B126" s="41">
        <f>IFERROR(__xludf.DUMMYFUNCTION("VLOOKUP(A126,IMPORTRANGE(""1EmrnCz2gLVTx5Cbj0e5tfuHPhTtmru8KTGuQvh7STl0/edit#gid=2147150001"",""Whole Data Set!$A$2:$NQ$253""),381,FALSE)"),31.5)</f>
        <v>31.5</v>
      </c>
      <c r="C126" s="58">
        <f t="shared" si="1"/>
        <v>0.126</v>
      </c>
      <c r="D126" s="12">
        <f>IFERROR(__xludf.DUMMYFUNCTION("VLOOKUP(A126,IMPORTRANGE(""1aFCnJY1qhIj8-JckJhDJ18aqmVo17tofpQmOjcYa3u8/edit#gid=948248086"",""Whole Data Set!$A$2:$NG$253""),371,FALSE)"),28.25)</f>
        <v>28.25</v>
      </c>
      <c r="E126" s="13">
        <f t="shared" si="2"/>
        <v>0.113</v>
      </c>
      <c r="F126" s="13">
        <f t="shared" si="3"/>
        <v>0.013</v>
      </c>
      <c r="G126" s="83">
        <f>IFERROR(__xludf.DUMMYFUNCTION("VLOOKUP(A126,IMPORTRANGE(""1_RYWMH8TzKc0_xU44uur9ZmHGpM-mmp96_oQwwz56co/edit#gid=0"",""Sheet1!$A$2:$O$250""),2,FALSE)"),22.5)</f>
        <v>22.5</v>
      </c>
      <c r="H126" s="84">
        <f t="shared" si="4"/>
        <v>0.09</v>
      </c>
      <c r="I126" s="85">
        <f t="shared" si="5"/>
        <v>0.023</v>
      </c>
    </row>
    <row r="127">
      <c r="A127" s="19" t="s">
        <v>63</v>
      </c>
      <c r="B127" s="41">
        <f>IFERROR(__xludf.DUMMYFUNCTION("VLOOKUP(A127,IMPORTRANGE(""1EmrnCz2gLVTx5Cbj0e5tfuHPhTtmru8KTGuQvh7STl0/edit#gid=2147150001"",""Whole Data Set!$A$2:$NQ$253""),381,FALSE)"),93.75)</f>
        <v>93.75</v>
      </c>
      <c r="C127" s="58">
        <f t="shared" si="1"/>
        <v>0.375</v>
      </c>
      <c r="D127" s="12">
        <f>IFERROR(__xludf.DUMMYFUNCTION("VLOOKUP(A127,IMPORTRANGE(""1aFCnJY1qhIj8-JckJhDJ18aqmVo17tofpQmOjcYa3u8/edit#gid=948248086"",""Whole Data Set!$A$2:$NG$253""),371,FALSE)"),95.75)</f>
        <v>95.75</v>
      </c>
      <c r="E127" s="13">
        <f t="shared" si="2"/>
        <v>0.383</v>
      </c>
      <c r="F127" s="13">
        <f t="shared" si="3"/>
        <v>-0.008</v>
      </c>
      <c r="G127" s="83">
        <f>IFERROR(__xludf.DUMMYFUNCTION("VLOOKUP(A127,IMPORTRANGE(""1_RYWMH8TzKc0_xU44uur9ZmHGpM-mmp96_oQwwz56co/edit#gid=0"",""Sheet1!$A$2:$O$250""),2,FALSE)"),86.75)</f>
        <v>86.75</v>
      </c>
      <c r="H127" s="84">
        <f t="shared" si="4"/>
        <v>0.347</v>
      </c>
      <c r="I127" s="85">
        <f t="shared" si="5"/>
        <v>0.036</v>
      </c>
    </row>
    <row r="128">
      <c r="A128" s="19" t="s">
        <v>34</v>
      </c>
      <c r="B128" s="41">
        <f>IFERROR(__xludf.DUMMYFUNCTION("VLOOKUP(A128,IMPORTRANGE(""1EmrnCz2gLVTx5Cbj0e5tfuHPhTtmru8KTGuQvh7STl0/edit#gid=2147150001"",""Whole Data Set!$A$2:$NQ$253""),381,FALSE)"),31.0)</f>
        <v>31</v>
      </c>
      <c r="C128" s="58">
        <f t="shared" si="1"/>
        <v>0.124</v>
      </c>
      <c r="D128" s="12">
        <f>IFERROR(__xludf.DUMMYFUNCTION("VLOOKUP(A128,IMPORTRANGE(""1aFCnJY1qhIj8-JckJhDJ18aqmVo17tofpQmOjcYa3u8/edit#gid=948248086"",""Whole Data Set!$A$2:$NG$253""),371,FALSE)"),32.5)</f>
        <v>32.5</v>
      </c>
      <c r="E128" s="13">
        <f t="shared" si="2"/>
        <v>0.13</v>
      </c>
      <c r="F128" s="13">
        <f t="shared" si="3"/>
        <v>-0.006</v>
      </c>
      <c r="G128" s="83">
        <f>IFERROR(__xludf.DUMMYFUNCTION("VLOOKUP(A128,IMPORTRANGE(""1_RYWMH8TzKc0_xU44uur9ZmHGpM-mmp96_oQwwz56co/edit#gid=0"",""Sheet1!$A$2:$O$250""),2,FALSE)"),36.0)</f>
        <v>36</v>
      </c>
      <c r="H128" s="84">
        <f t="shared" si="4"/>
        <v>0.144</v>
      </c>
      <c r="I128" s="85">
        <f t="shared" si="5"/>
        <v>-0.014</v>
      </c>
    </row>
    <row r="129">
      <c r="A129" s="19" t="s">
        <v>268</v>
      </c>
      <c r="B129" s="41">
        <f>IFERROR(__xludf.DUMMYFUNCTION("VLOOKUP(A129,IMPORTRANGE(""1EmrnCz2gLVTx5Cbj0e5tfuHPhTtmru8KTGuQvh7STl0/edit#gid=2147150001"",""Whole Data Set!$A$2:$NQ$253""),381,FALSE)"),9.0)</f>
        <v>9</v>
      </c>
      <c r="C129" s="58">
        <f t="shared" si="1"/>
        <v>0.036</v>
      </c>
      <c r="D129" s="12">
        <f>IFERROR(__xludf.DUMMYFUNCTION("VLOOKUP(A129,IMPORTRANGE(""1aFCnJY1qhIj8-JckJhDJ18aqmVo17tofpQmOjcYa3u8/edit#gid=948248086"",""Whole Data Set!$A$2:$NG$253""),371,FALSE)"),9.25)</f>
        <v>9.25</v>
      </c>
      <c r="E129" s="13">
        <f t="shared" si="2"/>
        <v>0.037</v>
      </c>
      <c r="F129" s="13">
        <f t="shared" si="3"/>
        <v>-0.001</v>
      </c>
      <c r="G129" s="83">
        <f>IFERROR(__xludf.DUMMYFUNCTION("VLOOKUP(A129,IMPORTRANGE(""1_RYWMH8TzKc0_xU44uur9ZmHGpM-mmp96_oQwwz56co/edit#gid=0"",""Sheet1!$A$2:$O$250""),2,FALSE)"),10.25)</f>
        <v>10.25</v>
      </c>
      <c r="H129" s="84">
        <f t="shared" si="4"/>
        <v>0.041</v>
      </c>
      <c r="I129" s="85">
        <f t="shared" si="5"/>
        <v>-0.004</v>
      </c>
    </row>
    <row r="130">
      <c r="A130" s="42" t="s">
        <v>65</v>
      </c>
      <c r="B130" s="41">
        <f>IFERROR(__xludf.DUMMYFUNCTION("VLOOKUP(A130,IMPORTRANGE(""1EmrnCz2gLVTx5Cbj0e5tfuHPhTtmru8KTGuQvh7STl0/edit#gid=2147150001"",""Whole Data Set!$A$2:$NQ$253""),381,FALSE)"),151.0)</f>
        <v>151</v>
      </c>
      <c r="C130" s="58">
        <f t="shared" si="1"/>
        <v>0.604</v>
      </c>
      <c r="D130" s="12">
        <f>IFERROR(__xludf.DUMMYFUNCTION("VLOOKUP(A130,IMPORTRANGE(""1aFCnJY1qhIj8-JckJhDJ18aqmVo17tofpQmOjcYa3u8/edit#gid=948248086"",""Whole Data Set!$A$2:$NG$253""),371,FALSE)"),123.5)</f>
        <v>123.5</v>
      </c>
      <c r="E130" s="13">
        <f t="shared" si="2"/>
        <v>0.494</v>
      </c>
      <c r="F130" s="13">
        <f t="shared" si="3"/>
        <v>0.11</v>
      </c>
      <c r="G130" s="83">
        <f>IFERROR(__xludf.DUMMYFUNCTION("VLOOKUP(A130,IMPORTRANGE(""1_RYWMH8TzKc0_xU44uur9ZmHGpM-mmp96_oQwwz56co/edit#gid=0"",""Sheet1!$A$2:$O$250""),2,FALSE)"),110.75)</f>
        <v>110.75</v>
      </c>
      <c r="H130" s="84">
        <f t="shared" si="4"/>
        <v>0.443</v>
      </c>
      <c r="I130" s="85">
        <f t="shared" si="5"/>
        <v>0.051</v>
      </c>
    </row>
    <row r="131">
      <c r="A131" s="19" t="s">
        <v>181</v>
      </c>
      <c r="B131" s="41">
        <f>IFERROR(__xludf.DUMMYFUNCTION("VLOOKUP(A131,IMPORTRANGE(""1EmrnCz2gLVTx5Cbj0e5tfuHPhTtmru8KTGuQvh7STl0/edit#gid=2147150001"",""Whole Data Set!$A$2:$NQ$253""),381,FALSE)"),21.5)</f>
        <v>21.5</v>
      </c>
      <c r="C131" s="58">
        <f t="shared" si="1"/>
        <v>0.086</v>
      </c>
      <c r="D131" s="12">
        <f>IFERROR(__xludf.DUMMYFUNCTION("VLOOKUP(A131,IMPORTRANGE(""1aFCnJY1qhIj8-JckJhDJ18aqmVo17tofpQmOjcYa3u8/edit#gid=948248086"",""Whole Data Set!$A$2:$NG$253""),371,FALSE)"),22.25)</f>
        <v>22.25</v>
      </c>
      <c r="E131" s="13">
        <f t="shared" si="2"/>
        <v>0.089</v>
      </c>
      <c r="F131" s="13">
        <f t="shared" si="3"/>
        <v>-0.003</v>
      </c>
      <c r="G131" s="83">
        <f>IFERROR(__xludf.DUMMYFUNCTION("VLOOKUP(A131,IMPORTRANGE(""1_RYWMH8TzKc0_xU44uur9ZmHGpM-mmp96_oQwwz56co/edit#gid=0"",""Sheet1!$A$2:$O$250""),2,FALSE)"),31.75)</f>
        <v>31.75</v>
      </c>
      <c r="H131" s="84">
        <f t="shared" si="4"/>
        <v>0.127</v>
      </c>
      <c r="I131" s="85">
        <f t="shared" si="5"/>
        <v>-0.038</v>
      </c>
    </row>
    <row r="132">
      <c r="A132" s="19" t="s">
        <v>135</v>
      </c>
      <c r="B132" s="41">
        <f>IFERROR(__xludf.DUMMYFUNCTION("VLOOKUP(A132,IMPORTRANGE(""1EmrnCz2gLVTx5Cbj0e5tfuHPhTtmru8KTGuQvh7STl0/edit#gid=2147150001"",""Whole Data Set!$A$2:$NQ$253""),381,FALSE)"),62.5)</f>
        <v>62.5</v>
      </c>
      <c r="C132" s="58">
        <f t="shared" si="1"/>
        <v>0.25</v>
      </c>
      <c r="D132" s="12">
        <f>IFERROR(__xludf.DUMMYFUNCTION("VLOOKUP(A132,IMPORTRANGE(""1aFCnJY1qhIj8-JckJhDJ18aqmVo17tofpQmOjcYa3u8/edit#gid=948248086"",""Whole Data Set!$A$2:$NG$253""),371,FALSE)"),74.75)</f>
        <v>74.75</v>
      </c>
      <c r="E132" s="13">
        <f t="shared" si="2"/>
        <v>0.299</v>
      </c>
      <c r="F132" s="13">
        <f t="shared" si="3"/>
        <v>-0.049</v>
      </c>
      <c r="G132" s="83">
        <f>IFERROR(__xludf.DUMMYFUNCTION("VLOOKUP(A132,IMPORTRANGE(""1_RYWMH8TzKc0_xU44uur9ZmHGpM-mmp96_oQwwz56co/edit#gid=0"",""Sheet1!$A$2:$O$250""),2,FALSE)"),68.0)</f>
        <v>68</v>
      </c>
      <c r="H132" s="84">
        <f t="shared" si="4"/>
        <v>0.272</v>
      </c>
      <c r="I132" s="85">
        <f t="shared" si="5"/>
        <v>0.027</v>
      </c>
    </row>
    <row r="133">
      <c r="A133" s="19" t="s">
        <v>136</v>
      </c>
      <c r="B133" s="41">
        <f>IFERROR(__xludf.DUMMYFUNCTION("VLOOKUP(A133,IMPORTRANGE(""1EmrnCz2gLVTx5Cbj0e5tfuHPhTtmru8KTGuQvh7STl0/edit#gid=2147150001"",""Whole Data Set!$A$2:$NQ$253""),381,FALSE)"),108.75)</f>
        <v>108.75</v>
      </c>
      <c r="C133" s="58">
        <f t="shared" si="1"/>
        <v>0.435</v>
      </c>
      <c r="D133" s="12">
        <f>IFERROR(__xludf.DUMMYFUNCTION("VLOOKUP(A133,IMPORTRANGE(""1aFCnJY1qhIj8-JckJhDJ18aqmVo17tofpQmOjcYa3u8/edit#gid=948248086"",""Whole Data Set!$A$2:$NG$253""),371,FALSE)"),106.0)</f>
        <v>106</v>
      </c>
      <c r="E133" s="13">
        <f t="shared" si="2"/>
        <v>0.424</v>
      </c>
      <c r="F133" s="13">
        <f t="shared" si="3"/>
        <v>0.011</v>
      </c>
      <c r="G133" s="83">
        <f>IFERROR(__xludf.DUMMYFUNCTION("VLOOKUP(A133,IMPORTRANGE(""1_RYWMH8TzKc0_xU44uur9ZmHGpM-mmp96_oQwwz56co/edit#gid=0"",""Sheet1!$A$2:$O$250""),2,FALSE)"),126.0)</f>
        <v>126</v>
      </c>
      <c r="H133" s="84">
        <f t="shared" si="4"/>
        <v>0.504</v>
      </c>
      <c r="I133" s="85">
        <f t="shared" si="5"/>
        <v>-0.08</v>
      </c>
    </row>
    <row r="134">
      <c r="A134" s="19" t="s">
        <v>88</v>
      </c>
      <c r="B134" s="41">
        <f>IFERROR(__xludf.DUMMYFUNCTION("VLOOKUP(A134,IMPORTRANGE(""1EmrnCz2gLVTx5Cbj0e5tfuHPhTtmru8KTGuQvh7STl0/edit#gid=2147150001"",""Whole Data Set!$A$2:$NQ$253""),381,FALSE)"),21.0)</f>
        <v>21</v>
      </c>
      <c r="C134" s="58">
        <f t="shared" si="1"/>
        <v>0.084</v>
      </c>
      <c r="D134" s="12">
        <f>IFERROR(__xludf.DUMMYFUNCTION("VLOOKUP(A134,IMPORTRANGE(""1aFCnJY1qhIj8-JckJhDJ18aqmVo17tofpQmOjcYa3u8/edit#gid=948248086"",""Whole Data Set!$A$2:$NG$253""),371,FALSE)"),24.5)</f>
        <v>24.5</v>
      </c>
      <c r="E134" s="13">
        <f t="shared" si="2"/>
        <v>0.098</v>
      </c>
      <c r="F134" s="13">
        <f t="shared" si="3"/>
        <v>-0.014</v>
      </c>
      <c r="G134" s="83">
        <f>IFERROR(__xludf.DUMMYFUNCTION("VLOOKUP(A134,IMPORTRANGE(""1_RYWMH8TzKc0_xU44uur9ZmHGpM-mmp96_oQwwz56co/edit#gid=0"",""Sheet1!$A$2:$O$250""),2,FALSE)"),21.5)</f>
        <v>21.5</v>
      </c>
      <c r="H134" s="84">
        <f t="shared" si="4"/>
        <v>0.086</v>
      </c>
      <c r="I134" s="85">
        <f t="shared" si="5"/>
        <v>0.012</v>
      </c>
    </row>
    <row r="135">
      <c r="A135" s="19" t="s">
        <v>137</v>
      </c>
      <c r="B135" s="41">
        <f>IFERROR(__xludf.DUMMYFUNCTION("VLOOKUP(A135,IMPORTRANGE(""1EmrnCz2gLVTx5Cbj0e5tfuHPhTtmru8KTGuQvh7STl0/edit#gid=2147150001"",""Whole Data Set!$A$2:$NQ$253""),381,FALSE)"),6.0)</f>
        <v>6</v>
      </c>
      <c r="C135" s="58">
        <f t="shared" si="1"/>
        <v>0.024</v>
      </c>
      <c r="D135" s="12">
        <f>IFERROR(__xludf.DUMMYFUNCTION("VLOOKUP(A135,IMPORTRANGE(""1aFCnJY1qhIj8-JckJhDJ18aqmVo17tofpQmOjcYa3u8/edit#gid=948248086"",""Whole Data Set!$A$2:$NG$253""),371,FALSE)"),8.25)</f>
        <v>8.25</v>
      </c>
      <c r="E135" s="13">
        <f t="shared" si="2"/>
        <v>0.033</v>
      </c>
      <c r="F135" s="13">
        <f t="shared" si="3"/>
        <v>-0.009</v>
      </c>
      <c r="G135" s="83">
        <f>IFERROR(__xludf.DUMMYFUNCTION("VLOOKUP(A135,IMPORTRANGE(""1_RYWMH8TzKc0_xU44uur9ZmHGpM-mmp96_oQwwz56co/edit#gid=0"",""Sheet1!$A$2:$O$250""),2,FALSE)"),7.0)</f>
        <v>7</v>
      </c>
      <c r="H135" s="84">
        <f t="shared" si="4"/>
        <v>0.028</v>
      </c>
      <c r="I135" s="85">
        <f t="shared" si="5"/>
        <v>0.005</v>
      </c>
    </row>
    <row r="136">
      <c r="A136" s="19" t="s">
        <v>67</v>
      </c>
      <c r="B136" s="41">
        <f>IFERROR(__xludf.DUMMYFUNCTION("VLOOKUP(A136,IMPORTRANGE(""1EmrnCz2gLVTx5Cbj0e5tfuHPhTtmru8KTGuQvh7STl0/edit#gid=2147150001"",""Whole Data Set!$A$2:$NQ$253""),381,FALSE)"),72.0)</f>
        <v>72</v>
      </c>
      <c r="C136" s="58">
        <f t="shared" si="1"/>
        <v>0.288</v>
      </c>
      <c r="D136" s="12">
        <f>IFERROR(__xludf.DUMMYFUNCTION("VLOOKUP(A136,IMPORTRANGE(""1aFCnJY1qhIj8-JckJhDJ18aqmVo17tofpQmOjcYa3u8/edit#gid=948248086"",""Whole Data Set!$A$2:$NG$253""),371,FALSE)"),72.25)</f>
        <v>72.25</v>
      </c>
      <c r="E136" s="13">
        <f t="shared" si="2"/>
        <v>0.289</v>
      </c>
      <c r="F136" s="13">
        <f t="shared" si="3"/>
        <v>-0.001</v>
      </c>
      <c r="G136" s="83">
        <f>IFERROR(__xludf.DUMMYFUNCTION("VLOOKUP(A136,IMPORTRANGE(""1_RYWMH8TzKc0_xU44uur9ZmHGpM-mmp96_oQwwz56co/edit#gid=0"",""Sheet1!$A$2:$O$250""),2,FALSE)"),55.5)</f>
        <v>55.5</v>
      </c>
      <c r="H136" s="84">
        <f t="shared" si="4"/>
        <v>0.222</v>
      </c>
      <c r="I136" s="85">
        <f t="shared" si="5"/>
        <v>0.067</v>
      </c>
    </row>
    <row r="137">
      <c r="A137" s="19" t="s">
        <v>68</v>
      </c>
      <c r="B137" s="41">
        <f>IFERROR(__xludf.DUMMYFUNCTION("VLOOKUP(A137,IMPORTRANGE(""1EmrnCz2gLVTx5Cbj0e5tfuHPhTtmru8KTGuQvh7STl0/edit#gid=2147150001"",""Whole Data Set!$A$2:$NQ$253""),381,FALSE)"),129.75)</f>
        <v>129.75</v>
      </c>
      <c r="C137" s="58">
        <f t="shared" si="1"/>
        <v>0.519</v>
      </c>
      <c r="D137" s="12">
        <f>IFERROR(__xludf.DUMMYFUNCTION("VLOOKUP(A137,IMPORTRANGE(""1aFCnJY1qhIj8-JckJhDJ18aqmVo17tofpQmOjcYa3u8/edit#gid=948248086"",""Whole Data Set!$A$2:$NG$253""),371,FALSE)"),129.75)</f>
        <v>129.75</v>
      </c>
      <c r="E137" s="13">
        <f t="shared" si="2"/>
        <v>0.519</v>
      </c>
      <c r="F137" s="13">
        <f t="shared" si="3"/>
        <v>0</v>
      </c>
      <c r="G137" s="83">
        <f>IFERROR(__xludf.DUMMYFUNCTION("VLOOKUP(A137,IMPORTRANGE(""1_RYWMH8TzKc0_xU44uur9ZmHGpM-mmp96_oQwwz56co/edit#gid=0"",""Sheet1!$A$2:$O$250""),2,FALSE)"),105.75)</f>
        <v>105.75</v>
      </c>
      <c r="H137" s="84">
        <f t="shared" si="4"/>
        <v>0.423</v>
      </c>
      <c r="I137" s="85">
        <f t="shared" si="5"/>
        <v>0.096</v>
      </c>
    </row>
    <row r="138">
      <c r="A138" s="19" t="s">
        <v>69</v>
      </c>
      <c r="B138" s="41">
        <f>IFERROR(__xludf.DUMMYFUNCTION("VLOOKUP(A138,IMPORTRANGE(""1EmrnCz2gLVTx5Cbj0e5tfuHPhTtmru8KTGuQvh7STl0/edit#gid=2147150001"",""Whole Data Set!$A$2:$NQ$253""),381,FALSE)"),16.5)</f>
        <v>16.5</v>
      </c>
      <c r="C138" s="58">
        <f t="shared" si="1"/>
        <v>0.066</v>
      </c>
      <c r="D138" s="12">
        <f>IFERROR(__xludf.DUMMYFUNCTION("VLOOKUP(A138,IMPORTRANGE(""1aFCnJY1qhIj8-JckJhDJ18aqmVo17tofpQmOjcYa3u8/edit#gid=948248086"",""Whole Data Set!$A$2:$NG$253""),371,FALSE)"),14.25)</f>
        <v>14.25</v>
      </c>
      <c r="E138" s="13">
        <f t="shared" si="2"/>
        <v>0.057</v>
      </c>
      <c r="F138" s="13">
        <f t="shared" si="3"/>
        <v>0.009</v>
      </c>
      <c r="G138" s="83">
        <f>IFERROR(__xludf.DUMMYFUNCTION("VLOOKUP(A138,IMPORTRANGE(""1_RYWMH8TzKc0_xU44uur9ZmHGpM-mmp96_oQwwz56co/edit#gid=0"",""Sheet1!$A$2:$O$250""),2,FALSE)"),25.0)</f>
        <v>25</v>
      </c>
      <c r="H138" s="84">
        <f t="shared" si="4"/>
        <v>0.1</v>
      </c>
      <c r="I138" s="85">
        <f t="shared" si="5"/>
        <v>-0.043</v>
      </c>
    </row>
    <row r="139">
      <c r="A139" s="19" t="s">
        <v>182</v>
      </c>
      <c r="B139" s="41">
        <f>IFERROR(__xludf.DUMMYFUNCTION("VLOOKUP(A139,IMPORTRANGE(""1EmrnCz2gLVTx5Cbj0e5tfuHPhTtmru8KTGuQvh7STl0/edit#gid=2147150001"",""Whole Data Set!$A$2:$NQ$253""),381,FALSE)"),86.25)</f>
        <v>86.25</v>
      </c>
      <c r="C139" s="58">
        <f t="shared" si="1"/>
        <v>0.345</v>
      </c>
      <c r="D139" s="12">
        <f>IFERROR(__xludf.DUMMYFUNCTION("VLOOKUP(A139,IMPORTRANGE(""1aFCnJY1qhIj8-JckJhDJ18aqmVo17tofpQmOjcYa3u8/edit#gid=948248086"",""Whole Data Set!$A$2:$NG$253""),371,FALSE)"),66.0)</f>
        <v>66</v>
      </c>
      <c r="E139" s="13">
        <f t="shared" si="2"/>
        <v>0.264</v>
      </c>
      <c r="F139" s="13">
        <f t="shared" si="3"/>
        <v>0.081</v>
      </c>
      <c r="G139" s="83">
        <f>IFERROR(__xludf.DUMMYFUNCTION("VLOOKUP(A139,IMPORTRANGE(""1_RYWMH8TzKc0_xU44uur9ZmHGpM-mmp96_oQwwz56co/edit#gid=0"",""Sheet1!$A$2:$O$250""),2,FALSE)"),78.0)</f>
        <v>78</v>
      </c>
      <c r="H139" s="84">
        <f t="shared" si="4"/>
        <v>0.312</v>
      </c>
      <c r="I139" s="85">
        <f t="shared" si="5"/>
        <v>-0.048</v>
      </c>
    </row>
    <row r="140">
      <c r="A140" s="19" t="s">
        <v>70</v>
      </c>
      <c r="B140" s="41">
        <f>IFERROR(__xludf.DUMMYFUNCTION("VLOOKUP(A140,IMPORTRANGE(""1EmrnCz2gLVTx5Cbj0e5tfuHPhTtmru8KTGuQvh7STl0/edit#gid=2147150001"",""Whole Data Set!$A$2:$NQ$253""),381,FALSE)"),122.0)</f>
        <v>122</v>
      </c>
      <c r="C140" s="58">
        <f t="shared" si="1"/>
        <v>0.488</v>
      </c>
      <c r="D140" s="12">
        <f>IFERROR(__xludf.DUMMYFUNCTION("VLOOKUP(A140,IMPORTRANGE(""1aFCnJY1qhIj8-JckJhDJ18aqmVo17tofpQmOjcYa3u8/edit#gid=948248086"",""Whole Data Set!$A$2:$NG$253""),371,FALSE)"),108.75)</f>
        <v>108.75</v>
      </c>
      <c r="E140" s="13">
        <f t="shared" si="2"/>
        <v>0.435</v>
      </c>
      <c r="F140" s="13">
        <f t="shared" si="3"/>
        <v>0.053</v>
      </c>
      <c r="G140" s="83">
        <f>IFERROR(__xludf.DUMMYFUNCTION("VLOOKUP(A140,IMPORTRANGE(""1_RYWMH8TzKc0_xU44uur9ZmHGpM-mmp96_oQwwz56co/edit#gid=0"",""Sheet1!$A$2:$O$250""),2,FALSE)"),64.5)</f>
        <v>64.5</v>
      </c>
      <c r="H140" s="84">
        <f t="shared" si="4"/>
        <v>0.258</v>
      </c>
      <c r="I140" s="85">
        <f t="shared" si="5"/>
        <v>0.177</v>
      </c>
    </row>
    <row r="141">
      <c r="A141" s="19" t="s">
        <v>138</v>
      </c>
      <c r="B141" s="41">
        <f>IFERROR(__xludf.DUMMYFUNCTION("VLOOKUP(A141,IMPORTRANGE(""1EmrnCz2gLVTx5Cbj0e5tfuHPhTtmru8KTGuQvh7STl0/edit#gid=2147150001"",""Whole Data Set!$A$2:$NQ$253""),381,FALSE)"),71.0)</f>
        <v>71</v>
      </c>
      <c r="C141" s="58">
        <f t="shared" si="1"/>
        <v>0.284</v>
      </c>
      <c r="D141" s="12">
        <f>IFERROR(__xludf.DUMMYFUNCTION("VLOOKUP(A141,IMPORTRANGE(""1aFCnJY1qhIj8-JckJhDJ18aqmVo17tofpQmOjcYa3u8/edit#gid=948248086"",""Whole Data Set!$A$2:$NG$253""),371,FALSE)"),70.25)</f>
        <v>70.25</v>
      </c>
      <c r="E141" s="13">
        <f t="shared" si="2"/>
        <v>0.281</v>
      </c>
      <c r="F141" s="13">
        <f t="shared" si="3"/>
        <v>0.003</v>
      </c>
      <c r="G141" s="83">
        <f>IFERROR(__xludf.DUMMYFUNCTION("VLOOKUP(A141,IMPORTRANGE(""1_RYWMH8TzKc0_xU44uur9ZmHGpM-mmp96_oQwwz56co/edit#gid=0"",""Sheet1!$A$2:$O$250""),2,FALSE)"),54.5)</f>
        <v>54.5</v>
      </c>
      <c r="H141" s="84">
        <f t="shared" si="4"/>
        <v>0.218</v>
      </c>
      <c r="I141" s="85">
        <f t="shared" si="5"/>
        <v>0.063</v>
      </c>
    </row>
    <row r="142">
      <c r="A142" s="42" t="s">
        <v>21</v>
      </c>
      <c r="B142" s="41">
        <f>IFERROR(__xludf.DUMMYFUNCTION("VLOOKUP(A142,IMPORTRANGE(""1EmrnCz2gLVTx5Cbj0e5tfuHPhTtmru8KTGuQvh7STl0/edit#gid=2147150001"",""Whole Data Set!$A$2:$NQ$253""),381,FALSE)"),95.25)</f>
        <v>95.25</v>
      </c>
      <c r="C142" s="58">
        <f t="shared" si="1"/>
        <v>0.381</v>
      </c>
      <c r="D142" s="12">
        <f>IFERROR(__xludf.DUMMYFUNCTION("VLOOKUP(A142,IMPORTRANGE(""1aFCnJY1qhIj8-JckJhDJ18aqmVo17tofpQmOjcYa3u8/edit#gid=948248086"",""Whole Data Set!$A$2:$NG$253""),371,FALSE)"),108.75)</f>
        <v>108.75</v>
      </c>
      <c r="E142" s="13">
        <f t="shared" si="2"/>
        <v>0.435</v>
      </c>
      <c r="F142" s="13">
        <f t="shared" si="3"/>
        <v>-0.054</v>
      </c>
      <c r="G142" s="83">
        <f>IFERROR(__xludf.DUMMYFUNCTION("VLOOKUP(A142,IMPORTRANGE(""1_RYWMH8TzKc0_xU44uur9ZmHGpM-mmp96_oQwwz56co/edit#gid=0"",""Sheet1!$A$2:$O$250""),2,FALSE)"),120.25)</f>
        <v>120.25</v>
      </c>
      <c r="H142" s="84">
        <f t="shared" si="4"/>
        <v>0.481</v>
      </c>
      <c r="I142" s="85">
        <f t="shared" si="5"/>
        <v>-0.046</v>
      </c>
    </row>
    <row r="143">
      <c r="A143" s="19" t="s">
        <v>183</v>
      </c>
      <c r="B143" s="41">
        <f>IFERROR(__xludf.DUMMYFUNCTION("VLOOKUP(A143,IMPORTRANGE(""1EmrnCz2gLVTx5Cbj0e5tfuHPhTtmru8KTGuQvh7STl0/edit#gid=2147150001"",""Whole Data Set!$A$2:$NQ$253""),381,FALSE)"),42.25)</f>
        <v>42.25</v>
      </c>
      <c r="C143" s="58">
        <f t="shared" si="1"/>
        <v>0.169</v>
      </c>
      <c r="D143" s="12">
        <f>IFERROR(__xludf.DUMMYFUNCTION("VLOOKUP(A143,IMPORTRANGE(""1aFCnJY1qhIj8-JckJhDJ18aqmVo17tofpQmOjcYa3u8/edit#gid=948248086"",""Whole Data Set!$A$2:$NG$253""),371,FALSE)"),12.5)</f>
        <v>12.5</v>
      </c>
      <c r="E143" s="13">
        <f t="shared" si="2"/>
        <v>0.05</v>
      </c>
      <c r="F143" s="13">
        <f t="shared" si="3"/>
        <v>0.119</v>
      </c>
      <c r="G143" s="83">
        <f>IFERROR(__xludf.DUMMYFUNCTION("VLOOKUP(A143,IMPORTRANGE(""1_RYWMH8TzKc0_xU44uur9ZmHGpM-mmp96_oQwwz56co/edit#gid=0"",""Sheet1!$A$2:$O$250""),2,FALSE)"),11.25)</f>
        <v>11.25</v>
      </c>
      <c r="H143" s="84">
        <f t="shared" si="4"/>
        <v>0.045</v>
      </c>
      <c r="I143" s="85">
        <f t="shared" si="5"/>
        <v>0.005</v>
      </c>
    </row>
    <row r="144">
      <c r="A144" s="19" t="s">
        <v>72</v>
      </c>
      <c r="B144" s="41">
        <f>IFERROR(__xludf.DUMMYFUNCTION("VLOOKUP(A144,IMPORTRANGE(""1EmrnCz2gLVTx5Cbj0e5tfuHPhTtmru8KTGuQvh7STl0/edit#gid=2147150001"",""Whole Data Set!$A$2:$NQ$253""),381,FALSE)"),124.5)</f>
        <v>124.5</v>
      </c>
      <c r="C144" s="58">
        <f t="shared" si="1"/>
        <v>0.498</v>
      </c>
      <c r="D144" s="12">
        <f>IFERROR(__xludf.DUMMYFUNCTION("VLOOKUP(A144,IMPORTRANGE(""1aFCnJY1qhIj8-JckJhDJ18aqmVo17tofpQmOjcYa3u8/edit#gid=948248086"",""Whole Data Set!$A$2:$NG$253""),371,FALSE)"),107.75)</f>
        <v>107.75</v>
      </c>
      <c r="E144" s="13">
        <f t="shared" si="2"/>
        <v>0.431</v>
      </c>
      <c r="F144" s="13">
        <f t="shared" si="3"/>
        <v>0.067</v>
      </c>
      <c r="G144" s="83">
        <f>IFERROR(__xludf.DUMMYFUNCTION("VLOOKUP(A144,IMPORTRANGE(""1_RYWMH8TzKc0_xU44uur9ZmHGpM-mmp96_oQwwz56co/edit#gid=0"",""Sheet1!$A$2:$O$250""),2,FALSE)"),89.5)</f>
        <v>89.5</v>
      </c>
      <c r="H144" s="84">
        <f t="shared" si="4"/>
        <v>0.358</v>
      </c>
      <c r="I144" s="85">
        <f t="shared" si="5"/>
        <v>0.073</v>
      </c>
    </row>
    <row r="145">
      <c r="A145" s="19" t="s">
        <v>73</v>
      </c>
      <c r="B145" s="41">
        <f>IFERROR(__xludf.DUMMYFUNCTION("VLOOKUP(A145,IMPORTRANGE(""1EmrnCz2gLVTx5Cbj0e5tfuHPhTtmru8KTGuQvh7STl0/edit#gid=2147150001"",""Whole Data Set!$A$2:$NQ$253""),381,FALSE)"),73.5)</f>
        <v>73.5</v>
      </c>
      <c r="C145" s="58">
        <f t="shared" si="1"/>
        <v>0.294</v>
      </c>
      <c r="D145" s="12">
        <f>IFERROR(__xludf.DUMMYFUNCTION("VLOOKUP(A145,IMPORTRANGE(""1aFCnJY1qhIj8-JckJhDJ18aqmVo17tofpQmOjcYa3u8/edit#gid=948248086"",""Whole Data Set!$A$2:$NG$253""),371,FALSE)"),62.0)</f>
        <v>62</v>
      </c>
      <c r="E145" s="13">
        <f t="shared" si="2"/>
        <v>0.248</v>
      </c>
      <c r="F145" s="13">
        <f t="shared" si="3"/>
        <v>0.046</v>
      </c>
      <c r="G145" s="83">
        <f>IFERROR(__xludf.DUMMYFUNCTION("VLOOKUP(A145,IMPORTRANGE(""1_RYWMH8TzKc0_xU44uur9ZmHGpM-mmp96_oQwwz56co/edit#gid=0"",""Sheet1!$A$2:$O$250""),2,FALSE)"),43.0)</f>
        <v>43</v>
      </c>
      <c r="H145" s="84">
        <f t="shared" si="4"/>
        <v>0.172</v>
      </c>
      <c r="I145" s="85">
        <f t="shared" si="5"/>
        <v>0.076</v>
      </c>
    </row>
    <row r="146">
      <c r="A146" s="19" t="s">
        <v>139</v>
      </c>
      <c r="B146" s="41">
        <f>IFERROR(__xludf.DUMMYFUNCTION("VLOOKUP(A146,IMPORTRANGE(""1EmrnCz2gLVTx5Cbj0e5tfuHPhTtmru8KTGuQvh7STl0/edit#gid=2147150001"",""Whole Data Set!$A$2:$NQ$253""),381,FALSE)"),0.75)</f>
        <v>0.75</v>
      </c>
      <c r="C146" s="58">
        <f t="shared" si="1"/>
        <v>0.003</v>
      </c>
      <c r="D146" s="12">
        <f>IFERROR(__xludf.DUMMYFUNCTION("VLOOKUP(A146,IMPORTRANGE(""1aFCnJY1qhIj8-JckJhDJ18aqmVo17tofpQmOjcYa3u8/edit#gid=948248086"",""Whole Data Set!$A$2:$NG$253""),371,FALSE)"),0.5)</f>
        <v>0.5</v>
      </c>
      <c r="E146" s="13">
        <f t="shared" si="2"/>
        <v>0.002</v>
      </c>
      <c r="F146" s="13">
        <f t="shared" si="3"/>
        <v>0.001</v>
      </c>
      <c r="G146" s="83">
        <f>IFERROR(__xludf.DUMMYFUNCTION("VLOOKUP(A146,IMPORTRANGE(""1_RYWMH8TzKc0_xU44uur9ZmHGpM-mmp96_oQwwz56co/edit#gid=0"",""Sheet1!$A$2:$O$250""),2,FALSE)"),1.0)</f>
        <v>1</v>
      </c>
      <c r="H146" s="84">
        <f t="shared" si="4"/>
        <v>0.004</v>
      </c>
      <c r="I146" s="85">
        <f t="shared" si="5"/>
        <v>-0.002</v>
      </c>
    </row>
    <row r="147">
      <c r="A147" s="19" t="s">
        <v>184</v>
      </c>
      <c r="B147" s="41">
        <f>IFERROR(__xludf.DUMMYFUNCTION("VLOOKUP(A147,IMPORTRANGE(""1EmrnCz2gLVTx5Cbj0e5tfuHPhTtmru8KTGuQvh7STl0/edit#gid=2147150001"",""Whole Data Set!$A$2:$NQ$253""),381,FALSE)"),20.25)</f>
        <v>20.25</v>
      </c>
      <c r="C147" s="58">
        <f t="shared" si="1"/>
        <v>0.081</v>
      </c>
      <c r="D147" s="12">
        <f>IFERROR(__xludf.DUMMYFUNCTION("VLOOKUP(A147,IMPORTRANGE(""1aFCnJY1qhIj8-JckJhDJ18aqmVo17tofpQmOjcYa3u8/edit#gid=948248086"",""Whole Data Set!$A$2:$NG$253""),371,FALSE)"),12.25)</f>
        <v>12.25</v>
      </c>
      <c r="E147" s="13">
        <f t="shared" si="2"/>
        <v>0.049</v>
      </c>
      <c r="F147" s="13">
        <f t="shared" si="3"/>
        <v>0.032</v>
      </c>
      <c r="G147" s="83">
        <f>IFERROR(__xludf.DUMMYFUNCTION("VLOOKUP(A147,IMPORTRANGE(""1_RYWMH8TzKc0_xU44uur9ZmHGpM-mmp96_oQwwz56co/edit#gid=0"",""Sheet1!$A$2:$O$250""),2,FALSE)"),22.0)</f>
        <v>22</v>
      </c>
      <c r="H147" s="84">
        <f t="shared" si="4"/>
        <v>0.088</v>
      </c>
      <c r="I147" s="85">
        <f t="shared" si="5"/>
        <v>-0.039</v>
      </c>
    </row>
    <row r="148">
      <c r="A148" s="19" t="s">
        <v>185</v>
      </c>
      <c r="B148" s="41">
        <f>IFERROR(__xludf.DUMMYFUNCTION("VLOOKUP(A148,IMPORTRANGE(""1EmrnCz2gLVTx5Cbj0e5tfuHPhTtmru8KTGuQvh7STl0/edit#gid=2147150001"",""Whole Data Set!$A$2:$NQ$253""),381,FALSE)"),0.0)</f>
        <v>0</v>
      </c>
      <c r="C148" s="58">
        <f t="shared" si="1"/>
        <v>0</v>
      </c>
      <c r="D148" s="12">
        <f>IFERROR(__xludf.DUMMYFUNCTION("VLOOKUP(A148,IMPORTRANGE(""1aFCnJY1qhIj8-JckJhDJ18aqmVo17tofpQmOjcYa3u8/edit#gid=948248086"",""Whole Data Set!$A$2:$NG$253""),371,FALSE)"),0.0)</f>
        <v>0</v>
      </c>
      <c r="E148" s="13">
        <f t="shared" si="2"/>
        <v>0</v>
      </c>
      <c r="F148" s="13">
        <f t="shared" si="3"/>
        <v>0</v>
      </c>
      <c r="G148" s="83">
        <f>IFERROR(__xludf.DUMMYFUNCTION("VLOOKUP(A148,IMPORTRANGE(""1_RYWMH8TzKc0_xU44uur9ZmHGpM-mmp96_oQwwz56co/edit#gid=0"",""Sheet1!$A$2:$O$250""),2,FALSE)"),0.0)</f>
        <v>0</v>
      </c>
      <c r="H148" s="84">
        <f t="shared" si="4"/>
        <v>0</v>
      </c>
      <c r="I148" s="85">
        <f t="shared" si="5"/>
        <v>0</v>
      </c>
    </row>
    <row r="149">
      <c r="A149" s="19" t="s">
        <v>22</v>
      </c>
      <c r="B149" s="41">
        <f>IFERROR(__xludf.DUMMYFUNCTION("VLOOKUP(A149,IMPORTRANGE(""1EmrnCz2gLVTx5Cbj0e5tfuHPhTtmru8KTGuQvh7STl0/edit#gid=2147150001"",""Whole Data Set!$A$2:$NQ$253""),381,FALSE)"),0.0)</f>
        <v>0</v>
      </c>
      <c r="C149" s="58">
        <f t="shared" si="1"/>
        <v>0</v>
      </c>
      <c r="D149" s="12">
        <f>IFERROR(__xludf.DUMMYFUNCTION("VLOOKUP(A149,IMPORTRANGE(""1aFCnJY1qhIj8-JckJhDJ18aqmVo17tofpQmOjcYa3u8/edit#gid=948248086"",""Whole Data Set!$A$2:$NG$253""),371,FALSE)"),0.0)</f>
        <v>0</v>
      </c>
      <c r="E149" s="13">
        <f t="shared" si="2"/>
        <v>0</v>
      </c>
      <c r="F149" s="13">
        <f t="shared" si="3"/>
        <v>0</v>
      </c>
      <c r="G149" s="83">
        <f>IFERROR(__xludf.DUMMYFUNCTION("VLOOKUP(A149,IMPORTRANGE(""1_RYWMH8TzKc0_xU44uur9ZmHGpM-mmp96_oQwwz56co/edit#gid=0"",""Sheet1!$A$2:$O$250""),2,FALSE)"),0.0)</f>
        <v>0</v>
      </c>
      <c r="H149" s="84">
        <f t="shared" si="4"/>
        <v>0</v>
      </c>
      <c r="I149" s="85">
        <f t="shared" si="5"/>
        <v>0</v>
      </c>
    </row>
    <row r="150">
      <c r="A150" s="19" t="s">
        <v>100</v>
      </c>
      <c r="B150" s="41">
        <f>IFERROR(__xludf.DUMMYFUNCTION("VLOOKUP(A150,IMPORTRANGE(""1EmrnCz2gLVTx5Cbj0e5tfuHPhTtmru8KTGuQvh7STl0/edit#gid=2147150001"",""Whole Data Set!$A$2:$NQ$253""),381,FALSE)"),58.5)</f>
        <v>58.5</v>
      </c>
      <c r="C150" s="58">
        <f t="shared" si="1"/>
        <v>0.234</v>
      </c>
      <c r="D150" s="12">
        <f>IFERROR(__xludf.DUMMYFUNCTION("VLOOKUP(A150,IMPORTRANGE(""1aFCnJY1qhIj8-JckJhDJ18aqmVo17tofpQmOjcYa3u8/edit#gid=948248086"",""Whole Data Set!$A$2:$NG$253""),371,FALSE)"),33.0)</f>
        <v>33</v>
      </c>
      <c r="E150" s="13">
        <f t="shared" si="2"/>
        <v>0.132</v>
      </c>
      <c r="F150" s="13">
        <f t="shared" si="3"/>
        <v>0.102</v>
      </c>
      <c r="G150" s="83">
        <f>IFERROR(__xludf.DUMMYFUNCTION("VLOOKUP(A150,IMPORTRANGE(""1_RYWMH8TzKc0_xU44uur9ZmHGpM-mmp96_oQwwz56co/edit#gid=0"",""Sheet1!$A$2:$O$250""),2,FALSE)"),39.0)</f>
        <v>39</v>
      </c>
      <c r="H150" s="84">
        <f t="shared" si="4"/>
        <v>0.156</v>
      </c>
      <c r="I150" s="85">
        <f t="shared" si="5"/>
        <v>-0.024</v>
      </c>
    </row>
    <row r="151">
      <c r="A151" s="19" t="s">
        <v>76</v>
      </c>
      <c r="B151" s="41">
        <f>IFERROR(__xludf.DUMMYFUNCTION("VLOOKUP(A151,IMPORTRANGE(""1EmrnCz2gLVTx5Cbj0e5tfuHPhTtmru8KTGuQvh7STl0/edit#gid=2147150001"",""Whole Data Set!$A$2:$NQ$253""),381,FALSE)"),85.5)</f>
        <v>85.5</v>
      </c>
      <c r="C151" s="58">
        <f t="shared" si="1"/>
        <v>0.342</v>
      </c>
      <c r="D151" s="12">
        <f>IFERROR(__xludf.DUMMYFUNCTION("VLOOKUP(A151,IMPORTRANGE(""1aFCnJY1qhIj8-JckJhDJ18aqmVo17tofpQmOjcYa3u8/edit#gid=948248086"",""Whole Data Set!$A$2:$NG$253""),371,FALSE)"),44.25)</f>
        <v>44.25</v>
      </c>
      <c r="E151" s="13">
        <f t="shared" si="2"/>
        <v>0.177</v>
      </c>
      <c r="F151" s="13">
        <f t="shared" si="3"/>
        <v>0.165</v>
      </c>
      <c r="G151" s="83">
        <f>IFERROR(__xludf.DUMMYFUNCTION("VLOOKUP(A151,IMPORTRANGE(""1_RYWMH8TzKc0_xU44uur9ZmHGpM-mmp96_oQwwz56co/edit#gid=0"",""Sheet1!$A$2:$O$250""),2,FALSE)"),46.0)</f>
        <v>46</v>
      </c>
      <c r="H151" s="84">
        <f t="shared" si="4"/>
        <v>0.184</v>
      </c>
      <c r="I151" s="85">
        <f t="shared" si="5"/>
        <v>-0.007</v>
      </c>
    </row>
    <row r="152">
      <c r="A152" s="19" t="s">
        <v>186</v>
      </c>
      <c r="B152" s="41">
        <f>IFERROR(__xludf.DUMMYFUNCTION("VLOOKUP(A152,IMPORTRANGE(""1EmrnCz2gLVTx5Cbj0e5tfuHPhTtmru8KTGuQvh7STl0/edit#gid=2147150001"",""Whole Data Set!$A$2:$NQ$253""),381,FALSE)"),44.75)</f>
        <v>44.75</v>
      </c>
      <c r="C152" s="58">
        <f t="shared" si="1"/>
        <v>0.179</v>
      </c>
      <c r="D152" s="12">
        <f>IFERROR(__xludf.DUMMYFUNCTION("VLOOKUP(A152,IMPORTRANGE(""1aFCnJY1qhIj8-JckJhDJ18aqmVo17tofpQmOjcYa3u8/edit#gid=948248086"",""Whole Data Set!$A$2:$NG$253""),371,FALSE)"),49.0)</f>
        <v>49</v>
      </c>
      <c r="E152" s="13">
        <f t="shared" si="2"/>
        <v>0.196</v>
      </c>
      <c r="F152" s="13">
        <f t="shared" si="3"/>
        <v>-0.017</v>
      </c>
      <c r="G152" s="83">
        <f>IFERROR(__xludf.DUMMYFUNCTION("VLOOKUP(A152,IMPORTRANGE(""1_RYWMH8TzKc0_xU44uur9ZmHGpM-mmp96_oQwwz56co/edit#gid=0"",""Sheet1!$A$2:$O$250""),2,FALSE)"),53.75)</f>
        <v>53.75</v>
      </c>
      <c r="H152" s="84">
        <f t="shared" si="4"/>
        <v>0.215</v>
      </c>
      <c r="I152" s="85">
        <f t="shared" si="5"/>
        <v>-0.019</v>
      </c>
    </row>
    <row r="153">
      <c r="A153" s="19" t="s">
        <v>187</v>
      </c>
      <c r="B153" s="41">
        <f>IFERROR(__xludf.DUMMYFUNCTION("VLOOKUP(A153,IMPORTRANGE(""1EmrnCz2gLVTx5Cbj0e5tfuHPhTtmru8KTGuQvh7STl0/edit#gid=2147150001"",""Whole Data Set!$A$2:$NQ$253""),381,FALSE)"),66.5)</f>
        <v>66.5</v>
      </c>
      <c r="C153" s="58">
        <f t="shared" si="1"/>
        <v>0.266</v>
      </c>
      <c r="D153" s="12">
        <f>IFERROR(__xludf.DUMMYFUNCTION("VLOOKUP(A153,IMPORTRANGE(""1aFCnJY1qhIj8-JckJhDJ18aqmVo17tofpQmOjcYa3u8/edit#gid=948248086"",""Whole Data Set!$A$2:$NG$253""),371,FALSE)"),43.0)</f>
        <v>43</v>
      </c>
      <c r="E153" s="13">
        <f t="shared" si="2"/>
        <v>0.172</v>
      </c>
      <c r="F153" s="13">
        <f t="shared" si="3"/>
        <v>0.094</v>
      </c>
      <c r="G153" s="83">
        <f>IFERROR(__xludf.DUMMYFUNCTION("VLOOKUP(A153,IMPORTRANGE(""1_RYWMH8TzKc0_xU44uur9ZmHGpM-mmp96_oQwwz56co/edit#gid=0"",""Sheet1!$A$2:$O$250""),2,FALSE)"),44.75)</f>
        <v>44.75</v>
      </c>
      <c r="H153" s="84">
        <f t="shared" si="4"/>
        <v>0.179</v>
      </c>
      <c r="I153" s="85">
        <f t="shared" si="5"/>
        <v>-0.007</v>
      </c>
    </row>
    <row r="154">
      <c r="A154" s="19" t="s">
        <v>140</v>
      </c>
      <c r="B154" s="41">
        <f>IFERROR(__xludf.DUMMYFUNCTION("VLOOKUP(A154,IMPORTRANGE(""1EmrnCz2gLVTx5Cbj0e5tfuHPhTtmru8KTGuQvh7STl0/edit#gid=2147150001"",""Whole Data Set!$A$2:$NQ$253""),381,FALSE)"),44.0)</f>
        <v>44</v>
      </c>
      <c r="C154" s="58">
        <f t="shared" si="1"/>
        <v>0.176</v>
      </c>
      <c r="D154" s="12">
        <f>IFERROR(__xludf.DUMMYFUNCTION("VLOOKUP(A154,IMPORTRANGE(""1aFCnJY1qhIj8-JckJhDJ18aqmVo17tofpQmOjcYa3u8/edit#gid=948248086"",""Whole Data Set!$A$2:$NG$253""),371,FALSE)"),46.25)</f>
        <v>46.25</v>
      </c>
      <c r="E154" s="13">
        <f t="shared" si="2"/>
        <v>0.185</v>
      </c>
      <c r="F154" s="13">
        <f t="shared" si="3"/>
        <v>-0.009</v>
      </c>
      <c r="G154" s="83">
        <f>IFERROR(__xludf.DUMMYFUNCTION("VLOOKUP(A154,IMPORTRANGE(""1_RYWMH8TzKc0_xU44uur9ZmHGpM-mmp96_oQwwz56co/edit#gid=0"",""Sheet1!$A$2:$O$250""),2,FALSE)"),45.0)</f>
        <v>45</v>
      </c>
      <c r="H154" s="84">
        <f t="shared" si="4"/>
        <v>0.18</v>
      </c>
      <c r="I154" s="85">
        <f t="shared" si="5"/>
        <v>0.005</v>
      </c>
    </row>
    <row r="155">
      <c r="A155" s="19" t="s">
        <v>244</v>
      </c>
      <c r="B155" s="41">
        <f>IFERROR(__xludf.DUMMYFUNCTION("VLOOKUP(A155,IMPORTRANGE(""1EmrnCz2gLVTx5Cbj0e5tfuHPhTtmru8KTGuQvh7STl0/edit#gid=2147150001"",""Whole Data Set!$A$2:$NQ$253""),381,FALSE)"),72.0)</f>
        <v>72</v>
      </c>
      <c r="C155" s="58">
        <f t="shared" si="1"/>
        <v>0.288</v>
      </c>
      <c r="D155" s="12">
        <f>IFERROR(__xludf.DUMMYFUNCTION("VLOOKUP(A155,IMPORTRANGE(""1aFCnJY1qhIj8-JckJhDJ18aqmVo17tofpQmOjcYa3u8/edit#gid=948248086"",""Whole Data Set!$A$2:$NG$253""),371,FALSE)"),66.75)</f>
        <v>66.75</v>
      </c>
      <c r="E155" s="13">
        <f t="shared" si="2"/>
        <v>0.267</v>
      </c>
      <c r="F155" s="13">
        <f t="shared" si="3"/>
        <v>0.021</v>
      </c>
      <c r="G155" s="83">
        <f>IFERROR(__xludf.DUMMYFUNCTION("VLOOKUP(A155,IMPORTRANGE(""1_RYWMH8TzKc0_xU44uur9ZmHGpM-mmp96_oQwwz56co/edit#gid=0"",""Sheet1!$A$2:$O$250""),2,FALSE)"),69.75)</f>
        <v>69.75</v>
      </c>
      <c r="H155" s="84">
        <f t="shared" si="4"/>
        <v>0.279</v>
      </c>
      <c r="I155" s="85">
        <f t="shared" si="5"/>
        <v>-0.012</v>
      </c>
    </row>
    <row r="156">
      <c r="A156" s="19" t="s">
        <v>188</v>
      </c>
      <c r="B156" s="41">
        <f>IFERROR(__xludf.DUMMYFUNCTION("VLOOKUP(A156,IMPORTRANGE(""1EmrnCz2gLVTx5Cbj0e5tfuHPhTtmru8KTGuQvh7STl0/edit#gid=2147150001"",""Whole Data Set!$A$2:$NQ$253""),381,FALSE)"),26.75)</f>
        <v>26.75</v>
      </c>
      <c r="C156" s="58">
        <f t="shared" si="1"/>
        <v>0.107</v>
      </c>
      <c r="D156" s="12">
        <f>IFERROR(__xludf.DUMMYFUNCTION("VLOOKUP(A156,IMPORTRANGE(""1aFCnJY1qhIj8-JckJhDJ18aqmVo17tofpQmOjcYa3u8/edit#gid=948248086"",""Whole Data Set!$A$2:$NG$253""),371,FALSE)"),32.25)</f>
        <v>32.25</v>
      </c>
      <c r="E156" s="13">
        <f t="shared" si="2"/>
        <v>0.129</v>
      </c>
      <c r="F156" s="13">
        <f t="shared" si="3"/>
        <v>-0.022</v>
      </c>
      <c r="G156" s="83">
        <f>IFERROR(__xludf.DUMMYFUNCTION("VLOOKUP(A156,IMPORTRANGE(""1_RYWMH8TzKc0_xU44uur9ZmHGpM-mmp96_oQwwz56co/edit#gid=0"",""Sheet1!$A$2:$O$250""),2,FALSE)"),37.25)</f>
        <v>37.25</v>
      </c>
      <c r="H156" s="84">
        <f t="shared" si="4"/>
        <v>0.149</v>
      </c>
      <c r="I156" s="85">
        <f t="shared" si="5"/>
        <v>-0.02</v>
      </c>
    </row>
    <row r="157">
      <c r="A157" s="19" t="s">
        <v>189</v>
      </c>
      <c r="B157" s="41">
        <f>IFERROR(__xludf.DUMMYFUNCTION("VLOOKUP(A157,IMPORTRANGE(""1EmrnCz2gLVTx5Cbj0e5tfuHPhTtmru8KTGuQvh7STl0/edit#gid=2147150001"",""Whole Data Set!$A$2:$NQ$253""),381,FALSE)"),70.25)</f>
        <v>70.25</v>
      </c>
      <c r="C157" s="58">
        <f t="shared" si="1"/>
        <v>0.281</v>
      </c>
      <c r="D157" s="12">
        <f>IFERROR(__xludf.DUMMYFUNCTION("VLOOKUP(A157,IMPORTRANGE(""1aFCnJY1qhIj8-JckJhDJ18aqmVo17tofpQmOjcYa3u8/edit#gid=948248086"",""Whole Data Set!$A$2:$NG$253""),371,FALSE)"),50.25)</f>
        <v>50.25</v>
      </c>
      <c r="E157" s="13">
        <f t="shared" si="2"/>
        <v>0.201</v>
      </c>
      <c r="F157" s="13">
        <f t="shared" si="3"/>
        <v>0.08</v>
      </c>
      <c r="G157" s="83">
        <f>IFERROR(__xludf.DUMMYFUNCTION("VLOOKUP(A157,IMPORTRANGE(""1_RYWMH8TzKc0_xU44uur9ZmHGpM-mmp96_oQwwz56co/edit#gid=0"",""Sheet1!$A$2:$O$250""),2,FALSE)"),55.75)</f>
        <v>55.75</v>
      </c>
      <c r="H157" s="84">
        <f t="shared" si="4"/>
        <v>0.223</v>
      </c>
      <c r="I157" s="85">
        <f t="shared" si="5"/>
        <v>-0.022</v>
      </c>
    </row>
    <row r="158">
      <c r="A158" s="19" t="s">
        <v>77</v>
      </c>
      <c r="B158" s="41">
        <f>IFERROR(__xludf.DUMMYFUNCTION("VLOOKUP(A158,IMPORTRANGE(""1EmrnCz2gLVTx5Cbj0e5tfuHPhTtmru8KTGuQvh7STl0/edit#gid=2147150001"",""Whole Data Set!$A$2:$NQ$253""),381,FALSE)"),113.75)</f>
        <v>113.75</v>
      </c>
      <c r="C158" s="58">
        <f t="shared" si="1"/>
        <v>0.455</v>
      </c>
      <c r="D158" s="12">
        <f>IFERROR(__xludf.DUMMYFUNCTION("VLOOKUP(A158,IMPORTRANGE(""1aFCnJY1qhIj8-JckJhDJ18aqmVo17tofpQmOjcYa3u8/edit#gid=948248086"",""Whole Data Set!$A$2:$NG$253""),371,FALSE)"),103.5)</f>
        <v>103.5</v>
      </c>
      <c r="E158" s="13">
        <f t="shared" si="2"/>
        <v>0.414</v>
      </c>
      <c r="F158" s="13">
        <f t="shared" si="3"/>
        <v>0.041</v>
      </c>
      <c r="G158" s="83">
        <f>IFERROR(__xludf.DUMMYFUNCTION("VLOOKUP(A158,IMPORTRANGE(""1_RYWMH8TzKc0_xU44uur9ZmHGpM-mmp96_oQwwz56co/edit#gid=0"",""Sheet1!$A$2:$O$250""),2,FALSE)"),105.75)</f>
        <v>105.75</v>
      </c>
      <c r="H158" s="84">
        <f t="shared" si="4"/>
        <v>0.423</v>
      </c>
      <c r="I158" s="85">
        <f t="shared" si="5"/>
        <v>-0.009</v>
      </c>
    </row>
    <row r="159">
      <c r="A159" s="19" t="s">
        <v>78</v>
      </c>
      <c r="B159" s="41">
        <f>IFERROR(__xludf.DUMMYFUNCTION("VLOOKUP(A159,IMPORTRANGE(""1EmrnCz2gLVTx5Cbj0e5tfuHPhTtmru8KTGuQvh7STl0/edit#gid=2147150001"",""Whole Data Set!$A$2:$NQ$253""),381,FALSE)"),105.0)</f>
        <v>105</v>
      </c>
      <c r="C159" s="58">
        <f t="shared" si="1"/>
        <v>0.42</v>
      </c>
      <c r="D159" s="12">
        <f>IFERROR(__xludf.DUMMYFUNCTION("VLOOKUP(A159,IMPORTRANGE(""1aFCnJY1qhIj8-JckJhDJ18aqmVo17tofpQmOjcYa3u8/edit#gid=948248086"",""Whole Data Set!$A$2:$NG$253""),371,FALSE)"),100.25)</f>
        <v>100.25</v>
      </c>
      <c r="E159" s="13">
        <f t="shared" si="2"/>
        <v>0.401</v>
      </c>
      <c r="F159" s="13">
        <f t="shared" si="3"/>
        <v>0.019</v>
      </c>
      <c r="G159" s="83">
        <f>IFERROR(__xludf.DUMMYFUNCTION("VLOOKUP(A159,IMPORTRANGE(""1_RYWMH8TzKc0_xU44uur9ZmHGpM-mmp96_oQwwz56co/edit#gid=0"",""Sheet1!$A$2:$O$250""),2,FALSE)"),85.5)</f>
        <v>85.5</v>
      </c>
      <c r="H159" s="84">
        <f t="shared" si="4"/>
        <v>0.342</v>
      </c>
      <c r="I159" s="85">
        <f t="shared" si="5"/>
        <v>0.059</v>
      </c>
    </row>
    <row r="160">
      <c r="A160" s="19" t="s">
        <v>141</v>
      </c>
      <c r="B160" s="41">
        <f>IFERROR(__xludf.DUMMYFUNCTION("VLOOKUP(A160,IMPORTRANGE(""1EmrnCz2gLVTx5Cbj0e5tfuHPhTtmru8KTGuQvh7STl0/edit#gid=2147150001"",""Whole Data Set!$A$2:$NQ$253""),381,FALSE)"),0.75)</f>
        <v>0.75</v>
      </c>
      <c r="C160" s="58">
        <f t="shared" si="1"/>
        <v>0.003</v>
      </c>
      <c r="D160" s="12">
        <f>IFERROR(__xludf.DUMMYFUNCTION("VLOOKUP(A160,IMPORTRANGE(""1aFCnJY1qhIj8-JckJhDJ18aqmVo17tofpQmOjcYa3u8/edit#gid=948248086"",""Whole Data Set!$A$2:$NG$253""),371,FALSE)"),0.75)</f>
        <v>0.75</v>
      </c>
      <c r="E160" s="13">
        <f t="shared" si="2"/>
        <v>0.003</v>
      </c>
      <c r="F160" s="13">
        <f t="shared" si="3"/>
        <v>0</v>
      </c>
      <c r="G160" s="83">
        <f>IFERROR(__xludf.DUMMYFUNCTION("VLOOKUP(A160,IMPORTRANGE(""1_RYWMH8TzKc0_xU44uur9ZmHGpM-mmp96_oQwwz56co/edit#gid=0"",""Sheet1!$A$2:$O$250""),2,FALSE)"),1.0)</f>
        <v>1</v>
      </c>
      <c r="H160" s="84">
        <f t="shared" si="4"/>
        <v>0.004</v>
      </c>
      <c r="I160" s="85">
        <f t="shared" si="5"/>
        <v>-0.001</v>
      </c>
    </row>
    <row r="161">
      <c r="A161" s="19" t="s">
        <v>79</v>
      </c>
      <c r="B161" s="41">
        <f>IFERROR(__xludf.DUMMYFUNCTION("VLOOKUP(A161,IMPORTRANGE(""1EmrnCz2gLVTx5Cbj0e5tfuHPhTtmru8KTGuQvh7STl0/edit#gid=2147150001"",""Whole Data Set!$A$2:$NQ$253""),381,FALSE)"),90.5)</f>
        <v>90.5</v>
      </c>
      <c r="C161" s="58">
        <f t="shared" si="1"/>
        <v>0.362</v>
      </c>
      <c r="D161" s="12">
        <f>IFERROR(__xludf.DUMMYFUNCTION("VLOOKUP(A161,IMPORTRANGE(""1aFCnJY1qhIj8-JckJhDJ18aqmVo17tofpQmOjcYa3u8/edit#gid=948248086"",""Whole Data Set!$A$2:$NG$253""),371,FALSE)"),92.75)</f>
        <v>92.75</v>
      </c>
      <c r="E161" s="13">
        <f t="shared" si="2"/>
        <v>0.371</v>
      </c>
      <c r="F161" s="13">
        <f t="shared" si="3"/>
        <v>-0.009</v>
      </c>
      <c r="G161" s="83">
        <f>IFERROR(__xludf.DUMMYFUNCTION("VLOOKUP(A161,IMPORTRANGE(""1_RYWMH8TzKc0_xU44uur9ZmHGpM-mmp96_oQwwz56co/edit#gid=0"",""Sheet1!$A$2:$O$250""),2,FALSE)"),99.25)</f>
        <v>99.25</v>
      </c>
      <c r="H161" s="84">
        <f t="shared" si="4"/>
        <v>0.397</v>
      </c>
      <c r="I161" s="85">
        <f t="shared" si="5"/>
        <v>-0.026</v>
      </c>
    </row>
    <row r="162">
      <c r="A162" s="19" t="s">
        <v>80</v>
      </c>
      <c r="B162" s="41">
        <f>IFERROR(__xludf.DUMMYFUNCTION("VLOOKUP(A162,IMPORTRANGE(""1EmrnCz2gLVTx5Cbj0e5tfuHPhTtmru8KTGuQvh7STl0/edit#gid=2147150001"",""Whole Data Set!$A$2:$NQ$253""),381,FALSE)"),124.75)</f>
        <v>124.75</v>
      </c>
      <c r="C162" s="58">
        <f t="shared" si="1"/>
        <v>0.499</v>
      </c>
      <c r="D162" s="12">
        <f>IFERROR(__xludf.DUMMYFUNCTION("VLOOKUP(A162,IMPORTRANGE(""1aFCnJY1qhIj8-JckJhDJ18aqmVo17tofpQmOjcYa3u8/edit#gid=948248086"",""Whole Data Set!$A$2:$NG$253""),371,FALSE)"),133.5)</f>
        <v>133.5</v>
      </c>
      <c r="E162" s="13">
        <f t="shared" si="2"/>
        <v>0.534</v>
      </c>
      <c r="F162" s="13">
        <f t="shared" si="3"/>
        <v>-0.035</v>
      </c>
      <c r="G162" s="83">
        <f>IFERROR(__xludf.DUMMYFUNCTION("VLOOKUP(A162,IMPORTRANGE(""1_RYWMH8TzKc0_xU44uur9ZmHGpM-mmp96_oQwwz56co/edit#gid=0"",""Sheet1!$A$2:$O$250""),2,FALSE)"),138.5)</f>
        <v>138.5</v>
      </c>
      <c r="H162" s="84">
        <f t="shared" si="4"/>
        <v>0.554</v>
      </c>
      <c r="I162" s="85">
        <f t="shared" si="5"/>
        <v>-0.02</v>
      </c>
    </row>
    <row r="163">
      <c r="A163" s="19" t="s">
        <v>142</v>
      </c>
      <c r="B163" s="41">
        <f>IFERROR(__xludf.DUMMYFUNCTION("VLOOKUP(A163,IMPORTRANGE(""1EmrnCz2gLVTx5Cbj0e5tfuHPhTtmru8KTGuQvh7STl0/edit#gid=2147150001"",""Whole Data Set!$A$2:$NQ$253""),381,FALSE)"),1.5)</f>
        <v>1.5</v>
      </c>
      <c r="C163" s="58">
        <f t="shared" si="1"/>
        <v>0.006</v>
      </c>
      <c r="D163" s="12">
        <f>IFERROR(__xludf.DUMMYFUNCTION("VLOOKUP(A163,IMPORTRANGE(""1aFCnJY1qhIj8-JckJhDJ18aqmVo17tofpQmOjcYa3u8/edit#gid=948248086"",""Whole Data Set!$A$2:$NG$253""),371,FALSE)"),1.5)</f>
        <v>1.5</v>
      </c>
      <c r="E163" s="13">
        <f t="shared" si="2"/>
        <v>0.006</v>
      </c>
      <c r="F163" s="13">
        <f t="shared" si="3"/>
        <v>0</v>
      </c>
      <c r="G163" s="83">
        <f>IFERROR(__xludf.DUMMYFUNCTION("VLOOKUP(A163,IMPORTRANGE(""1_RYWMH8TzKc0_xU44uur9ZmHGpM-mmp96_oQwwz56co/edit#gid=0"",""Sheet1!$A$2:$O$250""),2,FALSE)"),3.5)</f>
        <v>3.5</v>
      </c>
      <c r="H163" s="84">
        <f t="shared" si="4"/>
        <v>0.014</v>
      </c>
      <c r="I163" s="85">
        <f t="shared" si="5"/>
        <v>-0.008</v>
      </c>
    </row>
    <row r="164">
      <c r="A164" s="19" t="s">
        <v>82</v>
      </c>
      <c r="B164" s="41">
        <f>IFERROR(__xludf.DUMMYFUNCTION("VLOOKUP(A164,IMPORTRANGE(""1EmrnCz2gLVTx5Cbj0e5tfuHPhTtmru8KTGuQvh7STl0/edit#gid=2147150001"",""Whole Data Set!$A$2:$NQ$253""),381,FALSE)"),65.25)</f>
        <v>65.25</v>
      </c>
      <c r="C164" s="58">
        <f t="shared" si="1"/>
        <v>0.261</v>
      </c>
      <c r="D164" s="12">
        <f>IFERROR(__xludf.DUMMYFUNCTION("VLOOKUP(A164,IMPORTRANGE(""1aFCnJY1qhIj8-JckJhDJ18aqmVo17tofpQmOjcYa3u8/edit#gid=948248086"",""Whole Data Set!$A$2:$NG$253""),371,FALSE)"),42.75)</f>
        <v>42.75</v>
      </c>
      <c r="E164" s="13">
        <f t="shared" si="2"/>
        <v>0.171</v>
      </c>
      <c r="F164" s="13">
        <f t="shared" si="3"/>
        <v>0.09</v>
      </c>
      <c r="G164" s="83">
        <f>IFERROR(__xludf.DUMMYFUNCTION("VLOOKUP(A164,IMPORTRANGE(""1_RYWMH8TzKc0_xU44uur9ZmHGpM-mmp96_oQwwz56co/edit#gid=0"",""Sheet1!$A$2:$O$250""),2,FALSE)"),70.25)</f>
        <v>70.25</v>
      </c>
      <c r="H164" s="84">
        <f t="shared" si="4"/>
        <v>0.281</v>
      </c>
      <c r="I164" s="85">
        <f t="shared" si="5"/>
        <v>-0.11</v>
      </c>
    </row>
    <row r="165">
      <c r="A165" s="19" t="s">
        <v>66</v>
      </c>
      <c r="B165" s="41">
        <f>IFERROR(__xludf.DUMMYFUNCTION("VLOOKUP(A165,IMPORTRANGE(""1EmrnCz2gLVTx5Cbj0e5tfuHPhTtmru8KTGuQvh7STl0/edit#gid=2147150001"",""Whole Data Set!$A$2:$NQ$253""),381,FALSE)"),120.25)</f>
        <v>120.25</v>
      </c>
      <c r="C165" s="58">
        <f t="shared" si="1"/>
        <v>0.481</v>
      </c>
      <c r="D165" s="12">
        <f>IFERROR(__xludf.DUMMYFUNCTION("VLOOKUP(A165,IMPORTRANGE(""1aFCnJY1qhIj8-JckJhDJ18aqmVo17tofpQmOjcYa3u8/edit#gid=948248086"",""Whole Data Set!$A$2:$NG$253""),371,FALSE)"),109.5)</f>
        <v>109.5</v>
      </c>
      <c r="E165" s="13">
        <f t="shared" si="2"/>
        <v>0.438</v>
      </c>
      <c r="F165" s="13">
        <f t="shared" si="3"/>
        <v>0.043</v>
      </c>
      <c r="G165" s="83">
        <f>IFERROR(__xludf.DUMMYFUNCTION("VLOOKUP(A165,IMPORTRANGE(""1_RYWMH8TzKc0_xU44uur9ZmHGpM-mmp96_oQwwz56co/edit#gid=0"",""Sheet1!$A$2:$O$250""),2,FALSE)"),123.0)</f>
        <v>123</v>
      </c>
      <c r="H165" s="84">
        <f t="shared" si="4"/>
        <v>0.492</v>
      </c>
      <c r="I165" s="85">
        <f t="shared" si="5"/>
        <v>-0.054</v>
      </c>
    </row>
    <row r="166">
      <c r="A166" s="19" t="s">
        <v>245</v>
      </c>
      <c r="B166" s="41">
        <f>IFERROR(__xludf.DUMMYFUNCTION("VLOOKUP(A166,IMPORTRANGE(""1EmrnCz2gLVTx5Cbj0e5tfuHPhTtmru8KTGuQvh7STl0/edit#gid=2147150001"",""Whole Data Set!$A$2:$NQ$253""),381,FALSE)"),49.25)</f>
        <v>49.25</v>
      </c>
      <c r="C166" s="58">
        <f t="shared" si="1"/>
        <v>0.197</v>
      </c>
      <c r="D166" s="12">
        <f>IFERROR(__xludf.DUMMYFUNCTION("VLOOKUP(A166,IMPORTRANGE(""1aFCnJY1qhIj8-JckJhDJ18aqmVo17tofpQmOjcYa3u8/edit#gid=948248086"",""Whole Data Set!$A$2:$NG$253""),371,FALSE)"),44.75)</f>
        <v>44.75</v>
      </c>
      <c r="E166" s="13">
        <f t="shared" si="2"/>
        <v>0.179</v>
      </c>
      <c r="F166" s="13">
        <f t="shared" si="3"/>
        <v>0.018</v>
      </c>
      <c r="G166" s="83">
        <f>IFERROR(__xludf.DUMMYFUNCTION("VLOOKUP(A166,IMPORTRANGE(""1_RYWMH8TzKc0_xU44uur9ZmHGpM-mmp96_oQwwz56co/edit#gid=0"",""Sheet1!$A$2:$O$250""),2,FALSE)"),49.5)</f>
        <v>49.5</v>
      </c>
      <c r="H166" s="84">
        <f t="shared" si="4"/>
        <v>0.198</v>
      </c>
      <c r="I166" s="85">
        <f t="shared" si="5"/>
        <v>-0.019</v>
      </c>
    </row>
    <row r="167">
      <c r="A167" s="19" t="s">
        <v>143</v>
      </c>
      <c r="B167" s="41">
        <f>IFERROR(__xludf.DUMMYFUNCTION("VLOOKUP(A167,IMPORTRANGE(""1EmrnCz2gLVTx5Cbj0e5tfuHPhTtmru8KTGuQvh7STl0/edit#gid=2147150001"",""Whole Data Set!$A$2:$NQ$253""),381,FALSE)"),207.5)</f>
        <v>207.5</v>
      </c>
      <c r="C167" s="58">
        <f t="shared" si="1"/>
        <v>0.83</v>
      </c>
      <c r="D167" s="12">
        <f>IFERROR(__xludf.DUMMYFUNCTION("VLOOKUP(A167,IMPORTRANGE(""1aFCnJY1qhIj8-JckJhDJ18aqmVo17tofpQmOjcYa3u8/edit#gid=948248086"",""Whole Data Set!$A$2:$NG$253""),371,FALSE)"),195.5)</f>
        <v>195.5</v>
      </c>
      <c r="E167" s="13">
        <f t="shared" si="2"/>
        <v>0.782</v>
      </c>
      <c r="F167" s="13">
        <f t="shared" si="3"/>
        <v>0.048</v>
      </c>
      <c r="G167" s="83">
        <f>IFERROR(__xludf.DUMMYFUNCTION("VLOOKUP(A167,IMPORTRANGE(""1_RYWMH8TzKc0_xU44uur9ZmHGpM-mmp96_oQwwz56co/edit#gid=0"",""Sheet1!$A$2:$O$250""),2,FALSE)"),196.0)</f>
        <v>196</v>
      </c>
      <c r="H167" s="84">
        <f t="shared" si="4"/>
        <v>0.784</v>
      </c>
      <c r="I167" s="85">
        <f t="shared" si="5"/>
        <v>-0.002</v>
      </c>
    </row>
    <row r="168">
      <c r="A168" s="19" t="s">
        <v>269</v>
      </c>
      <c r="B168" s="41">
        <f>IFERROR(__xludf.DUMMYFUNCTION("VLOOKUP(A168,IMPORTRANGE(""1EmrnCz2gLVTx5Cbj0e5tfuHPhTtmru8KTGuQvh7STl0/edit#gid=2147150001"",""Whole Data Set!$A$2:$NQ$253""),381,FALSE)"),61.75)</f>
        <v>61.75</v>
      </c>
      <c r="C168" s="58">
        <f t="shared" si="1"/>
        <v>0.247</v>
      </c>
      <c r="D168" s="12">
        <f>IFERROR(__xludf.DUMMYFUNCTION("VLOOKUP(A168,IMPORTRANGE(""1aFCnJY1qhIj8-JckJhDJ18aqmVo17tofpQmOjcYa3u8/edit#gid=948248086"",""Whole Data Set!$A$2:$NG$253""),371,FALSE)"),50.0)</f>
        <v>50</v>
      </c>
      <c r="E168" s="13">
        <f t="shared" si="2"/>
        <v>0.2</v>
      </c>
      <c r="F168" s="13">
        <f t="shared" si="3"/>
        <v>0.047</v>
      </c>
      <c r="G168" s="83">
        <f>IFERROR(__xludf.DUMMYFUNCTION("VLOOKUP(A168,IMPORTRANGE(""1_RYWMH8TzKc0_xU44uur9ZmHGpM-mmp96_oQwwz56co/edit#gid=0"",""Sheet1!$A$2:$O$250""),2,FALSE)"),29.0)</f>
        <v>29</v>
      </c>
      <c r="H168" s="84">
        <f t="shared" si="4"/>
        <v>0.116</v>
      </c>
      <c r="I168" s="85">
        <f t="shared" si="5"/>
        <v>0.084</v>
      </c>
    </row>
    <row r="169">
      <c r="A169" s="19" t="s">
        <v>190</v>
      </c>
      <c r="B169" s="41">
        <f>IFERROR(__xludf.DUMMYFUNCTION("VLOOKUP(A169,IMPORTRANGE(""1EmrnCz2gLVTx5Cbj0e5tfuHPhTtmru8KTGuQvh7STl0/edit#gid=2147150001"",""Whole Data Set!$A$2:$NQ$253""),381,FALSE)"),99.5)</f>
        <v>99.5</v>
      </c>
      <c r="C169" s="58">
        <f t="shared" si="1"/>
        <v>0.398</v>
      </c>
      <c r="D169" s="12">
        <f>IFERROR(__xludf.DUMMYFUNCTION("VLOOKUP(A169,IMPORTRANGE(""1aFCnJY1qhIj8-JckJhDJ18aqmVo17tofpQmOjcYa3u8/edit#gid=948248086"",""Whole Data Set!$A$2:$NG$253""),371,FALSE)"),109.0)</f>
        <v>109</v>
      </c>
      <c r="E169" s="13">
        <f t="shared" si="2"/>
        <v>0.436</v>
      </c>
      <c r="F169" s="13">
        <f t="shared" si="3"/>
        <v>-0.038</v>
      </c>
      <c r="G169" s="83">
        <f>IFERROR(__xludf.DUMMYFUNCTION("VLOOKUP(A169,IMPORTRANGE(""1_RYWMH8TzKc0_xU44uur9ZmHGpM-mmp96_oQwwz56co/edit#gid=0"",""Sheet1!$A$2:$O$250""),2,FALSE)"),138.75)</f>
        <v>138.75</v>
      </c>
      <c r="H169" s="84">
        <f t="shared" si="4"/>
        <v>0.555</v>
      </c>
      <c r="I169" s="85">
        <f t="shared" si="5"/>
        <v>-0.119</v>
      </c>
    </row>
    <row r="170">
      <c r="A170" s="19" t="s">
        <v>246</v>
      </c>
      <c r="B170" s="41">
        <f>IFERROR(__xludf.DUMMYFUNCTION("VLOOKUP(A170,IMPORTRANGE(""1EmrnCz2gLVTx5Cbj0e5tfuHPhTtmru8KTGuQvh7STl0/edit#gid=2147150001"",""Whole Data Set!$A$2:$NQ$253""),381,FALSE)"),6.0)</f>
        <v>6</v>
      </c>
      <c r="C170" s="58">
        <f t="shared" si="1"/>
        <v>0.024</v>
      </c>
      <c r="D170" s="12">
        <f>IFERROR(__xludf.DUMMYFUNCTION("VLOOKUP(A170,IMPORTRANGE(""1aFCnJY1qhIj8-JckJhDJ18aqmVo17tofpQmOjcYa3u8/edit#gid=948248086"",""Whole Data Set!$A$2:$NG$253""),371,FALSE)"),6.0)</f>
        <v>6</v>
      </c>
      <c r="E170" s="13">
        <f t="shared" si="2"/>
        <v>0.024</v>
      </c>
      <c r="F170" s="13">
        <f t="shared" si="3"/>
        <v>0</v>
      </c>
      <c r="G170" s="83">
        <f>IFERROR(__xludf.DUMMYFUNCTION("VLOOKUP(A170,IMPORTRANGE(""1_RYWMH8TzKc0_xU44uur9ZmHGpM-mmp96_oQwwz56co/edit#gid=0"",""Sheet1!$A$2:$O$250""),2,FALSE)"),0.5)</f>
        <v>0.5</v>
      </c>
      <c r="H170" s="84">
        <f t="shared" si="4"/>
        <v>0.002</v>
      </c>
      <c r="I170" s="85">
        <f t="shared" si="5"/>
        <v>0.022</v>
      </c>
    </row>
    <row r="171">
      <c r="A171" s="19" t="s">
        <v>191</v>
      </c>
      <c r="B171" s="41">
        <f>IFERROR(__xludf.DUMMYFUNCTION("VLOOKUP(A171,IMPORTRANGE(""1EmrnCz2gLVTx5Cbj0e5tfuHPhTtmru8KTGuQvh7STl0/edit#gid=2147150001"",""Whole Data Set!$A$2:$NQ$253""),381,FALSE)"),45.5)</f>
        <v>45.5</v>
      </c>
      <c r="C171" s="58">
        <f t="shared" si="1"/>
        <v>0.182</v>
      </c>
      <c r="D171" s="12">
        <f>IFERROR(__xludf.DUMMYFUNCTION("VLOOKUP(A171,IMPORTRANGE(""1aFCnJY1qhIj8-JckJhDJ18aqmVo17tofpQmOjcYa3u8/edit#gid=948248086"",""Whole Data Set!$A$2:$NG$253""),371,FALSE)"),54.25)</f>
        <v>54.25</v>
      </c>
      <c r="E171" s="13">
        <f t="shared" si="2"/>
        <v>0.217</v>
      </c>
      <c r="F171" s="13">
        <f t="shared" si="3"/>
        <v>-0.035</v>
      </c>
      <c r="G171" s="83">
        <f>IFERROR(__xludf.DUMMYFUNCTION("VLOOKUP(A171,IMPORTRANGE(""1_RYWMH8TzKc0_xU44uur9ZmHGpM-mmp96_oQwwz56co/edit#gid=0"",""Sheet1!$A$2:$O$250""),2,FALSE)"),72.0)</f>
        <v>72</v>
      </c>
      <c r="H171" s="84">
        <f t="shared" si="4"/>
        <v>0.288</v>
      </c>
      <c r="I171" s="85">
        <f t="shared" si="5"/>
        <v>-0.071</v>
      </c>
    </row>
    <row r="172">
      <c r="A172" s="19" t="s">
        <v>83</v>
      </c>
      <c r="B172" s="41">
        <f>IFERROR(__xludf.DUMMYFUNCTION("VLOOKUP(A172,IMPORTRANGE(""1EmrnCz2gLVTx5Cbj0e5tfuHPhTtmru8KTGuQvh7STl0/edit#gid=2147150001"",""Whole Data Set!$A$2:$NQ$253""),381,FALSE)"),85.5)</f>
        <v>85.5</v>
      </c>
      <c r="C172" s="58">
        <f t="shared" si="1"/>
        <v>0.342</v>
      </c>
      <c r="D172" s="12">
        <f>IFERROR(__xludf.DUMMYFUNCTION("VLOOKUP(A172,IMPORTRANGE(""1aFCnJY1qhIj8-JckJhDJ18aqmVo17tofpQmOjcYa3u8/edit#gid=948248086"",""Whole Data Set!$A$2:$NG$253""),371,FALSE)"),44.25)</f>
        <v>44.25</v>
      </c>
      <c r="E172" s="13">
        <f t="shared" si="2"/>
        <v>0.177</v>
      </c>
      <c r="F172" s="13">
        <f t="shared" si="3"/>
        <v>0.165</v>
      </c>
      <c r="G172" s="83">
        <f>IFERROR(__xludf.DUMMYFUNCTION("VLOOKUP(A172,IMPORTRANGE(""1_RYWMH8TzKc0_xU44uur9ZmHGpM-mmp96_oQwwz56co/edit#gid=0"",""Sheet1!$A$2:$O$250""),2,FALSE)"),46.0)</f>
        <v>46</v>
      </c>
      <c r="H172" s="84">
        <f t="shared" si="4"/>
        <v>0.184</v>
      </c>
      <c r="I172" s="85">
        <f t="shared" si="5"/>
        <v>-0.007</v>
      </c>
    </row>
    <row r="173">
      <c r="A173" s="42" t="s">
        <v>247</v>
      </c>
      <c r="B173" s="41">
        <f>IFERROR(__xludf.DUMMYFUNCTION("VLOOKUP(A173,IMPORTRANGE(""1EmrnCz2gLVTx5Cbj0e5tfuHPhTtmru8KTGuQvh7STl0/edit#gid=2147150001"",""Whole Data Set!$A$2:$NQ$253""),381,FALSE)"),60.75)</f>
        <v>60.75</v>
      </c>
      <c r="C173" s="58">
        <f t="shared" si="1"/>
        <v>0.243</v>
      </c>
      <c r="D173" s="12">
        <f>IFERROR(__xludf.DUMMYFUNCTION("VLOOKUP(A173,IMPORTRANGE(""1aFCnJY1qhIj8-JckJhDJ18aqmVo17tofpQmOjcYa3u8/edit#gid=948248086"",""Whole Data Set!$A$2:$NG$253""),371,FALSE)"),70.25)</f>
        <v>70.25</v>
      </c>
      <c r="E173" s="13">
        <f t="shared" si="2"/>
        <v>0.281</v>
      </c>
      <c r="F173" s="13">
        <f t="shared" si="3"/>
        <v>-0.038</v>
      </c>
      <c r="G173" s="83">
        <f>IFERROR(__xludf.DUMMYFUNCTION("VLOOKUP(A173,IMPORTRANGE(""1_RYWMH8TzKc0_xU44uur9ZmHGpM-mmp96_oQwwz56co/edit#gid=0"",""Sheet1!$A$2:$O$250""),2,FALSE)"),49.25)</f>
        <v>49.25</v>
      </c>
      <c r="H173" s="84">
        <f t="shared" si="4"/>
        <v>0.197</v>
      </c>
      <c r="I173" s="85">
        <f t="shared" si="5"/>
        <v>0.084</v>
      </c>
    </row>
    <row r="174">
      <c r="A174" s="19" t="s">
        <v>84</v>
      </c>
      <c r="B174" s="41">
        <f>IFERROR(__xludf.DUMMYFUNCTION("VLOOKUP(A174,IMPORTRANGE(""1EmrnCz2gLVTx5Cbj0e5tfuHPhTtmru8KTGuQvh7STl0/edit#gid=2147150001"",""Whole Data Set!$A$2:$NQ$253""),381,FALSE)"),99.25)</f>
        <v>99.25</v>
      </c>
      <c r="C174" s="58">
        <f t="shared" si="1"/>
        <v>0.397</v>
      </c>
      <c r="D174" s="12">
        <f>IFERROR(__xludf.DUMMYFUNCTION("VLOOKUP(A174,IMPORTRANGE(""1aFCnJY1qhIj8-JckJhDJ18aqmVo17tofpQmOjcYa3u8/edit#gid=948248086"",""Whole Data Set!$A$2:$NG$253""),371,FALSE)"),88.0)</f>
        <v>88</v>
      </c>
      <c r="E174" s="13">
        <f t="shared" si="2"/>
        <v>0.352</v>
      </c>
      <c r="F174" s="13">
        <f t="shared" si="3"/>
        <v>0.045</v>
      </c>
      <c r="G174" s="83">
        <f>IFERROR(__xludf.DUMMYFUNCTION("VLOOKUP(A174,IMPORTRANGE(""1_RYWMH8TzKc0_xU44uur9ZmHGpM-mmp96_oQwwz56co/edit#gid=0"",""Sheet1!$A$2:$O$250""),2,FALSE)"),95.0)</f>
        <v>95</v>
      </c>
      <c r="H174" s="84">
        <f t="shared" si="4"/>
        <v>0.38</v>
      </c>
      <c r="I174" s="85">
        <f t="shared" si="5"/>
        <v>-0.028</v>
      </c>
    </row>
    <row r="175">
      <c r="A175" s="19" t="s">
        <v>192</v>
      </c>
      <c r="B175" s="41">
        <f>IFERROR(__xludf.DUMMYFUNCTION("VLOOKUP(A175,IMPORTRANGE(""1EmrnCz2gLVTx5Cbj0e5tfuHPhTtmru8KTGuQvh7STl0/edit#gid=2147150001"",""Whole Data Set!$A$2:$NQ$253""),381,FALSE)"),56.0)</f>
        <v>56</v>
      </c>
      <c r="C175" s="58">
        <f t="shared" si="1"/>
        <v>0.224</v>
      </c>
      <c r="D175" s="12">
        <f>IFERROR(__xludf.DUMMYFUNCTION("VLOOKUP(A175,IMPORTRANGE(""1aFCnJY1qhIj8-JckJhDJ18aqmVo17tofpQmOjcYa3u8/edit#gid=948248086"",""Whole Data Set!$A$2:$NG$253""),371,FALSE)"),67.5)</f>
        <v>67.5</v>
      </c>
      <c r="E175" s="13">
        <f t="shared" si="2"/>
        <v>0.27</v>
      </c>
      <c r="F175" s="13">
        <f t="shared" si="3"/>
        <v>-0.046</v>
      </c>
      <c r="G175" s="83">
        <f>IFERROR(__xludf.DUMMYFUNCTION("VLOOKUP(A175,IMPORTRANGE(""1_RYWMH8TzKc0_xU44uur9ZmHGpM-mmp96_oQwwz56co/edit#gid=0"",""Sheet1!$A$2:$O$250""),2,FALSE)"),62.75)</f>
        <v>62.75</v>
      </c>
      <c r="H175" s="84">
        <f t="shared" si="4"/>
        <v>0.251</v>
      </c>
      <c r="I175" s="85">
        <f t="shared" si="5"/>
        <v>0.019</v>
      </c>
    </row>
    <row r="176">
      <c r="A176" s="19" t="s">
        <v>85</v>
      </c>
      <c r="B176" s="41">
        <f>IFERROR(__xludf.DUMMYFUNCTION("VLOOKUP(A176,IMPORTRANGE(""1EmrnCz2gLVTx5Cbj0e5tfuHPhTtmru8KTGuQvh7STl0/edit#gid=2147150001"",""Whole Data Set!$A$2:$NQ$253""),381,FALSE)"),124.5)</f>
        <v>124.5</v>
      </c>
      <c r="C176" s="58">
        <f t="shared" si="1"/>
        <v>0.498</v>
      </c>
      <c r="D176" s="12">
        <f>IFERROR(__xludf.DUMMYFUNCTION("VLOOKUP(A176,IMPORTRANGE(""1aFCnJY1qhIj8-JckJhDJ18aqmVo17tofpQmOjcYa3u8/edit#gid=948248086"",""Whole Data Set!$A$2:$NG$253""),371,FALSE)"),107.75)</f>
        <v>107.75</v>
      </c>
      <c r="E176" s="13">
        <f t="shared" si="2"/>
        <v>0.431</v>
      </c>
      <c r="F176" s="13">
        <f t="shared" si="3"/>
        <v>0.067</v>
      </c>
      <c r="G176" s="83">
        <f>IFERROR(__xludf.DUMMYFUNCTION("VLOOKUP(A176,IMPORTRANGE(""1_RYWMH8TzKc0_xU44uur9ZmHGpM-mmp96_oQwwz56co/edit#gid=0"",""Sheet1!$A$2:$O$250""),2,FALSE)"),90.5)</f>
        <v>90.5</v>
      </c>
      <c r="H176" s="84">
        <f t="shared" si="4"/>
        <v>0.362</v>
      </c>
      <c r="I176" s="85">
        <f t="shared" si="5"/>
        <v>0.069</v>
      </c>
    </row>
    <row r="177">
      <c r="A177" s="19" t="s">
        <v>86</v>
      </c>
      <c r="B177" s="41">
        <f>IFERROR(__xludf.DUMMYFUNCTION("VLOOKUP(A177,IMPORTRANGE(""1EmrnCz2gLVTx5Cbj0e5tfuHPhTtmru8KTGuQvh7STl0/edit#gid=2147150001"",""Whole Data Set!$A$2:$NQ$253""),381,FALSE)"),166.0)</f>
        <v>166</v>
      </c>
      <c r="C177" s="58">
        <f t="shared" si="1"/>
        <v>0.664</v>
      </c>
      <c r="D177" s="12">
        <f>IFERROR(__xludf.DUMMYFUNCTION("VLOOKUP(A177,IMPORTRANGE(""1aFCnJY1qhIj8-JckJhDJ18aqmVo17tofpQmOjcYa3u8/edit#gid=948248086"",""Whole Data Set!$A$2:$NG$253""),371,FALSE)"),146.0)</f>
        <v>146</v>
      </c>
      <c r="E177" s="13">
        <f t="shared" si="2"/>
        <v>0.584</v>
      </c>
      <c r="F177" s="13">
        <f t="shared" si="3"/>
        <v>0.08</v>
      </c>
      <c r="G177" s="83">
        <f>IFERROR(__xludf.DUMMYFUNCTION("VLOOKUP(A177,IMPORTRANGE(""1_RYWMH8TzKc0_xU44uur9ZmHGpM-mmp96_oQwwz56co/edit#gid=0"",""Sheet1!$A$2:$O$250""),2,FALSE)"),127.0)</f>
        <v>127</v>
      </c>
      <c r="H177" s="84">
        <f t="shared" si="4"/>
        <v>0.508</v>
      </c>
      <c r="I177" s="85">
        <f t="shared" si="5"/>
        <v>0.076</v>
      </c>
    </row>
    <row r="178">
      <c r="A178" s="19" t="s">
        <v>248</v>
      </c>
      <c r="B178" s="41">
        <f>IFERROR(__xludf.DUMMYFUNCTION("VLOOKUP(A178,IMPORTRANGE(""1EmrnCz2gLVTx5Cbj0e5tfuHPhTtmru8KTGuQvh7STl0/edit#gid=2147150001"",""Whole Data Set!$A$2:$NQ$253""),381,FALSE)"),15.75)</f>
        <v>15.75</v>
      </c>
      <c r="C178" s="58">
        <f t="shared" si="1"/>
        <v>0.063</v>
      </c>
      <c r="D178" s="12">
        <f>IFERROR(__xludf.DUMMYFUNCTION("VLOOKUP(A178,IMPORTRANGE(""1aFCnJY1qhIj8-JckJhDJ18aqmVo17tofpQmOjcYa3u8/edit#gid=948248086"",""Whole Data Set!$A$2:$NG$253""),371,FALSE)"),16.75)</f>
        <v>16.75</v>
      </c>
      <c r="E178" s="13">
        <f t="shared" si="2"/>
        <v>0.067</v>
      </c>
      <c r="F178" s="13">
        <f t="shared" si="3"/>
        <v>-0.004</v>
      </c>
      <c r="G178" s="83">
        <f>IFERROR(__xludf.DUMMYFUNCTION("VLOOKUP(A178,IMPORTRANGE(""1_RYWMH8TzKc0_xU44uur9ZmHGpM-mmp96_oQwwz56co/edit#gid=0"",""Sheet1!$A$2:$O$250""),2,FALSE)"),0.75)</f>
        <v>0.75</v>
      </c>
      <c r="H178" s="84">
        <f t="shared" si="4"/>
        <v>0.003</v>
      </c>
      <c r="I178" s="85">
        <f t="shared" si="5"/>
        <v>0.064</v>
      </c>
    </row>
    <row r="179">
      <c r="A179" s="19" t="s">
        <v>87</v>
      </c>
      <c r="B179" s="41">
        <f>IFERROR(__xludf.DUMMYFUNCTION("VLOOKUP(A179,IMPORTRANGE(""1EmrnCz2gLVTx5Cbj0e5tfuHPhTtmru8KTGuQvh7STl0/edit#gid=2147150001"",""Whole Data Set!$A$2:$NQ$253""),381,FALSE)"),134.75)</f>
        <v>134.75</v>
      </c>
      <c r="C179" s="58">
        <f t="shared" si="1"/>
        <v>0.539</v>
      </c>
      <c r="D179" s="12">
        <f>IFERROR(__xludf.DUMMYFUNCTION("VLOOKUP(A179,IMPORTRANGE(""1aFCnJY1qhIj8-JckJhDJ18aqmVo17tofpQmOjcYa3u8/edit#gid=948248086"",""Whole Data Set!$A$2:$NG$253""),371,FALSE)"),123.0)</f>
        <v>123</v>
      </c>
      <c r="E179" s="13">
        <f t="shared" si="2"/>
        <v>0.492</v>
      </c>
      <c r="F179" s="13">
        <f t="shared" si="3"/>
        <v>0.047</v>
      </c>
      <c r="G179" s="83">
        <f>IFERROR(__xludf.DUMMYFUNCTION("VLOOKUP(A179,IMPORTRANGE(""1_RYWMH8TzKc0_xU44uur9ZmHGpM-mmp96_oQwwz56co/edit#gid=0"",""Sheet1!$A$2:$O$250""),2,FALSE)"),71.5)</f>
        <v>71.5</v>
      </c>
      <c r="H179" s="84">
        <f t="shared" si="4"/>
        <v>0.286</v>
      </c>
      <c r="I179" s="85">
        <f t="shared" si="5"/>
        <v>0.206</v>
      </c>
    </row>
    <row r="180">
      <c r="A180" s="19" t="s">
        <v>62</v>
      </c>
      <c r="B180" s="41">
        <f>IFERROR(__xludf.DUMMYFUNCTION("VLOOKUP(A180,IMPORTRANGE(""1EmrnCz2gLVTx5Cbj0e5tfuHPhTtmru8KTGuQvh7STl0/edit#gid=2147150001"",""Whole Data Set!$A$2:$NQ$253""),381,FALSE)"),3.0)</f>
        <v>3</v>
      </c>
      <c r="C180" s="58">
        <f t="shared" si="1"/>
        <v>0.012</v>
      </c>
      <c r="D180" s="12">
        <f>IFERROR(__xludf.DUMMYFUNCTION("VLOOKUP(A180,IMPORTRANGE(""1aFCnJY1qhIj8-JckJhDJ18aqmVo17tofpQmOjcYa3u8/edit#gid=948248086"",""Whole Data Set!$A$2:$NG$253""),371,FALSE)"),119.0)</f>
        <v>119</v>
      </c>
      <c r="E180" s="13">
        <f t="shared" si="2"/>
        <v>0.476</v>
      </c>
      <c r="F180" s="13">
        <f t="shared" si="3"/>
        <v>-0.464</v>
      </c>
      <c r="G180" s="83">
        <f>IFERROR(__xludf.DUMMYFUNCTION("VLOOKUP(A180,IMPORTRANGE(""1_RYWMH8TzKc0_xU44uur9ZmHGpM-mmp96_oQwwz56co/edit#gid=0"",""Sheet1!$A$2:$O$250""),2,FALSE)"),136.0)</f>
        <v>136</v>
      </c>
      <c r="H180" s="84">
        <f t="shared" si="4"/>
        <v>0.544</v>
      </c>
      <c r="I180" s="85">
        <f t="shared" si="5"/>
        <v>-0.068</v>
      </c>
    </row>
    <row r="181">
      <c r="A181" s="19" t="s">
        <v>249</v>
      </c>
      <c r="B181" s="41">
        <f>IFERROR(__xludf.DUMMYFUNCTION("VLOOKUP(A181,IMPORTRANGE(""1EmrnCz2gLVTx5Cbj0e5tfuHPhTtmru8KTGuQvh7STl0/edit#gid=2147150001"",""Whole Data Set!$A$2:$NQ$253""),381,FALSE)"),53.75)</f>
        <v>53.75</v>
      </c>
      <c r="C181" s="58">
        <f t="shared" si="1"/>
        <v>0.215</v>
      </c>
      <c r="D181" s="12">
        <f>IFERROR(__xludf.DUMMYFUNCTION("VLOOKUP(A181,IMPORTRANGE(""1aFCnJY1qhIj8-JckJhDJ18aqmVo17tofpQmOjcYa3u8/edit#gid=948248086"",""Whole Data Set!$A$2:$NG$253""),371,FALSE)"),42.0)</f>
        <v>42</v>
      </c>
      <c r="E181" s="13">
        <f t="shared" si="2"/>
        <v>0.168</v>
      </c>
      <c r="F181" s="13">
        <f t="shared" si="3"/>
        <v>0.047</v>
      </c>
      <c r="G181" s="83">
        <f>IFERROR(__xludf.DUMMYFUNCTION("VLOOKUP(A181,IMPORTRANGE(""1_RYWMH8TzKc0_xU44uur9ZmHGpM-mmp96_oQwwz56co/edit#gid=0"",""Sheet1!$A$2:$O$250""),2,FALSE)"),48.5)</f>
        <v>48.5</v>
      </c>
      <c r="H181" s="84">
        <f t="shared" si="4"/>
        <v>0.194</v>
      </c>
      <c r="I181" s="85">
        <f t="shared" si="5"/>
        <v>-0.026</v>
      </c>
    </row>
    <row r="182">
      <c r="A182" s="42" t="s">
        <v>250</v>
      </c>
      <c r="B182" s="41">
        <f>IFERROR(__xludf.DUMMYFUNCTION("VLOOKUP(A182,IMPORTRANGE(""1EmrnCz2gLVTx5Cbj0e5tfuHPhTtmru8KTGuQvh7STl0/edit#gid=2147150001"",""Whole Data Set!$A$2:$NQ$253""),381,FALSE)"),25.25)</f>
        <v>25.25</v>
      </c>
      <c r="C182" s="58">
        <f t="shared" si="1"/>
        <v>0.101</v>
      </c>
      <c r="D182" s="12">
        <f>IFERROR(__xludf.DUMMYFUNCTION("VLOOKUP(A182,IMPORTRANGE(""1aFCnJY1qhIj8-JckJhDJ18aqmVo17tofpQmOjcYa3u8/edit#gid=948248086"",""Whole Data Set!$A$2:$NG$253""),371,FALSE)"),17.5)</f>
        <v>17.5</v>
      </c>
      <c r="E182" s="13">
        <f t="shared" si="2"/>
        <v>0.07</v>
      </c>
      <c r="F182" s="13">
        <f t="shared" si="3"/>
        <v>0.031</v>
      </c>
      <c r="G182" s="83">
        <f>IFERROR(__xludf.DUMMYFUNCTION("VLOOKUP(A182,IMPORTRANGE(""1_RYWMH8TzKc0_xU44uur9ZmHGpM-mmp96_oQwwz56co/edit#gid=0"",""Sheet1!$A$2:$O$250""),2,FALSE)"),18.25)</f>
        <v>18.25</v>
      </c>
      <c r="H182" s="84">
        <f t="shared" si="4"/>
        <v>0.073</v>
      </c>
      <c r="I182" s="85">
        <f t="shared" si="5"/>
        <v>-0.003</v>
      </c>
    </row>
    <row r="183">
      <c r="A183" s="19" t="s">
        <v>251</v>
      </c>
      <c r="B183" s="41">
        <f>IFERROR(__xludf.DUMMYFUNCTION("VLOOKUP(A183,IMPORTRANGE(""1EmrnCz2gLVTx5Cbj0e5tfuHPhTtmru8KTGuQvh7STl0/edit#gid=2147150001"",""Whole Data Set!$A$2:$NQ$253""),381,FALSE)"),49.5)</f>
        <v>49.5</v>
      </c>
      <c r="C183" s="58">
        <f t="shared" si="1"/>
        <v>0.198</v>
      </c>
      <c r="D183" s="12">
        <f>IFERROR(__xludf.DUMMYFUNCTION("VLOOKUP(A183,IMPORTRANGE(""1aFCnJY1qhIj8-JckJhDJ18aqmVo17tofpQmOjcYa3u8/edit#gid=948248086"",""Whole Data Set!$A$2:$NG$253""),371,FALSE)"),39.5)</f>
        <v>39.5</v>
      </c>
      <c r="E183" s="13">
        <f t="shared" si="2"/>
        <v>0.158</v>
      </c>
      <c r="F183" s="13">
        <f t="shared" si="3"/>
        <v>0.04</v>
      </c>
      <c r="G183" s="83">
        <f>IFERROR(__xludf.DUMMYFUNCTION("VLOOKUP(A183,IMPORTRANGE(""1_RYWMH8TzKc0_xU44uur9ZmHGpM-mmp96_oQwwz56co/edit#gid=0"",""Sheet1!$A$2:$O$250""),2,FALSE)"),38.0)</f>
        <v>38</v>
      </c>
      <c r="H183" s="84">
        <f t="shared" si="4"/>
        <v>0.152</v>
      </c>
      <c r="I183" s="85">
        <f t="shared" si="5"/>
        <v>0.006</v>
      </c>
    </row>
    <row r="184">
      <c r="A184" s="19" t="s">
        <v>193</v>
      </c>
      <c r="B184" s="41">
        <f>IFERROR(__xludf.DUMMYFUNCTION("VLOOKUP(A184,IMPORTRANGE(""1EmrnCz2gLVTx5Cbj0e5tfuHPhTtmru8KTGuQvh7STl0/edit#gid=2147150001"",""Whole Data Set!$A$2:$NQ$253""),381,FALSE)"),4.25)</f>
        <v>4.25</v>
      </c>
      <c r="C184" s="58">
        <f t="shared" si="1"/>
        <v>0.017</v>
      </c>
      <c r="D184" s="12">
        <f>IFERROR(__xludf.DUMMYFUNCTION("VLOOKUP(A184,IMPORTRANGE(""1aFCnJY1qhIj8-JckJhDJ18aqmVo17tofpQmOjcYa3u8/edit#gid=948248086"",""Whole Data Set!$A$2:$NG$253""),371,FALSE)"),7.0)</f>
        <v>7</v>
      </c>
      <c r="E184" s="13">
        <f t="shared" si="2"/>
        <v>0.028</v>
      </c>
      <c r="F184" s="13">
        <f t="shared" si="3"/>
        <v>-0.011</v>
      </c>
      <c r="G184" s="83">
        <f>IFERROR(__xludf.DUMMYFUNCTION("VLOOKUP(A184,IMPORTRANGE(""1_RYWMH8TzKc0_xU44uur9ZmHGpM-mmp96_oQwwz56co/edit#gid=0"",""Sheet1!$A$2:$O$250""),2,FALSE)"),5.5)</f>
        <v>5.5</v>
      </c>
      <c r="H184" s="84">
        <f t="shared" si="4"/>
        <v>0.022</v>
      </c>
      <c r="I184" s="85">
        <f t="shared" si="5"/>
        <v>0.006</v>
      </c>
    </row>
    <row r="185">
      <c r="A185" s="19" t="s">
        <v>194</v>
      </c>
      <c r="B185" s="41">
        <f>IFERROR(__xludf.DUMMYFUNCTION("VLOOKUP(A185,IMPORTRANGE(""1EmrnCz2gLVTx5Cbj0e5tfuHPhTtmru8KTGuQvh7STl0/edit#gid=2147150001"",""Whole Data Set!$A$2:$NQ$253""),381,FALSE)"),78.75)</f>
        <v>78.75</v>
      </c>
      <c r="C185" s="58">
        <f t="shared" si="1"/>
        <v>0.315</v>
      </c>
      <c r="D185" s="12">
        <f>IFERROR(__xludf.DUMMYFUNCTION("VLOOKUP(A185,IMPORTRANGE(""1aFCnJY1qhIj8-JckJhDJ18aqmVo17tofpQmOjcYa3u8/edit#gid=948248086"",""Whole Data Set!$A$2:$NG$253""),371,FALSE)"),67.25)</f>
        <v>67.25</v>
      </c>
      <c r="E185" s="13">
        <f t="shared" si="2"/>
        <v>0.269</v>
      </c>
      <c r="F185" s="13">
        <f t="shared" si="3"/>
        <v>0.046</v>
      </c>
      <c r="G185" s="83">
        <f>IFERROR(__xludf.DUMMYFUNCTION("VLOOKUP(A185,IMPORTRANGE(""1_RYWMH8TzKc0_xU44uur9ZmHGpM-mmp96_oQwwz56co/edit#gid=0"",""Sheet1!$A$2:$O$250""),2,FALSE)"),55.0)</f>
        <v>55</v>
      </c>
      <c r="H185" s="84">
        <f t="shared" si="4"/>
        <v>0.22</v>
      </c>
      <c r="I185" s="85">
        <f t="shared" si="5"/>
        <v>0.049</v>
      </c>
    </row>
    <row r="186">
      <c r="A186" s="42" t="s">
        <v>44</v>
      </c>
      <c r="B186" s="41">
        <f>IFERROR(__xludf.DUMMYFUNCTION("VLOOKUP(A186,IMPORTRANGE(""1EmrnCz2gLVTx5Cbj0e5tfuHPhTtmru8KTGuQvh7STl0/edit#gid=2147150001"",""Whole Data Set!$A$2:$NQ$253""),381,FALSE)"),15.25)</f>
        <v>15.25</v>
      </c>
      <c r="C186" s="58">
        <f t="shared" si="1"/>
        <v>0.061</v>
      </c>
      <c r="D186" s="12">
        <f>IFERROR(__xludf.DUMMYFUNCTION("VLOOKUP(A186,IMPORTRANGE(""1aFCnJY1qhIj8-JckJhDJ18aqmVo17tofpQmOjcYa3u8/edit#gid=948248086"",""Whole Data Set!$A$2:$NG$253""),371,FALSE)"),16.5)</f>
        <v>16.5</v>
      </c>
      <c r="E186" s="13">
        <f t="shared" si="2"/>
        <v>0.066</v>
      </c>
      <c r="F186" s="13">
        <f t="shared" si="3"/>
        <v>-0.005</v>
      </c>
      <c r="G186" s="83">
        <f>IFERROR(__xludf.DUMMYFUNCTION("VLOOKUP(A186,IMPORTRANGE(""1_RYWMH8TzKc0_xU44uur9ZmHGpM-mmp96_oQwwz56co/edit#gid=0"",""Sheet1!$A$2:$O$250""),2,FALSE)"),15.25)</f>
        <v>15.25</v>
      </c>
      <c r="H186" s="84">
        <f t="shared" si="4"/>
        <v>0.061</v>
      </c>
      <c r="I186" s="85">
        <f t="shared" si="5"/>
        <v>0.005</v>
      </c>
    </row>
    <row r="187">
      <c r="A187" s="19" t="s">
        <v>252</v>
      </c>
      <c r="B187" s="41">
        <f>IFERROR(__xludf.DUMMYFUNCTION("VLOOKUP(A187,IMPORTRANGE(""1EmrnCz2gLVTx5Cbj0e5tfuHPhTtmru8KTGuQvh7STl0/edit#gid=2147150001"",""Whole Data Set!$A$2:$NQ$253""),381,FALSE)"),15.75)</f>
        <v>15.75</v>
      </c>
      <c r="C187" s="58">
        <f t="shared" si="1"/>
        <v>0.063</v>
      </c>
      <c r="D187" s="12">
        <f>IFERROR(__xludf.DUMMYFUNCTION("VLOOKUP(A187,IMPORTRANGE(""1aFCnJY1qhIj8-JckJhDJ18aqmVo17tofpQmOjcYa3u8/edit#gid=948248086"",""Whole Data Set!$A$2:$NG$253""),371,FALSE)"),16.75)</f>
        <v>16.75</v>
      </c>
      <c r="E187" s="13">
        <f t="shared" si="2"/>
        <v>0.067</v>
      </c>
      <c r="F187" s="13">
        <f t="shared" si="3"/>
        <v>-0.004</v>
      </c>
      <c r="G187" s="83">
        <f>IFERROR(__xludf.DUMMYFUNCTION("VLOOKUP(A187,IMPORTRANGE(""1_RYWMH8TzKc0_xU44uur9ZmHGpM-mmp96_oQwwz56co/edit#gid=0"",""Sheet1!$A$2:$O$250""),2,FALSE)"),0.75)</f>
        <v>0.75</v>
      </c>
      <c r="H187" s="84">
        <f t="shared" si="4"/>
        <v>0.003</v>
      </c>
      <c r="I187" s="85">
        <f t="shared" si="5"/>
        <v>0.064</v>
      </c>
    </row>
    <row r="188">
      <c r="A188" s="42" t="s">
        <v>90</v>
      </c>
      <c r="B188" s="41">
        <f>IFERROR(__xludf.DUMMYFUNCTION("VLOOKUP(A188,IMPORTRANGE(""1EmrnCz2gLVTx5Cbj0e5tfuHPhTtmru8KTGuQvh7STl0/edit#gid=2147150001"",""Whole Data Set!$A$2:$NQ$253""),381,FALSE)"),83.75)</f>
        <v>83.75</v>
      </c>
      <c r="C188" s="58">
        <f t="shared" si="1"/>
        <v>0.335</v>
      </c>
      <c r="D188" s="12">
        <f>IFERROR(__xludf.DUMMYFUNCTION("VLOOKUP(A188,IMPORTRANGE(""1aFCnJY1qhIj8-JckJhDJ18aqmVo17tofpQmOjcYa3u8/edit#gid=948248086"",""Whole Data Set!$A$2:$NG$253""),371,FALSE)"),94.5)</f>
        <v>94.5</v>
      </c>
      <c r="E188" s="13">
        <f t="shared" si="2"/>
        <v>0.378</v>
      </c>
      <c r="F188" s="13">
        <f t="shared" si="3"/>
        <v>-0.043</v>
      </c>
      <c r="G188" s="83">
        <f>IFERROR(__xludf.DUMMYFUNCTION("VLOOKUP(A188,IMPORTRANGE(""1_RYWMH8TzKc0_xU44uur9ZmHGpM-mmp96_oQwwz56co/edit#gid=0"",""Sheet1!$A$2:$O$250""),2,FALSE)"),85.0)</f>
        <v>85</v>
      </c>
      <c r="H188" s="84">
        <f t="shared" si="4"/>
        <v>0.34</v>
      </c>
      <c r="I188" s="85">
        <f t="shared" si="5"/>
        <v>0.038</v>
      </c>
    </row>
    <row r="189">
      <c r="A189" s="19" t="s">
        <v>91</v>
      </c>
      <c r="B189" s="41">
        <f>IFERROR(__xludf.DUMMYFUNCTION("VLOOKUP(A189,IMPORTRANGE(""1EmrnCz2gLVTx5Cbj0e5tfuHPhTtmru8KTGuQvh7STl0/edit#gid=2147150001"",""Whole Data Set!$A$2:$NQ$253""),381,FALSE)"),106.5)</f>
        <v>106.5</v>
      </c>
      <c r="C189" s="58">
        <f t="shared" si="1"/>
        <v>0.426</v>
      </c>
      <c r="D189" s="12">
        <f>IFERROR(__xludf.DUMMYFUNCTION("VLOOKUP(A189,IMPORTRANGE(""1aFCnJY1qhIj8-JckJhDJ18aqmVo17tofpQmOjcYa3u8/edit#gid=948248086"",""Whole Data Set!$A$2:$NG$253""),371,FALSE)"),67.25)</f>
        <v>67.25</v>
      </c>
      <c r="E189" s="13">
        <f t="shared" si="2"/>
        <v>0.269</v>
      </c>
      <c r="F189" s="13">
        <f t="shared" si="3"/>
        <v>0.157</v>
      </c>
      <c r="G189" s="83">
        <f>IFERROR(__xludf.DUMMYFUNCTION("VLOOKUP(A189,IMPORTRANGE(""1_RYWMH8TzKc0_xU44uur9ZmHGpM-mmp96_oQwwz56co/edit#gid=0"",""Sheet1!$A$2:$O$250""),2,FALSE)"),27.0)</f>
        <v>27</v>
      </c>
      <c r="H189" s="84">
        <f t="shared" si="4"/>
        <v>0.108</v>
      </c>
      <c r="I189" s="85">
        <f t="shared" si="5"/>
        <v>0.161</v>
      </c>
    </row>
    <row r="190">
      <c r="A190" s="19" t="s">
        <v>144</v>
      </c>
      <c r="B190" s="41">
        <f>IFERROR(__xludf.DUMMYFUNCTION("VLOOKUP(A190,IMPORTRANGE(""1EmrnCz2gLVTx5Cbj0e5tfuHPhTtmru8KTGuQvh7STl0/edit#gid=2147150001"",""Whole Data Set!$A$2:$NQ$253""),381,FALSE)"),126.5)</f>
        <v>126.5</v>
      </c>
      <c r="C190" s="58">
        <f t="shared" si="1"/>
        <v>0.506</v>
      </c>
      <c r="D190" s="12">
        <f>IFERROR(__xludf.DUMMYFUNCTION("VLOOKUP(A190,IMPORTRANGE(""1aFCnJY1qhIj8-JckJhDJ18aqmVo17tofpQmOjcYa3u8/edit#gid=948248086"",""Whole Data Set!$A$2:$NG$253""),371,FALSE)"),111.25)</f>
        <v>111.25</v>
      </c>
      <c r="E190" s="13">
        <f t="shared" si="2"/>
        <v>0.445</v>
      </c>
      <c r="F190" s="13">
        <f t="shared" si="3"/>
        <v>0.061</v>
      </c>
      <c r="G190" s="83">
        <f>IFERROR(__xludf.DUMMYFUNCTION("VLOOKUP(A190,IMPORTRANGE(""1_RYWMH8TzKc0_xU44uur9ZmHGpM-mmp96_oQwwz56co/edit#gid=0"",""Sheet1!$A$2:$O$250""),2,FALSE)"),120.75)</f>
        <v>120.75</v>
      </c>
      <c r="H190" s="84">
        <f t="shared" si="4"/>
        <v>0.483</v>
      </c>
      <c r="I190" s="85">
        <f t="shared" si="5"/>
        <v>-0.038</v>
      </c>
    </row>
    <row r="191">
      <c r="A191" s="42" t="s">
        <v>92</v>
      </c>
      <c r="B191" s="41">
        <f>IFERROR(__xludf.DUMMYFUNCTION("VLOOKUP(A191,IMPORTRANGE(""1EmrnCz2gLVTx5Cbj0e5tfuHPhTtmru8KTGuQvh7STl0/edit#gid=2147150001"",""Whole Data Set!$A$2:$NQ$253""),381,FALSE)"),126.25)</f>
        <v>126.25</v>
      </c>
      <c r="C191" s="58">
        <f t="shared" si="1"/>
        <v>0.505</v>
      </c>
      <c r="D191" s="12">
        <f>IFERROR(__xludf.DUMMYFUNCTION("VLOOKUP(A191,IMPORTRANGE(""1aFCnJY1qhIj8-JckJhDJ18aqmVo17tofpQmOjcYa3u8/edit#gid=948248086"",""Whole Data Set!$A$2:$NG$253""),371,FALSE)"),116.5)</f>
        <v>116.5</v>
      </c>
      <c r="E191" s="13">
        <f t="shared" si="2"/>
        <v>0.466</v>
      </c>
      <c r="F191" s="13">
        <f t="shared" si="3"/>
        <v>0.039</v>
      </c>
      <c r="G191" s="83">
        <f>IFERROR(__xludf.DUMMYFUNCTION("VLOOKUP(A191,IMPORTRANGE(""1_RYWMH8TzKc0_xU44uur9ZmHGpM-mmp96_oQwwz56co/edit#gid=0"",""Sheet1!$A$2:$O$250""),2,FALSE)"),107.0)</f>
        <v>107</v>
      </c>
      <c r="H191" s="84">
        <f t="shared" si="4"/>
        <v>0.428</v>
      </c>
      <c r="I191" s="85">
        <f t="shared" si="5"/>
        <v>0.038</v>
      </c>
    </row>
    <row r="192">
      <c r="A192" s="42" t="s">
        <v>93</v>
      </c>
      <c r="B192" s="41">
        <f>IFERROR(__xludf.DUMMYFUNCTION("VLOOKUP(A192,IMPORTRANGE(""1EmrnCz2gLVTx5Cbj0e5tfuHPhTtmru8KTGuQvh7STl0/edit#gid=2147150001"",""Whole Data Set!$A$2:$NQ$253""),381,FALSE)"),23.5)</f>
        <v>23.5</v>
      </c>
      <c r="C192" s="58">
        <f t="shared" si="1"/>
        <v>0.094</v>
      </c>
      <c r="D192" s="12">
        <f>IFERROR(__xludf.DUMMYFUNCTION("VLOOKUP(A192,IMPORTRANGE(""1aFCnJY1qhIj8-JckJhDJ18aqmVo17tofpQmOjcYa3u8/edit#gid=948248086"",""Whole Data Set!$A$2:$NG$253""),371,FALSE)"),21.0)</f>
        <v>21</v>
      </c>
      <c r="E192" s="13">
        <f t="shared" si="2"/>
        <v>0.084</v>
      </c>
      <c r="F192" s="13">
        <f t="shared" si="3"/>
        <v>0.01</v>
      </c>
      <c r="G192" s="83">
        <f>IFERROR(__xludf.DUMMYFUNCTION("VLOOKUP(A192,IMPORTRANGE(""1_RYWMH8TzKc0_xU44uur9ZmHGpM-mmp96_oQwwz56co/edit#gid=0"",""Sheet1!$A$2:$O$250""),2,FALSE)"),33.0)</f>
        <v>33</v>
      </c>
      <c r="H192" s="84">
        <f t="shared" si="4"/>
        <v>0.132</v>
      </c>
      <c r="I192" s="85">
        <f t="shared" si="5"/>
        <v>-0.048</v>
      </c>
    </row>
    <row r="193">
      <c r="A193" s="42" t="s">
        <v>145</v>
      </c>
      <c r="B193" s="41">
        <f>IFERROR(__xludf.DUMMYFUNCTION("VLOOKUP(A193,IMPORTRANGE(""1EmrnCz2gLVTx5Cbj0e5tfuHPhTtmru8KTGuQvh7STl0/edit#gid=2147150001"",""Whole Data Set!$A$2:$NQ$253""),381,FALSE)"),60.0)</f>
        <v>60</v>
      </c>
      <c r="C193" s="58">
        <f t="shared" si="1"/>
        <v>0.24</v>
      </c>
      <c r="D193" s="12">
        <f>IFERROR(__xludf.DUMMYFUNCTION("VLOOKUP(A193,IMPORTRANGE(""1aFCnJY1qhIj8-JckJhDJ18aqmVo17tofpQmOjcYa3u8/edit#gid=948248086"",""Whole Data Set!$A$2:$NG$253""),371,FALSE)"),60.0)</f>
        <v>60</v>
      </c>
      <c r="E193" s="13">
        <f t="shared" si="2"/>
        <v>0.24</v>
      </c>
      <c r="F193" s="13">
        <f t="shared" si="3"/>
        <v>0</v>
      </c>
      <c r="G193" s="83">
        <f>IFERROR(__xludf.DUMMYFUNCTION("VLOOKUP(A193,IMPORTRANGE(""1_RYWMH8TzKc0_xU44uur9ZmHGpM-mmp96_oQwwz56co/edit#gid=0"",""Sheet1!$A$2:$O$250""),2,FALSE)"),63.25)</f>
        <v>63.25</v>
      </c>
      <c r="H193" s="84">
        <f t="shared" si="4"/>
        <v>0.253</v>
      </c>
      <c r="I193" s="85">
        <f t="shared" si="5"/>
        <v>-0.013</v>
      </c>
    </row>
    <row r="194">
      <c r="A194" s="19" t="s">
        <v>146</v>
      </c>
      <c r="B194" s="41">
        <f>IFERROR(__xludf.DUMMYFUNCTION("VLOOKUP(A194,IMPORTRANGE(""1EmrnCz2gLVTx5Cbj0e5tfuHPhTtmru8KTGuQvh7STl0/edit#gid=2147150001"",""Whole Data Set!$A$2:$NQ$253""),381,FALSE)"),54.25)</f>
        <v>54.25</v>
      </c>
      <c r="C194" s="58">
        <f t="shared" si="1"/>
        <v>0.217</v>
      </c>
      <c r="D194" s="12">
        <f>IFERROR(__xludf.DUMMYFUNCTION("VLOOKUP(A194,IMPORTRANGE(""1aFCnJY1qhIj8-JckJhDJ18aqmVo17tofpQmOjcYa3u8/edit#gid=948248086"",""Whole Data Set!$A$2:$NG$253""),371,FALSE)"),20.5)</f>
        <v>20.5</v>
      </c>
      <c r="E194" s="13">
        <f t="shared" si="2"/>
        <v>0.082</v>
      </c>
      <c r="F194" s="13">
        <f t="shared" si="3"/>
        <v>0.135</v>
      </c>
      <c r="G194" s="83">
        <f>IFERROR(__xludf.DUMMYFUNCTION("VLOOKUP(A194,IMPORTRANGE(""1_RYWMH8TzKc0_xU44uur9ZmHGpM-mmp96_oQwwz56co/edit#gid=0"",""Sheet1!$A$2:$O$250""),2,FALSE)"),22.0)</f>
        <v>22</v>
      </c>
      <c r="H194" s="84">
        <f t="shared" si="4"/>
        <v>0.088</v>
      </c>
      <c r="I194" s="85">
        <f t="shared" si="5"/>
        <v>-0.006</v>
      </c>
    </row>
    <row r="195">
      <c r="A195" s="19" t="s">
        <v>270</v>
      </c>
      <c r="B195" s="41">
        <f>IFERROR(__xludf.DUMMYFUNCTION("VLOOKUP(A195,IMPORTRANGE(""1EmrnCz2gLVTx5Cbj0e5tfuHPhTtmru8KTGuQvh7STl0/edit#gid=2147150001"",""Whole Data Set!$A$2:$NQ$253""),381,FALSE)"),0.0)</f>
        <v>0</v>
      </c>
      <c r="C195" s="58">
        <f t="shared" si="1"/>
        <v>0</v>
      </c>
      <c r="D195" s="12">
        <f>IFERROR(__xludf.DUMMYFUNCTION("VLOOKUP(A195,IMPORTRANGE(""1aFCnJY1qhIj8-JckJhDJ18aqmVo17tofpQmOjcYa3u8/edit#gid=948248086"",""Whole Data Set!$A$2:$NG$253""),371,FALSE)"),0.5)</f>
        <v>0.5</v>
      </c>
      <c r="E195" s="13">
        <f t="shared" si="2"/>
        <v>0.002</v>
      </c>
      <c r="F195" s="13">
        <f t="shared" si="3"/>
        <v>-0.002</v>
      </c>
      <c r="G195" s="83">
        <f>IFERROR(__xludf.DUMMYFUNCTION("VLOOKUP(A195,IMPORTRANGE(""1_RYWMH8TzKc0_xU44uur9ZmHGpM-mmp96_oQwwz56co/edit#gid=0"",""Sheet1!$A$2:$O$250""),2,FALSE)"),0.5)</f>
        <v>0.5</v>
      </c>
      <c r="H195" s="84">
        <f t="shared" si="4"/>
        <v>0.002</v>
      </c>
      <c r="I195" s="85">
        <f t="shared" si="5"/>
        <v>0</v>
      </c>
    </row>
    <row r="196">
      <c r="A196" s="19" t="s">
        <v>271</v>
      </c>
      <c r="B196" s="41">
        <f>IFERROR(__xludf.DUMMYFUNCTION("VLOOKUP(A196,IMPORTRANGE(""1EmrnCz2gLVTx5Cbj0e5tfuHPhTtmru8KTGuQvh7STl0/edit#gid=2147150001"",""Whole Data Set!$A$2:$NQ$253""),381,FALSE)"),16.5)</f>
        <v>16.5</v>
      </c>
      <c r="C196" s="58">
        <f t="shared" si="1"/>
        <v>0.066</v>
      </c>
      <c r="D196" s="12">
        <f>IFERROR(__xludf.DUMMYFUNCTION("VLOOKUP(A196,IMPORTRANGE(""1aFCnJY1qhIj8-JckJhDJ18aqmVo17tofpQmOjcYa3u8/edit#gid=948248086"",""Whole Data Set!$A$2:$NG$253""),371,FALSE)"),5.5)</f>
        <v>5.5</v>
      </c>
      <c r="E196" s="13">
        <f t="shared" si="2"/>
        <v>0.022</v>
      </c>
      <c r="F196" s="13">
        <f t="shared" si="3"/>
        <v>0.044</v>
      </c>
      <c r="G196" s="83">
        <f>IFERROR(__xludf.DUMMYFUNCTION("VLOOKUP(A196,IMPORTRANGE(""1_RYWMH8TzKc0_xU44uur9ZmHGpM-mmp96_oQwwz56co/edit#gid=0"",""Sheet1!$A$2:$O$250""),2,FALSE)"),2.5)</f>
        <v>2.5</v>
      </c>
      <c r="H196" s="84">
        <f t="shared" si="4"/>
        <v>0.01</v>
      </c>
      <c r="I196" s="85">
        <f t="shared" si="5"/>
        <v>0.012</v>
      </c>
    </row>
    <row r="197">
      <c r="A197" s="19" t="s">
        <v>195</v>
      </c>
      <c r="B197" s="41">
        <f>IFERROR(__xludf.DUMMYFUNCTION("VLOOKUP(A197,IMPORTRANGE(""1EmrnCz2gLVTx5Cbj0e5tfuHPhTtmru8KTGuQvh7STl0/edit#gid=2147150001"",""Whole Data Set!$A$2:$NQ$253""),381,FALSE)"),16.25)</f>
        <v>16.25</v>
      </c>
      <c r="C197" s="58">
        <f t="shared" si="1"/>
        <v>0.065</v>
      </c>
      <c r="D197" s="12">
        <f>IFERROR(__xludf.DUMMYFUNCTION("VLOOKUP(A197,IMPORTRANGE(""1aFCnJY1qhIj8-JckJhDJ18aqmVo17tofpQmOjcYa3u8/edit#gid=948248086"",""Whole Data Set!$A$2:$NG$253""),371,FALSE)"),16.0)</f>
        <v>16</v>
      </c>
      <c r="E197" s="13">
        <f t="shared" si="2"/>
        <v>0.064</v>
      </c>
      <c r="F197" s="13">
        <f t="shared" si="3"/>
        <v>0.001</v>
      </c>
      <c r="G197" s="83">
        <f>IFERROR(__xludf.DUMMYFUNCTION("VLOOKUP(A197,IMPORTRANGE(""1_RYWMH8TzKc0_xU44uur9ZmHGpM-mmp96_oQwwz56co/edit#gid=0"",""Sheet1!$A$2:$O$250""),2,FALSE)"),20.25)</f>
        <v>20.25</v>
      </c>
      <c r="H197" s="84">
        <f t="shared" si="4"/>
        <v>0.081</v>
      </c>
      <c r="I197" s="85">
        <f t="shared" si="5"/>
        <v>-0.017</v>
      </c>
    </row>
    <row r="198">
      <c r="A198" s="19" t="s">
        <v>196</v>
      </c>
      <c r="B198" s="41">
        <f>IFERROR(__xludf.DUMMYFUNCTION("VLOOKUP(A198,IMPORTRANGE(""1EmrnCz2gLVTx5Cbj0e5tfuHPhTtmru8KTGuQvh7STl0/edit#gid=2147150001"",""Whole Data Set!$A$2:$NQ$253""),381,FALSE)"),117.75)</f>
        <v>117.75</v>
      </c>
      <c r="C198" s="58">
        <f t="shared" si="1"/>
        <v>0.471</v>
      </c>
      <c r="D198" s="12">
        <f>IFERROR(__xludf.DUMMYFUNCTION("VLOOKUP(A198,IMPORTRANGE(""1aFCnJY1qhIj8-JckJhDJ18aqmVo17tofpQmOjcYa3u8/edit#gid=948248086"",""Whole Data Set!$A$2:$NG$253""),371,FALSE)"),112.5)</f>
        <v>112.5</v>
      </c>
      <c r="E198" s="13">
        <f t="shared" si="2"/>
        <v>0.45</v>
      </c>
      <c r="F198" s="13">
        <f t="shared" si="3"/>
        <v>0.021</v>
      </c>
      <c r="G198" s="83">
        <f>IFERROR(__xludf.DUMMYFUNCTION("VLOOKUP(A198,IMPORTRANGE(""1_RYWMH8TzKc0_xU44uur9ZmHGpM-mmp96_oQwwz56co/edit#gid=0"",""Sheet1!$A$2:$O$250""),2,FALSE)"),131.25)</f>
        <v>131.25</v>
      </c>
      <c r="H198" s="84">
        <f t="shared" si="4"/>
        <v>0.525</v>
      </c>
      <c r="I198" s="85">
        <f t="shared" si="5"/>
        <v>-0.075</v>
      </c>
    </row>
    <row r="199">
      <c r="A199" s="19" t="s">
        <v>272</v>
      </c>
      <c r="B199" s="41">
        <f>IFERROR(__xludf.DUMMYFUNCTION("VLOOKUP(A199,IMPORTRANGE(""1EmrnCz2gLVTx5Cbj0e5tfuHPhTtmru8KTGuQvh7STl0/edit#gid=2147150001"",""Whole Data Set!$A$2:$NQ$253""),381,FALSE)"),1.0)</f>
        <v>1</v>
      </c>
      <c r="C199" s="58">
        <f t="shared" si="1"/>
        <v>0.004</v>
      </c>
      <c r="D199" s="12">
        <f>IFERROR(__xludf.DUMMYFUNCTION("VLOOKUP(A199,IMPORTRANGE(""1aFCnJY1qhIj8-JckJhDJ18aqmVo17tofpQmOjcYa3u8/edit#gid=948248086"",""Whole Data Set!$A$2:$NG$253""),371,FALSE)"),0.0)</f>
        <v>0</v>
      </c>
      <c r="E199" s="13">
        <f t="shared" si="2"/>
        <v>0</v>
      </c>
      <c r="F199" s="13">
        <f t="shared" si="3"/>
        <v>0.004</v>
      </c>
      <c r="G199" s="83">
        <f>IFERROR(__xludf.DUMMYFUNCTION("VLOOKUP(A199,IMPORTRANGE(""1_RYWMH8TzKc0_xU44uur9ZmHGpM-mmp96_oQwwz56co/edit#gid=0"",""Sheet1!$A$2:$O$250""),2,FALSE)"),22.75)</f>
        <v>22.75</v>
      </c>
      <c r="H199" s="84">
        <f t="shared" si="4"/>
        <v>0.091</v>
      </c>
      <c r="I199" s="85">
        <f t="shared" si="5"/>
        <v>-0.091</v>
      </c>
    </row>
    <row r="200">
      <c r="A200" s="19" t="s">
        <v>147</v>
      </c>
      <c r="B200" s="41">
        <f>IFERROR(__xludf.DUMMYFUNCTION("VLOOKUP(A200,IMPORTRANGE(""1EmrnCz2gLVTx5Cbj0e5tfuHPhTtmru8KTGuQvh7STl0/edit#gid=2147150001"",""Whole Data Set!$A$2:$NQ$253""),381,FALSE)"),17.5)</f>
        <v>17.5</v>
      </c>
      <c r="C200" s="58">
        <f t="shared" si="1"/>
        <v>0.07</v>
      </c>
      <c r="D200" s="12">
        <f>IFERROR(__xludf.DUMMYFUNCTION("VLOOKUP(A200,IMPORTRANGE(""1aFCnJY1qhIj8-JckJhDJ18aqmVo17tofpQmOjcYa3u8/edit#gid=948248086"",""Whole Data Set!$A$2:$NG$253""),371,FALSE)"),14.5)</f>
        <v>14.5</v>
      </c>
      <c r="E200" s="13">
        <f t="shared" si="2"/>
        <v>0.058</v>
      </c>
      <c r="F200" s="13">
        <f t="shared" si="3"/>
        <v>0.012</v>
      </c>
      <c r="G200" s="83">
        <f>IFERROR(__xludf.DUMMYFUNCTION("VLOOKUP(A200,IMPORTRANGE(""1_RYWMH8TzKc0_xU44uur9ZmHGpM-mmp96_oQwwz56co/edit#gid=0"",""Sheet1!$A$2:$O$250""),2,FALSE)"),12.25)</f>
        <v>12.25</v>
      </c>
      <c r="H200" s="84">
        <f t="shared" si="4"/>
        <v>0.049</v>
      </c>
      <c r="I200" s="85">
        <f t="shared" si="5"/>
        <v>0.009</v>
      </c>
    </row>
    <row r="201">
      <c r="A201" s="19" t="s">
        <v>197</v>
      </c>
      <c r="B201" s="41">
        <f>IFERROR(__xludf.DUMMYFUNCTION("VLOOKUP(A201,IMPORTRANGE(""1EmrnCz2gLVTx5Cbj0e5tfuHPhTtmru8KTGuQvh7STl0/edit#gid=2147150001"",""Whole Data Set!$A$2:$NQ$253""),381,FALSE)"),32.5)</f>
        <v>32.5</v>
      </c>
      <c r="C201" s="58">
        <f t="shared" si="1"/>
        <v>0.13</v>
      </c>
      <c r="D201" s="12">
        <f>IFERROR(__xludf.DUMMYFUNCTION("VLOOKUP(A201,IMPORTRANGE(""1aFCnJY1qhIj8-JckJhDJ18aqmVo17tofpQmOjcYa3u8/edit#gid=948248086"",""Whole Data Set!$A$2:$NG$253""),371,FALSE)"),35.25)</f>
        <v>35.25</v>
      </c>
      <c r="E201" s="13">
        <f t="shared" si="2"/>
        <v>0.141</v>
      </c>
      <c r="F201" s="13">
        <f t="shared" si="3"/>
        <v>-0.011</v>
      </c>
      <c r="G201" s="83">
        <f>IFERROR(__xludf.DUMMYFUNCTION("VLOOKUP(A201,IMPORTRANGE(""1_RYWMH8TzKc0_xU44uur9ZmHGpM-mmp96_oQwwz56co/edit#gid=0"",""Sheet1!$A$2:$O$250""),2,FALSE)"),33.75)</f>
        <v>33.75</v>
      </c>
      <c r="H201" s="84">
        <f t="shared" si="4"/>
        <v>0.135</v>
      </c>
      <c r="I201" s="85">
        <f t="shared" si="5"/>
        <v>0.006</v>
      </c>
    </row>
    <row r="202">
      <c r="A202" s="19" t="s">
        <v>148</v>
      </c>
      <c r="B202" s="41">
        <f>IFERROR(__xludf.DUMMYFUNCTION("VLOOKUP(A202,IMPORTRANGE(""1EmrnCz2gLVTx5Cbj0e5tfuHPhTtmru8KTGuQvh7STl0/edit#gid=2147150001"",""Whole Data Set!$A$2:$NQ$253""),381,FALSE)"),124.5)</f>
        <v>124.5</v>
      </c>
      <c r="C202" s="58">
        <f t="shared" si="1"/>
        <v>0.498</v>
      </c>
      <c r="D202" s="12">
        <f>IFERROR(__xludf.DUMMYFUNCTION("VLOOKUP(A202,IMPORTRANGE(""1aFCnJY1qhIj8-JckJhDJ18aqmVo17tofpQmOjcYa3u8/edit#gid=948248086"",""Whole Data Set!$A$2:$NG$253""),371,FALSE)"),107.75)</f>
        <v>107.75</v>
      </c>
      <c r="E202" s="13">
        <f t="shared" si="2"/>
        <v>0.431</v>
      </c>
      <c r="F202" s="13">
        <f t="shared" si="3"/>
        <v>0.067</v>
      </c>
      <c r="G202" s="83">
        <f>IFERROR(__xludf.DUMMYFUNCTION("VLOOKUP(A202,IMPORTRANGE(""1_RYWMH8TzKc0_xU44uur9ZmHGpM-mmp96_oQwwz56co/edit#gid=0"",""Sheet1!$A$2:$O$250""),2,FALSE)"),89.5)</f>
        <v>89.5</v>
      </c>
      <c r="H202" s="84">
        <f t="shared" si="4"/>
        <v>0.358</v>
      </c>
      <c r="I202" s="85">
        <f t="shared" si="5"/>
        <v>0.073</v>
      </c>
    </row>
    <row r="203">
      <c r="A203" s="19" t="s">
        <v>149</v>
      </c>
      <c r="B203" s="41">
        <f>IFERROR(__xludf.DUMMYFUNCTION("VLOOKUP(A203,IMPORTRANGE(""1EmrnCz2gLVTx5Cbj0e5tfuHPhTtmru8KTGuQvh7STl0/edit#gid=2147150001"",""Whole Data Set!$A$2:$NQ$253""),381,FALSE)"),121.5)</f>
        <v>121.5</v>
      </c>
      <c r="C203" s="58">
        <f t="shared" si="1"/>
        <v>0.486</v>
      </c>
      <c r="D203" s="12">
        <f>IFERROR(__xludf.DUMMYFUNCTION("VLOOKUP(A203,IMPORTRANGE(""1aFCnJY1qhIj8-JckJhDJ18aqmVo17tofpQmOjcYa3u8/edit#gid=948248086"",""Whole Data Set!$A$2:$NG$253""),371,FALSE)"),99.0)</f>
        <v>99</v>
      </c>
      <c r="E203" s="13">
        <f t="shared" si="2"/>
        <v>0.396</v>
      </c>
      <c r="F203" s="13">
        <f t="shared" si="3"/>
        <v>0.09</v>
      </c>
      <c r="G203" s="83">
        <f>IFERROR(__xludf.DUMMYFUNCTION("VLOOKUP(A203,IMPORTRANGE(""1_RYWMH8TzKc0_xU44uur9ZmHGpM-mmp96_oQwwz56co/edit#gid=0"",""Sheet1!$A$2:$O$250""),2,FALSE)"),79.25)</f>
        <v>79.25</v>
      </c>
      <c r="H203" s="84">
        <f t="shared" si="4"/>
        <v>0.317</v>
      </c>
      <c r="I203" s="85">
        <f t="shared" si="5"/>
        <v>0.079</v>
      </c>
    </row>
    <row r="204">
      <c r="A204" s="19" t="s">
        <v>150</v>
      </c>
      <c r="B204" s="41">
        <f>IFERROR(__xludf.DUMMYFUNCTION("VLOOKUP(A204,IMPORTRANGE(""1EmrnCz2gLVTx5Cbj0e5tfuHPhTtmru8KTGuQvh7STl0/edit#gid=2147150001"",""Whole Data Set!$A$2:$NQ$253""),381,FALSE)"),17.75)</f>
        <v>17.75</v>
      </c>
      <c r="C204" s="58">
        <f t="shared" si="1"/>
        <v>0.071</v>
      </c>
      <c r="D204" s="12">
        <f>IFERROR(__xludf.DUMMYFUNCTION("VLOOKUP(A204,IMPORTRANGE(""1aFCnJY1qhIj8-JckJhDJ18aqmVo17tofpQmOjcYa3u8/edit#gid=948248086"",""Whole Data Set!$A$2:$NG$253""),371,FALSE)"),21.25)</f>
        <v>21.25</v>
      </c>
      <c r="E204" s="13">
        <f t="shared" si="2"/>
        <v>0.085</v>
      </c>
      <c r="F204" s="13">
        <f t="shared" si="3"/>
        <v>-0.014</v>
      </c>
      <c r="G204" s="83">
        <f>IFERROR(__xludf.DUMMYFUNCTION("VLOOKUP(A204,IMPORTRANGE(""1_RYWMH8TzKc0_xU44uur9ZmHGpM-mmp96_oQwwz56co/edit#gid=0"",""Sheet1!$A$2:$O$250""),2,FALSE)"),29.25)</f>
        <v>29.25</v>
      </c>
      <c r="H204" s="84">
        <f t="shared" si="4"/>
        <v>0.117</v>
      </c>
      <c r="I204" s="85">
        <f t="shared" si="5"/>
        <v>-0.032</v>
      </c>
    </row>
    <row r="205">
      <c r="A205" s="19" t="s">
        <v>81</v>
      </c>
      <c r="B205" s="41">
        <f>IFERROR(__xludf.DUMMYFUNCTION("VLOOKUP(A205,IMPORTRANGE(""1EmrnCz2gLVTx5Cbj0e5tfuHPhTtmru8KTGuQvh7STl0/edit#gid=2147150001"",""Whole Data Set!$A$2:$NQ$253""),381,FALSE)"),93.0)</f>
        <v>93</v>
      </c>
      <c r="C205" s="58">
        <f t="shared" si="1"/>
        <v>0.372</v>
      </c>
      <c r="D205" s="12">
        <f>IFERROR(__xludf.DUMMYFUNCTION("VLOOKUP(A205,IMPORTRANGE(""1aFCnJY1qhIj8-JckJhDJ18aqmVo17tofpQmOjcYa3u8/edit#gid=948248086"",""Whole Data Set!$A$2:$NG$253""),371,FALSE)"),90.0)</f>
        <v>90</v>
      </c>
      <c r="E205" s="13">
        <f t="shared" si="2"/>
        <v>0.36</v>
      </c>
      <c r="F205" s="13">
        <f t="shared" si="3"/>
        <v>0.012</v>
      </c>
      <c r="G205" s="83">
        <f>IFERROR(__xludf.DUMMYFUNCTION("VLOOKUP(A205,IMPORTRANGE(""1_RYWMH8TzKc0_xU44uur9ZmHGpM-mmp96_oQwwz56co/edit#gid=0"",""Sheet1!$A$2:$O$250""),2,FALSE)"),105.25)</f>
        <v>105.25</v>
      </c>
      <c r="H205" s="84">
        <f t="shared" si="4"/>
        <v>0.421</v>
      </c>
      <c r="I205" s="85">
        <f t="shared" si="5"/>
        <v>-0.061</v>
      </c>
    </row>
    <row r="206">
      <c r="A206" s="42" t="s">
        <v>253</v>
      </c>
      <c r="B206" s="41">
        <f>IFERROR(__xludf.DUMMYFUNCTION("VLOOKUP(A206,IMPORTRANGE(""1EmrnCz2gLVTx5Cbj0e5tfuHPhTtmru8KTGuQvh7STl0/edit#gid=2147150001"",""Whole Data Set!$A$2:$NQ$253""),381,FALSE)"),191.0)</f>
        <v>191</v>
      </c>
      <c r="C206" s="58">
        <f t="shared" si="1"/>
        <v>0.764</v>
      </c>
      <c r="D206" s="12">
        <f>IFERROR(__xludf.DUMMYFUNCTION("VLOOKUP(A206,IMPORTRANGE(""1aFCnJY1qhIj8-JckJhDJ18aqmVo17tofpQmOjcYa3u8/edit#gid=948248086"",""Whole Data Set!$A$2:$NG$253""),371,FALSE)"),196.0)</f>
        <v>196</v>
      </c>
      <c r="E206" s="13">
        <f t="shared" si="2"/>
        <v>0.784</v>
      </c>
      <c r="F206" s="13">
        <f t="shared" si="3"/>
        <v>-0.02</v>
      </c>
      <c r="G206" s="83">
        <f>IFERROR(__xludf.DUMMYFUNCTION("VLOOKUP(A206,IMPORTRANGE(""1_RYWMH8TzKc0_xU44uur9ZmHGpM-mmp96_oQwwz56co/edit#gid=0"",""Sheet1!$A$2:$O$250""),2,FALSE)"),139.25)</f>
        <v>139.25</v>
      </c>
      <c r="H206" s="84">
        <f t="shared" si="4"/>
        <v>0.557</v>
      </c>
      <c r="I206" s="85">
        <f t="shared" si="5"/>
        <v>0.227</v>
      </c>
    </row>
    <row r="207">
      <c r="A207" s="19" t="s">
        <v>151</v>
      </c>
      <c r="B207" s="41">
        <f>IFERROR(__xludf.DUMMYFUNCTION("VLOOKUP(A207,IMPORTRANGE(""1EmrnCz2gLVTx5Cbj0e5tfuHPhTtmru8KTGuQvh7STl0/edit#gid=2147150001"",""Whole Data Set!$A$2:$NQ$253""),381,FALSE)"),107.0)</f>
        <v>107</v>
      </c>
      <c r="C207" s="58">
        <f t="shared" si="1"/>
        <v>0.428</v>
      </c>
      <c r="D207" s="12">
        <f>IFERROR(__xludf.DUMMYFUNCTION("VLOOKUP(A207,IMPORTRANGE(""1aFCnJY1qhIj8-JckJhDJ18aqmVo17tofpQmOjcYa3u8/edit#gid=948248086"",""Whole Data Set!$A$2:$NG$253""),371,FALSE)"),111.75)</f>
        <v>111.75</v>
      </c>
      <c r="E207" s="13">
        <f t="shared" si="2"/>
        <v>0.447</v>
      </c>
      <c r="F207" s="13">
        <f t="shared" si="3"/>
        <v>-0.019</v>
      </c>
      <c r="G207" s="83">
        <f>IFERROR(__xludf.DUMMYFUNCTION("VLOOKUP(A207,IMPORTRANGE(""1_RYWMH8TzKc0_xU44uur9ZmHGpM-mmp96_oQwwz56co/edit#gid=0"",""Sheet1!$A$2:$O$250""),2,FALSE)"),133.5)</f>
        <v>133.5</v>
      </c>
      <c r="H207" s="84">
        <f t="shared" si="4"/>
        <v>0.534</v>
      </c>
      <c r="I207" s="85">
        <f t="shared" si="5"/>
        <v>-0.087</v>
      </c>
    </row>
    <row r="208">
      <c r="A208" s="19" t="s">
        <v>198</v>
      </c>
      <c r="B208" s="41">
        <f>IFERROR(__xludf.DUMMYFUNCTION("VLOOKUP(A208,IMPORTRANGE(""1EmrnCz2gLVTx5Cbj0e5tfuHPhTtmru8KTGuQvh7STl0/edit#gid=2147150001"",""Whole Data Set!$A$2:$NQ$253""),381,FALSE)"),64.5)</f>
        <v>64.5</v>
      </c>
      <c r="C208" s="58">
        <f t="shared" si="1"/>
        <v>0.258</v>
      </c>
      <c r="D208" s="12">
        <f>IFERROR(__xludf.DUMMYFUNCTION("VLOOKUP(A208,IMPORTRANGE(""1aFCnJY1qhIj8-JckJhDJ18aqmVo17tofpQmOjcYa3u8/edit#gid=948248086"",""Whole Data Set!$A$2:$NG$253""),371,FALSE)"),59.25)</f>
        <v>59.25</v>
      </c>
      <c r="E208" s="13">
        <f t="shared" si="2"/>
        <v>0.237</v>
      </c>
      <c r="F208" s="13">
        <f t="shared" si="3"/>
        <v>0.021</v>
      </c>
      <c r="G208" s="83">
        <f>IFERROR(__xludf.DUMMYFUNCTION("VLOOKUP(A208,IMPORTRANGE(""1_RYWMH8TzKc0_xU44uur9ZmHGpM-mmp96_oQwwz56co/edit#gid=0"",""Sheet1!$A$2:$O$250""),2,FALSE)"),53.0)</f>
        <v>53</v>
      </c>
      <c r="H208" s="84">
        <f t="shared" si="4"/>
        <v>0.212</v>
      </c>
      <c r="I208" s="85">
        <f t="shared" si="5"/>
        <v>0.025</v>
      </c>
    </row>
    <row r="209">
      <c r="A209" s="19" t="s">
        <v>95</v>
      </c>
      <c r="B209" s="41">
        <f>IFERROR(__xludf.DUMMYFUNCTION("VLOOKUP(A209,IMPORTRANGE(""1EmrnCz2gLVTx5Cbj0e5tfuHPhTtmru8KTGuQvh7STl0/edit#gid=2147150001"",""Whole Data Set!$A$2:$NQ$253""),381,FALSE)"),119.75)</f>
        <v>119.75</v>
      </c>
      <c r="C209" s="58">
        <f t="shared" si="1"/>
        <v>0.479</v>
      </c>
      <c r="D209" s="12">
        <f>IFERROR(__xludf.DUMMYFUNCTION("VLOOKUP(A209,IMPORTRANGE(""1aFCnJY1qhIj8-JckJhDJ18aqmVo17tofpQmOjcYa3u8/edit#gid=948248086"",""Whole Data Set!$A$2:$NG$253""),371,FALSE)"),123.5)</f>
        <v>123.5</v>
      </c>
      <c r="E209" s="13">
        <f t="shared" si="2"/>
        <v>0.494</v>
      </c>
      <c r="F209" s="13">
        <f t="shared" si="3"/>
        <v>-0.015</v>
      </c>
      <c r="G209" s="83">
        <f>IFERROR(__xludf.DUMMYFUNCTION("VLOOKUP(A209,IMPORTRANGE(""1_RYWMH8TzKc0_xU44uur9ZmHGpM-mmp96_oQwwz56co/edit#gid=0"",""Sheet1!$A$2:$O$250""),2,FALSE)"),83.75)</f>
        <v>83.75</v>
      </c>
      <c r="H209" s="84">
        <f t="shared" si="4"/>
        <v>0.335</v>
      </c>
      <c r="I209" s="85">
        <f t="shared" si="5"/>
        <v>0.159</v>
      </c>
    </row>
    <row r="210">
      <c r="A210" s="19" t="s">
        <v>199</v>
      </c>
      <c r="B210" s="41">
        <f>IFERROR(__xludf.DUMMYFUNCTION("VLOOKUP(A210,IMPORTRANGE(""1EmrnCz2gLVTx5Cbj0e5tfuHPhTtmru8KTGuQvh7STl0/edit#gid=2147150001"",""Whole Data Set!$A$2:$NQ$253""),381,FALSE)"),156.25)</f>
        <v>156.25</v>
      </c>
      <c r="C210" s="58">
        <f t="shared" si="1"/>
        <v>0.625</v>
      </c>
      <c r="D210" s="12">
        <f>IFERROR(__xludf.DUMMYFUNCTION("VLOOKUP(A210,IMPORTRANGE(""1aFCnJY1qhIj8-JckJhDJ18aqmVo17tofpQmOjcYa3u8/edit#gid=948248086"",""Whole Data Set!$A$2:$NG$253""),371,FALSE)"),134.75)</f>
        <v>134.75</v>
      </c>
      <c r="E210" s="13">
        <f t="shared" si="2"/>
        <v>0.539</v>
      </c>
      <c r="F210" s="13">
        <f t="shared" si="3"/>
        <v>0.086</v>
      </c>
      <c r="G210" s="83">
        <f>IFERROR(__xludf.DUMMYFUNCTION("VLOOKUP(A210,IMPORTRANGE(""1_RYWMH8TzKc0_xU44uur9ZmHGpM-mmp96_oQwwz56co/edit#gid=0"",""Sheet1!$A$2:$O$250""),2,FALSE)"),26.75)</f>
        <v>26.75</v>
      </c>
      <c r="H210" s="84">
        <f t="shared" si="4"/>
        <v>0.107</v>
      </c>
      <c r="I210" s="85">
        <f t="shared" si="5"/>
        <v>0.432</v>
      </c>
    </row>
    <row r="211">
      <c r="A211" s="42" t="s">
        <v>254</v>
      </c>
      <c r="B211" s="41">
        <f>IFERROR(__xludf.DUMMYFUNCTION("VLOOKUP(A211,IMPORTRANGE(""1EmrnCz2gLVTx5Cbj0e5tfuHPhTtmru8KTGuQvh7STl0/edit#gid=2147150001"",""Whole Data Set!$A$2:$NQ$253""),381,FALSE)"),42.25)</f>
        <v>42.25</v>
      </c>
      <c r="C211" s="58">
        <f t="shared" si="1"/>
        <v>0.169</v>
      </c>
      <c r="D211" s="12">
        <f>IFERROR(__xludf.DUMMYFUNCTION("VLOOKUP(A211,IMPORTRANGE(""1aFCnJY1qhIj8-JckJhDJ18aqmVo17tofpQmOjcYa3u8/edit#gid=948248086"",""Whole Data Set!$A$2:$NG$253""),371,FALSE)"),21.75)</f>
        <v>21.75</v>
      </c>
      <c r="E211" s="13">
        <f t="shared" si="2"/>
        <v>0.087</v>
      </c>
      <c r="F211" s="13">
        <f t="shared" si="3"/>
        <v>0.082</v>
      </c>
      <c r="G211" s="83">
        <f>IFERROR(__xludf.DUMMYFUNCTION("VLOOKUP(A211,IMPORTRANGE(""1_RYWMH8TzKc0_xU44uur9ZmHGpM-mmp96_oQwwz56co/edit#gid=0"",""Sheet1!$A$2:$O$250""),2,FALSE)"),23.0)</f>
        <v>23</v>
      </c>
      <c r="H211" s="84">
        <f t="shared" si="4"/>
        <v>0.092</v>
      </c>
      <c r="I211" s="85">
        <f t="shared" si="5"/>
        <v>-0.005</v>
      </c>
    </row>
    <row r="212">
      <c r="A212" s="42" t="s">
        <v>96</v>
      </c>
      <c r="B212" s="41">
        <f>IFERROR(__xludf.DUMMYFUNCTION("VLOOKUP(A212,IMPORTRANGE(""1EmrnCz2gLVTx5Cbj0e5tfuHPhTtmru8KTGuQvh7STl0/edit#gid=2147150001"",""Whole Data Set!$A$2:$NQ$253""),381,FALSE)"),163.75)</f>
        <v>163.75</v>
      </c>
      <c r="C212" s="58">
        <f t="shared" si="1"/>
        <v>0.655</v>
      </c>
      <c r="D212" s="12">
        <f>IFERROR(__xludf.DUMMYFUNCTION("VLOOKUP(A212,IMPORTRANGE(""1aFCnJY1qhIj8-JckJhDJ18aqmVo17tofpQmOjcYa3u8/edit#gid=948248086"",""Whole Data Set!$A$2:$NG$253""),371,FALSE)"),164.5)</f>
        <v>164.5</v>
      </c>
      <c r="E212" s="13">
        <f t="shared" si="2"/>
        <v>0.658</v>
      </c>
      <c r="F212" s="13">
        <f t="shared" si="3"/>
        <v>-0.003</v>
      </c>
      <c r="G212" s="83">
        <f>IFERROR(__xludf.DUMMYFUNCTION("VLOOKUP(A212,IMPORTRANGE(""1_RYWMH8TzKc0_xU44uur9ZmHGpM-mmp96_oQwwz56co/edit#gid=0"",""Sheet1!$A$2:$O$250""),2,FALSE)"),164.25)</f>
        <v>164.25</v>
      </c>
      <c r="H212" s="84">
        <f t="shared" si="4"/>
        <v>0.657</v>
      </c>
      <c r="I212" s="85">
        <f t="shared" si="5"/>
        <v>0.001</v>
      </c>
    </row>
    <row r="213">
      <c r="A213" s="42" t="s">
        <v>255</v>
      </c>
      <c r="B213" s="41">
        <f>IFERROR(__xludf.DUMMYFUNCTION("VLOOKUP(A213,IMPORTRANGE(""1EmrnCz2gLVTx5Cbj0e5tfuHPhTtmru8KTGuQvh7STl0/edit#gid=2147150001"",""Whole Data Set!$A$2:$NQ$253""),381,FALSE)"),42.75)</f>
        <v>42.75</v>
      </c>
      <c r="C213" s="58">
        <f t="shared" si="1"/>
        <v>0.171</v>
      </c>
      <c r="D213" s="12">
        <f>IFERROR(__xludf.DUMMYFUNCTION("VLOOKUP(A213,IMPORTRANGE(""1aFCnJY1qhIj8-JckJhDJ18aqmVo17tofpQmOjcYa3u8/edit#gid=948248086"",""Whole Data Set!$A$2:$NG$253""),371,FALSE)"),62.5)</f>
        <v>62.5</v>
      </c>
      <c r="E213" s="13">
        <f t="shared" si="2"/>
        <v>0.25</v>
      </c>
      <c r="F213" s="13">
        <f t="shared" si="3"/>
        <v>-0.079</v>
      </c>
      <c r="G213" s="83">
        <f>IFERROR(__xludf.DUMMYFUNCTION("VLOOKUP(A213,IMPORTRANGE(""1_RYWMH8TzKc0_xU44uur9ZmHGpM-mmp96_oQwwz56co/edit#gid=0"",""Sheet1!$A$2:$O$250""),2,FALSE)"),68.0)</f>
        <v>68</v>
      </c>
      <c r="H213" s="84">
        <f t="shared" si="4"/>
        <v>0.272</v>
      </c>
      <c r="I213" s="85">
        <f t="shared" si="5"/>
        <v>-0.022</v>
      </c>
    </row>
    <row r="214">
      <c r="A214" s="19" t="s">
        <v>97</v>
      </c>
      <c r="B214" s="41">
        <f>IFERROR(__xludf.DUMMYFUNCTION("VLOOKUP(A214,IMPORTRANGE(""1EmrnCz2gLVTx5Cbj0e5tfuHPhTtmru8KTGuQvh7STl0/edit#gid=2147150001"",""Whole Data Set!$A$2:$NQ$253""),381,FALSE)"),163.75)</f>
        <v>163.75</v>
      </c>
      <c r="C214" s="58">
        <f t="shared" si="1"/>
        <v>0.655</v>
      </c>
      <c r="D214" s="12">
        <f>IFERROR(__xludf.DUMMYFUNCTION("VLOOKUP(A214,IMPORTRANGE(""1aFCnJY1qhIj8-JckJhDJ18aqmVo17tofpQmOjcYa3u8/edit#gid=948248086"",""Whole Data Set!$A$2:$NG$253""),371,FALSE)"),164.5)</f>
        <v>164.5</v>
      </c>
      <c r="E214" s="13">
        <f t="shared" si="2"/>
        <v>0.658</v>
      </c>
      <c r="F214" s="13">
        <f t="shared" si="3"/>
        <v>-0.003</v>
      </c>
      <c r="G214" s="83">
        <f>IFERROR(__xludf.DUMMYFUNCTION("VLOOKUP(A214,IMPORTRANGE(""1_RYWMH8TzKc0_xU44uur9ZmHGpM-mmp96_oQwwz56co/edit#gid=0"",""Sheet1!$A$2:$O$250""),2,FALSE)"),164.25)</f>
        <v>164.25</v>
      </c>
      <c r="H214" s="84">
        <f t="shared" si="4"/>
        <v>0.657</v>
      </c>
      <c r="I214" s="85">
        <f t="shared" si="5"/>
        <v>0.001</v>
      </c>
    </row>
    <row r="215">
      <c r="A215" s="19" t="s">
        <v>30</v>
      </c>
      <c r="B215" s="41">
        <f>IFERROR(__xludf.DUMMYFUNCTION("VLOOKUP(A215,IMPORTRANGE(""1EmrnCz2gLVTx5Cbj0e5tfuHPhTtmru8KTGuQvh7STl0/edit#gid=2147150001"",""Whole Data Set!$A$2:$NQ$253""),381,FALSE)"),32.75)</f>
        <v>32.75</v>
      </c>
      <c r="C215" s="58">
        <f t="shared" si="1"/>
        <v>0.131</v>
      </c>
      <c r="D215" s="12">
        <f>IFERROR(__xludf.DUMMYFUNCTION("VLOOKUP(A215,IMPORTRANGE(""1aFCnJY1qhIj8-JckJhDJ18aqmVo17tofpQmOjcYa3u8/edit#gid=948248086"",""Whole Data Set!$A$2:$NG$253""),371,FALSE)"),31.75)</f>
        <v>31.75</v>
      </c>
      <c r="E215" s="13">
        <f t="shared" si="2"/>
        <v>0.127</v>
      </c>
      <c r="F215" s="13">
        <f t="shared" si="3"/>
        <v>0.004</v>
      </c>
      <c r="G215" s="83">
        <f>IFERROR(__xludf.DUMMYFUNCTION("VLOOKUP(A215,IMPORTRANGE(""1_RYWMH8TzKc0_xU44uur9ZmHGpM-mmp96_oQwwz56co/edit#gid=0"",""Sheet1!$A$2:$O$250""),2,FALSE)"),32.5)</f>
        <v>32.5</v>
      </c>
      <c r="H215" s="84">
        <f t="shared" si="4"/>
        <v>0.13</v>
      </c>
      <c r="I215" s="85">
        <f t="shared" si="5"/>
        <v>-0.003</v>
      </c>
    </row>
    <row r="216">
      <c r="A216" s="19" t="s">
        <v>200</v>
      </c>
      <c r="B216" s="41">
        <f>IFERROR(__xludf.DUMMYFUNCTION("VLOOKUP(A216,IMPORTRANGE(""1EmrnCz2gLVTx5Cbj0e5tfuHPhTtmru8KTGuQvh7STl0/edit#gid=2147150001"",""Whole Data Set!$A$2:$NQ$253""),381,FALSE)"),22.25)</f>
        <v>22.25</v>
      </c>
      <c r="C216" s="58">
        <f t="shared" si="1"/>
        <v>0.089</v>
      </c>
      <c r="D216" s="12">
        <f>IFERROR(__xludf.DUMMYFUNCTION("VLOOKUP(A216,IMPORTRANGE(""1aFCnJY1qhIj8-JckJhDJ18aqmVo17tofpQmOjcYa3u8/edit#gid=948248086"",""Whole Data Set!$A$2:$NG$253""),371,FALSE)"),23.75)</f>
        <v>23.75</v>
      </c>
      <c r="E216" s="13">
        <f t="shared" si="2"/>
        <v>0.095</v>
      </c>
      <c r="F216" s="13">
        <f t="shared" si="3"/>
        <v>-0.006</v>
      </c>
      <c r="G216" s="83">
        <f>IFERROR(__xludf.DUMMYFUNCTION("VLOOKUP(A216,IMPORTRANGE(""1_RYWMH8TzKc0_xU44uur9ZmHGpM-mmp96_oQwwz56co/edit#gid=0"",""Sheet1!$A$2:$O$250""),2,FALSE)"),34.0)</f>
        <v>34</v>
      </c>
      <c r="H216" s="84">
        <f t="shared" si="4"/>
        <v>0.136</v>
      </c>
      <c r="I216" s="85">
        <f t="shared" si="5"/>
        <v>-0.041</v>
      </c>
    </row>
    <row r="217">
      <c r="A217" s="19" t="s">
        <v>201</v>
      </c>
      <c r="B217" s="41">
        <f>IFERROR(__xludf.DUMMYFUNCTION("VLOOKUP(A217,IMPORTRANGE(""1EmrnCz2gLVTx5Cbj0e5tfuHPhTtmru8KTGuQvh7STl0/edit#gid=2147150001"",""Whole Data Set!$A$2:$NQ$253""),381,FALSE)"),0.5)</f>
        <v>0.5</v>
      </c>
      <c r="C217" s="58">
        <f t="shared" si="1"/>
        <v>0.002</v>
      </c>
      <c r="D217" s="12">
        <f>IFERROR(__xludf.DUMMYFUNCTION("VLOOKUP(A217,IMPORTRANGE(""1aFCnJY1qhIj8-JckJhDJ18aqmVo17tofpQmOjcYa3u8/edit#gid=948248086"",""Whole Data Set!$A$2:$NG$253""),371,FALSE)"),0.5)</f>
        <v>0.5</v>
      </c>
      <c r="E217" s="13">
        <f t="shared" si="2"/>
        <v>0.002</v>
      </c>
      <c r="F217" s="13">
        <f t="shared" si="3"/>
        <v>0</v>
      </c>
      <c r="G217" s="83">
        <f>IFERROR(__xludf.DUMMYFUNCTION("VLOOKUP(A217,IMPORTRANGE(""1_RYWMH8TzKc0_xU44uur9ZmHGpM-mmp96_oQwwz56co/edit#gid=0"",""Sheet1!$A$2:$O$250""),2,FALSE)"),0.5)</f>
        <v>0.5</v>
      </c>
      <c r="H217" s="84">
        <f t="shared" si="4"/>
        <v>0.002</v>
      </c>
      <c r="I217" s="85">
        <f t="shared" si="5"/>
        <v>0</v>
      </c>
    </row>
    <row r="218">
      <c r="A218" s="19" t="s">
        <v>202</v>
      </c>
      <c r="B218" s="41">
        <f>IFERROR(__xludf.DUMMYFUNCTION("VLOOKUP(A218,IMPORTRANGE(""1EmrnCz2gLVTx5Cbj0e5tfuHPhTtmru8KTGuQvh7STl0/edit#gid=2147150001"",""Whole Data Set!$A$2:$NQ$253""),381,FALSE)"),125.5)</f>
        <v>125.5</v>
      </c>
      <c r="C218" s="58">
        <f t="shared" si="1"/>
        <v>0.502</v>
      </c>
      <c r="D218" s="12">
        <f>IFERROR(__xludf.DUMMYFUNCTION("VLOOKUP(A218,IMPORTRANGE(""1aFCnJY1qhIj8-JckJhDJ18aqmVo17tofpQmOjcYa3u8/edit#gid=948248086"",""Whole Data Set!$A$2:$NG$253""),371,FALSE)"),106.0)</f>
        <v>106</v>
      </c>
      <c r="E218" s="13">
        <f t="shared" si="2"/>
        <v>0.424</v>
      </c>
      <c r="F218" s="13">
        <f t="shared" si="3"/>
        <v>0.078</v>
      </c>
      <c r="G218" s="83">
        <f>IFERROR(__xludf.DUMMYFUNCTION("VLOOKUP(A218,IMPORTRANGE(""1_RYWMH8TzKc0_xU44uur9ZmHGpM-mmp96_oQwwz56co/edit#gid=0"",""Sheet1!$A$2:$O$250""),2,FALSE)"),105.75)</f>
        <v>105.75</v>
      </c>
      <c r="H218" s="84">
        <f t="shared" si="4"/>
        <v>0.423</v>
      </c>
      <c r="I218" s="85">
        <f t="shared" si="5"/>
        <v>0.001</v>
      </c>
    </row>
    <row r="219">
      <c r="A219" s="42" t="s">
        <v>203</v>
      </c>
      <c r="B219" s="41">
        <f>IFERROR(__xludf.DUMMYFUNCTION("VLOOKUP(A219,IMPORTRANGE(""1EmrnCz2gLVTx5Cbj0e5tfuHPhTtmru8KTGuQvh7STl0/edit#gid=2147150001"",""Whole Data Set!$A$2:$NQ$253""),381,FALSE)"),24.0)</f>
        <v>24</v>
      </c>
      <c r="C219" s="58">
        <f t="shared" si="1"/>
        <v>0.096</v>
      </c>
      <c r="D219" s="12">
        <f>IFERROR(__xludf.DUMMYFUNCTION("VLOOKUP(A219,IMPORTRANGE(""1aFCnJY1qhIj8-JckJhDJ18aqmVo17tofpQmOjcYa3u8/edit#gid=948248086"",""Whole Data Set!$A$2:$NG$253""),371,FALSE)"),9.75)</f>
        <v>9.75</v>
      </c>
      <c r="E219" s="13">
        <f t="shared" si="2"/>
        <v>0.039</v>
      </c>
      <c r="F219" s="13">
        <f t="shared" si="3"/>
        <v>0.057</v>
      </c>
      <c r="G219" s="83">
        <f>IFERROR(__xludf.DUMMYFUNCTION("VLOOKUP(A219,IMPORTRANGE(""1_RYWMH8TzKc0_xU44uur9ZmHGpM-mmp96_oQwwz56co/edit#gid=0"",""Sheet1!$A$2:$O$250""),2,FALSE)"),14.0)</f>
        <v>14</v>
      </c>
      <c r="H219" s="84">
        <f t="shared" si="4"/>
        <v>0.056</v>
      </c>
      <c r="I219" s="85">
        <f t="shared" si="5"/>
        <v>-0.017</v>
      </c>
    </row>
    <row r="220">
      <c r="A220" s="42" t="s">
        <v>99</v>
      </c>
      <c r="B220" s="41">
        <f>IFERROR(__xludf.DUMMYFUNCTION("VLOOKUP(A220,IMPORTRANGE(""1EmrnCz2gLVTx5Cbj0e5tfuHPhTtmru8KTGuQvh7STl0/edit#gid=2147150001"",""Whole Data Set!$A$2:$NQ$253""),381,FALSE)"),123.75)</f>
        <v>123.75</v>
      </c>
      <c r="C220" s="58">
        <f t="shared" si="1"/>
        <v>0.495</v>
      </c>
      <c r="D220" s="12">
        <f>IFERROR(__xludf.DUMMYFUNCTION("VLOOKUP(A220,IMPORTRANGE(""1aFCnJY1qhIj8-JckJhDJ18aqmVo17tofpQmOjcYa3u8/edit#gid=948248086"",""Whole Data Set!$A$2:$NG$253""),371,FALSE)"),140.75)</f>
        <v>140.75</v>
      </c>
      <c r="E220" s="13">
        <f t="shared" si="2"/>
        <v>0.563</v>
      </c>
      <c r="F220" s="13">
        <f t="shared" si="3"/>
        <v>-0.068</v>
      </c>
      <c r="G220" s="83">
        <f>IFERROR(__xludf.DUMMYFUNCTION("VLOOKUP(A220,IMPORTRANGE(""1_RYWMH8TzKc0_xU44uur9ZmHGpM-mmp96_oQwwz56co/edit#gid=0"",""Sheet1!$A$2:$O$250""),2,FALSE)"),147.5)</f>
        <v>147.5</v>
      </c>
      <c r="H220" s="84">
        <f t="shared" si="4"/>
        <v>0.59</v>
      </c>
      <c r="I220" s="85">
        <f t="shared" si="5"/>
        <v>-0.027</v>
      </c>
    </row>
    <row r="221">
      <c r="A221" s="42" t="s">
        <v>204</v>
      </c>
      <c r="B221" s="41">
        <f>IFERROR(__xludf.DUMMYFUNCTION("VLOOKUP(A221,IMPORTRANGE(""1EmrnCz2gLVTx5Cbj0e5tfuHPhTtmru8KTGuQvh7STl0/edit#gid=2147150001"",""Whole Data Set!$A$2:$NQ$253""),381,FALSE)"),32.75)</f>
        <v>32.75</v>
      </c>
      <c r="C221" s="58">
        <f t="shared" si="1"/>
        <v>0.131</v>
      </c>
      <c r="D221" s="12">
        <f>IFERROR(__xludf.DUMMYFUNCTION("VLOOKUP(A221,IMPORTRANGE(""1aFCnJY1qhIj8-JckJhDJ18aqmVo17tofpQmOjcYa3u8/edit#gid=948248086"",""Whole Data Set!$A$2:$NG$253""),371,FALSE)"),42.75)</f>
        <v>42.75</v>
      </c>
      <c r="E221" s="13">
        <f t="shared" si="2"/>
        <v>0.171</v>
      </c>
      <c r="F221" s="13">
        <f t="shared" si="3"/>
        <v>-0.04</v>
      </c>
      <c r="G221" s="83">
        <f>IFERROR(__xludf.DUMMYFUNCTION("VLOOKUP(A221,IMPORTRANGE(""1_RYWMH8TzKc0_xU44uur9ZmHGpM-mmp96_oQwwz56co/edit#gid=0"",""Sheet1!$A$2:$O$250""),2,FALSE)"),41.0)</f>
        <v>41</v>
      </c>
      <c r="H221" s="84">
        <f t="shared" si="4"/>
        <v>0.164</v>
      </c>
      <c r="I221" s="85">
        <f t="shared" si="5"/>
        <v>0.007</v>
      </c>
    </row>
    <row r="222">
      <c r="A222" s="19" t="s">
        <v>152</v>
      </c>
      <c r="B222" s="41">
        <f>IFERROR(__xludf.DUMMYFUNCTION("VLOOKUP(A222,IMPORTRANGE(""1EmrnCz2gLVTx5Cbj0e5tfuHPhTtmru8KTGuQvh7STl0/edit#gid=2147150001"",""Whole Data Set!$A$2:$NQ$253""),381,FALSE)"),1.25)</f>
        <v>1.25</v>
      </c>
      <c r="C222" s="58">
        <f t="shared" si="1"/>
        <v>0.005</v>
      </c>
      <c r="D222" s="12">
        <f>IFERROR(__xludf.DUMMYFUNCTION("VLOOKUP(A222,IMPORTRANGE(""1aFCnJY1qhIj8-JckJhDJ18aqmVo17tofpQmOjcYa3u8/edit#gid=948248086"",""Whole Data Set!$A$2:$NG$253""),371,FALSE)"),1.25)</f>
        <v>1.25</v>
      </c>
      <c r="E222" s="13">
        <f t="shared" si="2"/>
        <v>0.005</v>
      </c>
      <c r="F222" s="13">
        <f t="shared" si="3"/>
        <v>0</v>
      </c>
      <c r="G222" s="83">
        <f>IFERROR(__xludf.DUMMYFUNCTION("VLOOKUP(A222,IMPORTRANGE(""1_RYWMH8TzKc0_xU44uur9ZmHGpM-mmp96_oQwwz56co/edit#gid=0"",""Sheet1!$A$2:$O$250""),2,FALSE)"),1.0)</f>
        <v>1</v>
      </c>
      <c r="H222" s="84">
        <f t="shared" si="4"/>
        <v>0.004</v>
      </c>
      <c r="I222" s="85">
        <f t="shared" si="5"/>
        <v>0.001</v>
      </c>
    </row>
    <row r="223">
      <c r="A223" s="19" t="s">
        <v>49</v>
      </c>
      <c r="B223" s="41">
        <f>IFERROR(__xludf.DUMMYFUNCTION("VLOOKUP(A223,IMPORTRANGE(""1EmrnCz2gLVTx5Cbj0e5tfuHPhTtmru8KTGuQvh7STl0/edit#gid=2147150001"",""Whole Data Set!$A$2:$NQ$253""),381,FALSE)"),18.0)</f>
        <v>18</v>
      </c>
      <c r="C223" s="58">
        <f t="shared" si="1"/>
        <v>0.072</v>
      </c>
      <c r="D223" s="12">
        <f>IFERROR(__xludf.DUMMYFUNCTION("VLOOKUP(A223,IMPORTRANGE(""1aFCnJY1qhIj8-JckJhDJ18aqmVo17tofpQmOjcYa3u8/edit#gid=948248086"",""Whole Data Set!$A$2:$NG$253""),371,FALSE)"),11.75)</f>
        <v>11.75</v>
      </c>
      <c r="E223" s="13">
        <f t="shared" si="2"/>
        <v>0.047</v>
      </c>
      <c r="F223" s="13">
        <f t="shared" si="3"/>
        <v>0.025</v>
      </c>
      <c r="G223" s="83">
        <f>IFERROR(__xludf.DUMMYFUNCTION("VLOOKUP(A223,IMPORTRANGE(""1_RYWMH8TzKc0_xU44uur9ZmHGpM-mmp96_oQwwz56co/edit#gid=0"",""Sheet1!$A$2:$O$250""),2,FALSE)"),14.5)</f>
        <v>14.5</v>
      </c>
      <c r="H223" s="84">
        <f t="shared" si="4"/>
        <v>0.058</v>
      </c>
      <c r="I223" s="85">
        <f t="shared" si="5"/>
        <v>-0.011</v>
      </c>
    </row>
    <row r="224">
      <c r="A224" s="19" t="s">
        <v>256</v>
      </c>
      <c r="B224" s="41">
        <f>IFERROR(__xludf.DUMMYFUNCTION("VLOOKUP(A224,IMPORTRANGE(""1EmrnCz2gLVTx5Cbj0e5tfuHPhTtmru8KTGuQvh7STl0/edit#gid=2147150001"",""Whole Data Set!$A$2:$NQ$253""),381,FALSE)"),18.5)</f>
        <v>18.5</v>
      </c>
      <c r="C224" s="58">
        <f t="shared" si="1"/>
        <v>0.074</v>
      </c>
      <c r="D224" s="12">
        <f>IFERROR(__xludf.DUMMYFUNCTION("VLOOKUP(A224,IMPORTRANGE(""1aFCnJY1qhIj8-JckJhDJ18aqmVo17tofpQmOjcYa3u8/edit#gid=948248086"",""Whole Data Set!$A$2:$NG$253""),371,FALSE)"),10.25)</f>
        <v>10.25</v>
      </c>
      <c r="E224" s="13">
        <f t="shared" si="2"/>
        <v>0.041</v>
      </c>
      <c r="F224" s="13">
        <f t="shared" si="3"/>
        <v>0.033</v>
      </c>
      <c r="G224" s="83">
        <f>IFERROR(__xludf.DUMMYFUNCTION("VLOOKUP(A224,IMPORTRANGE(""1_RYWMH8TzKc0_xU44uur9ZmHGpM-mmp96_oQwwz56co/edit#gid=0"",""Sheet1!$A$2:$O$250""),2,FALSE)"),26.5)</f>
        <v>26.5</v>
      </c>
      <c r="H224" s="84">
        <f t="shared" si="4"/>
        <v>0.106</v>
      </c>
      <c r="I224" s="85">
        <f t="shared" si="5"/>
        <v>-0.065</v>
      </c>
    </row>
    <row r="225">
      <c r="A225" s="19" t="s">
        <v>205</v>
      </c>
      <c r="B225" s="41">
        <f>IFERROR(__xludf.DUMMYFUNCTION("VLOOKUP(A225,IMPORTRANGE(""1EmrnCz2gLVTx5Cbj0e5tfuHPhTtmru8KTGuQvh7STl0/edit#gid=2147150001"",""Whole Data Set!$A$2:$NQ$253""),381,FALSE)"),141.75)</f>
        <v>141.75</v>
      </c>
      <c r="C225" s="58">
        <f t="shared" si="1"/>
        <v>0.567</v>
      </c>
      <c r="D225" s="12">
        <f>IFERROR(__xludf.DUMMYFUNCTION("VLOOKUP(A225,IMPORTRANGE(""1aFCnJY1qhIj8-JckJhDJ18aqmVo17tofpQmOjcYa3u8/edit#gid=948248086"",""Whole Data Set!$A$2:$NG$253""),371,FALSE)"),139.0)</f>
        <v>139</v>
      </c>
      <c r="E225" s="13">
        <f t="shared" si="2"/>
        <v>0.556</v>
      </c>
      <c r="F225" s="13">
        <f t="shared" si="3"/>
        <v>0.011</v>
      </c>
      <c r="G225" s="83">
        <f>IFERROR(__xludf.DUMMYFUNCTION("VLOOKUP(A225,IMPORTRANGE(""1_RYWMH8TzKc0_xU44uur9ZmHGpM-mmp96_oQwwz56co/edit#gid=0"",""Sheet1!$A$2:$O$250""),2,FALSE)"),136.25)</f>
        <v>136.25</v>
      </c>
      <c r="H225" s="84">
        <f t="shared" si="4"/>
        <v>0.545</v>
      </c>
      <c r="I225" s="85">
        <f t="shared" si="5"/>
        <v>0.011</v>
      </c>
    </row>
    <row r="226">
      <c r="A226" s="19" t="s">
        <v>101</v>
      </c>
      <c r="B226" s="41">
        <f>IFERROR(__xludf.DUMMYFUNCTION("VLOOKUP(A226,IMPORTRANGE(""1EmrnCz2gLVTx5Cbj0e5tfuHPhTtmru8KTGuQvh7STl0/edit#gid=2147150001"",""Whole Data Set!$A$2:$NQ$253""),381,FALSE)"),69.25)</f>
        <v>69.25</v>
      </c>
      <c r="C226" s="58">
        <f t="shared" si="1"/>
        <v>0.277</v>
      </c>
      <c r="D226" s="12">
        <f>IFERROR(__xludf.DUMMYFUNCTION("VLOOKUP(A226,IMPORTRANGE(""1aFCnJY1qhIj8-JckJhDJ18aqmVo17tofpQmOjcYa3u8/edit#gid=948248086"",""Whole Data Set!$A$2:$NG$253""),371,FALSE)"),54.75)</f>
        <v>54.75</v>
      </c>
      <c r="E226" s="13">
        <f t="shared" si="2"/>
        <v>0.219</v>
      </c>
      <c r="F226" s="13">
        <f t="shared" si="3"/>
        <v>0.058</v>
      </c>
      <c r="G226" s="83">
        <f>IFERROR(__xludf.DUMMYFUNCTION("VLOOKUP(A226,IMPORTRANGE(""1_RYWMH8TzKc0_xU44uur9ZmHGpM-mmp96_oQwwz56co/edit#gid=0"",""Sheet1!$A$2:$O$250""),2,FALSE)"),53.75)</f>
        <v>53.75</v>
      </c>
      <c r="H226" s="84">
        <f t="shared" si="4"/>
        <v>0.215</v>
      </c>
      <c r="I226" s="85">
        <f t="shared" si="5"/>
        <v>0.004</v>
      </c>
    </row>
    <row r="227">
      <c r="A227" s="19" t="s">
        <v>102</v>
      </c>
      <c r="B227" s="41">
        <f>IFERROR(__xludf.DUMMYFUNCTION("VLOOKUP(A227,IMPORTRANGE(""1EmrnCz2gLVTx5Cbj0e5tfuHPhTtmru8KTGuQvh7STl0/edit#gid=2147150001"",""Whole Data Set!$A$2:$NQ$253""),381,FALSE)"),126.5)</f>
        <v>126.5</v>
      </c>
      <c r="C227" s="58">
        <f t="shared" si="1"/>
        <v>0.506</v>
      </c>
      <c r="D227" s="12">
        <f>IFERROR(__xludf.DUMMYFUNCTION("VLOOKUP(A227,IMPORTRANGE(""1aFCnJY1qhIj8-JckJhDJ18aqmVo17tofpQmOjcYa3u8/edit#gid=948248086"",""Whole Data Set!$A$2:$NG$253""),371,FALSE)"),123.5)</f>
        <v>123.5</v>
      </c>
      <c r="E227" s="13">
        <f t="shared" si="2"/>
        <v>0.494</v>
      </c>
      <c r="F227" s="13">
        <f t="shared" si="3"/>
        <v>0.012</v>
      </c>
      <c r="G227" s="83">
        <f>IFERROR(__xludf.DUMMYFUNCTION("VLOOKUP(A227,IMPORTRANGE(""1_RYWMH8TzKc0_xU44uur9ZmHGpM-mmp96_oQwwz56co/edit#gid=0"",""Sheet1!$A$2:$O$250""),2,FALSE)"),105.25)</f>
        <v>105.25</v>
      </c>
      <c r="H227" s="84">
        <f t="shared" si="4"/>
        <v>0.421</v>
      </c>
      <c r="I227" s="85">
        <f t="shared" si="5"/>
        <v>0.073</v>
      </c>
    </row>
    <row r="228">
      <c r="A228" s="19" t="s">
        <v>257</v>
      </c>
      <c r="B228" s="41">
        <f>IFERROR(__xludf.DUMMYFUNCTION("VLOOKUP(A228,IMPORTRANGE(""1EmrnCz2gLVTx5Cbj0e5tfuHPhTtmru8KTGuQvh7STl0/edit#gid=2147150001"",""Whole Data Set!$A$2:$NQ$253""),381,FALSE)"),41.5)</f>
        <v>41.5</v>
      </c>
      <c r="C228" s="58">
        <f t="shared" si="1"/>
        <v>0.166</v>
      </c>
      <c r="D228" s="12">
        <f>IFERROR(__xludf.DUMMYFUNCTION("VLOOKUP(A228,IMPORTRANGE(""1aFCnJY1qhIj8-JckJhDJ18aqmVo17tofpQmOjcYa3u8/edit#gid=948248086"",""Whole Data Set!$A$2:$NG$253""),371,FALSE)"),23.0)</f>
        <v>23</v>
      </c>
      <c r="E228" s="13">
        <f t="shared" si="2"/>
        <v>0.092</v>
      </c>
      <c r="F228" s="13">
        <f t="shared" si="3"/>
        <v>0.074</v>
      </c>
      <c r="G228" s="83">
        <f>IFERROR(__xludf.DUMMYFUNCTION("VLOOKUP(A228,IMPORTRANGE(""1_RYWMH8TzKc0_xU44uur9ZmHGpM-mmp96_oQwwz56co/edit#gid=0"",""Sheet1!$A$2:$O$250""),2,FALSE)"),21.75)</f>
        <v>21.75</v>
      </c>
      <c r="H228" s="84">
        <f t="shared" si="4"/>
        <v>0.087</v>
      </c>
      <c r="I228" s="85">
        <f t="shared" si="5"/>
        <v>0.005</v>
      </c>
    </row>
    <row r="229">
      <c r="A229" s="42" t="s">
        <v>103</v>
      </c>
      <c r="B229" s="41">
        <f>IFERROR(__xludf.DUMMYFUNCTION("VLOOKUP(A229,IMPORTRANGE(""1EmrnCz2gLVTx5Cbj0e5tfuHPhTtmru8KTGuQvh7STl0/edit#gid=2147150001"",""Whole Data Set!$A$2:$NQ$253""),381,FALSE)"),182.5)</f>
        <v>182.5</v>
      </c>
      <c r="C229" s="58">
        <f t="shared" si="1"/>
        <v>0.73</v>
      </c>
      <c r="D229" s="12">
        <f>IFERROR(__xludf.DUMMYFUNCTION("VLOOKUP(A229,IMPORTRANGE(""1aFCnJY1qhIj8-JckJhDJ18aqmVo17tofpQmOjcYa3u8/edit#gid=948248086"",""Whole Data Set!$A$2:$NG$253""),371,FALSE)"),158.0)</f>
        <v>158</v>
      </c>
      <c r="E229" s="13">
        <f t="shared" si="2"/>
        <v>0.632</v>
      </c>
      <c r="F229" s="13">
        <f t="shared" si="3"/>
        <v>0.098</v>
      </c>
      <c r="G229" s="83">
        <f>IFERROR(__xludf.DUMMYFUNCTION("VLOOKUP(A229,IMPORTRANGE(""1_RYWMH8TzKc0_xU44uur9ZmHGpM-mmp96_oQwwz56co/edit#gid=0"",""Sheet1!$A$2:$O$250""),2,FALSE)"),149.25)</f>
        <v>149.25</v>
      </c>
      <c r="H229" s="84">
        <f t="shared" si="4"/>
        <v>0.597</v>
      </c>
      <c r="I229" s="85">
        <f t="shared" si="5"/>
        <v>0.035</v>
      </c>
    </row>
    <row r="230">
      <c r="A230" s="42" t="s">
        <v>104</v>
      </c>
      <c r="B230" s="41">
        <f>IFERROR(__xludf.DUMMYFUNCTION("VLOOKUP(A230,IMPORTRANGE(""1EmrnCz2gLVTx5Cbj0e5tfuHPhTtmru8KTGuQvh7STl0/edit#gid=2147150001"",""Whole Data Set!$A$2:$NQ$253""),381,FALSE)"),32.5)</f>
        <v>32.5</v>
      </c>
      <c r="C230" s="58">
        <f t="shared" si="1"/>
        <v>0.13</v>
      </c>
      <c r="D230" s="12">
        <f>IFERROR(__xludf.DUMMYFUNCTION("VLOOKUP(A230,IMPORTRANGE(""1aFCnJY1qhIj8-JckJhDJ18aqmVo17tofpQmOjcYa3u8/edit#gid=948248086"",""Whole Data Set!$A$2:$NG$253""),371,FALSE)"),34.75)</f>
        <v>34.75</v>
      </c>
      <c r="E230" s="13">
        <f t="shared" si="2"/>
        <v>0.139</v>
      </c>
      <c r="F230" s="13">
        <f t="shared" si="3"/>
        <v>-0.009</v>
      </c>
      <c r="G230" s="83">
        <f>IFERROR(__xludf.DUMMYFUNCTION("VLOOKUP(A230,IMPORTRANGE(""1_RYWMH8TzKc0_xU44uur9ZmHGpM-mmp96_oQwwz56co/edit#gid=0"",""Sheet1!$A$2:$O$250""),2,FALSE)"),39.25)</f>
        <v>39.25</v>
      </c>
      <c r="H230" s="84">
        <f t="shared" si="4"/>
        <v>0.157</v>
      </c>
      <c r="I230" s="85">
        <f t="shared" si="5"/>
        <v>-0.018</v>
      </c>
    </row>
    <row r="231">
      <c r="A231" s="19" t="s">
        <v>153</v>
      </c>
      <c r="B231" s="41">
        <f>IFERROR(__xludf.DUMMYFUNCTION("VLOOKUP(A231,IMPORTRANGE(""1EmrnCz2gLVTx5Cbj0e5tfuHPhTtmru8KTGuQvh7STl0/edit#gid=2147150001"",""Whole Data Set!$A$2:$NQ$253""),381,FALSE)"),43.75)</f>
        <v>43.75</v>
      </c>
      <c r="C231" s="58">
        <f t="shared" si="1"/>
        <v>0.175</v>
      </c>
      <c r="D231" s="12">
        <f>IFERROR(__xludf.DUMMYFUNCTION("VLOOKUP(A231,IMPORTRANGE(""1aFCnJY1qhIj8-JckJhDJ18aqmVo17tofpQmOjcYa3u8/edit#gid=948248086"",""Whole Data Set!$A$2:$NG$253""),371,FALSE)"),12.25)</f>
        <v>12.25</v>
      </c>
      <c r="E231" s="13">
        <f t="shared" si="2"/>
        <v>0.049</v>
      </c>
      <c r="F231" s="13">
        <f t="shared" si="3"/>
        <v>0.126</v>
      </c>
      <c r="G231" s="83">
        <f>IFERROR(__xludf.DUMMYFUNCTION("VLOOKUP(A231,IMPORTRANGE(""1_RYWMH8TzKc0_xU44uur9ZmHGpM-mmp96_oQwwz56co/edit#gid=0"",""Sheet1!$A$2:$O$250""),2,FALSE)"),20.25)</f>
        <v>20.25</v>
      </c>
      <c r="H231" s="84">
        <f t="shared" si="4"/>
        <v>0.081</v>
      </c>
      <c r="I231" s="85">
        <f t="shared" si="5"/>
        <v>-0.032</v>
      </c>
    </row>
    <row r="232">
      <c r="A232" s="19" t="s">
        <v>154</v>
      </c>
      <c r="B232" s="41">
        <f>IFERROR(__xludf.DUMMYFUNCTION("VLOOKUP(A232,IMPORTRANGE(""1EmrnCz2gLVTx5Cbj0e5tfuHPhTtmru8KTGuQvh7STl0/edit#gid=2147150001"",""Whole Data Set!$A$2:$NQ$253""),381,FALSE)"),0.0)</f>
        <v>0</v>
      </c>
      <c r="C232" s="58">
        <f t="shared" si="1"/>
        <v>0</v>
      </c>
      <c r="D232" s="12">
        <f>IFERROR(__xludf.DUMMYFUNCTION("VLOOKUP(A232,IMPORTRANGE(""1aFCnJY1qhIj8-JckJhDJ18aqmVo17tofpQmOjcYa3u8/edit#gid=948248086"",""Whole Data Set!$A$2:$NG$253""),371,FALSE)"),1.75)</f>
        <v>1.75</v>
      </c>
      <c r="E232" s="13">
        <f t="shared" si="2"/>
        <v>0.007</v>
      </c>
      <c r="F232" s="13">
        <f t="shared" si="3"/>
        <v>-0.007</v>
      </c>
      <c r="G232" s="83">
        <f>IFERROR(__xludf.DUMMYFUNCTION("VLOOKUP(A232,IMPORTRANGE(""1_RYWMH8TzKc0_xU44uur9ZmHGpM-mmp96_oQwwz56co/edit#gid=0"",""Sheet1!$A$2:$O$250""),2,FALSE)"),147.5)</f>
        <v>147.5</v>
      </c>
      <c r="H232" s="84">
        <f t="shared" si="4"/>
        <v>0.59</v>
      </c>
      <c r="I232" s="85">
        <f t="shared" si="5"/>
        <v>-0.583</v>
      </c>
    </row>
    <row r="233">
      <c r="A233" s="19" t="s">
        <v>155</v>
      </c>
      <c r="B233" s="41">
        <f>IFERROR(__xludf.DUMMYFUNCTION("VLOOKUP(A233,IMPORTRANGE(""1EmrnCz2gLVTx5Cbj0e5tfuHPhTtmru8KTGuQvh7STl0/edit#gid=2147150001"",""Whole Data Set!$A$2:$NQ$253""),381,FALSE)"),162.75)</f>
        <v>162.75</v>
      </c>
      <c r="C233" s="58">
        <f t="shared" si="1"/>
        <v>0.651</v>
      </c>
      <c r="D233" s="12">
        <f>IFERROR(__xludf.DUMMYFUNCTION("VLOOKUP(A233,IMPORTRANGE(""1aFCnJY1qhIj8-JckJhDJ18aqmVo17tofpQmOjcYa3u8/edit#gid=948248086"",""Whole Data Set!$A$2:$NG$253""),371,FALSE)"),161.5)</f>
        <v>161.5</v>
      </c>
      <c r="E233" s="13">
        <f t="shared" si="2"/>
        <v>0.646</v>
      </c>
      <c r="F233" s="13">
        <f t="shared" si="3"/>
        <v>0.005</v>
      </c>
      <c r="G233" s="83">
        <f>IFERROR(__xludf.DUMMYFUNCTION("VLOOKUP(A233,IMPORTRANGE(""1_RYWMH8TzKc0_xU44uur9ZmHGpM-mmp96_oQwwz56co/edit#gid=0"",""Sheet1!$A$2:$O$250""),2,FALSE)"),162.25)</f>
        <v>162.25</v>
      </c>
      <c r="H233" s="84">
        <f t="shared" si="4"/>
        <v>0.649</v>
      </c>
      <c r="I233" s="85">
        <f t="shared" si="5"/>
        <v>-0.003</v>
      </c>
    </row>
    <row r="234">
      <c r="A234" s="19" t="s">
        <v>156</v>
      </c>
      <c r="B234" s="41">
        <f>IFERROR(__xludf.DUMMYFUNCTION("VLOOKUP(A234,IMPORTRANGE(""1EmrnCz2gLVTx5Cbj0e5tfuHPhTtmru8KTGuQvh7STl0/edit#gid=2147150001"",""Whole Data Set!$A$2:$NQ$253""),381,FALSE)"),102.0)</f>
        <v>102</v>
      </c>
      <c r="C234" s="58">
        <f t="shared" si="1"/>
        <v>0.408</v>
      </c>
      <c r="D234" s="12">
        <f>IFERROR(__xludf.DUMMYFUNCTION("VLOOKUP(A234,IMPORTRANGE(""1aFCnJY1qhIj8-JckJhDJ18aqmVo17tofpQmOjcYa3u8/edit#gid=948248086"",""Whole Data Set!$A$2:$NG$253""),371,FALSE)"),90.75)</f>
        <v>90.75</v>
      </c>
      <c r="E234" s="13">
        <f t="shared" si="2"/>
        <v>0.363</v>
      </c>
      <c r="F234" s="13">
        <f t="shared" si="3"/>
        <v>0.045</v>
      </c>
      <c r="G234" s="83">
        <f>IFERROR(__xludf.DUMMYFUNCTION("VLOOKUP(A234,IMPORTRANGE(""1_RYWMH8TzKc0_xU44uur9ZmHGpM-mmp96_oQwwz56co/edit#gid=0"",""Sheet1!$A$2:$O$250""),2,FALSE)"),64.0)</f>
        <v>64</v>
      </c>
      <c r="H234" s="84">
        <f t="shared" si="4"/>
        <v>0.256</v>
      </c>
      <c r="I234" s="85">
        <f t="shared" si="5"/>
        <v>0.107</v>
      </c>
    </row>
    <row r="235">
      <c r="A235" s="19" t="s">
        <v>157</v>
      </c>
      <c r="B235" s="41">
        <f>IFERROR(__xludf.DUMMYFUNCTION("VLOOKUP(A235,IMPORTRANGE(""1EmrnCz2gLVTx5Cbj0e5tfuHPhTtmru8KTGuQvh7STl0/edit#gid=2147150001"",""Whole Data Set!$A$2:$NQ$253""),381,FALSE)"),58.75)</f>
        <v>58.75</v>
      </c>
      <c r="C235" s="58">
        <f t="shared" si="1"/>
        <v>0.235</v>
      </c>
      <c r="D235" s="12">
        <f>IFERROR(__xludf.DUMMYFUNCTION("VLOOKUP(A235,IMPORTRANGE(""1aFCnJY1qhIj8-JckJhDJ18aqmVo17tofpQmOjcYa3u8/edit#gid=948248086"",""Whole Data Set!$A$2:$NG$253""),371,FALSE)"),33.0)</f>
        <v>33</v>
      </c>
      <c r="E235" s="13">
        <f t="shared" si="2"/>
        <v>0.132</v>
      </c>
      <c r="F235" s="13">
        <f t="shared" si="3"/>
        <v>0.103</v>
      </c>
      <c r="G235" s="83">
        <f>IFERROR(__xludf.DUMMYFUNCTION("VLOOKUP(A235,IMPORTRANGE(""1_RYWMH8TzKc0_xU44uur9ZmHGpM-mmp96_oQwwz56co/edit#gid=0"",""Sheet1!$A$2:$O$250""),2,FALSE)"),39.0)</f>
        <v>39</v>
      </c>
      <c r="H235" s="84">
        <f t="shared" si="4"/>
        <v>0.156</v>
      </c>
      <c r="I235" s="85">
        <f t="shared" si="5"/>
        <v>-0.024</v>
      </c>
    </row>
    <row r="236">
      <c r="A236" s="19" t="s">
        <v>206</v>
      </c>
      <c r="B236" s="41">
        <f>IFERROR(__xludf.DUMMYFUNCTION("VLOOKUP(A236,IMPORTRANGE(""1EmrnCz2gLVTx5Cbj0e5tfuHPhTtmru8KTGuQvh7STl0/edit#gid=2147150001"",""Whole Data Set!$A$2:$NQ$253""),381,FALSE)"),67.25)</f>
        <v>67.25</v>
      </c>
      <c r="C236" s="58">
        <f t="shared" si="1"/>
        <v>0.269</v>
      </c>
      <c r="D236" s="12">
        <f>IFERROR(__xludf.DUMMYFUNCTION("VLOOKUP(A236,IMPORTRANGE(""1aFCnJY1qhIj8-JckJhDJ18aqmVo17tofpQmOjcYa3u8/edit#gid=948248086"",""Whole Data Set!$A$2:$NG$253""),371,FALSE)"),53.75)</f>
        <v>53.75</v>
      </c>
      <c r="E236" s="13">
        <f t="shared" si="2"/>
        <v>0.215</v>
      </c>
      <c r="F236" s="13">
        <f t="shared" si="3"/>
        <v>0.054</v>
      </c>
      <c r="G236" s="83">
        <f>IFERROR(__xludf.DUMMYFUNCTION("VLOOKUP(A236,IMPORTRANGE(""1_RYWMH8TzKc0_xU44uur9ZmHGpM-mmp96_oQwwz56co/edit#gid=0"",""Sheet1!$A$2:$O$250""),2,FALSE)"),57.0)</f>
        <v>57</v>
      </c>
      <c r="H236" s="84">
        <f t="shared" si="4"/>
        <v>0.228</v>
      </c>
      <c r="I236" s="85">
        <f t="shared" si="5"/>
        <v>-0.013</v>
      </c>
    </row>
    <row r="237">
      <c r="A237" s="42" t="s">
        <v>105</v>
      </c>
      <c r="B237" s="41">
        <f>IFERROR(__xludf.DUMMYFUNCTION("VLOOKUP(A237,IMPORTRANGE(""1EmrnCz2gLVTx5Cbj0e5tfuHPhTtmru8KTGuQvh7STl0/edit#gid=2147150001"",""Whole Data Set!$A$2:$NQ$253""),381,FALSE)"),47.25)</f>
        <v>47.25</v>
      </c>
      <c r="C237" s="58">
        <f t="shared" si="1"/>
        <v>0.189</v>
      </c>
      <c r="D237" s="12">
        <f>IFERROR(__xludf.DUMMYFUNCTION("VLOOKUP(A237,IMPORTRANGE(""1aFCnJY1qhIj8-JckJhDJ18aqmVo17tofpQmOjcYa3u8/edit#gid=948248086"",""Whole Data Set!$A$2:$NG$253""),371,FALSE)"),44.75)</f>
        <v>44.75</v>
      </c>
      <c r="E237" s="13">
        <f t="shared" si="2"/>
        <v>0.179</v>
      </c>
      <c r="F237" s="13">
        <f t="shared" si="3"/>
        <v>0.01</v>
      </c>
      <c r="G237" s="83">
        <f>IFERROR(__xludf.DUMMYFUNCTION("VLOOKUP(A237,IMPORTRANGE(""1_RYWMH8TzKc0_xU44uur9ZmHGpM-mmp96_oQwwz56co/edit#gid=0"",""Sheet1!$A$2:$O$250""),2,FALSE)"),54.0)</f>
        <v>54</v>
      </c>
      <c r="H237" s="84">
        <f t="shared" si="4"/>
        <v>0.216</v>
      </c>
      <c r="I237" s="85">
        <f t="shared" si="5"/>
        <v>-0.037</v>
      </c>
    </row>
    <row r="238">
      <c r="A238" s="19" t="s">
        <v>56</v>
      </c>
      <c r="B238" s="41">
        <f>IFERROR(__xludf.DUMMYFUNCTION("VLOOKUP(A238,IMPORTRANGE(""1EmrnCz2gLVTx5Cbj0e5tfuHPhTtmru8KTGuQvh7STl0/edit#gid=2147150001"",""Whole Data Set!$A$2:$NQ$253""),381,FALSE)"),57.0)</f>
        <v>57</v>
      </c>
      <c r="C238" s="58">
        <f t="shared" si="1"/>
        <v>0.228</v>
      </c>
      <c r="D238" s="12">
        <f>IFERROR(__xludf.DUMMYFUNCTION("VLOOKUP(A238,IMPORTRANGE(""1aFCnJY1qhIj8-JckJhDJ18aqmVo17tofpQmOjcYa3u8/edit#gid=948248086"",""Whole Data Set!$A$2:$NG$253""),371,FALSE)"),60.5)</f>
        <v>60.5</v>
      </c>
      <c r="E238" s="13">
        <f t="shared" si="2"/>
        <v>0.242</v>
      </c>
      <c r="F238" s="13">
        <f t="shared" si="3"/>
        <v>-0.014</v>
      </c>
      <c r="G238" s="83">
        <f>IFERROR(__xludf.DUMMYFUNCTION("VLOOKUP(A238,IMPORTRANGE(""1_RYWMH8TzKc0_xU44uur9ZmHGpM-mmp96_oQwwz56co/edit#gid=0"",""Sheet1!$A$2:$O$250""),2,FALSE)"),64.25)</f>
        <v>64.25</v>
      </c>
      <c r="H238" s="84">
        <f t="shared" si="4"/>
        <v>0.257</v>
      </c>
      <c r="I238" s="85">
        <f t="shared" si="5"/>
        <v>-0.015</v>
      </c>
    </row>
    <row r="239">
      <c r="A239" s="42" t="s">
        <v>258</v>
      </c>
      <c r="B239" s="41">
        <f>IFERROR(__xludf.DUMMYFUNCTION("VLOOKUP(A239,IMPORTRANGE(""1EmrnCz2gLVTx5Cbj0e5tfuHPhTtmru8KTGuQvh7STl0/edit#gid=2147150001"",""Whole Data Set!$A$2:$NQ$253""),381,FALSE)"),73.5)</f>
        <v>73.5</v>
      </c>
      <c r="C239" s="58">
        <f t="shared" si="1"/>
        <v>0.294</v>
      </c>
      <c r="D239" s="12">
        <f>IFERROR(__xludf.DUMMYFUNCTION("VLOOKUP(A239,IMPORTRANGE(""1aFCnJY1qhIj8-JckJhDJ18aqmVo17tofpQmOjcYa3u8/edit#gid=948248086"",""Whole Data Set!$A$2:$NG$253""),371,FALSE)"),66.0)</f>
        <v>66</v>
      </c>
      <c r="E239" s="13">
        <f t="shared" si="2"/>
        <v>0.264</v>
      </c>
      <c r="F239" s="13">
        <f t="shared" si="3"/>
        <v>0.03</v>
      </c>
      <c r="G239" s="83">
        <f>IFERROR(__xludf.DUMMYFUNCTION("VLOOKUP(A239,IMPORTRANGE(""1_RYWMH8TzKc0_xU44uur9ZmHGpM-mmp96_oQwwz56co/edit#gid=0"",""Sheet1!$A$2:$O$250""),2,FALSE)"),61.0)</f>
        <v>61</v>
      </c>
      <c r="H239" s="84">
        <f t="shared" si="4"/>
        <v>0.244</v>
      </c>
      <c r="I239" s="85">
        <f t="shared" si="5"/>
        <v>0.02</v>
      </c>
    </row>
    <row r="240">
      <c r="A240" s="19" t="s">
        <v>107</v>
      </c>
      <c r="B240" s="41">
        <f>IFERROR(__xludf.DUMMYFUNCTION("VLOOKUP(A240,IMPORTRANGE(""1EmrnCz2gLVTx5Cbj0e5tfuHPhTtmru8KTGuQvh7STl0/edit#gid=2147150001"",""Whole Data Set!$A$2:$NQ$253""),381,FALSE)"),82.25)</f>
        <v>82.25</v>
      </c>
      <c r="C240" s="58">
        <f t="shared" si="1"/>
        <v>0.329</v>
      </c>
      <c r="D240" s="12">
        <f>IFERROR(__xludf.DUMMYFUNCTION("VLOOKUP(A240,IMPORTRANGE(""1aFCnJY1qhIj8-JckJhDJ18aqmVo17tofpQmOjcYa3u8/edit#gid=948248086"",""Whole Data Set!$A$2:$NG$253""),371,FALSE)"),111.25)</f>
        <v>111.25</v>
      </c>
      <c r="E240" s="13">
        <f t="shared" si="2"/>
        <v>0.445</v>
      </c>
      <c r="F240" s="13">
        <f t="shared" si="3"/>
        <v>-0.116</v>
      </c>
      <c r="G240" s="83">
        <f>IFERROR(__xludf.DUMMYFUNCTION("VLOOKUP(A240,IMPORTRANGE(""1_RYWMH8TzKc0_xU44uur9ZmHGpM-mmp96_oQwwz56co/edit#gid=0"",""Sheet1!$A$2:$O$250""),2,FALSE)"),85.5)</f>
        <v>85.5</v>
      </c>
      <c r="H240" s="84">
        <f t="shared" si="4"/>
        <v>0.342</v>
      </c>
      <c r="I240" s="85">
        <f t="shared" si="5"/>
        <v>0.103</v>
      </c>
    </row>
    <row r="241">
      <c r="A241" s="19" t="s">
        <v>158</v>
      </c>
      <c r="B241" s="41">
        <f>IFERROR(__xludf.DUMMYFUNCTION("VLOOKUP(A241,IMPORTRANGE(""1EmrnCz2gLVTx5Cbj0e5tfuHPhTtmru8KTGuQvh7STl0/edit#gid=2147150001"",""Whole Data Set!$A$2:$NQ$253""),381,FALSE)"),0.0)</f>
        <v>0</v>
      </c>
      <c r="C241" s="58">
        <f t="shared" si="1"/>
        <v>0</v>
      </c>
      <c r="D241" s="12">
        <f>IFERROR(__xludf.DUMMYFUNCTION("VLOOKUP(A241,IMPORTRANGE(""1aFCnJY1qhIj8-JckJhDJ18aqmVo17tofpQmOjcYa3u8/edit#gid=948248086"",""Whole Data Set!$A$2:$NG$253""),371,FALSE)"),0.0)</f>
        <v>0</v>
      </c>
      <c r="E241" s="13">
        <f t="shared" si="2"/>
        <v>0</v>
      </c>
      <c r="F241" s="13">
        <f t="shared" si="3"/>
        <v>0</v>
      </c>
      <c r="G241" s="83">
        <f>IFERROR(__xludf.DUMMYFUNCTION("VLOOKUP(A241,IMPORTRANGE(""1_RYWMH8TzKc0_xU44uur9ZmHGpM-mmp96_oQwwz56co/edit#gid=0"",""Sheet1!$A$2:$O$250""),2,FALSE)"),0.0)</f>
        <v>0</v>
      </c>
      <c r="H241" s="84">
        <f t="shared" si="4"/>
        <v>0</v>
      </c>
      <c r="I241" s="85">
        <f t="shared" si="5"/>
        <v>0</v>
      </c>
    </row>
    <row r="242">
      <c r="A242" s="19" t="s">
        <v>108</v>
      </c>
      <c r="B242" s="41">
        <f>IFERROR(__xludf.DUMMYFUNCTION("VLOOKUP(A242,IMPORTRANGE(""1EmrnCz2gLVTx5Cbj0e5tfuHPhTtmru8KTGuQvh7STl0/edit#gid=2147150001"",""Whole Data Set!$A$2:$NQ$253""),381,FALSE)"),99.75)</f>
        <v>99.75</v>
      </c>
      <c r="C242" s="58">
        <f t="shared" si="1"/>
        <v>0.399</v>
      </c>
      <c r="D242" s="12">
        <f>IFERROR(__xludf.DUMMYFUNCTION("VLOOKUP(A242,IMPORTRANGE(""1aFCnJY1qhIj8-JckJhDJ18aqmVo17tofpQmOjcYa3u8/edit#gid=948248086"",""Whole Data Set!$A$2:$NG$253""),371,FALSE)"),110.0)</f>
        <v>110</v>
      </c>
      <c r="E242" s="13">
        <f t="shared" si="2"/>
        <v>0.44</v>
      </c>
      <c r="F242" s="13">
        <f t="shared" si="3"/>
        <v>-0.041</v>
      </c>
      <c r="G242" s="83">
        <f>IFERROR(__xludf.DUMMYFUNCTION("VLOOKUP(A242,IMPORTRANGE(""1_RYWMH8TzKc0_xU44uur9ZmHGpM-mmp96_oQwwz56co/edit#gid=0"",""Sheet1!$A$2:$O$250""),2,FALSE)"),112.25)</f>
        <v>112.25</v>
      </c>
      <c r="H242" s="84">
        <f t="shared" si="4"/>
        <v>0.449</v>
      </c>
      <c r="I242" s="85">
        <f t="shared" si="5"/>
        <v>-0.009</v>
      </c>
    </row>
    <row r="243">
      <c r="A243" s="19" t="s">
        <v>109</v>
      </c>
      <c r="B243" s="41">
        <f>IFERROR(__xludf.DUMMYFUNCTION("VLOOKUP(A243,IMPORTRANGE(""1EmrnCz2gLVTx5Cbj0e5tfuHPhTtmru8KTGuQvh7STl0/edit#gid=2147150001"",""Whole Data Set!$A$2:$NQ$253""),381,FALSE)"),124.5)</f>
        <v>124.5</v>
      </c>
      <c r="C243" s="58">
        <f t="shared" si="1"/>
        <v>0.498</v>
      </c>
      <c r="D243" s="12">
        <f>IFERROR(__xludf.DUMMYFUNCTION("VLOOKUP(A243,IMPORTRANGE(""1aFCnJY1qhIj8-JckJhDJ18aqmVo17tofpQmOjcYa3u8/edit#gid=948248086"",""Whole Data Set!$A$2:$NG$253""),371,FALSE)"),107.75)</f>
        <v>107.75</v>
      </c>
      <c r="E243" s="13">
        <f t="shared" si="2"/>
        <v>0.431</v>
      </c>
      <c r="F243" s="13">
        <f t="shared" si="3"/>
        <v>0.067</v>
      </c>
      <c r="G243" s="83">
        <f>IFERROR(__xludf.DUMMYFUNCTION("VLOOKUP(A243,IMPORTRANGE(""1_RYWMH8TzKc0_xU44uur9ZmHGpM-mmp96_oQwwz56co/edit#gid=0"",""Sheet1!$A$2:$O$252""),2,FALSE)"),89.5)</f>
        <v>89.5</v>
      </c>
      <c r="H243" s="84">
        <f t="shared" si="4"/>
        <v>0.358</v>
      </c>
      <c r="I243" s="85">
        <f t="shared" si="5"/>
        <v>0.073</v>
      </c>
    </row>
    <row r="244">
      <c r="A244" s="89" t="s">
        <v>259</v>
      </c>
      <c r="B244" s="41">
        <f>IFERROR(__xludf.DUMMYFUNCTION("VLOOKUP(A244,IMPORTRANGE(""1EmrnCz2gLVTx5Cbj0e5tfuHPhTtmru8KTGuQvh7STl0/edit#gid=2147150001"",""Whole Data Set!$A$2:$NQ$253""),381,FALSE)"),134.5)</f>
        <v>134.5</v>
      </c>
      <c r="C244" s="58">
        <f t="shared" si="1"/>
        <v>0.538</v>
      </c>
      <c r="D244" s="12">
        <f>IFERROR(__xludf.DUMMYFUNCTION("VLOOKUP(A244,IMPORTRANGE(""1aFCnJY1qhIj8-JckJhDJ18aqmVo17tofpQmOjcYa3u8/edit#gid=948248086"",""Whole Data Set!$A$2:$NG$253""),371,FALSE)"),143.0)</f>
        <v>143</v>
      </c>
      <c r="E244" s="13">
        <f t="shared" si="2"/>
        <v>0.572</v>
      </c>
      <c r="F244" s="13">
        <f t="shared" si="3"/>
        <v>-0.034</v>
      </c>
      <c r="G244" s="83">
        <f>IFERROR(__xludf.DUMMYFUNCTION("VLOOKUP(A244,IMPORTRANGE(""1_RYWMH8TzKc0_xU44uur9ZmHGpM-mmp96_oQwwz56co/edit#gid=0"",""Sheet1!$A$2:$O$252""),2,FALSE)"),94.0)</f>
        <v>94</v>
      </c>
      <c r="H244" s="84">
        <f t="shared" si="4"/>
        <v>0.376</v>
      </c>
      <c r="I244" s="85">
        <f t="shared" si="5"/>
        <v>0.196</v>
      </c>
    </row>
    <row r="245">
      <c r="A245" s="90"/>
      <c r="B245" s="44">
        <f>AVERAGE(B63:B244)</f>
        <v>67.57967033</v>
      </c>
      <c r="C245" s="67">
        <f>AVERAGE(C13:C244)</f>
        <v>0.268012931</v>
      </c>
      <c r="D245" s="68">
        <f t="shared" ref="D245:E245" si="6">AVERAGE(D155:D244)</f>
        <v>68.01944444</v>
      </c>
      <c r="E245" s="67">
        <f t="shared" si="6"/>
        <v>0.2720777778</v>
      </c>
      <c r="F245" s="71">
        <f t="shared" si="3"/>
        <v>-0.004064846743</v>
      </c>
      <c r="G245" s="69">
        <f t="shared" ref="G245:H245" si="7">AVERAGE(G155:G244)</f>
        <v>66.09722222</v>
      </c>
      <c r="H245" s="70">
        <f t="shared" si="7"/>
        <v>0.2643888889</v>
      </c>
      <c r="I245" s="71">
        <f>C245-H245</f>
        <v>0.003624042146</v>
      </c>
    </row>
    <row r="246">
      <c r="A246" s="55"/>
      <c r="B246" s="55"/>
      <c r="C246" s="55"/>
      <c r="D246" s="34"/>
      <c r="H246" s="36"/>
    </row>
    <row r="247">
      <c r="A247" s="55"/>
      <c r="B247" s="55"/>
      <c r="C247" s="55"/>
      <c r="D247" s="34"/>
      <c r="H247" s="36"/>
    </row>
    <row r="248">
      <c r="A248" s="55"/>
      <c r="B248" s="55"/>
      <c r="C248" s="55"/>
      <c r="D248" s="34"/>
      <c r="H248" s="36"/>
    </row>
    <row r="249">
      <c r="A249" s="36"/>
      <c r="B249" s="36"/>
      <c r="C249" s="36"/>
      <c r="H249" s="36"/>
    </row>
    <row r="250">
      <c r="A250" s="36"/>
      <c r="B250" s="36"/>
      <c r="C250" s="36"/>
      <c r="H250" s="36"/>
    </row>
    <row r="251">
      <c r="A251" s="36"/>
      <c r="B251" s="36"/>
      <c r="C251" s="36"/>
      <c r="H251" s="36"/>
    </row>
    <row r="252">
      <c r="A252" s="36"/>
      <c r="B252" s="36"/>
      <c r="C252" s="36"/>
      <c r="H252" s="36"/>
    </row>
    <row r="253">
      <c r="A253" s="36"/>
      <c r="B253" s="36"/>
      <c r="C253" s="36"/>
      <c r="H253" s="36"/>
    </row>
    <row r="254">
      <c r="A254" s="36"/>
      <c r="B254" s="36"/>
      <c r="C254" s="36"/>
      <c r="H254" s="36"/>
    </row>
    <row r="255">
      <c r="A255" s="36"/>
      <c r="B255" s="36"/>
      <c r="C255" s="36"/>
      <c r="H255" s="36"/>
    </row>
    <row r="256">
      <c r="A256" s="36"/>
      <c r="B256" s="36"/>
      <c r="C256" s="36"/>
      <c r="H256" s="36"/>
    </row>
    <row r="257">
      <c r="A257" s="36"/>
      <c r="B257" s="36"/>
      <c r="C257" s="36"/>
      <c r="H257" s="36"/>
    </row>
    <row r="258">
      <c r="A258" s="36"/>
      <c r="B258" s="36"/>
      <c r="C258" s="36"/>
      <c r="H258" s="36"/>
    </row>
    <row r="259">
      <c r="A259" s="36"/>
      <c r="B259" s="36"/>
      <c r="C259" s="36"/>
      <c r="H259" s="36"/>
    </row>
    <row r="260">
      <c r="A260" s="36"/>
      <c r="B260" s="36"/>
      <c r="C260" s="36"/>
      <c r="H260" s="36"/>
    </row>
    <row r="261">
      <c r="A261" s="36"/>
      <c r="B261" s="36"/>
      <c r="C261" s="36"/>
      <c r="H261" s="36"/>
    </row>
    <row r="262">
      <c r="A262" s="36"/>
      <c r="B262" s="36"/>
      <c r="C262" s="36"/>
      <c r="H262" s="36"/>
    </row>
    <row r="263">
      <c r="A263" s="36"/>
      <c r="B263" s="36"/>
      <c r="C263" s="36"/>
      <c r="H263" s="36"/>
    </row>
    <row r="264">
      <c r="A264" s="36"/>
      <c r="B264" s="36"/>
      <c r="C264" s="36"/>
      <c r="H264" s="36"/>
    </row>
    <row r="265">
      <c r="A265" s="36"/>
      <c r="B265" s="36"/>
      <c r="C265" s="36"/>
      <c r="H265" s="36"/>
    </row>
    <row r="266">
      <c r="A266" s="36"/>
      <c r="B266" s="36"/>
      <c r="C266" s="36"/>
      <c r="H266" s="36"/>
    </row>
    <row r="267">
      <c r="A267" s="36"/>
      <c r="B267" s="36"/>
      <c r="C267" s="36"/>
      <c r="H267" s="36"/>
    </row>
    <row r="268">
      <c r="A268" s="36"/>
      <c r="B268" s="36"/>
      <c r="C268" s="36"/>
      <c r="H268" s="36"/>
    </row>
    <row r="269">
      <c r="A269" s="36"/>
      <c r="B269" s="36"/>
      <c r="C269" s="36"/>
      <c r="H269" s="36"/>
    </row>
    <row r="270">
      <c r="A270" s="36"/>
      <c r="B270" s="36"/>
      <c r="C270" s="36"/>
      <c r="H270" s="36"/>
    </row>
    <row r="271">
      <c r="A271" s="36"/>
      <c r="B271" s="36"/>
      <c r="C271" s="36"/>
      <c r="H271" s="36"/>
    </row>
    <row r="272">
      <c r="A272" s="36"/>
      <c r="B272" s="36"/>
      <c r="C272" s="36"/>
      <c r="H272" s="36"/>
    </row>
    <row r="273">
      <c r="A273" s="36"/>
      <c r="B273" s="36"/>
      <c r="C273" s="36"/>
      <c r="H273" s="36"/>
    </row>
    <row r="274">
      <c r="A274" s="36"/>
      <c r="B274" s="36"/>
      <c r="C274" s="36"/>
      <c r="H274" s="36"/>
    </row>
    <row r="275">
      <c r="A275" s="36"/>
      <c r="B275" s="36"/>
      <c r="C275" s="36"/>
      <c r="H275" s="36"/>
    </row>
    <row r="276">
      <c r="A276" s="36"/>
      <c r="B276" s="36"/>
      <c r="C276" s="36"/>
      <c r="H276" s="36"/>
    </row>
    <row r="277">
      <c r="A277" s="36"/>
      <c r="B277" s="36"/>
      <c r="C277" s="36"/>
      <c r="H277" s="36"/>
    </row>
    <row r="278">
      <c r="A278" s="36"/>
      <c r="B278" s="36"/>
      <c r="C278" s="36"/>
      <c r="H278" s="36"/>
    </row>
    <row r="279">
      <c r="A279" s="36"/>
      <c r="B279" s="36"/>
      <c r="C279" s="36"/>
      <c r="H279" s="36"/>
    </row>
    <row r="280">
      <c r="A280" s="36"/>
      <c r="B280" s="36"/>
      <c r="C280" s="36"/>
      <c r="H280" s="36"/>
    </row>
    <row r="281">
      <c r="A281" s="36"/>
      <c r="B281" s="36"/>
      <c r="C281" s="36"/>
      <c r="H281" s="36"/>
    </row>
    <row r="282">
      <c r="A282" s="36"/>
      <c r="B282" s="36"/>
      <c r="C282" s="36"/>
      <c r="H282" s="36"/>
    </row>
    <row r="283">
      <c r="A283" s="36"/>
      <c r="B283" s="36"/>
      <c r="C283" s="36"/>
      <c r="H283" s="36"/>
    </row>
    <row r="284">
      <c r="A284" s="36"/>
      <c r="B284" s="36"/>
      <c r="C284" s="36"/>
      <c r="H284" s="36"/>
    </row>
    <row r="285">
      <c r="A285" s="36"/>
      <c r="B285" s="36"/>
      <c r="C285" s="36"/>
      <c r="H285" s="36"/>
    </row>
    <row r="286">
      <c r="A286" s="36"/>
      <c r="B286" s="36"/>
      <c r="C286" s="36"/>
      <c r="H286" s="36"/>
    </row>
    <row r="287">
      <c r="A287" s="36"/>
      <c r="B287" s="36"/>
      <c r="C287" s="36"/>
      <c r="H287" s="36"/>
    </row>
    <row r="288">
      <c r="A288" s="36"/>
      <c r="B288" s="36"/>
      <c r="C288" s="36"/>
      <c r="H288" s="36"/>
    </row>
    <row r="289">
      <c r="A289" s="36"/>
      <c r="B289" s="36"/>
      <c r="C289" s="36"/>
      <c r="H289" s="36"/>
    </row>
    <row r="290">
      <c r="A290" s="36"/>
      <c r="B290" s="36"/>
      <c r="C290" s="36"/>
      <c r="H290" s="36"/>
    </row>
    <row r="291">
      <c r="A291" s="36"/>
      <c r="B291" s="36"/>
      <c r="C291" s="36"/>
      <c r="H291" s="36"/>
    </row>
    <row r="292">
      <c r="A292" s="36"/>
      <c r="B292" s="36"/>
      <c r="C292" s="36"/>
      <c r="H292" s="36"/>
    </row>
    <row r="293">
      <c r="A293" s="36"/>
      <c r="B293" s="36"/>
      <c r="C293" s="36"/>
      <c r="H293" s="36"/>
    </row>
    <row r="294">
      <c r="A294" s="36"/>
      <c r="B294" s="36"/>
      <c r="C294" s="36"/>
      <c r="H294" s="36"/>
    </row>
    <row r="295">
      <c r="A295" s="36"/>
      <c r="B295" s="36"/>
      <c r="C295" s="36"/>
      <c r="H295" s="36"/>
    </row>
    <row r="296">
      <c r="A296" s="36"/>
      <c r="B296" s="36"/>
      <c r="C296" s="36"/>
      <c r="H296" s="36"/>
    </row>
    <row r="297">
      <c r="A297" s="36"/>
      <c r="B297" s="36"/>
      <c r="C297" s="36"/>
      <c r="H297" s="36"/>
    </row>
    <row r="298">
      <c r="A298" s="36"/>
      <c r="B298" s="36"/>
      <c r="C298" s="36"/>
      <c r="H298" s="36"/>
    </row>
    <row r="299">
      <c r="A299" s="36"/>
      <c r="B299" s="36"/>
      <c r="C299" s="36"/>
      <c r="H299" s="36"/>
    </row>
    <row r="300">
      <c r="A300" s="36"/>
      <c r="B300" s="36"/>
      <c r="C300" s="36"/>
      <c r="H300" s="36"/>
    </row>
    <row r="301">
      <c r="A301" s="36"/>
      <c r="B301" s="36"/>
      <c r="C301" s="36"/>
      <c r="H301" s="36"/>
    </row>
    <row r="302">
      <c r="A302" s="36"/>
      <c r="B302" s="36"/>
      <c r="C302" s="36"/>
      <c r="H302" s="36"/>
    </row>
    <row r="303">
      <c r="A303" s="36"/>
      <c r="B303" s="36"/>
      <c r="C303" s="36"/>
      <c r="H303" s="36"/>
    </row>
    <row r="304">
      <c r="A304" s="36"/>
      <c r="B304" s="36"/>
      <c r="C304" s="36"/>
      <c r="H304" s="36"/>
    </row>
    <row r="305">
      <c r="A305" s="36"/>
      <c r="B305" s="36"/>
      <c r="C305" s="36"/>
      <c r="H305" s="36"/>
    </row>
    <row r="306">
      <c r="A306" s="36"/>
      <c r="B306" s="36"/>
      <c r="C306" s="36"/>
      <c r="H306" s="36"/>
    </row>
    <row r="307">
      <c r="A307" s="36"/>
      <c r="B307" s="36"/>
      <c r="C307" s="36"/>
      <c r="H307" s="36"/>
    </row>
    <row r="308">
      <c r="A308" s="36"/>
      <c r="B308" s="36"/>
      <c r="C308" s="36"/>
      <c r="H308" s="36"/>
    </row>
    <row r="309">
      <c r="A309" s="36"/>
      <c r="B309" s="36"/>
      <c r="C309" s="36"/>
      <c r="H309" s="36"/>
    </row>
    <row r="310">
      <c r="A310" s="36"/>
      <c r="B310" s="36"/>
      <c r="C310" s="36"/>
      <c r="H310" s="36"/>
    </row>
    <row r="311">
      <c r="A311" s="36"/>
      <c r="B311" s="36"/>
      <c r="C311" s="36"/>
      <c r="H311" s="36"/>
    </row>
    <row r="312">
      <c r="A312" s="36"/>
      <c r="B312" s="36"/>
      <c r="C312" s="36"/>
      <c r="H312" s="36"/>
    </row>
    <row r="313">
      <c r="A313" s="36"/>
      <c r="B313" s="36"/>
      <c r="C313" s="36"/>
      <c r="H313" s="36"/>
    </row>
    <row r="314">
      <c r="A314" s="36"/>
      <c r="B314" s="36"/>
      <c r="C314" s="36"/>
      <c r="H314" s="36"/>
    </row>
    <row r="315">
      <c r="A315" s="36"/>
      <c r="B315" s="36"/>
      <c r="C315" s="36"/>
      <c r="H315" s="91"/>
    </row>
    <row r="316">
      <c r="A316" s="91"/>
      <c r="B316" s="36"/>
      <c r="C316" s="36"/>
      <c r="H316" s="91"/>
    </row>
    <row r="317">
      <c r="A317" s="91"/>
      <c r="B317" s="36"/>
      <c r="C317" s="36"/>
      <c r="H317" s="91"/>
    </row>
    <row r="318">
      <c r="A318" s="91"/>
      <c r="B318" s="36"/>
      <c r="C318" s="36"/>
      <c r="H318" s="91"/>
    </row>
    <row r="319">
      <c r="A319" s="91"/>
      <c r="B319" s="36"/>
      <c r="C319" s="36"/>
      <c r="H319" s="91"/>
    </row>
    <row r="320">
      <c r="A320" s="91"/>
      <c r="B320" s="36"/>
      <c r="C320" s="36"/>
      <c r="H320" s="91"/>
    </row>
    <row r="321">
      <c r="A321" s="91"/>
      <c r="B321" s="36"/>
      <c r="C321" s="36"/>
      <c r="H321" s="91"/>
    </row>
    <row r="322">
      <c r="A322" s="91"/>
      <c r="B322" s="36"/>
      <c r="C322" s="36"/>
      <c r="H322" s="91"/>
    </row>
    <row r="323">
      <c r="A323" s="91"/>
      <c r="B323" s="36"/>
      <c r="C323" s="36"/>
      <c r="H323" s="91"/>
    </row>
    <row r="324">
      <c r="A324" s="91"/>
      <c r="B324" s="36"/>
      <c r="C324" s="36"/>
      <c r="H324" s="91"/>
    </row>
    <row r="325">
      <c r="A325" s="91"/>
      <c r="B325" s="36"/>
      <c r="C325" s="36"/>
      <c r="H325" s="91"/>
    </row>
    <row r="326">
      <c r="A326" s="91"/>
      <c r="B326" s="36"/>
      <c r="C326" s="36"/>
      <c r="H326" s="91"/>
    </row>
    <row r="327">
      <c r="A327" s="91"/>
      <c r="B327" s="36"/>
      <c r="C327" s="36"/>
      <c r="H327" s="91"/>
    </row>
    <row r="328">
      <c r="A328" s="91"/>
      <c r="B328" s="36"/>
      <c r="C328" s="36"/>
      <c r="H328" s="91"/>
    </row>
    <row r="329">
      <c r="A329" s="91"/>
      <c r="B329" s="36"/>
      <c r="C329" s="36"/>
      <c r="H329" s="91"/>
    </row>
    <row r="330">
      <c r="A330" s="91"/>
      <c r="B330" s="36"/>
      <c r="C330" s="36"/>
      <c r="H330" s="91"/>
    </row>
    <row r="331">
      <c r="A331" s="91"/>
      <c r="B331" s="36"/>
      <c r="C331" s="36"/>
      <c r="H331" s="91"/>
    </row>
    <row r="332">
      <c r="A332" s="91"/>
      <c r="B332" s="36"/>
      <c r="C332" s="36"/>
      <c r="H332" s="91"/>
    </row>
    <row r="333">
      <c r="A333" s="92"/>
      <c r="B333" s="82"/>
      <c r="C333" s="82"/>
      <c r="H333" s="92"/>
    </row>
    <row r="334">
      <c r="A334" s="92"/>
      <c r="B334" s="82"/>
      <c r="C334" s="82"/>
      <c r="H334" s="92"/>
    </row>
    <row r="335">
      <c r="A335" s="92"/>
      <c r="B335" s="82"/>
      <c r="C335" s="82"/>
      <c r="H335" s="92"/>
    </row>
    <row r="336">
      <c r="A336" s="92"/>
      <c r="B336" s="82"/>
      <c r="C336" s="82"/>
      <c r="H336" s="92"/>
    </row>
    <row r="337">
      <c r="A337" s="92"/>
      <c r="B337" s="82"/>
      <c r="C337" s="82"/>
      <c r="H337" s="92"/>
    </row>
    <row r="338">
      <c r="A338" s="92"/>
      <c r="B338" s="82"/>
      <c r="C338" s="82"/>
      <c r="H338" s="92"/>
    </row>
    <row r="339">
      <c r="A339" s="92"/>
      <c r="B339" s="82"/>
      <c r="C339" s="82"/>
      <c r="H339" s="92"/>
    </row>
    <row r="340">
      <c r="A340" s="92"/>
      <c r="B340" s="82"/>
      <c r="C340" s="82"/>
      <c r="H340" s="92"/>
    </row>
    <row r="341">
      <c r="A341" s="92"/>
      <c r="B341" s="82"/>
      <c r="C341" s="82"/>
      <c r="H341" s="92"/>
    </row>
    <row r="342">
      <c r="A342" s="92"/>
      <c r="B342" s="82"/>
      <c r="C342" s="82"/>
      <c r="H342" s="92"/>
    </row>
    <row r="343">
      <c r="A343" s="92"/>
      <c r="B343" s="82"/>
      <c r="C343" s="82"/>
      <c r="H343" s="92"/>
    </row>
    <row r="344">
      <c r="A344" s="92"/>
      <c r="B344" s="82"/>
      <c r="C344" s="82"/>
      <c r="H344" s="92"/>
    </row>
    <row r="345">
      <c r="A345" s="92"/>
      <c r="B345" s="82"/>
      <c r="C345" s="82"/>
      <c r="H345" s="92"/>
    </row>
    <row r="346">
      <c r="A346" s="92"/>
      <c r="B346" s="82"/>
      <c r="C346" s="82"/>
      <c r="H346" s="92"/>
    </row>
    <row r="347">
      <c r="A347" s="92"/>
      <c r="B347" s="82"/>
      <c r="C347" s="82"/>
      <c r="H347" s="92"/>
    </row>
    <row r="348">
      <c r="A348" s="92"/>
      <c r="B348" s="82"/>
      <c r="C348" s="82"/>
      <c r="H348" s="92"/>
    </row>
    <row r="349">
      <c r="A349" s="92"/>
      <c r="B349" s="82"/>
      <c r="C349" s="82"/>
      <c r="H349" s="92"/>
    </row>
    <row r="350">
      <c r="A350" s="92"/>
      <c r="B350" s="82"/>
      <c r="C350" s="82"/>
      <c r="H350" s="92"/>
    </row>
    <row r="351">
      <c r="A351" s="92"/>
      <c r="B351" s="82"/>
      <c r="C351" s="82"/>
      <c r="H351" s="92"/>
    </row>
    <row r="352">
      <c r="A352" s="92"/>
      <c r="B352" s="82"/>
      <c r="C352" s="82"/>
      <c r="H352" s="92"/>
    </row>
    <row r="353">
      <c r="A353" s="92"/>
      <c r="B353" s="82"/>
      <c r="C353" s="82"/>
      <c r="H353" s="92"/>
    </row>
    <row r="354">
      <c r="A354" s="92"/>
      <c r="B354" s="82"/>
      <c r="C354" s="82"/>
      <c r="H354" s="92"/>
    </row>
    <row r="355">
      <c r="A355" s="92"/>
      <c r="B355" s="82"/>
      <c r="C355" s="82"/>
      <c r="H355" s="92"/>
    </row>
    <row r="356">
      <c r="A356" s="92"/>
      <c r="B356" s="82"/>
      <c r="C356" s="82"/>
      <c r="H356" s="92"/>
    </row>
    <row r="357">
      <c r="A357" s="92"/>
      <c r="B357" s="82"/>
      <c r="C357" s="82"/>
      <c r="H357" s="92"/>
    </row>
    <row r="358">
      <c r="A358" s="92"/>
      <c r="B358" s="82"/>
      <c r="C358" s="82"/>
      <c r="H358" s="92"/>
    </row>
    <row r="359">
      <c r="A359" s="92"/>
      <c r="B359" s="82"/>
      <c r="C359" s="82"/>
      <c r="H359" s="92"/>
    </row>
    <row r="360">
      <c r="A360" s="92"/>
      <c r="B360" s="82"/>
      <c r="C360" s="82"/>
      <c r="H360" s="92"/>
    </row>
    <row r="361">
      <c r="A361" s="92"/>
      <c r="B361" s="82"/>
      <c r="C361" s="82"/>
      <c r="H361" s="92"/>
    </row>
    <row r="362">
      <c r="A362" s="92"/>
      <c r="B362" s="82"/>
      <c r="C362" s="82"/>
      <c r="H362" s="92"/>
    </row>
    <row r="363">
      <c r="A363" s="92"/>
      <c r="B363" s="82"/>
      <c r="C363" s="82"/>
      <c r="H363" s="92"/>
    </row>
    <row r="364">
      <c r="A364" s="92"/>
      <c r="B364" s="82"/>
      <c r="C364" s="82"/>
      <c r="H364" s="92"/>
    </row>
    <row r="365">
      <c r="A365" s="92"/>
      <c r="B365" s="82"/>
      <c r="C365" s="82"/>
      <c r="H365" s="92"/>
    </row>
    <row r="366">
      <c r="A366" s="92"/>
      <c r="B366" s="82"/>
      <c r="C366" s="82"/>
      <c r="H366" s="92"/>
    </row>
    <row r="367">
      <c r="A367" s="92"/>
      <c r="B367" s="82"/>
      <c r="C367" s="82"/>
      <c r="H367" s="92"/>
    </row>
    <row r="368">
      <c r="A368" s="92"/>
      <c r="B368" s="82"/>
      <c r="C368" s="82"/>
      <c r="H368" s="92"/>
    </row>
    <row r="369">
      <c r="A369" s="92"/>
      <c r="B369" s="82"/>
      <c r="C369" s="82"/>
      <c r="H369" s="92"/>
    </row>
    <row r="370">
      <c r="A370" s="92"/>
      <c r="B370" s="82"/>
      <c r="C370" s="82"/>
      <c r="H370" s="92"/>
    </row>
    <row r="371">
      <c r="A371" s="92"/>
      <c r="B371" s="82"/>
      <c r="C371" s="82"/>
      <c r="H371" s="92"/>
    </row>
    <row r="372">
      <c r="A372" s="92"/>
      <c r="B372" s="82"/>
      <c r="C372" s="82"/>
      <c r="H372" s="92"/>
    </row>
    <row r="373">
      <c r="A373" s="92"/>
      <c r="B373" s="82"/>
      <c r="C373" s="82"/>
      <c r="H373" s="92"/>
    </row>
    <row r="374">
      <c r="A374" s="92"/>
      <c r="B374" s="82"/>
      <c r="C374" s="82"/>
      <c r="H374" s="92"/>
    </row>
    <row r="375">
      <c r="A375" s="92"/>
      <c r="B375" s="82"/>
      <c r="C375" s="82"/>
      <c r="H375" s="92"/>
    </row>
    <row r="376">
      <c r="A376" s="92"/>
      <c r="B376" s="82"/>
      <c r="C376" s="82"/>
      <c r="H376" s="92"/>
    </row>
    <row r="377">
      <c r="A377" s="92"/>
      <c r="B377" s="82"/>
      <c r="C377" s="82"/>
      <c r="H377" s="92"/>
    </row>
    <row r="378">
      <c r="A378" s="92"/>
      <c r="B378" s="82"/>
      <c r="C378" s="82"/>
      <c r="H378" s="92"/>
    </row>
    <row r="379">
      <c r="A379" s="92"/>
      <c r="B379" s="82"/>
      <c r="C379" s="82"/>
      <c r="H379" s="92"/>
    </row>
    <row r="380">
      <c r="A380" s="92"/>
      <c r="B380" s="82"/>
      <c r="C380" s="82"/>
      <c r="H380" s="92"/>
    </row>
    <row r="381">
      <c r="A381" s="92"/>
      <c r="B381" s="82"/>
      <c r="C381" s="82"/>
      <c r="H381" s="92"/>
    </row>
    <row r="382">
      <c r="A382" s="92"/>
      <c r="B382" s="82"/>
      <c r="C382" s="82"/>
      <c r="H382" s="92"/>
    </row>
    <row r="383">
      <c r="A383" s="92"/>
      <c r="B383" s="82"/>
      <c r="C383" s="82"/>
      <c r="H383" s="92"/>
    </row>
    <row r="384">
      <c r="A384" s="92"/>
      <c r="B384" s="82"/>
      <c r="C384" s="82"/>
      <c r="H384" s="92"/>
    </row>
    <row r="385">
      <c r="A385" s="92"/>
      <c r="B385" s="82"/>
      <c r="C385" s="82"/>
      <c r="H385" s="92"/>
    </row>
    <row r="386">
      <c r="A386" s="92"/>
      <c r="B386" s="82"/>
      <c r="C386" s="82"/>
      <c r="H386" s="92"/>
    </row>
    <row r="387">
      <c r="A387" s="92"/>
      <c r="B387" s="82"/>
      <c r="C387" s="82"/>
      <c r="H387" s="92"/>
    </row>
    <row r="388">
      <c r="A388" s="92"/>
      <c r="B388" s="82"/>
      <c r="C388" s="82"/>
      <c r="H388" s="92"/>
    </row>
    <row r="389">
      <c r="A389" s="92"/>
      <c r="B389" s="82"/>
      <c r="C389" s="82"/>
      <c r="H389" s="92"/>
    </row>
    <row r="390">
      <c r="A390" s="92"/>
      <c r="B390" s="82"/>
      <c r="C390" s="82"/>
      <c r="H390" s="92"/>
    </row>
    <row r="391">
      <c r="A391" s="92"/>
      <c r="B391" s="82"/>
      <c r="C391" s="82"/>
      <c r="H391" s="92"/>
    </row>
    <row r="392">
      <c r="A392" s="92"/>
      <c r="B392" s="82"/>
      <c r="C392" s="82"/>
      <c r="H392" s="92"/>
    </row>
    <row r="393">
      <c r="A393" s="92"/>
      <c r="B393" s="82"/>
      <c r="C393" s="82"/>
      <c r="H393" s="92"/>
    </row>
    <row r="394">
      <c r="A394" s="92"/>
      <c r="B394" s="82"/>
      <c r="C394" s="82"/>
      <c r="H394" s="92"/>
    </row>
    <row r="395">
      <c r="A395" s="92"/>
      <c r="B395" s="82"/>
      <c r="C395" s="82"/>
      <c r="H395" s="92"/>
    </row>
    <row r="396">
      <c r="A396" s="92"/>
      <c r="B396" s="82"/>
      <c r="C396" s="82"/>
      <c r="H396" s="92"/>
    </row>
    <row r="397">
      <c r="A397" s="92"/>
      <c r="B397" s="82"/>
      <c r="C397" s="82"/>
      <c r="H397" s="92"/>
    </row>
    <row r="398">
      <c r="A398" s="92"/>
      <c r="B398" s="82"/>
      <c r="C398" s="82"/>
      <c r="H398" s="92"/>
    </row>
    <row r="399">
      <c r="A399" s="92"/>
      <c r="B399" s="82"/>
      <c r="C399" s="82"/>
      <c r="H399" s="92"/>
    </row>
    <row r="400">
      <c r="A400" s="92"/>
      <c r="B400" s="82"/>
      <c r="C400" s="82"/>
      <c r="H400" s="92"/>
    </row>
    <row r="401">
      <c r="A401" s="92"/>
      <c r="B401" s="82"/>
      <c r="C401" s="82"/>
      <c r="H401" s="92"/>
    </row>
    <row r="402">
      <c r="A402" s="92"/>
      <c r="B402" s="82"/>
      <c r="C402" s="82"/>
      <c r="H402" s="92"/>
    </row>
    <row r="403">
      <c r="A403" s="92"/>
      <c r="B403" s="82"/>
      <c r="C403" s="82"/>
      <c r="H403" s="92"/>
    </row>
    <row r="404">
      <c r="A404" s="92"/>
      <c r="B404" s="82"/>
      <c r="C404" s="82"/>
      <c r="H404" s="92"/>
    </row>
    <row r="405">
      <c r="A405" s="92"/>
      <c r="B405" s="82"/>
      <c r="C405" s="82"/>
      <c r="H405" s="92"/>
    </row>
    <row r="406">
      <c r="A406" s="92"/>
      <c r="B406" s="82"/>
      <c r="C406" s="82"/>
      <c r="H406" s="92"/>
    </row>
    <row r="407">
      <c r="A407" s="92"/>
      <c r="B407" s="82"/>
      <c r="C407" s="82"/>
      <c r="H407" s="92"/>
    </row>
    <row r="408">
      <c r="A408" s="92"/>
      <c r="B408" s="82"/>
      <c r="C408" s="82"/>
      <c r="H408" s="92"/>
    </row>
    <row r="409">
      <c r="A409" s="92"/>
      <c r="B409" s="82"/>
      <c r="C409" s="82"/>
      <c r="H409" s="92"/>
    </row>
    <row r="410">
      <c r="A410" s="92"/>
      <c r="B410" s="82"/>
      <c r="C410" s="82"/>
      <c r="H410" s="92"/>
    </row>
    <row r="411">
      <c r="A411" s="92"/>
      <c r="B411" s="82"/>
      <c r="C411" s="82"/>
      <c r="H411" s="92"/>
    </row>
    <row r="412">
      <c r="A412" s="92"/>
      <c r="B412" s="82"/>
      <c r="C412" s="82"/>
      <c r="H412" s="92"/>
    </row>
    <row r="413">
      <c r="A413" s="92"/>
      <c r="B413" s="82"/>
      <c r="C413" s="82"/>
      <c r="H413" s="92"/>
    </row>
    <row r="414">
      <c r="A414" s="92"/>
      <c r="B414" s="82"/>
      <c r="C414" s="82"/>
      <c r="H414" s="92"/>
    </row>
    <row r="415">
      <c r="A415" s="92"/>
      <c r="B415" s="82"/>
      <c r="C415" s="82"/>
      <c r="H415" s="92"/>
    </row>
    <row r="416">
      <c r="A416" s="92"/>
      <c r="B416" s="82"/>
      <c r="C416" s="82"/>
      <c r="H416" s="92"/>
    </row>
    <row r="417">
      <c r="A417" s="92"/>
      <c r="B417" s="82"/>
      <c r="C417" s="82"/>
      <c r="H417" s="92"/>
    </row>
    <row r="418">
      <c r="A418" s="92"/>
      <c r="B418" s="82"/>
      <c r="C418" s="82"/>
      <c r="H418" s="92"/>
    </row>
    <row r="419">
      <c r="A419" s="92"/>
      <c r="B419" s="82"/>
      <c r="C419" s="82"/>
      <c r="H419" s="92"/>
    </row>
    <row r="420">
      <c r="A420" s="92"/>
      <c r="B420" s="82"/>
      <c r="C420" s="82"/>
      <c r="H420" s="92"/>
    </row>
    <row r="421">
      <c r="A421" s="92"/>
      <c r="B421" s="82"/>
      <c r="C421" s="82"/>
      <c r="H421" s="92"/>
    </row>
    <row r="422">
      <c r="A422" s="92"/>
      <c r="B422" s="82"/>
      <c r="C422" s="82"/>
      <c r="H422" s="92"/>
    </row>
    <row r="423">
      <c r="A423" s="92"/>
      <c r="B423" s="82"/>
      <c r="C423" s="82"/>
      <c r="H423" s="92"/>
    </row>
    <row r="424">
      <c r="A424" s="92"/>
      <c r="B424" s="82"/>
      <c r="C424" s="82"/>
      <c r="H424" s="92"/>
    </row>
    <row r="425">
      <c r="A425" s="92"/>
      <c r="B425" s="82"/>
      <c r="C425" s="82"/>
      <c r="H425" s="92"/>
    </row>
    <row r="426">
      <c r="A426" s="92"/>
      <c r="B426" s="82"/>
      <c r="C426" s="82"/>
      <c r="H426" s="92"/>
    </row>
    <row r="427">
      <c r="A427" s="92"/>
      <c r="B427" s="82"/>
      <c r="C427" s="82"/>
      <c r="H427" s="92"/>
    </row>
    <row r="428">
      <c r="A428" s="92"/>
      <c r="B428" s="82"/>
      <c r="C428" s="82"/>
      <c r="H428" s="92"/>
    </row>
    <row r="429">
      <c r="A429" s="92"/>
      <c r="B429" s="82"/>
      <c r="C429" s="82"/>
      <c r="H429" s="92"/>
    </row>
    <row r="430">
      <c r="A430" s="92"/>
      <c r="B430" s="82"/>
      <c r="C430" s="82"/>
      <c r="H430" s="92"/>
    </row>
    <row r="431">
      <c r="A431" s="92"/>
      <c r="B431" s="82"/>
      <c r="C431" s="82"/>
      <c r="H431" s="92"/>
    </row>
    <row r="432">
      <c r="A432" s="92"/>
      <c r="B432" s="82"/>
      <c r="C432" s="82"/>
      <c r="H432" s="92"/>
    </row>
    <row r="433">
      <c r="A433" s="92"/>
      <c r="B433" s="82"/>
      <c r="C433" s="82"/>
      <c r="H433" s="92"/>
    </row>
    <row r="434">
      <c r="A434" s="92"/>
      <c r="B434" s="82"/>
      <c r="C434" s="82"/>
      <c r="H434" s="92"/>
    </row>
    <row r="435">
      <c r="A435" s="92"/>
      <c r="B435" s="82"/>
      <c r="C435" s="82"/>
      <c r="H435" s="92"/>
    </row>
    <row r="436">
      <c r="A436" s="92"/>
      <c r="B436" s="82"/>
      <c r="C436" s="82"/>
      <c r="H436" s="92"/>
    </row>
    <row r="437">
      <c r="A437" s="92"/>
      <c r="B437" s="82"/>
      <c r="C437" s="82"/>
      <c r="H437" s="92"/>
    </row>
    <row r="438">
      <c r="A438" s="92"/>
      <c r="B438" s="82"/>
      <c r="C438" s="82"/>
      <c r="H438" s="92"/>
    </row>
    <row r="439">
      <c r="A439" s="91"/>
      <c r="B439" s="36"/>
      <c r="C439" s="36"/>
      <c r="H439" s="91"/>
    </row>
    <row r="440">
      <c r="A440" s="91"/>
      <c r="B440" s="36"/>
      <c r="C440" s="36"/>
      <c r="H440" s="91"/>
    </row>
    <row r="441">
      <c r="A441" s="91"/>
      <c r="B441" s="36"/>
      <c r="C441" s="36"/>
      <c r="H441" s="91"/>
    </row>
    <row r="442">
      <c r="A442" s="91"/>
      <c r="B442" s="36"/>
      <c r="C442" s="36"/>
      <c r="H442" s="91"/>
    </row>
    <row r="443">
      <c r="A443" s="91"/>
      <c r="B443" s="36"/>
      <c r="C443" s="36"/>
      <c r="H443" s="91"/>
    </row>
    <row r="444">
      <c r="A444" s="91"/>
      <c r="B444" s="36"/>
      <c r="C444" s="36"/>
      <c r="H444" s="91"/>
    </row>
    <row r="445">
      <c r="A445" s="91"/>
      <c r="B445" s="36"/>
      <c r="C445" s="36"/>
      <c r="H445" s="91"/>
    </row>
    <row r="446">
      <c r="A446" s="91"/>
      <c r="B446" s="36"/>
      <c r="C446" s="36"/>
      <c r="H446" s="91"/>
    </row>
    <row r="447">
      <c r="A447" s="91"/>
      <c r="B447" s="36"/>
      <c r="C447" s="36"/>
      <c r="H447" s="91"/>
    </row>
    <row r="448">
      <c r="A448" s="91"/>
      <c r="B448" s="36"/>
      <c r="C448" s="36"/>
      <c r="H448" s="91"/>
    </row>
    <row r="449">
      <c r="A449" s="91"/>
      <c r="B449" s="36"/>
      <c r="C449" s="36"/>
      <c r="H449" s="91"/>
    </row>
    <row r="450">
      <c r="A450" s="91"/>
      <c r="B450" s="36"/>
      <c r="C450" s="36"/>
      <c r="H450" s="91"/>
    </row>
    <row r="451">
      <c r="A451" s="91"/>
      <c r="B451" s="36"/>
      <c r="C451" s="36"/>
      <c r="H451" s="91"/>
    </row>
    <row r="452">
      <c r="A452" s="91"/>
      <c r="B452" s="36"/>
      <c r="C452" s="36"/>
      <c r="H452" s="91"/>
    </row>
    <row r="453">
      <c r="A453" s="91"/>
      <c r="B453" s="36"/>
      <c r="C453" s="36"/>
      <c r="H453" s="91"/>
    </row>
    <row r="454">
      <c r="A454" s="91"/>
      <c r="B454" s="36"/>
      <c r="C454" s="36"/>
      <c r="H454" s="91"/>
    </row>
    <row r="455">
      <c r="A455" s="91"/>
      <c r="B455" s="36"/>
      <c r="C455" s="36"/>
      <c r="H455" s="91"/>
    </row>
    <row r="456">
      <c r="A456" s="91"/>
      <c r="B456" s="36"/>
      <c r="C456" s="36"/>
      <c r="H456" s="91"/>
    </row>
    <row r="457">
      <c r="A457" s="91"/>
      <c r="B457" s="36"/>
      <c r="C457" s="36"/>
      <c r="H457" s="91"/>
    </row>
    <row r="458">
      <c r="A458" s="91"/>
      <c r="B458" s="36"/>
      <c r="C458" s="36"/>
      <c r="H458" s="91"/>
    </row>
    <row r="459">
      <c r="A459" s="91"/>
      <c r="B459" s="36"/>
      <c r="C459" s="36"/>
      <c r="H459" s="91"/>
    </row>
    <row r="460">
      <c r="A460" s="91"/>
      <c r="B460" s="36"/>
      <c r="C460" s="36"/>
      <c r="H460" s="91"/>
    </row>
    <row r="461">
      <c r="A461" s="91"/>
      <c r="B461" s="36"/>
      <c r="C461" s="36"/>
      <c r="H461" s="91"/>
    </row>
    <row r="462">
      <c r="A462" s="91"/>
      <c r="B462" s="36"/>
      <c r="C462" s="36"/>
      <c r="H462" s="91"/>
    </row>
    <row r="463">
      <c r="A463" s="91"/>
      <c r="B463" s="36"/>
      <c r="C463" s="36"/>
      <c r="H463" s="91"/>
    </row>
    <row r="464">
      <c r="A464" s="91"/>
      <c r="B464" s="36"/>
      <c r="C464" s="36"/>
      <c r="H464" s="91"/>
    </row>
    <row r="465">
      <c r="A465" s="91"/>
      <c r="B465" s="36"/>
      <c r="C465" s="36"/>
      <c r="H465" s="91"/>
    </row>
    <row r="466">
      <c r="A466" s="91"/>
      <c r="B466" s="36"/>
      <c r="C466" s="36"/>
      <c r="H466" s="91"/>
    </row>
    <row r="467">
      <c r="A467" s="91"/>
      <c r="B467" s="36"/>
      <c r="C467" s="36"/>
      <c r="H467" s="91"/>
    </row>
    <row r="468">
      <c r="A468" s="91"/>
      <c r="B468" s="36"/>
      <c r="C468" s="36"/>
      <c r="H468" s="91"/>
    </row>
    <row r="469">
      <c r="A469" s="91"/>
      <c r="B469" s="36"/>
      <c r="C469" s="36"/>
      <c r="H469" s="91"/>
    </row>
    <row r="470">
      <c r="A470" s="91"/>
      <c r="B470" s="36"/>
      <c r="C470" s="36"/>
      <c r="H470" s="91"/>
    </row>
    <row r="471">
      <c r="A471" s="91"/>
      <c r="B471" s="36"/>
      <c r="C471" s="36"/>
      <c r="H471" s="91"/>
    </row>
    <row r="472">
      <c r="A472" s="91"/>
      <c r="B472" s="36"/>
      <c r="C472" s="36"/>
      <c r="H472" s="91"/>
    </row>
    <row r="473">
      <c r="A473" s="91"/>
      <c r="B473" s="36"/>
      <c r="C473" s="36"/>
      <c r="H473" s="91"/>
    </row>
    <row r="474">
      <c r="A474" s="91"/>
      <c r="B474" s="36"/>
      <c r="C474" s="36"/>
      <c r="H474" s="91"/>
    </row>
    <row r="475">
      <c r="A475" s="91"/>
      <c r="B475" s="36"/>
      <c r="C475" s="36"/>
      <c r="H475" s="91"/>
    </row>
    <row r="476">
      <c r="A476" s="91"/>
      <c r="B476" s="36"/>
      <c r="C476" s="36"/>
      <c r="H476" s="91"/>
    </row>
    <row r="477">
      <c r="A477" s="91"/>
      <c r="B477" s="36"/>
      <c r="C477" s="36"/>
      <c r="H477" s="91"/>
    </row>
    <row r="478">
      <c r="A478" s="91"/>
      <c r="B478" s="36"/>
      <c r="C478" s="36"/>
      <c r="H478" s="91"/>
    </row>
    <row r="479">
      <c r="A479" s="91"/>
      <c r="B479" s="36"/>
      <c r="C479" s="36"/>
      <c r="H479" s="91"/>
    </row>
    <row r="480">
      <c r="A480" s="91"/>
      <c r="B480" s="36"/>
      <c r="C480" s="36"/>
      <c r="H480" s="91"/>
    </row>
    <row r="481">
      <c r="A481" s="91"/>
      <c r="B481" s="36"/>
      <c r="C481" s="36"/>
      <c r="H481" s="91"/>
    </row>
    <row r="482">
      <c r="A482" s="91"/>
      <c r="B482" s="36"/>
      <c r="C482" s="36"/>
      <c r="H482" s="91"/>
    </row>
    <row r="483">
      <c r="A483" s="91"/>
      <c r="B483" s="36"/>
      <c r="C483" s="36"/>
      <c r="H483" s="91"/>
    </row>
    <row r="484">
      <c r="A484" s="91"/>
      <c r="B484" s="36"/>
      <c r="C484" s="36"/>
      <c r="H484" s="91"/>
    </row>
    <row r="485">
      <c r="A485" s="91"/>
      <c r="B485" s="36"/>
      <c r="C485" s="36"/>
      <c r="H485" s="91"/>
    </row>
    <row r="486">
      <c r="A486" s="91"/>
      <c r="B486" s="36"/>
      <c r="C486" s="36"/>
      <c r="H486" s="91"/>
    </row>
    <row r="487">
      <c r="A487" s="91"/>
      <c r="B487" s="36"/>
      <c r="C487" s="36"/>
      <c r="H487" s="91"/>
    </row>
    <row r="488">
      <c r="A488" s="91"/>
      <c r="B488" s="36"/>
      <c r="C488" s="36"/>
      <c r="H488" s="91"/>
    </row>
    <row r="489">
      <c r="A489" s="91"/>
      <c r="B489" s="36"/>
      <c r="C489" s="36"/>
      <c r="H489" s="91"/>
    </row>
    <row r="490">
      <c r="A490" s="91"/>
      <c r="B490" s="36"/>
      <c r="C490" s="36"/>
      <c r="H490" s="91"/>
    </row>
    <row r="491">
      <c r="A491" s="91"/>
      <c r="B491" s="36"/>
      <c r="C491" s="36"/>
      <c r="H491" s="91"/>
    </row>
    <row r="492">
      <c r="A492" s="91"/>
      <c r="B492" s="36"/>
      <c r="C492" s="36"/>
      <c r="H492" s="91"/>
    </row>
    <row r="493">
      <c r="A493" s="91"/>
      <c r="B493" s="36"/>
      <c r="C493" s="36"/>
      <c r="H493" s="91"/>
    </row>
    <row r="494">
      <c r="A494" s="91"/>
      <c r="B494" s="36"/>
      <c r="C494" s="36"/>
      <c r="H494" s="91"/>
    </row>
    <row r="495">
      <c r="A495" s="91"/>
      <c r="B495" s="36"/>
      <c r="C495" s="36"/>
      <c r="H495" s="91"/>
    </row>
    <row r="496">
      <c r="A496" s="91"/>
      <c r="B496" s="36"/>
      <c r="C496" s="36"/>
      <c r="H496" s="91"/>
    </row>
    <row r="497">
      <c r="A497" s="91"/>
      <c r="B497" s="36"/>
      <c r="C497" s="36"/>
      <c r="H497" s="91"/>
    </row>
    <row r="498">
      <c r="A498" s="91"/>
      <c r="B498" s="36"/>
      <c r="C498" s="36"/>
      <c r="H498" s="91"/>
    </row>
    <row r="499">
      <c r="A499" s="91"/>
      <c r="B499" s="36"/>
      <c r="C499" s="36"/>
      <c r="H499" s="91"/>
    </row>
    <row r="500">
      <c r="A500" s="91"/>
      <c r="B500" s="36"/>
      <c r="C500" s="36"/>
      <c r="H500" s="91"/>
    </row>
    <row r="501">
      <c r="A501" s="91"/>
      <c r="B501" s="36"/>
      <c r="C501" s="36"/>
      <c r="H501" s="91"/>
    </row>
    <row r="502">
      <c r="A502" s="91"/>
      <c r="B502" s="36"/>
      <c r="C502" s="36"/>
      <c r="H502" s="91"/>
    </row>
    <row r="503">
      <c r="A503" s="91"/>
      <c r="B503" s="36"/>
      <c r="C503" s="36"/>
      <c r="H503" s="91"/>
    </row>
    <row r="504">
      <c r="A504" s="91"/>
      <c r="B504" s="36"/>
      <c r="C504" s="36"/>
      <c r="H504" s="91"/>
    </row>
    <row r="505">
      <c r="A505" s="91"/>
      <c r="B505" s="36"/>
      <c r="C505" s="36"/>
      <c r="H505" s="91"/>
    </row>
    <row r="506">
      <c r="A506" s="91"/>
      <c r="B506" s="36"/>
      <c r="C506" s="36"/>
      <c r="H506" s="91"/>
    </row>
    <row r="507">
      <c r="A507" s="91"/>
      <c r="B507" s="36"/>
      <c r="C507" s="36"/>
      <c r="H507" s="91"/>
    </row>
    <row r="508">
      <c r="A508" s="91"/>
      <c r="B508" s="36"/>
      <c r="C508" s="36"/>
      <c r="H508" s="91"/>
    </row>
    <row r="509">
      <c r="A509" s="91"/>
      <c r="B509" s="36"/>
      <c r="C509" s="36"/>
      <c r="H509" s="91"/>
    </row>
    <row r="510">
      <c r="A510" s="91"/>
      <c r="B510" s="36"/>
      <c r="C510" s="36"/>
      <c r="H510" s="91"/>
    </row>
    <row r="511">
      <c r="A511" s="91"/>
      <c r="B511" s="36"/>
      <c r="C511" s="36"/>
      <c r="H511" s="91"/>
    </row>
    <row r="512">
      <c r="A512" s="91"/>
      <c r="B512" s="36"/>
      <c r="C512" s="36"/>
      <c r="H512" s="91"/>
    </row>
    <row r="513">
      <c r="A513" s="91"/>
      <c r="B513" s="36"/>
      <c r="C513" s="36"/>
      <c r="H513" s="91"/>
    </row>
    <row r="514">
      <c r="A514" s="91"/>
      <c r="B514" s="36"/>
      <c r="C514" s="36"/>
      <c r="H514" s="91"/>
    </row>
    <row r="515">
      <c r="A515" s="91"/>
      <c r="B515" s="36"/>
      <c r="C515" s="36"/>
      <c r="H515" s="91"/>
    </row>
    <row r="516">
      <c r="A516" s="91"/>
      <c r="B516" s="36"/>
      <c r="C516" s="36"/>
      <c r="H516" s="91"/>
    </row>
    <row r="517">
      <c r="A517" s="91"/>
      <c r="B517" s="36"/>
      <c r="C517" s="36"/>
      <c r="H517" s="91"/>
    </row>
    <row r="518">
      <c r="A518" s="91"/>
      <c r="B518" s="36"/>
      <c r="C518" s="36"/>
      <c r="H518" s="91"/>
    </row>
    <row r="519">
      <c r="A519" s="91"/>
      <c r="B519" s="36"/>
      <c r="C519" s="36"/>
      <c r="H519" s="91"/>
    </row>
    <row r="520">
      <c r="A520" s="91"/>
      <c r="B520" s="36"/>
      <c r="C520" s="36"/>
      <c r="H520" s="91"/>
    </row>
    <row r="521">
      <c r="A521" s="91"/>
      <c r="B521" s="36"/>
      <c r="C521" s="36"/>
      <c r="H521" s="91"/>
    </row>
    <row r="522">
      <c r="A522" s="91"/>
      <c r="B522" s="36"/>
      <c r="C522" s="36"/>
      <c r="H522" s="91"/>
    </row>
    <row r="523">
      <c r="A523" s="91"/>
      <c r="B523" s="36"/>
      <c r="C523" s="36"/>
      <c r="H523" s="91"/>
    </row>
    <row r="524">
      <c r="A524" s="91"/>
      <c r="B524" s="36"/>
      <c r="C524" s="36"/>
      <c r="H524" s="91"/>
    </row>
    <row r="525">
      <c r="A525" s="91"/>
      <c r="B525" s="36"/>
      <c r="C525" s="36"/>
      <c r="H525" s="91"/>
    </row>
    <row r="526">
      <c r="A526" s="91"/>
      <c r="B526" s="36"/>
      <c r="C526" s="36"/>
      <c r="H526" s="91"/>
    </row>
    <row r="527">
      <c r="A527" s="91"/>
      <c r="B527" s="36"/>
      <c r="C527" s="36"/>
      <c r="H527" s="91"/>
    </row>
    <row r="528">
      <c r="A528" s="91"/>
      <c r="B528" s="36"/>
      <c r="C528" s="36"/>
      <c r="H528" s="91"/>
    </row>
    <row r="529">
      <c r="A529" s="91"/>
      <c r="B529" s="36"/>
      <c r="C529" s="36"/>
      <c r="H529" s="91"/>
    </row>
    <row r="530">
      <c r="A530" s="91"/>
      <c r="B530" s="36"/>
      <c r="C530" s="36"/>
      <c r="H530" s="91"/>
    </row>
    <row r="531">
      <c r="A531" s="91"/>
      <c r="B531" s="36"/>
      <c r="C531" s="36"/>
      <c r="H531" s="91"/>
    </row>
    <row r="532">
      <c r="A532" s="91"/>
      <c r="B532" s="36"/>
      <c r="C532" s="36"/>
      <c r="H532" s="91"/>
    </row>
    <row r="533">
      <c r="A533" s="91"/>
      <c r="B533" s="36"/>
      <c r="C533" s="36"/>
      <c r="H533" s="91"/>
    </row>
    <row r="534">
      <c r="A534" s="91"/>
      <c r="B534" s="36"/>
      <c r="C534" s="36"/>
      <c r="H534" s="91"/>
    </row>
    <row r="535">
      <c r="A535" s="91"/>
      <c r="B535" s="36"/>
      <c r="C535" s="36"/>
      <c r="H535" s="91"/>
    </row>
    <row r="536">
      <c r="A536" s="91"/>
      <c r="B536" s="36"/>
      <c r="C536" s="36"/>
      <c r="H536" s="91"/>
    </row>
    <row r="537">
      <c r="A537" s="91"/>
      <c r="B537" s="36"/>
      <c r="C537" s="36"/>
      <c r="H537" s="91"/>
    </row>
    <row r="538">
      <c r="A538" s="91"/>
      <c r="B538" s="36"/>
      <c r="C538" s="36"/>
      <c r="H538" s="91"/>
    </row>
    <row r="539">
      <c r="A539" s="91"/>
      <c r="B539" s="36"/>
      <c r="C539" s="36"/>
      <c r="H539" s="91"/>
    </row>
    <row r="540">
      <c r="A540" s="91"/>
      <c r="B540" s="36"/>
      <c r="C540" s="36"/>
      <c r="H540" s="91"/>
    </row>
    <row r="541">
      <c r="A541" s="91"/>
      <c r="B541" s="36"/>
      <c r="C541" s="36"/>
      <c r="H541" s="91"/>
    </row>
    <row r="542">
      <c r="A542" s="91"/>
      <c r="B542" s="36"/>
      <c r="C542" s="36"/>
      <c r="H542" s="91"/>
    </row>
    <row r="543">
      <c r="A543" s="91"/>
      <c r="B543" s="36"/>
      <c r="C543" s="36"/>
      <c r="H543" s="91"/>
    </row>
    <row r="544">
      <c r="A544" s="91"/>
      <c r="B544" s="36"/>
      <c r="C544" s="36"/>
      <c r="H544" s="91"/>
    </row>
    <row r="545">
      <c r="A545" s="91"/>
      <c r="B545" s="36"/>
      <c r="C545" s="36"/>
      <c r="H545" s="91"/>
    </row>
    <row r="546">
      <c r="A546" s="91"/>
      <c r="B546" s="36"/>
      <c r="C546" s="36"/>
      <c r="H546" s="91"/>
    </row>
    <row r="547">
      <c r="A547" s="91"/>
      <c r="B547" s="36"/>
      <c r="C547" s="36"/>
      <c r="H547" s="91"/>
    </row>
    <row r="548">
      <c r="A548" s="91"/>
      <c r="B548" s="36"/>
      <c r="C548" s="36"/>
      <c r="H548" s="91"/>
    </row>
    <row r="549">
      <c r="A549" s="91"/>
      <c r="B549" s="36"/>
      <c r="C549" s="36"/>
      <c r="H549" s="91"/>
    </row>
    <row r="550">
      <c r="A550" s="91"/>
      <c r="B550" s="36"/>
      <c r="C550" s="36"/>
      <c r="H550" s="91"/>
    </row>
    <row r="551">
      <c r="A551" s="91"/>
      <c r="B551" s="36"/>
      <c r="C551" s="36"/>
      <c r="H551" s="91"/>
    </row>
    <row r="552">
      <c r="A552" s="91"/>
      <c r="B552" s="36"/>
      <c r="C552" s="36"/>
      <c r="H552" s="91"/>
    </row>
    <row r="553">
      <c r="A553" s="91"/>
      <c r="B553" s="36"/>
      <c r="C553" s="36"/>
      <c r="H553" s="91"/>
    </row>
    <row r="554">
      <c r="A554" s="91"/>
      <c r="B554" s="36"/>
      <c r="C554" s="36"/>
      <c r="H554" s="91"/>
    </row>
    <row r="555">
      <c r="A555" s="91"/>
      <c r="B555" s="36"/>
      <c r="C555" s="36"/>
      <c r="H555" s="91"/>
    </row>
    <row r="556">
      <c r="A556" s="91"/>
      <c r="B556" s="36"/>
      <c r="C556" s="36"/>
      <c r="H556" s="91"/>
    </row>
    <row r="557">
      <c r="A557" s="91"/>
      <c r="B557" s="36"/>
      <c r="C557" s="36"/>
      <c r="H557" s="91"/>
    </row>
    <row r="558">
      <c r="A558" s="91"/>
      <c r="B558" s="36"/>
      <c r="C558" s="36"/>
      <c r="H558" s="91"/>
    </row>
    <row r="559">
      <c r="A559" s="91"/>
      <c r="B559" s="36"/>
      <c r="C559" s="36"/>
      <c r="H559" s="91"/>
    </row>
    <row r="560">
      <c r="A560" s="91"/>
      <c r="B560" s="36"/>
      <c r="C560" s="36"/>
      <c r="H560" s="91"/>
    </row>
    <row r="561">
      <c r="A561" s="91"/>
      <c r="B561" s="36"/>
      <c r="C561" s="36"/>
      <c r="H561" s="91"/>
    </row>
    <row r="562">
      <c r="A562" s="91"/>
      <c r="B562" s="36"/>
      <c r="C562" s="36"/>
      <c r="H562" s="91"/>
    </row>
    <row r="563">
      <c r="A563" s="91"/>
      <c r="B563" s="36"/>
      <c r="C563" s="36"/>
      <c r="H563" s="91"/>
    </row>
    <row r="564">
      <c r="A564" s="91"/>
      <c r="B564" s="36"/>
      <c r="C564" s="36"/>
      <c r="H564" s="91"/>
    </row>
    <row r="565">
      <c r="A565" s="91"/>
      <c r="B565" s="36"/>
      <c r="C565" s="36"/>
      <c r="H565" s="91"/>
    </row>
    <row r="566">
      <c r="A566" s="91"/>
      <c r="B566" s="36"/>
      <c r="C566" s="36"/>
      <c r="H566" s="91"/>
    </row>
    <row r="567">
      <c r="A567" s="91"/>
      <c r="B567" s="36"/>
      <c r="C567" s="36"/>
      <c r="H567" s="91"/>
    </row>
    <row r="568">
      <c r="A568" s="91"/>
      <c r="B568" s="36"/>
      <c r="C568" s="36"/>
      <c r="H568" s="91"/>
    </row>
    <row r="569">
      <c r="A569" s="91"/>
      <c r="B569" s="36"/>
      <c r="C569" s="36"/>
      <c r="H569" s="91"/>
    </row>
    <row r="570">
      <c r="A570" s="91"/>
      <c r="B570" s="36"/>
      <c r="C570" s="36"/>
      <c r="H570" s="91"/>
    </row>
    <row r="571">
      <c r="A571" s="91"/>
      <c r="B571" s="36"/>
      <c r="C571" s="36"/>
      <c r="H571" s="91"/>
    </row>
    <row r="572">
      <c r="A572" s="91"/>
      <c r="B572" s="36"/>
      <c r="C572" s="36"/>
      <c r="H572" s="91"/>
    </row>
    <row r="573">
      <c r="A573" s="91"/>
      <c r="B573" s="36"/>
      <c r="C573" s="36"/>
      <c r="H573" s="91"/>
    </row>
    <row r="574">
      <c r="A574" s="91"/>
      <c r="B574" s="36"/>
      <c r="C574" s="36"/>
      <c r="H574" s="91"/>
    </row>
    <row r="575">
      <c r="A575" s="91"/>
      <c r="B575" s="36"/>
      <c r="C575" s="36"/>
      <c r="H575" s="91"/>
    </row>
    <row r="576">
      <c r="A576" s="91"/>
      <c r="B576" s="36"/>
      <c r="C576" s="36"/>
      <c r="H576" s="91"/>
    </row>
    <row r="577">
      <c r="A577" s="91"/>
      <c r="B577" s="36"/>
      <c r="C577" s="36"/>
      <c r="H577" s="91"/>
    </row>
    <row r="578">
      <c r="A578" s="91"/>
      <c r="B578" s="36"/>
      <c r="C578" s="36"/>
      <c r="H578" s="91"/>
    </row>
    <row r="579">
      <c r="A579" s="91"/>
      <c r="B579" s="36"/>
      <c r="C579" s="36"/>
      <c r="H579" s="91"/>
    </row>
    <row r="580">
      <c r="A580" s="91"/>
      <c r="B580" s="36"/>
      <c r="C580" s="36"/>
      <c r="H580" s="91"/>
    </row>
    <row r="581">
      <c r="A581" s="91"/>
      <c r="B581" s="36"/>
      <c r="C581" s="36"/>
      <c r="H581" s="91"/>
    </row>
    <row r="582">
      <c r="A582" s="91"/>
      <c r="B582" s="36"/>
      <c r="C582" s="36"/>
      <c r="H582" s="91"/>
    </row>
    <row r="583">
      <c r="A583" s="91"/>
      <c r="B583" s="36"/>
      <c r="C583" s="36"/>
      <c r="H583" s="91"/>
    </row>
    <row r="584">
      <c r="A584" s="91"/>
      <c r="B584" s="36"/>
      <c r="C584" s="36"/>
      <c r="H584" s="91"/>
    </row>
    <row r="585">
      <c r="A585" s="91"/>
      <c r="B585" s="36"/>
      <c r="C585" s="36"/>
      <c r="H585" s="91"/>
    </row>
    <row r="586">
      <c r="A586" s="91"/>
      <c r="B586" s="36"/>
      <c r="C586" s="36"/>
      <c r="H586" s="91"/>
    </row>
    <row r="587">
      <c r="A587" s="91"/>
      <c r="B587" s="36"/>
      <c r="C587" s="36"/>
      <c r="H587" s="91"/>
    </row>
    <row r="588">
      <c r="A588" s="91"/>
      <c r="B588" s="36"/>
      <c r="C588" s="36"/>
      <c r="H588" s="91"/>
    </row>
    <row r="589">
      <c r="A589" s="91"/>
      <c r="B589" s="36"/>
      <c r="C589" s="36"/>
      <c r="H589" s="91"/>
    </row>
    <row r="590">
      <c r="A590" s="91"/>
      <c r="B590" s="36"/>
      <c r="C590" s="36"/>
      <c r="H590" s="91"/>
    </row>
    <row r="591">
      <c r="A591" s="91"/>
      <c r="B591" s="36"/>
      <c r="C591" s="36"/>
      <c r="H591" s="91"/>
    </row>
    <row r="592">
      <c r="A592" s="91"/>
      <c r="B592" s="36"/>
      <c r="C592" s="36"/>
      <c r="H592" s="91"/>
    </row>
    <row r="593">
      <c r="A593" s="91"/>
      <c r="B593" s="36"/>
      <c r="C593" s="36"/>
      <c r="H593" s="91"/>
    </row>
    <row r="594">
      <c r="A594" s="91"/>
      <c r="B594" s="36"/>
      <c r="C594" s="36"/>
      <c r="H594" s="91"/>
    </row>
    <row r="595">
      <c r="A595" s="91"/>
      <c r="B595" s="36"/>
      <c r="C595" s="36"/>
      <c r="H595" s="91"/>
    </row>
    <row r="596">
      <c r="A596" s="91"/>
      <c r="B596" s="36"/>
      <c r="C596" s="36"/>
      <c r="H596" s="91"/>
    </row>
    <row r="597">
      <c r="A597" s="91"/>
      <c r="B597" s="36"/>
      <c r="C597" s="36"/>
      <c r="H597" s="91"/>
    </row>
    <row r="598">
      <c r="A598" s="91"/>
      <c r="B598" s="36"/>
      <c r="C598" s="36"/>
      <c r="H598" s="91"/>
    </row>
    <row r="599">
      <c r="A599" s="91"/>
      <c r="B599" s="36"/>
      <c r="C599" s="36"/>
      <c r="H599" s="91"/>
    </row>
    <row r="600">
      <c r="A600" s="91"/>
      <c r="B600" s="36"/>
      <c r="C600" s="36"/>
      <c r="H600" s="91"/>
    </row>
    <row r="601">
      <c r="A601" s="91"/>
      <c r="B601" s="36"/>
      <c r="C601" s="36"/>
      <c r="H601" s="91"/>
    </row>
    <row r="602">
      <c r="A602" s="91"/>
      <c r="B602" s="36"/>
      <c r="C602" s="36"/>
      <c r="H602" s="91"/>
    </row>
    <row r="603">
      <c r="A603" s="91"/>
      <c r="B603" s="36"/>
      <c r="C603" s="36"/>
      <c r="H603" s="91"/>
    </row>
    <row r="604">
      <c r="A604" s="91"/>
      <c r="B604" s="36"/>
      <c r="C604" s="36"/>
      <c r="H604" s="91"/>
    </row>
    <row r="605">
      <c r="A605" s="91"/>
      <c r="B605" s="36"/>
      <c r="C605" s="36"/>
      <c r="H605" s="91"/>
    </row>
    <row r="606">
      <c r="A606" s="91"/>
      <c r="B606" s="36"/>
      <c r="C606" s="36"/>
      <c r="H606" s="91"/>
    </row>
    <row r="607">
      <c r="A607" s="91"/>
      <c r="B607" s="36"/>
      <c r="C607" s="36"/>
      <c r="H607" s="91"/>
    </row>
    <row r="608">
      <c r="A608" s="91"/>
      <c r="B608" s="36"/>
      <c r="C608" s="36"/>
      <c r="H608" s="91"/>
    </row>
    <row r="609">
      <c r="A609" s="91"/>
      <c r="B609" s="36"/>
      <c r="C609" s="36"/>
      <c r="H609" s="91"/>
    </row>
    <row r="610">
      <c r="A610" s="91"/>
      <c r="B610" s="36"/>
      <c r="C610" s="36"/>
      <c r="H610" s="91"/>
    </row>
    <row r="611">
      <c r="A611" s="91"/>
      <c r="B611" s="36"/>
      <c r="C611" s="36"/>
      <c r="H611" s="91"/>
    </row>
    <row r="612">
      <c r="A612" s="91"/>
      <c r="B612" s="36"/>
      <c r="C612" s="36"/>
      <c r="H612" s="91"/>
    </row>
    <row r="613">
      <c r="A613" s="91"/>
      <c r="B613" s="36"/>
      <c r="C613" s="36"/>
      <c r="H613" s="91"/>
    </row>
    <row r="614">
      <c r="A614" s="91"/>
      <c r="B614" s="36"/>
      <c r="C614" s="36"/>
      <c r="H614" s="91"/>
    </row>
    <row r="615">
      <c r="A615" s="91"/>
      <c r="B615" s="36"/>
      <c r="C615" s="36"/>
      <c r="H615" s="91"/>
    </row>
    <row r="616">
      <c r="A616" s="91"/>
      <c r="B616" s="36"/>
      <c r="C616" s="36"/>
      <c r="H616" s="91"/>
    </row>
    <row r="617">
      <c r="A617" s="91"/>
      <c r="B617" s="36"/>
      <c r="C617" s="36"/>
      <c r="H617" s="91"/>
    </row>
    <row r="618">
      <c r="A618" s="91"/>
      <c r="B618" s="36"/>
      <c r="C618" s="36"/>
      <c r="H618" s="91"/>
    </row>
    <row r="619">
      <c r="A619" s="91"/>
      <c r="B619" s="36"/>
      <c r="C619" s="36"/>
      <c r="H619" s="91"/>
    </row>
    <row r="620">
      <c r="A620" s="91"/>
      <c r="B620" s="36"/>
      <c r="C620" s="36"/>
      <c r="H620" s="91"/>
    </row>
    <row r="621">
      <c r="A621" s="91"/>
      <c r="B621" s="36"/>
      <c r="C621" s="36"/>
      <c r="H621" s="91"/>
    </row>
    <row r="622">
      <c r="A622" s="91"/>
      <c r="B622" s="36"/>
      <c r="C622" s="36"/>
      <c r="H622" s="91"/>
    </row>
    <row r="623">
      <c r="A623" s="91"/>
      <c r="B623" s="36"/>
      <c r="C623" s="36"/>
      <c r="H623" s="91"/>
    </row>
    <row r="624">
      <c r="A624" s="91"/>
      <c r="B624" s="36"/>
      <c r="C624" s="36"/>
      <c r="H624" s="91"/>
    </row>
    <row r="625">
      <c r="A625" s="91"/>
      <c r="B625" s="36"/>
      <c r="C625" s="36"/>
      <c r="H625" s="91"/>
    </row>
    <row r="626">
      <c r="A626" s="91"/>
      <c r="B626" s="36"/>
      <c r="C626" s="36"/>
      <c r="H626" s="91"/>
    </row>
    <row r="627">
      <c r="A627" s="91"/>
      <c r="B627" s="36"/>
      <c r="C627" s="36"/>
      <c r="H627" s="91"/>
    </row>
    <row r="628">
      <c r="A628" s="91"/>
      <c r="B628" s="36"/>
      <c r="C628" s="36"/>
      <c r="H628" s="91"/>
    </row>
    <row r="629">
      <c r="A629" s="91"/>
      <c r="B629" s="36"/>
      <c r="C629" s="36"/>
      <c r="H629" s="91"/>
    </row>
    <row r="630">
      <c r="A630" s="91"/>
      <c r="B630" s="36"/>
      <c r="C630" s="36"/>
      <c r="H630" s="91"/>
    </row>
    <row r="631">
      <c r="A631" s="91"/>
      <c r="B631" s="36"/>
      <c r="C631" s="36"/>
      <c r="H631" s="91"/>
    </row>
    <row r="632">
      <c r="A632" s="91"/>
      <c r="B632" s="36"/>
      <c r="C632" s="36"/>
      <c r="H632" s="91"/>
    </row>
    <row r="633">
      <c r="A633" s="91"/>
      <c r="B633" s="36"/>
      <c r="C633" s="36"/>
      <c r="H633" s="91"/>
    </row>
    <row r="634">
      <c r="A634" s="91"/>
      <c r="B634" s="36"/>
      <c r="C634" s="36"/>
      <c r="H634" s="91"/>
    </row>
    <row r="635">
      <c r="A635" s="91"/>
      <c r="B635" s="36"/>
      <c r="C635" s="36"/>
      <c r="H635" s="91"/>
    </row>
    <row r="636">
      <c r="A636" s="91"/>
      <c r="B636" s="36"/>
      <c r="C636" s="36"/>
      <c r="H636" s="91"/>
    </row>
    <row r="637">
      <c r="A637" s="91"/>
      <c r="B637" s="36"/>
      <c r="C637" s="36"/>
      <c r="H637" s="91"/>
    </row>
    <row r="638">
      <c r="A638" s="91"/>
      <c r="B638" s="36"/>
      <c r="C638" s="36"/>
      <c r="H638" s="91"/>
    </row>
    <row r="639">
      <c r="A639" s="91"/>
      <c r="B639" s="36"/>
      <c r="C639" s="36"/>
      <c r="H639" s="91"/>
    </row>
    <row r="640">
      <c r="A640" s="91"/>
      <c r="B640" s="36"/>
      <c r="C640" s="36"/>
      <c r="H640" s="91"/>
    </row>
    <row r="641">
      <c r="A641" s="91"/>
      <c r="B641" s="36"/>
      <c r="C641" s="36"/>
      <c r="H641" s="91"/>
    </row>
    <row r="642">
      <c r="A642" s="91"/>
      <c r="B642" s="36"/>
      <c r="C642" s="36"/>
      <c r="H642" s="91"/>
    </row>
    <row r="643">
      <c r="A643" s="91"/>
      <c r="B643" s="36"/>
      <c r="C643" s="36"/>
      <c r="H643" s="91"/>
    </row>
    <row r="644">
      <c r="A644" s="91"/>
      <c r="B644" s="36"/>
      <c r="C644" s="36"/>
      <c r="H644" s="91"/>
    </row>
    <row r="645">
      <c r="A645" s="91"/>
      <c r="B645" s="36"/>
      <c r="C645" s="36"/>
      <c r="H645" s="91"/>
    </row>
    <row r="646">
      <c r="A646" s="91"/>
      <c r="B646" s="36"/>
      <c r="C646" s="36"/>
      <c r="H646" s="91"/>
    </row>
    <row r="647">
      <c r="A647" s="91"/>
      <c r="B647" s="36"/>
      <c r="C647" s="36"/>
      <c r="H647" s="91"/>
    </row>
    <row r="648">
      <c r="A648" s="91"/>
      <c r="B648" s="36"/>
      <c r="C648" s="36"/>
      <c r="H648" s="91"/>
    </row>
    <row r="649">
      <c r="A649" s="91"/>
      <c r="B649" s="36"/>
      <c r="C649" s="36"/>
      <c r="H649" s="91"/>
    </row>
    <row r="650">
      <c r="A650" s="91"/>
      <c r="B650" s="36"/>
      <c r="C650" s="36"/>
      <c r="H650" s="91"/>
    </row>
    <row r="651">
      <c r="A651" s="91"/>
      <c r="B651" s="36"/>
      <c r="C651" s="36"/>
      <c r="H651" s="91"/>
    </row>
    <row r="652">
      <c r="A652" s="91"/>
      <c r="B652" s="36"/>
      <c r="C652" s="36"/>
      <c r="H652" s="91"/>
    </row>
    <row r="653">
      <c r="A653" s="91"/>
      <c r="B653" s="36"/>
      <c r="C653" s="36"/>
      <c r="H653" s="91"/>
    </row>
    <row r="654">
      <c r="A654" s="91"/>
      <c r="B654" s="36"/>
      <c r="C654" s="36"/>
      <c r="H654" s="91"/>
    </row>
    <row r="655">
      <c r="A655" s="91"/>
      <c r="B655" s="36"/>
      <c r="C655" s="36"/>
      <c r="H655" s="91"/>
    </row>
    <row r="656">
      <c r="A656" s="91"/>
      <c r="B656" s="36"/>
      <c r="C656" s="36"/>
      <c r="H656" s="91"/>
    </row>
    <row r="657">
      <c r="A657" s="91"/>
      <c r="B657" s="36"/>
      <c r="C657" s="36"/>
      <c r="H657" s="91"/>
    </row>
    <row r="658">
      <c r="A658" s="91"/>
      <c r="B658" s="36"/>
      <c r="C658" s="36"/>
      <c r="H658" s="91"/>
    </row>
    <row r="659">
      <c r="A659" s="91"/>
      <c r="B659" s="36"/>
      <c r="C659" s="36"/>
      <c r="H659" s="91"/>
    </row>
    <row r="660">
      <c r="A660" s="91"/>
      <c r="B660" s="36"/>
      <c r="C660" s="36"/>
      <c r="H660" s="91"/>
    </row>
    <row r="661">
      <c r="A661" s="91"/>
      <c r="B661" s="36"/>
      <c r="C661" s="36"/>
      <c r="H661" s="91"/>
    </row>
    <row r="662">
      <c r="A662" s="91"/>
      <c r="B662" s="36"/>
      <c r="C662" s="36"/>
      <c r="H662" s="91"/>
    </row>
    <row r="663">
      <c r="A663" s="91"/>
      <c r="B663" s="36"/>
      <c r="C663" s="36"/>
      <c r="H663" s="91"/>
    </row>
    <row r="664">
      <c r="A664" s="91"/>
      <c r="B664" s="36"/>
      <c r="C664" s="36"/>
      <c r="H664" s="91"/>
    </row>
    <row r="665">
      <c r="A665" s="91"/>
      <c r="B665" s="36"/>
      <c r="C665" s="36"/>
      <c r="H665" s="91"/>
    </row>
    <row r="666">
      <c r="A666" s="91"/>
      <c r="B666" s="36"/>
      <c r="C666" s="36"/>
      <c r="H666" s="91"/>
    </row>
    <row r="667">
      <c r="A667" s="91"/>
      <c r="B667" s="36"/>
      <c r="C667" s="36"/>
      <c r="H667" s="91"/>
    </row>
    <row r="668">
      <c r="A668" s="91"/>
      <c r="B668" s="36"/>
      <c r="C668" s="36"/>
      <c r="H668" s="91"/>
    </row>
    <row r="669">
      <c r="A669" s="91"/>
      <c r="B669" s="36"/>
      <c r="C669" s="36"/>
      <c r="H669" s="91"/>
    </row>
    <row r="670">
      <c r="A670" s="91"/>
      <c r="B670" s="36"/>
      <c r="C670" s="36"/>
      <c r="H670" s="91"/>
    </row>
    <row r="671">
      <c r="A671" s="91"/>
      <c r="B671" s="36"/>
      <c r="C671" s="36"/>
      <c r="H671" s="91"/>
    </row>
    <row r="672">
      <c r="A672" s="91"/>
      <c r="B672" s="36"/>
      <c r="C672" s="36"/>
      <c r="H672" s="91"/>
    </row>
    <row r="673">
      <c r="A673" s="91"/>
      <c r="B673" s="36"/>
      <c r="C673" s="36"/>
      <c r="H673" s="91"/>
    </row>
    <row r="674">
      <c r="A674" s="91"/>
      <c r="B674" s="36"/>
      <c r="C674" s="36"/>
      <c r="H674" s="91"/>
    </row>
    <row r="675">
      <c r="A675" s="91"/>
      <c r="B675" s="36"/>
      <c r="C675" s="36"/>
      <c r="H675" s="91"/>
    </row>
    <row r="676">
      <c r="A676" s="91"/>
      <c r="B676" s="36"/>
      <c r="C676" s="36"/>
      <c r="H676" s="91"/>
    </row>
    <row r="677">
      <c r="A677" s="91"/>
      <c r="B677" s="36"/>
      <c r="C677" s="36"/>
      <c r="H677" s="91"/>
    </row>
    <row r="678">
      <c r="A678" s="91"/>
      <c r="B678" s="36"/>
      <c r="C678" s="36"/>
      <c r="H678" s="91"/>
    </row>
    <row r="679">
      <c r="A679" s="91"/>
      <c r="B679" s="36"/>
      <c r="C679" s="36"/>
      <c r="H679" s="91"/>
    </row>
    <row r="680">
      <c r="A680" s="91"/>
      <c r="B680" s="36"/>
      <c r="C680" s="36"/>
      <c r="H680" s="91"/>
    </row>
    <row r="681">
      <c r="A681" s="91"/>
      <c r="B681" s="36"/>
      <c r="C681" s="36"/>
      <c r="H681" s="91"/>
    </row>
    <row r="682">
      <c r="A682" s="91"/>
      <c r="B682" s="36"/>
      <c r="C682" s="36"/>
      <c r="H682" s="91"/>
    </row>
    <row r="683">
      <c r="A683" s="91"/>
      <c r="B683" s="36"/>
      <c r="C683" s="36"/>
      <c r="H683" s="91"/>
    </row>
    <row r="684">
      <c r="A684" s="91"/>
      <c r="B684" s="36"/>
      <c r="C684" s="36"/>
      <c r="H684" s="91"/>
    </row>
    <row r="685">
      <c r="A685" s="91"/>
      <c r="B685" s="36"/>
      <c r="C685" s="36"/>
      <c r="H685" s="91"/>
    </row>
    <row r="686">
      <c r="A686" s="91"/>
      <c r="B686" s="36"/>
      <c r="C686" s="36"/>
      <c r="H686" s="91"/>
    </row>
    <row r="687">
      <c r="A687" s="91"/>
      <c r="B687" s="36"/>
      <c r="C687" s="36"/>
      <c r="H687" s="91"/>
    </row>
    <row r="688">
      <c r="A688" s="91"/>
      <c r="B688" s="36"/>
      <c r="C688" s="36"/>
      <c r="H688" s="91"/>
    </row>
    <row r="689">
      <c r="A689" s="91"/>
      <c r="B689" s="36"/>
      <c r="C689" s="36"/>
      <c r="H689" s="91"/>
    </row>
    <row r="690">
      <c r="A690" s="91"/>
      <c r="B690" s="36"/>
      <c r="C690" s="36"/>
      <c r="H690" s="91"/>
    </row>
    <row r="691">
      <c r="A691" s="91"/>
      <c r="B691" s="36"/>
      <c r="C691" s="36"/>
      <c r="H691" s="91"/>
    </row>
    <row r="692">
      <c r="A692" s="91"/>
      <c r="B692" s="36"/>
      <c r="C692" s="36"/>
      <c r="H692" s="91"/>
    </row>
    <row r="693">
      <c r="A693" s="91"/>
      <c r="B693" s="36"/>
      <c r="C693" s="36"/>
      <c r="H693" s="91"/>
    </row>
    <row r="694">
      <c r="A694" s="91"/>
      <c r="B694" s="36"/>
      <c r="C694" s="36"/>
      <c r="H694" s="91"/>
    </row>
    <row r="695">
      <c r="A695" s="91"/>
      <c r="B695" s="36"/>
      <c r="C695" s="36"/>
      <c r="H695" s="91"/>
    </row>
    <row r="696">
      <c r="A696" s="91"/>
      <c r="B696" s="36"/>
      <c r="C696" s="36"/>
      <c r="H696" s="91"/>
    </row>
    <row r="697">
      <c r="A697" s="91"/>
      <c r="B697" s="36"/>
      <c r="C697" s="36"/>
      <c r="H697" s="91"/>
    </row>
    <row r="698">
      <c r="A698" s="91"/>
      <c r="B698" s="36"/>
      <c r="C698" s="36"/>
      <c r="H698" s="91"/>
    </row>
    <row r="699">
      <c r="A699" s="91"/>
      <c r="B699" s="36"/>
      <c r="C699" s="36"/>
      <c r="H699" s="91"/>
    </row>
    <row r="700">
      <c r="A700" s="91"/>
      <c r="B700" s="36"/>
      <c r="C700" s="36"/>
      <c r="H700" s="91"/>
    </row>
    <row r="701">
      <c r="A701" s="91"/>
      <c r="B701" s="36"/>
      <c r="C701" s="36"/>
      <c r="H701" s="91"/>
    </row>
    <row r="702">
      <c r="A702" s="91"/>
      <c r="B702" s="36"/>
      <c r="C702" s="36"/>
      <c r="H702" s="91"/>
    </row>
    <row r="703">
      <c r="A703" s="91"/>
      <c r="B703" s="36"/>
      <c r="C703" s="36"/>
      <c r="H703" s="91"/>
    </row>
    <row r="704">
      <c r="A704" s="91"/>
      <c r="B704" s="36"/>
      <c r="C704" s="36"/>
      <c r="H704" s="91"/>
    </row>
    <row r="705">
      <c r="A705" s="91"/>
      <c r="B705" s="36"/>
      <c r="C705" s="36"/>
      <c r="H705" s="91"/>
    </row>
    <row r="706">
      <c r="A706" s="91"/>
      <c r="B706" s="36"/>
      <c r="C706" s="36"/>
      <c r="H706" s="91"/>
    </row>
    <row r="707">
      <c r="A707" s="91"/>
      <c r="B707" s="36"/>
      <c r="C707" s="36"/>
      <c r="H707" s="91"/>
    </row>
    <row r="708">
      <c r="A708" s="91"/>
      <c r="B708" s="36"/>
      <c r="C708" s="36"/>
      <c r="H708" s="91"/>
    </row>
    <row r="709">
      <c r="A709" s="91"/>
      <c r="B709" s="36"/>
      <c r="C709" s="36"/>
      <c r="H709" s="91"/>
    </row>
    <row r="710">
      <c r="A710" s="91"/>
      <c r="B710" s="36"/>
      <c r="C710" s="36"/>
      <c r="H710" s="91"/>
    </row>
    <row r="711">
      <c r="A711" s="91"/>
      <c r="B711" s="36"/>
      <c r="C711" s="36"/>
      <c r="H711" s="91"/>
    </row>
    <row r="712">
      <c r="A712" s="91"/>
      <c r="B712" s="36"/>
      <c r="C712" s="36"/>
      <c r="H712" s="91"/>
    </row>
    <row r="713">
      <c r="A713" s="91"/>
      <c r="B713" s="36"/>
      <c r="C713" s="36"/>
      <c r="H713" s="91"/>
    </row>
    <row r="714">
      <c r="A714" s="91"/>
      <c r="B714" s="36"/>
      <c r="C714" s="36"/>
      <c r="H714" s="91"/>
    </row>
    <row r="715">
      <c r="A715" s="91"/>
      <c r="B715" s="36"/>
      <c r="C715" s="36"/>
      <c r="H715" s="91"/>
    </row>
    <row r="716">
      <c r="A716" s="91"/>
      <c r="B716" s="36"/>
      <c r="C716" s="36"/>
      <c r="H716" s="91"/>
    </row>
    <row r="717">
      <c r="A717" s="91"/>
      <c r="B717" s="36"/>
      <c r="C717" s="36"/>
      <c r="H717" s="91"/>
    </row>
    <row r="718">
      <c r="A718" s="91"/>
      <c r="B718" s="36"/>
      <c r="C718" s="36"/>
      <c r="H718" s="91"/>
    </row>
    <row r="719">
      <c r="A719" s="91"/>
      <c r="B719" s="36"/>
      <c r="C719" s="36"/>
      <c r="H719" s="91"/>
    </row>
    <row r="720">
      <c r="A720" s="91"/>
      <c r="B720" s="36"/>
      <c r="C720" s="36"/>
      <c r="H720" s="91"/>
    </row>
    <row r="721">
      <c r="A721" s="91"/>
      <c r="B721" s="36"/>
      <c r="C721" s="36"/>
      <c r="H721" s="91"/>
    </row>
    <row r="722">
      <c r="A722" s="91"/>
      <c r="B722" s="36"/>
      <c r="C722" s="36"/>
      <c r="H722" s="91"/>
    </row>
    <row r="723">
      <c r="A723" s="91"/>
      <c r="B723" s="36"/>
      <c r="C723" s="36"/>
      <c r="H723" s="91"/>
    </row>
    <row r="724">
      <c r="A724" s="91"/>
      <c r="B724" s="36"/>
      <c r="C724" s="36"/>
      <c r="H724" s="91"/>
    </row>
    <row r="725">
      <c r="A725" s="91"/>
      <c r="B725" s="36"/>
      <c r="C725" s="36"/>
      <c r="H725" s="91"/>
    </row>
    <row r="726">
      <c r="A726" s="91"/>
      <c r="B726" s="36"/>
      <c r="C726" s="36"/>
      <c r="H726" s="91"/>
    </row>
    <row r="727">
      <c r="A727" s="91"/>
      <c r="B727" s="36"/>
      <c r="C727" s="36"/>
      <c r="H727" s="91"/>
    </row>
    <row r="728">
      <c r="A728" s="91"/>
      <c r="B728" s="36"/>
      <c r="C728" s="36"/>
      <c r="H728" s="91"/>
    </row>
    <row r="729">
      <c r="A729" s="91"/>
      <c r="B729" s="36"/>
      <c r="C729" s="36"/>
      <c r="H729" s="91"/>
    </row>
    <row r="730">
      <c r="A730" s="91"/>
      <c r="B730" s="36"/>
      <c r="C730" s="36"/>
      <c r="H730" s="91"/>
    </row>
    <row r="731">
      <c r="A731" s="91"/>
      <c r="B731" s="36"/>
      <c r="C731" s="36"/>
      <c r="H731" s="91"/>
    </row>
    <row r="732">
      <c r="A732" s="91"/>
      <c r="B732" s="36"/>
      <c r="C732" s="36"/>
      <c r="H732" s="91"/>
    </row>
    <row r="733">
      <c r="A733" s="91"/>
      <c r="B733" s="36"/>
      <c r="C733" s="36"/>
      <c r="H733" s="91"/>
    </row>
    <row r="734">
      <c r="A734" s="91"/>
      <c r="B734" s="36"/>
      <c r="C734" s="36"/>
      <c r="H734" s="91"/>
    </row>
    <row r="735">
      <c r="A735" s="91"/>
      <c r="B735" s="36"/>
      <c r="C735" s="36"/>
      <c r="H735" s="91"/>
    </row>
    <row r="736">
      <c r="A736" s="91"/>
      <c r="B736" s="36"/>
      <c r="C736" s="36"/>
      <c r="H736" s="91"/>
    </row>
    <row r="737">
      <c r="A737" s="91"/>
      <c r="B737" s="36"/>
      <c r="C737" s="36"/>
      <c r="H737" s="91"/>
    </row>
    <row r="738">
      <c r="A738" s="91"/>
      <c r="B738" s="36"/>
      <c r="C738" s="36"/>
      <c r="H738" s="91"/>
    </row>
    <row r="739">
      <c r="A739" s="91"/>
      <c r="B739" s="36"/>
      <c r="C739" s="36"/>
      <c r="H739" s="91"/>
    </row>
    <row r="740">
      <c r="A740" s="91"/>
      <c r="B740" s="36"/>
      <c r="C740" s="36"/>
      <c r="H740" s="91"/>
    </row>
    <row r="741">
      <c r="A741" s="91"/>
      <c r="B741" s="36"/>
      <c r="C741" s="36"/>
      <c r="H741" s="91"/>
    </row>
    <row r="742">
      <c r="A742" s="91"/>
      <c r="B742" s="36"/>
      <c r="C742" s="36"/>
      <c r="H742" s="91"/>
    </row>
    <row r="743">
      <c r="A743" s="91"/>
      <c r="B743" s="36"/>
      <c r="C743" s="36"/>
      <c r="H743" s="91"/>
    </row>
    <row r="744">
      <c r="A744" s="91"/>
      <c r="B744" s="36"/>
      <c r="C744" s="36"/>
      <c r="H744" s="91"/>
    </row>
    <row r="745">
      <c r="A745" s="91"/>
      <c r="B745" s="36"/>
      <c r="C745" s="36"/>
      <c r="H745" s="91"/>
    </row>
    <row r="746">
      <c r="A746" s="91"/>
      <c r="B746" s="36"/>
      <c r="C746" s="36"/>
      <c r="H746" s="91"/>
    </row>
    <row r="747">
      <c r="A747" s="91"/>
      <c r="B747" s="36"/>
      <c r="C747" s="36"/>
      <c r="H747" s="91"/>
    </row>
    <row r="748">
      <c r="A748" s="91"/>
      <c r="B748" s="36"/>
      <c r="C748" s="36"/>
      <c r="H748" s="91"/>
    </row>
    <row r="749">
      <c r="A749" s="91"/>
      <c r="B749" s="36"/>
      <c r="C749" s="36"/>
      <c r="H749" s="91"/>
    </row>
    <row r="750">
      <c r="A750" s="91"/>
      <c r="B750" s="36"/>
      <c r="C750" s="36"/>
      <c r="H750" s="91"/>
    </row>
    <row r="751">
      <c r="A751" s="91"/>
      <c r="B751" s="36"/>
      <c r="C751" s="36"/>
      <c r="H751" s="91"/>
    </row>
    <row r="752">
      <c r="A752" s="91"/>
      <c r="B752" s="36"/>
      <c r="C752" s="36"/>
      <c r="H752" s="91"/>
    </row>
    <row r="753">
      <c r="A753" s="91"/>
      <c r="B753" s="36"/>
      <c r="C753" s="36"/>
      <c r="H753" s="91"/>
    </row>
    <row r="754">
      <c r="A754" s="91"/>
      <c r="B754" s="36"/>
      <c r="C754" s="36"/>
      <c r="H754" s="91"/>
    </row>
    <row r="755">
      <c r="A755" s="91"/>
      <c r="B755" s="36"/>
      <c r="C755" s="36"/>
      <c r="H755" s="91"/>
    </row>
    <row r="756">
      <c r="A756" s="91"/>
      <c r="B756" s="36"/>
      <c r="C756" s="36"/>
      <c r="H756" s="91"/>
    </row>
    <row r="757">
      <c r="A757" s="91"/>
      <c r="B757" s="36"/>
      <c r="C757" s="36"/>
      <c r="H757" s="91"/>
    </row>
    <row r="758">
      <c r="A758" s="91"/>
      <c r="B758" s="36"/>
      <c r="C758" s="36"/>
      <c r="H758" s="91"/>
    </row>
    <row r="759">
      <c r="A759" s="91"/>
      <c r="B759" s="36"/>
      <c r="C759" s="36"/>
      <c r="H759" s="91"/>
    </row>
    <row r="760">
      <c r="A760" s="91"/>
      <c r="B760" s="36"/>
      <c r="C760" s="36"/>
      <c r="H760" s="91"/>
    </row>
    <row r="761">
      <c r="A761" s="91"/>
      <c r="B761" s="36"/>
      <c r="C761" s="36"/>
      <c r="H761" s="91"/>
    </row>
    <row r="762">
      <c r="A762" s="91"/>
      <c r="B762" s="36"/>
      <c r="C762" s="36"/>
      <c r="H762" s="91"/>
    </row>
    <row r="763">
      <c r="A763" s="91"/>
      <c r="B763" s="36"/>
      <c r="C763" s="36"/>
      <c r="H763" s="91"/>
    </row>
    <row r="764">
      <c r="A764" s="91"/>
      <c r="B764" s="36"/>
      <c r="C764" s="36"/>
      <c r="H764" s="91"/>
    </row>
    <row r="765">
      <c r="A765" s="91"/>
      <c r="B765" s="36"/>
      <c r="C765" s="36"/>
      <c r="H765" s="91"/>
    </row>
    <row r="766">
      <c r="A766" s="91"/>
      <c r="B766" s="36"/>
      <c r="C766" s="36"/>
      <c r="H766" s="91"/>
    </row>
    <row r="767">
      <c r="A767" s="91"/>
      <c r="B767" s="36"/>
      <c r="C767" s="36"/>
      <c r="H767" s="91"/>
    </row>
    <row r="768">
      <c r="A768" s="91"/>
      <c r="B768" s="36"/>
      <c r="C768" s="36"/>
      <c r="H768" s="91"/>
    </row>
    <row r="769">
      <c r="A769" s="91"/>
      <c r="B769" s="36"/>
      <c r="C769" s="36"/>
      <c r="H769" s="91"/>
    </row>
    <row r="770">
      <c r="A770" s="91"/>
      <c r="B770" s="36"/>
      <c r="C770" s="36"/>
      <c r="H770" s="91"/>
    </row>
    <row r="771">
      <c r="A771" s="91"/>
      <c r="B771" s="36"/>
      <c r="C771" s="36"/>
      <c r="H771" s="91"/>
    </row>
    <row r="772">
      <c r="A772" s="91"/>
      <c r="B772" s="36"/>
      <c r="C772" s="36"/>
      <c r="H772" s="91"/>
    </row>
    <row r="773">
      <c r="A773" s="91"/>
      <c r="B773" s="36"/>
      <c r="C773" s="36"/>
      <c r="H773" s="91"/>
    </row>
    <row r="774">
      <c r="A774" s="91"/>
      <c r="B774" s="36"/>
      <c r="C774" s="36"/>
      <c r="H774" s="91"/>
    </row>
    <row r="775">
      <c r="A775" s="91"/>
      <c r="B775" s="36"/>
      <c r="C775" s="36"/>
      <c r="H775" s="91"/>
    </row>
    <row r="776">
      <c r="A776" s="91"/>
      <c r="B776" s="36"/>
      <c r="C776" s="36"/>
      <c r="H776" s="91"/>
    </row>
    <row r="777">
      <c r="A777" s="91"/>
      <c r="B777" s="36"/>
      <c r="C777" s="36"/>
      <c r="H777" s="91"/>
    </row>
    <row r="778">
      <c r="A778" s="91"/>
      <c r="B778" s="36"/>
      <c r="C778" s="36"/>
      <c r="H778" s="91"/>
    </row>
    <row r="779">
      <c r="A779" s="91"/>
      <c r="B779" s="36"/>
      <c r="C779" s="36"/>
      <c r="H779" s="91"/>
    </row>
    <row r="780">
      <c r="A780" s="91"/>
      <c r="B780" s="36"/>
      <c r="C780" s="36"/>
      <c r="H780" s="91"/>
    </row>
    <row r="781">
      <c r="A781" s="91"/>
      <c r="B781" s="36"/>
      <c r="C781" s="36"/>
      <c r="H781" s="91"/>
    </row>
    <row r="782">
      <c r="A782" s="91"/>
      <c r="B782" s="36"/>
      <c r="C782" s="36"/>
      <c r="H782" s="91"/>
    </row>
    <row r="783">
      <c r="A783" s="91"/>
      <c r="B783" s="36"/>
      <c r="C783" s="36"/>
      <c r="H783" s="91"/>
    </row>
    <row r="784">
      <c r="A784" s="91"/>
      <c r="B784" s="36"/>
      <c r="C784" s="36"/>
      <c r="H784" s="91"/>
    </row>
    <row r="785">
      <c r="A785" s="91"/>
      <c r="B785" s="36"/>
      <c r="C785" s="36"/>
      <c r="H785" s="91"/>
    </row>
    <row r="786">
      <c r="A786" s="91"/>
      <c r="B786" s="36"/>
      <c r="C786" s="36"/>
      <c r="H786" s="91"/>
    </row>
    <row r="787">
      <c r="A787" s="91"/>
      <c r="B787" s="36"/>
      <c r="C787" s="36"/>
      <c r="H787" s="91"/>
    </row>
    <row r="788">
      <c r="A788" s="91"/>
      <c r="B788" s="36"/>
      <c r="C788" s="36"/>
      <c r="H788" s="91"/>
    </row>
    <row r="789">
      <c r="A789" s="91"/>
      <c r="B789" s="36"/>
      <c r="C789" s="36"/>
      <c r="H789" s="91"/>
    </row>
    <row r="790">
      <c r="A790" s="91"/>
      <c r="B790" s="36"/>
      <c r="C790" s="36"/>
      <c r="H790" s="91"/>
    </row>
    <row r="791">
      <c r="A791" s="91"/>
      <c r="B791" s="36"/>
      <c r="C791" s="36"/>
      <c r="H791" s="91"/>
    </row>
    <row r="792">
      <c r="A792" s="91"/>
      <c r="B792" s="36"/>
      <c r="C792" s="36"/>
      <c r="H792" s="91"/>
    </row>
    <row r="793">
      <c r="A793" s="91"/>
      <c r="B793" s="36"/>
      <c r="C793" s="36"/>
      <c r="H793" s="91"/>
    </row>
    <row r="794">
      <c r="A794" s="91"/>
      <c r="B794" s="36"/>
      <c r="C794" s="36"/>
      <c r="H794" s="91"/>
    </row>
    <row r="795">
      <c r="A795" s="91"/>
      <c r="B795" s="36"/>
      <c r="C795" s="36"/>
      <c r="H795" s="91"/>
    </row>
    <row r="796">
      <c r="A796" s="91"/>
      <c r="B796" s="36"/>
      <c r="C796" s="36"/>
      <c r="H796" s="91"/>
    </row>
    <row r="797">
      <c r="A797" s="91"/>
      <c r="B797" s="36"/>
      <c r="C797" s="36"/>
      <c r="H797" s="91"/>
    </row>
    <row r="798">
      <c r="A798" s="91"/>
      <c r="B798" s="36"/>
      <c r="C798" s="36"/>
      <c r="H798" s="91"/>
    </row>
    <row r="799">
      <c r="A799" s="91"/>
      <c r="B799" s="36"/>
      <c r="C799" s="36"/>
      <c r="H799" s="91"/>
    </row>
    <row r="800">
      <c r="A800" s="91"/>
      <c r="B800" s="36"/>
      <c r="C800" s="36"/>
      <c r="H800" s="91"/>
    </row>
    <row r="801">
      <c r="A801" s="91"/>
      <c r="B801" s="36"/>
      <c r="C801" s="36"/>
      <c r="H801" s="91"/>
    </row>
    <row r="802">
      <c r="A802" s="91"/>
      <c r="B802" s="36"/>
      <c r="C802" s="36"/>
      <c r="H802" s="91"/>
    </row>
    <row r="803">
      <c r="A803" s="91"/>
      <c r="B803" s="36"/>
      <c r="C803" s="36"/>
      <c r="H803" s="91"/>
    </row>
    <row r="804">
      <c r="A804" s="91"/>
      <c r="B804" s="36"/>
      <c r="C804" s="36"/>
      <c r="H804" s="91"/>
    </row>
    <row r="805">
      <c r="A805" s="91"/>
      <c r="B805" s="36"/>
      <c r="C805" s="36"/>
      <c r="H805" s="91"/>
    </row>
    <row r="806">
      <c r="A806" s="91"/>
      <c r="B806" s="36"/>
      <c r="C806" s="36"/>
      <c r="H806" s="91"/>
    </row>
    <row r="807">
      <c r="A807" s="91"/>
      <c r="B807" s="36"/>
      <c r="C807" s="36"/>
      <c r="H807" s="91"/>
    </row>
    <row r="808">
      <c r="A808" s="91"/>
      <c r="B808" s="36"/>
      <c r="C808" s="36"/>
      <c r="H808" s="91"/>
    </row>
    <row r="809">
      <c r="A809" s="91"/>
      <c r="B809" s="36"/>
      <c r="C809" s="36"/>
      <c r="H809" s="91"/>
    </row>
    <row r="810">
      <c r="A810" s="91"/>
      <c r="B810" s="36"/>
      <c r="C810" s="36"/>
      <c r="H810" s="91"/>
    </row>
    <row r="811">
      <c r="A811" s="91"/>
      <c r="B811" s="36"/>
      <c r="C811" s="36"/>
      <c r="H811" s="91"/>
    </row>
    <row r="812">
      <c r="A812" s="91"/>
      <c r="B812" s="36"/>
      <c r="C812" s="36"/>
      <c r="H812" s="91"/>
    </row>
    <row r="813">
      <c r="A813" s="91"/>
      <c r="B813" s="36"/>
      <c r="C813" s="36"/>
      <c r="H813" s="91"/>
    </row>
    <row r="814">
      <c r="A814" s="91"/>
      <c r="B814" s="36"/>
      <c r="C814" s="36"/>
      <c r="H814" s="91"/>
    </row>
    <row r="815">
      <c r="A815" s="91"/>
      <c r="B815" s="36"/>
      <c r="C815" s="36"/>
      <c r="H815" s="91"/>
    </row>
    <row r="816">
      <c r="A816" s="91"/>
      <c r="B816" s="36"/>
      <c r="C816" s="36"/>
      <c r="H816" s="91"/>
    </row>
    <row r="817">
      <c r="A817" s="91"/>
      <c r="B817" s="36"/>
      <c r="C817" s="36"/>
      <c r="H817" s="91"/>
    </row>
    <row r="818">
      <c r="A818" s="91"/>
      <c r="B818" s="36"/>
      <c r="C818" s="36"/>
      <c r="H818" s="91"/>
    </row>
    <row r="819">
      <c r="A819" s="91"/>
      <c r="B819" s="36"/>
      <c r="C819" s="36"/>
      <c r="H819" s="91"/>
    </row>
    <row r="820">
      <c r="A820" s="91"/>
      <c r="B820" s="36"/>
      <c r="C820" s="36"/>
      <c r="H820" s="91"/>
    </row>
    <row r="821">
      <c r="A821" s="91"/>
      <c r="B821" s="36"/>
      <c r="C821" s="36"/>
      <c r="H821" s="91"/>
    </row>
    <row r="822">
      <c r="A822" s="91"/>
      <c r="B822" s="36"/>
      <c r="C822" s="36"/>
      <c r="H822" s="91"/>
    </row>
    <row r="823">
      <c r="A823" s="91"/>
      <c r="B823" s="36"/>
      <c r="C823" s="36"/>
      <c r="H823" s="91"/>
    </row>
    <row r="824">
      <c r="A824" s="91"/>
      <c r="B824" s="36"/>
      <c r="C824" s="36"/>
      <c r="H824" s="91"/>
    </row>
    <row r="825">
      <c r="A825" s="91"/>
      <c r="B825" s="36"/>
      <c r="C825" s="36"/>
      <c r="H825" s="91"/>
    </row>
    <row r="826">
      <c r="A826" s="91"/>
      <c r="B826" s="36"/>
      <c r="C826" s="36"/>
      <c r="H826" s="91"/>
    </row>
    <row r="827">
      <c r="A827" s="91"/>
      <c r="B827" s="36"/>
      <c r="C827" s="36"/>
      <c r="H827" s="91"/>
    </row>
    <row r="828">
      <c r="A828" s="91"/>
      <c r="B828" s="36"/>
      <c r="C828" s="36"/>
      <c r="H828" s="91"/>
    </row>
    <row r="829">
      <c r="A829" s="91"/>
      <c r="B829" s="36"/>
      <c r="C829" s="36"/>
      <c r="H829" s="91"/>
    </row>
    <row r="830">
      <c r="A830" s="91"/>
      <c r="B830" s="36"/>
      <c r="C830" s="36"/>
      <c r="H830" s="91"/>
    </row>
    <row r="831">
      <c r="A831" s="91"/>
      <c r="B831" s="36"/>
      <c r="C831" s="36"/>
      <c r="H831" s="91"/>
    </row>
    <row r="832">
      <c r="A832" s="91"/>
      <c r="B832" s="36"/>
      <c r="C832" s="36"/>
      <c r="H832" s="91"/>
    </row>
    <row r="833">
      <c r="A833" s="91"/>
      <c r="B833" s="36"/>
      <c r="C833" s="36"/>
      <c r="H833" s="91"/>
    </row>
    <row r="834">
      <c r="A834" s="91"/>
      <c r="B834" s="36"/>
      <c r="C834" s="36"/>
      <c r="H834" s="91"/>
    </row>
    <row r="835">
      <c r="A835" s="91"/>
      <c r="B835" s="36"/>
      <c r="C835" s="36"/>
      <c r="H835" s="91"/>
    </row>
    <row r="836">
      <c r="A836" s="91"/>
      <c r="B836" s="36"/>
      <c r="C836" s="36"/>
      <c r="H836" s="91"/>
    </row>
    <row r="837">
      <c r="A837" s="91"/>
      <c r="B837" s="36"/>
      <c r="C837" s="36"/>
      <c r="H837" s="91"/>
    </row>
    <row r="838">
      <c r="A838" s="91"/>
      <c r="B838" s="36"/>
      <c r="C838" s="36"/>
      <c r="H838" s="91"/>
    </row>
    <row r="839">
      <c r="A839" s="91"/>
      <c r="B839" s="36"/>
      <c r="C839" s="36"/>
      <c r="H839" s="91"/>
    </row>
    <row r="840">
      <c r="A840" s="91"/>
      <c r="B840" s="36"/>
      <c r="C840" s="36"/>
      <c r="H840" s="91"/>
    </row>
    <row r="841">
      <c r="A841" s="91"/>
      <c r="B841" s="36"/>
      <c r="C841" s="36"/>
      <c r="H841" s="91"/>
    </row>
    <row r="842">
      <c r="A842" s="91"/>
      <c r="B842" s="36"/>
      <c r="C842" s="36"/>
      <c r="H842" s="91"/>
    </row>
    <row r="843">
      <c r="A843" s="91"/>
      <c r="B843" s="36"/>
      <c r="C843" s="36"/>
      <c r="H843" s="91"/>
    </row>
    <row r="844">
      <c r="A844" s="91"/>
      <c r="B844" s="36"/>
      <c r="C844" s="36"/>
      <c r="H844" s="91"/>
    </row>
    <row r="845">
      <c r="A845" s="91"/>
      <c r="B845" s="36"/>
      <c r="C845" s="36"/>
      <c r="H845" s="91"/>
    </row>
    <row r="846">
      <c r="A846" s="91"/>
      <c r="B846" s="36"/>
      <c r="C846" s="36"/>
      <c r="H846" s="91"/>
    </row>
    <row r="847">
      <c r="A847" s="91"/>
      <c r="B847" s="36"/>
      <c r="C847" s="36"/>
      <c r="H847" s="91"/>
    </row>
    <row r="848">
      <c r="A848" s="91"/>
      <c r="B848" s="36"/>
      <c r="C848" s="36"/>
      <c r="H848" s="91"/>
    </row>
    <row r="849">
      <c r="A849" s="91"/>
      <c r="B849" s="36"/>
      <c r="C849" s="36"/>
      <c r="H849" s="91"/>
    </row>
    <row r="850">
      <c r="A850" s="91"/>
      <c r="B850" s="36"/>
      <c r="C850" s="36"/>
      <c r="H850" s="91"/>
    </row>
    <row r="851">
      <c r="A851" s="91"/>
      <c r="B851" s="36"/>
      <c r="C851" s="36"/>
      <c r="H851" s="91"/>
    </row>
    <row r="852">
      <c r="A852" s="91"/>
      <c r="B852" s="36"/>
      <c r="C852" s="36"/>
      <c r="H852" s="91"/>
    </row>
    <row r="853">
      <c r="A853" s="91"/>
      <c r="B853" s="36"/>
      <c r="C853" s="36"/>
      <c r="H853" s="91"/>
    </row>
    <row r="854">
      <c r="A854" s="91"/>
      <c r="B854" s="36"/>
      <c r="C854" s="36"/>
      <c r="H854" s="91"/>
    </row>
    <row r="855">
      <c r="A855" s="91"/>
      <c r="B855" s="36"/>
      <c r="C855" s="36"/>
      <c r="H855" s="91"/>
    </row>
    <row r="856">
      <c r="A856" s="91"/>
      <c r="B856" s="36"/>
      <c r="C856" s="36"/>
      <c r="H856" s="91"/>
    </row>
    <row r="857">
      <c r="A857" s="91"/>
      <c r="B857" s="36"/>
      <c r="C857" s="36"/>
      <c r="H857" s="91"/>
    </row>
    <row r="858">
      <c r="A858" s="91"/>
      <c r="B858" s="36"/>
      <c r="C858" s="36"/>
      <c r="H858" s="91"/>
    </row>
    <row r="859">
      <c r="A859" s="91"/>
      <c r="B859" s="36"/>
      <c r="C859" s="36"/>
      <c r="H859" s="91"/>
    </row>
    <row r="860">
      <c r="A860" s="91"/>
      <c r="B860" s="36"/>
      <c r="C860" s="36"/>
      <c r="H860" s="91"/>
    </row>
    <row r="861">
      <c r="A861" s="91"/>
      <c r="B861" s="36"/>
      <c r="C861" s="36"/>
      <c r="H861" s="91"/>
    </row>
    <row r="862">
      <c r="A862" s="91"/>
      <c r="B862" s="36"/>
      <c r="C862" s="36"/>
      <c r="H862" s="91"/>
    </row>
    <row r="863">
      <c r="A863" s="91"/>
      <c r="B863" s="36"/>
      <c r="C863" s="36"/>
      <c r="H863" s="91"/>
    </row>
    <row r="864">
      <c r="A864" s="91"/>
      <c r="B864" s="36"/>
      <c r="C864" s="36"/>
      <c r="H864" s="91"/>
    </row>
    <row r="865">
      <c r="A865" s="91"/>
      <c r="B865" s="36"/>
      <c r="C865" s="36"/>
      <c r="H865" s="91"/>
    </row>
    <row r="866">
      <c r="A866" s="91"/>
      <c r="B866" s="36"/>
      <c r="C866" s="36"/>
      <c r="H866" s="91"/>
    </row>
    <row r="867">
      <c r="A867" s="91"/>
      <c r="B867" s="36"/>
      <c r="C867" s="36"/>
      <c r="H867" s="91"/>
    </row>
    <row r="868">
      <c r="A868" s="91"/>
      <c r="B868" s="36"/>
      <c r="C868" s="36"/>
      <c r="H868" s="91"/>
    </row>
    <row r="869">
      <c r="A869" s="91"/>
      <c r="B869" s="36"/>
      <c r="C869" s="36"/>
      <c r="H869" s="91"/>
    </row>
    <row r="870">
      <c r="A870" s="91"/>
      <c r="B870" s="36"/>
      <c r="C870" s="36"/>
      <c r="H870" s="91"/>
    </row>
    <row r="871">
      <c r="A871" s="91"/>
      <c r="B871" s="36"/>
      <c r="C871" s="36"/>
      <c r="H871" s="91"/>
    </row>
    <row r="872">
      <c r="A872" s="91"/>
      <c r="B872" s="36"/>
      <c r="C872" s="36"/>
      <c r="H872" s="91"/>
    </row>
    <row r="873">
      <c r="A873" s="91"/>
      <c r="B873" s="36"/>
      <c r="C873" s="36"/>
      <c r="H873" s="91"/>
    </row>
    <row r="874">
      <c r="A874" s="91"/>
      <c r="B874" s="36"/>
      <c r="C874" s="36"/>
      <c r="H874" s="91"/>
    </row>
    <row r="875">
      <c r="A875" s="91"/>
      <c r="B875" s="36"/>
      <c r="C875" s="36"/>
      <c r="H875" s="91"/>
    </row>
    <row r="876">
      <c r="A876" s="91"/>
      <c r="B876" s="36"/>
      <c r="C876" s="36"/>
      <c r="H876" s="91"/>
    </row>
    <row r="877">
      <c r="A877" s="91"/>
      <c r="B877" s="36"/>
      <c r="C877" s="36"/>
      <c r="H877" s="91"/>
    </row>
    <row r="878">
      <c r="A878" s="91"/>
      <c r="B878" s="36"/>
      <c r="C878" s="36"/>
      <c r="H878" s="91"/>
    </row>
    <row r="879">
      <c r="A879" s="91"/>
      <c r="B879" s="36"/>
      <c r="C879" s="36"/>
      <c r="H879" s="91"/>
    </row>
    <row r="880">
      <c r="A880" s="91"/>
      <c r="B880" s="36"/>
      <c r="C880" s="36"/>
      <c r="H880" s="91"/>
    </row>
    <row r="881">
      <c r="A881" s="91"/>
      <c r="B881" s="36"/>
      <c r="C881" s="36"/>
      <c r="H881" s="91"/>
    </row>
    <row r="882">
      <c r="A882" s="91"/>
      <c r="B882" s="36"/>
      <c r="C882" s="36"/>
      <c r="H882" s="91"/>
    </row>
    <row r="883">
      <c r="A883" s="91"/>
      <c r="B883" s="36"/>
      <c r="C883" s="36"/>
      <c r="H883" s="91"/>
    </row>
    <row r="884">
      <c r="A884" s="91"/>
      <c r="B884" s="36"/>
      <c r="C884" s="36"/>
      <c r="H884" s="91"/>
    </row>
    <row r="885">
      <c r="A885" s="91"/>
      <c r="B885" s="36"/>
      <c r="C885" s="36"/>
      <c r="H885" s="91"/>
    </row>
    <row r="886">
      <c r="A886" s="91"/>
      <c r="B886" s="36"/>
      <c r="C886" s="36"/>
      <c r="H886" s="91"/>
    </row>
    <row r="887">
      <c r="A887" s="91"/>
      <c r="B887" s="36"/>
      <c r="C887" s="36"/>
      <c r="H887" s="91"/>
    </row>
    <row r="888">
      <c r="A888" s="91"/>
      <c r="B888" s="36"/>
      <c r="C888" s="36"/>
      <c r="H888" s="91"/>
    </row>
    <row r="889">
      <c r="A889" s="91"/>
      <c r="B889" s="36"/>
      <c r="C889" s="36"/>
      <c r="H889" s="91"/>
    </row>
    <row r="890">
      <c r="A890" s="91"/>
      <c r="B890" s="36"/>
      <c r="C890" s="36"/>
      <c r="H890" s="91"/>
    </row>
    <row r="891">
      <c r="A891" s="91"/>
      <c r="B891" s="36"/>
      <c r="C891" s="36"/>
      <c r="H891" s="91"/>
    </row>
    <row r="892">
      <c r="A892" s="91"/>
      <c r="B892" s="36"/>
      <c r="C892" s="36"/>
      <c r="H892" s="91"/>
    </row>
    <row r="893">
      <c r="A893" s="91"/>
      <c r="B893" s="36"/>
      <c r="C893" s="36"/>
      <c r="H893" s="91"/>
    </row>
    <row r="894">
      <c r="A894" s="91"/>
      <c r="B894" s="36"/>
      <c r="C894" s="36"/>
      <c r="H894" s="91"/>
    </row>
    <row r="895">
      <c r="A895" s="91"/>
      <c r="B895" s="36"/>
      <c r="C895" s="36"/>
      <c r="H895" s="91"/>
    </row>
    <row r="896">
      <c r="A896" s="91"/>
      <c r="B896" s="36"/>
      <c r="C896" s="36"/>
      <c r="H896" s="91"/>
    </row>
    <row r="897">
      <c r="A897" s="91"/>
      <c r="B897" s="36"/>
      <c r="C897" s="36"/>
      <c r="H897" s="91"/>
    </row>
    <row r="898">
      <c r="A898" s="91"/>
      <c r="B898" s="36"/>
      <c r="C898" s="36"/>
      <c r="H898" s="91"/>
    </row>
    <row r="899">
      <c r="A899" s="91"/>
      <c r="B899" s="36"/>
      <c r="C899" s="36"/>
      <c r="H899" s="91"/>
    </row>
    <row r="900">
      <c r="A900" s="91"/>
      <c r="B900" s="36"/>
      <c r="C900" s="36"/>
      <c r="H900" s="91"/>
    </row>
    <row r="901">
      <c r="A901" s="91"/>
      <c r="B901" s="36"/>
      <c r="C901" s="36"/>
      <c r="H901" s="91"/>
    </row>
    <row r="902">
      <c r="A902" s="91"/>
      <c r="B902" s="36"/>
      <c r="C902" s="36"/>
      <c r="H902" s="91"/>
    </row>
    <row r="903">
      <c r="A903" s="91"/>
      <c r="B903" s="36"/>
      <c r="C903" s="36"/>
      <c r="H903" s="91"/>
    </row>
    <row r="904">
      <c r="A904" s="91"/>
      <c r="B904" s="36"/>
      <c r="C904" s="36"/>
      <c r="H904" s="91"/>
    </row>
    <row r="905">
      <c r="A905" s="91"/>
      <c r="B905" s="36"/>
      <c r="C905" s="36"/>
      <c r="H905" s="91"/>
    </row>
    <row r="906">
      <c r="A906" s="91"/>
      <c r="B906" s="36"/>
      <c r="C906" s="36"/>
      <c r="H906" s="91"/>
    </row>
    <row r="907">
      <c r="A907" s="91"/>
      <c r="B907" s="36"/>
      <c r="C907" s="36"/>
      <c r="H907" s="91"/>
    </row>
    <row r="908">
      <c r="A908" s="91"/>
      <c r="B908" s="36"/>
      <c r="C908" s="36"/>
      <c r="H908" s="91"/>
    </row>
    <row r="909">
      <c r="A909" s="91"/>
      <c r="B909" s="36"/>
      <c r="C909" s="36"/>
      <c r="H909" s="91"/>
    </row>
    <row r="910">
      <c r="A910" s="91"/>
      <c r="B910" s="36"/>
      <c r="C910" s="36"/>
      <c r="H910" s="91"/>
    </row>
    <row r="911">
      <c r="A911" s="91"/>
      <c r="B911" s="36"/>
      <c r="C911" s="36"/>
      <c r="H911" s="91"/>
    </row>
    <row r="912">
      <c r="A912" s="91"/>
      <c r="B912" s="36"/>
      <c r="C912" s="36"/>
      <c r="H912" s="91"/>
    </row>
    <row r="913">
      <c r="A913" s="91"/>
      <c r="B913" s="36"/>
      <c r="C913" s="36"/>
      <c r="H913" s="91"/>
    </row>
    <row r="914">
      <c r="A914" s="91"/>
      <c r="B914" s="36"/>
      <c r="C914" s="36"/>
      <c r="H914" s="91"/>
    </row>
    <row r="915">
      <c r="A915" s="91"/>
      <c r="B915" s="36"/>
      <c r="C915" s="36"/>
      <c r="H915" s="91"/>
    </row>
    <row r="916">
      <c r="A916" s="91"/>
      <c r="B916" s="36"/>
      <c r="C916" s="36"/>
      <c r="H916" s="91"/>
    </row>
    <row r="917">
      <c r="A917" s="91"/>
      <c r="B917" s="36"/>
      <c r="C917" s="36"/>
      <c r="H917" s="91"/>
    </row>
    <row r="918">
      <c r="A918" s="91"/>
      <c r="B918" s="36"/>
      <c r="C918" s="36"/>
      <c r="H918" s="91"/>
    </row>
    <row r="919">
      <c r="A919" s="91"/>
      <c r="B919" s="36"/>
      <c r="C919" s="36"/>
      <c r="H919" s="91"/>
    </row>
    <row r="920">
      <c r="A920" s="91"/>
      <c r="B920" s="36"/>
      <c r="C920" s="36"/>
      <c r="H920" s="91"/>
    </row>
    <row r="921">
      <c r="A921" s="91"/>
      <c r="B921" s="36"/>
      <c r="C921" s="36"/>
      <c r="H921" s="91"/>
    </row>
    <row r="922">
      <c r="A922" s="91"/>
      <c r="B922" s="36"/>
      <c r="C922" s="36"/>
      <c r="H922" s="91"/>
    </row>
    <row r="923">
      <c r="A923" s="91"/>
      <c r="B923" s="36"/>
      <c r="C923" s="36"/>
      <c r="H923" s="91"/>
    </row>
    <row r="924">
      <c r="A924" s="91"/>
      <c r="B924" s="36"/>
      <c r="C924" s="36"/>
      <c r="H924" s="91"/>
    </row>
    <row r="925">
      <c r="A925" s="91"/>
      <c r="B925" s="36"/>
      <c r="C925" s="36"/>
      <c r="H925" s="91"/>
    </row>
    <row r="926">
      <c r="A926" s="91"/>
      <c r="B926" s="36"/>
      <c r="C926" s="36"/>
      <c r="H926" s="91"/>
    </row>
    <row r="927">
      <c r="A927" s="91"/>
      <c r="B927" s="36"/>
      <c r="C927" s="36"/>
      <c r="H927" s="91"/>
    </row>
    <row r="928">
      <c r="A928" s="91"/>
      <c r="B928" s="36"/>
      <c r="C928" s="36"/>
      <c r="H928" s="91"/>
    </row>
    <row r="929">
      <c r="A929" s="91"/>
      <c r="B929" s="36"/>
      <c r="C929" s="36"/>
      <c r="H929" s="91"/>
    </row>
    <row r="930">
      <c r="A930" s="91"/>
      <c r="B930" s="36"/>
      <c r="C930" s="36"/>
      <c r="H930" s="91"/>
    </row>
    <row r="931">
      <c r="A931" s="91"/>
      <c r="B931" s="36"/>
      <c r="C931" s="36"/>
      <c r="H931" s="91"/>
    </row>
    <row r="932">
      <c r="A932" s="91"/>
      <c r="B932" s="36"/>
      <c r="C932" s="36"/>
      <c r="H932" s="91"/>
    </row>
    <row r="933">
      <c r="A933" s="91"/>
      <c r="B933" s="36"/>
      <c r="C933" s="36"/>
      <c r="H933" s="91"/>
    </row>
    <row r="934">
      <c r="A934" s="91"/>
      <c r="B934" s="36"/>
      <c r="C934" s="36"/>
      <c r="H934" s="91"/>
    </row>
    <row r="935">
      <c r="A935" s="91"/>
      <c r="B935" s="36"/>
      <c r="C935" s="36"/>
      <c r="H935" s="91"/>
    </row>
    <row r="936">
      <c r="A936" s="91"/>
      <c r="B936" s="36"/>
      <c r="C936" s="36"/>
      <c r="H936" s="91"/>
    </row>
    <row r="937">
      <c r="A937" s="91"/>
      <c r="B937" s="36"/>
      <c r="C937" s="36"/>
      <c r="H937" s="91"/>
    </row>
    <row r="938">
      <c r="A938" s="91"/>
      <c r="B938" s="36"/>
      <c r="C938" s="36"/>
      <c r="H938" s="91"/>
    </row>
    <row r="939">
      <c r="A939" s="91"/>
      <c r="B939" s="36"/>
      <c r="C939" s="36"/>
      <c r="H939" s="91"/>
    </row>
    <row r="940">
      <c r="A940" s="91"/>
      <c r="B940" s="36"/>
      <c r="C940" s="36"/>
      <c r="H940" s="91"/>
    </row>
    <row r="941">
      <c r="A941" s="91"/>
      <c r="B941" s="36"/>
      <c r="C941" s="36"/>
      <c r="H941" s="91"/>
    </row>
    <row r="942">
      <c r="A942" s="91"/>
      <c r="B942" s="36"/>
      <c r="C942" s="36"/>
      <c r="H942" s="91"/>
    </row>
    <row r="943">
      <c r="A943" s="91"/>
      <c r="B943" s="36"/>
      <c r="C943" s="36"/>
      <c r="H943" s="91"/>
    </row>
    <row r="944">
      <c r="A944" s="91"/>
      <c r="B944" s="36"/>
      <c r="C944" s="36"/>
      <c r="H944" s="91"/>
    </row>
    <row r="945">
      <c r="A945" s="91"/>
      <c r="B945" s="36"/>
      <c r="C945" s="36"/>
      <c r="H945" s="91"/>
    </row>
    <row r="946">
      <c r="A946" s="91"/>
      <c r="B946" s="36"/>
      <c r="C946" s="36"/>
      <c r="H946" s="91"/>
    </row>
    <row r="947">
      <c r="A947" s="91"/>
      <c r="B947" s="36"/>
      <c r="C947" s="36"/>
      <c r="H947" s="91"/>
    </row>
    <row r="948">
      <c r="A948" s="91"/>
      <c r="B948" s="36"/>
      <c r="C948" s="36"/>
      <c r="H948" s="91"/>
    </row>
    <row r="949">
      <c r="A949" s="91"/>
      <c r="B949" s="36"/>
      <c r="C949" s="36"/>
      <c r="H949" s="91"/>
    </row>
    <row r="950">
      <c r="A950" s="91"/>
      <c r="B950" s="36"/>
      <c r="C950" s="36"/>
      <c r="H950" s="91"/>
    </row>
    <row r="951">
      <c r="A951" s="91"/>
      <c r="B951" s="36"/>
      <c r="C951" s="36"/>
      <c r="H951" s="91"/>
    </row>
    <row r="952">
      <c r="A952" s="91"/>
      <c r="B952" s="36"/>
      <c r="C952" s="36"/>
      <c r="H952" s="91"/>
    </row>
    <row r="953">
      <c r="A953" s="91"/>
      <c r="B953" s="36"/>
      <c r="C953" s="36"/>
      <c r="H953" s="91"/>
    </row>
    <row r="954">
      <c r="A954" s="91"/>
      <c r="B954" s="36"/>
      <c r="C954" s="36"/>
      <c r="H954" s="91"/>
    </row>
    <row r="955">
      <c r="A955" s="91"/>
      <c r="B955" s="36"/>
      <c r="C955" s="36"/>
      <c r="H955" s="91"/>
    </row>
    <row r="956">
      <c r="A956" s="91"/>
      <c r="B956" s="36"/>
      <c r="C956" s="36"/>
      <c r="H956" s="91"/>
    </row>
    <row r="957">
      <c r="A957" s="91"/>
      <c r="B957" s="36"/>
      <c r="C957" s="36"/>
      <c r="H957" s="91"/>
    </row>
    <row r="958">
      <c r="A958" s="91"/>
      <c r="B958" s="36"/>
      <c r="C958" s="36"/>
      <c r="H958" s="91"/>
    </row>
    <row r="959">
      <c r="A959" s="91"/>
      <c r="B959" s="36"/>
      <c r="C959" s="36"/>
      <c r="H959" s="91"/>
    </row>
    <row r="960">
      <c r="A960" s="91"/>
      <c r="B960" s="36"/>
      <c r="C960" s="36"/>
      <c r="H960" s="91"/>
    </row>
    <row r="961">
      <c r="A961" s="91"/>
      <c r="B961" s="36"/>
      <c r="C961" s="36"/>
      <c r="H961" s="91"/>
    </row>
    <row r="962">
      <c r="A962" s="91"/>
      <c r="B962" s="36"/>
      <c r="C962" s="36"/>
      <c r="H962" s="91"/>
    </row>
    <row r="963">
      <c r="A963" s="91"/>
      <c r="B963" s="36"/>
      <c r="C963" s="36"/>
      <c r="H963" s="91"/>
    </row>
    <row r="964">
      <c r="A964" s="91"/>
      <c r="B964" s="36"/>
      <c r="C964" s="36"/>
      <c r="H964" s="91"/>
    </row>
    <row r="965">
      <c r="A965" s="91"/>
      <c r="B965" s="36"/>
      <c r="C965" s="36"/>
      <c r="H965" s="91"/>
    </row>
    <row r="966">
      <c r="A966" s="91"/>
      <c r="B966" s="36"/>
      <c r="C966" s="36"/>
      <c r="H966" s="91"/>
    </row>
    <row r="967">
      <c r="A967" s="91"/>
      <c r="B967" s="36"/>
      <c r="C967" s="36"/>
      <c r="H967" s="91"/>
    </row>
    <row r="968">
      <c r="A968" s="91"/>
      <c r="B968" s="36"/>
      <c r="C968" s="36"/>
      <c r="H968" s="91"/>
    </row>
    <row r="969">
      <c r="A969" s="91"/>
      <c r="B969" s="36"/>
      <c r="C969" s="36"/>
      <c r="H969" s="91"/>
    </row>
    <row r="970">
      <c r="A970" s="91"/>
      <c r="B970" s="36"/>
      <c r="C970" s="36"/>
      <c r="H970" s="91"/>
    </row>
    <row r="971">
      <c r="A971" s="91"/>
      <c r="B971" s="36"/>
      <c r="C971" s="36"/>
      <c r="H971" s="91"/>
    </row>
    <row r="972">
      <c r="A972" s="91"/>
      <c r="B972" s="36"/>
      <c r="C972" s="36"/>
      <c r="H972" s="91"/>
    </row>
    <row r="973">
      <c r="A973" s="91"/>
      <c r="B973" s="36"/>
      <c r="C973" s="36"/>
      <c r="H973" s="91"/>
    </row>
    <row r="974">
      <c r="A974" s="91"/>
      <c r="B974" s="36"/>
      <c r="C974" s="36"/>
      <c r="H974" s="91"/>
    </row>
    <row r="975">
      <c r="A975" s="91"/>
      <c r="B975" s="36"/>
      <c r="C975" s="36"/>
      <c r="H975" s="91"/>
    </row>
    <row r="976">
      <c r="A976" s="91"/>
      <c r="B976" s="36"/>
      <c r="C976" s="36"/>
      <c r="H976" s="91"/>
    </row>
    <row r="977">
      <c r="A977" s="91"/>
      <c r="B977" s="36"/>
      <c r="C977" s="36"/>
      <c r="H977" s="91"/>
    </row>
    <row r="978">
      <c r="A978" s="91"/>
      <c r="B978" s="36"/>
      <c r="C978" s="36"/>
      <c r="H978" s="91"/>
    </row>
    <row r="979">
      <c r="A979" s="91"/>
      <c r="B979" s="36"/>
      <c r="C979" s="36"/>
      <c r="H979" s="91"/>
    </row>
    <row r="980">
      <c r="A980" s="91"/>
      <c r="B980" s="36"/>
      <c r="C980" s="36"/>
      <c r="H980" s="91"/>
    </row>
    <row r="981">
      <c r="A981" s="91"/>
      <c r="B981" s="36"/>
      <c r="C981" s="36"/>
      <c r="H981" s="91"/>
    </row>
    <row r="982">
      <c r="A982" s="91"/>
      <c r="B982" s="36"/>
      <c r="C982" s="36"/>
      <c r="H982" s="91"/>
    </row>
    <row r="983">
      <c r="A983" s="91"/>
      <c r="B983" s="36"/>
      <c r="C983" s="36"/>
      <c r="H983" s="91"/>
    </row>
    <row r="984">
      <c r="A984" s="91"/>
      <c r="B984" s="36"/>
      <c r="C984" s="36"/>
      <c r="H984" s="91"/>
    </row>
    <row r="985">
      <c r="A985" s="91"/>
      <c r="B985" s="36"/>
      <c r="C985" s="36"/>
      <c r="H985" s="91"/>
    </row>
    <row r="986">
      <c r="A986" s="91"/>
      <c r="B986" s="36"/>
      <c r="C986" s="36"/>
      <c r="H986" s="91"/>
    </row>
    <row r="987">
      <c r="A987" s="91"/>
      <c r="B987" s="36"/>
      <c r="C987" s="36"/>
      <c r="H987" s="91"/>
    </row>
    <row r="988">
      <c r="A988" s="91"/>
      <c r="B988" s="36"/>
      <c r="C988" s="36"/>
      <c r="H988" s="91"/>
    </row>
    <row r="989">
      <c r="A989" s="91"/>
      <c r="B989" s="36"/>
      <c r="C989" s="36"/>
      <c r="H989" s="91"/>
    </row>
    <row r="990">
      <c r="A990" s="91"/>
      <c r="B990" s="36"/>
      <c r="C990" s="36"/>
      <c r="H990" s="91"/>
    </row>
    <row r="991">
      <c r="A991" s="91"/>
      <c r="B991" s="36"/>
      <c r="C991" s="36"/>
      <c r="H991" s="91"/>
    </row>
    <row r="992">
      <c r="A992" s="91"/>
      <c r="B992" s="36"/>
      <c r="C992" s="36"/>
      <c r="H992" s="91"/>
    </row>
    <row r="993">
      <c r="A993" s="91"/>
      <c r="B993" s="36"/>
      <c r="C993" s="36"/>
      <c r="H993" s="91"/>
    </row>
    <row r="994">
      <c r="A994" s="91"/>
      <c r="B994" s="36"/>
      <c r="C994" s="36"/>
      <c r="H994" s="91"/>
    </row>
    <row r="995">
      <c r="A995" s="91"/>
      <c r="B995" s="36"/>
      <c r="C995" s="36"/>
      <c r="H995" s="91"/>
    </row>
    <row r="996">
      <c r="A996" s="91"/>
      <c r="B996" s="36"/>
      <c r="C996" s="36"/>
      <c r="H996" s="91"/>
    </row>
    <row r="997">
      <c r="A997" s="91"/>
      <c r="B997" s="36"/>
      <c r="C997" s="36"/>
      <c r="H997" s="91"/>
    </row>
  </sheetData>
  <autoFilter ref="$A$1:$H$248"/>
  <conditionalFormatting sqref="B245">
    <cfRule type="expression" dxfId="0" priority="1">
      <formula>COUNTIF($A$2:$A$266,B245)&gt;0</formula>
    </cfRule>
  </conditionalFormatting>
  <conditionalFormatting sqref="B245">
    <cfRule type="expression" dxfId="0" priority="2">
      <formula>COUNTIF($A$2:$A$135,B245)&gt;0</formula>
    </cfRule>
  </conditionalFormatting>
  <conditionalFormatting sqref="B245">
    <cfRule type="expression" dxfId="0" priority="3">
      <formula>COUNTIF($A$2:$A$184,B245)&gt;0</formula>
    </cfRule>
  </conditionalFormatting>
  <conditionalFormatting sqref="C245:E245 G245:H245">
    <cfRule type="expression" dxfId="0" priority="4">
      <formula>COUNTIF($A$2:$A$265,C245)&gt;0</formula>
    </cfRule>
  </conditionalFormatting>
  <conditionalFormatting sqref="D245">
    <cfRule type="expression" dxfId="0" priority="5">
      <formula>COUNTIF($A$2:$A$134,D245)&gt;0</formula>
    </cfRule>
  </conditionalFormatting>
  <conditionalFormatting sqref="D245">
    <cfRule type="expression" dxfId="0" priority="6">
      <formula>COUNTIF($A$2:$A$183,D245)&gt;0</formula>
    </cfRule>
  </conditionalFormatting>
  <conditionalFormatting sqref="D245:D248">
    <cfRule type="expression" dxfId="0" priority="7">
      <formula>COUNTIF($A$2:$A$249,D245)&gt;0</formula>
    </cfRule>
  </conditionalFormatting>
  <conditionalFormatting sqref="A248:C248">
    <cfRule type="notContainsBlanks" dxfId="0" priority="8">
      <formula>LEN(TRIM(A248))&gt;0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19.63"/>
    <col customWidth="1" min="3" max="3" width="22.0"/>
    <col customWidth="1" min="4" max="4" width="19.63"/>
    <col customWidth="1" min="5" max="5" width="22.25"/>
    <col customWidth="1" min="6" max="6" width="20.0"/>
  </cols>
  <sheetData>
    <row r="1">
      <c r="A1" s="93" t="s">
        <v>273</v>
      </c>
      <c r="B1" s="1" t="s">
        <v>1</v>
      </c>
      <c r="C1" s="1" t="s">
        <v>2</v>
      </c>
      <c r="D1" s="2" t="s">
        <v>208</v>
      </c>
      <c r="E1" s="2" t="s">
        <v>111</v>
      </c>
      <c r="F1" s="2" t="s">
        <v>5</v>
      </c>
    </row>
    <row r="2">
      <c r="A2" s="94" t="s">
        <v>20</v>
      </c>
      <c r="B2" s="41">
        <f>IFERROR(__xludf.DUMMYFUNCTION("VLOOKUP(A2,IMPORTRANGE(""1EmrnCz2gLVTx5Cbj0e5tfuHPhTtmru8KTGuQvh7STl0/edit#gid=2147150001"",""Whole Data Set!$A$2:$NQ$253""),381,FALSE)"),83.25)</f>
        <v>83.25</v>
      </c>
      <c r="C2" s="95">
        <f t="shared" ref="C2:C248" si="1">B2/250</f>
        <v>0.333</v>
      </c>
      <c r="D2" s="96">
        <f>IFERROR(__xludf.DUMMYFUNCTION("VLOOKUP(A2,IMPORTRANGE(""1aFCnJY1qhIj8-JckJhDJ18aqmVo17tofpQmOjcYa3u8/edit#gid=948248086"",""Whole Data Set!$A$2:$NG$253""),371,FALSE)"),46.75)</f>
        <v>46.75</v>
      </c>
      <c r="E2" s="95">
        <f t="shared" ref="E2:E248" si="2">D2/250</f>
        <v>0.187</v>
      </c>
      <c r="F2" s="95">
        <f t="shared" ref="F2:F249" si="3">C2-E2</f>
        <v>0.146</v>
      </c>
    </row>
    <row r="3">
      <c r="A3" s="97" t="s">
        <v>89</v>
      </c>
      <c r="B3" s="41">
        <f>IFERROR(__xludf.DUMMYFUNCTION("VLOOKUP(A3,IMPORTRANGE(""1EmrnCz2gLVTx5Cbj0e5tfuHPhTtmru8KTGuQvh7STl0/edit#gid=2147150001"",""Whole Data Set!$A$2:$NQ$253""),381,FALSE)"),140.0)</f>
        <v>140</v>
      </c>
      <c r="C3" s="13">
        <f t="shared" si="1"/>
        <v>0.56</v>
      </c>
      <c r="D3" s="12">
        <f>IFERROR(__xludf.DUMMYFUNCTION("VLOOKUP(A3,IMPORTRANGE(""1aFCnJY1qhIj8-JckJhDJ18aqmVo17tofpQmOjcYa3u8/edit#gid=948248086"",""Whole Data Set!$A$2:$NG$253""),371,FALSE)"),128.0)</f>
        <v>128</v>
      </c>
      <c r="E3" s="13">
        <f t="shared" si="2"/>
        <v>0.512</v>
      </c>
      <c r="F3" s="13">
        <f t="shared" si="3"/>
        <v>0.048</v>
      </c>
    </row>
    <row r="4">
      <c r="A4" s="65" t="s">
        <v>27</v>
      </c>
      <c r="B4" s="41">
        <f>IFERROR(__xludf.DUMMYFUNCTION("VLOOKUP(A4,IMPORTRANGE(""1EmrnCz2gLVTx5Cbj0e5tfuHPhTtmru8KTGuQvh7STl0/edit#gid=2147150001"",""Whole Data Set!$A$2:$NQ$253""),381,FALSE)"),7.5)</f>
        <v>7.5</v>
      </c>
      <c r="C4" s="13">
        <f t="shared" si="1"/>
        <v>0.03</v>
      </c>
      <c r="D4" s="12">
        <f>IFERROR(__xludf.DUMMYFUNCTION("VLOOKUP(A4,IMPORTRANGE(""1aFCnJY1qhIj8-JckJhDJ18aqmVo17tofpQmOjcYa3u8/edit#gid=948248086"",""Whole Data Set!$A$2:$NG$253""),371,FALSE)"),6.5)</f>
        <v>6.5</v>
      </c>
      <c r="E4" s="13">
        <f t="shared" si="2"/>
        <v>0.026</v>
      </c>
      <c r="F4" s="13">
        <f t="shared" si="3"/>
        <v>0.004</v>
      </c>
    </row>
    <row r="5">
      <c r="A5" s="98" t="s">
        <v>262</v>
      </c>
      <c r="B5" s="41">
        <f>IFERROR(__xludf.DUMMYFUNCTION("VLOOKUP(A5,IMPORTRANGE(""1EmrnCz2gLVTx5Cbj0e5tfuHPhTtmru8KTGuQvh7STl0/edit#gid=2147150001"",""Whole Data Set!$A$2:$NQ$253""),381,FALSE)"),20.0)</f>
        <v>20</v>
      </c>
      <c r="C5" s="13">
        <f t="shared" si="1"/>
        <v>0.08</v>
      </c>
      <c r="D5" s="12">
        <f>IFERROR(__xludf.DUMMYFUNCTION("VLOOKUP(A5,IMPORTRANGE(""1aFCnJY1qhIj8-JckJhDJ18aqmVo17tofpQmOjcYa3u8/edit#gid=948248086"",""Whole Data Set!$A$2:$NG$253""),371,FALSE)"),17.5)</f>
        <v>17.5</v>
      </c>
      <c r="E5" s="13">
        <f t="shared" si="2"/>
        <v>0.07</v>
      </c>
      <c r="F5" s="13">
        <f t="shared" si="3"/>
        <v>0.01</v>
      </c>
    </row>
    <row r="6">
      <c r="A6" s="65" t="s">
        <v>161</v>
      </c>
      <c r="B6" s="41">
        <f>IFERROR(__xludf.DUMMYFUNCTION("VLOOKUP(A6,IMPORTRANGE(""1EmrnCz2gLVTx5Cbj0e5tfuHPhTtmru8KTGuQvh7STl0/edit#gid=2147150001"",""Whole Data Set!$A$2:$NQ$253""),381,FALSE)"),78.0)</f>
        <v>78</v>
      </c>
      <c r="C6" s="13">
        <f t="shared" si="1"/>
        <v>0.312</v>
      </c>
      <c r="D6" s="12">
        <f>IFERROR(__xludf.DUMMYFUNCTION("VLOOKUP(A6,IMPORTRANGE(""1aFCnJY1qhIj8-JckJhDJ18aqmVo17tofpQmOjcYa3u8/edit#gid=948248086"",""Whole Data Set!$A$2:$NG$253""),371,FALSE)"),77.5)</f>
        <v>77.5</v>
      </c>
      <c r="E6" s="13">
        <f t="shared" si="2"/>
        <v>0.31</v>
      </c>
      <c r="F6" s="13">
        <f t="shared" si="3"/>
        <v>0.002</v>
      </c>
    </row>
    <row r="7">
      <c r="A7" s="65" t="s">
        <v>162</v>
      </c>
      <c r="B7" s="41">
        <f>IFERROR(__xludf.DUMMYFUNCTION("VLOOKUP(A7,IMPORTRANGE(""1EmrnCz2gLVTx5Cbj0e5tfuHPhTtmru8KTGuQvh7STl0/edit#gid=2147150001"",""Whole Data Set!$A$2:$NQ$253""),381,FALSE)"),86.0)</f>
        <v>86</v>
      </c>
      <c r="C7" s="13">
        <f t="shared" si="1"/>
        <v>0.344</v>
      </c>
      <c r="D7" s="12">
        <f>IFERROR(__xludf.DUMMYFUNCTION("VLOOKUP(A7,IMPORTRANGE(""1aFCnJY1qhIj8-JckJhDJ18aqmVo17tofpQmOjcYa3u8/edit#gid=948248086"",""Whole Data Set!$A$2:$NG$253""),371,FALSE)"),76.0)</f>
        <v>76</v>
      </c>
      <c r="E7" s="13">
        <f t="shared" si="2"/>
        <v>0.304</v>
      </c>
      <c r="F7" s="13">
        <f t="shared" si="3"/>
        <v>0.04</v>
      </c>
    </row>
    <row r="8">
      <c r="A8" s="65" t="s">
        <v>163</v>
      </c>
      <c r="B8" s="41">
        <f>IFERROR(__xludf.DUMMYFUNCTION("VLOOKUP(A8,IMPORTRANGE(""1EmrnCz2gLVTx5Cbj0e5tfuHPhTtmru8KTGuQvh7STl0/edit#gid=2147150001"",""Whole Data Set!$A$2:$NQ$253""),381,FALSE)"),35.75)</f>
        <v>35.75</v>
      </c>
      <c r="C8" s="13">
        <f t="shared" si="1"/>
        <v>0.143</v>
      </c>
      <c r="D8" s="12">
        <f>IFERROR(__xludf.DUMMYFUNCTION("VLOOKUP(A8,IMPORTRANGE(""1aFCnJY1qhIj8-JckJhDJ18aqmVo17tofpQmOjcYa3u8/edit#gid=948248086"",""Whole Data Set!$A$2:$NG$253""),371,FALSE)"),35.0)</f>
        <v>35</v>
      </c>
      <c r="E8" s="13">
        <f t="shared" si="2"/>
        <v>0.14</v>
      </c>
      <c r="F8" s="13">
        <f t="shared" si="3"/>
        <v>0.003</v>
      </c>
    </row>
    <row r="9">
      <c r="A9" s="65" t="s">
        <v>23</v>
      </c>
      <c r="B9" s="41">
        <f>IFERROR(__xludf.DUMMYFUNCTION("VLOOKUP(A9,IMPORTRANGE(""1EmrnCz2gLVTx5Cbj0e5tfuHPhTtmru8KTGuQvh7STl0/edit#gid=2147150001"",""Whole Data Set!$A$2:$NQ$253""),381,FALSE)"),64.25)</f>
        <v>64.25</v>
      </c>
      <c r="C9" s="13">
        <f t="shared" si="1"/>
        <v>0.257</v>
      </c>
      <c r="D9" s="12">
        <f>IFERROR(__xludf.DUMMYFUNCTION("VLOOKUP(A9,IMPORTRANGE(""1aFCnJY1qhIj8-JckJhDJ18aqmVo17tofpQmOjcYa3u8/edit#gid=948248086"",""Whole Data Set!$A$2:$NG$253""),371,FALSE)"),77.25)</f>
        <v>77.25</v>
      </c>
      <c r="E9" s="13">
        <f t="shared" si="2"/>
        <v>0.309</v>
      </c>
      <c r="F9" s="13">
        <f t="shared" si="3"/>
        <v>-0.052</v>
      </c>
    </row>
    <row r="10">
      <c r="A10" s="65" t="s">
        <v>24</v>
      </c>
      <c r="B10" s="41">
        <f>IFERROR(__xludf.DUMMYFUNCTION("VLOOKUP(A10,IMPORTRANGE(""1EmrnCz2gLVTx5Cbj0e5tfuHPhTtmru8KTGuQvh7STl0/edit#gid=2147150001"",""Whole Data Set!$A$2:$NQ$253""),381,FALSE)"),53.5)</f>
        <v>53.5</v>
      </c>
      <c r="C10" s="13">
        <f t="shared" si="1"/>
        <v>0.214</v>
      </c>
      <c r="D10" s="12">
        <f>IFERROR(__xludf.DUMMYFUNCTION("VLOOKUP(A10,IMPORTRANGE(""1aFCnJY1qhIj8-JckJhDJ18aqmVo17tofpQmOjcYa3u8/edit#gid=948248086"",""Whole Data Set!$A$2:$NG$253""),371,FALSE)"),45.75)</f>
        <v>45.75</v>
      </c>
      <c r="E10" s="13">
        <f t="shared" si="2"/>
        <v>0.183</v>
      </c>
      <c r="F10" s="13">
        <f t="shared" si="3"/>
        <v>0.031</v>
      </c>
    </row>
    <row r="11">
      <c r="A11" s="65" t="s">
        <v>113</v>
      </c>
      <c r="B11" s="41">
        <f>IFERROR(__xludf.DUMMYFUNCTION("VLOOKUP(A11,IMPORTRANGE(""1EmrnCz2gLVTx5Cbj0e5tfuHPhTtmru8KTGuQvh7STl0/edit#gid=2147150001"",""Whole Data Set!$A$2:$NQ$253""),381,FALSE)"),0.25)</f>
        <v>0.25</v>
      </c>
      <c r="C11" s="13">
        <f t="shared" si="1"/>
        <v>0.001</v>
      </c>
      <c r="D11" s="12">
        <f>IFERROR(__xludf.DUMMYFUNCTION("VLOOKUP(A11,IMPORTRANGE(""1aFCnJY1qhIj8-JckJhDJ18aqmVo17tofpQmOjcYa3u8/edit#gid=948248086"",""Whole Data Set!$A$2:$NG$253""),371,FALSE)"),13.25)</f>
        <v>13.25</v>
      </c>
      <c r="E11" s="13">
        <f t="shared" si="2"/>
        <v>0.053</v>
      </c>
      <c r="F11" s="13">
        <f t="shared" si="3"/>
        <v>-0.052</v>
      </c>
    </row>
    <row r="12">
      <c r="A12" s="65" t="s">
        <v>25</v>
      </c>
      <c r="B12" s="41">
        <f>IFERROR(__xludf.DUMMYFUNCTION("VLOOKUP(A12,IMPORTRANGE(""1EmrnCz2gLVTx5Cbj0e5tfuHPhTtmru8KTGuQvh7STl0/edit#gid=2147150001"",""Whole Data Set!$A$2:$NQ$253""),381,FALSE)"),32.5)</f>
        <v>32.5</v>
      </c>
      <c r="C12" s="13">
        <f t="shared" si="1"/>
        <v>0.13</v>
      </c>
      <c r="D12" s="12">
        <f>IFERROR(__xludf.DUMMYFUNCTION("VLOOKUP(A12,IMPORTRANGE(""1aFCnJY1qhIj8-JckJhDJ18aqmVo17tofpQmOjcYa3u8/edit#gid=948248086"",""Whole Data Set!$A$2:$NG$253""),371,FALSE)"),34.75)</f>
        <v>34.75</v>
      </c>
      <c r="E12" s="13">
        <f t="shared" si="2"/>
        <v>0.139</v>
      </c>
      <c r="F12" s="13">
        <f t="shared" si="3"/>
        <v>-0.009</v>
      </c>
    </row>
    <row r="13">
      <c r="A13" s="65" t="s">
        <v>210</v>
      </c>
      <c r="B13" s="41">
        <f>IFERROR(__xludf.DUMMYFUNCTION("VLOOKUP(A13,IMPORTRANGE(""1EmrnCz2gLVTx5Cbj0e5tfuHPhTtmru8KTGuQvh7STl0/edit#gid=2147150001"",""Whole Data Set!$A$2:$NQ$253""),381,FALSE)"),54.25)</f>
        <v>54.25</v>
      </c>
      <c r="C13" s="13">
        <f t="shared" si="1"/>
        <v>0.217</v>
      </c>
      <c r="D13" s="12">
        <f>IFERROR(__xludf.DUMMYFUNCTION("VLOOKUP(A13,IMPORTRANGE(""1aFCnJY1qhIj8-JckJhDJ18aqmVo17tofpQmOjcYa3u8/edit#gid=948248086"",""Whole Data Set!$A$2:$NG$253""),371,FALSE)"),50.5)</f>
        <v>50.5</v>
      </c>
      <c r="E13" s="13">
        <f t="shared" si="2"/>
        <v>0.202</v>
      </c>
      <c r="F13" s="13">
        <f t="shared" si="3"/>
        <v>0.015</v>
      </c>
    </row>
    <row r="14">
      <c r="A14" s="65" t="s">
        <v>26</v>
      </c>
      <c r="B14" s="41">
        <f>IFERROR(__xludf.DUMMYFUNCTION("VLOOKUP(A14,IMPORTRANGE(""1EmrnCz2gLVTx5Cbj0e5tfuHPhTtmru8KTGuQvh7STl0/edit#gid=2147150001"",""Whole Data Set!$A$2:$NQ$253""),381,FALSE)"),95.75)</f>
        <v>95.75</v>
      </c>
      <c r="C14" s="13">
        <f t="shared" si="1"/>
        <v>0.383</v>
      </c>
      <c r="D14" s="12">
        <f>IFERROR(__xludf.DUMMYFUNCTION("VLOOKUP(A14,IMPORTRANGE(""1aFCnJY1qhIj8-JckJhDJ18aqmVo17tofpQmOjcYa3u8/edit#gid=948248086"",""Whole Data Set!$A$2:$NG$253""),371,FALSE)"),48.5)</f>
        <v>48.5</v>
      </c>
      <c r="E14" s="13">
        <f t="shared" si="2"/>
        <v>0.194</v>
      </c>
      <c r="F14" s="13">
        <f t="shared" si="3"/>
        <v>0.189</v>
      </c>
    </row>
    <row r="15">
      <c r="A15" s="99" t="s">
        <v>75</v>
      </c>
      <c r="B15" s="41">
        <f>IFERROR(__xludf.DUMMYFUNCTION("VLOOKUP(A15,IMPORTRANGE(""1EmrnCz2gLVTx5Cbj0e5tfuHPhTtmru8KTGuQvh7STl0/edit#gid=2147150001"",""Whole Data Set!$A$2:$NQ$253""),381,FALSE)"),69.75)</f>
        <v>69.75</v>
      </c>
      <c r="C15" s="13">
        <f t="shared" si="1"/>
        <v>0.279</v>
      </c>
      <c r="D15" s="12">
        <f>IFERROR(__xludf.DUMMYFUNCTION("VLOOKUP(A15,IMPORTRANGE(""1aFCnJY1qhIj8-JckJhDJ18aqmVo17tofpQmOjcYa3u8/edit#gid=948248086"",""Whole Data Set!$A$2:$NG$253""),371,FALSE)"),68.5)</f>
        <v>68.5</v>
      </c>
      <c r="E15" s="13">
        <f t="shared" si="2"/>
        <v>0.274</v>
      </c>
      <c r="F15" s="13">
        <f t="shared" si="3"/>
        <v>0.005</v>
      </c>
    </row>
    <row r="16">
      <c r="A16" s="65" t="s">
        <v>28</v>
      </c>
      <c r="B16" s="41">
        <f>IFERROR(__xludf.DUMMYFUNCTION("VLOOKUP(A16,IMPORTRANGE(""1EmrnCz2gLVTx5Cbj0e5tfuHPhTtmru8KTGuQvh7STl0/edit#gid=2147150001"",""Whole Data Set!$A$2:$NQ$253""),381,FALSE)"),113.25)</f>
        <v>113.25</v>
      </c>
      <c r="C16" s="13">
        <f t="shared" si="1"/>
        <v>0.453</v>
      </c>
      <c r="D16" s="12">
        <f>IFERROR(__xludf.DUMMYFUNCTION("VLOOKUP(A16,IMPORTRANGE(""1aFCnJY1qhIj8-JckJhDJ18aqmVo17tofpQmOjcYa3u8/edit#gid=948248086"",""Whole Data Set!$A$2:$NG$253""),371,FALSE)"),110.25)</f>
        <v>110.25</v>
      </c>
      <c r="E16" s="13">
        <f t="shared" si="2"/>
        <v>0.441</v>
      </c>
      <c r="F16" s="13">
        <f t="shared" si="3"/>
        <v>0.012</v>
      </c>
    </row>
    <row r="17">
      <c r="A17" s="65" t="s">
        <v>29</v>
      </c>
      <c r="B17" s="41">
        <f>IFERROR(__xludf.DUMMYFUNCTION("VLOOKUP(A17,IMPORTRANGE(""1EmrnCz2gLVTx5Cbj0e5tfuHPhTtmru8KTGuQvh7STl0/edit#gid=2147150001"",""Whole Data Set!$A$2:$NQ$253""),381,FALSE)"),125.0)</f>
        <v>125</v>
      </c>
      <c r="C17" s="13">
        <f t="shared" si="1"/>
        <v>0.5</v>
      </c>
      <c r="D17" s="12">
        <f>IFERROR(__xludf.DUMMYFUNCTION("VLOOKUP(A17,IMPORTRANGE(""1aFCnJY1qhIj8-JckJhDJ18aqmVo17tofpQmOjcYa3u8/edit#gid=948248086"",""Whole Data Set!$A$2:$NG$253""),371,FALSE)"),126.5)</f>
        <v>126.5</v>
      </c>
      <c r="E17" s="13">
        <f t="shared" si="2"/>
        <v>0.506</v>
      </c>
      <c r="F17" s="13">
        <f t="shared" si="3"/>
        <v>-0.006</v>
      </c>
    </row>
    <row r="18">
      <c r="A18" s="65" t="s">
        <v>211</v>
      </c>
      <c r="B18" s="41">
        <f>IFERROR(__xludf.DUMMYFUNCTION("VLOOKUP(A18,IMPORTRANGE(""1EmrnCz2gLVTx5Cbj0e5tfuHPhTtmru8KTGuQvh7STl0/edit#gid=2147150001"",""Whole Data Set!$A$2:$NQ$253""),381,FALSE)"),126.25)</f>
        <v>126.25</v>
      </c>
      <c r="C18" s="13">
        <f t="shared" si="1"/>
        <v>0.505</v>
      </c>
      <c r="D18" s="12">
        <f>IFERROR(__xludf.DUMMYFUNCTION("VLOOKUP(A18,IMPORTRANGE(""1aFCnJY1qhIj8-JckJhDJ18aqmVo17tofpQmOjcYa3u8/edit#gid=948248086"",""Whole Data Set!$A$2:$NG$253""),371,FALSE)"),116.5)</f>
        <v>116.5</v>
      </c>
      <c r="E18" s="13">
        <f t="shared" si="2"/>
        <v>0.466</v>
      </c>
      <c r="F18" s="13">
        <f t="shared" si="3"/>
        <v>0.039</v>
      </c>
    </row>
    <row r="19">
      <c r="A19" s="65" t="s">
        <v>212</v>
      </c>
      <c r="B19" s="41">
        <f>IFERROR(__xludf.DUMMYFUNCTION("VLOOKUP(A19,IMPORTRANGE(""1EmrnCz2gLVTx5Cbj0e5tfuHPhTtmru8KTGuQvh7STl0/edit#gid=2147150001"",""Whole Data Set!$A$2:$NQ$253""),381,FALSE)"),82.75)</f>
        <v>82.75</v>
      </c>
      <c r="C19" s="13">
        <f t="shared" si="1"/>
        <v>0.331</v>
      </c>
      <c r="D19" s="12">
        <f>IFERROR(__xludf.DUMMYFUNCTION("VLOOKUP(A19,IMPORTRANGE(""1aFCnJY1qhIj8-JckJhDJ18aqmVo17tofpQmOjcYa3u8/edit#gid=948248086"",""Whole Data Set!$A$2:$NG$253""),371,FALSE)"),62.25)</f>
        <v>62.25</v>
      </c>
      <c r="E19" s="13">
        <f t="shared" si="2"/>
        <v>0.249</v>
      </c>
      <c r="F19" s="13">
        <f t="shared" si="3"/>
        <v>0.082</v>
      </c>
    </row>
    <row r="20">
      <c r="A20" s="100" t="s">
        <v>57</v>
      </c>
      <c r="B20" s="41">
        <f>IFERROR(__xludf.DUMMYFUNCTION("VLOOKUP(A20,IMPORTRANGE(""1EmrnCz2gLVTx5Cbj0e5tfuHPhTtmru8KTGuQvh7STl0/edit#gid=2147150001"",""Whole Data Set!$A$2:$NQ$253""),381,FALSE)"),120.25)</f>
        <v>120.25</v>
      </c>
      <c r="C20" s="13">
        <f t="shared" si="1"/>
        <v>0.481</v>
      </c>
      <c r="D20" s="12">
        <f>IFERROR(__xludf.DUMMYFUNCTION("VLOOKUP(A20,IMPORTRANGE(""1aFCnJY1qhIj8-JckJhDJ18aqmVo17tofpQmOjcYa3u8/edit#gid=948248086"",""Whole Data Set!$A$2:$NG$253""),371,FALSE)"),109.5)</f>
        <v>109.5</v>
      </c>
      <c r="E20" s="13">
        <f t="shared" si="2"/>
        <v>0.438</v>
      </c>
      <c r="F20" s="13">
        <f t="shared" si="3"/>
        <v>0.043</v>
      </c>
    </row>
    <row r="21">
      <c r="A21" s="65" t="s">
        <v>164</v>
      </c>
      <c r="B21" s="41">
        <f>IFERROR(__xludf.DUMMYFUNCTION("VLOOKUP(A21,IMPORTRANGE(""1EmrnCz2gLVTx5Cbj0e5tfuHPhTtmru8KTGuQvh7STl0/edit#gid=2147150001"",""Whole Data Set!$A$2:$NQ$253""),381,FALSE)"),3.25)</f>
        <v>3.25</v>
      </c>
      <c r="C21" s="13">
        <f t="shared" si="1"/>
        <v>0.013</v>
      </c>
      <c r="D21" s="12">
        <f>IFERROR(__xludf.DUMMYFUNCTION("VLOOKUP(A21,IMPORTRANGE(""1aFCnJY1qhIj8-JckJhDJ18aqmVo17tofpQmOjcYa3u8/edit#gid=948248086"",""Whole Data Set!$A$2:$NG$253""),371,FALSE)"),3.25)</f>
        <v>3.25</v>
      </c>
      <c r="E21" s="13">
        <f t="shared" si="2"/>
        <v>0.013</v>
      </c>
      <c r="F21" s="13">
        <f t="shared" si="3"/>
        <v>0</v>
      </c>
    </row>
    <row r="22">
      <c r="A22" s="65" t="s">
        <v>165</v>
      </c>
      <c r="B22" s="41">
        <f>IFERROR(__xludf.DUMMYFUNCTION("VLOOKUP(A22,IMPORTRANGE(""1EmrnCz2gLVTx5Cbj0e5tfuHPhTtmru8KTGuQvh7STl0/edit#gid=2147150001"",""Whole Data Set!$A$2:$NQ$253""),381,FALSE)"),17.0)</f>
        <v>17</v>
      </c>
      <c r="C22" s="13">
        <f t="shared" si="1"/>
        <v>0.068</v>
      </c>
      <c r="D22" s="12">
        <f>IFERROR(__xludf.DUMMYFUNCTION("VLOOKUP(A22,IMPORTRANGE(""1aFCnJY1qhIj8-JckJhDJ18aqmVo17tofpQmOjcYa3u8/edit#gid=948248086"",""Whole Data Set!$A$2:$NG$253""),371,FALSE)"),17.75)</f>
        <v>17.75</v>
      </c>
      <c r="E22" s="13">
        <f t="shared" si="2"/>
        <v>0.071</v>
      </c>
      <c r="F22" s="13">
        <f t="shared" si="3"/>
        <v>-0.003</v>
      </c>
    </row>
    <row r="23">
      <c r="A23" s="65" t="s">
        <v>213</v>
      </c>
      <c r="B23" s="41">
        <f>IFERROR(__xludf.DUMMYFUNCTION("VLOOKUP(A23,IMPORTRANGE(""1EmrnCz2gLVTx5Cbj0e5tfuHPhTtmru8KTGuQvh7STl0/edit#gid=2147150001"",""Whole Data Set!$A$2:$NQ$253""),381,FALSE)"),0.0)</f>
        <v>0</v>
      </c>
      <c r="C23" s="13">
        <f t="shared" si="1"/>
        <v>0</v>
      </c>
      <c r="D23" s="12">
        <f>IFERROR(__xludf.DUMMYFUNCTION("VLOOKUP(A23,IMPORTRANGE(""1aFCnJY1qhIj8-JckJhDJ18aqmVo17tofpQmOjcYa3u8/edit#gid=948248086"",""Whole Data Set!$A$2:$NG$253""),371,FALSE)"),0.0)</f>
        <v>0</v>
      </c>
      <c r="E23" s="13">
        <f t="shared" si="2"/>
        <v>0</v>
      </c>
      <c r="F23" s="13">
        <f t="shared" si="3"/>
        <v>0</v>
      </c>
    </row>
    <row r="24">
      <c r="A24" s="65" t="s">
        <v>31</v>
      </c>
      <c r="B24" s="41">
        <f>IFERROR(__xludf.DUMMYFUNCTION("VLOOKUP(A24,IMPORTRANGE(""1EmrnCz2gLVTx5Cbj0e5tfuHPhTtmru8KTGuQvh7STl0/edit#gid=2147150001"",""Whole Data Set!$A$2:$NQ$253""),381,FALSE)"),124.5)</f>
        <v>124.5</v>
      </c>
      <c r="C24" s="13">
        <f t="shared" si="1"/>
        <v>0.498</v>
      </c>
      <c r="D24" s="12">
        <f>IFERROR(__xludf.DUMMYFUNCTION("VLOOKUP(A24,IMPORTRANGE(""1aFCnJY1qhIj8-JckJhDJ18aqmVo17tofpQmOjcYa3u8/edit#gid=948248086"",""Whole Data Set!$A$2:$NG$253""),371,FALSE)"),107.75)</f>
        <v>107.75</v>
      </c>
      <c r="E24" s="13">
        <f t="shared" si="2"/>
        <v>0.431</v>
      </c>
      <c r="F24" s="13">
        <f t="shared" si="3"/>
        <v>0.067</v>
      </c>
    </row>
    <row r="25">
      <c r="A25" s="65" t="s">
        <v>214</v>
      </c>
      <c r="B25" s="41">
        <f>IFERROR(__xludf.DUMMYFUNCTION("VLOOKUP(A25,IMPORTRANGE(""1EmrnCz2gLVTx5Cbj0e5tfuHPhTtmru8KTGuQvh7STl0/edit#gid=2147150001"",""Whole Data Set!$A$2:$NQ$253""),381,FALSE)"),0.0)</f>
        <v>0</v>
      </c>
      <c r="C25" s="13">
        <f t="shared" si="1"/>
        <v>0</v>
      </c>
      <c r="D25" s="12">
        <f>IFERROR(__xludf.DUMMYFUNCTION("VLOOKUP(A25,IMPORTRANGE(""1aFCnJY1qhIj8-JckJhDJ18aqmVo17tofpQmOjcYa3u8/edit#gid=948248086"",""Whole Data Set!$A$2:$NG$253""),371,FALSE)"),0.0)</f>
        <v>0</v>
      </c>
      <c r="E25" s="13">
        <f t="shared" si="2"/>
        <v>0</v>
      </c>
      <c r="F25" s="13">
        <f t="shared" si="3"/>
        <v>0</v>
      </c>
    </row>
    <row r="26">
      <c r="A26" s="65" t="s">
        <v>215</v>
      </c>
      <c r="B26" s="41">
        <f>IFERROR(__xludf.DUMMYFUNCTION("VLOOKUP(A26,IMPORTRANGE(""1EmrnCz2gLVTx5Cbj0e5tfuHPhTtmru8KTGuQvh7STl0/edit#gid=2147150001"",""Whole Data Set!$A$2:$NQ$253""),381,FALSE)"),97.0)</f>
        <v>97</v>
      </c>
      <c r="C26" s="13">
        <f t="shared" si="1"/>
        <v>0.388</v>
      </c>
      <c r="D26" s="12">
        <f>IFERROR(__xludf.DUMMYFUNCTION("VLOOKUP(A26,IMPORTRANGE(""1aFCnJY1qhIj8-JckJhDJ18aqmVo17tofpQmOjcYa3u8/edit#gid=948248086"",""Whole Data Set!$A$2:$NG$253""),371,FALSE)"),95.25)</f>
        <v>95.25</v>
      </c>
      <c r="E26" s="13">
        <f t="shared" si="2"/>
        <v>0.381</v>
      </c>
      <c r="F26" s="13">
        <f t="shared" si="3"/>
        <v>0.007</v>
      </c>
    </row>
    <row r="27">
      <c r="A27" s="65" t="s">
        <v>216</v>
      </c>
      <c r="B27" s="41">
        <f>IFERROR(__xludf.DUMMYFUNCTION("VLOOKUP(A27,IMPORTRANGE(""1EmrnCz2gLVTx5Cbj0e5tfuHPhTtmru8KTGuQvh7STl0/edit#gid=2147150001"",""Whole Data Set!$A$2:$NQ$253""),381,FALSE)"),15.75)</f>
        <v>15.75</v>
      </c>
      <c r="C27" s="13">
        <f t="shared" si="1"/>
        <v>0.063</v>
      </c>
      <c r="D27" s="12">
        <f>IFERROR(__xludf.DUMMYFUNCTION("VLOOKUP(A27,IMPORTRANGE(""1aFCnJY1qhIj8-JckJhDJ18aqmVo17tofpQmOjcYa3u8/edit#gid=948248086"",""Whole Data Set!$A$2:$NG$253""),371,FALSE)"),16.75)</f>
        <v>16.75</v>
      </c>
      <c r="E27" s="13">
        <f t="shared" si="2"/>
        <v>0.067</v>
      </c>
      <c r="F27" s="13">
        <f t="shared" si="3"/>
        <v>-0.004</v>
      </c>
    </row>
    <row r="28">
      <c r="A28" s="65" t="s">
        <v>114</v>
      </c>
      <c r="B28" s="41">
        <f>IFERROR(__xludf.DUMMYFUNCTION("VLOOKUP(A28,IMPORTRANGE(""1EmrnCz2gLVTx5Cbj0e5tfuHPhTtmru8KTGuQvh7STl0/edit#gid=2147150001"",""Whole Data Set!$A$2:$NQ$253""),381,FALSE)"),16.5)</f>
        <v>16.5</v>
      </c>
      <c r="C28" s="13">
        <f t="shared" si="1"/>
        <v>0.066</v>
      </c>
      <c r="D28" s="12">
        <f>IFERROR(__xludf.DUMMYFUNCTION("VLOOKUP(A28,IMPORTRANGE(""1aFCnJY1qhIj8-JckJhDJ18aqmVo17tofpQmOjcYa3u8/edit#gid=948248086"",""Whole Data Set!$A$2:$NG$253""),371,FALSE)"),14.25)</f>
        <v>14.25</v>
      </c>
      <c r="E28" s="13">
        <f t="shared" si="2"/>
        <v>0.057</v>
      </c>
      <c r="F28" s="13">
        <f t="shared" si="3"/>
        <v>0.009</v>
      </c>
    </row>
    <row r="29">
      <c r="A29" s="65" t="s">
        <v>115</v>
      </c>
      <c r="B29" s="41">
        <f>IFERROR(__xludf.DUMMYFUNCTION("VLOOKUP(A29,IMPORTRANGE(""1EmrnCz2gLVTx5Cbj0e5tfuHPhTtmru8KTGuQvh7STl0/edit#gid=2147150001"",""Whole Data Set!$A$2:$NQ$253""),381,FALSE)"),93.0)</f>
        <v>93</v>
      </c>
      <c r="C29" s="13">
        <f t="shared" si="1"/>
        <v>0.372</v>
      </c>
      <c r="D29" s="12">
        <f>IFERROR(__xludf.DUMMYFUNCTION("VLOOKUP(A29,IMPORTRANGE(""1aFCnJY1qhIj8-JckJhDJ18aqmVo17tofpQmOjcYa3u8/edit#gid=948248086"",""Whole Data Set!$A$2:$NG$253""),371,FALSE)"),89.25)</f>
        <v>89.25</v>
      </c>
      <c r="E29" s="13">
        <f t="shared" si="2"/>
        <v>0.357</v>
      </c>
      <c r="F29" s="13">
        <f t="shared" si="3"/>
        <v>0.015</v>
      </c>
    </row>
    <row r="30">
      <c r="A30" s="65" t="s">
        <v>166</v>
      </c>
      <c r="B30" s="41">
        <f>IFERROR(__xludf.DUMMYFUNCTION("VLOOKUP(A30,IMPORTRANGE(""1EmrnCz2gLVTx5Cbj0e5tfuHPhTtmru8KTGuQvh7STl0/edit#gid=2147150001"",""Whole Data Set!$A$2:$NQ$253""),381,FALSE)"),60.75)</f>
        <v>60.75</v>
      </c>
      <c r="C30" s="13">
        <f t="shared" si="1"/>
        <v>0.243</v>
      </c>
      <c r="D30" s="12">
        <f>IFERROR(__xludf.DUMMYFUNCTION("VLOOKUP(A30,IMPORTRANGE(""1aFCnJY1qhIj8-JckJhDJ18aqmVo17tofpQmOjcYa3u8/edit#gid=948248086"",""Whole Data Set!$A$2:$NG$253""),371,FALSE)"),70.25)</f>
        <v>70.25</v>
      </c>
      <c r="E30" s="13">
        <f t="shared" si="2"/>
        <v>0.281</v>
      </c>
      <c r="F30" s="13">
        <f t="shared" si="3"/>
        <v>-0.038</v>
      </c>
    </row>
    <row r="31">
      <c r="A31" s="65" t="s">
        <v>217</v>
      </c>
      <c r="B31" s="41">
        <f>IFERROR(__xludf.DUMMYFUNCTION("VLOOKUP(A31,IMPORTRANGE(""1EmrnCz2gLVTx5Cbj0e5tfuHPhTtmru8KTGuQvh7STl0/edit#gid=2147150001"",""Whole Data Set!$A$2:$NQ$253""),381,FALSE)"),0.25)</f>
        <v>0.25</v>
      </c>
      <c r="C31" s="13">
        <f t="shared" si="1"/>
        <v>0.001</v>
      </c>
      <c r="D31" s="12">
        <f>IFERROR(__xludf.DUMMYFUNCTION("VLOOKUP(A31,IMPORTRANGE(""1aFCnJY1qhIj8-JckJhDJ18aqmVo17tofpQmOjcYa3u8/edit#gid=948248086"",""Whole Data Set!$A$2:$NG$253""),371,FALSE)"),15.5)</f>
        <v>15.5</v>
      </c>
      <c r="E31" s="13">
        <f t="shared" si="2"/>
        <v>0.062</v>
      </c>
      <c r="F31" s="13">
        <f t="shared" si="3"/>
        <v>-0.061</v>
      </c>
    </row>
    <row r="32">
      <c r="A32" s="65" t="s">
        <v>32</v>
      </c>
      <c r="B32" s="41">
        <f>IFERROR(__xludf.DUMMYFUNCTION("VLOOKUP(A32,IMPORTRANGE(""1EmrnCz2gLVTx5Cbj0e5tfuHPhTtmru8KTGuQvh7STl0/edit#gid=2147150001"",""Whole Data Set!$A$2:$NQ$253""),381,FALSE)"),126.25)</f>
        <v>126.25</v>
      </c>
      <c r="C32" s="13">
        <f t="shared" si="1"/>
        <v>0.505</v>
      </c>
      <c r="D32" s="12">
        <f>IFERROR(__xludf.DUMMYFUNCTION("VLOOKUP(A32,IMPORTRANGE(""1aFCnJY1qhIj8-JckJhDJ18aqmVo17tofpQmOjcYa3u8/edit#gid=948248086"",""Whole Data Set!$A$2:$NG$253""),371,FALSE)"),115.5)</f>
        <v>115.5</v>
      </c>
      <c r="E32" s="13">
        <f t="shared" si="2"/>
        <v>0.462</v>
      </c>
      <c r="F32" s="13">
        <f t="shared" si="3"/>
        <v>0.043</v>
      </c>
    </row>
    <row r="33">
      <c r="A33" s="101" t="s">
        <v>218</v>
      </c>
      <c r="B33" s="41">
        <f>IFERROR(__xludf.DUMMYFUNCTION("VLOOKUP(A33,IMPORTRANGE(""1EmrnCz2gLVTx5Cbj0e5tfuHPhTtmru8KTGuQvh7STl0/edit#gid=2147150001"",""Whole Data Set!$A$2:$NQ$253""),381,FALSE)"),90.25)</f>
        <v>90.25</v>
      </c>
      <c r="C33" s="13">
        <f t="shared" si="1"/>
        <v>0.361</v>
      </c>
      <c r="D33" s="12">
        <f>IFERROR(__xludf.DUMMYFUNCTION("VLOOKUP(A33,IMPORTRANGE(""1aFCnJY1qhIj8-JckJhDJ18aqmVo17tofpQmOjcYa3u8/edit#gid=948248086"",""Whole Data Set!$A$2:$NG$253""),371,FALSE)"),67.75)</f>
        <v>67.75</v>
      </c>
      <c r="E33" s="13">
        <f t="shared" si="2"/>
        <v>0.271</v>
      </c>
      <c r="F33" s="13">
        <f t="shared" si="3"/>
        <v>0.09</v>
      </c>
    </row>
    <row r="34">
      <c r="A34" s="65" t="s">
        <v>167</v>
      </c>
      <c r="B34" s="41">
        <f>IFERROR(__xludf.DUMMYFUNCTION("VLOOKUP(A34,IMPORTRANGE(""1EmrnCz2gLVTx5Cbj0e5tfuHPhTtmru8KTGuQvh7STl0/edit#gid=2147150001"",""Whole Data Set!$A$2:$NQ$253""),381,FALSE)"),34.75)</f>
        <v>34.75</v>
      </c>
      <c r="C34" s="13">
        <f t="shared" si="1"/>
        <v>0.139</v>
      </c>
      <c r="D34" s="12">
        <f>IFERROR(__xludf.DUMMYFUNCTION("VLOOKUP(A34,IMPORTRANGE(""1aFCnJY1qhIj8-JckJhDJ18aqmVo17tofpQmOjcYa3u8/edit#gid=948248086"",""Whole Data Set!$A$2:$NG$253""),371,FALSE)"),36.0)</f>
        <v>36</v>
      </c>
      <c r="E34" s="13">
        <f t="shared" si="2"/>
        <v>0.144</v>
      </c>
      <c r="F34" s="13">
        <f t="shared" si="3"/>
        <v>-0.005</v>
      </c>
    </row>
    <row r="35">
      <c r="A35" s="65" t="s">
        <v>116</v>
      </c>
      <c r="B35" s="41">
        <f>IFERROR(__xludf.DUMMYFUNCTION("VLOOKUP(A35,IMPORTRANGE(""1EmrnCz2gLVTx5Cbj0e5tfuHPhTtmru8KTGuQvh7STl0/edit#gid=2147150001"",""Whole Data Set!$A$2:$NQ$253""),381,FALSE)"),10.0)</f>
        <v>10</v>
      </c>
      <c r="C35" s="13">
        <f t="shared" si="1"/>
        <v>0.04</v>
      </c>
      <c r="D35" s="12">
        <f>IFERROR(__xludf.DUMMYFUNCTION("VLOOKUP(A35,IMPORTRANGE(""1aFCnJY1qhIj8-JckJhDJ18aqmVo17tofpQmOjcYa3u8/edit#gid=948248086"",""Whole Data Set!$A$2:$NG$253""),371,FALSE)"),12.75)</f>
        <v>12.75</v>
      </c>
      <c r="E35" s="13">
        <f t="shared" si="2"/>
        <v>0.051</v>
      </c>
      <c r="F35" s="13">
        <f t="shared" si="3"/>
        <v>-0.011</v>
      </c>
    </row>
    <row r="36">
      <c r="A36" s="65" t="s">
        <v>33</v>
      </c>
      <c r="B36" s="41">
        <f>IFERROR(__xludf.DUMMYFUNCTION("VLOOKUP(A36,IMPORTRANGE(""1EmrnCz2gLVTx5Cbj0e5tfuHPhTtmru8KTGuQvh7STl0/edit#gid=2147150001"",""Whole Data Set!$A$2:$NQ$253""),381,FALSE)"),95.75)</f>
        <v>95.75</v>
      </c>
      <c r="C36" s="13">
        <f t="shared" si="1"/>
        <v>0.383</v>
      </c>
      <c r="D36" s="12">
        <f>IFERROR(__xludf.DUMMYFUNCTION("VLOOKUP(A36,IMPORTRANGE(""1aFCnJY1qhIj8-JckJhDJ18aqmVo17tofpQmOjcYa3u8/edit#gid=948248086"",""Whole Data Set!$A$2:$NG$253""),371,FALSE)"),98.75)</f>
        <v>98.75</v>
      </c>
      <c r="E36" s="13">
        <f t="shared" si="2"/>
        <v>0.395</v>
      </c>
      <c r="F36" s="13">
        <f t="shared" si="3"/>
        <v>-0.012</v>
      </c>
    </row>
    <row r="37">
      <c r="A37" s="65" t="s">
        <v>106</v>
      </c>
      <c r="B37" s="41">
        <f>IFERROR(__xludf.DUMMYFUNCTION("VLOOKUP(A37,IMPORTRANGE(""1EmrnCz2gLVTx5Cbj0e5tfuHPhTtmru8KTGuQvh7STl0/edit#gid=2147150001"",""Whole Data Set!$A$2:$NQ$253""),381,FALSE)"),36.0)</f>
        <v>36</v>
      </c>
      <c r="C37" s="13">
        <f t="shared" si="1"/>
        <v>0.144</v>
      </c>
      <c r="D37" s="12">
        <f>IFERROR(__xludf.DUMMYFUNCTION("VLOOKUP(A37,IMPORTRANGE(""1aFCnJY1qhIj8-JckJhDJ18aqmVo17tofpQmOjcYa3u8/edit#gid=948248086"",""Whole Data Set!$A$2:$NG$253""),371,FALSE)"),31.75)</f>
        <v>31.75</v>
      </c>
      <c r="E37" s="13">
        <f t="shared" si="2"/>
        <v>0.127</v>
      </c>
      <c r="F37" s="13">
        <f t="shared" si="3"/>
        <v>0.017</v>
      </c>
    </row>
    <row r="38">
      <c r="A38" s="65" t="s">
        <v>35</v>
      </c>
      <c r="B38" s="41">
        <f>IFERROR(__xludf.DUMMYFUNCTION("VLOOKUP(A38,IMPORTRANGE(""1EmrnCz2gLVTx5Cbj0e5tfuHPhTtmru8KTGuQvh7STl0/edit#gid=2147150001"",""Whole Data Set!$A$2:$NQ$253""),381,FALSE)"),169.0)</f>
        <v>169</v>
      </c>
      <c r="C38" s="13">
        <f t="shared" si="1"/>
        <v>0.676</v>
      </c>
      <c r="D38" s="12">
        <f>IFERROR(__xludf.DUMMYFUNCTION("VLOOKUP(A38,IMPORTRANGE(""1aFCnJY1qhIj8-JckJhDJ18aqmVo17tofpQmOjcYa3u8/edit#gid=948248086"",""Whole Data Set!$A$2:$NG$253""),371,FALSE)"),147.75)</f>
        <v>147.75</v>
      </c>
      <c r="E38" s="13">
        <f t="shared" si="2"/>
        <v>0.591</v>
      </c>
      <c r="F38" s="13">
        <f t="shared" si="3"/>
        <v>0.085</v>
      </c>
    </row>
    <row r="39">
      <c r="A39" s="65" t="s">
        <v>36</v>
      </c>
      <c r="B39" s="41">
        <f>IFERROR(__xludf.DUMMYFUNCTION("VLOOKUP(A39,IMPORTRANGE(""1EmrnCz2gLVTx5Cbj0e5tfuHPhTtmru8KTGuQvh7STl0/edit#gid=2147150001"",""Whole Data Set!$A$2:$NQ$253""),381,FALSE)"),120.25)</f>
        <v>120.25</v>
      </c>
      <c r="C39" s="13">
        <f t="shared" si="1"/>
        <v>0.481</v>
      </c>
      <c r="D39" s="12">
        <f>IFERROR(__xludf.DUMMYFUNCTION("VLOOKUP(A39,IMPORTRANGE(""1aFCnJY1qhIj8-JckJhDJ18aqmVo17tofpQmOjcYa3u8/edit#gid=948248086"",""Whole Data Set!$A$2:$NG$253""),371,FALSE)"),140.75)</f>
        <v>140.75</v>
      </c>
      <c r="E39" s="13">
        <f t="shared" si="2"/>
        <v>0.563</v>
      </c>
      <c r="F39" s="13">
        <f t="shared" si="3"/>
        <v>-0.082</v>
      </c>
    </row>
    <row r="40">
      <c r="A40" s="65" t="s">
        <v>37</v>
      </c>
      <c r="B40" s="41">
        <f>IFERROR(__xludf.DUMMYFUNCTION("VLOOKUP(A40,IMPORTRANGE(""1EmrnCz2gLVTx5Cbj0e5tfuHPhTtmru8KTGuQvh7STl0/edit#gid=2147150001"",""Whole Data Set!$A$2:$NQ$253""),381,FALSE)"),156.25)</f>
        <v>156.25</v>
      </c>
      <c r="C40" s="13">
        <f t="shared" si="1"/>
        <v>0.625</v>
      </c>
      <c r="D40" s="12">
        <f>IFERROR(__xludf.DUMMYFUNCTION("VLOOKUP(A40,IMPORTRANGE(""1aFCnJY1qhIj8-JckJhDJ18aqmVo17tofpQmOjcYa3u8/edit#gid=948248086"",""Whole Data Set!$A$2:$NG$253""),371,FALSE)"),134.75)</f>
        <v>134.75</v>
      </c>
      <c r="E40" s="13">
        <f t="shared" si="2"/>
        <v>0.539</v>
      </c>
      <c r="F40" s="13">
        <f t="shared" si="3"/>
        <v>0.086</v>
      </c>
    </row>
    <row r="41">
      <c r="A41" s="65" t="s">
        <v>219</v>
      </c>
      <c r="B41" s="41">
        <f>IFERROR(__xludf.DUMMYFUNCTION("VLOOKUP(A41,IMPORTRANGE(""1EmrnCz2gLVTx5Cbj0e5tfuHPhTtmru8KTGuQvh7STl0/edit#gid=2147150001"",""Whole Data Set!$A$2:$NQ$253""),381,FALSE)"),38.75)</f>
        <v>38.75</v>
      </c>
      <c r="C41" s="13">
        <f t="shared" si="1"/>
        <v>0.155</v>
      </c>
      <c r="D41" s="12">
        <f>IFERROR(__xludf.DUMMYFUNCTION("VLOOKUP(A41,IMPORTRANGE(""1aFCnJY1qhIj8-JckJhDJ18aqmVo17tofpQmOjcYa3u8/edit#gid=948248086"",""Whole Data Set!$A$2:$NG$253""),371,FALSE)"),21.5)</f>
        <v>21.5</v>
      </c>
      <c r="E41" s="13">
        <f t="shared" si="2"/>
        <v>0.086</v>
      </c>
      <c r="F41" s="13">
        <f t="shared" si="3"/>
        <v>0.069</v>
      </c>
    </row>
    <row r="42">
      <c r="A42" s="100" t="s">
        <v>220</v>
      </c>
      <c r="B42" s="41">
        <f>IFERROR(__xludf.DUMMYFUNCTION("VLOOKUP(A42,IMPORTRANGE(""1EmrnCz2gLVTx5Cbj0e5tfuHPhTtmru8KTGuQvh7STl0/edit#gid=2147150001"",""Whole Data Set!$A$2:$NQ$253""),381,FALSE)"),18.5)</f>
        <v>18.5</v>
      </c>
      <c r="C42" s="13">
        <f t="shared" si="1"/>
        <v>0.074</v>
      </c>
      <c r="D42" s="12">
        <f>IFERROR(__xludf.DUMMYFUNCTION("VLOOKUP(A42,IMPORTRANGE(""1aFCnJY1qhIj8-JckJhDJ18aqmVo17tofpQmOjcYa3u8/edit#gid=948248086"",""Whole Data Set!$A$2:$NG$253""),371,FALSE)"),22.75)</f>
        <v>22.75</v>
      </c>
      <c r="E42" s="13">
        <f t="shared" si="2"/>
        <v>0.091</v>
      </c>
      <c r="F42" s="13">
        <f t="shared" si="3"/>
        <v>-0.017</v>
      </c>
    </row>
    <row r="43">
      <c r="A43" s="65" t="s">
        <v>117</v>
      </c>
      <c r="B43" s="41">
        <f>IFERROR(__xludf.DUMMYFUNCTION("VLOOKUP(A43,IMPORTRANGE(""1EmrnCz2gLVTx5Cbj0e5tfuHPhTtmru8KTGuQvh7STl0/edit#gid=2147150001"",""Whole Data Set!$A$2:$NQ$253""),381,FALSE)"),39.25)</f>
        <v>39.25</v>
      </c>
      <c r="C43" s="13">
        <f t="shared" si="1"/>
        <v>0.157</v>
      </c>
      <c r="D43" s="12">
        <f>IFERROR(__xludf.DUMMYFUNCTION("VLOOKUP(A43,IMPORTRANGE(""1aFCnJY1qhIj8-JckJhDJ18aqmVo17tofpQmOjcYa3u8/edit#gid=948248086"",""Whole Data Set!$A$2:$NG$253""),371,FALSE)"),20.5)</f>
        <v>20.5</v>
      </c>
      <c r="E43" s="13">
        <f t="shared" si="2"/>
        <v>0.082</v>
      </c>
      <c r="F43" s="13">
        <f t="shared" si="3"/>
        <v>0.075</v>
      </c>
    </row>
    <row r="44">
      <c r="A44" s="65" t="s">
        <v>168</v>
      </c>
      <c r="B44" s="41">
        <f>IFERROR(__xludf.DUMMYFUNCTION("VLOOKUP(A44,IMPORTRANGE(""1EmrnCz2gLVTx5Cbj0e5tfuHPhTtmru8KTGuQvh7STl0/edit#gid=2147150001"",""Whole Data Set!$A$2:$NQ$253""),381,FALSE)"),11.5)</f>
        <v>11.5</v>
      </c>
      <c r="C44" s="13">
        <f t="shared" si="1"/>
        <v>0.046</v>
      </c>
      <c r="D44" s="12">
        <f>IFERROR(__xludf.DUMMYFUNCTION("VLOOKUP(A44,IMPORTRANGE(""1aFCnJY1qhIj8-JckJhDJ18aqmVo17tofpQmOjcYa3u8/edit#gid=948248086"",""Whole Data Set!$A$2:$NG$253""),371,FALSE)"),18.5)</f>
        <v>18.5</v>
      </c>
      <c r="E44" s="13">
        <f t="shared" si="2"/>
        <v>0.074</v>
      </c>
      <c r="F44" s="13">
        <f t="shared" si="3"/>
        <v>-0.028</v>
      </c>
    </row>
    <row r="45">
      <c r="A45" s="100" t="s">
        <v>169</v>
      </c>
      <c r="B45" s="41">
        <f>IFERROR(__xludf.DUMMYFUNCTION("VLOOKUP(A45,IMPORTRANGE(""1EmrnCz2gLVTx5Cbj0e5tfuHPhTtmru8KTGuQvh7STl0/edit#gid=2147150001"",""Whole Data Set!$A$2:$NQ$253""),381,FALSE)"),58.75)</f>
        <v>58.75</v>
      </c>
      <c r="C45" s="13">
        <f t="shared" si="1"/>
        <v>0.235</v>
      </c>
      <c r="D45" s="12">
        <f>IFERROR(__xludf.DUMMYFUNCTION("VLOOKUP(A45,IMPORTRANGE(""1aFCnJY1qhIj8-JckJhDJ18aqmVo17tofpQmOjcYa3u8/edit#gid=948248086"",""Whole Data Set!$A$2:$NG$253""),371,FALSE)"),62.0)</f>
        <v>62</v>
      </c>
      <c r="E45" s="13">
        <f t="shared" si="2"/>
        <v>0.248</v>
      </c>
      <c r="F45" s="13">
        <f t="shared" si="3"/>
        <v>-0.013</v>
      </c>
    </row>
    <row r="46">
      <c r="A46" s="65" t="s">
        <v>263</v>
      </c>
      <c r="B46" s="41">
        <f>IFERROR(__xludf.DUMMYFUNCTION("VLOOKUP(A46,IMPORTRANGE(""1EmrnCz2gLVTx5Cbj0e5tfuHPhTtmru8KTGuQvh7STl0/edit#gid=2147150001"",""Whole Data Set!$A$2:$NQ$253""),381,FALSE)"),61.25)</f>
        <v>61.25</v>
      </c>
      <c r="C46" s="13">
        <f t="shared" si="1"/>
        <v>0.245</v>
      </c>
      <c r="D46" s="12">
        <f>IFERROR(__xludf.DUMMYFUNCTION("VLOOKUP(A46,IMPORTRANGE(""1aFCnJY1qhIj8-JckJhDJ18aqmVo17tofpQmOjcYa3u8/edit#gid=948248086"",""Whole Data Set!$A$2:$NG$253""),371,FALSE)"),45.0)</f>
        <v>45</v>
      </c>
      <c r="E46" s="13">
        <f t="shared" si="2"/>
        <v>0.18</v>
      </c>
      <c r="F46" s="13">
        <f t="shared" si="3"/>
        <v>0.065</v>
      </c>
    </row>
    <row r="47">
      <c r="A47" s="65" t="s">
        <v>170</v>
      </c>
      <c r="B47" s="41">
        <f>IFERROR(__xludf.DUMMYFUNCTION("VLOOKUP(A47,IMPORTRANGE(""1EmrnCz2gLVTx5Cbj0e5tfuHPhTtmru8KTGuQvh7STl0/edit#gid=2147150001"",""Whole Data Set!$A$2:$NQ$253""),381,FALSE)"),75.5)</f>
        <v>75.5</v>
      </c>
      <c r="C47" s="13">
        <f t="shared" si="1"/>
        <v>0.302</v>
      </c>
      <c r="D47" s="12">
        <f>IFERROR(__xludf.DUMMYFUNCTION("VLOOKUP(A47,IMPORTRANGE(""1aFCnJY1qhIj8-JckJhDJ18aqmVo17tofpQmOjcYa3u8/edit#gid=948248086"",""Whole Data Set!$A$2:$NG$253""),371,FALSE)"),71.75)</f>
        <v>71.75</v>
      </c>
      <c r="E47" s="13">
        <f t="shared" si="2"/>
        <v>0.287</v>
      </c>
      <c r="F47" s="13">
        <f t="shared" si="3"/>
        <v>0.015</v>
      </c>
    </row>
    <row r="48">
      <c r="A48" s="65" t="s">
        <v>221</v>
      </c>
      <c r="B48" s="41">
        <f>IFERROR(__xludf.DUMMYFUNCTION("VLOOKUP(A48,IMPORTRANGE(""1EmrnCz2gLVTx5Cbj0e5tfuHPhTtmru8KTGuQvh7STl0/edit#gid=2147150001"",""Whole Data Set!$A$2:$NQ$253""),381,FALSE)"),1.75)</f>
        <v>1.75</v>
      </c>
      <c r="C48" s="13">
        <f t="shared" si="1"/>
        <v>0.007</v>
      </c>
      <c r="D48" s="12">
        <f>IFERROR(__xludf.DUMMYFUNCTION("VLOOKUP(A48,IMPORTRANGE(""1aFCnJY1qhIj8-JckJhDJ18aqmVo17tofpQmOjcYa3u8/edit#gid=948248086"",""Whole Data Set!$A$2:$NG$253""),371,FALSE)"),1.25)</f>
        <v>1.25</v>
      </c>
      <c r="E48" s="13">
        <f t="shared" si="2"/>
        <v>0.005</v>
      </c>
      <c r="F48" s="13">
        <f t="shared" si="3"/>
        <v>0.002</v>
      </c>
    </row>
    <row r="49">
      <c r="A49" s="65" t="s">
        <v>38</v>
      </c>
      <c r="B49" s="41">
        <f>IFERROR(__xludf.DUMMYFUNCTION("VLOOKUP(A49,IMPORTRANGE(""1EmrnCz2gLVTx5Cbj0e5tfuHPhTtmru8KTGuQvh7STl0/edit#gid=2147150001"",""Whole Data Set!$A$2:$NQ$253""),381,FALSE)"),93.75)</f>
        <v>93.75</v>
      </c>
      <c r="C49" s="13">
        <f t="shared" si="1"/>
        <v>0.375</v>
      </c>
      <c r="D49" s="12">
        <f>IFERROR(__xludf.DUMMYFUNCTION("VLOOKUP(A49,IMPORTRANGE(""1aFCnJY1qhIj8-JckJhDJ18aqmVo17tofpQmOjcYa3u8/edit#gid=948248086"",""Whole Data Set!$A$2:$NG$253""),371,FALSE)"),67.75)</f>
        <v>67.75</v>
      </c>
      <c r="E49" s="13">
        <f t="shared" si="2"/>
        <v>0.271</v>
      </c>
      <c r="F49" s="13">
        <f t="shared" si="3"/>
        <v>0.104</v>
      </c>
    </row>
    <row r="50">
      <c r="A50" s="65" t="s">
        <v>39</v>
      </c>
      <c r="B50" s="41">
        <f>IFERROR(__xludf.DUMMYFUNCTION("VLOOKUP(A50,IMPORTRANGE(""1EmrnCz2gLVTx5Cbj0e5tfuHPhTtmru8KTGuQvh7STl0/edit#gid=2147150001"",""Whole Data Set!$A$2:$NQ$253""),381,FALSE)"),26.5)</f>
        <v>26.5</v>
      </c>
      <c r="C50" s="13">
        <f t="shared" si="1"/>
        <v>0.106</v>
      </c>
      <c r="D50" s="12">
        <f>IFERROR(__xludf.DUMMYFUNCTION("VLOOKUP(A50,IMPORTRANGE(""1aFCnJY1qhIj8-JckJhDJ18aqmVo17tofpQmOjcYa3u8/edit#gid=948248086"",""Whole Data Set!$A$2:$NG$253""),371,FALSE)"),36.75)</f>
        <v>36.75</v>
      </c>
      <c r="E50" s="13">
        <f t="shared" si="2"/>
        <v>0.147</v>
      </c>
      <c r="F50" s="13">
        <f t="shared" si="3"/>
        <v>-0.041</v>
      </c>
    </row>
    <row r="51">
      <c r="A51" s="65" t="s">
        <v>94</v>
      </c>
      <c r="B51" s="41">
        <f>IFERROR(__xludf.DUMMYFUNCTION("VLOOKUP(A51,IMPORTRANGE(""1EmrnCz2gLVTx5Cbj0e5tfuHPhTtmru8KTGuQvh7STl0/edit#gid=2147150001"",""Whole Data Set!$A$2:$NQ$253""),381,FALSE)"),34.25)</f>
        <v>34.25</v>
      </c>
      <c r="C51" s="13">
        <f t="shared" si="1"/>
        <v>0.137</v>
      </c>
      <c r="D51" s="12">
        <f>IFERROR(__xludf.DUMMYFUNCTION("VLOOKUP(A51,IMPORTRANGE(""1aFCnJY1qhIj8-JckJhDJ18aqmVo17tofpQmOjcYa3u8/edit#gid=948248086"",""Whole Data Set!$A$2:$NG$253""),371,FALSE)"),16.5)</f>
        <v>16.5</v>
      </c>
      <c r="E51" s="13">
        <f t="shared" si="2"/>
        <v>0.066</v>
      </c>
      <c r="F51" s="13">
        <f t="shared" si="3"/>
        <v>0.071</v>
      </c>
    </row>
    <row r="52">
      <c r="A52" s="65" t="s">
        <v>222</v>
      </c>
      <c r="B52" s="41">
        <f>IFERROR(__xludf.DUMMYFUNCTION("VLOOKUP(A52,IMPORTRANGE(""1EmrnCz2gLVTx5Cbj0e5tfuHPhTtmru8KTGuQvh7STl0/edit#gid=2147150001"",""Whole Data Set!$A$2:$NQ$253""),381,FALSE)"),107.0)</f>
        <v>107</v>
      </c>
      <c r="C52" s="13">
        <f t="shared" si="1"/>
        <v>0.428</v>
      </c>
      <c r="D52" s="12">
        <f>IFERROR(__xludf.DUMMYFUNCTION("VLOOKUP(A52,IMPORTRANGE(""1aFCnJY1qhIj8-JckJhDJ18aqmVo17tofpQmOjcYa3u8/edit#gid=948248086"",""Whole Data Set!$A$2:$NG$253""),371,FALSE)"),74.5)</f>
        <v>74.5</v>
      </c>
      <c r="E52" s="13">
        <f t="shared" si="2"/>
        <v>0.298</v>
      </c>
      <c r="F52" s="13">
        <f t="shared" si="3"/>
        <v>0.13</v>
      </c>
    </row>
    <row r="53">
      <c r="A53" s="100" t="s">
        <v>171</v>
      </c>
      <c r="B53" s="41">
        <f>IFERROR(__xludf.DUMMYFUNCTION("VLOOKUP(A53,IMPORTRANGE(""1EmrnCz2gLVTx5Cbj0e5tfuHPhTtmru8KTGuQvh7STl0/edit#gid=2147150001"",""Whole Data Set!$A$2:$NQ$253""),381,FALSE)"),42.75)</f>
        <v>42.75</v>
      </c>
      <c r="C53" s="13">
        <f t="shared" si="1"/>
        <v>0.171</v>
      </c>
      <c r="D53" s="12">
        <f>IFERROR(__xludf.DUMMYFUNCTION("VLOOKUP(A53,IMPORTRANGE(""1aFCnJY1qhIj8-JckJhDJ18aqmVo17tofpQmOjcYa3u8/edit#gid=948248086"",""Whole Data Set!$A$2:$NG$253""),371,FALSE)"),66.0)</f>
        <v>66</v>
      </c>
      <c r="E53" s="13">
        <f t="shared" si="2"/>
        <v>0.264</v>
      </c>
      <c r="F53" s="13">
        <f t="shared" si="3"/>
        <v>-0.093</v>
      </c>
    </row>
    <row r="54">
      <c r="A54" s="65" t="s">
        <v>41</v>
      </c>
      <c r="B54" s="41">
        <f>IFERROR(__xludf.DUMMYFUNCTION("VLOOKUP(A54,IMPORTRANGE(""1EmrnCz2gLVTx5Cbj0e5tfuHPhTtmru8KTGuQvh7STl0/edit#gid=2147150001"",""Whole Data Set!$A$2:$NQ$253""),381,FALSE)"),103.75)</f>
        <v>103.75</v>
      </c>
      <c r="C54" s="13">
        <f t="shared" si="1"/>
        <v>0.415</v>
      </c>
      <c r="D54" s="12">
        <f>IFERROR(__xludf.DUMMYFUNCTION("VLOOKUP(A54,IMPORTRANGE(""1aFCnJY1qhIj8-JckJhDJ18aqmVo17tofpQmOjcYa3u8/edit#gid=948248086"",""Whole Data Set!$A$2:$NG$253""),371,FALSE)"),66.25)</f>
        <v>66.25</v>
      </c>
      <c r="E54" s="13">
        <f t="shared" si="2"/>
        <v>0.265</v>
      </c>
      <c r="F54" s="13">
        <f t="shared" si="3"/>
        <v>0.15</v>
      </c>
    </row>
    <row r="55">
      <c r="A55" s="65" t="s">
        <v>42</v>
      </c>
      <c r="B55" s="41">
        <f>IFERROR(__xludf.DUMMYFUNCTION("VLOOKUP(A55,IMPORTRANGE(""1EmrnCz2gLVTx5Cbj0e5tfuHPhTtmru8KTGuQvh7STl0/edit#gid=2147150001"",""Whole Data Set!$A$2:$NQ$253""),381,FALSE)"),91.75)</f>
        <v>91.75</v>
      </c>
      <c r="C55" s="13">
        <f t="shared" si="1"/>
        <v>0.367</v>
      </c>
      <c r="D55" s="12">
        <f>IFERROR(__xludf.DUMMYFUNCTION("VLOOKUP(A55,IMPORTRANGE(""1aFCnJY1qhIj8-JckJhDJ18aqmVo17tofpQmOjcYa3u8/edit#gid=948248086"",""Whole Data Set!$A$2:$NG$253""),371,FALSE)"),92.25)</f>
        <v>92.25</v>
      </c>
      <c r="E55" s="13">
        <f t="shared" si="2"/>
        <v>0.369</v>
      </c>
      <c r="F55" s="13">
        <f t="shared" si="3"/>
        <v>-0.002</v>
      </c>
    </row>
    <row r="56">
      <c r="A56" s="100" t="s">
        <v>43</v>
      </c>
      <c r="B56" s="41">
        <f>IFERROR(__xludf.DUMMYFUNCTION("VLOOKUP(A56,IMPORTRANGE(""1EmrnCz2gLVTx5Cbj0e5tfuHPhTtmru8KTGuQvh7STl0/edit#gid=2147150001"",""Whole Data Set!$A$2:$NQ$253""),381,FALSE)"),124.75)</f>
        <v>124.75</v>
      </c>
      <c r="C56" s="13">
        <f t="shared" si="1"/>
        <v>0.499</v>
      </c>
      <c r="D56" s="12">
        <f>IFERROR(__xludf.DUMMYFUNCTION("VLOOKUP(A56,IMPORTRANGE(""1aFCnJY1qhIj8-JckJhDJ18aqmVo17tofpQmOjcYa3u8/edit#gid=948248086"",""Whole Data Set!$A$2:$NG$253""),371,FALSE)"),133.5)</f>
        <v>133.5</v>
      </c>
      <c r="E56" s="13">
        <f t="shared" si="2"/>
        <v>0.534</v>
      </c>
      <c r="F56" s="13">
        <f t="shared" si="3"/>
        <v>-0.035</v>
      </c>
    </row>
    <row r="57">
      <c r="A57" s="65" t="s">
        <v>118</v>
      </c>
      <c r="B57" s="41">
        <f>IFERROR(__xludf.DUMMYFUNCTION("VLOOKUP(A57,IMPORTRANGE(""1EmrnCz2gLVTx5Cbj0e5tfuHPhTtmru8KTGuQvh7STl0/edit#gid=2147150001"",""Whole Data Set!$A$2:$NQ$253""),381,FALSE)"),51.25)</f>
        <v>51.25</v>
      </c>
      <c r="C57" s="13">
        <f t="shared" si="1"/>
        <v>0.205</v>
      </c>
      <c r="D57" s="12">
        <f>IFERROR(__xludf.DUMMYFUNCTION("VLOOKUP(A57,IMPORTRANGE(""1aFCnJY1qhIj8-JckJhDJ18aqmVo17tofpQmOjcYa3u8/edit#gid=948248086"",""Whole Data Set!$A$2:$NG$253""),371,FALSE)"),41.75)</f>
        <v>41.75</v>
      </c>
      <c r="E57" s="13">
        <f t="shared" si="2"/>
        <v>0.167</v>
      </c>
      <c r="F57" s="13">
        <f t="shared" si="3"/>
        <v>0.038</v>
      </c>
    </row>
    <row r="58">
      <c r="A58" s="65" t="s">
        <v>40</v>
      </c>
      <c r="B58" s="41">
        <f>IFERROR(__xludf.DUMMYFUNCTION("VLOOKUP(A58,IMPORTRANGE(""1EmrnCz2gLVTx5Cbj0e5tfuHPhTtmru8KTGuQvh7STl0/edit#gid=2147150001"",""Whole Data Set!$A$2:$NQ$253""),381,FALSE)"),24.25)</f>
        <v>24.25</v>
      </c>
      <c r="C58" s="13">
        <f t="shared" si="1"/>
        <v>0.097</v>
      </c>
      <c r="D58" s="12">
        <f>IFERROR(__xludf.DUMMYFUNCTION("VLOOKUP(A58,IMPORTRANGE(""1aFCnJY1qhIj8-JckJhDJ18aqmVo17tofpQmOjcYa3u8/edit#gid=948248086"",""Whole Data Set!$A$2:$NG$253""),371,FALSE)"),25.25)</f>
        <v>25.25</v>
      </c>
      <c r="E58" s="13">
        <f t="shared" si="2"/>
        <v>0.101</v>
      </c>
      <c r="F58" s="13">
        <f t="shared" si="3"/>
        <v>-0.004</v>
      </c>
    </row>
    <row r="59">
      <c r="A59" s="100" t="s">
        <v>223</v>
      </c>
      <c r="B59" s="41">
        <f>IFERROR(__xludf.DUMMYFUNCTION("VLOOKUP(A59,IMPORTRANGE(""1EmrnCz2gLVTx5Cbj0e5tfuHPhTtmru8KTGuQvh7STl0/edit#gid=2147150001"",""Whole Data Set!$A$2:$NQ$253""),381,FALSE)"),54.75)</f>
        <v>54.75</v>
      </c>
      <c r="C59" s="13">
        <f t="shared" si="1"/>
        <v>0.219</v>
      </c>
      <c r="D59" s="12">
        <f>IFERROR(__xludf.DUMMYFUNCTION("VLOOKUP(A59,IMPORTRANGE(""1aFCnJY1qhIj8-JckJhDJ18aqmVo17tofpQmOjcYa3u8/edit#gid=948248086"",""Whole Data Set!$A$2:$NG$253""),371,FALSE)"),54.5)</f>
        <v>54.5</v>
      </c>
      <c r="E59" s="13">
        <f t="shared" si="2"/>
        <v>0.218</v>
      </c>
      <c r="F59" s="13">
        <f t="shared" si="3"/>
        <v>0.001</v>
      </c>
    </row>
    <row r="60">
      <c r="A60" s="65" t="s">
        <v>119</v>
      </c>
      <c r="B60" s="41">
        <f>IFERROR(__xludf.DUMMYFUNCTION("VLOOKUP(A60,IMPORTRANGE(""1EmrnCz2gLVTx5Cbj0e5tfuHPhTtmru8KTGuQvh7STl0/edit#gid=2147150001"",""Whole Data Set!$A$2:$NQ$253""),381,FALSE)"),64.5)</f>
        <v>64.5</v>
      </c>
      <c r="C60" s="13">
        <f t="shared" si="1"/>
        <v>0.258</v>
      </c>
      <c r="D60" s="12">
        <f>IFERROR(__xludf.DUMMYFUNCTION("VLOOKUP(A60,IMPORTRANGE(""1aFCnJY1qhIj8-JckJhDJ18aqmVo17tofpQmOjcYa3u8/edit#gid=948248086"",""Whole Data Set!$A$2:$NG$253""),371,FALSE)"),52.75)</f>
        <v>52.75</v>
      </c>
      <c r="E60" s="13">
        <f t="shared" si="2"/>
        <v>0.211</v>
      </c>
      <c r="F60" s="13">
        <f t="shared" si="3"/>
        <v>0.047</v>
      </c>
    </row>
    <row r="61">
      <c r="A61" s="65" t="s">
        <v>264</v>
      </c>
      <c r="B61" s="41">
        <f>IFERROR(__xludf.DUMMYFUNCTION("VLOOKUP(A61,IMPORTRANGE(""1EmrnCz2gLVTx5Cbj0e5tfuHPhTtmru8KTGuQvh7STl0/edit#gid=2147150001"",""Whole Data Set!$A$2:$NQ$253""),381,FALSE)"),5.5)</f>
        <v>5.5</v>
      </c>
      <c r="C61" s="13">
        <f t="shared" si="1"/>
        <v>0.022</v>
      </c>
      <c r="D61" s="12">
        <f>IFERROR(__xludf.DUMMYFUNCTION("VLOOKUP(A61,IMPORTRANGE(""1aFCnJY1qhIj8-JckJhDJ18aqmVo17tofpQmOjcYa3u8/edit#gid=948248086"",""Whole Data Set!$A$2:$NG$253""),371,FALSE)"),6.25)</f>
        <v>6.25</v>
      </c>
      <c r="E61" s="13">
        <f t="shared" si="2"/>
        <v>0.025</v>
      </c>
      <c r="F61" s="13">
        <f t="shared" si="3"/>
        <v>-0.003</v>
      </c>
    </row>
    <row r="62">
      <c r="A62" s="65" t="s">
        <v>120</v>
      </c>
      <c r="B62" s="41">
        <f>IFERROR(__xludf.DUMMYFUNCTION("VLOOKUP(A62,IMPORTRANGE(""1EmrnCz2gLVTx5Cbj0e5tfuHPhTtmru8KTGuQvh7STl0/edit#gid=2147150001"",""Whole Data Set!$A$2:$NQ$253""),381,FALSE)"),61.5)</f>
        <v>61.5</v>
      </c>
      <c r="C62" s="13">
        <f t="shared" si="1"/>
        <v>0.246</v>
      </c>
      <c r="D62" s="12">
        <f>IFERROR(__xludf.DUMMYFUNCTION("VLOOKUP(A62,IMPORTRANGE(""1aFCnJY1qhIj8-JckJhDJ18aqmVo17tofpQmOjcYa3u8/edit#gid=948248086"",""Whole Data Set!$A$2:$NG$253""),371,FALSE)"),42.25)</f>
        <v>42.25</v>
      </c>
      <c r="E62" s="13">
        <f t="shared" si="2"/>
        <v>0.169</v>
      </c>
      <c r="F62" s="13">
        <f t="shared" si="3"/>
        <v>0.077</v>
      </c>
    </row>
    <row r="63">
      <c r="A63" s="100" t="s">
        <v>121</v>
      </c>
      <c r="B63" s="41">
        <f>IFERROR(__xludf.DUMMYFUNCTION("VLOOKUP(A63,IMPORTRANGE(""1EmrnCz2gLVTx5Cbj0e5tfuHPhTtmru8KTGuQvh7STl0/edit#gid=2147150001"",""Whole Data Set!$A$2:$NQ$253""),381,FALSE)"),68.5)</f>
        <v>68.5</v>
      </c>
      <c r="C63" s="13">
        <f t="shared" si="1"/>
        <v>0.274</v>
      </c>
      <c r="D63" s="12">
        <f>IFERROR(__xludf.DUMMYFUNCTION("VLOOKUP(A63,IMPORTRANGE(""1aFCnJY1qhIj8-JckJhDJ18aqmVo17tofpQmOjcYa3u8/edit#gid=948248086"",""Whole Data Set!$A$2:$NG$253""),371,FALSE)"),60.5)</f>
        <v>60.5</v>
      </c>
      <c r="E63" s="13">
        <f t="shared" si="2"/>
        <v>0.242</v>
      </c>
      <c r="F63" s="13">
        <f t="shared" si="3"/>
        <v>0.032</v>
      </c>
    </row>
    <row r="64">
      <c r="A64" s="65" t="s">
        <v>122</v>
      </c>
      <c r="B64" s="41">
        <f>IFERROR(__xludf.DUMMYFUNCTION("VLOOKUP(A64,IMPORTRANGE(""1EmrnCz2gLVTx5Cbj0e5tfuHPhTtmru8KTGuQvh7STl0/edit#gid=2147150001"",""Whole Data Set!$A$2:$NQ$253""),381,FALSE)"),47.25)</f>
        <v>47.25</v>
      </c>
      <c r="C64" s="13">
        <f t="shared" si="1"/>
        <v>0.189</v>
      </c>
      <c r="D64" s="12">
        <f>IFERROR(__xludf.DUMMYFUNCTION("VLOOKUP(A64,IMPORTRANGE(""1aFCnJY1qhIj8-JckJhDJ18aqmVo17tofpQmOjcYa3u8/edit#gid=948248086"",""Whole Data Set!$A$2:$NG$253""),371,FALSE)"),16.5)</f>
        <v>16.5</v>
      </c>
      <c r="E64" s="13">
        <f t="shared" si="2"/>
        <v>0.066</v>
      </c>
      <c r="F64" s="13">
        <f t="shared" si="3"/>
        <v>0.123</v>
      </c>
    </row>
    <row r="65">
      <c r="A65" s="99" t="s">
        <v>45</v>
      </c>
      <c r="B65" s="41">
        <f>IFERROR(__xludf.DUMMYFUNCTION("VLOOKUP(A65,IMPORTRANGE(""1EmrnCz2gLVTx5Cbj0e5tfuHPhTtmru8KTGuQvh7STl0/edit#gid=2147150001"",""Whole Data Set!$A$2:$NQ$253""),381,FALSE)"),8.25)</f>
        <v>8.25</v>
      </c>
      <c r="C65" s="13">
        <f t="shared" si="1"/>
        <v>0.033</v>
      </c>
      <c r="D65" s="12">
        <f>IFERROR(__xludf.DUMMYFUNCTION("VLOOKUP(A65,IMPORTRANGE(""1aFCnJY1qhIj8-JckJhDJ18aqmVo17tofpQmOjcYa3u8/edit#gid=948248086"",""Whole Data Set!$A$2:$NG$253""),371,FALSE)"),11.0)</f>
        <v>11</v>
      </c>
      <c r="E65" s="13">
        <f t="shared" si="2"/>
        <v>0.044</v>
      </c>
      <c r="F65" s="13">
        <f t="shared" si="3"/>
        <v>-0.011</v>
      </c>
    </row>
    <row r="66">
      <c r="A66" s="65" t="s">
        <v>46</v>
      </c>
      <c r="B66" s="41">
        <f>IFERROR(__xludf.DUMMYFUNCTION("VLOOKUP(A66,IMPORTRANGE(""1EmrnCz2gLVTx5Cbj0e5tfuHPhTtmru8KTGuQvh7STl0/edit#gid=2147150001"",""Whole Data Set!$A$2:$NQ$253""),381,FALSE)"),73.0)</f>
        <v>73</v>
      </c>
      <c r="C66" s="13">
        <f t="shared" si="1"/>
        <v>0.292</v>
      </c>
      <c r="D66" s="12">
        <f>IFERROR(__xludf.DUMMYFUNCTION("VLOOKUP(A66,IMPORTRANGE(""1aFCnJY1qhIj8-JckJhDJ18aqmVo17tofpQmOjcYa3u8/edit#gid=948248086"",""Whole Data Set!$A$2:$NG$253""),371,FALSE)"),71.25)</f>
        <v>71.25</v>
      </c>
      <c r="E66" s="13">
        <f t="shared" si="2"/>
        <v>0.285</v>
      </c>
      <c r="F66" s="13">
        <f t="shared" si="3"/>
        <v>0.007</v>
      </c>
    </row>
    <row r="67">
      <c r="A67" s="65" t="s">
        <v>224</v>
      </c>
      <c r="B67" s="41">
        <f>IFERROR(__xludf.DUMMYFUNCTION("VLOOKUP(A67,IMPORTRANGE(""1EmrnCz2gLVTx5Cbj0e5tfuHPhTtmru8KTGuQvh7STl0/edit#gid=2147150001"",""Whole Data Set!$A$2:$NQ$253""),381,FALSE)"),55.0)</f>
        <v>55</v>
      </c>
      <c r="C67" s="13">
        <f t="shared" si="1"/>
        <v>0.22</v>
      </c>
      <c r="D67" s="12">
        <f>IFERROR(__xludf.DUMMYFUNCTION("VLOOKUP(A67,IMPORTRANGE(""1aFCnJY1qhIj8-JckJhDJ18aqmVo17tofpQmOjcYa3u8/edit#gid=948248086"",""Whole Data Set!$A$2:$NG$253""),371,FALSE)"),42.25)</f>
        <v>42.25</v>
      </c>
      <c r="E67" s="13">
        <f t="shared" si="2"/>
        <v>0.169</v>
      </c>
      <c r="F67" s="13">
        <f t="shared" si="3"/>
        <v>0.051</v>
      </c>
    </row>
    <row r="68">
      <c r="A68" s="65" t="s">
        <v>225</v>
      </c>
      <c r="B68" s="41">
        <f>IFERROR(__xludf.DUMMYFUNCTION("VLOOKUP(A68,IMPORTRANGE(""1EmrnCz2gLVTx5Cbj0e5tfuHPhTtmru8KTGuQvh7STl0/edit#gid=2147150001"",""Whole Data Set!$A$2:$NQ$253""),381,FALSE)"),1.5)</f>
        <v>1.5</v>
      </c>
      <c r="C68" s="13">
        <f t="shared" si="1"/>
        <v>0.006</v>
      </c>
      <c r="D68" s="12">
        <f>IFERROR(__xludf.DUMMYFUNCTION("VLOOKUP(A68,IMPORTRANGE(""1aFCnJY1qhIj8-JckJhDJ18aqmVo17tofpQmOjcYa3u8/edit#gid=948248086"",""Whole Data Set!$A$2:$NG$253""),371,FALSE)"),2.5)</f>
        <v>2.5</v>
      </c>
      <c r="E68" s="13">
        <f t="shared" si="2"/>
        <v>0.01</v>
      </c>
      <c r="F68" s="13">
        <f t="shared" si="3"/>
        <v>-0.004</v>
      </c>
    </row>
    <row r="69">
      <c r="A69" s="65" t="s">
        <v>123</v>
      </c>
      <c r="B69" s="41">
        <f>IFERROR(__xludf.DUMMYFUNCTION("VLOOKUP(A69,IMPORTRANGE(""1EmrnCz2gLVTx5Cbj0e5tfuHPhTtmru8KTGuQvh7STl0/edit#gid=2147150001"",""Whole Data Set!$A$2:$NQ$253""),381,FALSE)"),4.25)</f>
        <v>4.25</v>
      </c>
      <c r="C69" s="13">
        <f t="shared" si="1"/>
        <v>0.017</v>
      </c>
      <c r="D69" s="12">
        <f>IFERROR(__xludf.DUMMYFUNCTION("VLOOKUP(A69,IMPORTRANGE(""1aFCnJY1qhIj8-JckJhDJ18aqmVo17tofpQmOjcYa3u8/edit#gid=948248086"",""Whole Data Set!$A$2:$NG$253""),371,FALSE)"),4.25)</f>
        <v>4.25</v>
      </c>
      <c r="E69" s="13">
        <f t="shared" si="2"/>
        <v>0.017</v>
      </c>
      <c r="F69" s="13">
        <f t="shared" si="3"/>
        <v>0</v>
      </c>
    </row>
    <row r="70">
      <c r="A70" s="65" t="s">
        <v>226</v>
      </c>
      <c r="B70" s="41">
        <f>IFERROR(__xludf.DUMMYFUNCTION("VLOOKUP(A70,IMPORTRANGE(""1EmrnCz2gLVTx5Cbj0e5tfuHPhTtmru8KTGuQvh7STl0/edit#gid=2147150001"",""Whole Data Set!$A$2:$NQ$253""),381,FALSE)"),88.0)</f>
        <v>88</v>
      </c>
      <c r="C70" s="13">
        <f t="shared" si="1"/>
        <v>0.352</v>
      </c>
      <c r="D70" s="12">
        <f>IFERROR(__xludf.DUMMYFUNCTION("VLOOKUP(A70,IMPORTRANGE(""1aFCnJY1qhIj8-JckJhDJ18aqmVo17tofpQmOjcYa3u8/edit#gid=948248086"",""Whole Data Set!$A$2:$NG$253""),371,FALSE)"),75.75)</f>
        <v>75.75</v>
      </c>
      <c r="E70" s="13">
        <f t="shared" si="2"/>
        <v>0.303</v>
      </c>
      <c r="F70" s="13">
        <f t="shared" si="3"/>
        <v>0.049</v>
      </c>
    </row>
    <row r="71">
      <c r="A71" s="65" t="s">
        <v>124</v>
      </c>
      <c r="B71" s="41">
        <f>IFERROR(__xludf.DUMMYFUNCTION("VLOOKUP(A71,IMPORTRANGE(""1EmrnCz2gLVTx5Cbj0e5tfuHPhTtmru8KTGuQvh7STl0/edit#gid=2147150001"",""Whole Data Set!$A$2:$NQ$253""),381,FALSE)"),161.25)</f>
        <v>161.25</v>
      </c>
      <c r="C71" s="13">
        <f t="shared" si="1"/>
        <v>0.645</v>
      </c>
      <c r="D71" s="12">
        <f>IFERROR(__xludf.DUMMYFUNCTION("VLOOKUP(A71,IMPORTRANGE(""1aFCnJY1qhIj8-JckJhDJ18aqmVo17tofpQmOjcYa3u8/edit#gid=948248086"",""Whole Data Set!$A$2:$NG$253""),371,FALSE)"),143.0)</f>
        <v>143</v>
      </c>
      <c r="E71" s="13">
        <f t="shared" si="2"/>
        <v>0.572</v>
      </c>
      <c r="F71" s="13">
        <f t="shared" si="3"/>
        <v>0.073</v>
      </c>
    </row>
    <row r="72">
      <c r="A72" s="65" t="s">
        <v>172</v>
      </c>
      <c r="B72" s="41">
        <f>IFERROR(__xludf.DUMMYFUNCTION("VLOOKUP(A72,IMPORTRANGE(""1EmrnCz2gLVTx5Cbj0e5tfuHPhTtmru8KTGuQvh7STl0/edit#gid=2147150001"",""Whole Data Set!$A$2:$NQ$253""),381,FALSE)"),17.25)</f>
        <v>17.25</v>
      </c>
      <c r="C72" s="13">
        <f t="shared" si="1"/>
        <v>0.069</v>
      </c>
      <c r="D72" s="12">
        <f>IFERROR(__xludf.DUMMYFUNCTION("VLOOKUP(A72,IMPORTRANGE(""1aFCnJY1qhIj8-JckJhDJ18aqmVo17tofpQmOjcYa3u8/edit#gid=948248086"",""Whole Data Set!$A$2:$NG$253""),371,FALSE)"),17.25)</f>
        <v>17.25</v>
      </c>
      <c r="E72" s="13">
        <f t="shared" si="2"/>
        <v>0.069</v>
      </c>
      <c r="F72" s="13">
        <f t="shared" si="3"/>
        <v>0</v>
      </c>
    </row>
    <row r="73">
      <c r="A73" s="65" t="s">
        <v>173</v>
      </c>
      <c r="B73" s="41">
        <f>IFERROR(__xludf.DUMMYFUNCTION("VLOOKUP(A73,IMPORTRANGE(""1EmrnCz2gLVTx5Cbj0e5tfuHPhTtmru8KTGuQvh7STl0/edit#gid=2147150001"",""Whole Data Set!$A$2:$NQ$253""),381,FALSE)"),11.5)</f>
        <v>11.5</v>
      </c>
      <c r="C73" s="13">
        <f t="shared" si="1"/>
        <v>0.046</v>
      </c>
      <c r="D73" s="12">
        <f>IFERROR(__xludf.DUMMYFUNCTION("VLOOKUP(A73,IMPORTRANGE(""1aFCnJY1qhIj8-JckJhDJ18aqmVo17tofpQmOjcYa3u8/edit#gid=948248086"",""Whole Data Set!$A$2:$NG$253""),371,FALSE)"),13.5)</f>
        <v>13.5</v>
      </c>
      <c r="E73" s="13">
        <f t="shared" si="2"/>
        <v>0.054</v>
      </c>
      <c r="F73" s="13">
        <f t="shared" si="3"/>
        <v>-0.008</v>
      </c>
    </row>
    <row r="74">
      <c r="A74" s="65" t="s">
        <v>125</v>
      </c>
      <c r="B74" s="41">
        <f>IFERROR(__xludf.DUMMYFUNCTION("VLOOKUP(A74,IMPORTRANGE(""1EmrnCz2gLVTx5Cbj0e5tfuHPhTtmru8KTGuQvh7STl0/edit#gid=2147150001"",""Whole Data Set!$A$2:$NQ$253""),381,FALSE)"),59.5)</f>
        <v>59.5</v>
      </c>
      <c r="C74" s="13">
        <f t="shared" si="1"/>
        <v>0.238</v>
      </c>
      <c r="D74" s="12">
        <f>IFERROR(__xludf.DUMMYFUNCTION("VLOOKUP(A74,IMPORTRANGE(""1aFCnJY1qhIj8-JckJhDJ18aqmVo17tofpQmOjcYa3u8/edit#gid=948248086"",""Whole Data Set!$A$2:$NG$253""),371,FALSE)"),64.5)</f>
        <v>64.5</v>
      </c>
      <c r="E74" s="13">
        <f t="shared" si="2"/>
        <v>0.258</v>
      </c>
      <c r="F74" s="13">
        <f t="shared" si="3"/>
        <v>-0.02</v>
      </c>
    </row>
    <row r="75">
      <c r="A75" s="65" t="s">
        <v>47</v>
      </c>
      <c r="B75" s="41">
        <f>IFERROR(__xludf.DUMMYFUNCTION("VLOOKUP(A75,IMPORTRANGE(""1EmrnCz2gLVTx5Cbj0e5tfuHPhTtmru8KTGuQvh7STl0/edit#gid=2147150001"",""Whole Data Set!$A$2:$NQ$253""),381,FALSE)"),81.5)</f>
        <v>81.5</v>
      </c>
      <c r="C75" s="13">
        <f t="shared" si="1"/>
        <v>0.326</v>
      </c>
      <c r="D75" s="12">
        <f>IFERROR(__xludf.DUMMYFUNCTION("VLOOKUP(A75,IMPORTRANGE(""1aFCnJY1qhIj8-JckJhDJ18aqmVo17tofpQmOjcYa3u8/edit#gid=948248086"",""Whole Data Set!$A$2:$NG$253""),371,FALSE)"),92.25)</f>
        <v>92.25</v>
      </c>
      <c r="E75" s="13">
        <f t="shared" si="2"/>
        <v>0.369</v>
      </c>
      <c r="F75" s="13">
        <f t="shared" si="3"/>
        <v>-0.043</v>
      </c>
    </row>
    <row r="76">
      <c r="A76" s="65" t="s">
        <v>48</v>
      </c>
      <c r="B76" s="41">
        <f>IFERROR(__xludf.DUMMYFUNCTION("VLOOKUP(A76,IMPORTRANGE(""1EmrnCz2gLVTx5Cbj0e5tfuHPhTtmru8KTGuQvh7STl0/edit#gid=2147150001"",""Whole Data Set!$A$2:$NQ$253""),381,FALSE)"),112.0)</f>
        <v>112</v>
      </c>
      <c r="C76" s="13">
        <f t="shared" si="1"/>
        <v>0.448</v>
      </c>
      <c r="D76" s="12">
        <f>IFERROR(__xludf.DUMMYFUNCTION("VLOOKUP(A76,IMPORTRANGE(""1aFCnJY1qhIj8-JckJhDJ18aqmVo17tofpQmOjcYa3u8/edit#gid=948248086"",""Whole Data Set!$A$2:$NG$253""),371,FALSE)"),140.5)</f>
        <v>140.5</v>
      </c>
      <c r="E76" s="13">
        <f t="shared" si="2"/>
        <v>0.562</v>
      </c>
      <c r="F76" s="13">
        <f t="shared" si="3"/>
        <v>-0.114</v>
      </c>
    </row>
    <row r="77">
      <c r="A77" s="65" t="s">
        <v>71</v>
      </c>
      <c r="B77" s="41">
        <f>IFERROR(__xludf.DUMMYFUNCTION("VLOOKUP(A77,IMPORTRANGE(""1EmrnCz2gLVTx5Cbj0e5tfuHPhTtmru8KTGuQvh7STl0/edit#gid=2147150001"",""Whole Data Set!$A$2:$NQ$253""),381,FALSE)"),15.25)</f>
        <v>15.25</v>
      </c>
      <c r="C77" s="13">
        <f t="shared" si="1"/>
        <v>0.061</v>
      </c>
      <c r="D77" s="12">
        <f>IFERROR(__xludf.DUMMYFUNCTION("VLOOKUP(A77,IMPORTRANGE(""1aFCnJY1qhIj8-JckJhDJ18aqmVo17tofpQmOjcYa3u8/edit#gid=948248086"",""Whole Data Set!$A$2:$NG$253""),371,FALSE)"),12.0)</f>
        <v>12</v>
      </c>
      <c r="E77" s="13">
        <f t="shared" si="2"/>
        <v>0.048</v>
      </c>
      <c r="F77" s="13">
        <f t="shared" si="3"/>
        <v>0.013</v>
      </c>
    </row>
    <row r="78">
      <c r="A78" s="65" t="s">
        <v>126</v>
      </c>
      <c r="B78" s="41">
        <f>IFERROR(__xludf.DUMMYFUNCTION("VLOOKUP(A78,IMPORTRANGE(""1EmrnCz2gLVTx5Cbj0e5tfuHPhTtmru8KTGuQvh7STl0/edit#gid=2147150001"",""Whole Data Set!$A$2:$NQ$253""),381,FALSE)"),26.5)</f>
        <v>26.5</v>
      </c>
      <c r="C78" s="13">
        <f t="shared" si="1"/>
        <v>0.106</v>
      </c>
      <c r="D78" s="12">
        <f>IFERROR(__xludf.DUMMYFUNCTION("VLOOKUP(A78,IMPORTRANGE(""1aFCnJY1qhIj8-JckJhDJ18aqmVo17tofpQmOjcYa3u8/edit#gid=948248086"",""Whole Data Set!$A$2:$NG$253""),371,FALSE)"),32.25)</f>
        <v>32.25</v>
      </c>
      <c r="E78" s="13">
        <f t="shared" si="2"/>
        <v>0.129</v>
      </c>
      <c r="F78" s="13">
        <f t="shared" si="3"/>
        <v>-0.023</v>
      </c>
    </row>
    <row r="79">
      <c r="A79" s="65" t="s">
        <v>174</v>
      </c>
      <c r="B79" s="41">
        <f>IFERROR(__xludf.DUMMYFUNCTION("VLOOKUP(A79,IMPORTRANGE(""1EmrnCz2gLVTx5Cbj0e5tfuHPhTtmru8KTGuQvh7STl0/edit#gid=2147150001"",""Whole Data Set!$A$2:$NQ$253""),381,FALSE)"),22.75)</f>
        <v>22.75</v>
      </c>
      <c r="C79" s="13">
        <f t="shared" si="1"/>
        <v>0.091</v>
      </c>
      <c r="D79" s="12">
        <f>IFERROR(__xludf.DUMMYFUNCTION("VLOOKUP(A79,IMPORTRANGE(""1aFCnJY1qhIj8-JckJhDJ18aqmVo17tofpQmOjcYa3u8/edit#gid=948248086"",""Whole Data Set!$A$2:$NG$253""),371,FALSE)"),20.75)</f>
        <v>20.75</v>
      </c>
      <c r="E79" s="13">
        <f t="shared" si="2"/>
        <v>0.083</v>
      </c>
      <c r="F79" s="13">
        <f t="shared" si="3"/>
        <v>0.008</v>
      </c>
    </row>
    <row r="80">
      <c r="A80" s="65" t="s">
        <v>175</v>
      </c>
      <c r="B80" s="41">
        <f>IFERROR(__xludf.DUMMYFUNCTION("VLOOKUP(A80,IMPORTRANGE(""1EmrnCz2gLVTx5Cbj0e5tfuHPhTtmru8KTGuQvh7STl0/edit#gid=2147150001"",""Whole Data Set!$A$2:$NQ$253""),381,FALSE)"),44.25)</f>
        <v>44.25</v>
      </c>
      <c r="C80" s="13">
        <f t="shared" si="1"/>
        <v>0.177</v>
      </c>
      <c r="D80" s="12">
        <f>IFERROR(__xludf.DUMMYFUNCTION("VLOOKUP(A80,IMPORTRANGE(""1aFCnJY1qhIj8-JckJhDJ18aqmVo17tofpQmOjcYa3u8/edit#gid=948248086"",""Whole Data Set!$A$2:$NG$253""),371,FALSE)"),35.25)</f>
        <v>35.25</v>
      </c>
      <c r="E80" s="13">
        <f t="shared" si="2"/>
        <v>0.141</v>
      </c>
      <c r="F80" s="13">
        <f t="shared" si="3"/>
        <v>0.036</v>
      </c>
    </row>
    <row r="81">
      <c r="A81" s="65" t="s">
        <v>227</v>
      </c>
      <c r="B81" s="41">
        <f>IFERROR(__xludf.DUMMYFUNCTION("VLOOKUP(A81,IMPORTRANGE(""1EmrnCz2gLVTx5Cbj0e5tfuHPhTtmru8KTGuQvh7STl0/edit#gid=2147150001"",""Whole Data Set!$A$2:$NQ$253""),381,FALSE)"),0.75)</f>
        <v>0.75</v>
      </c>
      <c r="C81" s="13">
        <f t="shared" si="1"/>
        <v>0.003</v>
      </c>
      <c r="D81" s="12">
        <f>IFERROR(__xludf.DUMMYFUNCTION("VLOOKUP(A81,IMPORTRANGE(""1aFCnJY1qhIj8-JckJhDJ18aqmVo17tofpQmOjcYa3u8/edit#gid=948248086"",""Whole Data Set!$A$2:$NG$253""),371,FALSE)"),0.75)</f>
        <v>0.75</v>
      </c>
      <c r="E81" s="13">
        <f t="shared" si="2"/>
        <v>0.003</v>
      </c>
      <c r="F81" s="13">
        <f t="shared" si="3"/>
        <v>0</v>
      </c>
    </row>
    <row r="82">
      <c r="A82" s="65" t="s">
        <v>127</v>
      </c>
      <c r="B82" s="41">
        <f>IFERROR(__xludf.DUMMYFUNCTION("VLOOKUP(A82,IMPORTRANGE(""1EmrnCz2gLVTx5Cbj0e5tfuHPhTtmru8KTGuQvh7STl0/edit#gid=2147150001"",""Whole Data Set!$A$2:$NQ$253""),381,FALSE)"),145.5)</f>
        <v>145.5</v>
      </c>
      <c r="C82" s="13">
        <f t="shared" si="1"/>
        <v>0.582</v>
      </c>
      <c r="D82" s="12">
        <f>IFERROR(__xludf.DUMMYFUNCTION("VLOOKUP(A82,IMPORTRANGE(""1aFCnJY1qhIj8-JckJhDJ18aqmVo17tofpQmOjcYa3u8/edit#gid=948248086"",""Whole Data Set!$A$2:$NG$253""),371,FALSE)"),133.25)</f>
        <v>133.25</v>
      </c>
      <c r="E82" s="13">
        <f t="shared" si="2"/>
        <v>0.533</v>
      </c>
      <c r="F82" s="13">
        <f t="shared" si="3"/>
        <v>0.049</v>
      </c>
    </row>
    <row r="83">
      <c r="A83" s="65" t="s">
        <v>228</v>
      </c>
      <c r="B83" s="41">
        <f>IFERROR(__xludf.DUMMYFUNCTION("VLOOKUP(A83,IMPORTRANGE(""1EmrnCz2gLVTx5Cbj0e5tfuHPhTtmru8KTGuQvh7STl0/edit#gid=2147150001"",""Whole Data Set!$A$2:$NQ$253""),381,FALSE)"),37.25)</f>
        <v>37.25</v>
      </c>
      <c r="C83" s="13">
        <f t="shared" si="1"/>
        <v>0.149</v>
      </c>
      <c r="D83" s="12">
        <f>IFERROR(__xludf.DUMMYFUNCTION("VLOOKUP(A83,IMPORTRANGE(""1aFCnJY1qhIj8-JckJhDJ18aqmVo17tofpQmOjcYa3u8/edit#gid=948248086"",""Whole Data Set!$A$2:$NG$253""),371,FALSE)"),29.5)</f>
        <v>29.5</v>
      </c>
      <c r="E83" s="13">
        <f t="shared" si="2"/>
        <v>0.118</v>
      </c>
      <c r="F83" s="13">
        <f t="shared" si="3"/>
        <v>0.031</v>
      </c>
    </row>
    <row r="84">
      <c r="A84" s="100" t="s">
        <v>229</v>
      </c>
      <c r="B84" s="41">
        <f>IFERROR(__xludf.DUMMYFUNCTION("VLOOKUP(A84,IMPORTRANGE(""1EmrnCz2gLVTx5Cbj0e5tfuHPhTtmru8KTGuQvh7STl0/edit#gid=2147150001"",""Whole Data Set!$A$2:$NQ$253""),381,FALSE)"),100.0)</f>
        <v>100</v>
      </c>
      <c r="C84" s="13">
        <f t="shared" si="1"/>
        <v>0.4</v>
      </c>
      <c r="D84" s="12">
        <f>IFERROR(__xludf.DUMMYFUNCTION("VLOOKUP(A84,IMPORTRANGE(""1aFCnJY1qhIj8-JckJhDJ18aqmVo17tofpQmOjcYa3u8/edit#gid=948248086"",""Whole Data Set!$A$2:$NG$253""),371,FALSE)"),74.5)</f>
        <v>74.5</v>
      </c>
      <c r="E84" s="13">
        <f t="shared" si="2"/>
        <v>0.298</v>
      </c>
      <c r="F84" s="13">
        <f t="shared" si="3"/>
        <v>0.102</v>
      </c>
    </row>
    <row r="85">
      <c r="A85" s="65" t="s">
        <v>128</v>
      </c>
      <c r="B85" s="41">
        <f>IFERROR(__xludf.DUMMYFUNCTION("VLOOKUP(A85,IMPORTRANGE(""1EmrnCz2gLVTx5Cbj0e5tfuHPhTtmru8KTGuQvh7STl0/edit#gid=2147150001"",""Whole Data Set!$A$2:$NQ$253""),381,FALSE)"),23.0)</f>
        <v>23</v>
      </c>
      <c r="C85" s="13">
        <f t="shared" si="1"/>
        <v>0.092</v>
      </c>
      <c r="D85" s="12">
        <f>IFERROR(__xludf.DUMMYFUNCTION("VLOOKUP(A85,IMPORTRANGE(""1aFCnJY1qhIj8-JckJhDJ18aqmVo17tofpQmOjcYa3u8/edit#gid=948248086"",""Whole Data Set!$A$2:$NG$253""),371,FALSE)"),19.0)</f>
        <v>19</v>
      </c>
      <c r="E85" s="13">
        <f t="shared" si="2"/>
        <v>0.076</v>
      </c>
      <c r="F85" s="13">
        <f t="shared" si="3"/>
        <v>0.016</v>
      </c>
    </row>
    <row r="86">
      <c r="A86" s="65" t="s">
        <v>230</v>
      </c>
      <c r="B86" s="41">
        <f>IFERROR(__xludf.DUMMYFUNCTION("VLOOKUP(A86,IMPORTRANGE(""1EmrnCz2gLVTx5Cbj0e5tfuHPhTtmru8KTGuQvh7STl0/edit#gid=2147150001"",""Whole Data Set!$A$2:$NQ$253""),381,FALSE)"),44.75)</f>
        <v>44.75</v>
      </c>
      <c r="C86" s="13">
        <f t="shared" si="1"/>
        <v>0.179</v>
      </c>
      <c r="D86" s="12">
        <f>IFERROR(__xludf.DUMMYFUNCTION("VLOOKUP(A86,IMPORTRANGE(""1aFCnJY1qhIj8-JckJhDJ18aqmVo17tofpQmOjcYa3u8/edit#gid=948248086"",""Whole Data Set!$A$2:$NG$253""),371,FALSE)"),45.5)</f>
        <v>45.5</v>
      </c>
      <c r="E86" s="13">
        <f t="shared" si="2"/>
        <v>0.182</v>
      </c>
      <c r="F86" s="13">
        <f t="shared" si="3"/>
        <v>-0.003</v>
      </c>
    </row>
    <row r="87">
      <c r="A87" s="65" t="s">
        <v>176</v>
      </c>
      <c r="B87" s="41">
        <f>IFERROR(__xludf.DUMMYFUNCTION("VLOOKUP(A87,IMPORTRANGE(""1EmrnCz2gLVTx5Cbj0e5tfuHPhTtmru8KTGuQvh7STl0/edit#gid=2147150001"",""Whole Data Set!$A$2:$NQ$253""),381,FALSE)"),39.75)</f>
        <v>39.75</v>
      </c>
      <c r="C87" s="13">
        <f t="shared" si="1"/>
        <v>0.159</v>
      </c>
      <c r="D87" s="12">
        <f>IFERROR(__xludf.DUMMYFUNCTION("VLOOKUP(A87,IMPORTRANGE(""1aFCnJY1qhIj8-JckJhDJ18aqmVo17tofpQmOjcYa3u8/edit#gid=948248086"",""Whole Data Set!$A$2:$NG$253""),371,FALSE)"),33.75)</f>
        <v>33.75</v>
      </c>
      <c r="E87" s="13">
        <f t="shared" si="2"/>
        <v>0.135</v>
      </c>
      <c r="F87" s="13">
        <f t="shared" si="3"/>
        <v>0.024</v>
      </c>
    </row>
    <row r="88">
      <c r="A88" s="65" t="s">
        <v>274</v>
      </c>
      <c r="B88" s="41">
        <f>IFERROR(__xludf.DUMMYFUNCTION("VLOOKUP(A88,IMPORTRANGE(""1EmrnCz2gLVTx5Cbj0e5tfuHPhTtmru8KTGuQvh7STl0/edit#gid=2147150001"",""Whole Data Set!$A$2:$NQ$253""),381,FALSE)"),32.5)</f>
        <v>32.5</v>
      </c>
      <c r="C88" s="13">
        <f t="shared" si="1"/>
        <v>0.13</v>
      </c>
      <c r="D88" s="12">
        <f>IFERROR(__xludf.DUMMYFUNCTION("VLOOKUP(A88,IMPORTRANGE(""1aFCnJY1qhIj8-JckJhDJ18aqmVo17tofpQmOjcYa3u8/edit#gid=948248086"",""Whole Data Set!$A$2:$NG$253""),371,FALSE)"),34.75)</f>
        <v>34.75</v>
      </c>
      <c r="E88" s="13">
        <f t="shared" si="2"/>
        <v>0.139</v>
      </c>
      <c r="F88" s="13">
        <f t="shared" si="3"/>
        <v>-0.009</v>
      </c>
    </row>
    <row r="89">
      <c r="A89" s="65" t="s">
        <v>265</v>
      </c>
      <c r="B89" s="41">
        <f>IFERROR(__xludf.DUMMYFUNCTION("VLOOKUP(A89,IMPORTRANGE(""1EmrnCz2gLVTx5Cbj0e5tfuHPhTtmru8KTGuQvh7STl0/edit#gid=2147150001"",""Whole Data Set!$A$2:$NQ$253""),381,FALSE)"),83.75)</f>
        <v>83.75</v>
      </c>
      <c r="C89" s="13">
        <f t="shared" si="1"/>
        <v>0.335</v>
      </c>
      <c r="D89" s="12">
        <f>IFERROR(__xludf.DUMMYFUNCTION("VLOOKUP(A89,IMPORTRANGE(""1aFCnJY1qhIj8-JckJhDJ18aqmVo17tofpQmOjcYa3u8/edit#gid=948248086"",""Whole Data Set!$A$2:$NG$253""),371,FALSE)"),94.5)</f>
        <v>94.5</v>
      </c>
      <c r="E89" s="13">
        <f t="shared" si="2"/>
        <v>0.378</v>
      </c>
      <c r="F89" s="13">
        <f t="shared" si="3"/>
        <v>-0.043</v>
      </c>
    </row>
    <row r="90">
      <c r="A90" s="65" t="s">
        <v>177</v>
      </c>
      <c r="B90" s="41">
        <f>IFERROR(__xludf.DUMMYFUNCTION("VLOOKUP(A90,IMPORTRANGE(""1EmrnCz2gLVTx5Cbj0e5tfuHPhTtmru8KTGuQvh7STl0/edit#gid=2147150001"",""Whole Data Set!$A$2:$NQ$253""),381,FALSE)"),11.75)</f>
        <v>11.75</v>
      </c>
      <c r="C90" s="13">
        <f t="shared" si="1"/>
        <v>0.047</v>
      </c>
      <c r="D90" s="12">
        <f>IFERROR(__xludf.DUMMYFUNCTION("VLOOKUP(A90,IMPORTRANGE(""1aFCnJY1qhIj8-JckJhDJ18aqmVo17tofpQmOjcYa3u8/edit#gid=948248086"",""Whole Data Set!$A$2:$NG$253""),371,FALSE)"),14.5)</f>
        <v>14.5</v>
      </c>
      <c r="E90" s="13">
        <f t="shared" si="2"/>
        <v>0.058</v>
      </c>
      <c r="F90" s="13">
        <f t="shared" si="3"/>
        <v>-0.011</v>
      </c>
    </row>
    <row r="91">
      <c r="A91" s="65" t="s">
        <v>129</v>
      </c>
      <c r="B91" s="41">
        <f>IFERROR(__xludf.DUMMYFUNCTION("VLOOKUP(A91,IMPORTRANGE(""1EmrnCz2gLVTx5Cbj0e5tfuHPhTtmru8KTGuQvh7STl0/edit#gid=2147150001"",""Whole Data Set!$A$2:$NQ$253""),381,FALSE)"),122.5)</f>
        <v>122.5</v>
      </c>
      <c r="C91" s="13">
        <f t="shared" si="1"/>
        <v>0.49</v>
      </c>
      <c r="D91" s="12">
        <f>IFERROR(__xludf.DUMMYFUNCTION("VLOOKUP(A91,IMPORTRANGE(""1aFCnJY1qhIj8-JckJhDJ18aqmVo17tofpQmOjcYa3u8/edit#gid=948248086"",""Whole Data Set!$A$2:$NG$253""),371,FALSE)"),109.0)</f>
        <v>109</v>
      </c>
      <c r="E91" s="13">
        <f t="shared" si="2"/>
        <v>0.436</v>
      </c>
      <c r="F91" s="13">
        <f t="shared" si="3"/>
        <v>0.054</v>
      </c>
    </row>
    <row r="92">
      <c r="A92" s="65" t="s">
        <v>64</v>
      </c>
      <c r="B92" s="41">
        <f>IFERROR(__xludf.DUMMYFUNCTION("VLOOKUP(A92,IMPORTRANGE(""1EmrnCz2gLVTx5Cbj0e5tfuHPhTtmru8KTGuQvh7STl0/edit#gid=2147150001"",""Whole Data Set!$A$2:$NQ$253""),381,FALSE)"),120.25)</f>
        <v>120.25</v>
      </c>
      <c r="C92" s="13">
        <f t="shared" si="1"/>
        <v>0.481</v>
      </c>
      <c r="D92" s="12">
        <f>IFERROR(__xludf.DUMMYFUNCTION("VLOOKUP(A92,IMPORTRANGE(""1aFCnJY1qhIj8-JckJhDJ18aqmVo17tofpQmOjcYa3u8/edit#gid=948248086"",""Whole Data Set!$A$2:$NG$253""),371,FALSE)"),109.5)</f>
        <v>109.5</v>
      </c>
      <c r="E92" s="13">
        <f t="shared" si="2"/>
        <v>0.438</v>
      </c>
      <c r="F92" s="13">
        <f t="shared" si="3"/>
        <v>0.043</v>
      </c>
    </row>
    <row r="93">
      <c r="A93" s="65" t="s">
        <v>232</v>
      </c>
      <c r="B93" s="41">
        <f>IFERROR(__xludf.DUMMYFUNCTION("VLOOKUP(A93,IMPORTRANGE(""1EmrnCz2gLVTx5Cbj0e5tfuHPhTtmru8KTGuQvh7STl0/edit#gid=2147150001"",""Whole Data Set!$A$2:$NQ$253""),381,FALSE)"),20.25)</f>
        <v>20.25</v>
      </c>
      <c r="C93" s="13">
        <f t="shared" si="1"/>
        <v>0.081</v>
      </c>
      <c r="D93" s="12">
        <f>IFERROR(__xludf.DUMMYFUNCTION("VLOOKUP(A93,IMPORTRANGE(""1aFCnJY1qhIj8-JckJhDJ18aqmVo17tofpQmOjcYa3u8/edit#gid=948248086"",""Whole Data Set!$A$2:$NG$253""),371,FALSE)"),12.75)</f>
        <v>12.75</v>
      </c>
      <c r="E93" s="13">
        <f t="shared" si="2"/>
        <v>0.051</v>
      </c>
      <c r="F93" s="13">
        <f t="shared" si="3"/>
        <v>0.03</v>
      </c>
    </row>
    <row r="94">
      <c r="A94" s="65" t="s">
        <v>51</v>
      </c>
      <c r="B94" s="41">
        <f>IFERROR(__xludf.DUMMYFUNCTION("VLOOKUP(A94,IMPORTRANGE(""1EmrnCz2gLVTx5Cbj0e5tfuHPhTtmru8KTGuQvh7STl0/edit#gid=2147150001"",""Whole Data Set!$A$2:$NQ$253""),381,FALSE)"),133.75)</f>
        <v>133.75</v>
      </c>
      <c r="C94" s="13">
        <f t="shared" si="1"/>
        <v>0.535</v>
      </c>
      <c r="D94" s="12">
        <f>IFERROR(__xludf.DUMMYFUNCTION("VLOOKUP(A94,IMPORTRANGE(""1aFCnJY1qhIj8-JckJhDJ18aqmVo17tofpQmOjcYa3u8/edit#gid=948248086"",""Whole Data Set!$A$2:$NG$253""),371,FALSE)"),156.0)</f>
        <v>156</v>
      </c>
      <c r="E94" s="13">
        <f t="shared" si="2"/>
        <v>0.624</v>
      </c>
      <c r="F94" s="13">
        <f t="shared" si="3"/>
        <v>-0.089</v>
      </c>
    </row>
    <row r="95">
      <c r="A95" s="65" t="s">
        <v>266</v>
      </c>
      <c r="B95" s="41">
        <f>IFERROR(__xludf.DUMMYFUNCTION("VLOOKUP(A95,IMPORTRANGE(""1EmrnCz2gLVTx5Cbj0e5tfuHPhTtmru8KTGuQvh7STl0/edit#gid=2147150001"",""Whole Data Set!$A$2:$NQ$253""),381,FALSE)"),126.5)</f>
        <v>126.5</v>
      </c>
      <c r="C95" s="13">
        <f t="shared" si="1"/>
        <v>0.506</v>
      </c>
      <c r="D95" s="12">
        <f>IFERROR(__xludf.DUMMYFUNCTION("VLOOKUP(A95,IMPORTRANGE(""1aFCnJY1qhIj8-JckJhDJ18aqmVo17tofpQmOjcYa3u8/edit#gid=948248086"",""Whole Data Set!$A$2:$NG$253""),371,FALSE)"),123.5)</f>
        <v>123.5</v>
      </c>
      <c r="E95" s="13">
        <f t="shared" si="2"/>
        <v>0.494</v>
      </c>
      <c r="F95" s="13">
        <f t="shared" si="3"/>
        <v>0.012</v>
      </c>
    </row>
    <row r="96">
      <c r="A96" s="65" t="s">
        <v>52</v>
      </c>
      <c r="B96" s="41">
        <f>IFERROR(__xludf.DUMMYFUNCTION("VLOOKUP(A96,IMPORTRANGE(""1EmrnCz2gLVTx5Cbj0e5tfuHPhTtmru8KTGuQvh7STl0/edit#gid=2147150001"",""Whole Data Set!$A$2:$NQ$253""),381,FALSE)"),199.25)</f>
        <v>199.25</v>
      </c>
      <c r="C96" s="13">
        <f t="shared" si="1"/>
        <v>0.797</v>
      </c>
      <c r="D96" s="12">
        <f>IFERROR(__xludf.DUMMYFUNCTION("VLOOKUP(A96,IMPORTRANGE(""1aFCnJY1qhIj8-JckJhDJ18aqmVo17tofpQmOjcYa3u8/edit#gid=948248086"",""Whole Data Set!$A$2:$NG$253""),371,FALSE)"),147.5)</f>
        <v>147.5</v>
      </c>
      <c r="E96" s="13">
        <f t="shared" si="2"/>
        <v>0.59</v>
      </c>
      <c r="F96" s="13">
        <f t="shared" si="3"/>
        <v>0.207</v>
      </c>
    </row>
    <row r="97">
      <c r="A97" s="65" t="s">
        <v>53</v>
      </c>
      <c r="B97" s="41">
        <f>IFERROR(__xludf.DUMMYFUNCTION("VLOOKUP(A97,IMPORTRANGE(""1EmrnCz2gLVTx5Cbj0e5tfuHPhTtmru8KTGuQvh7STl0/edit#gid=2147150001"",""Whole Data Set!$A$2:$NQ$253""),381,FALSE)"),77.25)</f>
        <v>77.25</v>
      </c>
      <c r="C97" s="13">
        <f t="shared" si="1"/>
        <v>0.309</v>
      </c>
      <c r="D97" s="12">
        <f>IFERROR(__xludf.DUMMYFUNCTION("VLOOKUP(A97,IMPORTRANGE(""1aFCnJY1qhIj8-JckJhDJ18aqmVo17tofpQmOjcYa3u8/edit#gid=948248086"",""Whole Data Set!$A$2:$NG$253""),371,FALSE)"),75.0)</f>
        <v>75</v>
      </c>
      <c r="E97" s="13">
        <f t="shared" si="2"/>
        <v>0.3</v>
      </c>
      <c r="F97" s="13">
        <f t="shared" si="3"/>
        <v>0.009</v>
      </c>
    </row>
    <row r="98">
      <c r="A98" s="65" t="s">
        <v>54</v>
      </c>
      <c r="B98" s="41">
        <f>IFERROR(__xludf.DUMMYFUNCTION("VLOOKUP(A98,IMPORTRANGE(""1EmrnCz2gLVTx5Cbj0e5tfuHPhTtmru8KTGuQvh7STl0/edit#gid=2147150001"",""Whole Data Set!$A$2:$NQ$253""),381,FALSE)"),177.75)</f>
        <v>177.75</v>
      </c>
      <c r="C98" s="13">
        <f t="shared" si="1"/>
        <v>0.711</v>
      </c>
      <c r="D98" s="12">
        <f>IFERROR(__xludf.DUMMYFUNCTION("VLOOKUP(A98,IMPORTRANGE(""1aFCnJY1qhIj8-JckJhDJ18aqmVo17tofpQmOjcYa3u8/edit#gid=948248086"",""Whole Data Set!$A$2:$NG$253""),371,FALSE)"),164.75)</f>
        <v>164.75</v>
      </c>
      <c r="E98" s="13">
        <f t="shared" si="2"/>
        <v>0.659</v>
      </c>
      <c r="F98" s="13">
        <f t="shared" si="3"/>
        <v>0.052</v>
      </c>
    </row>
    <row r="99">
      <c r="A99" s="65" t="s">
        <v>55</v>
      </c>
      <c r="B99" s="41">
        <f>IFERROR(__xludf.DUMMYFUNCTION("VLOOKUP(A99,IMPORTRANGE(""1EmrnCz2gLVTx5Cbj0e5tfuHPhTtmru8KTGuQvh7STl0/edit#gid=2147150001"",""Whole Data Set!$A$2:$NQ$253""),381,FALSE)"),93.75)</f>
        <v>93.75</v>
      </c>
      <c r="C99" s="13">
        <f t="shared" si="1"/>
        <v>0.375</v>
      </c>
      <c r="D99" s="12">
        <f>IFERROR(__xludf.DUMMYFUNCTION("VLOOKUP(A99,IMPORTRANGE(""1aFCnJY1qhIj8-JckJhDJ18aqmVo17tofpQmOjcYa3u8/edit#gid=948248086"",""Whole Data Set!$A$2:$NG$253""),371,FALSE)"),68.0)</f>
        <v>68</v>
      </c>
      <c r="E99" s="13">
        <f t="shared" si="2"/>
        <v>0.272</v>
      </c>
      <c r="F99" s="13">
        <f t="shared" si="3"/>
        <v>0.103</v>
      </c>
    </row>
    <row r="100">
      <c r="A100" s="65" t="s">
        <v>50</v>
      </c>
      <c r="B100" s="41">
        <f>IFERROR(__xludf.DUMMYFUNCTION("VLOOKUP(A100,IMPORTRANGE(""1EmrnCz2gLVTx5Cbj0e5tfuHPhTtmru8KTGuQvh7STl0/edit#gid=2147150001"",""Whole Data Set!$A$2:$NQ$253""),381,FALSE)"),0.0)</f>
        <v>0</v>
      </c>
      <c r="C100" s="13">
        <f t="shared" si="1"/>
        <v>0</v>
      </c>
      <c r="D100" s="12">
        <f>IFERROR(__xludf.DUMMYFUNCTION("VLOOKUP(A100,IMPORTRANGE(""1aFCnJY1qhIj8-JckJhDJ18aqmVo17tofpQmOjcYa3u8/edit#gid=948248086"",""Whole Data Set!$A$2:$NG$253""),371,FALSE)"),0.25)</f>
        <v>0.25</v>
      </c>
      <c r="E100" s="13">
        <f t="shared" si="2"/>
        <v>0.001</v>
      </c>
      <c r="F100" s="13">
        <f t="shared" si="3"/>
        <v>-0.001</v>
      </c>
    </row>
    <row r="101">
      <c r="A101" s="65" t="s">
        <v>233</v>
      </c>
      <c r="B101" s="41">
        <f>IFERROR(__xludf.DUMMYFUNCTION("VLOOKUP(A101,IMPORTRANGE(""1EmrnCz2gLVTx5Cbj0e5tfuHPhTtmru8KTGuQvh7STl0/edit#gid=2147150001"",""Whole Data Set!$A$2:$NQ$253""),381,FALSE)"),76.0)</f>
        <v>76</v>
      </c>
      <c r="C101" s="13">
        <f t="shared" si="1"/>
        <v>0.304</v>
      </c>
      <c r="D101" s="12">
        <f>IFERROR(__xludf.DUMMYFUNCTION("VLOOKUP(A101,IMPORTRANGE(""1aFCnJY1qhIj8-JckJhDJ18aqmVo17tofpQmOjcYa3u8/edit#gid=948248086"",""Whole Data Set!$A$2:$NG$253""),371,FALSE)"),71.0)</f>
        <v>71</v>
      </c>
      <c r="E101" s="13">
        <f t="shared" si="2"/>
        <v>0.284</v>
      </c>
      <c r="F101" s="13">
        <f t="shared" si="3"/>
        <v>0.02</v>
      </c>
    </row>
    <row r="102">
      <c r="A102" s="65" t="s">
        <v>234</v>
      </c>
      <c r="B102" s="41">
        <f>IFERROR(__xludf.DUMMYFUNCTION("VLOOKUP(A102,IMPORTRANGE(""1EmrnCz2gLVTx5Cbj0e5tfuHPhTtmru8KTGuQvh7STl0/edit#gid=2147150001"",""Whole Data Set!$A$2:$NQ$253""),381,FALSE)"),59.25)</f>
        <v>59.25</v>
      </c>
      <c r="C102" s="13">
        <f t="shared" si="1"/>
        <v>0.237</v>
      </c>
      <c r="D102" s="12">
        <f>IFERROR(__xludf.DUMMYFUNCTION("VLOOKUP(A102,IMPORTRANGE(""1aFCnJY1qhIj8-JckJhDJ18aqmVo17tofpQmOjcYa3u8/edit#gid=948248086"",""Whole Data Set!$A$2:$NG$253""),371,FALSE)"),50.25)</f>
        <v>50.25</v>
      </c>
      <c r="E102" s="13">
        <f t="shared" si="2"/>
        <v>0.201</v>
      </c>
      <c r="F102" s="13">
        <f t="shared" si="3"/>
        <v>0.036</v>
      </c>
    </row>
    <row r="103">
      <c r="A103" s="65" t="s">
        <v>98</v>
      </c>
      <c r="B103" s="41">
        <f>IFERROR(__xludf.DUMMYFUNCTION("VLOOKUP(A103,IMPORTRANGE(""1EmrnCz2gLVTx5Cbj0e5tfuHPhTtmru8KTGuQvh7STl0/edit#gid=2147150001"",""Whole Data Set!$A$2:$NQ$253""),381,FALSE)"),69.75)</f>
        <v>69.75</v>
      </c>
      <c r="C103" s="13">
        <f t="shared" si="1"/>
        <v>0.279</v>
      </c>
      <c r="D103" s="12">
        <f>IFERROR(__xludf.DUMMYFUNCTION("VLOOKUP(A103,IMPORTRANGE(""1aFCnJY1qhIj8-JckJhDJ18aqmVo17tofpQmOjcYa3u8/edit#gid=948248086"",""Whole Data Set!$A$2:$NG$253""),371,FALSE)"),77.25)</f>
        <v>77.25</v>
      </c>
      <c r="E103" s="13">
        <f t="shared" si="2"/>
        <v>0.309</v>
      </c>
      <c r="F103" s="13">
        <f t="shared" si="3"/>
        <v>-0.03</v>
      </c>
    </row>
    <row r="104">
      <c r="A104" s="65" t="s">
        <v>235</v>
      </c>
      <c r="B104" s="41">
        <f>IFERROR(__xludf.DUMMYFUNCTION("VLOOKUP(A104,IMPORTRANGE(""1EmrnCz2gLVTx5Cbj0e5tfuHPhTtmru8KTGuQvh7STl0/edit#gid=2147150001"",""Whole Data Set!$A$2:$NQ$253""),381,FALSE)"),83.25)</f>
        <v>83.25</v>
      </c>
      <c r="C104" s="13">
        <f t="shared" si="1"/>
        <v>0.333</v>
      </c>
      <c r="D104" s="12">
        <f>IFERROR(__xludf.DUMMYFUNCTION("VLOOKUP(A104,IMPORTRANGE(""1aFCnJY1qhIj8-JckJhDJ18aqmVo17tofpQmOjcYa3u8/edit#gid=948248086"",""Whole Data Set!$A$2:$NG$253""),371,FALSE)"),46.75)</f>
        <v>46.75</v>
      </c>
      <c r="E104" s="13">
        <f t="shared" si="2"/>
        <v>0.187</v>
      </c>
      <c r="F104" s="13">
        <f t="shared" si="3"/>
        <v>0.146</v>
      </c>
    </row>
    <row r="105">
      <c r="A105" s="65" t="s">
        <v>58</v>
      </c>
      <c r="B105" s="41">
        <f>IFERROR(__xludf.DUMMYFUNCTION("VLOOKUP(A105,IMPORTRANGE(""1EmrnCz2gLVTx5Cbj0e5tfuHPhTtmru8KTGuQvh7STl0/edit#gid=2147150001"",""Whole Data Set!$A$2:$NQ$253""),381,FALSE)"),21.5)</f>
        <v>21.5</v>
      </c>
      <c r="C105" s="13">
        <f t="shared" si="1"/>
        <v>0.086</v>
      </c>
      <c r="D105" s="12">
        <f>IFERROR(__xludf.DUMMYFUNCTION("VLOOKUP(A105,IMPORTRANGE(""1aFCnJY1qhIj8-JckJhDJ18aqmVo17tofpQmOjcYa3u8/edit#gid=948248086"",""Whole Data Set!$A$2:$NG$253""),371,FALSE)"),19.0)</f>
        <v>19</v>
      </c>
      <c r="E105" s="13">
        <f t="shared" si="2"/>
        <v>0.076</v>
      </c>
      <c r="F105" s="13">
        <f t="shared" si="3"/>
        <v>0.01</v>
      </c>
    </row>
    <row r="106">
      <c r="A106" s="65" t="s">
        <v>59</v>
      </c>
      <c r="B106" s="41">
        <f>IFERROR(__xludf.DUMMYFUNCTION("VLOOKUP(A106,IMPORTRANGE(""1EmrnCz2gLVTx5Cbj0e5tfuHPhTtmru8KTGuQvh7STl0/edit#gid=2147150001"",""Whole Data Set!$A$2:$NQ$253""),381,FALSE)"),137.0)</f>
        <v>137</v>
      </c>
      <c r="C106" s="13">
        <f t="shared" si="1"/>
        <v>0.548</v>
      </c>
      <c r="D106" s="12">
        <f>IFERROR(__xludf.DUMMYFUNCTION("VLOOKUP(A106,IMPORTRANGE(""1aFCnJY1qhIj8-JckJhDJ18aqmVo17tofpQmOjcYa3u8/edit#gid=948248086"",""Whole Data Set!$A$2:$NG$253""),371,FALSE)"),123.25)</f>
        <v>123.25</v>
      </c>
      <c r="E106" s="13">
        <f t="shared" si="2"/>
        <v>0.493</v>
      </c>
      <c r="F106" s="13">
        <f t="shared" si="3"/>
        <v>0.055</v>
      </c>
    </row>
    <row r="107">
      <c r="A107" s="65" t="s">
        <v>178</v>
      </c>
      <c r="B107" s="41">
        <f>IFERROR(__xludf.DUMMYFUNCTION("VLOOKUP(A107,IMPORTRANGE(""1EmrnCz2gLVTx5Cbj0e5tfuHPhTtmru8KTGuQvh7STl0/edit#gid=2147150001"",""Whole Data Set!$A$2:$NQ$253""),381,FALSE)"),156.25)</f>
        <v>156.25</v>
      </c>
      <c r="C107" s="13">
        <f t="shared" si="1"/>
        <v>0.625</v>
      </c>
      <c r="D107" s="12">
        <f>IFERROR(__xludf.DUMMYFUNCTION("VLOOKUP(A107,IMPORTRANGE(""1aFCnJY1qhIj8-JckJhDJ18aqmVo17tofpQmOjcYa3u8/edit#gid=948248086"",""Whole Data Set!$A$2:$NG$253""),371,FALSE)"),134.75)</f>
        <v>134.75</v>
      </c>
      <c r="E107" s="13">
        <f t="shared" si="2"/>
        <v>0.539</v>
      </c>
      <c r="F107" s="13">
        <f t="shared" si="3"/>
        <v>0.086</v>
      </c>
    </row>
    <row r="108">
      <c r="A108" s="65" t="s">
        <v>179</v>
      </c>
      <c r="B108" s="41">
        <f>IFERROR(__xludf.DUMMYFUNCTION("VLOOKUP(A108,IMPORTRANGE(""1EmrnCz2gLVTx5Cbj0e5tfuHPhTtmru8KTGuQvh7STl0/edit#gid=2147150001"",""Whole Data Set!$A$2:$NQ$253""),381,FALSE)"),27.25)</f>
        <v>27.25</v>
      </c>
      <c r="C108" s="13">
        <f t="shared" si="1"/>
        <v>0.109</v>
      </c>
      <c r="D108" s="12">
        <f>IFERROR(__xludf.DUMMYFUNCTION("VLOOKUP(A108,IMPORTRANGE(""1aFCnJY1qhIj8-JckJhDJ18aqmVo17tofpQmOjcYa3u8/edit#gid=948248086"",""Whole Data Set!$A$2:$NG$253""),371,FALSE)"),33.0)</f>
        <v>33</v>
      </c>
      <c r="E108" s="13">
        <f t="shared" si="2"/>
        <v>0.132</v>
      </c>
      <c r="F108" s="13">
        <f t="shared" si="3"/>
        <v>-0.023</v>
      </c>
    </row>
    <row r="109">
      <c r="A109" s="65" t="s">
        <v>60</v>
      </c>
      <c r="B109" s="41">
        <f>IFERROR(__xludf.DUMMYFUNCTION("VLOOKUP(A109,IMPORTRANGE(""1EmrnCz2gLVTx5Cbj0e5tfuHPhTtmru8KTGuQvh7STl0/edit#gid=2147150001"",""Whole Data Set!$A$2:$NQ$253""),381,FALSE)"),102.0)</f>
        <v>102</v>
      </c>
      <c r="C109" s="13">
        <f t="shared" si="1"/>
        <v>0.408</v>
      </c>
      <c r="D109" s="12">
        <f>IFERROR(__xludf.DUMMYFUNCTION("VLOOKUP(A109,IMPORTRANGE(""1aFCnJY1qhIj8-JckJhDJ18aqmVo17tofpQmOjcYa3u8/edit#gid=948248086"",""Whole Data Set!$A$2:$NG$253""),371,FALSE)"),90.75)</f>
        <v>90.75</v>
      </c>
      <c r="E109" s="13">
        <f t="shared" si="2"/>
        <v>0.363</v>
      </c>
      <c r="F109" s="13">
        <f t="shared" si="3"/>
        <v>0.045</v>
      </c>
    </row>
    <row r="110">
      <c r="A110" s="65" t="s">
        <v>275</v>
      </c>
      <c r="B110" s="41">
        <f>IFERROR(__xludf.DUMMYFUNCTION("VLOOKUP(A110,IMPORTRANGE(""1EmrnCz2gLVTx5Cbj0e5tfuHPhTtmru8KTGuQvh7STl0/edit#gid=2147150001"",""Whole Data Set!$A$2:$NQ$253""),381,FALSE)"),61.5)</f>
        <v>61.5</v>
      </c>
      <c r="C110" s="13">
        <f t="shared" si="1"/>
        <v>0.246</v>
      </c>
      <c r="D110" s="12">
        <f>IFERROR(__xludf.DUMMYFUNCTION("VLOOKUP(A110,IMPORTRANGE(""1aFCnJY1qhIj8-JckJhDJ18aqmVo17tofpQmOjcYa3u8/edit#gid=948248086"",""Whole Data Set!$A$2:$NG$253""),371,FALSE)"),46.0)</f>
        <v>46</v>
      </c>
      <c r="E110" s="13">
        <f t="shared" si="2"/>
        <v>0.184</v>
      </c>
      <c r="F110" s="13">
        <f t="shared" si="3"/>
        <v>0.062</v>
      </c>
    </row>
    <row r="111">
      <c r="A111" s="100" t="s">
        <v>130</v>
      </c>
      <c r="B111" s="41">
        <f>IFERROR(__xludf.DUMMYFUNCTION("VLOOKUP(A111,IMPORTRANGE(""1EmrnCz2gLVTx5Cbj0e5tfuHPhTtmru8KTGuQvh7STl0/edit#gid=2147150001"",""Whole Data Set!$A$2:$NQ$253""),381,FALSE)"),73.5)</f>
        <v>73.5</v>
      </c>
      <c r="C111" s="13">
        <f t="shared" si="1"/>
        <v>0.294</v>
      </c>
      <c r="D111" s="12">
        <f>IFERROR(__xludf.DUMMYFUNCTION("VLOOKUP(A111,IMPORTRANGE(""1aFCnJY1qhIj8-JckJhDJ18aqmVo17tofpQmOjcYa3u8/edit#gid=948248086"",""Whole Data Set!$A$2:$NG$253""),371,FALSE)"),58.0)</f>
        <v>58</v>
      </c>
      <c r="E111" s="13">
        <f t="shared" si="2"/>
        <v>0.232</v>
      </c>
      <c r="F111" s="13">
        <f t="shared" si="3"/>
        <v>0.062</v>
      </c>
    </row>
    <row r="112">
      <c r="A112" s="65" t="s">
        <v>236</v>
      </c>
      <c r="B112" s="41">
        <f>IFERROR(__xludf.DUMMYFUNCTION("VLOOKUP(A112,IMPORTRANGE(""1EmrnCz2gLVTx5Cbj0e5tfuHPhTtmru8KTGuQvh7STl0/edit#gid=2147150001"",""Whole Data Set!$A$2:$NQ$253""),381,FALSE)"),44.25)</f>
        <v>44.25</v>
      </c>
      <c r="C112" s="13">
        <f t="shared" si="1"/>
        <v>0.177</v>
      </c>
      <c r="D112" s="12">
        <f>IFERROR(__xludf.DUMMYFUNCTION("VLOOKUP(A112,IMPORTRANGE(""1aFCnJY1qhIj8-JckJhDJ18aqmVo17tofpQmOjcYa3u8/edit#gid=948248086"",""Whole Data Set!$A$2:$NG$253""),371,FALSE)"),1.0)</f>
        <v>1</v>
      </c>
      <c r="E112" s="13">
        <f t="shared" si="2"/>
        <v>0.004</v>
      </c>
      <c r="F112" s="13">
        <f t="shared" si="3"/>
        <v>0.173</v>
      </c>
    </row>
    <row r="113">
      <c r="A113" s="65" t="s">
        <v>237</v>
      </c>
      <c r="B113" s="41">
        <f>IFERROR(__xludf.DUMMYFUNCTION("VLOOKUP(A113,IMPORTRANGE(""1EmrnCz2gLVTx5Cbj0e5tfuHPhTtmru8KTGuQvh7STl0/edit#gid=2147150001"",""Whole Data Set!$A$2:$NQ$253""),381,FALSE)"),5.0)</f>
        <v>5</v>
      </c>
      <c r="C113" s="13">
        <f t="shared" si="1"/>
        <v>0.02</v>
      </c>
      <c r="D113" s="12">
        <f>IFERROR(__xludf.DUMMYFUNCTION("VLOOKUP(A113,IMPORTRANGE(""1aFCnJY1qhIj8-JckJhDJ18aqmVo17tofpQmOjcYa3u8/edit#gid=948248086"",""Whole Data Set!$A$2:$NG$253""),371,FALSE)"),5.5)</f>
        <v>5.5</v>
      </c>
      <c r="E113" s="13">
        <f t="shared" si="2"/>
        <v>0.022</v>
      </c>
      <c r="F113" s="13">
        <f t="shared" si="3"/>
        <v>-0.002</v>
      </c>
    </row>
    <row r="114">
      <c r="A114" s="65" t="s">
        <v>131</v>
      </c>
      <c r="B114" s="41">
        <f>IFERROR(__xludf.DUMMYFUNCTION("VLOOKUP(A114,IMPORTRANGE(""1EmrnCz2gLVTx5Cbj0e5tfuHPhTtmru8KTGuQvh7STl0/edit#gid=2147150001"",""Whole Data Set!$A$2:$NQ$253""),381,FALSE)"),44.5)</f>
        <v>44.5</v>
      </c>
      <c r="C114" s="13">
        <f t="shared" si="1"/>
        <v>0.178</v>
      </c>
      <c r="D114" s="12">
        <f>IFERROR(__xludf.DUMMYFUNCTION("VLOOKUP(A114,IMPORTRANGE(""1aFCnJY1qhIj8-JckJhDJ18aqmVo17tofpQmOjcYa3u8/edit#gid=948248086"",""Whole Data Set!$A$2:$NG$253""),371,FALSE)"),44.5)</f>
        <v>44.5</v>
      </c>
      <c r="E114" s="13">
        <f t="shared" si="2"/>
        <v>0.178</v>
      </c>
      <c r="F114" s="13">
        <f t="shared" si="3"/>
        <v>0</v>
      </c>
    </row>
    <row r="115">
      <c r="A115" s="65" t="s">
        <v>132</v>
      </c>
      <c r="B115" s="41">
        <f>IFERROR(__xludf.DUMMYFUNCTION("VLOOKUP(A115,IMPORTRANGE(""1EmrnCz2gLVTx5Cbj0e5tfuHPhTtmru8KTGuQvh7STl0/edit#gid=2147150001"",""Whole Data Set!$A$2:$NQ$253""),381,FALSE)"),80.0)</f>
        <v>80</v>
      </c>
      <c r="C115" s="13">
        <f t="shared" si="1"/>
        <v>0.32</v>
      </c>
      <c r="D115" s="12">
        <f>IFERROR(__xludf.DUMMYFUNCTION("VLOOKUP(A115,IMPORTRANGE(""1aFCnJY1qhIj8-JckJhDJ18aqmVo17tofpQmOjcYa3u8/edit#gid=948248086"",""Whole Data Set!$A$2:$NG$253""),371,FALSE)"),85.5)</f>
        <v>85.5</v>
      </c>
      <c r="E115" s="13">
        <f t="shared" si="2"/>
        <v>0.342</v>
      </c>
      <c r="F115" s="13">
        <f t="shared" si="3"/>
        <v>-0.022</v>
      </c>
    </row>
    <row r="116">
      <c r="A116" s="102" t="s">
        <v>61</v>
      </c>
      <c r="B116" s="41">
        <f>IFERROR(__xludf.DUMMYFUNCTION("VLOOKUP(A116,IMPORTRANGE(""1EmrnCz2gLVTx5Cbj0e5tfuHPhTtmru8KTGuQvh7STl0/edit#gid=2147150001"",""Whole Data Set!$A$2:$NQ$253""),381,FALSE)"),124.75)</f>
        <v>124.75</v>
      </c>
      <c r="C116" s="13">
        <f t="shared" si="1"/>
        <v>0.499</v>
      </c>
      <c r="D116" s="12">
        <f>IFERROR(__xludf.DUMMYFUNCTION("VLOOKUP(A116,IMPORTRANGE(""1aFCnJY1qhIj8-JckJhDJ18aqmVo17tofpQmOjcYa3u8/edit#gid=948248086"",""Whole Data Set!$A$2:$NG$253""),371,FALSE)"),133.5)</f>
        <v>133.5</v>
      </c>
      <c r="E116" s="13">
        <f t="shared" si="2"/>
        <v>0.534</v>
      </c>
      <c r="F116" s="13">
        <f t="shared" si="3"/>
        <v>-0.035</v>
      </c>
    </row>
    <row r="117">
      <c r="A117" s="65" t="s">
        <v>180</v>
      </c>
      <c r="B117" s="41">
        <f>IFERROR(__xludf.DUMMYFUNCTION("VLOOKUP(A117,IMPORTRANGE(""1EmrnCz2gLVTx5Cbj0e5tfuHPhTtmru8KTGuQvh7STl0/edit#gid=2147150001"",""Whole Data Set!$A$2:$NQ$253""),381,FALSE)"),0.0)</f>
        <v>0</v>
      </c>
      <c r="C117" s="13">
        <f t="shared" si="1"/>
        <v>0</v>
      </c>
      <c r="D117" s="12">
        <f>IFERROR(__xludf.DUMMYFUNCTION("VLOOKUP(A117,IMPORTRANGE(""1aFCnJY1qhIj8-JckJhDJ18aqmVo17tofpQmOjcYa3u8/edit#gid=948248086"",""Whole Data Set!$A$2:$NG$253""),371,FALSE)"),0.0)</f>
        <v>0</v>
      </c>
      <c r="E117" s="13">
        <f t="shared" si="2"/>
        <v>0</v>
      </c>
      <c r="F117" s="13">
        <f t="shared" si="3"/>
        <v>0</v>
      </c>
    </row>
    <row r="118">
      <c r="A118" s="65" t="s">
        <v>133</v>
      </c>
      <c r="B118" s="41">
        <f>IFERROR(__xludf.DUMMYFUNCTION("VLOOKUP(A118,IMPORTRANGE(""1EmrnCz2gLVTx5Cbj0e5tfuHPhTtmru8KTGuQvh7STl0/edit#gid=2147150001"",""Whole Data Set!$A$2:$NQ$253""),381,FALSE)"),101.75)</f>
        <v>101.75</v>
      </c>
      <c r="C118" s="13">
        <f t="shared" si="1"/>
        <v>0.407</v>
      </c>
      <c r="D118" s="12">
        <f>IFERROR(__xludf.DUMMYFUNCTION("VLOOKUP(A118,IMPORTRANGE(""1aFCnJY1qhIj8-JckJhDJ18aqmVo17tofpQmOjcYa3u8/edit#gid=948248086"",""Whole Data Set!$A$2:$NG$253""),371,FALSE)"),62.25)</f>
        <v>62.25</v>
      </c>
      <c r="E118" s="13">
        <f t="shared" si="2"/>
        <v>0.249</v>
      </c>
      <c r="F118" s="13">
        <f t="shared" si="3"/>
        <v>0.158</v>
      </c>
    </row>
    <row r="119">
      <c r="A119" s="65" t="s">
        <v>238</v>
      </c>
      <c r="B119" s="41">
        <f>IFERROR(__xludf.DUMMYFUNCTION("VLOOKUP(A119,IMPORTRANGE(""1EmrnCz2gLVTx5Cbj0e5tfuHPhTtmru8KTGuQvh7STl0/edit#gid=2147150001"",""Whole Data Set!$A$2:$NQ$253""),381,FALSE)"),72.25)</f>
        <v>72.25</v>
      </c>
      <c r="C119" s="13">
        <f t="shared" si="1"/>
        <v>0.289</v>
      </c>
      <c r="D119" s="12">
        <f>IFERROR(__xludf.DUMMYFUNCTION("VLOOKUP(A119,IMPORTRANGE(""1aFCnJY1qhIj8-JckJhDJ18aqmVo17tofpQmOjcYa3u8/edit#gid=948248086"",""Whole Data Set!$A$2:$NG$253""),371,FALSE)"),57.0)</f>
        <v>57</v>
      </c>
      <c r="E119" s="13">
        <f t="shared" si="2"/>
        <v>0.228</v>
      </c>
      <c r="F119" s="13">
        <f t="shared" si="3"/>
        <v>0.061</v>
      </c>
    </row>
    <row r="120">
      <c r="A120" s="65" t="s">
        <v>239</v>
      </c>
      <c r="B120" s="41">
        <f>IFERROR(__xludf.DUMMYFUNCTION("VLOOKUP(A120,IMPORTRANGE(""1EmrnCz2gLVTx5Cbj0e5tfuHPhTtmru8KTGuQvh7STl0/edit#gid=2147150001"",""Whole Data Set!$A$2:$NQ$253""),381,FALSE)"),29.0)</f>
        <v>29</v>
      </c>
      <c r="C120" s="13">
        <f t="shared" si="1"/>
        <v>0.116</v>
      </c>
      <c r="D120" s="12">
        <f>IFERROR(__xludf.DUMMYFUNCTION("VLOOKUP(A120,IMPORTRANGE(""1aFCnJY1qhIj8-JckJhDJ18aqmVo17tofpQmOjcYa3u8/edit#gid=948248086"",""Whole Data Set!$A$2:$NG$253""),371,FALSE)"),39.75)</f>
        <v>39.75</v>
      </c>
      <c r="E120" s="13">
        <f t="shared" si="2"/>
        <v>0.159</v>
      </c>
      <c r="F120" s="13">
        <f t="shared" si="3"/>
        <v>-0.043</v>
      </c>
    </row>
    <row r="121">
      <c r="A121" s="100" t="s">
        <v>267</v>
      </c>
      <c r="B121" s="41">
        <f>IFERROR(__xludf.DUMMYFUNCTION("VLOOKUP(A121,IMPORTRANGE(""1EmrnCz2gLVTx5Cbj0e5tfuHPhTtmru8KTGuQvh7STl0/edit#gid=2147150001"",""Whole Data Set!$A$2:$NQ$253""),381,FALSE)"),40.25)</f>
        <v>40.25</v>
      </c>
      <c r="C121" s="13">
        <f t="shared" si="1"/>
        <v>0.161</v>
      </c>
      <c r="D121" s="12">
        <f>IFERROR(__xludf.DUMMYFUNCTION("VLOOKUP(A121,IMPORTRANGE(""1aFCnJY1qhIj8-JckJhDJ18aqmVo17tofpQmOjcYa3u8/edit#gid=948248086"",""Whole Data Set!$A$2:$NG$253""),371,FALSE)"),49.75)</f>
        <v>49.75</v>
      </c>
      <c r="E121" s="13">
        <f t="shared" si="2"/>
        <v>0.199</v>
      </c>
      <c r="F121" s="13">
        <f t="shared" si="3"/>
        <v>-0.038</v>
      </c>
    </row>
    <row r="122">
      <c r="A122" s="65" t="s">
        <v>134</v>
      </c>
      <c r="B122" s="41">
        <f>IFERROR(__xludf.DUMMYFUNCTION("VLOOKUP(A122,IMPORTRANGE(""1EmrnCz2gLVTx5Cbj0e5tfuHPhTtmru8KTGuQvh7STl0/edit#gid=2147150001"",""Whole Data Set!$A$2:$NQ$253""),381,FALSE)"),41.5)</f>
        <v>41.5</v>
      </c>
      <c r="C122" s="13">
        <f t="shared" si="1"/>
        <v>0.166</v>
      </c>
      <c r="D122" s="12">
        <f>IFERROR(__xludf.DUMMYFUNCTION("VLOOKUP(A122,IMPORTRANGE(""1aFCnJY1qhIj8-JckJhDJ18aqmVo17tofpQmOjcYa3u8/edit#gid=948248086"",""Whole Data Set!$A$2:$NG$253""),371,FALSE)"),29.0)</f>
        <v>29</v>
      </c>
      <c r="E122" s="13">
        <f t="shared" si="2"/>
        <v>0.116</v>
      </c>
      <c r="F122" s="13">
        <f t="shared" si="3"/>
        <v>0.05</v>
      </c>
    </row>
    <row r="123">
      <c r="A123" s="65" t="s">
        <v>240</v>
      </c>
      <c r="B123" s="41">
        <f>IFERROR(__xludf.DUMMYFUNCTION("VLOOKUP(A123,IMPORTRANGE(""1EmrnCz2gLVTx5Cbj0e5tfuHPhTtmru8KTGuQvh7STl0/edit#gid=2147150001"",""Whole Data Set!$A$2:$NQ$253""),381,FALSE)"),16.0)</f>
        <v>16</v>
      </c>
      <c r="C123" s="13">
        <f t="shared" si="1"/>
        <v>0.064</v>
      </c>
      <c r="D123" s="12">
        <f>IFERROR(__xludf.DUMMYFUNCTION("VLOOKUP(A123,IMPORTRANGE(""1aFCnJY1qhIj8-JckJhDJ18aqmVo17tofpQmOjcYa3u8/edit#gid=948248086"",""Whole Data Set!$A$2:$NG$253""),371,FALSE)"),16.25)</f>
        <v>16.25</v>
      </c>
      <c r="E123" s="13">
        <f t="shared" si="2"/>
        <v>0.065</v>
      </c>
      <c r="F123" s="13">
        <f t="shared" si="3"/>
        <v>-0.001</v>
      </c>
    </row>
    <row r="124">
      <c r="A124" s="65" t="s">
        <v>241</v>
      </c>
      <c r="B124" s="41">
        <f>IFERROR(__xludf.DUMMYFUNCTION("VLOOKUP(A124,IMPORTRANGE(""1EmrnCz2gLVTx5Cbj0e5tfuHPhTtmru8KTGuQvh7STl0/edit#gid=2147150001"",""Whole Data Set!$A$2:$NQ$253""),381,FALSE)"),191.0)</f>
        <v>191</v>
      </c>
      <c r="C124" s="13">
        <f t="shared" si="1"/>
        <v>0.764</v>
      </c>
      <c r="D124" s="12">
        <f>IFERROR(__xludf.DUMMYFUNCTION("VLOOKUP(A124,IMPORTRANGE(""1aFCnJY1qhIj8-JckJhDJ18aqmVo17tofpQmOjcYa3u8/edit#gid=948248086"",""Whole Data Set!$A$2:$NG$253""),371,FALSE)"),196.0)</f>
        <v>196</v>
      </c>
      <c r="E124" s="13">
        <f t="shared" si="2"/>
        <v>0.784</v>
      </c>
      <c r="F124" s="13">
        <f t="shared" si="3"/>
        <v>-0.02</v>
      </c>
    </row>
    <row r="125">
      <c r="A125" s="65" t="s">
        <v>74</v>
      </c>
      <c r="B125" s="41">
        <f>IFERROR(__xludf.DUMMYFUNCTION("VLOOKUP(A125,IMPORTRANGE(""1EmrnCz2gLVTx5Cbj0e5tfuHPhTtmru8KTGuQvh7STl0/edit#gid=2147150001"",""Whole Data Set!$A$2:$NQ$253""),381,FALSE)"),41.75)</f>
        <v>41.75</v>
      </c>
      <c r="C125" s="13">
        <f t="shared" si="1"/>
        <v>0.167</v>
      </c>
      <c r="D125" s="12">
        <f>IFERROR(__xludf.DUMMYFUNCTION("VLOOKUP(A125,IMPORTRANGE(""1aFCnJY1qhIj8-JckJhDJ18aqmVo17tofpQmOjcYa3u8/edit#gid=948248086"",""Whole Data Set!$A$2:$NG$253""),371,FALSE)"),36.0)</f>
        <v>36</v>
      </c>
      <c r="E125" s="13">
        <f t="shared" si="2"/>
        <v>0.144</v>
      </c>
      <c r="F125" s="13">
        <f t="shared" si="3"/>
        <v>0.023</v>
      </c>
    </row>
    <row r="126">
      <c r="A126" s="65" t="s">
        <v>242</v>
      </c>
      <c r="B126" s="41">
        <f>IFERROR(__xludf.DUMMYFUNCTION("VLOOKUP(A126,IMPORTRANGE(""1EmrnCz2gLVTx5Cbj0e5tfuHPhTtmru8KTGuQvh7STl0/edit#gid=2147150001"",""Whole Data Set!$A$2:$NQ$253""),381,FALSE)"),0.0)</f>
        <v>0</v>
      </c>
      <c r="C126" s="13">
        <f t="shared" si="1"/>
        <v>0</v>
      </c>
      <c r="D126" s="12">
        <f>IFERROR(__xludf.DUMMYFUNCTION("VLOOKUP(A126,IMPORTRANGE(""1aFCnJY1qhIj8-JckJhDJ18aqmVo17tofpQmOjcYa3u8/edit#gid=948248086"",""Whole Data Set!$A$2:$NG$253""),371,FALSE)"),0.0)</f>
        <v>0</v>
      </c>
      <c r="E126" s="13">
        <f t="shared" si="2"/>
        <v>0</v>
      </c>
      <c r="F126" s="13">
        <f t="shared" si="3"/>
        <v>0</v>
      </c>
    </row>
    <row r="127">
      <c r="A127" s="65" t="s">
        <v>243</v>
      </c>
      <c r="B127" s="41">
        <f>IFERROR(__xludf.DUMMYFUNCTION("VLOOKUP(A127,IMPORTRANGE(""1EmrnCz2gLVTx5Cbj0e5tfuHPhTtmru8KTGuQvh7STl0/edit#gid=2147150001"",""Whole Data Set!$A$2:$NQ$253""),381,FALSE)"),31.5)</f>
        <v>31.5</v>
      </c>
      <c r="C127" s="13">
        <f t="shared" si="1"/>
        <v>0.126</v>
      </c>
      <c r="D127" s="12">
        <f>IFERROR(__xludf.DUMMYFUNCTION("VLOOKUP(A127,IMPORTRANGE(""1aFCnJY1qhIj8-JckJhDJ18aqmVo17tofpQmOjcYa3u8/edit#gid=948248086"",""Whole Data Set!$A$2:$NG$253""),371,FALSE)"),28.25)</f>
        <v>28.25</v>
      </c>
      <c r="E127" s="13">
        <f t="shared" si="2"/>
        <v>0.113</v>
      </c>
      <c r="F127" s="13">
        <f t="shared" si="3"/>
        <v>0.013</v>
      </c>
    </row>
    <row r="128">
      <c r="A128" s="65" t="s">
        <v>63</v>
      </c>
      <c r="B128" s="41">
        <f>IFERROR(__xludf.DUMMYFUNCTION("VLOOKUP(A128,IMPORTRANGE(""1EmrnCz2gLVTx5Cbj0e5tfuHPhTtmru8KTGuQvh7STl0/edit#gid=2147150001"",""Whole Data Set!$A$2:$NQ$253""),381,FALSE)"),93.75)</f>
        <v>93.75</v>
      </c>
      <c r="C128" s="13">
        <f t="shared" si="1"/>
        <v>0.375</v>
      </c>
      <c r="D128" s="12">
        <f>IFERROR(__xludf.DUMMYFUNCTION("VLOOKUP(A128,IMPORTRANGE(""1aFCnJY1qhIj8-JckJhDJ18aqmVo17tofpQmOjcYa3u8/edit#gid=948248086"",""Whole Data Set!$A$2:$NG$253""),371,FALSE)"),95.75)</f>
        <v>95.75</v>
      </c>
      <c r="E128" s="13">
        <f t="shared" si="2"/>
        <v>0.383</v>
      </c>
      <c r="F128" s="13">
        <f t="shared" si="3"/>
        <v>-0.008</v>
      </c>
    </row>
    <row r="129">
      <c r="A129" s="65" t="s">
        <v>34</v>
      </c>
      <c r="B129" s="41">
        <f>IFERROR(__xludf.DUMMYFUNCTION("VLOOKUP(A129,IMPORTRANGE(""1EmrnCz2gLVTx5Cbj0e5tfuHPhTtmru8KTGuQvh7STl0/edit#gid=2147150001"",""Whole Data Set!$A$2:$NQ$253""),381,FALSE)"),31.0)</f>
        <v>31</v>
      </c>
      <c r="C129" s="13">
        <f t="shared" si="1"/>
        <v>0.124</v>
      </c>
      <c r="D129" s="12">
        <f>IFERROR(__xludf.DUMMYFUNCTION("VLOOKUP(A129,IMPORTRANGE(""1aFCnJY1qhIj8-JckJhDJ18aqmVo17tofpQmOjcYa3u8/edit#gid=948248086"",""Whole Data Set!$A$2:$NG$253""),371,FALSE)"),32.5)</f>
        <v>32.5</v>
      </c>
      <c r="E129" s="13">
        <f t="shared" si="2"/>
        <v>0.13</v>
      </c>
      <c r="F129" s="13">
        <f t="shared" si="3"/>
        <v>-0.006</v>
      </c>
    </row>
    <row r="130">
      <c r="A130" s="65" t="s">
        <v>268</v>
      </c>
      <c r="B130" s="41">
        <f>IFERROR(__xludf.DUMMYFUNCTION("VLOOKUP(A130,IMPORTRANGE(""1EmrnCz2gLVTx5Cbj0e5tfuHPhTtmru8KTGuQvh7STl0/edit#gid=2147150001"",""Whole Data Set!$A$2:$NQ$253""),381,FALSE)"),9.0)</f>
        <v>9</v>
      </c>
      <c r="C130" s="13">
        <f t="shared" si="1"/>
        <v>0.036</v>
      </c>
      <c r="D130" s="12">
        <f>IFERROR(__xludf.DUMMYFUNCTION("VLOOKUP(A130,IMPORTRANGE(""1aFCnJY1qhIj8-JckJhDJ18aqmVo17tofpQmOjcYa3u8/edit#gid=948248086"",""Whole Data Set!$A$2:$NG$253""),371,FALSE)"),9.25)</f>
        <v>9.25</v>
      </c>
      <c r="E130" s="13">
        <f t="shared" si="2"/>
        <v>0.037</v>
      </c>
      <c r="F130" s="13">
        <f t="shared" si="3"/>
        <v>-0.001</v>
      </c>
    </row>
    <row r="131">
      <c r="A131" s="65" t="s">
        <v>65</v>
      </c>
      <c r="B131" s="41">
        <f>IFERROR(__xludf.DUMMYFUNCTION("VLOOKUP(A131,IMPORTRANGE(""1EmrnCz2gLVTx5Cbj0e5tfuHPhTtmru8KTGuQvh7STl0/edit#gid=2147150001"",""Whole Data Set!$A$2:$NQ$253""),381,FALSE)"),151.0)</f>
        <v>151</v>
      </c>
      <c r="C131" s="13">
        <f t="shared" si="1"/>
        <v>0.604</v>
      </c>
      <c r="D131" s="12">
        <f>IFERROR(__xludf.DUMMYFUNCTION("VLOOKUP(A131,IMPORTRANGE(""1aFCnJY1qhIj8-JckJhDJ18aqmVo17tofpQmOjcYa3u8/edit#gid=948248086"",""Whole Data Set!$A$2:$NG$253""),371,FALSE)"),123.5)</f>
        <v>123.5</v>
      </c>
      <c r="E131" s="13">
        <f t="shared" si="2"/>
        <v>0.494</v>
      </c>
      <c r="F131" s="13">
        <f t="shared" si="3"/>
        <v>0.11</v>
      </c>
    </row>
    <row r="132">
      <c r="A132" s="65" t="s">
        <v>181</v>
      </c>
      <c r="B132" s="41">
        <f>IFERROR(__xludf.DUMMYFUNCTION("VLOOKUP(A132,IMPORTRANGE(""1EmrnCz2gLVTx5Cbj0e5tfuHPhTtmru8KTGuQvh7STl0/edit#gid=2147150001"",""Whole Data Set!$A$2:$NQ$253""),381,FALSE)"),21.5)</f>
        <v>21.5</v>
      </c>
      <c r="C132" s="13">
        <f t="shared" si="1"/>
        <v>0.086</v>
      </c>
      <c r="D132" s="12">
        <f>IFERROR(__xludf.DUMMYFUNCTION("VLOOKUP(A132,IMPORTRANGE(""1aFCnJY1qhIj8-JckJhDJ18aqmVo17tofpQmOjcYa3u8/edit#gid=948248086"",""Whole Data Set!$A$2:$NG$253""),371,FALSE)"),22.25)</f>
        <v>22.25</v>
      </c>
      <c r="E132" s="13">
        <f t="shared" si="2"/>
        <v>0.089</v>
      </c>
      <c r="F132" s="13">
        <f t="shared" si="3"/>
        <v>-0.003</v>
      </c>
    </row>
    <row r="133">
      <c r="A133" s="65" t="s">
        <v>135</v>
      </c>
      <c r="B133" s="41">
        <f>IFERROR(__xludf.DUMMYFUNCTION("VLOOKUP(A133,IMPORTRANGE(""1EmrnCz2gLVTx5Cbj0e5tfuHPhTtmru8KTGuQvh7STl0/edit#gid=2147150001"",""Whole Data Set!$A$2:$NQ$253""),381,FALSE)"),62.5)</f>
        <v>62.5</v>
      </c>
      <c r="C133" s="13">
        <f t="shared" si="1"/>
        <v>0.25</v>
      </c>
      <c r="D133" s="12">
        <f>IFERROR(__xludf.DUMMYFUNCTION("VLOOKUP(A133,IMPORTRANGE(""1aFCnJY1qhIj8-JckJhDJ18aqmVo17tofpQmOjcYa3u8/edit#gid=948248086"",""Whole Data Set!$A$2:$NG$253""),371,FALSE)"),74.75)</f>
        <v>74.75</v>
      </c>
      <c r="E133" s="13">
        <f t="shared" si="2"/>
        <v>0.299</v>
      </c>
      <c r="F133" s="13">
        <f t="shared" si="3"/>
        <v>-0.049</v>
      </c>
    </row>
    <row r="134">
      <c r="A134" s="65" t="s">
        <v>136</v>
      </c>
      <c r="B134" s="41">
        <f>IFERROR(__xludf.DUMMYFUNCTION("VLOOKUP(A134,IMPORTRANGE(""1EmrnCz2gLVTx5Cbj0e5tfuHPhTtmru8KTGuQvh7STl0/edit#gid=2147150001"",""Whole Data Set!$A$2:$NQ$253""),381,FALSE)"),108.75)</f>
        <v>108.75</v>
      </c>
      <c r="C134" s="13">
        <f t="shared" si="1"/>
        <v>0.435</v>
      </c>
      <c r="D134" s="12">
        <f>IFERROR(__xludf.DUMMYFUNCTION("VLOOKUP(A134,IMPORTRANGE(""1aFCnJY1qhIj8-JckJhDJ18aqmVo17tofpQmOjcYa3u8/edit#gid=948248086"",""Whole Data Set!$A$2:$NG$253""),371,FALSE)"),106.0)</f>
        <v>106</v>
      </c>
      <c r="E134" s="13">
        <f t="shared" si="2"/>
        <v>0.424</v>
      </c>
      <c r="F134" s="13">
        <f t="shared" si="3"/>
        <v>0.011</v>
      </c>
    </row>
    <row r="135">
      <c r="A135" s="65" t="s">
        <v>88</v>
      </c>
      <c r="B135" s="41">
        <f>IFERROR(__xludf.DUMMYFUNCTION("VLOOKUP(A135,IMPORTRANGE(""1EmrnCz2gLVTx5Cbj0e5tfuHPhTtmru8KTGuQvh7STl0/edit#gid=2147150001"",""Whole Data Set!$A$2:$NQ$253""),381,FALSE)"),21.0)</f>
        <v>21</v>
      </c>
      <c r="C135" s="13">
        <f t="shared" si="1"/>
        <v>0.084</v>
      </c>
      <c r="D135" s="12">
        <f>IFERROR(__xludf.DUMMYFUNCTION("VLOOKUP(A135,IMPORTRANGE(""1aFCnJY1qhIj8-JckJhDJ18aqmVo17tofpQmOjcYa3u8/edit#gid=948248086"",""Whole Data Set!$A$2:$NG$253""),371,FALSE)"),24.5)</f>
        <v>24.5</v>
      </c>
      <c r="E135" s="13">
        <f t="shared" si="2"/>
        <v>0.098</v>
      </c>
      <c r="F135" s="13">
        <f t="shared" si="3"/>
        <v>-0.014</v>
      </c>
    </row>
    <row r="136">
      <c r="A136" s="65" t="s">
        <v>137</v>
      </c>
      <c r="B136" s="41">
        <f>IFERROR(__xludf.DUMMYFUNCTION("VLOOKUP(A136,IMPORTRANGE(""1EmrnCz2gLVTx5Cbj0e5tfuHPhTtmru8KTGuQvh7STl0/edit#gid=2147150001"",""Whole Data Set!$A$2:$NQ$253""),381,FALSE)"),6.0)</f>
        <v>6</v>
      </c>
      <c r="C136" s="13">
        <f t="shared" si="1"/>
        <v>0.024</v>
      </c>
      <c r="D136" s="12">
        <f>IFERROR(__xludf.DUMMYFUNCTION("VLOOKUP(A136,IMPORTRANGE(""1aFCnJY1qhIj8-JckJhDJ18aqmVo17tofpQmOjcYa3u8/edit#gid=948248086"",""Whole Data Set!$A$2:$NG$253""),371,FALSE)"),8.25)</f>
        <v>8.25</v>
      </c>
      <c r="E136" s="13">
        <f t="shared" si="2"/>
        <v>0.033</v>
      </c>
      <c r="F136" s="13">
        <f t="shared" si="3"/>
        <v>-0.009</v>
      </c>
    </row>
    <row r="137">
      <c r="A137" s="65" t="s">
        <v>67</v>
      </c>
      <c r="B137" s="41">
        <f>IFERROR(__xludf.DUMMYFUNCTION("VLOOKUP(A137,IMPORTRANGE(""1EmrnCz2gLVTx5Cbj0e5tfuHPhTtmru8KTGuQvh7STl0/edit#gid=2147150001"",""Whole Data Set!$A$2:$NQ$253""),381,FALSE)"),72.0)</f>
        <v>72</v>
      </c>
      <c r="C137" s="13">
        <f t="shared" si="1"/>
        <v>0.288</v>
      </c>
      <c r="D137" s="12">
        <f>IFERROR(__xludf.DUMMYFUNCTION("VLOOKUP(A137,IMPORTRANGE(""1aFCnJY1qhIj8-JckJhDJ18aqmVo17tofpQmOjcYa3u8/edit#gid=948248086"",""Whole Data Set!$A$2:$NG$253""),371,FALSE)"),72.25)</f>
        <v>72.25</v>
      </c>
      <c r="E137" s="13">
        <f t="shared" si="2"/>
        <v>0.289</v>
      </c>
      <c r="F137" s="13">
        <f t="shared" si="3"/>
        <v>-0.001</v>
      </c>
    </row>
    <row r="138">
      <c r="A138" s="65" t="s">
        <v>68</v>
      </c>
      <c r="B138" s="41">
        <f>IFERROR(__xludf.DUMMYFUNCTION("VLOOKUP(A138,IMPORTRANGE(""1EmrnCz2gLVTx5Cbj0e5tfuHPhTtmru8KTGuQvh7STl0/edit#gid=2147150001"",""Whole Data Set!$A$2:$NQ$253""),381,FALSE)"),129.75)</f>
        <v>129.75</v>
      </c>
      <c r="C138" s="13">
        <f t="shared" si="1"/>
        <v>0.519</v>
      </c>
      <c r="D138" s="12">
        <f>IFERROR(__xludf.DUMMYFUNCTION("VLOOKUP(A138,IMPORTRANGE(""1aFCnJY1qhIj8-JckJhDJ18aqmVo17tofpQmOjcYa3u8/edit#gid=948248086"",""Whole Data Set!$A$2:$NG$253""),371,FALSE)"),129.75)</f>
        <v>129.75</v>
      </c>
      <c r="E138" s="13">
        <f t="shared" si="2"/>
        <v>0.519</v>
      </c>
      <c r="F138" s="13">
        <f t="shared" si="3"/>
        <v>0</v>
      </c>
    </row>
    <row r="139">
      <c r="A139" s="65" t="s">
        <v>69</v>
      </c>
      <c r="B139" s="41">
        <f>IFERROR(__xludf.DUMMYFUNCTION("VLOOKUP(A139,IMPORTRANGE(""1EmrnCz2gLVTx5Cbj0e5tfuHPhTtmru8KTGuQvh7STl0/edit#gid=2147150001"",""Whole Data Set!$A$2:$NQ$253""),381,FALSE)"),16.5)</f>
        <v>16.5</v>
      </c>
      <c r="C139" s="13">
        <f t="shared" si="1"/>
        <v>0.066</v>
      </c>
      <c r="D139" s="12">
        <f>IFERROR(__xludf.DUMMYFUNCTION("VLOOKUP(A139,IMPORTRANGE(""1aFCnJY1qhIj8-JckJhDJ18aqmVo17tofpQmOjcYa3u8/edit#gid=948248086"",""Whole Data Set!$A$2:$NG$253""),371,FALSE)"),14.25)</f>
        <v>14.25</v>
      </c>
      <c r="E139" s="13">
        <f t="shared" si="2"/>
        <v>0.057</v>
      </c>
      <c r="F139" s="13">
        <f t="shared" si="3"/>
        <v>0.009</v>
      </c>
    </row>
    <row r="140">
      <c r="A140" s="65" t="s">
        <v>182</v>
      </c>
      <c r="B140" s="41">
        <f>IFERROR(__xludf.DUMMYFUNCTION("VLOOKUP(A140,IMPORTRANGE(""1EmrnCz2gLVTx5Cbj0e5tfuHPhTtmru8KTGuQvh7STl0/edit#gid=2147150001"",""Whole Data Set!$A$2:$NQ$253""),381,FALSE)"),86.25)</f>
        <v>86.25</v>
      </c>
      <c r="C140" s="13">
        <f t="shared" si="1"/>
        <v>0.345</v>
      </c>
      <c r="D140" s="12">
        <f>IFERROR(__xludf.DUMMYFUNCTION("VLOOKUP(A140,IMPORTRANGE(""1aFCnJY1qhIj8-JckJhDJ18aqmVo17tofpQmOjcYa3u8/edit#gid=948248086"",""Whole Data Set!$A$2:$NG$253""),371,FALSE)"),66.0)</f>
        <v>66</v>
      </c>
      <c r="E140" s="13">
        <f t="shared" si="2"/>
        <v>0.264</v>
      </c>
      <c r="F140" s="13">
        <f t="shared" si="3"/>
        <v>0.081</v>
      </c>
    </row>
    <row r="141">
      <c r="A141" s="65" t="s">
        <v>70</v>
      </c>
      <c r="B141" s="41">
        <f>IFERROR(__xludf.DUMMYFUNCTION("VLOOKUP(A141,IMPORTRANGE(""1EmrnCz2gLVTx5Cbj0e5tfuHPhTtmru8KTGuQvh7STl0/edit#gid=2147150001"",""Whole Data Set!$A$2:$NQ$253""),381,FALSE)"),122.0)</f>
        <v>122</v>
      </c>
      <c r="C141" s="13">
        <f t="shared" si="1"/>
        <v>0.488</v>
      </c>
      <c r="D141" s="12">
        <f>IFERROR(__xludf.DUMMYFUNCTION("VLOOKUP(A141,IMPORTRANGE(""1aFCnJY1qhIj8-JckJhDJ18aqmVo17tofpQmOjcYa3u8/edit#gid=948248086"",""Whole Data Set!$A$2:$NG$253""),371,FALSE)"),108.75)</f>
        <v>108.75</v>
      </c>
      <c r="E141" s="13">
        <f t="shared" si="2"/>
        <v>0.435</v>
      </c>
      <c r="F141" s="13">
        <f t="shared" si="3"/>
        <v>0.053</v>
      </c>
    </row>
    <row r="142">
      <c r="A142" s="65" t="s">
        <v>138</v>
      </c>
      <c r="B142" s="41">
        <f>IFERROR(__xludf.DUMMYFUNCTION("VLOOKUP(A142,IMPORTRANGE(""1EmrnCz2gLVTx5Cbj0e5tfuHPhTtmru8KTGuQvh7STl0/edit#gid=2147150001"",""Whole Data Set!$A$2:$NQ$253""),381,FALSE)"),71.0)</f>
        <v>71</v>
      </c>
      <c r="C142" s="13">
        <f t="shared" si="1"/>
        <v>0.284</v>
      </c>
      <c r="D142" s="12">
        <f>IFERROR(__xludf.DUMMYFUNCTION("VLOOKUP(A142,IMPORTRANGE(""1aFCnJY1qhIj8-JckJhDJ18aqmVo17tofpQmOjcYa3u8/edit#gid=948248086"",""Whole Data Set!$A$2:$NG$253""),371,FALSE)"),70.25)</f>
        <v>70.25</v>
      </c>
      <c r="E142" s="13">
        <f t="shared" si="2"/>
        <v>0.281</v>
      </c>
      <c r="F142" s="13">
        <f t="shared" si="3"/>
        <v>0.003</v>
      </c>
    </row>
    <row r="143">
      <c r="A143" s="65" t="s">
        <v>21</v>
      </c>
      <c r="B143" s="41">
        <f>IFERROR(__xludf.DUMMYFUNCTION("VLOOKUP(A143,IMPORTRANGE(""1EmrnCz2gLVTx5Cbj0e5tfuHPhTtmru8KTGuQvh7STl0/edit#gid=2147150001"",""Whole Data Set!$A$2:$NQ$253""),381,FALSE)"),95.25)</f>
        <v>95.25</v>
      </c>
      <c r="C143" s="13">
        <f t="shared" si="1"/>
        <v>0.381</v>
      </c>
      <c r="D143" s="12">
        <f>IFERROR(__xludf.DUMMYFUNCTION("VLOOKUP(A143,IMPORTRANGE(""1aFCnJY1qhIj8-JckJhDJ18aqmVo17tofpQmOjcYa3u8/edit#gid=948248086"",""Whole Data Set!$A$2:$NG$253""),371,FALSE)"),108.75)</f>
        <v>108.75</v>
      </c>
      <c r="E143" s="13">
        <f t="shared" si="2"/>
        <v>0.435</v>
      </c>
      <c r="F143" s="13">
        <f t="shared" si="3"/>
        <v>-0.054</v>
      </c>
    </row>
    <row r="144">
      <c r="A144" s="65" t="s">
        <v>183</v>
      </c>
      <c r="B144" s="41">
        <f>IFERROR(__xludf.DUMMYFUNCTION("VLOOKUP(A144,IMPORTRANGE(""1EmrnCz2gLVTx5Cbj0e5tfuHPhTtmru8KTGuQvh7STl0/edit#gid=2147150001"",""Whole Data Set!$A$2:$NQ$253""),381,FALSE)"),42.25)</f>
        <v>42.25</v>
      </c>
      <c r="C144" s="13">
        <f t="shared" si="1"/>
        <v>0.169</v>
      </c>
      <c r="D144" s="12">
        <f>IFERROR(__xludf.DUMMYFUNCTION("VLOOKUP(A144,IMPORTRANGE(""1aFCnJY1qhIj8-JckJhDJ18aqmVo17tofpQmOjcYa3u8/edit#gid=948248086"",""Whole Data Set!$A$2:$NG$253""),371,FALSE)"),12.5)</f>
        <v>12.5</v>
      </c>
      <c r="E144" s="13">
        <f t="shared" si="2"/>
        <v>0.05</v>
      </c>
      <c r="F144" s="13">
        <f t="shared" si="3"/>
        <v>0.119</v>
      </c>
    </row>
    <row r="145">
      <c r="A145" s="65" t="s">
        <v>72</v>
      </c>
      <c r="B145" s="41">
        <f>IFERROR(__xludf.DUMMYFUNCTION("VLOOKUP(A145,IMPORTRANGE(""1EmrnCz2gLVTx5Cbj0e5tfuHPhTtmru8KTGuQvh7STl0/edit#gid=2147150001"",""Whole Data Set!$A$2:$NQ$253""),381,FALSE)"),124.5)</f>
        <v>124.5</v>
      </c>
      <c r="C145" s="13">
        <f t="shared" si="1"/>
        <v>0.498</v>
      </c>
      <c r="D145" s="12">
        <f>IFERROR(__xludf.DUMMYFUNCTION("VLOOKUP(A145,IMPORTRANGE(""1aFCnJY1qhIj8-JckJhDJ18aqmVo17tofpQmOjcYa3u8/edit#gid=948248086"",""Whole Data Set!$A$2:$NG$253""),371,FALSE)"),107.75)</f>
        <v>107.75</v>
      </c>
      <c r="E145" s="13">
        <f t="shared" si="2"/>
        <v>0.431</v>
      </c>
      <c r="F145" s="13">
        <f t="shared" si="3"/>
        <v>0.067</v>
      </c>
    </row>
    <row r="146">
      <c r="A146" s="65" t="s">
        <v>73</v>
      </c>
      <c r="B146" s="41">
        <f>IFERROR(__xludf.DUMMYFUNCTION("VLOOKUP(A146,IMPORTRANGE(""1EmrnCz2gLVTx5Cbj0e5tfuHPhTtmru8KTGuQvh7STl0/edit#gid=2147150001"",""Whole Data Set!$A$2:$NQ$253""),381,FALSE)"),73.5)</f>
        <v>73.5</v>
      </c>
      <c r="C146" s="13">
        <f t="shared" si="1"/>
        <v>0.294</v>
      </c>
      <c r="D146" s="12">
        <f>IFERROR(__xludf.DUMMYFUNCTION("VLOOKUP(A146,IMPORTRANGE(""1aFCnJY1qhIj8-JckJhDJ18aqmVo17tofpQmOjcYa3u8/edit#gid=948248086"",""Whole Data Set!$A$2:$NG$253""),371,FALSE)"),62.0)</f>
        <v>62</v>
      </c>
      <c r="E146" s="13">
        <f t="shared" si="2"/>
        <v>0.248</v>
      </c>
      <c r="F146" s="13">
        <f t="shared" si="3"/>
        <v>0.046</v>
      </c>
    </row>
    <row r="147">
      <c r="A147" s="65" t="s">
        <v>276</v>
      </c>
      <c r="B147" s="41" t="str">
        <f>IFERROR(__xludf.DUMMYFUNCTION("VLOOKUP(A147,IMPORTRANGE(""1EmrnCz2gLVTx5Cbj0e5tfuHPhTtmru8KTGuQvh7STl0/edit#gid=2147150001"",""Whole Data Set!$A$2:$NQ$253""),381,FALSE)"),"#N/A")</f>
        <v>#N/A</v>
      </c>
      <c r="C147" s="13" t="str">
        <f t="shared" si="1"/>
        <v>#N/A</v>
      </c>
      <c r="D147" s="12" t="str">
        <f>IFERROR(__xludf.DUMMYFUNCTION("VLOOKUP(A147,IMPORTRANGE(""1aFCnJY1qhIj8-JckJhDJ18aqmVo17tofpQmOjcYa3u8/edit#gid=948248086"",""Whole Data Set!$A$2:$NG$253""),371,FALSE)"),"#N/A")</f>
        <v>#N/A</v>
      </c>
      <c r="E147" s="13" t="str">
        <f t="shared" si="2"/>
        <v>#N/A</v>
      </c>
      <c r="F147" s="13" t="str">
        <f t="shared" si="3"/>
        <v>#N/A</v>
      </c>
    </row>
    <row r="148">
      <c r="A148" s="65" t="s">
        <v>139</v>
      </c>
      <c r="B148" s="41">
        <f>IFERROR(__xludf.DUMMYFUNCTION("VLOOKUP(A148,IMPORTRANGE(""1EmrnCz2gLVTx5Cbj0e5tfuHPhTtmru8KTGuQvh7STl0/edit#gid=2147150001"",""Whole Data Set!$A$2:$NQ$253""),381,FALSE)"),0.75)</f>
        <v>0.75</v>
      </c>
      <c r="C148" s="13">
        <f t="shared" si="1"/>
        <v>0.003</v>
      </c>
      <c r="D148" s="12">
        <f>IFERROR(__xludf.DUMMYFUNCTION("VLOOKUP(A148,IMPORTRANGE(""1aFCnJY1qhIj8-JckJhDJ18aqmVo17tofpQmOjcYa3u8/edit#gid=948248086"",""Whole Data Set!$A$2:$NG$253""),371,FALSE)"),0.5)</f>
        <v>0.5</v>
      </c>
      <c r="E148" s="13">
        <f t="shared" si="2"/>
        <v>0.002</v>
      </c>
      <c r="F148" s="13">
        <f t="shared" si="3"/>
        <v>0.001</v>
      </c>
    </row>
    <row r="149">
      <c r="A149" s="65" t="s">
        <v>184</v>
      </c>
      <c r="B149" s="41">
        <f>IFERROR(__xludf.DUMMYFUNCTION("VLOOKUP(A149,IMPORTRANGE(""1EmrnCz2gLVTx5Cbj0e5tfuHPhTtmru8KTGuQvh7STl0/edit#gid=2147150001"",""Whole Data Set!$A$2:$NQ$253""),381,FALSE)"),20.25)</f>
        <v>20.25</v>
      </c>
      <c r="C149" s="13">
        <f t="shared" si="1"/>
        <v>0.081</v>
      </c>
      <c r="D149" s="12">
        <f>IFERROR(__xludf.DUMMYFUNCTION("VLOOKUP(A149,IMPORTRANGE(""1aFCnJY1qhIj8-JckJhDJ18aqmVo17tofpQmOjcYa3u8/edit#gid=948248086"",""Whole Data Set!$A$2:$NG$253""),371,FALSE)"),12.25)</f>
        <v>12.25</v>
      </c>
      <c r="E149" s="13">
        <f t="shared" si="2"/>
        <v>0.049</v>
      </c>
      <c r="F149" s="13">
        <f t="shared" si="3"/>
        <v>0.032</v>
      </c>
    </row>
    <row r="150">
      <c r="A150" s="65" t="s">
        <v>185</v>
      </c>
      <c r="B150" s="41">
        <f>IFERROR(__xludf.DUMMYFUNCTION("VLOOKUP(A150,IMPORTRANGE(""1EmrnCz2gLVTx5Cbj0e5tfuHPhTtmru8KTGuQvh7STl0/edit#gid=2147150001"",""Whole Data Set!$A$2:$NQ$253""),381,FALSE)"),0.0)</f>
        <v>0</v>
      </c>
      <c r="C150" s="13">
        <f t="shared" si="1"/>
        <v>0</v>
      </c>
      <c r="D150" s="12">
        <f>IFERROR(__xludf.DUMMYFUNCTION("VLOOKUP(A150,IMPORTRANGE(""1aFCnJY1qhIj8-JckJhDJ18aqmVo17tofpQmOjcYa3u8/edit#gid=948248086"",""Whole Data Set!$A$2:$NG$253""),371,FALSE)"),0.0)</f>
        <v>0</v>
      </c>
      <c r="E150" s="13">
        <f t="shared" si="2"/>
        <v>0</v>
      </c>
      <c r="F150" s="13">
        <f t="shared" si="3"/>
        <v>0</v>
      </c>
    </row>
    <row r="151">
      <c r="A151" s="65" t="s">
        <v>22</v>
      </c>
      <c r="B151" s="41">
        <f>IFERROR(__xludf.DUMMYFUNCTION("VLOOKUP(A151,IMPORTRANGE(""1EmrnCz2gLVTx5Cbj0e5tfuHPhTtmru8KTGuQvh7STl0/edit#gid=2147150001"",""Whole Data Set!$A$2:$NQ$253""),381,FALSE)"),0.0)</f>
        <v>0</v>
      </c>
      <c r="C151" s="13">
        <f t="shared" si="1"/>
        <v>0</v>
      </c>
      <c r="D151" s="12">
        <f>IFERROR(__xludf.DUMMYFUNCTION("VLOOKUP(A151,IMPORTRANGE(""1aFCnJY1qhIj8-JckJhDJ18aqmVo17tofpQmOjcYa3u8/edit#gid=948248086"",""Whole Data Set!$A$2:$NG$253""),371,FALSE)"),0.0)</f>
        <v>0</v>
      </c>
      <c r="E151" s="13">
        <f t="shared" si="2"/>
        <v>0</v>
      </c>
      <c r="F151" s="13">
        <f t="shared" si="3"/>
        <v>0</v>
      </c>
    </row>
    <row r="152">
      <c r="A152" s="65" t="s">
        <v>100</v>
      </c>
      <c r="B152" s="41">
        <f>IFERROR(__xludf.DUMMYFUNCTION("VLOOKUP(A152,IMPORTRANGE(""1EmrnCz2gLVTx5Cbj0e5tfuHPhTtmru8KTGuQvh7STl0/edit#gid=2147150001"",""Whole Data Set!$A$2:$NQ$253""),381,FALSE)"),58.5)</f>
        <v>58.5</v>
      </c>
      <c r="C152" s="13">
        <f t="shared" si="1"/>
        <v>0.234</v>
      </c>
      <c r="D152" s="12">
        <f>IFERROR(__xludf.DUMMYFUNCTION("VLOOKUP(A152,IMPORTRANGE(""1aFCnJY1qhIj8-JckJhDJ18aqmVo17tofpQmOjcYa3u8/edit#gid=948248086"",""Whole Data Set!$A$2:$NG$253""),371,FALSE)"),33.0)</f>
        <v>33</v>
      </c>
      <c r="E152" s="13">
        <f t="shared" si="2"/>
        <v>0.132</v>
      </c>
      <c r="F152" s="13">
        <f t="shared" si="3"/>
        <v>0.102</v>
      </c>
    </row>
    <row r="153">
      <c r="A153" s="65" t="s">
        <v>76</v>
      </c>
      <c r="B153" s="41">
        <f>IFERROR(__xludf.DUMMYFUNCTION("VLOOKUP(A153,IMPORTRANGE(""1EmrnCz2gLVTx5Cbj0e5tfuHPhTtmru8KTGuQvh7STl0/edit#gid=2147150001"",""Whole Data Set!$A$2:$NQ$253""),381,FALSE)"),85.5)</f>
        <v>85.5</v>
      </c>
      <c r="C153" s="13">
        <f t="shared" si="1"/>
        <v>0.342</v>
      </c>
      <c r="D153" s="12">
        <f>IFERROR(__xludf.DUMMYFUNCTION("VLOOKUP(A153,IMPORTRANGE(""1aFCnJY1qhIj8-JckJhDJ18aqmVo17tofpQmOjcYa3u8/edit#gid=948248086"",""Whole Data Set!$A$2:$NG$253""),371,FALSE)"),44.25)</f>
        <v>44.25</v>
      </c>
      <c r="E153" s="13">
        <f t="shared" si="2"/>
        <v>0.177</v>
      </c>
      <c r="F153" s="13">
        <f t="shared" si="3"/>
        <v>0.165</v>
      </c>
    </row>
    <row r="154">
      <c r="A154" s="65" t="s">
        <v>186</v>
      </c>
      <c r="B154" s="41">
        <f>IFERROR(__xludf.DUMMYFUNCTION("VLOOKUP(A154,IMPORTRANGE(""1EmrnCz2gLVTx5Cbj0e5tfuHPhTtmru8KTGuQvh7STl0/edit#gid=2147150001"",""Whole Data Set!$A$2:$NQ$253""),381,FALSE)"),44.75)</f>
        <v>44.75</v>
      </c>
      <c r="C154" s="13">
        <f t="shared" si="1"/>
        <v>0.179</v>
      </c>
      <c r="D154" s="12">
        <f>IFERROR(__xludf.DUMMYFUNCTION("VLOOKUP(A154,IMPORTRANGE(""1aFCnJY1qhIj8-JckJhDJ18aqmVo17tofpQmOjcYa3u8/edit#gid=948248086"",""Whole Data Set!$A$2:$NG$253""),371,FALSE)"),49.0)</f>
        <v>49</v>
      </c>
      <c r="E154" s="13">
        <f t="shared" si="2"/>
        <v>0.196</v>
      </c>
      <c r="F154" s="13">
        <f t="shared" si="3"/>
        <v>-0.017</v>
      </c>
    </row>
    <row r="155">
      <c r="A155" s="65" t="s">
        <v>187</v>
      </c>
      <c r="B155" s="41">
        <f>IFERROR(__xludf.DUMMYFUNCTION("VLOOKUP(A155,IMPORTRANGE(""1EmrnCz2gLVTx5Cbj0e5tfuHPhTtmru8KTGuQvh7STl0/edit#gid=2147150001"",""Whole Data Set!$A$2:$NQ$253""),381,FALSE)"),66.5)</f>
        <v>66.5</v>
      </c>
      <c r="C155" s="13">
        <f t="shared" si="1"/>
        <v>0.266</v>
      </c>
      <c r="D155" s="12">
        <f>IFERROR(__xludf.DUMMYFUNCTION("VLOOKUP(A155,IMPORTRANGE(""1aFCnJY1qhIj8-JckJhDJ18aqmVo17tofpQmOjcYa3u8/edit#gid=948248086"",""Whole Data Set!$A$2:$NG$253""),371,FALSE)"),43.0)</f>
        <v>43</v>
      </c>
      <c r="E155" s="13">
        <f t="shared" si="2"/>
        <v>0.172</v>
      </c>
      <c r="F155" s="13">
        <f t="shared" si="3"/>
        <v>0.094</v>
      </c>
    </row>
    <row r="156">
      <c r="A156" s="65" t="s">
        <v>140</v>
      </c>
      <c r="B156" s="41">
        <f>IFERROR(__xludf.DUMMYFUNCTION("VLOOKUP(A156,IMPORTRANGE(""1EmrnCz2gLVTx5Cbj0e5tfuHPhTtmru8KTGuQvh7STl0/edit#gid=2147150001"",""Whole Data Set!$A$2:$NQ$253""),381,FALSE)"),44.0)</f>
        <v>44</v>
      </c>
      <c r="C156" s="13">
        <f t="shared" si="1"/>
        <v>0.176</v>
      </c>
      <c r="D156" s="12">
        <f>IFERROR(__xludf.DUMMYFUNCTION("VLOOKUP(A156,IMPORTRANGE(""1aFCnJY1qhIj8-JckJhDJ18aqmVo17tofpQmOjcYa3u8/edit#gid=948248086"",""Whole Data Set!$A$2:$NG$253""),371,FALSE)"),46.25)</f>
        <v>46.25</v>
      </c>
      <c r="E156" s="13">
        <f t="shared" si="2"/>
        <v>0.185</v>
      </c>
      <c r="F156" s="13">
        <f t="shared" si="3"/>
        <v>-0.009</v>
      </c>
    </row>
    <row r="157">
      <c r="A157" s="99" t="s">
        <v>244</v>
      </c>
      <c r="B157" s="41">
        <f>IFERROR(__xludf.DUMMYFUNCTION("VLOOKUP(A157,IMPORTRANGE(""1EmrnCz2gLVTx5Cbj0e5tfuHPhTtmru8KTGuQvh7STl0/edit#gid=2147150001"",""Whole Data Set!$A$2:$NQ$253""),381,FALSE)"),72.0)</f>
        <v>72</v>
      </c>
      <c r="C157" s="13">
        <f t="shared" si="1"/>
        <v>0.288</v>
      </c>
      <c r="D157" s="12">
        <f>IFERROR(__xludf.DUMMYFUNCTION("VLOOKUP(A157,IMPORTRANGE(""1aFCnJY1qhIj8-JckJhDJ18aqmVo17tofpQmOjcYa3u8/edit#gid=948248086"",""Whole Data Set!$A$2:$NG$253""),371,FALSE)"),66.75)</f>
        <v>66.75</v>
      </c>
      <c r="E157" s="13">
        <f t="shared" si="2"/>
        <v>0.267</v>
      </c>
      <c r="F157" s="13">
        <f t="shared" si="3"/>
        <v>0.021</v>
      </c>
    </row>
    <row r="158">
      <c r="A158" s="65" t="s">
        <v>188</v>
      </c>
      <c r="B158" s="41">
        <f>IFERROR(__xludf.DUMMYFUNCTION("VLOOKUP(A158,IMPORTRANGE(""1EmrnCz2gLVTx5Cbj0e5tfuHPhTtmru8KTGuQvh7STl0/edit#gid=2147150001"",""Whole Data Set!$A$2:$NQ$253""),381,FALSE)"),26.75)</f>
        <v>26.75</v>
      </c>
      <c r="C158" s="13">
        <f t="shared" si="1"/>
        <v>0.107</v>
      </c>
      <c r="D158" s="12">
        <f>IFERROR(__xludf.DUMMYFUNCTION("VLOOKUP(A158,IMPORTRANGE(""1aFCnJY1qhIj8-JckJhDJ18aqmVo17tofpQmOjcYa3u8/edit#gid=948248086"",""Whole Data Set!$A$2:$NG$253""),371,FALSE)"),32.25)</f>
        <v>32.25</v>
      </c>
      <c r="E158" s="13">
        <f t="shared" si="2"/>
        <v>0.129</v>
      </c>
      <c r="F158" s="13">
        <f t="shared" si="3"/>
        <v>-0.022</v>
      </c>
    </row>
    <row r="159">
      <c r="A159" s="65" t="s">
        <v>189</v>
      </c>
      <c r="B159" s="41">
        <f>IFERROR(__xludf.DUMMYFUNCTION("VLOOKUP(A159,IMPORTRANGE(""1EmrnCz2gLVTx5Cbj0e5tfuHPhTtmru8KTGuQvh7STl0/edit#gid=2147150001"",""Whole Data Set!$A$2:$NQ$253""),381,FALSE)"),70.25)</f>
        <v>70.25</v>
      </c>
      <c r="C159" s="13">
        <f t="shared" si="1"/>
        <v>0.281</v>
      </c>
      <c r="D159" s="12">
        <f>IFERROR(__xludf.DUMMYFUNCTION("VLOOKUP(A159,IMPORTRANGE(""1aFCnJY1qhIj8-JckJhDJ18aqmVo17tofpQmOjcYa3u8/edit#gid=948248086"",""Whole Data Set!$A$2:$NG$253""),371,FALSE)"),50.25)</f>
        <v>50.25</v>
      </c>
      <c r="E159" s="13">
        <f t="shared" si="2"/>
        <v>0.201</v>
      </c>
      <c r="F159" s="13">
        <f t="shared" si="3"/>
        <v>0.08</v>
      </c>
    </row>
    <row r="160">
      <c r="A160" s="65" t="s">
        <v>77</v>
      </c>
      <c r="B160" s="41">
        <f>IFERROR(__xludf.DUMMYFUNCTION("VLOOKUP(A160,IMPORTRANGE(""1EmrnCz2gLVTx5Cbj0e5tfuHPhTtmru8KTGuQvh7STl0/edit#gid=2147150001"",""Whole Data Set!$A$2:$NQ$253""),381,FALSE)"),113.75)</f>
        <v>113.75</v>
      </c>
      <c r="C160" s="13">
        <f t="shared" si="1"/>
        <v>0.455</v>
      </c>
      <c r="D160" s="12">
        <f>IFERROR(__xludf.DUMMYFUNCTION("VLOOKUP(A160,IMPORTRANGE(""1aFCnJY1qhIj8-JckJhDJ18aqmVo17tofpQmOjcYa3u8/edit#gid=948248086"",""Whole Data Set!$A$2:$NG$253""),371,FALSE)"),103.5)</f>
        <v>103.5</v>
      </c>
      <c r="E160" s="13">
        <f t="shared" si="2"/>
        <v>0.414</v>
      </c>
      <c r="F160" s="13">
        <f t="shared" si="3"/>
        <v>0.041</v>
      </c>
    </row>
    <row r="161">
      <c r="A161" s="65" t="s">
        <v>78</v>
      </c>
      <c r="B161" s="41">
        <f>IFERROR(__xludf.DUMMYFUNCTION("VLOOKUP(A161,IMPORTRANGE(""1EmrnCz2gLVTx5Cbj0e5tfuHPhTtmru8KTGuQvh7STl0/edit#gid=2147150001"",""Whole Data Set!$A$2:$NQ$253""),381,FALSE)"),105.0)</f>
        <v>105</v>
      </c>
      <c r="C161" s="13">
        <f t="shared" si="1"/>
        <v>0.42</v>
      </c>
      <c r="D161" s="12">
        <f>IFERROR(__xludf.DUMMYFUNCTION("VLOOKUP(A161,IMPORTRANGE(""1aFCnJY1qhIj8-JckJhDJ18aqmVo17tofpQmOjcYa3u8/edit#gid=948248086"",""Whole Data Set!$A$2:$NG$253""),371,FALSE)"),100.25)</f>
        <v>100.25</v>
      </c>
      <c r="E161" s="13">
        <f t="shared" si="2"/>
        <v>0.401</v>
      </c>
      <c r="F161" s="13">
        <f t="shared" si="3"/>
        <v>0.019</v>
      </c>
    </row>
    <row r="162">
      <c r="A162" s="65" t="s">
        <v>141</v>
      </c>
      <c r="B162" s="41">
        <f>IFERROR(__xludf.DUMMYFUNCTION("VLOOKUP(A162,IMPORTRANGE(""1EmrnCz2gLVTx5Cbj0e5tfuHPhTtmru8KTGuQvh7STl0/edit#gid=2147150001"",""Whole Data Set!$A$2:$NQ$253""),381,FALSE)"),0.75)</f>
        <v>0.75</v>
      </c>
      <c r="C162" s="13">
        <f t="shared" si="1"/>
        <v>0.003</v>
      </c>
      <c r="D162" s="12">
        <f>IFERROR(__xludf.DUMMYFUNCTION("VLOOKUP(A162,IMPORTRANGE(""1aFCnJY1qhIj8-JckJhDJ18aqmVo17tofpQmOjcYa3u8/edit#gid=948248086"",""Whole Data Set!$A$2:$NG$253""),371,FALSE)"),0.75)</f>
        <v>0.75</v>
      </c>
      <c r="E162" s="13">
        <f t="shared" si="2"/>
        <v>0.003</v>
      </c>
      <c r="F162" s="13">
        <f t="shared" si="3"/>
        <v>0</v>
      </c>
    </row>
    <row r="163">
      <c r="A163" s="65" t="s">
        <v>79</v>
      </c>
      <c r="B163" s="41">
        <f>IFERROR(__xludf.DUMMYFUNCTION("VLOOKUP(A163,IMPORTRANGE(""1EmrnCz2gLVTx5Cbj0e5tfuHPhTtmru8KTGuQvh7STl0/edit#gid=2147150001"",""Whole Data Set!$A$2:$NQ$253""),381,FALSE)"),90.5)</f>
        <v>90.5</v>
      </c>
      <c r="C163" s="13">
        <f t="shared" si="1"/>
        <v>0.362</v>
      </c>
      <c r="D163" s="12">
        <f>IFERROR(__xludf.DUMMYFUNCTION("VLOOKUP(A163,IMPORTRANGE(""1aFCnJY1qhIj8-JckJhDJ18aqmVo17tofpQmOjcYa3u8/edit#gid=948248086"",""Whole Data Set!$A$2:$NG$253""),371,FALSE)"),92.75)</f>
        <v>92.75</v>
      </c>
      <c r="E163" s="13">
        <f t="shared" si="2"/>
        <v>0.371</v>
      </c>
      <c r="F163" s="13">
        <f t="shared" si="3"/>
        <v>-0.009</v>
      </c>
    </row>
    <row r="164">
      <c r="A164" s="100" t="s">
        <v>80</v>
      </c>
      <c r="B164" s="41">
        <f>IFERROR(__xludf.DUMMYFUNCTION("VLOOKUP(A164,IMPORTRANGE(""1EmrnCz2gLVTx5Cbj0e5tfuHPhTtmru8KTGuQvh7STl0/edit#gid=2147150001"",""Whole Data Set!$A$2:$NQ$253""),381,FALSE)"),124.75)</f>
        <v>124.75</v>
      </c>
      <c r="C164" s="13">
        <f t="shared" si="1"/>
        <v>0.499</v>
      </c>
      <c r="D164" s="12">
        <f>IFERROR(__xludf.DUMMYFUNCTION("VLOOKUP(A164,IMPORTRANGE(""1aFCnJY1qhIj8-JckJhDJ18aqmVo17tofpQmOjcYa3u8/edit#gid=948248086"",""Whole Data Set!$A$2:$NG$253""),371,FALSE)"),133.5)</f>
        <v>133.5</v>
      </c>
      <c r="E164" s="13">
        <f t="shared" si="2"/>
        <v>0.534</v>
      </c>
      <c r="F164" s="13">
        <f t="shared" si="3"/>
        <v>-0.035</v>
      </c>
    </row>
    <row r="165">
      <c r="A165" s="65" t="s">
        <v>142</v>
      </c>
      <c r="B165" s="41">
        <f>IFERROR(__xludf.DUMMYFUNCTION("VLOOKUP(A165,IMPORTRANGE(""1EmrnCz2gLVTx5Cbj0e5tfuHPhTtmru8KTGuQvh7STl0/edit#gid=2147150001"",""Whole Data Set!$A$2:$NQ$253""),381,FALSE)"),1.5)</f>
        <v>1.5</v>
      </c>
      <c r="C165" s="13">
        <f t="shared" si="1"/>
        <v>0.006</v>
      </c>
      <c r="D165" s="12">
        <f>IFERROR(__xludf.DUMMYFUNCTION("VLOOKUP(A165,IMPORTRANGE(""1aFCnJY1qhIj8-JckJhDJ18aqmVo17tofpQmOjcYa3u8/edit#gid=948248086"",""Whole Data Set!$A$2:$NG$253""),371,FALSE)"),1.5)</f>
        <v>1.5</v>
      </c>
      <c r="E165" s="13">
        <f t="shared" si="2"/>
        <v>0.006</v>
      </c>
      <c r="F165" s="13">
        <f t="shared" si="3"/>
        <v>0</v>
      </c>
    </row>
    <row r="166">
      <c r="A166" s="65" t="s">
        <v>82</v>
      </c>
      <c r="B166" s="41">
        <f>IFERROR(__xludf.DUMMYFUNCTION("VLOOKUP(A166,IMPORTRANGE(""1EmrnCz2gLVTx5Cbj0e5tfuHPhTtmru8KTGuQvh7STl0/edit#gid=2147150001"",""Whole Data Set!$A$2:$NQ$253""),381,FALSE)"),65.25)</f>
        <v>65.25</v>
      </c>
      <c r="C166" s="13">
        <f t="shared" si="1"/>
        <v>0.261</v>
      </c>
      <c r="D166" s="12">
        <f>IFERROR(__xludf.DUMMYFUNCTION("VLOOKUP(A166,IMPORTRANGE(""1aFCnJY1qhIj8-JckJhDJ18aqmVo17tofpQmOjcYa3u8/edit#gid=948248086"",""Whole Data Set!$A$2:$NG$253""),371,FALSE)"),42.75)</f>
        <v>42.75</v>
      </c>
      <c r="E166" s="13">
        <f t="shared" si="2"/>
        <v>0.171</v>
      </c>
      <c r="F166" s="13">
        <f t="shared" si="3"/>
        <v>0.09</v>
      </c>
    </row>
    <row r="167">
      <c r="A167" s="65" t="s">
        <v>66</v>
      </c>
      <c r="B167" s="41">
        <f>IFERROR(__xludf.DUMMYFUNCTION("VLOOKUP(A167,IMPORTRANGE(""1EmrnCz2gLVTx5Cbj0e5tfuHPhTtmru8KTGuQvh7STl0/edit#gid=2147150001"",""Whole Data Set!$A$2:$NQ$253""),381,FALSE)"),120.25)</f>
        <v>120.25</v>
      </c>
      <c r="C167" s="13">
        <f t="shared" si="1"/>
        <v>0.481</v>
      </c>
      <c r="D167" s="12">
        <f>IFERROR(__xludf.DUMMYFUNCTION("VLOOKUP(A167,IMPORTRANGE(""1aFCnJY1qhIj8-JckJhDJ18aqmVo17tofpQmOjcYa3u8/edit#gid=948248086"",""Whole Data Set!$A$2:$NG$253""),371,FALSE)"),109.5)</f>
        <v>109.5</v>
      </c>
      <c r="E167" s="13">
        <f t="shared" si="2"/>
        <v>0.438</v>
      </c>
      <c r="F167" s="13">
        <f t="shared" si="3"/>
        <v>0.043</v>
      </c>
    </row>
    <row r="168">
      <c r="A168" s="100" t="s">
        <v>245</v>
      </c>
      <c r="B168" s="41">
        <f>IFERROR(__xludf.DUMMYFUNCTION("VLOOKUP(A168,IMPORTRANGE(""1EmrnCz2gLVTx5Cbj0e5tfuHPhTtmru8KTGuQvh7STl0/edit#gid=2147150001"",""Whole Data Set!$A$2:$NQ$253""),381,FALSE)"),49.25)</f>
        <v>49.25</v>
      </c>
      <c r="C168" s="13">
        <f t="shared" si="1"/>
        <v>0.197</v>
      </c>
      <c r="D168" s="12">
        <f>IFERROR(__xludf.DUMMYFUNCTION("VLOOKUP(A168,IMPORTRANGE(""1aFCnJY1qhIj8-JckJhDJ18aqmVo17tofpQmOjcYa3u8/edit#gid=948248086"",""Whole Data Set!$A$2:$NG$253""),371,FALSE)"),44.75)</f>
        <v>44.75</v>
      </c>
      <c r="E168" s="13">
        <f t="shared" si="2"/>
        <v>0.179</v>
      </c>
      <c r="F168" s="13">
        <f t="shared" si="3"/>
        <v>0.018</v>
      </c>
    </row>
    <row r="169">
      <c r="A169" s="65" t="s">
        <v>143</v>
      </c>
      <c r="B169" s="41">
        <f>IFERROR(__xludf.DUMMYFUNCTION("VLOOKUP(A169,IMPORTRANGE(""1EmrnCz2gLVTx5Cbj0e5tfuHPhTtmru8KTGuQvh7STl0/edit#gid=2147150001"",""Whole Data Set!$A$2:$NQ$253""),381,FALSE)"),207.5)</f>
        <v>207.5</v>
      </c>
      <c r="C169" s="13">
        <f t="shared" si="1"/>
        <v>0.83</v>
      </c>
      <c r="D169" s="12">
        <f>IFERROR(__xludf.DUMMYFUNCTION("VLOOKUP(A169,IMPORTRANGE(""1aFCnJY1qhIj8-JckJhDJ18aqmVo17tofpQmOjcYa3u8/edit#gid=948248086"",""Whole Data Set!$A$2:$NG$253""),371,FALSE)"),195.5)</f>
        <v>195.5</v>
      </c>
      <c r="E169" s="13">
        <f t="shared" si="2"/>
        <v>0.782</v>
      </c>
      <c r="F169" s="13">
        <f t="shared" si="3"/>
        <v>0.048</v>
      </c>
    </row>
    <row r="170">
      <c r="A170" s="65" t="s">
        <v>269</v>
      </c>
      <c r="B170" s="41">
        <f>IFERROR(__xludf.DUMMYFUNCTION("VLOOKUP(A170,IMPORTRANGE(""1EmrnCz2gLVTx5Cbj0e5tfuHPhTtmru8KTGuQvh7STl0/edit#gid=2147150001"",""Whole Data Set!$A$2:$NQ$253""),381,FALSE)"),61.75)</f>
        <v>61.75</v>
      </c>
      <c r="C170" s="13">
        <f t="shared" si="1"/>
        <v>0.247</v>
      </c>
      <c r="D170" s="12">
        <f>IFERROR(__xludf.DUMMYFUNCTION("VLOOKUP(A170,IMPORTRANGE(""1aFCnJY1qhIj8-JckJhDJ18aqmVo17tofpQmOjcYa3u8/edit#gid=948248086"",""Whole Data Set!$A$2:$NG$253""),371,FALSE)"),50.0)</f>
        <v>50</v>
      </c>
      <c r="E170" s="13">
        <f t="shared" si="2"/>
        <v>0.2</v>
      </c>
      <c r="F170" s="13">
        <f t="shared" si="3"/>
        <v>0.047</v>
      </c>
    </row>
    <row r="171">
      <c r="A171" s="65" t="s">
        <v>190</v>
      </c>
      <c r="B171" s="41">
        <f>IFERROR(__xludf.DUMMYFUNCTION("VLOOKUP(A171,IMPORTRANGE(""1EmrnCz2gLVTx5Cbj0e5tfuHPhTtmru8KTGuQvh7STl0/edit#gid=2147150001"",""Whole Data Set!$A$2:$NQ$253""),381,FALSE)"),99.5)</f>
        <v>99.5</v>
      </c>
      <c r="C171" s="13">
        <f t="shared" si="1"/>
        <v>0.398</v>
      </c>
      <c r="D171" s="12">
        <f>IFERROR(__xludf.DUMMYFUNCTION("VLOOKUP(A171,IMPORTRANGE(""1aFCnJY1qhIj8-JckJhDJ18aqmVo17tofpQmOjcYa3u8/edit#gid=948248086"",""Whole Data Set!$A$2:$NG$253""),371,FALSE)"),109.0)</f>
        <v>109</v>
      </c>
      <c r="E171" s="13">
        <f t="shared" si="2"/>
        <v>0.436</v>
      </c>
      <c r="F171" s="13">
        <f t="shared" si="3"/>
        <v>-0.038</v>
      </c>
    </row>
    <row r="172">
      <c r="A172" s="65" t="s">
        <v>246</v>
      </c>
      <c r="B172" s="41">
        <f>IFERROR(__xludf.DUMMYFUNCTION("VLOOKUP(A172,IMPORTRANGE(""1EmrnCz2gLVTx5Cbj0e5tfuHPhTtmru8KTGuQvh7STl0/edit#gid=2147150001"",""Whole Data Set!$A$2:$NQ$253""),381,FALSE)"),6.0)</f>
        <v>6</v>
      </c>
      <c r="C172" s="13">
        <f t="shared" si="1"/>
        <v>0.024</v>
      </c>
      <c r="D172" s="12">
        <f>IFERROR(__xludf.DUMMYFUNCTION("VLOOKUP(A172,IMPORTRANGE(""1aFCnJY1qhIj8-JckJhDJ18aqmVo17tofpQmOjcYa3u8/edit#gid=948248086"",""Whole Data Set!$A$2:$NG$253""),371,FALSE)"),6.0)</f>
        <v>6</v>
      </c>
      <c r="E172" s="13">
        <f t="shared" si="2"/>
        <v>0.024</v>
      </c>
      <c r="F172" s="13">
        <f t="shared" si="3"/>
        <v>0</v>
      </c>
    </row>
    <row r="173">
      <c r="A173" s="65" t="s">
        <v>191</v>
      </c>
      <c r="B173" s="41">
        <f>IFERROR(__xludf.DUMMYFUNCTION("VLOOKUP(A173,IMPORTRANGE(""1EmrnCz2gLVTx5Cbj0e5tfuHPhTtmru8KTGuQvh7STl0/edit#gid=2147150001"",""Whole Data Set!$A$2:$NQ$253""),381,FALSE)"),45.5)</f>
        <v>45.5</v>
      </c>
      <c r="C173" s="13">
        <f t="shared" si="1"/>
        <v>0.182</v>
      </c>
      <c r="D173" s="12">
        <f>IFERROR(__xludf.DUMMYFUNCTION("VLOOKUP(A173,IMPORTRANGE(""1aFCnJY1qhIj8-JckJhDJ18aqmVo17tofpQmOjcYa3u8/edit#gid=948248086"",""Whole Data Set!$A$2:$NG$253""),371,FALSE)"),54.25)</f>
        <v>54.25</v>
      </c>
      <c r="E173" s="13">
        <f t="shared" si="2"/>
        <v>0.217</v>
      </c>
      <c r="F173" s="13">
        <f t="shared" si="3"/>
        <v>-0.035</v>
      </c>
    </row>
    <row r="174">
      <c r="A174" s="65" t="s">
        <v>83</v>
      </c>
      <c r="B174" s="41">
        <f>IFERROR(__xludf.DUMMYFUNCTION("VLOOKUP(A174,IMPORTRANGE(""1EmrnCz2gLVTx5Cbj0e5tfuHPhTtmru8KTGuQvh7STl0/edit#gid=2147150001"",""Whole Data Set!$A$2:$NQ$253""),381,FALSE)"),85.5)</f>
        <v>85.5</v>
      </c>
      <c r="C174" s="13">
        <f t="shared" si="1"/>
        <v>0.342</v>
      </c>
      <c r="D174" s="12">
        <f>IFERROR(__xludf.DUMMYFUNCTION("VLOOKUP(A174,IMPORTRANGE(""1aFCnJY1qhIj8-JckJhDJ18aqmVo17tofpQmOjcYa3u8/edit#gid=948248086"",""Whole Data Set!$A$2:$NG$253""),371,FALSE)"),44.25)</f>
        <v>44.25</v>
      </c>
      <c r="E174" s="13">
        <f t="shared" si="2"/>
        <v>0.177</v>
      </c>
      <c r="F174" s="13">
        <f t="shared" si="3"/>
        <v>0.165</v>
      </c>
    </row>
    <row r="175">
      <c r="A175" s="65" t="s">
        <v>247</v>
      </c>
      <c r="B175" s="41">
        <f>IFERROR(__xludf.DUMMYFUNCTION("VLOOKUP(A175,IMPORTRANGE(""1EmrnCz2gLVTx5Cbj0e5tfuHPhTtmru8KTGuQvh7STl0/edit#gid=2147150001"",""Whole Data Set!$A$2:$NQ$253""),381,FALSE)"),60.75)</f>
        <v>60.75</v>
      </c>
      <c r="C175" s="13">
        <f t="shared" si="1"/>
        <v>0.243</v>
      </c>
      <c r="D175" s="12">
        <f>IFERROR(__xludf.DUMMYFUNCTION("VLOOKUP(A175,IMPORTRANGE(""1aFCnJY1qhIj8-JckJhDJ18aqmVo17tofpQmOjcYa3u8/edit#gid=948248086"",""Whole Data Set!$A$2:$NG$253""),371,FALSE)"),70.25)</f>
        <v>70.25</v>
      </c>
      <c r="E175" s="13">
        <f t="shared" si="2"/>
        <v>0.281</v>
      </c>
      <c r="F175" s="13">
        <f t="shared" si="3"/>
        <v>-0.038</v>
      </c>
    </row>
    <row r="176">
      <c r="A176" s="65" t="s">
        <v>84</v>
      </c>
      <c r="B176" s="41">
        <f>IFERROR(__xludf.DUMMYFUNCTION("VLOOKUP(A176,IMPORTRANGE(""1EmrnCz2gLVTx5Cbj0e5tfuHPhTtmru8KTGuQvh7STl0/edit#gid=2147150001"",""Whole Data Set!$A$2:$NQ$253""),381,FALSE)"),99.25)</f>
        <v>99.25</v>
      </c>
      <c r="C176" s="13">
        <f t="shared" si="1"/>
        <v>0.397</v>
      </c>
      <c r="D176" s="12">
        <f>IFERROR(__xludf.DUMMYFUNCTION("VLOOKUP(A176,IMPORTRANGE(""1aFCnJY1qhIj8-JckJhDJ18aqmVo17tofpQmOjcYa3u8/edit#gid=948248086"",""Whole Data Set!$A$2:$NG$253""),371,FALSE)"),88.0)</f>
        <v>88</v>
      </c>
      <c r="E176" s="13">
        <f t="shared" si="2"/>
        <v>0.352</v>
      </c>
      <c r="F176" s="13">
        <f t="shared" si="3"/>
        <v>0.045</v>
      </c>
    </row>
    <row r="177">
      <c r="A177" s="65" t="s">
        <v>192</v>
      </c>
      <c r="B177" s="41">
        <f>IFERROR(__xludf.DUMMYFUNCTION("VLOOKUP(A177,IMPORTRANGE(""1EmrnCz2gLVTx5Cbj0e5tfuHPhTtmru8KTGuQvh7STl0/edit#gid=2147150001"",""Whole Data Set!$A$2:$NQ$253""),381,FALSE)"),56.0)</f>
        <v>56</v>
      </c>
      <c r="C177" s="13">
        <f t="shared" si="1"/>
        <v>0.224</v>
      </c>
      <c r="D177" s="12">
        <f>IFERROR(__xludf.DUMMYFUNCTION("VLOOKUP(A177,IMPORTRANGE(""1aFCnJY1qhIj8-JckJhDJ18aqmVo17tofpQmOjcYa3u8/edit#gid=948248086"",""Whole Data Set!$A$2:$NG$253""),371,FALSE)"),67.5)</f>
        <v>67.5</v>
      </c>
      <c r="E177" s="13">
        <f t="shared" si="2"/>
        <v>0.27</v>
      </c>
      <c r="F177" s="13">
        <f t="shared" si="3"/>
        <v>-0.046</v>
      </c>
    </row>
    <row r="178">
      <c r="A178" s="65" t="s">
        <v>85</v>
      </c>
      <c r="B178" s="41">
        <f>IFERROR(__xludf.DUMMYFUNCTION("VLOOKUP(A178,IMPORTRANGE(""1EmrnCz2gLVTx5Cbj0e5tfuHPhTtmru8KTGuQvh7STl0/edit#gid=2147150001"",""Whole Data Set!$A$2:$NQ$253""),381,FALSE)"),124.5)</f>
        <v>124.5</v>
      </c>
      <c r="C178" s="13">
        <f t="shared" si="1"/>
        <v>0.498</v>
      </c>
      <c r="D178" s="12">
        <f>IFERROR(__xludf.DUMMYFUNCTION("VLOOKUP(A178,IMPORTRANGE(""1aFCnJY1qhIj8-JckJhDJ18aqmVo17tofpQmOjcYa3u8/edit#gid=948248086"",""Whole Data Set!$A$2:$NG$253""),371,FALSE)"),107.75)</f>
        <v>107.75</v>
      </c>
      <c r="E178" s="13">
        <f t="shared" si="2"/>
        <v>0.431</v>
      </c>
      <c r="F178" s="13">
        <f t="shared" si="3"/>
        <v>0.067</v>
      </c>
    </row>
    <row r="179">
      <c r="A179" s="65" t="s">
        <v>86</v>
      </c>
      <c r="B179" s="41">
        <f>IFERROR(__xludf.DUMMYFUNCTION("VLOOKUP(A179,IMPORTRANGE(""1EmrnCz2gLVTx5Cbj0e5tfuHPhTtmru8KTGuQvh7STl0/edit#gid=2147150001"",""Whole Data Set!$A$2:$NQ$253""),381,FALSE)"),166.0)</f>
        <v>166</v>
      </c>
      <c r="C179" s="13">
        <f t="shared" si="1"/>
        <v>0.664</v>
      </c>
      <c r="D179" s="12">
        <f>IFERROR(__xludf.DUMMYFUNCTION("VLOOKUP(A179,IMPORTRANGE(""1aFCnJY1qhIj8-JckJhDJ18aqmVo17tofpQmOjcYa3u8/edit#gid=948248086"",""Whole Data Set!$A$2:$NG$253""),371,FALSE)"),146.0)</f>
        <v>146</v>
      </c>
      <c r="E179" s="13">
        <f t="shared" si="2"/>
        <v>0.584</v>
      </c>
      <c r="F179" s="13">
        <f t="shared" si="3"/>
        <v>0.08</v>
      </c>
    </row>
    <row r="180">
      <c r="A180" s="100" t="s">
        <v>248</v>
      </c>
      <c r="B180" s="41">
        <f>IFERROR(__xludf.DUMMYFUNCTION("VLOOKUP(A180,IMPORTRANGE(""1EmrnCz2gLVTx5Cbj0e5tfuHPhTtmru8KTGuQvh7STl0/edit#gid=2147150001"",""Whole Data Set!$A$2:$NQ$253""),381,FALSE)"),15.75)</f>
        <v>15.75</v>
      </c>
      <c r="C180" s="13">
        <f t="shared" si="1"/>
        <v>0.063</v>
      </c>
      <c r="D180" s="12">
        <f>IFERROR(__xludf.DUMMYFUNCTION("VLOOKUP(A180,IMPORTRANGE(""1aFCnJY1qhIj8-JckJhDJ18aqmVo17tofpQmOjcYa3u8/edit#gid=948248086"",""Whole Data Set!$A$2:$NG$253""),371,FALSE)"),16.75)</f>
        <v>16.75</v>
      </c>
      <c r="E180" s="13">
        <f t="shared" si="2"/>
        <v>0.067</v>
      </c>
      <c r="F180" s="13">
        <f t="shared" si="3"/>
        <v>-0.004</v>
      </c>
    </row>
    <row r="181">
      <c r="A181" s="65" t="s">
        <v>87</v>
      </c>
      <c r="B181" s="41">
        <f>IFERROR(__xludf.DUMMYFUNCTION("VLOOKUP(A181,IMPORTRANGE(""1EmrnCz2gLVTx5Cbj0e5tfuHPhTtmru8KTGuQvh7STl0/edit#gid=2147150001"",""Whole Data Set!$A$2:$NQ$253""),381,FALSE)"),134.75)</f>
        <v>134.75</v>
      </c>
      <c r="C181" s="13">
        <f t="shared" si="1"/>
        <v>0.539</v>
      </c>
      <c r="D181" s="12">
        <f>IFERROR(__xludf.DUMMYFUNCTION("VLOOKUP(A181,IMPORTRANGE(""1aFCnJY1qhIj8-JckJhDJ18aqmVo17tofpQmOjcYa3u8/edit#gid=948248086"",""Whole Data Set!$A$2:$NG$253""),371,FALSE)"),123.0)</f>
        <v>123</v>
      </c>
      <c r="E181" s="13">
        <f t="shared" si="2"/>
        <v>0.492</v>
      </c>
      <c r="F181" s="13">
        <f t="shared" si="3"/>
        <v>0.047</v>
      </c>
    </row>
    <row r="182">
      <c r="A182" s="65" t="s">
        <v>62</v>
      </c>
      <c r="B182" s="41">
        <f>IFERROR(__xludf.DUMMYFUNCTION("VLOOKUP(A182,IMPORTRANGE(""1EmrnCz2gLVTx5Cbj0e5tfuHPhTtmru8KTGuQvh7STl0/edit#gid=2147150001"",""Whole Data Set!$A$2:$NQ$253""),381,FALSE)"),3.0)</f>
        <v>3</v>
      </c>
      <c r="C182" s="13">
        <f t="shared" si="1"/>
        <v>0.012</v>
      </c>
      <c r="D182" s="12">
        <f>IFERROR(__xludf.DUMMYFUNCTION("VLOOKUP(A182,IMPORTRANGE(""1aFCnJY1qhIj8-JckJhDJ18aqmVo17tofpQmOjcYa3u8/edit#gid=948248086"",""Whole Data Set!$A$2:$NG$253""),371,FALSE)"),119.0)</f>
        <v>119</v>
      </c>
      <c r="E182" s="13">
        <f t="shared" si="2"/>
        <v>0.476</v>
      </c>
      <c r="F182" s="13">
        <f t="shared" si="3"/>
        <v>-0.464</v>
      </c>
    </row>
    <row r="183">
      <c r="A183" s="65" t="s">
        <v>249</v>
      </c>
      <c r="B183" s="41">
        <f>IFERROR(__xludf.DUMMYFUNCTION("VLOOKUP(A183,IMPORTRANGE(""1EmrnCz2gLVTx5Cbj0e5tfuHPhTtmru8KTGuQvh7STl0/edit#gid=2147150001"",""Whole Data Set!$A$2:$NQ$253""),381,FALSE)"),53.75)</f>
        <v>53.75</v>
      </c>
      <c r="C183" s="13">
        <f t="shared" si="1"/>
        <v>0.215</v>
      </c>
      <c r="D183" s="12">
        <f>IFERROR(__xludf.DUMMYFUNCTION("VLOOKUP(A183,IMPORTRANGE(""1aFCnJY1qhIj8-JckJhDJ18aqmVo17tofpQmOjcYa3u8/edit#gid=948248086"",""Whole Data Set!$A$2:$NG$253""),371,FALSE)"),42.0)</f>
        <v>42</v>
      </c>
      <c r="E183" s="13">
        <f t="shared" si="2"/>
        <v>0.168</v>
      </c>
      <c r="F183" s="13">
        <f t="shared" si="3"/>
        <v>0.047</v>
      </c>
    </row>
    <row r="184">
      <c r="A184" s="65" t="s">
        <v>250</v>
      </c>
      <c r="B184" s="41">
        <f>IFERROR(__xludf.DUMMYFUNCTION("VLOOKUP(A184,IMPORTRANGE(""1EmrnCz2gLVTx5Cbj0e5tfuHPhTtmru8KTGuQvh7STl0/edit#gid=2147150001"",""Whole Data Set!$A$2:$NQ$253""),381,FALSE)"),25.25)</f>
        <v>25.25</v>
      </c>
      <c r="C184" s="13">
        <f t="shared" si="1"/>
        <v>0.101</v>
      </c>
      <c r="D184" s="12">
        <f>IFERROR(__xludf.DUMMYFUNCTION("VLOOKUP(A184,IMPORTRANGE(""1aFCnJY1qhIj8-JckJhDJ18aqmVo17tofpQmOjcYa3u8/edit#gid=948248086"",""Whole Data Set!$A$2:$NG$253""),371,FALSE)"),17.5)</f>
        <v>17.5</v>
      </c>
      <c r="E184" s="13">
        <f t="shared" si="2"/>
        <v>0.07</v>
      </c>
      <c r="F184" s="13">
        <f t="shared" si="3"/>
        <v>0.031</v>
      </c>
    </row>
    <row r="185">
      <c r="A185" s="65" t="s">
        <v>251</v>
      </c>
      <c r="B185" s="41">
        <f>IFERROR(__xludf.DUMMYFUNCTION("VLOOKUP(A185,IMPORTRANGE(""1EmrnCz2gLVTx5Cbj0e5tfuHPhTtmru8KTGuQvh7STl0/edit#gid=2147150001"",""Whole Data Set!$A$2:$NQ$253""),381,FALSE)"),49.5)</f>
        <v>49.5</v>
      </c>
      <c r="C185" s="13">
        <f t="shared" si="1"/>
        <v>0.198</v>
      </c>
      <c r="D185" s="12">
        <f>IFERROR(__xludf.DUMMYFUNCTION("VLOOKUP(A185,IMPORTRANGE(""1aFCnJY1qhIj8-JckJhDJ18aqmVo17tofpQmOjcYa3u8/edit#gid=948248086"",""Whole Data Set!$A$2:$NG$253""),371,FALSE)"),39.5)</f>
        <v>39.5</v>
      </c>
      <c r="E185" s="13">
        <f t="shared" si="2"/>
        <v>0.158</v>
      </c>
      <c r="F185" s="13">
        <f t="shared" si="3"/>
        <v>0.04</v>
      </c>
    </row>
    <row r="186">
      <c r="A186" s="65" t="s">
        <v>193</v>
      </c>
      <c r="B186" s="41">
        <f>IFERROR(__xludf.DUMMYFUNCTION("VLOOKUP(A186,IMPORTRANGE(""1EmrnCz2gLVTx5Cbj0e5tfuHPhTtmru8KTGuQvh7STl0/edit#gid=2147150001"",""Whole Data Set!$A$2:$NQ$253""),381,FALSE)"),4.25)</f>
        <v>4.25</v>
      </c>
      <c r="C186" s="13">
        <f t="shared" si="1"/>
        <v>0.017</v>
      </c>
      <c r="D186" s="12">
        <f>IFERROR(__xludf.DUMMYFUNCTION("VLOOKUP(A186,IMPORTRANGE(""1aFCnJY1qhIj8-JckJhDJ18aqmVo17tofpQmOjcYa3u8/edit#gid=948248086"",""Whole Data Set!$A$2:$NG$253""),371,FALSE)"),7.0)</f>
        <v>7</v>
      </c>
      <c r="E186" s="13">
        <f t="shared" si="2"/>
        <v>0.028</v>
      </c>
      <c r="F186" s="13">
        <f t="shared" si="3"/>
        <v>-0.011</v>
      </c>
    </row>
    <row r="187">
      <c r="A187" s="65" t="s">
        <v>194</v>
      </c>
      <c r="B187" s="41">
        <f>IFERROR(__xludf.DUMMYFUNCTION("VLOOKUP(A187,IMPORTRANGE(""1EmrnCz2gLVTx5Cbj0e5tfuHPhTtmru8KTGuQvh7STl0/edit#gid=2147150001"",""Whole Data Set!$A$2:$NQ$253""),381,FALSE)"),78.75)</f>
        <v>78.75</v>
      </c>
      <c r="C187" s="13">
        <f t="shared" si="1"/>
        <v>0.315</v>
      </c>
      <c r="D187" s="12">
        <f>IFERROR(__xludf.DUMMYFUNCTION("VLOOKUP(A187,IMPORTRANGE(""1aFCnJY1qhIj8-JckJhDJ18aqmVo17tofpQmOjcYa3u8/edit#gid=948248086"",""Whole Data Set!$A$2:$NG$253""),371,FALSE)"),67.25)</f>
        <v>67.25</v>
      </c>
      <c r="E187" s="13">
        <f t="shared" si="2"/>
        <v>0.269</v>
      </c>
      <c r="F187" s="13">
        <f t="shared" si="3"/>
        <v>0.046</v>
      </c>
    </row>
    <row r="188">
      <c r="A188" s="65" t="s">
        <v>277</v>
      </c>
      <c r="B188" s="41">
        <f>IFERROR(__xludf.DUMMYFUNCTION("VLOOKUP(A188,IMPORTRANGE(""1EmrnCz2gLVTx5Cbj0e5tfuHPhTtmru8KTGuQvh7STl0/edit#gid=2147150001"",""Whole Data Set!$A$2:$NQ$253""),381,FALSE)"),6.5)</f>
        <v>6.5</v>
      </c>
      <c r="C188" s="13">
        <f t="shared" si="1"/>
        <v>0.026</v>
      </c>
      <c r="D188" s="12">
        <f>IFERROR(__xludf.DUMMYFUNCTION("VLOOKUP(A188,IMPORTRANGE(""1aFCnJY1qhIj8-JckJhDJ18aqmVo17tofpQmOjcYa3u8/edit#gid=948248086"",""Whole Data Set!$A$2:$NG$253""),371,FALSE)"),5.0)</f>
        <v>5</v>
      </c>
      <c r="E188" s="13">
        <f t="shared" si="2"/>
        <v>0.02</v>
      </c>
      <c r="F188" s="13">
        <f t="shared" si="3"/>
        <v>0.006</v>
      </c>
    </row>
    <row r="189">
      <c r="A189" s="65" t="s">
        <v>44</v>
      </c>
      <c r="B189" s="41">
        <f>IFERROR(__xludf.DUMMYFUNCTION("VLOOKUP(A189,IMPORTRANGE(""1EmrnCz2gLVTx5Cbj0e5tfuHPhTtmru8KTGuQvh7STl0/edit#gid=2147150001"",""Whole Data Set!$A$2:$NQ$253""),381,FALSE)"),15.25)</f>
        <v>15.25</v>
      </c>
      <c r="C189" s="13">
        <f t="shared" si="1"/>
        <v>0.061</v>
      </c>
      <c r="D189" s="12">
        <f>IFERROR(__xludf.DUMMYFUNCTION("VLOOKUP(A189,IMPORTRANGE(""1aFCnJY1qhIj8-JckJhDJ18aqmVo17tofpQmOjcYa3u8/edit#gid=948248086"",""Whole Data Set!$A$2:$NG$253""),371,FALSE)"),16.5)</f>
        <v>16.5</v>
      </c>
      <c r="E189" s="13">
        <f t="shared" si="2"/>
        <v>0.066</v>
      </c>
      <c r="F189" s="13">
        <f t="shared" si="3"/>
        <v>-0.005</v>
      </c>
    </row>
    <row r="190">
      <c r="A190" s="100" t="s">
        <v>252</v>
      </c>
      <c r="B190" s="41">
        <f>IFERROR(__xludf.DUMMYFUNCTION("VLOOKUP(A190,IMPORTRANGE(""1EmrnCz2gLVTx5Cbj0e5tfuHPhTtmru8KTGuQvh7STl0/edit#gid=2147150001"",""Whole Data Set!$A$2:$NQ$253""),381,FALSE)"),15.75)</f>
        <v>15.75</v>
      </c>
      <c r="C190" s="13">
        <f t="shared" si="1"/>
        <v>0.063</v>
      </c>
      <c r="D190" s="12">
        <f>IFERROR(__xludf.DUMMYFUNCTION("VLOOKUP(A190,IMPORTRANGE(""1aFCnJY1qhIj8-JckJhDJ18aqmVo17tofpQmOjcYa3u8/edit#gid=948248086"",""Whole Data Set!$A$2:$NG$253""),371,FALSE)"),16.75)</f>
        <v>16.75</v>
      </c>
      <c r="E190" s="13">
        <f t="shared" si="2"/>
        <v>0.067</v>
      </c>
      <c r="F190" s="13">
        <f t="shared" si="3"/>
        <v>-0.004</v>
      </c>
    </row>
    <row r="191">
      <c r="A191" s="65" t="s">
        <v>90</v>
      </c>
      <c r="B191" s="41">
        <f>IFERROR(__xludf.DUMMYFUNCTION("VLOOKUP(A191,IMPORTRANGE(""1EmrnCz2gLVTx5Cbj0e5tfuHPhTtmru8KTGuQvh7STl0/edit#gid=2147150001"",""Whole Data Set!$A$2:$NQ$253""),381,FALSE)"),83.75)</f>
        <v>83.75</v>
      </c>
      <c r="C191" s="13">
        <f t="shared" si="1"/>
        <v>0.335</v>
      </c>
      <c r="D191" s="12">
        <f>IFERROR(__xludf.DUMMYFUNCTION("VLOOKUP(A191,IMPORTRANGE(""1aFCnJY1qhIj8-JckJhDJ18aqmVo17tofpQmOjcYa3u8/edit#gid=948248086"",""Whole Data Set!$A$2:$NG$253""),371,FALSE)"),94.5)</f>
        <v>94.5</v>
      </c>
      <c r="E191" s="13">
        <f t="shared" si="2"/>
        <v>0.378</v>
      </c>
      <c r="F191" s="13">
        <f t="shared" si="3"/>
        <v>-0.043</v>
      </c>
    </row>
    <row r="192">
      <c r="A192" s="65" t="s">
        <v>91</v>
      </c>
      <c r="B192" s="41">
        <f>IFERROR(__xludf.DUMMYFUNCTION("VLOOKUP(A192,IMPORTRANGE(""1EmrnCz2gLVTx5Cbj0e5tfuHPhTtmru8KTGuQvh7STl0/edit#gid=2147150001"",""Whole Data Set!$A$2:$NQ$253""),381,FALSE)"),106.5)</f>
        <v>106.5</v>
      </c>
      <c r="C192" s="13">
        <f t="shared" si="1"/>
        <v>0.426</v>
      </c>
      <c r="D192" s="12">
        <f>IFERROR(__xludf.DUMMYFUNCTION("VLOOKUP(A192,IMPORTRANGE(""1aFCnJY1qhIj8-JckJhDJ18aqmVo17tofpQmOjcYa3u8/edit#gid=948248086"",""Whole Data Set!$A$2:$NG$253""),371,FALSE)"),67.25)</f>
        <v>67.25</v>
      </c>
      <c r="E192" s="13">
        <f t="shared" si="2"/>
        <v>0.269</v>
      </c>
      <c r="F192" s="13">
        <f t="shared" si="3"/>
        <v>0.157</v>
      </c>
    </row>
    <row r="193">
      <c r="A193" s="99" t="s">
        <v>144</v>
      </c>
      <c r="B193" s="41">
        <f>IFERROR(__xludf.DUMMYFUNCTION("VLOOKUP(A193,IMPORTRANGE(""1EmrnCz2gLVTx5Cbj0e5tfuHPhTtmru8KTGuQvh7STl0/edit#gid=2147150001"",""Whole Data Set!$A$2:$NQ$253""),381,FALSE)"),126.5)</f>
        <v>126.5</v>
      </c>
      <c r="C193" s="13">
        <f t="shared" si="1"/>
        <v>0.506</v>
      </c>
      <c r="D193" s="12">
        <f>IFERROR(__xludf.DUMMYFUNCTION("VLOOKUP(A193,IMPORTRANGE(""1aFCnJY1qhIj8-JckJhDJ18aqmVo17tofpQmOjcYa3u8/edit#gid=948248086"",""Whole Data Set!$A$2:$NG$253""),371,FALSE)"),111.25)</f>
        <v>111.25</v>
      </c>
      <c r="E193" s="13">
        <f t="shared" si="2"/>
        <v>0.445</v>
      </c>
      <c r="F193" s="13">
        <f t="shared" si="3"/>
        <v>0.061</v>
      </c>
    </row>
    <row r="194">
      <c r="A194" s="65" t="s">
        <v>92</v>
      </c>
      <c r="B194" s="41">
        <f>IFERROR(__xludf.DUMMYFUNCTION("VLOOKUP(A194,IMPORTRANGE(""1EmrnCz2gLVTx5Cbj0e5tfuHPhTtmru8KTGuQvh7STl0/edit#gid=2147150001"",""Whole Data Set!$A$2:$NQ$253""),381,FALSE)"),126.25)</f>
        <v>126.25</v>
      </c>
      <c r="C194" s="13">
        <f t="shared" si="1"/>
        <v>0.505</v>
      </c>
      <c r="D194" s="12">
        <f>IFERROR(__xludf.DUMMYFUNCTION("VLOOKUP(A194,IMPORTRANGE(""1aFCnJY1qhIj8-JckJhDJ18aqmVo17tofpQmOjcYa3u8/edit#gid=948248086"",""Whole Data Set!$A$2:$NG$253""),371,FALSE)"),116.5)</f>
        <v>116.5</v>
      </c>
      <c r="E194" s="13">
        <f t="shared" si="2"/>
        <v>0.466</v>
      </c>
      <c r="F194" s="13">
        <f t="shared" si="3"/>
        <v>0.039</v>
      </c>
    </row>
    <row r="195">
      <c r="A195" s="65" t="s">
        <v>93</v>
      </c>
      <c r="B195" s="41">
        <f>IFERROR(__xludf.DUMMYFUNCTION("VLOOKUP(A195,IMPORTRANGE(""1EmrnCz2gLVTx5Cbj0e5tfuHPhTtmru8KTGuQvh7STl0/edit#gid=2147150001"",""Whole Data Set!$A$2:$NQ$253""),381,FALSE)"),23.5)</f>
        <v>23.5</v>
      </c>
      <c r="C195" s="13">
        <f t="shared" si="1"/>
        <v>0.094</v>
      </c>
      <c r="D195" s="12">
        <f>IFERROR(__xludf.DUMMYFUNCTION("VLOOKUP(A195,IMPORTRANGE(""1aFCnJY1qhIj8-JckJhDJ18aqmVo17tofpQmOjcYa3u8/edit#gid=948248086"",""Whole Data Set!$A$2:$NG$253""),371,FALSE)"),21.0)</f>
        <v>21</v>
      </c>
      <c r="E195" s="13">
        <f t="shared" si="2"/>
        <v>0.084</v>
      </c>
      <c r="F195" s="13">
        <f t="shared" si="3"/>
        <v>0.01</v>
      </c>
    </row>
    <row r="196">
      <c r="A196" s="65" t="s">
        <v>145</v>
      </c>
      <c r="B196" s="41">
        <f>IFERROR(__xludf.DUMMYFUNCTION("VLOOKUP(A196,IMPORTRANGE(""1EmrnCz2gLVTx5Cbj0e5tfuHPhTtmru8KTGuQvh7STl0/edit#gid=2147150001"",""Whole Data Set!$A$2:$NQ$253""),381,FALSE)"),60.0)</f>
        <v>60</v>
      </c>
      <c r="C196" s="13">
        <f t="shared" si="1"/>
        <v>0.24</v>
      </c>
      <c r="D196" s="12">
        <f>IFERROR(__xludf.DUMMYFUNCTION("VLOOKUP(A196,IMPORTRANGE(""1aFCnJY1qhIj8-JckJhDJ18aqmVo17tofpQmOjcYa3u8/edit#gid=948248086"",""Whole Data Set!$A$2:$NG$253""),371,FALSE)"),60.0)</f>
        <v>60</v>
      </c>
      <c r="E196" s="13">
        <f t="shared" si="2"/>
        <v>0.24</v>
      </c>
      <c r="F196" s="13">
        <f t="shared" si="3"/>
        <v>0</v>
      </c>
    </row>
    <row r="197">
      <c r="A197" s="65" t="s">
        <v>146</v>
      </c>
      <c r="B197" s="41">
        <f>IFERROR(__xludf.DUMMYFUNCTION("VLOOKUP(A197,IMPORTRANGE(""1EmrnCz2gLVTx5Cbj0e5tfuHPhTtmru8KTGuQvh7STl0/edit#gid=2147150001"",""Whole Data Set!$A$2:$NQ$253""),381,FALSE)"),54.25)</f>
        <v>54.25</v>
      </c>
      <c r="C197" s="13">
        <f t="shared" si="1"/>
        <v>0.217</v>
      </c>
      <c r="D197" s="12">
        <f>IFERROR(__xludf.DUMMYFUNCTION("VLOOKUP(A197,IMPORTRANGE(""1aFCnJY1qhIj8-JckJhDJ18aqmVo17tofpQmOjcYa3u8/edit#gid=948248086"",""Whole Data Set!$A$2:$NG$253""),371,FALSE)"),20.5)</f>
        <v>20.5</v>
      </c>
      <c r="E197" s="13">
        <f t="shared" si="2"/>
        <v>0.082</v>
      </c>
      <c r="F197" s="13">
        <f t="shared" si="3"/>
        <v>0.135</v>
      </c>
    </row>
    <row r="198">
      <c r="A198" s="65" t="s">
        <v>270</v>
      </c>
      <c r="B198" s="41">
        <f>IFERROR(__xludf.DUMMYFUNCTION("VLOOKUP(A198,IMPORTRANGE(""1EmrnCz2gLVTx5Cbj0e5tfuHPhTtmru8KTGuQvh7STl0/edit#gid=2147150001"",""Whole Data Set!$A$2:$NQ$253""),381,FALSE)"),0.0)</f>
        <v>0</v>
      </c>
      <c r="C198" s="13">
        <f t="shared" si="1"/>
        <v>0</v>
      </c>
      <c r="D198" s="12">
        <f>IFERROR(__xludf.DUMMYFUNCTION("VLOOKUP(A198,IMPORTRANGE(""1aFCnJY1qhIj8-JckJhDJ18aqmVo17tofpQmOjcYa3u8/edit#gid=948248086"",""Whole Data Set!$A$2:$NG$253""),371,FALSE)"),0.5)</f>
        <v>0.5</v>
      </c>
      <c r="E198" s="13">
        <f t="shared" si="2"/>
        <v>0.002</v>
      </c>
      <c r="F198" s="13">
        <f t="shared" si="3"/>
        <v>-0.002</v>
      </c>
    </row>
    <row r="199">
      <c r="A199" s="65" t="s">
        <v>271</v>
      </c>
      <c r="B199" s="41">
        <f>IFERROR(__xludf.DUMMYFUNCTION("VLOOKUP(A199,IMPORTRANGE(""1EmrnCz2gLVTx5Cbj0e5tfuHPhTtmru8KTGuQvh7STl0/edit#gid=2147150001"",""Whole Data Set!$A$2:$NQ$253""),381,FALSE)"),16.5)</f>
        <v>16.5</v>
      </c>
      <c r="C199" s="13">
        <f t="shared" si="1"/>
        <v>0.066</v>
      </c>
      <c r="D199" s="12">
        <f>IFERROR(__xludf.DUMMYFUNCTION("VLOOKUP(A199,IMPORTRANGE(""1aFCnJY1qhIj8-JckJhDJ18aqmVo17tofpQmOjcYa3u8/edit#gid=948248086"",""Whole Data Set!$A$2:$NG$253""),371,FALSE)"),5.5)</f>
        <v>5.5</v>
      </c>
      <c r="E199" s="13">
        <f t="shared" si="2"/>
        <v>0.022</v>
      </c>
      <c r="F199" s="13">
        <f t="shared" si="3"/>
        <v>0.044</v>
      </c>
    </row>
    <row r="200">
      <c r="A200" s="65" t="s">
        <v>278</v>
      </c>
      <c r="B200" s="41">
        <f>IFERROR(__xludf.DUMMYFUNCTION("VLOOKUP(A200,IMPORTRANGE(""1EmrnCz2gLVTx5Cbj0e5tfuHPhTtmru8KTGuQvh7STl0/edit#gid=2147150001"",""Whole Data Set!$A$2:$NQ$253""),381,FALSE)"),10.0)</f>
        <v>10</v>
      </c>
      <c r="C200" s="13">
        <f t="shared" si="1"/>
        <v>0.04</v>
      </c>
      <c r="D200" s="12">
        <f>IFERROR(__xludf.DUMMYFUNCTION("VLOOKUP(A200,IMPORTRANGE(""1aFCnJY1qhIj8-JckJhDJ18aqmVo17tofpQmOjcYa3u8/edit#gid=948248086"",""Whole Data Set!$A$2:$NG$253""),371,FALSE)"),9.5)</f>
        <v>9.5</v>
      </c>
      <c r="E200" s="13">
        <f t="shared" si="2"/>
        <v>0.038</v>
      </c>
      <c r="F200" s="13">
        <f t="shared" si="3"/>
        <v>0.002</v>
      </c>
    </row>
    <row r="201">
      <c r="A201" s="65" t="s">
        <v>195</v>
      </c>
      <c r="B201" s="41">
        <f>IFERROR(__xludf.DUMMYFUNCTION("VLOOKUP(A201,IMPORTRANGE(""1EmrnCz2gLVTx5Cbj0e5tfuHPhTtmru8KTGuQvh7STl0/edit#gid=2147150001"",""Whole Data Set!$A$2:$NQ$253""),381,FALSE)"),16.25)</f>
        <v>16.25</v>
      </c>
      <c r="C201" s="13">
        <f t="shared" si="1"/>
        <v>0.065</v>
      </c>
      <c r="D201" s="12">
        <f>IFERROR(__xludf.DUMMYFUNCTION("VLOOKUP(A201,IMPORTRANGE(""1aFCnJY1qhIj8-JckJhDJ18aqmVo17tofpQmOjcYa3u8/edit#gid=948248086"",""Whole Data Set!$A$2:$NG$253""),371,FALSE)"),16.0)</f>
        <v>16</v>
      </c>
      <c r="E201" s="13">
        <f t="shared" si="2"/>
        <v>0.064</v>
      </c>
      <c r="F201" s="13">
        <f t="shared" si="3"/>
        <v>0.001</v>
      </c>
    </row>
    <row r="202">
      <c r="A202" s="65" t="s">
        <v>196</v>
      </c>
      <c r="B202" s="41">
        <f>IFERROR(__xludf.DUMMYFUNCTION("VLOOKUP(A202,IMPORTRANGE(""1EmrnCz2gLVTx5Cbj0e5tfuHPhTtmru8KTGuQvh7STl0/edit#gid=2147150001"",""Whole Data Set!$A$2:$NQ$253""),381,FALSE)"),117.75)</f>
        <v>117.75</v>
      </c>
      <c r="C202" s="13">
        <f t="shared" si="1"/>
        <v>0.471</v>
      </c>
      <c r="D202" s="12">
        <f>IFERROR(__xludf.DUMMYFUNCTION("VLOOKUP(A202,IMPORTRANGE(""1aFCnJY1qhIj8-JckJhDJ18aqmVo17tofpQmOjcYa3u8/edit#gid=948248086"",""Whole Data Set!$A$2:$NG$253""),371,FALSE)"),112.5)</f>
        <v>112.5</v>
      </c>
      <c r="E202" s="13">
        <f t="shared" si="2"/>
        <v>0.45</v>
      </c>
      <c r="F202" s="13">
        <f t="shared" si="3"/>
        <v>0.021</v>
      </c>
    </row>
    <row r="203">
      <c r="A203" s="65" t="s">
        <v>272</v>
      </c>
      <c r="B203" s="41">
        <f>IFERROR(__xludf.DUMMYFUNCTION("VLOOKUP(A203,IMPORTRANGE(""1EmrnCz2gLVTx5Cbj0e5tfuHPhTtmru8KTGuQvh7STl0/edit#gid=2147150001"",""Whole Data Set!$A$2:$NQ$253""),381,FALSE)"),1.0)</f>
        <v>1</v>
      </c>
      <c r="C203" s="13">
        <f t="shared" si="1"/>
        <v>0.004</v>
      </c>
      <c r="D203" s="12">
        <f>IFERROR(__xludf.DUMMYFUNCTION("VLOOKUP(A203,IMPORTRANGE(""1aFCnJY1qhIj8-JckJhDJ18aqmVo17tofpQmOjcYa3u8/edit#gid=948248086"",""Whole Data Set!$A$2:$NG$253""),371,FALSE)"),0.0)</f>
        <v>0</v>
      </c>
      <c r="E203" s="13">
        <f t="shared" si="2"/>
        <v>0</v>
      </c>
      <c r="F203" s="13">
        <f t="shared" si="3"/>
        <v>0.004</v>
      </c>
    </row>
    <row r="204">
      <c r="A204" s="65" t="s">
        <v>147</v>
      </c>
      <c r="B204" s="41">
        <f>IFERROR(__xludf.DUMMYFUNCTION("VLOOKUP(A204,IMPORTRANGE(""1EmrnCz2gLVTx5Cbj0e5tfuHPhTtmru8KTGuQvh7STl0/edit#gid=2147150001"",""Whole Data Set!$A$2:$NQ$253""),381,FALSE)"),17.5)</f>
        <v>17.5</v>
      </c>
      <c r="C204" s="13">
        <f t="shared" si="1"/>
        <v>0.07</v>
      </c>
      <c r="D204" s="12">
        <f>IFERROR(__xludf.DUMMYFUNCTION("VLOOKUP(A204,IMPORTRANGE(""1aFCnJY1qhIj8-JckJhDJ18aqmVo17tofpQmOjcYa3u8/edit#gid=948248086"",""Whole Data Set!$A$2:$NG$253""),371,FALSE)"),14.5)</f>
        <v>14.5</v>
      </c>
      <c r="E204" s="13">
        <f t="shared" si="2"/>
        <v>0.058</v>
      </c>
      <c r="F204" s="13">
        <f t="shared" si="3"/>
        <v>0.012</v>
      </c>
    </row>
    <row r="205">
      <c r="A205" s="65" t="s">
        <v>197</v>
      </c>
      <c r="B205" s="41">
        <f>IFERROR(__xludf.DUMMYFUNCTION("VLOOKUP(A205,IMPORTRANGE(""1EmrnCz2gLVTx5Cbj0e5tfuHPhTtmru8KTGuQvh7STl0/edit#gid=2147150001"",""Whole Data Set!$A$2:$NQ$253""),381,FALSE)"),32.5)</f>
        <v>32.5</v>
      </c>
      <c r="C205" s="13">
        <f t="shared" si="1"/>
        <v>0.13</v>
      </c>
      <c r="D205" s="12">
        <f>IFERROR(__xludf.DUMMYFUNCTION("VLOOKUP(A205,IMPORTRANGE(""1aFCnJY1qhIj8-JckJhDJ18aqmVo17tofpQmOjcYa3u8/edit#gid=948248086"",""Whole Data Set!$A$2:$NG$253""),371,FALSE)"),35.25)</f>
        <v>35.25</v>
      </c>
      <c r="E205" s="13">
        <f t="shared" si="2"/>
        <v>0.141</v>
      </c>
      <c r="F205" s="13">
        <f t="shared" si="3"/>
        <v>-0.011</v>
      </c>
    </row>
    <row r="206">
      <c r="A206" s="65" t="s">
        <v>148</v>
      </c>
      <c r="B206" s="41">
        <f>IFERROR(__xludf.DUMMYFUNCTION("VLOOKUP(A206,IMPORTRANGE(""1EmrnCz2gLVTx5Cbj0e5tfuHPhTtmru8KTGuQvh7STl0/edit#gid=2147150001"",""Whole Data Set!$A$2:$NQ$253""),381,FALSE)"),124.5)</f>
        <v>124.5</v>
      </c>
      <c r="C206" s="13">
        <f t="shared" si="1"/>
        <v>0.498</v>
      </c>
      <c r="D206" s="12">
        <f>IFERROR(__xludf.DUMMYFUNCTION("VLOOKUP(A206,IMPORTRANGE(""1aFCnJY1qhIj8-JckJhDJ18aqmVo17tofpQmOjcYa3u8/edit#gid=948248086"",""Whole Data Set!$A$2:$NG$253""),371,FALSE)"),107.75)</f>
        <v>107.75</v>
      </c>
      <c r="E206" s="13">
        <f t="shared" si="2"/>
        <v>0.431</v>
      </c>
      <c r="F206" s="13">
        <f t="shared" si="3"/>
        <v>0.067</v>
      </c>
    </row>
    <row r="207">
      <c r="A207" s="65" t="s">
        <v>149</v>
      </c>
      <c r="B207" s="41">
        <f>IFERROR(__xludf.DUMMYFUNCTION("VLOOKUP(A207,IMPORTRANGE(""1EmrnCz2gLVTx5Cbj0e5tfuHPhTtmru8KTGuQvh7STl0/edit#gid=2147150001"",""Whole Data Set!$A$2:$NQ$253""),381,FALSE)"),121.5)</f>
        <v>121.5</v>
      </c>
      <c r="C207" s="13">
        <f t="shared" si="1"/>
        <v>0.486</v>
      </c>
      <c r="D207" s="12">
        <f>IFERROR(__xludf.DUMMYFUNCTION("VLOOKUP(A207,IMPORTRANGE(""1aFCnJY1qhIj8-JckJhDJ18aqmVo17tofpQmOjcYa3u8/edit#gid=948248086"",""Whole Data Set!$A$2:$NG$253""),371,FALSE)"),99.0)</f>
        <v>99</v>
      </c>
      <c r="E207" s="13">
        <f t="shared" si="2"/>
        <v>0.396</v>
      </c>
      <c r="F207" s="13">
        <f t="shared" si="3"/>
        <v>0.09</v>
      </c>
    </row>
    <row r="208">
      <c r="A208" s="65" t="s">
        <v>150</v>
      </c>
      <c r="B208" s="41">
        <f>IFERROR(__xludf.DUMMYFUNCTION("VLOOKUP(A208,IMPORTRANGE(""1EmrnCz2gLVTx5Cbj0e5tfuHPhTtmru8KTGuQvh7STl0/edit#gid=2147150001"",""Whole Data Set!$A$2:$NQ$253""),381,FALSE)"),17.75)</f>
        <v>17.75</v>
      </c>
      <c r="C208" s="13">
        <f t="shared" si="1"/>
        <v>0.071</v>
      </c>
      <c r="D208" s="12">
        <f>IFERROR(__xludf.DUMMYFUNCTION("VLOOKUP(A208,IMPORTRANGE(""1aFCnJY1qhIj8-JckJhDJ18aqmVo17tofpQmOjcYa3u8/edit#gid=948248086"",""Whole Data Set!$A$2:$NG$253""),371,FALSE)"),21.25)</f>
        <v>21.25</v>
      </c>
      <c r="E208" s="13">
        <f t="shared" si="2"/>
        <v>0.085</v>
      </c>
      <c r="F208" s="13">
        <f t="shared" si="3"/>
        <v>-0.014</v>
      </c>
    </row>
    <row r="209">
      <c r="A209" s="65" t="s">
        <v>81</v>
      </c>
      <c r="B209" s="41">
        <f>IFERROR(__xludf.DUMMYFUNCTION("VLOOKUP(A209,IMPORTRANGE(""1EmrnCz2gLVTx5Cbj0e5tfuHPhTtmru8KTGuQvh7STl0/edit#gid=2147150001"",""Whole Data Set!$A$2:$NQ$253""),381,FALSE)"),93.0)</f>
        <v>93</v>
      </c>
      <c r="C209" s="13">
        <f t="shared" si="1"/>
        <v>0.372</v>
      </c>
      <c r="D209" s="12">
        <f>IFERROR(__xludf.DUMMYFUNCTION("VLOOKUP(A209,IMPORTRANGE(""1aFCnJY1qhIj8-JckJhDJ18aqmVo17tofpQmOjcYa3u8/edit#gid=948248086"",""Whole Data Set!$A$2:$NG$253""),371,FALSE)"),90.0)</f>
        <v>90</v>
      </c>
      <c r="E209" s="13">
        <f t="shared" si="2"/>
        <v>0.36</v>
      </c>
      <c r="F209" s="13">
        <f t="shared" si="3"/>
        <v>0.012</v>
      </c>
    </row>
    <row r="210">
      <c r="A210" s="65" t="s">
        <v>253</v>
      </c>
      <c r="B210" s="41">
        <f>IFERROR(__xludf.DUMMYFUNCTION("VLOOKUP(A210,IMPORTRANGE(""1EmrnCz2gLVTx5Cbj0e5tfuHPhTtmru8KTGuQvh7STl0/edit#gid=2147150001"",""Whole Data Set!$A$2:$NQ$253""),381,FALSE)"),191.0)</f>
        <v>191</v>
      </c>
      <c r="C210" s="13">
        <f t="shared" si="1"/>
        <v>0.764</v>
      </c>
      <c r="D210" s="12">
        <f>IFERROR(__xludf.DUMMYFUNCTION("VLOOKUP(A210,IMPORTRANGE(""1aFCnJY1qhIj8-JckJhDJ18aqmVo17tofpQmOjcYa3u8/edit#gid=948248086"",""Whole Data Set!$A$2:$NG$253""),371,FALSE)"),196.0)</f>
        <v>196</v>
      </c>
      <c r="E210" s="13">
        <f t="shared" si="2"/>
        <v>0.784</v>
      </c>
      <c r="F210" s="13">
        <f t="shared" si="3"/>
        <v>-0.02</v>
      </c>
    </row>
    <row r="211">
      <c r="A211" s="65" t="s">
        <v>151</v>
      </c>
      <c r="B211" s="41">
        <f>IFERROR(__xludf.DUMMYFUNCTION("VLOOKUP(A211,IMPORTRANGE(""1EmrnCz2gLVTx5Cbj0e5tfuHPhTtmru8KTGuQvh7STl0/edit#gid=2147150001"",""Whole Data Set!$A$2:$NQ$253""),381,FALSE)"),107.0)</f>
        <v>107</v>
      </c>
      <c r="C211" s="13">
        <f t="shared" si="1"/>
        <v>0.428</v>
      </c>
      <c r="D211" s="12">
        <f>IFERROR(__xludf.DUMMYFUNCTION("VLOOKUP(A211,IMPORTRANGE(""1aFCnJY1qhIj8-JckJhDJ18aqmVo17tofpQmOjcYa3u8/edit#gid=948248086"",""Whole Data Set!$A$2:$NG$253""),371,FALSE)"),111.75)</f>
        <v>111.75</v>
      </c>
      <c r="E211" s="13">
        <f t="shared" si="2"/>
        <v>0.447</v>
      </c>
      <c r="F211" s="13">
        <f t="shared" si="3"/>
        <v>-0.019</v>
      </c>
    </row>
    <row r="212">
      <c r="A212" s="65" t="s">
        <v>198</v>
      </c>
      <c r="B212" s="41">
        <f>IFERROR(__xludf.DUMMYFUNCTION("VLOOKUP(A212,IMPORTRANGE(""1EmrnCz2gLVTx5Cbj0e5tfuHPhTtmru8KTGuQvh7STl0/edit#gid=2147150001"",""Whole Data Set!$A$2:$NQ$253""),381,FALSE)"),64.5)</f>
        <v>64.5</v>
      </c>
      <c r="C212" s="13">
        <f t="shared" si="1"/>
        <v>0.258</v>
      </c>
      <c r="D212" s="12">
        <f>IFERROR(__xludf.DUMMYFUNCTION("VLOOKUP(A212,IMPORTRANGE(""1aFCnJY1qhIj8-JckJhDJ18aqmVo17tofpQmOjcYa3u8/edit#gid=948248086"",""Whole Data Set!$A$2:$NG$253""),371,FALSE)"),59.25)</f>
        <v>59.25</v>
      </c>
      <c r="E212" s="13">
        <f t="shared" si="2"/>
        <v>0.237</v>
      </c>
      <c r="F212" s="13">
        <f t="shared" si="3"/>
        <v>0.021</v>
      </c>
    </row>
    <row r="213">
      <c r="A213" s="99" t="s">
        <v>95</v>
      </c>
      <c r="B213" s="41">
        <f>IFERROR(__xludf.DUMMYFUNCTION("VLOOKUP(A213,IMPORTRANGE(""1EmrnCz2gLVTx5Cbj0e5tfuHPhTtmru8KTGuQvh7STl0/edit#gid=2147150001"",""Whole Data Set!$A$2:$NQ$253""),381,FALSE)"),119.75)</f>
        <v>119.75</v>
      </c>
      <c r="C213" s="13">
        <f t="shared" si="1"/>
        <v>0.479</v>
      </c>
      <c r="D213" s="12">
        <f>IFERROR(__xludf.DUMMYFUNCTION("VLOOKUP(A213,IMPORTRANGE(""1aFCnJY1qhIj8-JckJhDJ18aqmVo17tofpQmOjcYa3u8/edit#gid=948248086"",""Whole Data Set!$A$2:$NG$253""),371,FALSE)"),123.5)</f>
        <v>123.5</v>
      </c>
      <c r="E213" s="13">
        <f t="shared" si="2"/>
        <v>0.494</v>
      </c>
      <c r="F213" s="13">
        <f t="shared" si="3"/>
        <v>-0.015</v>
      </c>
    </row>
    <row r="214">
      <c r="A214" s="65" t="s">
        <v>199</v>
      </c>
      <c r="B214" s="41">
        <f>IFERROR(__xludf.DUMMYFUNCTION("VLOOKUP(A214,IMPORTRANGE(""1EmrnCz2gLVTx5Cbj0e5tfuHPhTtmru8KTGuQvh7STl0/edit#gid=2147150001"",""Whole Data Set!$A$2:$NQ$253""),381,FALSE)"),156.25)</f>
        <v>156.25</v>
      </c>
      <c r="C214" s="13">
        <f t="shared" si="1"/>
        <v>0.625</v>
      </c>
      <c r="D214" s="12">
        <f>IFERROR(__xludf.DUMMYFUNCTION("VLOOKUP(A214,IMPORTRANGE(""1aFCnJY1qhIj8-JckJhDJ18aqmVo17tofpQmOjcYa3u8/edit#gid=948248086"",""Whole Data Set!$A$2:$NG$253""),371,FALSE)"),134.75)</f>
        <v>134.75</v>
      </c>
      <c r="E214" s="13">
        <f t="shared" si="2"/>
        <v>0.539</v>
      </c>
      <c r="F214" s="13">
        <f t="shared" si="3"/>
        <v>0.086</v>
      </c>
    </row>
    <row r="215">
      <c r="A215" s="65" t="s">
        <v>254</v>
      </c>
      <c r="B215" s="41">
        <f>IFERROR(__xludf.DUMMYFUNCTION("VLOOKUP(A215,IMPORTRANGE(""1EmrnCz2gLVTx5Cbj0e5tfuHPhTtmru8KTGuQvh7STl0/edit#gid=2147150001"",""Whole Data Set!$A$2:$NQ$253""),381,FALSE)"),42.25)</f>
        <v>42.25</v>
      </c>
      <c r="C215" s="13">
        <f t="shared" si="1"/>
        <v>0.169</v>
      </c>
      <c r="D215" s="12">
        <f>IFERROR(__xludf.DUMMYFUNCTION("VLOOKUP(A215,IMPORTRANGE(""1aFCnJY1qhIj8-JckJhDJ18aqmVo17tofpQmOjcYa3u8/edit#gid=948248086"",""Whole Data Set!$A$2:$NG$253""),371,FALSE)"),21.75)</f>
        <v>21.75</v>
      </c>
      <c r="E215" s="13">
        <f t="shared" si="2"/>
        <v>0.087</v>
      </c>
      <c r="F215" s="13">
        <f t="shared" si="3"/>
        <v>0.082</v>
      </c>
    </row>
    <row r="216">
      <c r="A216" s="65" t="s">
        <v>96</v>
      </c>
      <c r="B216" s="41">
        <f>IFERROR(__xludf.DUMMYFUNCTION("VLOOKUP(A216,IMPORTRANGE(""1EmrnCz2gLVTx5Cbj0e5tfuHPhTtmru8KTGuQvh7STl0/edit#gid=2147150001"",""Whole Data Set!$A$2:$NQ$253""),381,FALSE)"),163.75)</f>
        <v>163.75</v>
      </c>
      <c r="C216" s="13">
        <f t="shared" si="1"/>
        <v>0.655</v>
      </c>
      <c r="D216" s="12">
        <f>IFERROR(__xludf.DUMMYFUNCTION("VLOOKUP(A216,IMPORTRANGE(""1aFCnJY1qhIj8-JckJhDJ18aqmVo17tofpQmOjcYa3u8/edit#gid=948248086"",""Whole Data Set!$A$2:$NG$253""),371,FALSE)"),164.5)</f>
        <v>164.5</v>
      </c>
      <c r="E216" s="13">
        <f t="shared" si="2"/>
        <v>0.658</v>
      </c>
      <c r="F216" s="13">
        <f t="shared" si="3"/>
        <v>-0.003</v>
      </c>
    </row>
    <row r="217">
      <c r="A217" s="65" t="s">
        <v>255</v>
      </c>
      <c r="B217" s="41">
        <f>IFERROR(__xludf.DUMMYFUNCTION("VLOOKUP(A217,IMPORTRANGE(""1EmrnCz2gLVTx5Cbj0e5tfuHPhTtmru8KTGuQvh7STl0/edit#gid=2147150001"",""Whole Data Set!$A$2:$NQ$253""),381,FALSE)"),42.75)</f>
        <v>42.75</v>
      </c>
      <c r="C217" s="13">
        <f t="shared" si="1"/>
        <v>0.171</v>
      </c>
      <c r="D217" s="12">
        <f>IFERROR(__xludf.DUMMYFUNCTION("VLOOKUP(A217,IMPORTRANGE(""1aFCnJY1qhIj8-JckJhDJ18aqmVo17tofpQmOjcYa3u8/edit#gid=948248086"",""Whole Data Set!$A$2:$NG$253""),371,FALSE)"),62.5)</f>
        <v>62.5</v>
      </c>
      <c r="E217" s="13">
        <f t="shared" si="2"/>
        <v>0.25</v>
      </c>
      <c r="F217" s="13">
        <f t="shared" si="3"/>
        <v>-0.079</v>
      </c>
    </row>
    <row r="218">
      <c r="A218" s="65" t="s">
        <v>97</v>
      </c>
      <c r="B218" s="41">
        <f>IFERROR(__xludf.DUMMYFUNCTION("VLOOKUP(A218,IMPORTRANGE(""1EmrnCz2gLVTx5Cbj0e5tfuHPhTtmru8KTGuQvh7STl0/edit#gid=2147150001"",""Whole Data Set!$A$2:$NQ$253""),381,FALSE)"),163.75)</f>
        <v>163.75</v>
      </c>
      <c r="C218" s="13">
        <f t="shared" si="1"/>
        <v>0.655</v>
      </c>
      <c r="D218" s="12">
        <f>IFERROR(__xludf.DUMMYFUNCTION("VLOOKUP(A218,IMPORTRANGE(""1aFCnJY1qhIj8-JckJhDJ18aqmVo17tofpQmOjcYa3u8/edit#gid=948248086"",""Whole Data Set!$A$2:$NG$253""),371,FALSE)"),164.5)</f>
        <v>164.5</v>
      </c>
      <c r="E218" s="13">
        <f t="shared" si="2"/>
        <v>0.658</v>
      </c>
      <c r="F218" s="13">
        <f t="shared" si="3"/>
        <v>-0.003</v>
      </c>
    </row>
    <row r="219">
      <c r="A219" s="65" t="s">
        <v>30</v>
      </c>
      <c r="B219" s="41">
        <f>IFERROR(__xludf.DUMMYFUNCTION("VLOOKUP(A219,IMPORTRANGE(""1EmrnCz2gLVTx5Cbj0e5tfuHPhTtmru8KTGuQvh7STl0/edit#gid=2147150001"",""Whole Data Set!$A$2:$NQ$253""),381,FALSE)"),32.75)</f>
        <v>32.75</v>
      </c>
      <c r="C219" s="13">
        <f t="shared" si="1"/>
        <v>0.131</v>
      </c>
      <c r="D219" s="12">
        <f>IFERROR(__xludf.DUMMYFUNCTION("VLOOKUP(A219,IMPORTRANGE(""1aFCnJY1qhIj8-JckJhDJ18aqmVo17tofpQmOjcYa3u8/edit#gid=948248086"",""Whole Data Set!$A$2:$NG$253""),371,FALSE)"),31.75)</f>
        <v>31.75</v>
      </c>
      <c r="E219" s="13">
        <f t="shared" si="2"/>
        <v>0.127</v>
      </c>
      <c r="F219" s="13">
        <f t="shared" si="3"/>
        <v>0.004</v>
      </c>
    </row>
    <row r="220">
      <c r="A220" s="65" t="s">
        <v>200</v>
      </c>
      <c r="B220" s="41">
        <f>IFERROR(__xludf.DUMMYFUNCTION("VLOOKUP(A220,IMPORTRANGE(""1EmrnCz2gLVTx5Cbj0e5tfuHPhTtmru8KTGuQvh7STl0/edit#gid=2147150001"",""Whole Data Set!$A$2:$NQ$253""),381,FALSE)"),22.25)</f>
        <v>22.25</v>
      </c>
      <c r="C220" s="13">
        <f t="shared" si="1"/>
        <v>0.089</v>
      </c>
      <c r="D220" s="12">
        <f>IFERROR(__xludf.DUMMYFUNCTION("VLOOKUP(A220,IMPORTRANGE(""1aFCnJY1qhIj8-JckJhDJ18aqmVo17tofpQmOjcYa3u8/edit#gid=948248086"",""Whole Data Set!$A$2:$NG$253""),371,FALSE)"),23.75)</f>
        <v>23.75</v>
      </c>
      <c r="E220" s="13">
        <f t="shared" si="2"/>
        <v>0.095</v>
      </c>
      <c r="F220" s="13">
        <f t="shared" si="3"/>
        <v>-0.006</v>
      </c>
    </row>
    <row r="221">
      <c r="A221" s="65" t="s">
        <v>201</v>
      </c>
      <c r="B221" s="41">
        <f>IFERROR(__xludf.DUMMYFUNCTION("VLOOKUP(A221,IMPORTRANGE(""1EmrnCz2gLVTx5Cbj0e5tfuHPhTtmru8KTGuQvh7STl0/edit#gid=2147150001"",""Whole Data Set!$A$2:$NQ$253""),381,FALSE)"),0.5)</f>
        <v>0.5</v>
      </c>
      <c r="C221" s="13">
        <f t="shared" si="1"/>
        <v>0.002</v>
      </c>
      <c r="D221" s="12">
        <f>IFERROR(__xludf.DUMMYFUNCTION("VLOOKUP(A221,IMPORTRANGE(""1aFCnJY1qhIj8-JckJhDJ18aqmVo17tofpQmOjcYa3u8/edit#gid=948248086"",""Whole Data Set!$A$2:$NG$253""),371,FALSE)"),0.5)</f>
        <v>0.5</v>
      </c>
      <c r="E221" s="13">
        <f t="shared" si="2"/>
        <v>0.002</v>
      </c>
      <c r="F221" s="13">
        <f t="shared" si="3"/>
        <v>0</v>
      </c>
    </row>
    <row r="222">
      <c r="A222" s="65" t="s">
        <v>202</v>
      </c>
      <c r="B222" s="41">
        <f>IFERROR(__xludf.DUMMYFUNCTION("VLOOKUP(A222,IMPORTRANGE(""1EmrnCz2gLVTx5Cbj0e5tfuHPhTtmru8KTGuQvh7STl0/edit#gid=2147150001"",""Whole Data Set!$A$2:$NQ$253""),381,FALSE)"),125.5)</f>
        <v>125.5</v>
      </c>
      <c r="C222" s="13">
        <f t="shared" si="1"/>
        <v>0.502</v>
      </c>
      <c r="D222" s="12">
        <f>IFERROR(__xludf.DUMMYFUNCTION("VLOOKUP(A222,IMPORTRANGE(""1aFCnJY1qhIj8-JckJhDJ18aqmVo17tofpQmOjcYa3u8/edit#gid=948248086"",""Whole Data Set!$A$2:$NG$253""),371,FALSE)"),106.0)</f>
        <v>106</v>
      </c>
      <c r="E222" s="13">
        <f t="shared" si="2"/>
        <v>0.424</v>
      </c>
      <c r="F222" s="13">
        <f t="shared" si="3"/>
        <v>0.078</v>
      </c>
    </row>
    <row r="223">
      <c r="A223" s="65" t="s">
        <v>203</v>
      </c>
      <c r="B223" s="41">
        <f>IFERROR(__xludf.DUMMYFUNCTION("VLOOKUP(A223,IMPORTRANGE(""1EmrnCz2gLVTx5Cbj0e5tfuHPhTtmru8KTGuQvh7STl0/edit#gid=2147150001"",""Whole Data Set!$A$2:$NQ$253""),381,FALSE)"),24.0)</f>
        <v>24</v>
      </c>
      <c r="C223" s="13">
        <f t="shared" si="1"/>
        <v>0.096</v>
      </c>
      <c r="D223" s="12">
        <f>IFERROR(__xludf.DUMMYFUNCTION("VLOOKUP(A223,IMPORTRANGE(""1aFCnJY1qhIj8-JckJhDJ18aqmVo17tofpQmOjcYa3u8/edit#gid=948248086"",""Whole Data Set!$A$2:$NG$253""),371,FALSE)"),9.75)</f>
        <v>9.75</v>
      </c>
      <c r="E223" s="13">
        <f t="shared" si="2"/>
        <v>0.039</v>
      </c>
      <c r="F223" s="13">
        <f t="shared" si="3"/>
        <v>0.057</v>
      </c>
    </row>
    <row r="224">
      <c r="A224" s="65" t="s">
        <v>99</v>
      </c>
      <c r="B224" s="41">
        <f>IFERROR(__xludf.DUMMYFUNCTION("VLOOKUP(A224,IMPORTRANGE(""1EmrnCz2gLVTx5Cbj0e5tfuHPhTtmru8KTGuQvh7STl0/edit#gid=2147150001"",""Whole Data Set!$A$2:$NQ$253""),381,FALSE)"),123.75)</f>
        <v>123.75</v>
      </c>
      <c r="C224" s="13">
        <f t="shared" si="1"/>
        <v>0.495</v>
      </c>
      <c r="D224" s="12">
        <f>IFERROR(__xludf.DUMMYFUNCTION("VLOOKUP(A224,IMPORTRANGE(""1aFCnJY1qhIj8-JckJhDJ18aqmVo17tofpQmOjcYa3u8/edit#gid=948248086"",""Whole Data Set!$A$2:$NG$253""),371,FALSE)"),140.75)</f>
        <v>140.75</v>
      </c>
      <c r="E224" s="13">
        <f t="shared" si="2"/>
        <v>0.563</v>
      </c>
      <c r="F224" s="13">
        <f t="shared" si="3"/>
        <v>-0.068</v>
      </c>
    </row>
    <row r="225">
      <c r="A225" s="65" t="s">
        <v>204</v>
      </c>
      <c r="B225" s="41">
        <f>IFERROR(__xludf.DUMMYFUNCTION("VLOOKUP(A225,IMPORTRANGE(""1EmrnCz2gLVTx5Cbj0e5tfuHPhTtmru8KTGuQvh7STl0/edit#gid=2147150001"",""Whole Data Set!$A$2:$NQ$253""),381,FALSE)"),32.75)</f>
        <v>32.75</v>
      </c>
      <c r="C225" s="13">
        <f t="shared" si="1"/>
        <v>0.131</v>
      </c>
      <c r="D225" s="12">
        <f>IFERROR(__xludf.DUMMYFUNCTION("VLOOKUP(A225,IMPORTRANGE(""1aFCnJY1qhIj8-JckJhDJ18aqmVo17tofpQmOjcYa3u8/edit#gid=948248086"",""Whole Data Set!$A$2:$NG$253""),371,FALSE)"),42.75)</f>
        <v>42.75</v>
      </c>
      <c r="E225" s="13">
        <f t="shared" si="2"/>
        <v>0.171</v>
      </c>
      <c r="F225" s="13">
        <f t="shared" si="3"/>
        <v>-0.04</v>
      </c>
    </row>
    <row r="226">
      <c r="A226" s="65" t="s">
        <v>152</v>
      </c>
      <c r="B226" s="41">
        <f>IFERROR(__xludf.DUMMYFUNCTION("VLOOKUP(A226,IMPORTRANGE(""1EmrnCz2gLVTx5Cbj0e5tfuHPhTtmru8KTGuQvh7STl0/edit#gid=2147150001"",""Whole Data Set!$A$2:$NQ$253""),381,FALSE)"),1.25)</f>
        <v>1.25</v>
      </c>
      <c r="C226" s="13">
        <f t="shared" si="1"/>
        <v>0.005</v>
      </c>
      <c r="D226" s="12">
        <f>IFERROR(__xludf.DUMMYFUNCTION("VLOOKUP(A226,IMPORTRANGE(""1aFCnJY1qhIj8-JckJhDJ18aqmVo17tofpQmOjcYa3u8/edit#gid=948248086"",""Whole Data Set!$A$2:$NG$253""),371,FALSE)"),1.25)</f>
        <v>1.25</v>
      </c>
      <c r="E226" s="13">
        <f t="shared" si="2"/>
        <v>0.005</v>
      </c>
      <c r="F226" s="13">
        <f t="shared" si="3"/>
        <v>0</v>
      </c>
    </row>
    <row r="227">
      <c r="A227" s="65" t="s">
        <v>49</v>
      </c>
      <c r="B227" s="41">
        <f>IFERROR(__xludf.DUMMYFUNCTION("VLOOKUP(A227,IMPORTRANGE(""1EmrnCz2gLVTx5Cbj0e5tfuHPhTtmru8KTGuQvh7STl0/edit#gid=2147150001"",""Whole Data Set!$A$2:$NQ$253""),381,FALSE)"),18.0)</f>
        <v>18</v>
      </c>
      <c r="C227" s="13">
        <f t="shared" si="1"/>
        <v>0.072</v>
      </c>
      <c r="D227" s="12">
        <f>IFERROR(__xludf.DUMMYFUNCTION("VLOOKUP(A227,IMPORTRANGE(""1aFCnJY1qhIj8-JckJhDJ18aqmVo17tofpQmOjcYa3u8/edit#gid=948248086"",""Whole Data Set!$A$2:$NG$253""),371,FALSE)"),11.75)</f>
        <v>11.75</v>
      </c>
      <c r="E227" s="13">
        <f t="shared" si="2"/>
        <v>0.047</v>
      </c>
      <c r="F227" s="13">
        <f t="shared" si="3"/>
        <v>0.025</v>
      </c>
    </row>
    <row r="228">
      <c r="A228" s="65" t="s">
        <v>256</v>
      </c>
      <c r="B228" s="41">
        <f>IFERROR(__xludf.DUMMYFUNCTION("VLOOKUP(A228,IMPORTRANGE(""1EmrnCz2gLVTx5Cbj0e5tfuHPhTtmru8KTGuQvh7STl0/edit#gid=2147150001"",""Whole Data Set!$A$2:$NQ$253""),381,FALSE)"),18.5)</f>
        <v>18.5</v>
      </c>
      <c r="C228" s="13">
        <f t="shared" si="1"/>
        <v>0.074</v>
      </c>
      <c r="D228" s="12">
        <f>IFERROR(__xludf.DUMMYFUNCTION("VLOOKUP(A228,IMPORTRANGE(""1aFCnJY1qhIj8-JckJhDJ18aqmVo17tofpQmOjcYa3u8/edit#gid=948248086"",""Whole Data Set!$A$2:$NG$253""),371,FALSE)"),10.25)</f>
        <v>10.25</v>
      </c>
      <c r="E228" s="13">
        <f t="shared" si="2"/>
        <v>0.041</v>
      </c>
      <c r="F228" s="13">
        <f t="shared" si="3"/>
        <v>0.033</v>
      </c>
    </row>
    <row r="229">
      <c r="A229" s="65" t="s">
        <v>205</v>
      </c>
      <c r="B229" s="41">
        <f>IFERROR(__xludf.DUMMYFUNCTION("VLOOKUP(A229,IMPORTRANGE(""1EmrnCz2gLVTx5Cbj0e5tfuHPhTtmru8KTGuQvh7STl0/edit#gid=2147150001"",""Whole Data Set!$A$2:$NQ$253""),381,FALSE)"),141.75)</f>
        <v>141.75</v>
      </c>
      <c r="C229" s="13">
        <f t="shared" si="1"/>
        <v>0.567</v>
      </c>
      <c r="D229" s="12">
        <f>IFERROR(__xludf.DUMMYFUNCTION("VLOOKUP(A229,IMPORTRANGE(""1aFCnJY1qhIj8-JckJhDJ18aqmVo17tofpQmOjcYa3u8/edit#gid=948248086"",""Whole Data Set!$A$2:$NG$253""),371,FALSE)"),139.0)</f>
        <v>139</v>
      </c>
      <c r="E229" s="13">
        <f t="shared" si="2"/>
        <v>0.556</v>
      </c>
      <c r="F229" s="13">
        <f t="shared" si="3"/>
        <v>0.011</v>
      </c>
    </row>
    <row r="230">
      <c r="A230" s="65" t="s">
        <v>101</v>
      </c>
      <c r="B230" s="41">
        <f>IFERROR(__xludf.DUMMYFUNCTION("VLOOKUP(A230,IMPORTRANGE(""1EmrnCz2gLVTx5Cbj0e5tfuHPhTtmru8KTGuQvh7STl0/edit#gid=2147150001"",""Whole Data Set!$A$2:$NQ$253""),381,FALSE)"),69.25)</f>
        <v>69.25</v>
      </c>
      <c r="C230" s="13">
        <f t="shared" si="1"/>
        <v>0.277</v>
      </c>
      <c r="D230" s="12">
        <f>IFERROR(__xludf.DUMMYFUNCTION("VLOOKUP(A230,IMPORTRANGE(""1aFCnJY1qhIj8-JckJhDJ18aqmVo17tofpQmOjcYa3u8/edit#gid=948248086"",""Whole Data Set!$A$2:$NG$253""),371,FALSE)"),54.75)</f>
        <v>54.75</v>
      </c>
      <c r="E230" s="13">
        <f t="shared" si="2"/>
        <v>0.219</v>
      </c>
      <c r="F230" s="13">
        <f t="shared" si="3"/>
        <v>0.058</v>
      </c>
    </row>
    <row r="231">
      <c r="A231" s="65" t="s">
        <v>102</v>
      </c>
      <c r="B231" s="41">
        <f>IFERROR(__xludf.DUMMYFUNCTION("VLOOKUP(A231,IMPORTRANGE(""1EmrnCz2gLVTx5Cbj0e5tfuHPhTtmru8KTGuQvh7STl0/edit#gid=2147150001"",""Whole Data Set!$A$2:$NQ$253""),381,FALSE)"),126.5)</f>
        <v>126.5</v>
      </c>
      <c r="C231" s="13">
        <f t="shared" si="1"/>
        <v>0.506</v>
      </c>
      <c r="D231" s="12">
        <f>IFERROR(__xludf.DUMMYFUNCTION("VLOOKUP(A231,IMPORTRANGE(""1aFCnJY1qhIj8-JckJhDJ18aqmVo17tofpQmOjcYa3u8/edit#gid=948248086"",""Whole Data Set!$A$2:$NG$253""),371,FALSE)"),123.5)</f>
        <v>123.5</v>
      </c>
      <c r="E231" s="13">
        <f t="shared" si="2"/>
        <v>0.494</v>
      </c>
      <c r="F231" s="13">
        <f t="shared" si="3"/>
        <v>0.012</v>
      </c>
    </row>
    <row r="232">
      <c r="A232" s="65" t="s">
        <v>257</v>
      </c>
      <c r="B232" s="41">
        <f>IFERROR(__xludf.DUMMYFUNCTION("VLOOKUP(A232,IMPORTRANGE(""1EmrnCz2gLVTx5Cbj0e5tfuHPhTtmru8KTGuQvh7STl0/edit#gid=2147150001"",""Whole Data Set!$A$2:$NQ$253""),381,FALSE)"),41.5)</f>
        <v>41.5</v>
      </c>
      <c r="C232" s="13">
        <f t="shared" si="1"/>
        <v>0.166</v>
      </c>
      <c r="D232" s="12">
        <f>IFERROR(__xludf.DUMMYFUNCTION("VLOOKUP(A232,IMPORTRANGE(""1aFCnJY1qhIj8-JckJhDJ18aqmVo17tofpQmOjcYa3u8/edit#gid=948248086"",""Whole Data Set!$A$2:$NG$253""),371,FALSE)"),23.0)</f>
        <v>23</v>
      </c>
      <c r="E232" s="13">
        <f t="shared" si="2"/>
        <v>0.092</v>
      </c>
      <c r="F232" s="13">
        <f t="shared" si="3"/>
        <v>0.074</v>
      </c>
    </row>
    <row r="233">
      <c r="A233" s="65" t="s">
        <v>103</v>
      </c>
      <c r="B233" s="41">
        <f>IFERROR(__xludf.DUMMYFUNCTION("VLOOKUP(A233,IMPORTRANGE(""1EmrnCz2gLVTx5Cbj0e5tfuHPhTtmru8KTGuQvh7STl0/edit#gid=2147150001"",""Whole Data Set!$A$2:$NQ$253""),381,FALSE)"),182.5)</f>
        <v>182.5</v>
      </c>
      <c r="C233" s="13">
        <f t="shared" si="1"/>
        <v>0.73</v>
      </c>
      <c r="D233" s="12">
        <f>IFERROR(__xludf.DUMMYFUNCTION("VLOOKUP(A233,IMPORTRANGE(""1aFCnJY1qhIj8-JckJhDJ18aqmVo17tofpQmOjcYa3u8/edit#gid=948248086"",""Whole Data Set!$A$2:$NG$253""),371,FALSE)"),158.0)</f>
        <v>158</v>
      </c>
      <c r="E233" s="13">
        <f t="shared" si="2"/>
        <v>0.632</v>
      </c>
      <c r="F233" s="13">
        <f t="shared" si="3"/>
        <v>0.098</v>
      </c>
    </row>
    <row r="234">
      <c r="A234" s="65" t="s">
        <v>104</v>
      </c>
      <c r="B234" s="41">
        <f>IFERROR(__xludf.DUMMYFUNCTION("VLOOKUP(A234,IMPORTRANGE(""1EmrnCz2gLVTx5Cbj0e5tfuHPhTtmru8KTGuQvh7STl0/edit#gid=2147150001"",""Whole Data Set!$A$2:$NQ$253""),381,FALSE)"),32.5)</f>
        <v>32.5</v>
      </c>
      <c r="C234" s="13">
        <f t="shared" si="1"/>
        <v>0.13</v>
      </c>
      <c r="D234" s="12">
        <f>IFERROR(__xludf.DUMMYFUNCTION("VLOOKUP(A234,IMPORTRANGE(""1aFCnJY1qhIj8-JckJhDJ18aqmVo17tofpQmOjcYa3u8/edit#gid=948248086"",""Whole Data Set!$A$2:$NG$253""),371,FALSE)"),34.75)</f>
        <v>34.75</v>
      </c>
      <c r="E234" s="13">
        <f t="shared" si="2"/>
        <v>0.139</v>
      </c>
      <c r="F234" s="13">
        <f t="shared" si="3"/>
        <v>-0.009</v>
      </c>
    </row>
    <row r="235">
      <c r="A235" s="65" t="s">
        <v>153</v>
      </c>
      <c r="B235" s="41">
        <f>IFERROR(__xludf.DUMMYFUNCTION("VLOOKUP(A235,IMPORTRANGE(""1EmrnCz2gLVTx5Cbj0e5tfuHPhTtmru8KTGuQvh7STl0/edit#gid=2147150001"",""Whole Data Set!$A$2:$NQ$253""),381,FALSE)"),43.75)</f>
        <v>43.75</v>
      </c>
      <c r="C235" s="13">
        <f t="shared" si="1"/>
        <v>0.175</v>
      </c>
      <c r="D235" s="12">
        <f>IFERROR(__xludf.DUMMYFUNCTION("VLOOKUP(A235,IMPORTRANGE(""1aFCnJY1qhIj8-JckJhDJ18aqmVo17tofpQmOjcYa3u8/edit#gid=948248086"",""Whole Data Set!$A$2:$NG$253""),371,FALSE)"),12.25)</f>
        <v>12.25</v>
      </c>
      <c r="E235" s="13">
        <f t="shared" si="2"/>
        <v>0.049</v>
      </c>
      <c r="F235" s="13">
        <f t="shared" si="3"/>
        <v>0.126</v>
      </c>
    </row>
    <row r="236">
      <c r="A236" s="65" t="s">
        <v>154</v>
      </c>
      <c r="B236" s="41">
        <f>IFERROR(__xludf.DUMMYFUNCTION("VLOOKUP(A236,IMPORTRANGE(""1EmrnCz2gLVTx5Cbj0e5tfuHPhTtmru8KTGuQvh7STl0/edit#gid=2147150001"",""Whole Data Set!$A$2:$NQ$253""),381,FALSE)"),0.0)</f>
        <v>0</v>
      </c>
      <c r="C236" s="13">
        <f t="shared" si="1"/>
        <v>0</v>
      </c>
      <c r="D236" s="12">
        <f>IFERROR(__xludf.DUMMYFUNCTION("VLOOKUP(A236,IMPORTRANGE(""1aFCnJY1qhIj8-JckJhDJ18aqmVo17tofpQmOjcYa3u8/edit#gid=948248086"",""Whole Data Set!$A$2:$NG$253""),371,FALSE)"),1.75)</f>
        <v>1.75</v>
      </c>
      <c r="E236" s="13">
        <f t="shared" si="2"/>
        <v>0.007</v>
      </c>
      <c r="F236" s="13">
        <f t="shared" si="3"/>
        <v>-0.007</v>
      </c>
    </row>
    <row r="237">
      <c r="A237" s="65" t="s">
        <v>155</v>
      </c>
      <c r="B237" s="41">
        <f>IFERROR(__xludf.DUMMYFUNCTION("VLOOKUP(A237,IMPORTRANGE(""1EmrnCz2gLVTx5Cbj0e5tfuHPhTtmru8KTGuQvh7STl0/edit#gid=2147150001"",""Whole Data Set!$A$2:$NQ$253""),381,FALSE)"),162.75)</f>
        <v>162.75</v>
      </c>
      <c r="C237" s="13">
        <f t="shared" si="1"/>
        <v>0.651</v>
      </c>
      <c r="D237" s="12">
        <f>IFERROR(__xludf.DUMMYFUNCTION("VLOOKUP(A237,IMPORTRANGE(""1aFCnJY1qhIj8-JckJhDJ18aqmVo17tofpQmOjcYa3u8/edit#gid=948248086"",""Whole Data Set!$A$2:$NG$253""),371,FALSE)"),161.5)</f>
        <v>161.5</v>
      </c>
      <c r="E237" s="13">
        <f t="shared" si="2"/>
        <v>0.646</v>
      </c>
      <c r="F237" s="13">
        <f t="shared" si="3"/>
        <v>0.005</v>
      </c>
    </row>
    <row r="238">
      <c r="A238" s="65" t="s">
        <v>156</v>
      </c>
      <c r="B238" s="41">
        <f>IFERROR(__xludf.DUMMYFUNCTION("VLOOKUP(A238,IMPORTRANGE(""1EmrnCz2gLVTx5Cbj0e5tfuHPhTtmru8KTGuQvh7STl0/edit#gid=2147150001"",""Whole Data Set!$A$2:$NQ$253""),381,FALSE)"),102.0)</f>
        <v>102</v>
      </c>
      <c r="C238" s="13">
        <f t="shared" si="1"/>
        <v>0.408</v>
      </c>
      <c r="D238" s="12">
        <f>IFERROR(__xludf.DUMMYFUNCTION("VLOOKUP(A238,IMPORTRANGE(""1aFCnJY1qhIj8-JckJhDJ18aqmVo17tofpQmOjcYa3u8/edit#gid=948248086"",""Whole Data Set!$A$2:$NG$253""),371,FALSE)"),90.75)</f>
        <v>90.75</v>
      </c>
      <c r="E238" s="13">
        <f t="shared" si="2"/>
        <v>0.363</v>
      </c>
      <c r="F238" s="13">
        <f t="shared" si="3"/>
        <v>0.045</v>
      </c>
    </row>
    <row r="239">
      <c r="A239" s="65" t="s">
        <v>157</v>
      </c>
      <c r="B239" s="41">
        <f>IFERROR(__xludf.DUMMYFUNCTION("VLOOKUP(A239,IMPORTRANGE(""1EmrnCz2gLVTx5Cbj0e5tfuHPhTtmru8KTGuQvh7STl0/edit#gid=2147150001"",""Whole Data Set!$A$2:$NQ$253""),381,FALSE)"),58.75)</f>
        <v>58.75</v>
      </c>
      <c r="C239" s="13">
        <f t="shared" si="1"/>
        <v>0.235</v>
      </c>
      <c r="D239" s="12">
        <f>IFERROR(__xludf.DUMMYFUNCTION("VLOOKUP(A239,IMPORTRANGE(""1aFCnJY1qhIj8-JckJhDJ18aqmVo17tofpQmOjcYa3u8/edit#gid=948248086"",""Whole Data Set!$A$2:$NG$253""),371,FALSE)"),33.0)</f>
        <v>33</v>
      </c>
      <c r="E239" s="13">
        <f t="shared" si="2"/>
        <v>0.132</v>
      </c>
      <c r="F239" s="13">
        <f t="shared" si="3"/>
        <v>0.103</v>
      </c>
    </row>
    <row r="240">
      <c r="A240" s="65" t="s">
        <v>206</v>
      </c>
      <c r="B240" s="41">
        <f>IFERROR(__xludf.DUMMYFUNCTION("VLOOKUP(A240,IMPORTRANGE(""1EmrnCz2gLVTx5Cbj0e5tfuHPhTtmru8KTGuQvh7STl0/edit#gid=2147150001"",""Whole Data Set!$A$2:$NQ$253""),381,FALSE)"),67.25)</f>
        <v>67.25</v>
      </c>
      <c r="C240" s="13">
        <f t="shared" si="1"/>
        <v>0.269</v>
      </c>
      <c r="D240" s="12">
        <f>IFERROR(__xludf.DUMMYFUNCTION("VLOOKUP(A240,IMPORTRANGE(""1aFCnJY1qhIj8-JckJhDJ18aqmVo17tofpQmOjcYa3u8/edit#gid=948248086"",""Whole Data Set!$A$2:$NG$253""),371,FALSE)"),53.75)</f>
        <v>53.75</v>
      </c>
      <c r="E240" s="13">
        <f t="shared" si="2"/>
        <v>0.215</v>
      </c>
      <c r="F240" s="13">
        <f t="shared" si="3"/>
        <v>0.054</v>
      </c>
    </row>
    <row r="241">
      <c r="A241" s="100" t="s">
        <v>105</v>
      </c>
      <c r="B241" s="41">
        <f>IFERROR(__xludf.DUMMYFUNCTION("VLOOKUP(A241,IMPORTRANGE(""1EmrnCz2gLVTx5Cbj0e5tfuHPhTtmru8KTGuQvh7STl0/edit#gid=2147150001"",""Whole Data Set!$A$2:$NQ$253""),381,FALSE)"),47.25)</f>
        <v>47.25</v>
      </c>
      <c r="C241" s="13">
        <f t="shared" si="1"/>
        <v>0.189</v>
      </c>
      <c r="D241" s="12">
        <f>IFERROR(__xludf.DUMMYFUNCTION("VLOOKUP(A241,IMPORTRANGE(""1aFCnJY1qhIj8-JckJhDJ18aqmVo17tofpQmOjcYa3u8/edit#gid=948248086"",""Whole Data Set!$A$2:$NG$253""),371,FALSE)"),44.75)</f>
        <v>44.75</v>
      </c>
      <c r="E241" s="13">
        <f t="shared" si="2"/>
        <v>0.179</v>
      </c>
      <c r="F241" s="13">
        <f t="shared" si="3"/>
        <v>0.01</v>
      </c>
    </row>
    <row r="242">
      <c r="A242" s="65" t="s">
        <v>56</v>
      </c>
      <c r="B242" s="41">
        <f>IFERROR(__xludf.DUMMYFUNCTION("VLOOKUP(A242,IMPORTRANGE(""1EmrnCz2gLVTx5Cbj0e5tfuHPhTtmru8KTGuQvh7STl0/edit#gid=2147150001"",""Whole Data Set!$A$2:$NQ$253""),381,FALSE)"),57.0)</f>
        <v>57</v>
      </c>
      <c r="C242" s="13">
        <f t="shared" si="1"/>
        <v>0.228</v>
      </c>
      <c r="D242" s="12">
        <f>IFERROR(__xludf.DUMMYFUNCTION("VLOOKUP(A242,IMPORTRANGE(""1aFCnJY1qhIj8-JckJhDJ18aqmVo17tofpQmOjcYa3u8/edit#gid=948248086"",""Whole Data Set!$A$2:$NG$253""),371,FALSE)"),60.5)</f>
        <v>60.5</v>
      </c>
      <c r="E242" s="13">
        <f t="shared" si="2"/>
        <v>0.242</v>
      </c>
      <c r="F242" s="13">
        <f t="shared" si="3"/>
        <v>-0.014</v>
      </c>
    </row>
    <row r="243">
      <c r="A243" s="65" t="s">
        <v>258</v>
      </c>
      <c r="B243" s="41">
        <f>IFERROR(__xludf.DUMMYFUNCTION("VLOOKUP(A243,IMPORTRANGE(""1EmrnCz2gLVTx5Cbj0e5tfuHPhTtmru8KTGuQvh7STl0/edit#gid=2147150001"",""Whole Data Set!$A$2:$NQ$253""),381,FALSE)"),73.5)</f>
        <v>73.5</v>
      </c>
      <c r="C243" s="13">
        <f t="shared" si="1"/>
        <v>0.294</v>
      </c>
      <c r="D243" s="12">
        <f>IFERROR(__xludf.DUMMYFUNCTION("VLOOKUP(A243,IMPORTRANGE(""1aFCnJY1qhIj8-JckJhDJ18aqmVo17tofpQmOjcYa3u8/edit#gid=948248086"",""Whole Data Set!$A$2:$NG$253""),371,FALSE)"),66.0)</f>
        <v>66</v>
      </c>
      <c r="E243" s="13">
        <f t="shared" si="2"/>
        <v>0.264</v>
      </c>
      <c r="F243" s="13">
        <f t="shared" si="3"/>
        <v>0.03</v>
      </c>
    </row>
    <row r="244">
      <c r="A244" s="65" t="s">
        <v>107</v>
      </c>
      <c r="B244" s="41">
        <f>IFERROR(__xludf.DUMMYFUNCTION("VLOOKUP(A244,IMPORTRANGE(""1EmrnCz2gLVTx5Cbj0e5tfuHPhTtmru8KTGuQvh7STl0/edit#gid=2147150001"",""Whole Data Set!$A$2:$NQ$253""),381,FALSE)"),82.25)</f>
        <v>82.25</v>
      </c>
      <c r="C244" s="13">
        <f t="shared" si="1"/>
        <v>0.329</v>
      </c>
      <c r="D244" s="12">
        <f>IFERROR(__xludf.DUMMYFUNCTION("VLOOKUP(A244,IMPORTRANGE(""1aFCnJY1qhIj8-JckJhDJ18aqmVo17tofpQmOjcYa3u8/edit#gid=948248086"",""Whole Data Set!$A$2:$NG$253""),371,FALSE)"),111.25)</f>
        <v>111.25</v>
      </c>
      <c r="E244" s="13">
        <f t="shared" si="2"/>
        <v>0.445</v>
      </c>
      <c r="F244" s="13">
        <f t="shared" si="3"/>
        <v>-0.116</v>
      </c>
    </row>
    <row r="245">
      <c r="A245" s="65" t="s">
        <v>158</v>
      </c>
      <c r="B245" s="41">
        <f>IFERROR(__xludf.DUMMYFUNCTION("VLOOKUP(A245,IMPORTRANGE(""1EmrnCz2gLVTx5Cbj0e5tfuHPhTtmru8KTGuQvh7STl0/edit#gid=2147150001"",""Whole Data Set!$A$2:$NQ$253""),381,FALSE)"),0.0)</f>
        <v>0</v>
      </c>
      <c r="C245" s="13">
        <f t="shared" si="1"/>
        <v>0</v>
      </c>
      <c r="D245" s="12">
        <f>IFERROR(__xludf.DUMMYFUNCTION("VLOOKUP(A245,IMPORTRANGE(""1aFCnJY1qhIj8-JckJhDJ18aqmVo17tofpQmOjcYa3u8/edit#gid=948248086"",""Whole Data Set!$A$2:$NG$253""),371,FALSE)"),0.0)</f>
        <v>0</v>
      </c>
      <c r="E245" s="13">
        <f t="shared" si="2"/>
        <v>0</v>
      </c>
      <c r="F245" s="13">
        <f t="shared" si="3"/>
        <v>0</v>
      </c>
    </row>
    <row r="246">
      <c r="A246" s="65" t="s">
        <v>108</v>
      </c>
      <c r="B246" s="41">
        <f>IFERROR(__xludf.DUMMYFUNCTION("VLOOKUP(A246,IMPORTRANGE(""1EmrnCz2gLVTx5Cbj0e5tfuHPhTtmru8KTGuQvh7STl0/edit#gid=2147150001"",""Whole Data Set!$A$2:$NQ$253""),381,FALSE)"),99.75)</f>
        <v>99.75</v>
      </c>
      <c r="C246" s="13">
        <f t="shared" si="1"/>
        <v>0.399</v>
      </c>
      <c r="D246" s="12">
        <f>IFERROR(__xludf.DUMMYFUNCTION("VLOOKUP(A246,IMPORTRANGE(""1aFCnJY1qhIj8-JckJhDJ18aqmVo17tofpQmOjcYa3u8/edit#gid=948248086"",""Whole Data Set!$A$2:$NG$253""),371,FALSE)"),110.0)</f>
        <v>110</v>
      </c>
      <c r="E246" s="13">
        <f t="shared" si="2"/>
        <v>0.44</v>
      </c>
      <c r="F246" s="13">
        <f t="shared" si="3"/>
        <v>-0.041</v>
      </c>
    </row>
    <row r="247">
      <c r="A247" s="65" t="s">
        <v>109</v>
      </c>
      <c r="B247" s="41">
        <f>IFERROR(__xludf.DUMMYFUNCTION("VLOOKUP(A247,IMPORTRANGE(""1EmrnCz2gLVTx5Cbj0e5tfuHPhTtmru8KTGuQvh7STl0/edit#gid=2147150001"",""Whole Data Set!$A$2:$NQ$253""),381,FALSE)"),124.5)</f>
        <v>124.5</v>
      </c>
      <c r="C247" s="13">
        <f t="shared" si="1"/>
        <v>0.498</v>
      </c>
      <c r="D247" s="12">
        <f>IFERROR(__xludf.DUMMYFUNCTION("VLOOKUP(A247,IMPORTRANGE(""1aFCnJY1qhIj8-JckJhDJ18aqmVo17tofpQmOjcYa3u8/edit#gid=948248086"",""Whole Data Set!$A$2:$NG$253""),371,FALSE)"),107.75)</f>
        <v>107.75</v>
      </c>
      <c r="E247" s="13">
        <f t="shared" si="2"/>
        <v>0.431</v>
      </c>
      <c r="F247" s="13">
        <f t="shared" si="3"/>
        <v>0.067</v>
      </c>
    </row>
    <row r="248">
      <c r="A248" s="65" t="s">
        <v>259</v>
      </c>
      <c r="B248" s="41">
        <f>IFERROR(__xludf.DUMMYFUNCTION("VLOOKUP(A248,IMPORTRANGE(""1EmrnCz2gLVTx5Cbj0e5tfuHPhTtmru8KTGuQvh7STl0/edit#gid=2147150001"",""Whole Data Set!$A$2:$NQ$253""),381,FALSE)"),134.5)</f>
        <v>134.5</v>
      </c>
      <c r="C248" s="13">
        <f t="shared" si="1"/>
        <v>0.538</v>
      </c>
      <c r="D248" s="12">
        <f>IFERROR(__xludf.DUMMYFUNCTION("VLOOKUP(A248,IMPORTRANGE(""1aFCnJY1qhIj8-JckJhDJ18aqmVo17tofpQmOjcYa3u8/edit#gid=948248086"",""Whole Data Set!$A$2:$NG$253""),371,FALSE)"),143.0)</f>
        <v>143</v>
      </c>
      <c r="E248" s="13">
        <f t="shared" si="2"/>
        <v>0.572</v>
      </c>
      <c r="F248" s="13">
        <f t="shared" si="3"/>
        <v>-0.034</v>
      </c>
    </row>
    <row r="249">
      <c r="B249" s="68">
        <f t="shared" ref="B249:E249" si="4">AVERAGE(B159:B248)</f>
        <v>71.13888889</v>
      </c>
      <c r="C249" s="67">
        <f t="shared" si="4"/>
        <v>0.2845555556</v>
      </c>
      <c r="D249" s="69">
        <f t="shared" si="4"/>
        <v>67.08055556</v>
      </c>
      <c r="E249" s="70">
        <f t="shared" si="4"/>
        <v>0.2683222222</v>
      </c>
      <c r="F249" s="103">
        <f t="shared" si="3"/>
        <v>0.01623333333</v>
      </c>
    </row>
  </sheetData>
  <autoFilter ref="$A$1:$Z$249">
    <sortState ref="A1:Z249">
      <sortCondition ref="A1:A249"/>
    </sortState>
  </autoFilter>
  <conditionalFormatting sqref="B249:E249">
    <cfRule type="expression" dxfId="0" priority="1">
      <formula>COUNTIF($A$3:$A$268,B249)&gt;0</formula>
    </cfRule>
  </conditionalFormatting>
  <conditionalFormatting sqref="B249">
    <cfRule type="expression" dxfId="0" priority="2">
      <formula>COUNTIF($A$3:$A$138,B249)&gt;0</formula>
    </cfRule>
  </conditionalFormatting>
  <conditionalFormatting sqref="B249">
    <cfRule type="expression" dxfId="0" priority="3">
      <formula>COUNTIF($A$3:$A$187,B249)&gt;0</formula>
    </cfRule>
  </conditionalFormatting>
  <conditionalFormatting sqref="B249">
    <cfRule type="expression" dxfId="0" priority="4">
      <formula>COUNTIF($A$3:$A$252,B249)&gt;0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04" t="s">
        <v>279</v>
      </c>
      <c r="B1" s="2" t="s">
        <v>280</v>
      </c>
      <c r="C1" s="61" t="s">
        <v>281</v>
      </c>
      <c r="D1" s="3" t="s">
        <v>282</v>
      </c>
      <c r="E1" s="4" t="s">
        <v>283</v>
      </c>
      <c r="F1" s="2" t="s">
        <v>284</v>
      </c>
      <c r="G1" s="62" t="s">
        <v>285</v>
      </c>
      <c r="H1" s="105" t="s">
        <v>286</v>
      </c>
      <c r="I1" s="2" t="s">
        <v>287</v>
      </c>
      <c r="J1" s="7" t="s">
        <v>288</v>
      </c>
      <c r="K1" s="7" t="s">
        <v>289</v>
      </c>
      <c r="L1" s="2" t="s">
        <v>290</v>
      </c>
      <c r="M1" s="8" t="s">
        <v>291</v>
      </c>
      <c r="N1" s="8" t="s">
        <v>292</v>
      </c>
      <c r="O1" s="2" t="s">
        <v>293</v>
      </c>
      <c r="P1" s="106" t="s">
        <v>294</v>
      </c>
      <c r="Q1" s="106" t="s">
        <v>295</v>
      </c>
      <c r="R1" s="2" t="s">
        <v>296</v>
      </c>
      <c r="S1" s="36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107" t="s">
        <v>20</v>
      </c>
      <c r="B2" s="16">
        <f>IFERROR(__xludf.DUMMYFUNCTION("VLOOKUP(A2,IMPORTRANGE(""1aFCnJY1qhIj8-JckJhDJ18aqmVo17tofpQmOjcYa3u8/edit#gid=590920912"",""S1 Totals!$A$2:$O$255""),2,FALSE)"),19.75)</f>
        <v>19.75</v>
      </c>
      <c r="C2" s="15">
        <f>IFERROR(__xludf.DUMMYFUNCTION("VLOOKUP(A2,IMPORTRANGE(""1aFCnJY1qhIj8-JckJhDJ18aqmVo17tofpQmOjcYa3u8/edit#gid=590920912"",""S1 Totals!$A$2:$O$255""),3,FALSE)"),0.5984848484848485)</f>
        <v>0.5984848485</v>
      </c>
      <c r="D2" s="16">
        <f>IFERROR(__xludf.DUMMYFUNCTION("VLOOKUP(A2,IMPORTRANGE(""1QZ5UxyNCwadreQAXnQ7oCoH982DjIA-QnZdO7ZoqkC0/edit#gid=884617569"",""S1 Totals!$A$2:$O$255""),2,FALSE)"),18.75)</f>
        <v>18.75</v>
      </c>
      <c r="E2" s="15">
        <f>IFERROR(__xludf.DUMMYFUNCTION("VLOOKUP(A2,IMPORTRANGE(""1QZ5UxyNCwadreQAXnQ7oCoH982DjIA-QnZdO7ZoqkC0/edit#gid=884617569"",""S1 Totals!$A$2:$O$255""),3,FALSE)"),0.5681818181818182)</f>
        <v>0.5681818182</v>
      </c>
      <c r="F2" s="108">
        <f t="shared" ref="F2:F251" si="1">C2-E2</f>
        <v>0.0303030303</v>
      </c>
      <c r="G2" s="16">
        <f>IFERROR(__xludf.DUMMYFUNCTION("VLOOKUP(A2,IMPORTRANGE(""1QZ5UxyNCwadreQAXnQ7oCoH982DjIA-QnZdO7ZoqkC0/edit#gid=884617569"",""S1 Totals!$A$2:$O$255""),4,FALSE)"),30.0)</f>
        <v>30</v>
      </c>
      <c r="H2" s="15">
        <f>IFERROR(__xludf.DUMMYFUNCTION("VLOOKUP(A2,IMPORTRANGE(""1QZ5UxyNCwadreQAXnQ7oCoH982DjIA-QnZdO7ZoqkC0/edit#gid=884617569"",""S1 Totals!$A$2:$O$255""),5,FALSE)"),0.6382978723404256)</f>
        <v>0.6382978723</v>
      </c>
      <c r="I2" s="108">
        <f t="shared" ref="I2:I251" si="2">C2-H2</f>
        <v>-0.03981302386</v>
      </c>
      <c r="J2" s="16">
        <f>IFERROR(__xludf.DUMMYFUNCTION("VLOOKUP(A2,IMPORTRANGE(""1QZ5UxyNCwadreQAXnQ7oCoH982DjIA-QnZdO7ZoqkC0/edit#gid=884617569"",""S1 Totals!$A$2:$O$255""),7,FALSE)"),21.0)</f>
        <v>21</v>
      </c>
      <c r="K2" s="15">
        <f>IFERROR(__xludf.DUMMYFUNCTION("VLOOKUP(A2,IMPORTRANGE(""1QZ5UxyNCwadreQAXnQ7oCoH982DjIA-QnZdO7ZoqkC0/edit#gid=884617569"",""S1 Totals!$A$2:$O$255""),8,FALSE)"),0.42857142857142855)</f>
        <v>0.4285714286</v>
      </c>
      <c r="L2" s="109">
        <f t="shared" ref="L2:L251" si="3">E2-K2</f>
        <v>0.1396103896</v>
      </c>
      <c r="M2" s="16">
        <f>IFERROR(__xludf.DUMMYFUNCTION("VLOOKUP(A2,IMPORTRANGE(""1QZ5UxyNCwadreQAXnQ7oCoH982DjIA-QnZdO7ZoqkC0/edit#gid=884617569"",""S1 Totals!$A$2:$O$256""),10,FALSE)"),14.0)</f>
        <v>14</v>
      </c>
      <c r="N2" s="15">
        <f>IFERROR(__xludf.DUMMYFUNCTION("VLOOKUP(A2,IMPORTRANGE(""1QZ5UxyNCwadreQAXnQ7oCoH982DjIA-QnZdO7ZoqkC0/edit#gid=884617569"",""S1 Totals!$A$2:$O$256""),11,FALSE)"),0.2916666666666667)</f>
        <v>0.2916666667</v>
      </c>
      <c r="O2" s="110">
        <f t="shared" ref="O2:O5" si="4">C2-N2</f>
        <v>0.3068181818</v>
      </c>
      <c r="P2" s="16">
        <f>IFERROR(__xludf.DUMMYFUNCTION("VLOOKUP(A2,IMPORTRANGE(""1QZ5UxyNCwadreQAXnQ7oCoH982DjIA-QnZdO7ZoqkC0/edit#gid=884617569"",""S1 Totals!$A$2:$O$256""),13,FALSE)"),6.0)</f>
        <v>6</v>
      </c>
      <c r="Q2" s="15">
        <f>IFERROR(__xludf.DUMMYFUNCTION("VLOOKUP(A2,IMPORTRANGE(""1QZ5UxyNCwadreQAXnQ7oCoH982DjIA-QnZdO7ZoqkC0/edit#gid=884617569"",""S1 Totals!$A$2:$O$256""),14,FALSE)"),0.12)</f>
        <v>0.12</v>
      </c>
      <c r="R2" s="15">
        <f t="shared" ref="R2:R125" si="5">C2-Q2</f>
        <v>0.4784848485</v>
      </c>
    </row>
    <row r="3">
      <c r="A3" s="107" t="s">
        <v>89</v>
      </c>
      <c r="B3" s="16">
        <f>IFERROR(__xludf.DUMMYFUNCTION("VLOOKUP(A3,IMPORTRANGE(""1aFCnJY1qhIj8-JckJhDJ18aqmVo17tofpQmOjcYa3u8/edit#gid=590920912"",""S1 Totals!$A$2:$O$255""),2,FALSE)"),29.0)</f>
        <v>29</v>
      </c>
      <c r="C3" s="15">
        <f>IFERROR(__xludf.DUMMYFUNCTION("VLOOKUP(A3,IMPORTRANGE(""1aFCnJY1qhIj8-JckJhDJ18aqmVo17tofpQmOjcYa3u8/edit#gid=590920912"",""S1 Totals!$A$2:$O$255""),3,FALSE)"),0.8787878787878788)</f>
        <v>0.8787878788</v>
      </c>
      <c r="D3" s="16">
        <f>IFERROR(__xludf.DUMMYFUNCTION("VLOOKUP(A3,IMPORTRANGE(""1QZ5UxyNCwadreQAXnQ7oCoH982DjIA-QnZdO7ZoqkC0/edit#gid=884617569"",""S1 Totals!$A$2:$O$255""),2,FALSE)"),30.0)</f>
        <v>30</v>
      </c>
      <c r="E3" s="15">
        <f>IFERROR(__xludf.DUMMYFUNCTION("VLOOKUP(A3,IMPORTRANGE(""1QZ5UxyNCwadreQAXnQ7oCoH982DjIA-QnZdO7ZoqkC0/edit#gid=884617569"",""S1 Totals!$A$2:$O$255""),3,FALSE)"),0.9090909090909091)</f>
        <v>0.9090909091</v>
      </c>
      <c r="F3" s="108">
        <f t="shared" si="1"/>
        <v>-0.0303030303</v>
      </c>
      <c r="G3" s="16">
        <f>IFERROR(__xludf.DUMMYFUNCTION("VLOOKUP(A3,IMPORTRANGE(""1QZ5UxyNCwadreQAXnQ7oCoH982DjIA-QnZdO7ZoqkC0/edit#gid=884617569"",""S1 Totals!$A$2:$O$255""),4,FALSE)"),46.5)</f>
        <v>46.5</v>
      </c>
      <c r="H3" s="15">
        <f>IFERROR(__xludf.DUMMYFUNCTION("VLOOKUP(A3,IMPORTRANGE(""1QZ5UxyNCwadreQAXnQ7oCoH982DjIA-QnZdO7ZoqkC0/edit#gid=884617569"",""S1 Totals!$A$2:$O$255""),5,FALSE)"),0.9893617021276596)</f>
        <v>0.9893617021</v>
      </c>
      <c r="I3" s="108">
        <f t="shared" si="2"/>
        <v>-0.1105738233</v>
      </c>
      <c r="J3" s="16">
        <f>IFERROR(__xludf.DUMMYFUNCTION("VLOOKUP(A3,IMPORTRANGE(""1QZ5UxyNCwadreQAXnQ7oCoH982DjIA-QnZdO7ZoqkC0/edit#gid=884617569"",""S1 Totals!$A$2:$O$255""),7,FALSE)"),48.5)</f>
        <v>48.5</v>
      </c>
      <c r="K3" s="15">
        <f>IFERROR(__xludf.DUMMYFUNCTION("VLOOKUP(A3,IMPORTRANGE(""1QZ5UxyNCwadreQAXnQ7oCoH982DjIA-QnZdO7ZoqkC0/edit#gid=884617569"",""S1 Totals!$A$2:$O$255""),8,FALSE)"),0.9897959183673469)</f>
        <v>0.9897959184</v>
      </c>
      <c r="L3" s="109">
        <f t="shared" si="3"/>
        <v>-0.08070500928</v>
      </c>
      <c r="M3" s="16">
        <f>IFERROR(__xludf.DUMMYFUNCTION("VLOOKUP(A3,IMPORTRANGE(""1QZ5UxyNCwadreQAXnQ7oCoH982DjIA-QnZdO7ZoqkC0/edit#gid=884617569"",""S1 Totals!$A$2:$O$255""),10,FALSE)"),46.5)</f>
        <v>46.5</v>
      </c>
      <c r="N3" s="15">
        <f>IFERROR(__xludf.DUMMYFUNCTION("VLOOKUP(A3,IMPORTRANGE(""1QZ5UxyNCwadreQAXnQ7oCoH982DjIA-QnZdO7ZoqkC0/edit#gid=884617569"",""S1 Totals!$A$2:$O$256""),11,FALSE)"),0.96875)</f>
        <v>0.96875</v>
      </c>
      <c r="O3" s="110">
        <f t="shared" si="4"/>
        <v>-0.08996212121</v>
      </c>
      <c r="P3" s="16">
        <f>IFERROR(__xludf.DUMMYFUNCTION("VLOOKUP(A3,IMPORTRANGE(""1QZ5UxyNCwadreQAXnQ7oCoH982DjIA-QnZdO7ZoqkC0/edit#gid=884617569"",""S1 Totals!$A$2:$O$256""),13,FALSE)"),39.0)</f>
        <v>39</v>
      </c>
      <c r="Q3" s="15">
        <f>IFERROR(__xludf.DUMMYFUNCTION("VLOOKUP(A3,IMPORTRANGE(""1QZ5UxyNCwadreQAXnQ7oCoH982DjIA-QnZdO7ZoqkC0/edit#gid=884617569"",""S1 Totals!$A$2:$O$256""),14,FALSE)"),0.78)</f>
        <v>0.78</v>
      </c>
      <c r="R3" s="15">
        <f t="shared" si="5"/>
        <v>0.09878787879</v>
      </c>
    </row>
    <row r="4">
      <c r="A4" s="107" t="s">
        <v>27</v>
      </c>
      <c r="B4" s="16">
        <f>IFERROR(__xludf.DUMMYFUNCTION("VLOOKUP(A4,IMPORTRANGE(""1aFCnJY1qhIj8-JckJhDJ18aqmVo17tofpQmOjcYa3u8/edit#gid=590920912"",""S1 Totals!$A$2:$O$255""),2,FALSE)"),4.5)</f>
        <v>4.5</v>
      </c>
      <c r="C4" s="15">
        <f>IFERROR(__xludf.DUMMYFUNCTION("VLOOKUP(A4,IMPORTRANGE(""1aFCnJY1qhIj8-JckJhDJ18aqmVo17tofpQmOjcYa3u8/edit#gid=590920912"",""S1 Totals!$A$2:$O$255""),3,FALSE)"),0.13636363636363635)</f>
        <v>0.1363636364</v>
      </c>
      <c r="D4" s="16">
        <f>IFERROR(__xludf.DUMMYFUNCTION("VLOOKUP(A4,IMPORTRANGE(""1QZ5UxyNCwadreQAXnQ7oCoH982DjIA-QnZdO7ZoqkC0/edit#gid=884617569"",""S1 Totals!$A$2:$O$255""),2,FALSE)"),5.5)</f>
        <v>5.5</v>
      </c>
      <c r="E4" s="15">
        <f>IFERROR(__xludf.DUMMYFUNCTION("VLOOKUP(A4,IMPORTRANGE(""1QZ5UxyNCwadreQAXnQ7oCoH982DjIA-QnZdO7ZoqkC0/edit#gid=884617569"",""S1 Totals!$A$2:$O$255""),3,FALSE)"),0.16666666666666666)</f>
        <v>0.1666666667</v>
      </c>
      <c r="F4" s="108">
        <f t="shared" si="1"/>
        <v>-0.0303030303</v>
      </c>
      <c r="G4" s="16">
        <f>IFERROR(__xludf.DUMMYFUNCTION("VLOOKUP(A4,IMPORTRANGE(""1QZ5UxyNCwadreQAXnQ7oCoH982DjIA-QnZdO7ZoqkC0/edit#gid=884617569"",""S1 Totals!$A$2:$O$255""),4,FALSE)"),7.0)</f>
        <v>7</v>
      </c>
      <c r="H4" s="15">
        <f>IFERROR(__xludf.DUMMYFUNCTION("VLOOKUP(A4,IMPORTRANGE(""1QZ5UxyNCwadreQAXnQ7oCoH982DjIA-QnZdO7ZoqkC0/edit#gid=884617569"",""S1 Totals!$A$2:$O$255""),5,FALSE)"),0.14893617021276595)</f>
        <v>0.1489361702</v>
      </c>
      <c r="I4" s="108">
        <f t="shared" si="2"/>
        <v>-0.01257253385</v>
      </c>
      <c r="J4" s="16">
        <f>IFERROR(__xludf.DUMMYFUNCTION("VLOOKUP(A4,IMPORTRANGE(""1QZ5UxyNCwadreQAXnQ7oCoH982DjIA-QnZdO7ZoqkC0/edit#gid=884617569"",""S1 Totals!$A$2:$O$255""),7,FALSE)"),6.5)</f>
        <v>6.5</v>
      </c>
      <c r="K4" s="15">
        <f>IFERROR(__xludf.DUMMYFUNCTION("VLOOKUP(A4,IMPORTRANGE(""1QZ5UxyNCwadreQAXnQ7oCoH982DjIA-QnZdO7ZoqkC0/edit#gid=884617569"",""S1 Totals!$A$2:$O$255""),8,FALSE)"),0.1326530612244898)</f>
        <v>0.1326530612</v>
      </c>
      <c r="L4" s="109">
        <f t="shared" si="3"/>
        <v>0.03401360544</v>
      </c>
      <c r="M4" s="16">
        <f>IFERROR(__xludf.DUMMYFUNCTION("VLOOKUP(A4,IMPORTRANGE(""1QZ5UxyNCwadreQAXnQ7oCoH982DjIA-QnZdO7ZoqkC0/edit#gid=884617569"",""S1 Totals!$A$2:$O$255""),10,FALSE)"),7.5)</f>
        <v>7.5</v>
      </c>
      <c r="N4" s="15">
        <f>IFERROR(__xludf.DUMMYFUNCTION("VLOOKUP(A4,IMPORTRANGE(""1QZ5UxyNCwadreQAXnQ7oCoH982DjIA-QnZdO7ZoqkC0/edit#gid=884617569"",""S1 Totals!$A$2:$O$256""),11,FALSE)"),0.15625)</f>
        <v>0.15625</v>
      </c>
      <c r="O4" s="110">
        <f t="shared" si="4"/>
        <v>-0.01988636364</v>
      </c>
      <c r="P4" s="16">
        <f>IFERROR(__xludf.DUMMYFUNCTION("VLOOKUP(A4,IMPORTRANGE(""1QZ5UxyNCwadreQAXnQ7oCoH982DjIA-QnZdO7ZoqkC0/edit#gid=884617569"",""S1 Totals!$A$2:$O$256""),13,FALSE)"),7.5)</f>
        <v>7.5</v>
      </c>
      <c r="Q4" s="15">
        <f>IFERROR(__xludf.DUMMYFUNCTION("VLOOKUP(A4,IMPORTRANGE(""1QZ5UxyNCwadreQAXnQ7oCoH982DjIA-QnZdO7ZoqkC0/edit#gid=884617569"",""S1 Totals!$A$2:$O$256""),14,FALSE)"),0.15)</f>
        <v>0.15</v>
      </c>
      <c r="R4" s="15">
        <f t="shared" si="5"/>
        <v>-0.01363636364</v>
      </c>
    </row>
    <row r="5">
      <c r="A5" s="111" t="s">
        <v>262</v>
      </c>
      <c r="B5" s="16">
        <f>IFERROR(__xludf.DUMMYFUNCTION("VLOOKUP(A5,IMPORTRANGE(""1aFCnJY1qhIj8-JckJhDJ18aqmVo17tofpQmOjcYa3u8/edit#gid=590920912"",""S1 Totals!$A$2:$O$255""),2,FALSE)"),10.5)</f>
        <v>10.5</v>
      </c>
      <c r="C5" s="15">
        <f>IFERROR(__xludf.DUMMYFUNCTION("VLOOKUP(A5,IMPORTRANGE(""1aFCnJY1qhIj8-JckJhDJ18aqmVo17tofpQmOjcYa3u8/edit#gid=590920912"",""S1 Totals!$A$2:$O$255""),3,FALSE)"),0.3181818181818182)</f>
        <v>0.3181818182</v>
      </c>
      <c r="D5" s="16" t="str">
        <f>IFERROR(__xludf.DUMMYFUNCTION("VLOOKUP(A5,IMPORTRANGE(""1QZ5UxyNCwadreQAXnQ7oCoH982DjIA-QnZdO7ZoqkC0/edit#gid=884617569"",""S1 Totals!$A$2:$O$255""),2,FALSE)"),"#N/A")</f>
        <v>#N/A</v>
      </c>
      <c r="E5" s="15" t="str">
        <f>IFERROR(__xludf.DUMMYFUNCTION("VLOOKUP(A5,IMPORTRANGE(""1QZ5UxyNCwadreQAXnQ7oCoH982DjIA-QnZdO7ZoqkC0/edit#gid=884617569"",""S1 Totals!$A$2:$O$255""),3,FALSE)"),"#N/A")</f>
        <v>#N/A</v>
      </c>
      <c r="F5" s="112" t="str">
        <f t="shared" si="1"/>
        <v>#N/A</v>
      </c>
      <c r="G5" s="16" t="str">
        <f>IFERROR(__xludf.DUMMYFUNCTION("VLOOKUP(A5,IMPORTRANGE(""1QZ5UxyNCwadreQAXnQ7oCoH982DjIA-QnZdO7ZoqkC0/edit#gid=884617569"",""S1 Totals!$A$2:$O$255""),4,FALSE)"),"#N/A")</f>
        <v>#N/A</v>
      </c>
      <c r="H5" s="15" t="str">
        <f>IFERROR(__xludf.DUMMYFUNCTION("VLOOKUP(A5,IMPORTRANGE(""1QZ5UxyNCwadreQAXnQ7oCoH982DjIA-QnZdO7ZoqkC0/edit#gid=884617569"",""S1 Totals!$A$2:$O$255""),5,FALSE)"),"#N/A")</f>
        <v>#N/A</v>
      </c>
      <c r="I5" s="108" t="str">
        <f t="shared" si="2"/>
        <v>#N/A</v>
      </c>
      <c r="J5" s="16" t="str">
        <f>IFERROR(__xludf.DUMMYFUNCTION("VLOOKUP(A5,IMPORTRANGE(""1QZ5UxyNCwadreQAXnQ7oCoH982DjIA-QnZdO7ZoqkC0/edit#gid=884617569"",""S1 Totals!$A$2:$O$255""),7,FALSE)"),"#N/A")</f>
        <v>#N/A</v>
      </c>
      <c r="K5" s="15" t="str">
        <f>IFERROR(__xludf.DUMMYFUNCTION("VLOOKUP(A5,IMPORTRANGE(""1QZ5UxyNCwadreQAXnQ7oCoH982DjIA-QnZdO7ZoqkC0/edit#gid=884617569"",""S1 Totals!$A$2:$O$255""),8,FALSE)"),"#N/A")</f>
        <v>#N/A</v>
      </c>
      <c r="L5" s="113" t="str">
        <f t="shared" si="3"/>
        <v>#N/A</v>
      </c>
      <c r="M5" s="16" t="str">
        <f>IFERROR(__xludf.DUMMYFUNCTION("VLOOKUP(A5,IMPORTRANGE(""1QZ5UxyNCwadreQAXnQ7oCoH982DjIA-QnZdO7ZoqkC0/edit#gid=884617569"",""S1 Totals!$A$2:$O$255""),10,FALSE)"),"#N/A")</f>
        <v>#N/A</v>
      </c>
      <c r="N5" s="15" t="str">
        <f>IFERROR(__xludf.DUMMYFUNCTION("VLOOKUP(A5,IMPORTRANGE(""1QZ5UxyNCwadreQAXnQ7oCoH982DjIA-QnZdO7ZoqkC0/edit#gid=884617569"",""S1 Totals!$A$2:$O$256""),11,FALSE)"),"#N/A")</f>
        <v>#N/A</v>
      </c>
      <c r="O5" s="110" t="str">
        <f t="shared" si="4"/>
        <v>#N/A</v>
      </c>
      <c r="P5" s="16" t="str">
        <f>IFERROR(__xludf.DUMMYFUNCTION("VLOOKUP(A5,IMPORTRANGE(""1QZ5UxyNCwadreQAXnQ7oCoH982DjIA-QnZdO7ZoqkC0/edit#gid=884617569"",""S1 Totals!$A$2:$O$256""),13,FALSE)"),"#N/A")</f>
        <v>#N/A</v>
      </c>
      <c r="Q5" s="15" t="str">
        <f>IFERROR(__xludf.DUMMYFUNCTION("VLOOKUP(A5,IMPORTRANGE(""1QZ5UxyNCwadreQAXnQ7oCoH982DjIA-QnZdO7ZoqkC0/edit#gid=884617569"",""S1 Totals!$A$2:$O$256""),14,FALSE)"),"#N/A")</f>
        <v>#N/A</v>
      </c>
      <c r="R5" s="16" t="str">
        <f t="shared" si="5"/>
        <v>#N/A</v>
      </c>
    </row>
    <row r="6">
      <c r="A6" s="107" t="s">
        <v>161</v>
      </c>
      <c r="B6" s="16">
        <f>IFERROR(__xludf.DUMMYFUNCTION("VLOOKUP(A6,IMPORTRANGE(""1aFCnJY1qhIj8-JckJhDJ18aqmVo17tofpQmOjcYa3u8/edit#gid=590920912"",""S1 Totals!$A$2:$O$255""),2,FALSE)"),25.5)</f>
        <v>25.5</v>
      </c>
      <c r="C6" s="15">
        <f>IFERROR(__xludf.DUMMYFUNCTION("VLOOKUP(A6,IMPORTRANGE(""1aFCnJY1qhIj8-JckJhDJ18aqmVo17tofpQmOjcYa3u8/edit#gid=590920912"",""S1 Totals!$A$2:$O$255""),3,FALSE)"),0.7727272727272727)</f>
        <v>0.7727272727</v>
      </c>
      <c r="D6" s="16">
        <f>IFERROR(__xludf.DUMMYFUNCTION("VLOOKUP(A6,IMPORTRANGE(""1QZ5UxyNCwadreQAXnQ7oCoH982DjIA-QnZdO7ZoqkC0/edit#gid=884617569"",""S1 Totals!$A$2:$O$255""),2,FALSE)"),21.0)</f>
        <v>21</v>
      </c>
      <c r="E6" s="15">
        <f>IFERROR(__xludf.DUMMYFUNCTION("VLOOKUP(A6,IMPORTRANGE(""1QZ5UxyNCwadreQAXnQ7oCoH982DjIA-QnZdO7ZoqkC0/edit#gid=884617569"",""S1 Totals!$A$2:$O$255""),3,FALSE)"),0.6363636363636364)</f>
        <v>0.6363636364</v>
      </c>
      <c r="F6" s="108">
        <f t="shared" si="1"/>
        <v>0.1363636364</v>
      </c>
      <c r="G6" s="16">
        <f>IFERROR(__xludf.DUMMYFUNCTION("VLOOKUP(A6,IMPORTRANGE(""1QZ5UxyNCwadreQAXnQ7oCoH982DjIA-QnZdO7ZoqkC0/edit#gid=884617569"",""S1 Totals!$A$2:$O$255""),4,FALSE)"),28.0)</f>
        <v>28</v>
      </c>
      <c r="H6" s="15">
        <f>IFERROR(__xludf.DUMMYFUNCTION("VLOOKUP(A6,IMPORTRANGE(""1QZ5UxyNCwadreQAXnQ7oCoH982DjIA-QnZdO7ZoqkC0/edit#gid=884617569"",""S1 Totals!$A$2:$O$255""),5,FALSE)"),0.5957446808510638)</f>
        <v>0.5957446809</v>
      </c>
      <c r="I6" s="108">
        <f t="shared" si="2"/>
        <v>0.1769825919</v>
      </c>
      <c r="J6" s="16">
        <f>IFERROR(__xludf.DUMMYFUNCTION("VLOOKUP(A6,IMPORTRANGE(""1QZ5UxyNCwadreQAXnQ7oCoH982DjIA-QnZdO7ZoqkC0/edit#gid=884617569"",""S1 Totals!$A$2:$O$255""),7,FALSE)"),23.5)</f>
        <v>23.5</v>
      </c>
      <c r="K6" s="15">
        <f>IFERROR(__xludf.DUMMYFUNCTION("VLOOKUP(A6,IMPORTRANGE(""1QZ5UxyNCwadreQAXnQ7oCoH982DjIA-QnZdO7ZoqkC0/edit#gid=884617569"",""S1 Totals!$A$2:$O$255""),8,FALSE)"),0.47959183673469385)</f>
        <v>0.4795918367</v>
      </c>
      <c r="L6" s="109">
        <f t="shared" si="3"/>
        <v>0.1567717996</v>
      </c>
      <c r="M6" s="16"/>
      <c r="N6" s="15"/>
      <c r="O6" s="110"/>
      <c r="P6" s="16" t="str">
        <f>IFERROR(__xludf.DUMMYFUNCTION("VLOOKUP(A6,IMPORTRANGE(""1QZ5UxyNCwadreQAXnQ7oCoH982DjIA-QnZdO7ZoqkC0/edit#gid=884617569"",""S1 Totals!$A$2:$O$256""),13,FALSE)"),"")</f>
        <v/>
      </c>
      <c r="Q6" s="15" t="str">
        <f>IFERROR(__xludf.DUMMYFUNCTION("VLOOKUP(A6,IMPORTRANGE(""1QZ5UxyNCwadreQAXnQ7oCoH982DjIA-QnZdO7ZoqkC0/edit#gid=884617569"",""S1 Totals!$A$2:$O$256""),14,FALSE)"),"")</f>
        <v/>
      </c>
      <c r="R6" s="15">
        <f t="shared" si="5"/>
        <v>0.7727272727</v>
      </c>
    </row>
    <row r="7">
      <c r="A7" s="107" t="s">
        <v>162</v>
      </c>
      <c r="B7" s="16">
        <f>IFERROR(__xludf.DUMMYFUNCTION("VLOOKUP(A7,IMPORTRANGE(""1aFCnJY1qhIj8-JckJhDJ18aqmVo17tofpQmOjcYa3u8/edit#gid=590920912"",""S1 Totals!$A$2:$O$255""),2,FALSE)"),24.0)</f>
        <v>24</v>
      </c>
      <c r="C7" s="15">
        <f>IFERROR(__xludf.DUMMYFUNCTION("VLOOKUP(A7,IMPORTRANGE(""1aFCnJY1qhIj8-JckJhDJ18aqmVo17tofpQmOjcYa3u8/edit#gid=590920912"",""S1 Totals!$A$2:$O$255""),3,FALSE)"),0.7272727272727273)</f>
        <v>0.7272727273</v>
      </c>
      <c r="D7" s="16">
        <f>IFERROR(__xludf.DUMMYFUNCTION("VLOOKUP(A7,IMPORTRANGE(""1QZ5UxyNCwadreQAXnQ7oCoH982DjIA-QnZdO7ZoqkC0/edit#gid=884617569"",""S1 Totals!$A$2:$O$255""),2,FALSE)"),24.0)</f>
        <v>24</v>
      </c>
      <c r="E7" s="15">
        <f>IFERROR(__xludf.DUMMYFUNCTION("VLOOKUP(A7,IMPORTRANGE(""1QZ5UxyNCwadreQAXnQ7oCoH982DjIA-QnZdO7ZoqkC0/edit#gid=884617569"",""S1 Totals!$A$2:$O$255""),3,FALSE)"),0.7272727272727273)</f>
        <v>0.7272727273</v>
      </c>
      <c r="F7" s="108">
        <f t="shared" si="1"/>
        <v>0</v>
      </c>
      <c r="G7" s="16">
        <f>IFERROR(__xludf.DUMMYFUNCTION("VLOOKUP(A7,IMPORTRANGE(""1QZ5UxyNCwadreQAXnQ7oCoH982DjIA-QnZdO7ZoqkC0/edit#gid=884617569"",""S1 Totals!$A$2:$O$255""),4,FALSE)"),32.0)</f>
        <v>32</v>
      </c>
      <c r="H7" s="15">
        <f>IFERROR(__xludf.DUMMYFUNCTION("VLOOKUP(A7,IMPORTRANGE(""1QZ5UxyNCwadreQAXnQ7oCoH982DjIA-QnZdO7ZoqkC0/edit#gid=884617569"",""S1 Totals!$A$2:$O$255""),5,FALSE)"),0.6808510638297872)</f>
        <v>0.6808510638</v>
      </c>
      <c r="I7" s="108">
        <f t="shared" si="2"/>
        <v>0.04642166344</v>
      </c>
      <c r="J7" s="16">
        <f>IFERROR(__xludf.DUMMYFUNCTION("VLOOKUP(A7,IMPORTRANGE(""1QZ5UxyNCwadreQAXnQ7oCoH982DjIA-QnZdO7ZoqkC0/edit#gid=884617569"",""S1 Totals!$A$2:$O$255""),7,FALSE)"),24.5)</f>
        <v>24.5</v>
      </c>
      <c r="K7" s="15">
        <f>IFERROR(__xludf.DUMMYFUNCTION("VLOOKUP(A7,IMPORTRANGE(""1QZ5UxyNCwadreQAXnQ7oCoH982DjIA-QnZdO7ZoqkC0/edit#gid=884617569"",""S1 Totals!$A$2:$O$255""),8,FALSE)"),0.5)</f>
        <v>0.5</v>
      </c>
      <c r="L7" s="109">
        <f t="shared" si="3"/>
        <v>0.2272727273</v>
      </c>
      <c r="M7" s="16"/>
      <c r="N7" s="15"/>
      <c r="O7" s="110"/>
      <c r="P7" s="16" t="str">
        <f>IFERROR(__xludf.DUMMYFUNCTION("VLOOKUP(A7,IMPORTRANGE(""1QZ5UxyNCwadreQAXnQ7oCoH982DjIA-QnZdO7ZoqkC0/edit#gid=884617569"",""S1 Totals!$A$2:$O$256""),13,FALSE)"),"")</f>
        <v/>
      </c>
      <c r="Q7" s="15" t="str">
        <f>IFERROR(__xludf.DUMMYFUNCTION("VLOOKUP(A7,IMPORTRANGE(""1QZ5UxyNCwadreQAXnQ7oCoH982DjIA-QnZdO7ZoqkC0/edit#gid=884617569"",""S1 Totals!$A$2:$O$256""),14,FALSE)"),"")</f>
        <v/>
      </c>
      <c r="R7" s="15">
        <f t="shared" si="5"/>
        <v>0.7272727273</v>
      </c>
    </row>
    <row r="8">
      <c r="A8" s="107" t="s">
        <v>163</v>
      </c>
      <c r="B8" s="16">
        <f>IFERROR(__xludf.DUMMYFUNCTION("VLOOKUP(A8,IMPORTRANGE(""1aFCnJY1qhIj8-JckJhDJ18aqmVo17tofpQmOjcYa3u8/edit#gid=590920912"",""S1 Totals!$A$2:$O$255""),2,FALSE)"),14.0)</f>
        <v>14</v>
      </c>
      <c r="C8" s="15">
        <f>IFERROR(__xludf.DUMMYFUNCTION("VLOOKUP(A8,IMPORTRANGE(""1aFCnJY1qhIj8-JckJhDJ18aqmVo17tofpQmOjcYa3u8/edit#gid=590920912"",""S1 Totals!$A$2:$O$255""),3,FALSE)"),0.42424242424242425)</f>
        <v>0.4242424242</v>
      </c>
      <c r="D8" s="16">
        <f>IFERROR(__xludf.DUMMYFUNCTION("VLOOKUP(A8,IMPORTRANGE(""1QZ5UxyNCwadreQAXnQ7oCoH982DjIA-QnZdO7ZoqkC0/edit#gid=884617569"",""S1 Totals!$A$2:$O$255""),2,FALSE)"),14.5)</f>
        <v>14.5</v>
      </c>
      <c r="E8" s="15">
        <f>IFERROR(__xludf.DUMMYFUNCTION("VLOOKUP(A8,IMPORTRANGE(""1QZ5UxyNCwadreQAXnQ7oCoH982DjIA-QnZdO7ZoqkC0/edit#gid=884617569"",""S1 Totals!$A$2:$O$255""),3,FALSE)"),0.4393939393939394)</f>
        <v>0.4393939394</v>
      </c>
      <c r="F8" s="108">
        <f t="shared" si="1"/>
        <v>-0.01515151515</v>
      </c>
      <c r="G8" s="16">
        <f>IFERROR(__xludf.DUMMYFUNCTION("VLOOKUP(A8,IMPORTRANGE(""1QZ5UxyNCwadreQAXnQ7oCoH982DjIA-QnZdO7ZoqkC0/edit#gid=884617569"",""S1 Totals!$A$2:$O$255""),4,FALSE)"),25.5)</f>
        <v>25.5</v>
      </c>
      <c r="H8" s="15">
        <f>IFERROR(__xludf.DUMMYFUNCTION("VLOOKUP(A8,IMPORTRANGE(""1QZ5UxyNCwadreQAXnQ7oCoH982DjIA-QnZdO7ZoqkC0/edit#gid=884617569"",""S1 Totals!$A$2:$O$255""),5,FALSE)"),0.5425531914893617)</f>
        <v>0.5425531915</v>
      </c>
      <c r="I8" s="108">
        <f t="shared" si="2"/>
        <v>-0.1183107672</v>
      </c>
      <c r="J8" s="16">
        <f>IFERROR(__xludf.DUMMYFUNCTION("VLOOKUP(A8,IMPORTRANGE(""1QZ5UxyNCwadreQAXnQ7oCoH982DjIA-QnZdO7ZoqkC0/edit#gid=884617569"",""S1 Totals!$A$2:$O$255""),7,FALSE)"),25.5)</f>
        <v>25.5</v>
      </c>
      <c r="K8" s="15">
        <f>IFERROR(__xludf.DUMMYFUNCTION("VLOOKUP(A8,IMPORTRANGE(""1QZ5UxyNCwadreQAXnQ7oCoH982DjIA-QnZdO7ZoqkC0/edit#gid=884617569"",""S1 Totals!$A$2:$O$255""),8,FALSE)"),0.5204081632653061)</f>
        <v>0.5204081633</v>
      </c>
      <c r="L8" s="109">
        <f t="shared" si="3"/>
        <v>-0.08101422387</v>
      </c>
      <c r="M8" s="16"/>
      <c r="N8" s="15"/>
      <c r="O8" s="110"/>
      <c r="P8" s="16" t="str">
        <f>IFERROR(__xludf.DUMMYFUNCTION("VLOOKUP(A8,IMPORTRANGE(""1QZ5UxyNCwadreQAXnQ7oCoH982DjIA-QnZdO7ZoqkC0/edit#gid=884617569"",""S1 Totals!$A$2:$O$256""),13,FALSE)"),"")</f>
        <v/>
      </c>
      <c r="Q8" s="15" t="str">
        <f>IFERROR(__xludf.DUMMYFUNCTION("VLOOKUP(A8,IMPORTRANGE(""1QZ5UxyNCwadreQAXnQ7oCoH982DjIA-QnZdO7ZoqkC0/edit#gid=884617569"",""S1 Totals!$A$2:$O$256""),14,FALSE)"),"")</f>
        <v/>
      </c>
      <c r="R8" s="15">
        <f t="shared" si="5"/>
        <v>0.4242424242</v>
      </c>
    </row>
    <row r="9">
      <c r="A9" s="107" t="s">
        <v>23</v>
      </c>
      <c r="B9" s="16">
        <f>IFERROR(__xludf.DUMMYFUNCTION("VLOOKUP(A9,IMPORTRANGE(""1aFCnJY1qhIj8-JckJhDJ18aqmVo17tofpQmOjcYa3u8/edit#gid=590920912"",""S1 Totals!$A$2:$O$255""),2,FALSE)"),28.25)</f>
        <v>28.25</v>
      </c>
      <c r="C9" s="15">
        <f>IFERROR(__xludf.DUMMYFUNCTION("VLOOKUP(A9,IMPORTRANGE(""1aFCnJY1qhIj8-JckJhDJ18aqmVo17tofpQmOjcYa3u8/edit#gid=590920912"",""S1 Totals!$A$2:$O$255""),3,FALSE)"),0.8560606060606061)</f>
        <v>0.8560606061</v>
      </c>
      <c r="D9" s="16">
        <f>IFERROR(__xludf.DUMMYFUNCTION("VLOOKUP(A9,IMPORTRANGE(""1QZ5UxyNCwadreQAXnQ7oCoH982DjIA-QnZdO7ZoqkC0/edit#gid=884617569"",""S1 Totals!$A$2:$O$255""),2,FALSE)"),23.25)</f>
        <v>23.25</v>
      </c>
      <c r="E9" s="15">
        <f>IFERROR(__xludf.DUMMYFUNCTION("VLOOKUP(A9,IMPORTRANGE(""1QZ5UxyNCwadreQAXnQ7oCoH982DjIA-QnZdO7ZoqkC0/edit#gid=884617569"",""S1 Totals!$A$2:$O$255""),3,FALSE)"),0.7045454545454546)</f>
        <v>0.7045454545</v>
      </c>
      <c r="F9" s="108">
        <f t="shared" si="1"/>
        <v>0.1515151515</v>
      </c>
      <c r="G9" s="16">
        <f>IFERROR(__xludf.DUMMYFUNCTION("VLOOKUP(A9,IMPORTRANGE(""1QZ5UxyNCwadreQAXnQ7oCoH982DjIA-QnZdO7ZoqkC0/edit#gid=884617569"",""S1 Totals!$A$2:$O$255""),4,FALSE)"),31.5)</f>
        <v>31.5</v>
      </c>
      <c r="H9" s="15">
        <f>IFERROR(__xludf.DUMMYFUNCTION("VLOOKUP(A9,IMPORTRANGE(""1QZ5UxyNCwadreQAXnQ7oCoH982DjIA-QnZdO7ZoqkC0/edit#gid=884617569"",""S1 Totals!$A$2:$O$255""),5,FALSE)"),0.6702127659574468)</f>
        <v>0.670212766</v>
      </c>
      <c r="I9" s="108">
        <f t="shared" si="2"/>
        <v>0.1858478401</v>
      </c>
      <c r="J9" s="16">
        <f>IFERROR(__xludf.DUMMYFUNCTION("VLOOKUP(A9,IMPORTRANGE(""1QZ5UxyNCwadreQAXnQ7oCoH982DjIA-QnZdO7ZoqkC0/edit#gid=884617569"",""S1 Totals!$A$2:$O$255""),7,FALSE)"),25.0)</f>
        <v>25</v>
      </c>
      <c r="K9" s="15">
        <f>IFERROR(__xludf.DUMMYFUNCTION("VLOOKUP(A9,IMPORTRANGE(""1QZ5UxyNCwadreQAXnQ7oCoH982DjIA-QnZdO7ZoqkC0/edit#gid=884617569"",""S1 Totals!$A$2:$O$255""),8,FALSE)"),0.5102040816326531)</f>
        <v>0.5102040816</v>
      </c>
      <c r="L9" s="109">
        <f t="shared" si="3"/>
        <v>0.1943413729</v>
      </c>
      <c r="M9" s="16">
        <f>IFERROR(__xludf.DUMMYFUNCTION("VLOOKUP(A9,IMPORTRANGE(""1QZ5UxyNCwadreQAXnQ7oCoH982DjIA-QnZdO7ZoqkC0/edit#gid=884617569"",""S1 Totals!$A$2:$O$255""),10,FALSE)"),17.0)</f>
        <v>17</v>
      </c>
      <c r="N9" s="15">
        <f>IFERROR(__xludf.DUMMYFUNCTION("VLOOKUP(A9,IMPORTRANGE(""1QZ5UxyNCwadreQAXnQ7oCoH982DjIA-QnZdO7ZoqkC0/edit#gid=884617569"",""S1 Totals!$A$2:$O$256""),11,FALSE)"),0.3541666666666667)</f>
        <v>0.3541666667</v>
      </c>
      <c r="O9" s="110">
        <f t="shared" ref="O9:O12" si="6">C9-N9</f>
        <v>0.5018939394</v>
      </c>
      <c r="P9" s="16">
        <f>IFERROR(__xludf.DUMMYFUNCTION("VLOOKUP(A9,IMPORTRANGE(""1QZ5UxyNCwadreQAXnQ7oCoH982DjIA-QnZdO7ZoqkC0/edit#gid=884617569"",""S1 Totals!$A$2:$O$256""),13,FALSE)"),16.5)</f>
        <v>16.5</v>
      </c>
      <c r="Q9" s="15">
        <f>IFERROR(__xludf.DUMMYFUNCTION("VLOOKUP(A9,IMPORTRANGE(""1QZ5UxyNCwadreQAXnQ7oCoH982DjIA-QnZdO7ZoqkC0/edit#gid=884617569"",""S1 Totals!$A$2:$O$256""),14,FALSE)"),0.33)</f>
        <v>0.33</v>
      </c>
      <c r="R9" s="15">
        <f t="shared" si="5"/>
        <v>0.5260606061</v>
      </c>
    </row>
    <row r="10">
      <c r="A10" s="107" t="s">
        <v>24</v>
      </c>
      <c r="B10" s="16">
        <f>IFERROR(__xludf.DUMMYFUNCTION("VLOOKUP(A10,IMPORTRANGE(""1aFCnJY1qhIj8-JckJhDJ18aqmVo17tofpQmOjcYa3u8/edit#gid=590920912"",""S1 Totals!$A$2:$O$255""),2,FALSE)"),18.75)</f>
        <v>18.75</v>
      </c>
      <c r="C10" s="15">
        <f>IFERROR(__xludf.DUMMYFUNCTION("VLOOKUP(A10,IMPORTRANGE(""1aFCnJY1qhIj8-JckJhDJ18aqmVo17tofpQmOjcYa3u8/edit#gid=590920912"",""S1 Totals!$A$2:$O$255""),3,FALSE)"),0.5681818181818182)</f>
        <v>0.5681818182</v>
      </c>
      <c r="D10" s="16">
        <f>IFERROR(__xludf.DUMMYFUNCTION("VLOOKUP(A10,IMPORTRANGE(""1QZ5UxyNCwadreQAXnQ7oCoH982DjIA-QnZdO7ZoqkC0/edit#gid=884617569"",""S1 Totals!$A$2:$O$255""),2,FALSE)"),18.75)</f>
        <v>18.75</v>
      </c>
      <c r="E10" s="15">
        <f>IFERROR(__xludf.DUMMYFUNCTION("VLOOKUP(A10,IMPORTRANGE(""1QZ5UxyNCwadreQAXnQ7oCoH982DjIA-QnZdO7ZoqkC0/edit#gid=884617569"",""S1 Totals!$A$2:$O$255""),3,FALSE)"),0.5681818181818182)</f>
        <v>0.5681818182</v>
      </c>
      <c r="F10" s="108">
        <f t="shared" si="1"/>
        <v>0</v>
      </c>
      <c r="G10" s="16">
        <f>IFERROR(__xludf.DUMMYFUNCTION("VLOOKUP(A10,IMPORTRANGE(""1QZ5UxyNCwadreQAXnQ7oCoH982DjIA-QnZdO7ZoqkC0/edit#gid=884617569"",""S1 Totals!$A$2:$O$255""),4,FALSE)"),25.0)</f>
        <v>25</v>
      </c>
      <c r="H10" s="15">
        <f>IFERROR(__xludf.DUMMYFUNCTION("VLOOKUP(A10,IMPORTRANGE(""1QZ5UxyNCwadreQAXnQ7oCoH982DjIA-QnZdO7ZoqkC0/edit#gid=884617569"",""S1 Totals!$A$2:$O$255""),5,FALSE)"),0.5319148936170213)</f>
        <v>0.5319148936</v>
      </c>
      <c r="I10" s="108">
        <f t="shared" si="2"/>
        <v>0.03626692456</v>
      </c>
      <c r="J10" s="16">
        <f>IFERROR(__xludf.DUMMYFUNCTION("VLOOKUP(A10,IMPORTRANGE(""1QZ5UxyNCwadreQAXnQ7oCoH982DjIA-QnZdO7ZoqkC0/edit#gid=884617569"",""S1 Totals!$A$2:$O$255""),7,FALSE)"),21.5)</f>
        <v>21.5</v>
      </c>
      <c r="K10" s="15">
        <f>IFERROR(__xludf.DUMMYFUNCTION("VLOOKUP(A10,IMPORTRANGE(""1QZ5UxyNCwadreQAXnQ7oCoH982DjIA-QnZdO7ZoqkC0/edit#gid=884617569"",""S1 Totals!$A$2:$O$255""),8,FALSE)"),0.4387755102040816)</f>
        <v>0.4387755102</v>
      </c>
      <c r="L10" s="109">
        <f t="shared" si="3"/>
        <v>0.129406308</v>
      </c>
      <c r="M10" s="16">
        <f>IFERROR(__xludf.DUMMYFUNCTION("VLOOKUP(A10,IMPORTRANGE(""1QZ5UxyNCwadreQAXnQ7oCoH982DjIA-QnZdO7ZoqkC0/edit#gid=884617569"",""S1 Totals!$A$2:$O$255""),10,FALSE)"),17.5)</f>
        <v>17.5</v>
      </c>
      <c r="N10" s="15">
        <f>IFERROR(__xludf.DUMMYFUNCTION("VLOOKUP(A10,IMPORTRANGE(""1QZ5UxyNCwadreQAXnQ7oCoH982DjIA-QnZdO7ZoqkC0/edit#gid=884617569"",""S1 Totals!$A$2:$O$256""),11,FALSE)"),0.3645833333333333)</f>
        <v>0.3645833333</v>
      </c>
      <c r="O10" s="110">
        <f t="shared" si="6"/>
        <v>0.2035984848</v>
      </c>
      <c r="P10" s="16">
        <f>IFERROR(__xludf.DUMMYFUNCTION("VLOOKUP(A10,IMPORTRANGE(""1QZ5UxyNCwadreQAXnQ7oCoH982DjIA-QnZdO7ZoqkC0/edit#gid=884617569"",""S1 Totals!$A$2:$O$256""),13,FALSE)"),10.5)</f>
        <v>10.5</v>
      </c>
      <c r="Q10" s="15">
        <f>IFERROR(__xludf.DUMMYFUNCTION("VLOOKUP(A10,IMPORTRANGE(""1QZ5UxyNCwadreQAXnQ7oCoH982DjIA-QnZdO7ZoqkC0/edit#gid=884617569"",""S1 Totals!$A$2:$O$256""),14,FALSE)"),0.21)</f>
        <v>0.21</v>
      </c>
      <c r="R10" s="15">
        <f t="shared" si="5"/>
        <v>0.3581818182</v>
      </c>
    </row>
    <row r="11">
      <c r="A11" s="107" t="s">
        <v>113</v>
      </c>
      <c r="B11" s="16">
        <f>IFERROR(__xludf.DUMMYFUNCTION("VLOOKUP(A11,IMPORTRANGE(""1aFCnJY1qhIj8-JckJhDJ18aqmVo17tofpQmOjcYa3u8/edit#gid=590920912"",""S1 Totals!$A$2:$O$255""),2,FALSE)"),6.25)</f>
        <v>6.25</v>
      </c>
      <c r="C11" s="15">
        <f>IFERROR(__xludf.DUMMYFUNCTION("VLOOKUP(A11,IMPORTRANGE(""1aFCnJY1qhIj8-JckJhDJ18aqmVo17tofpQmOjcYa3u8/edit#gid=590920912"",""S1 Totals!$A$2:$O$255""),3,FALSE)"),0.1893939393939394)</f>
        <v>0.1893939394</v>
      </c>
      <c r="D11" s="16">
        <f>IFERROR(__xludf.DUMMYFUNCTION("VLOOKUP(A11,IMPORTRANGE(""1QZ5UxyNCwadreQAXnQ7oCoH982DjIA-QnZdO7ZoqkC0/edit#gid=884617569"",""S1 Totals!$A$2:$O$255""),2,FALSE)"),7.5)</f>
        <v>7.5</v>
      </c>
      <c r="E11" s="15">
        <f>IFERROR(__xludf.DUMMYFUNCTION("VLOOKUP(A11,IMPORTRANGE(""1QZ5UxyNCwadreQAXnQ7oCoH982DjIA-QnZdO7ZoqkC0/edit#gid=884617569"",""S1 Totals!$A$2:$O$255""),3,FALSE)"),0.22727272727272727)</f>
        <v>0.2272727273</v>
      </c>
      <c r="F11" s="108">
        <f t="shared" si="1"/>
        <v>-0.03787878788</v>
      </c>
      <c r="G11" s="16">
        <f>IFERROR(__xludf.DUMMYFUNCTION("VLOOKUP(A11,IMPORTRANGE(""1QZ5UxyNCwadreQAXnQ7oCoH982DjIA-QnZdO7ZoqkC0/edit#gid=884617569"",""S1 Totals!$A$2:$O$255""),4,FALSE)"),12.0)</f>
        <v>12</v>
      </c>
      <c r="H11" s="15">
        <f>IFERROR(__xludf.DUMMYFUNCTION("VLOOKUP(A11,IMPORTRANGE(""1QZ5UxyNCwadreQAXnQ7oCoH982DjIA-QnZdO7ZoqkC0/edit#gid=884617569"",""S1 Totals!$A$2:$O$255""),5,FALSE)"),0.2553191489361702)</f>
        <v>0.2553191489</v>
      </c>
      <c r="I11" s="108">
        <f t="shared" si="2"/>
        <v>-0.06592520954</v>
      </c>
      <c r="J11" s="16">
        <f>IFERROR(__xludf.DUMMYFUNCTION("VLOOKUP(A11,IMPORTRANGE(""1QZ5UxyNCwadreQAXnQ7oCoH982DjIA-QnZdO7ZoqkC0/edit#gid=884617569"",""S1 Totals!$A$2:$O$255""),7,FALSE)"),15.0)</f>
        <v>15</v>
      </c>
      <c r="K11" s="15">
        <f>IFERROR(__xludf.DUMMYFUNCTION("VLOOKUP(A11,IMPORTRANGE(""1QZ5UxyNCwadreQAXnQ7oCoH982DjIA-QnZdO7ZoqkC0/edit#gid=884617569"",""S1 Totals!$A$2:$O$255""),8,FALSE)"),0.30612244897959184)</f>
        <v>0.306122449</v>
      </c>
      <c r="L11" s="109">
        <f t="shared" si="3"/>
        <v>-0.07884972171</v>
      </c>
      <c r="M11" s="16">
        <f>IFERROR(__xludf.DUMMYFUNCTION("VLOOKUP(A11,IMPORTRANGE(""1QZ5UxyNCwadreQAXnQ7oCoH982DjIA-QnZdO7ZoqkC0/edit#gid=884617569"",""S1 Totals!$A$2:$O$255""),10,FALSE)"),3.0)</f>
        <v>3</v>
      </c>
      <c r="N11" s="15">
        <f>IFERROR(__xludf.DUMMYFUNCTION("VLOOKUP(A11,IMPORTRANGE(""1QZ5UxyNCwadreQAXnQ7oCoH982DjIA-QnZdO7ZoqkC0/edit#gid=884617569"",""S1 Totals!$A$2:$O$256""),11,FALSE)"),0.0625)</f>
        <v>0.0625</v>
      </c>
      <c r="O11" s="110">
        <f t="shared" si="6"/>
        <v>0.1268939394</v>
      </c>
      <c r="P11" s="16" t="str">
        <f>IFERROR(__xludf.DUMMYFUNCTION("VLOOKUP(A11,IMPORTRANGE(""1QZ5UxyNCwadreQAXnQ7oCoH982DjIA-QnZdO7ZoqkC0/edit#gid=884617569"",""S1 Totals!$A$2:$O$256""),13,FALSE)"),"")</f>
        <v/>
      </c>
      <c r="Q11" s="15" t="str">
        <f>IFERROR(__xludf.DUMMYFUNCTION("VLOOKUP(A11,IMPORTRANGE(""1QZ5UxyNCwadreQAXnQ7oCoH982DjIA-QnZdO7ZoqkC0/edit#gid=884617569"",""S1 Totals!$A$2:$O$256""),14,FALSE)"),"")</f>
        <v/>
      </c>
      <c r="R11" s="15">
        <f t="shared" si="5"/>
        <v>0.1893939394</v>
      </c>
    </row>
    <row r="12">
      <c r="A12" s="107" t="s">
        <v>25</v>
      </c>
      <c r="B12" s="16">
        <f>IFERROR(__xludf.DUMMYFUNCTION("VLOOKUP(A12,IMPORTRANGE(""1aFCnJY1qhIj8-JckJhDJ18aqmVo17tofpQmOjcYa3u8/edit#gid=590920912"",""S1 Totals!$A$2:$O$255""),2,FALSE)"),10.75)</f>
        <v>10.75</v>
      </c>
      <c r="C12" s="15">
        <f>IFERROR(__xludf.DUMMYFUNCTION("VLOOKUP(A12,IMPORTRANGE(""1aFCnJY1qhIj8-JckJhDJ18aqmVo17tofpQmOjcYa3u8/edit#gid=590920912"",""S1 Totals!$A$2:$O$255""),3,FALSE)"),0.32575757575757575)</f>
        <v>0.3257575758</v>
      </c>
      <c r="D12" s="16">
        <f>IFERROR(__xludf.DUMMYFUNCTION("VLOOKUP(A12,IMPORTRANGE(""1QZ5UxyNCwadreQAXnQ7oCoH982DjIA-QnZdO7ZoqkC0/edit#gid=884617569"",""S1 Totals!$A$2:$O$255""),2,FALSE)"),13.25)</f>
        <v>13.25</v>
      </c>
      <c r="E12" s="15">
        <f>IFERROR(__xludf.DUMMYFUNCTION("VLOOKUP(A12,IMPORTRANGE(""1QZ5UxyNCwadreQAXnQ7oCoH982DjIA-QnZdO7ZoqkC0/edit#gid=884617569"",""S1 Totals!$A$2:$O$255""),3,FALSE)"),0.4015151515151515)</f>
        <v>0.4015151515</v>
      </c>
      <c r="F12" s="108">
        <f t="shared" si="1"/>
        <v>-0.07575757576</v>
      </c>
      <c r="G12" s="16">
        <f>IFERROR(__xludf.DUMMYFUNCTION("VLOOKUP(A12,IMPORTRANGE(""1QZ5UxyNCwadreQAXnQ7oCoH982DjIA-QnZdO7ZoqkC0/edit#gid=884617569"",""S1 Totals!$A$2:$O$255""),4,FALSE)"),16.5)</f>
        <v>16.5</v>
      </c>
      <c r="H12" s="15">
        <f>IFERROR(__xludf.DUMMYFUNCTION("VLOOKUP(A12,IMPORTRANGE(""1QZ5UxyNCwadreQAXnQ7oCoH982DjIA-QnZdO7ZoqkC0/edit#gid=884617569"",""S1 Totals!$A$2:$O$255""),5,FALSE)"),0.35106382978723405)</f>
        <v>0.3510638298</v>
      </c>
      <c r="I12" s="108">
        <f t="shared" si="2"/>
        <v>-0.02530625403</v>
      </c>
      <c r="J12" s="16">
        <f>IFERROR(__xludf.DUMMYFUNCTION("VLOOKUP(A12,IMPORTRANGE(""1QZ5UxyNCwadreQAXnQ7oCoH982DjIA-QnZdO7ZoqkC0/edit#gid=884617569"",""S1 Totals!$A$2:$O$255""),7,FALSE)"),12.5)</f>
        <v>12.5</v>
      </c>
      <c r="K12" s="15">
        <f>IFERROR(__xludf.DUMMYFUNCTION("VLOOKUP(A12,IMPORTRANGE(""1QZ5UxyNCwadreQAXnQ7oCoH982DjIA-QnZdO7ZoqkC0/edit#gid=884617569"",""S1 Totals!$A$2:$O$255""),8,FALSE)"),0.25510204081632654)</f>
        <v>0.2551020408</v>
      </c>
      <c r="L12" s="109">
        <f t="shared" si="3"/>
        <v>0.1464131107</v>
      </c>
      <c r="M12" s="16">
        <f>IFERROR(__xludf.DUMMYFUNCTION("VLOOKUP(A12,IMPORTRANGE(""1QZ5UxyNCwadreQAXnQ7oCoH982DjIA-QnZdO7ZoqkC0/edit#gid=884617569"",""S1 Totals!$A$2:$O$255""),10,FALSE)"),9.5)</f>
        <v>9.5</v>
      </c>
      <c r="N12" s="15">
        <f>IFERROR(__xludf.DUMMYFUNCTION("VLOOKUP(A12,IMPORTRANGE(""1QZ5UxyNCwadreQAXnQ7oCoH982DjIA-QnZdO7ZoqkC0/edit#gid=884617569"",""S1 Totals!$A$2:$O$256""),11,FALSE)"),0.19791666666666666)</f>
        <v>0.1979166667</v>
      </c>
      <c r="O12" s="110">
        <f t="shared" si="6"/>
        <v>0.1278409091</v>
      </c>
      <c r="P12" s="16">
        <f>IFERROR(__xludf.DUMMYFUNCTION("VLOOKUP(A12,IMPORTRANGE(""1QZ5UxyNCwadreQAXnQ7oCoH982DjIA-QnZdO7ZoqkC0/edit#gid=884617569"",""S1 Totals!$A$2:$O$256""),13,FALSE)"),11.5)</f>
        <v>11.5</v>
      </c>
      <c r="Q12" s="15">
        <f>IFERROR(__xludf.DUMMYFUNCTION("VLOOKUP(A12,IMPORTRANGE(""1QZ5UxyNCwadreQAXnQ7oCoH982DjIA-QnZdO7ZoqkC0/edit#gid=884617569"",""S1 Totals!$A$2:$O$256""),14,FALSE)"),0.23)</f>
        <v>0.23</v>
      </c>
      <c r="R12" s="15">
        <f t="shared" si="5"/>
        <v>0.09575757576</v>
      </c>
    </row>
    <row r="13">
      <c r="A13" s="107" t="s">
        <v>210</v>
      </c>
      <c r="B13" s="16">
        <f>IFERROR(__xludf.DUMMYFUNCTION("VLOOKUP(A13,IMPORTRANGE(""1aFCnJY1qhIj8-JckJhDJ18aqmVo17tofpQmOjcYa3u8/edit#gid=590920912"",""S1 Totals!$A$2:$O$255""),2,FALSE)"),20.5)</f>
        <v>20.5</v>
      </c>
      <c r="C13" s="15">
        <f>IFERROR(__xludf.DUMMYFUNCTION("VLOOKUP(A13,IMPORTRANGE(""1aFCnJY1qhIj8-JckJhDJ18aqmVo17tofpQmOjcYa3u8/edit#gid=590920912"",""S1 Totals!$A$2:$O$255""),3,FALSE)"),0.6212121212121212)</f>
        <v>0.6212121212</v>
      </c>
      <c r="D13" s="16">
        <f>IFERROR(__xludf.DUMMYFUNCTION("VLOOKUP(A13,IMPORTRANGE(""1QZ5UxyNCwadreQAXnQ7oCoH982DjIA-QnZdO7ZoqkC0/edit#gid=884617569"",""S1 Totals!$A$2:$O$255""),2,FALSE)"),19.75)</f>
        <v>19.75</v>
      </c>
      <c r="E13" s="15">
        <f>IFERROR(__xludf.DUMMYFUNCTION("VLOOKUP(A13,IMPORTRANGE(""1QZ5UxyNCwadreQAXnQ7oCoH982DjIA-QnZdO7ZoqkC0/edit#gid=884617569"",""S1 Totals!$A$2:$O$255""),3,FALSE)"),0.5984848484848485)</f>
        <v>0.5984848485</v>
      </c>
      <c r="F13" s="108">
        <f t="shared" si="1"/>
        <v>0.02272727273</v>
      </c>
      <c r="G13" s="16">
        <f>IFERROR(__xludf.DUMMYFUNCTION("VLOOKUP(A13,IMPORTRANGE(""1QZ5UxyNCwadreQAXnQ7oCoH982DjIA-QnZdO7ZoqkC0/edit#gid=884617569"",""S1 Totals!$A$2:$O$255""),4,FALSE)"),24.5)</f>
        <v>24.5</v>
      </c>
      <c r="H13" s="15">
        <f>IFERROR(__xludf.DUMMYFUNCTION("VLOOKUP(A13,IMPORTRANGE(""1QZ5UxyNCwadreQAXnQ7oCoH982DjIA-QnZdO7ZoqkC0/edit#gid=884617569"",""S1 Totals!$A$2:$O$255""),5,FALSE)"),0.5212765957446809)</f>
        <v>0.5212765957</v>
      </c>
      <c r="I13" s="108">
        <f t="shared" si="2"/>
        <v>0.09993552547</v>
      </c>
      <c r="J13" s="16" t="str">
        <f>IFERROR(__xludf.DUMMYFUNCTION("VLOOKUP(A13,IMPORTRANGE(""1QZ5UxyNCwadreQAXnQ7oCoH982DjIA-QnZdO7ZoqkC0/edit#gid=884617569"",""S1 Totals!$A$2:$O$255""),7,FALSE)"),"")</f>
        <v/>
      </c>
      <c r="K13" s="15" t="str">
        <f>IFERROR(__xludf.DUMMYFUNCTION("VLOOKUP(A13,IMPORTRANGE(""1QZ5UxyNCwadreQAXnQ7oCoH982DjIA-QnZdO7ZoqkC0/edit#gid=884617569"",""S1 Totals!$A$2:$O$255""),8,FALSE)"),"")</f>
        <v/>
      </c>
      <c r="L13" s="109">
        <f t="shared" si="3"/>
        <v>0.5984848485</v>
      </c>
      <c r="M13" s="16" t="str">
        <f>IFERROR(__xludf.DUMMYFUNCTION("VLOOKUP(A13,IMPORTRANGE(""1QZ5UxyNCwadreQAXnQ7oCoH982DjIA-QnZdO7ZoqkC0/edit#gid=884617569"",""S1 Totals!$A$2:$O$255""),10,FALSE)"),"")</f>
        <v/>
      </c>
      <c r="N13" s="15" t="str">
        <f>IFERROR(__xludf.DUMMYFUNCTION("VLOOKUP(A13,IMPORTRANGE(""1QZ5UxyNCwadreQAXnQ7oCoH982DjIA-QnZdO7ZoqkC0/edit#gid=884617569"",""S1 Totals!$A$2:$O$256""),11,FALSE)"),"")</f>
        <v/>
      </c>
      <c r="O13" s="110"/>
      <c r="P13" s="16" t="str">
        <f>IFERROR(__xludf.DUMMYFUNCTION("VLOOKUP(A13,IMPORTRANGE(""1QZ5UxyNCwadreQAXnQ7oCoH982DjIA-QnZdO7ZoqkC0/edit#gid=884617569"",""S1 Totals!$A$2:$O$256""),13,FALSE)"),"")</f>
        <v/>
      </c>
      <c r="Q13" s="15" t="str">
        <f>IFERROR(__xludf.DUMMYFUNCTION("VLOOKUP(A13,IMPORTRANGE(""1QZ5UxyNCwadreQAXnQ7oCoH982DjIA-QnZdO7ZoqkC0/edit#gid=884617569"",""S1 Totals!$A$2:$O$256""),14,FALSE)"),"")</f>
        <v/>
      </c>
      <c r="R13" s="15">
        <f t="shared" si="5"/>
        <v>0.6212121212</v>
      </c>
    </row>
    <row r="14">
      <c r="A14" s="107" t="s">
        <v>26</v>
      </c>
      <c r="B14" s="16">
        <f>IFERROR(__xludf.DUMMYFUNCTION("VLOOKUP(A14,IMPORTRANGE(""1aFCnJY1qhIj8-JckJhDJ18aqmVo17tofpQmOjcYa3u8/edit#gid=590920912"",""S1 Totals!$A$2:$O$255""),2,FALSE)"),21.5)</f>
        <v>21.5</v>
      </c>
      <c r="C14" s="15">
        <f>IFERROR(__xludf.DUMMYFUNCTION("VLOOKUP(A14,IMPORTRANGE(""1aFCnJY1qhIj8-JckJhDJ18aqmVo17tofpQmOjcYa3u8/edit#gid=590920912"",""S1 Totals!$A$2:$O$255""),3,FALSE)"),0.6515151515151515)</f>
        <v>0.6515151515</v>
      </c>
      <c r="D14" s="16">
        <f>IFERROR(__xludf.DUMMYFUNCTION("VLOOKUP(A14,IMPORTRANGE(""1QZ5UxyNCwadreQAXnQ7oCoH982DjIA-QnZdO7ZoqkC0/edit#gid=884617569"",""S1 Totals!$A$2:$O$255""),2,FALSE)"),21.75)</f>
        <v>21.75</v>
      </c>
      <c r="E14" s="15">
        <f>IFERROR(__xludf.DUMMYFUNCTION("VLOOKUP(A14,IMPORTRANGE(""1QZ5UxyNCwadreQAXnQ7oCoH982DjIA-QnZdO7ZoqkC0/edit#gid=884617569"",""S1 Totals!$A$2:$O$255""),3,FALSE)"),0.6590909090909091)</f>
        <v>0.6590909091</v>
      </c>
      <c r="F14" s="108">
        <f t="shared" si="1"/>
        <v>-0.007575757576</v>
      </c>
      <c r="G14" s="16">
        <f>IFERROR(__xludf.DUMMYFUNCTION("VLOOKUP(A14,IMPORTRANGE(""1QZ5UxyNCwadreQAXnQ7oCoH982DjIA-QnZdO7ZoqkC0/edit#gid=884617569"",""S1 Totals!$A$2:$O$255""),4,FALSE)"),17.0)</f>
        <v>17</v>
      </c>
      <c r="H14" s="15">
        <f>IFERROR(__xludf.DUMMYFUNCTION("VLOOKUP(A14,IMPORTRANGE(""1QZ5UxyNCwadreQAXnQ7oCoH982DjIA-QnZdO7ZoqkC0/edit#gid=884617569"",""S1 Totals!$A$2:$O$255""),5,FALSE)"),0.3617021276595745)</f>
        <v>0.3617021277</v>
      </c>
      <c r="I14" s="108">
        <f t="shared" si="2"/>
        <v>0.2898130239</v>
      </c>
      <c r="J14" s="16">
        <f>IFERROR(__xludf.DUMMYFUNCTION("VLOOKUP(A14,IMPORTRANGE(""1QZ5UxyNCwadreQAXnQ7oCoH982DjIA-QnZdO7ZoqkC0/edit#gid=884617569"",""S1 Totals!$A$2:$O$255""),7,FALSE)"),15.0)</f>
        <v>15</v>
      </c>
      <c r="K14" s="15">
        <f>IFERROR(__xludf.DUMMYFUNCTION("VLOOKUP(A14,IMPORTRANGE(""1QZ5UxyNCwadreQAXnQ7oCoH982DjIA-QnZdO7ZoqkC0/edit#gid=884617569"",""S1 Totals!$A$2:$O$255""),8,FALSE)"),0.30612244897959184)</f>
        <v>0.306122449</v>
      </c>
      <c r="L14" s="109">
        <f t="shared" si="3"/>
        <v>0.3529684601</v>
      </c>
      <c r="M14" s="16">
        <f>IFERROR(__xludf.DUMMYFUNCTION("VLOOKUP(A14,IMPORTRANGE(""1QZ5UxyNCwadreQAXnQ7oCoH982DjIA-QnZdO7ZoqkC0/edit#gid=884617569"",""S1 Totals!$A$2:$O$255""),10,FALSE)"),15.5)</f>
        <v>15.5</v>
      </c>
      <c r="N14" s="15">
        <f>IFERROR(__xludf.DUMMYFUNCTION("VLOOKUP(A14,IMPORTRANGE(""1QZ5UxyNCwadreQAXnQ7oCoH982DjIA-QnZdO7ZoqkC0/edit#gid=884617569"",""S1 Totals!$A$2:$O$256""),11,FALSE)"),0.3229166666666667)</f>
        <v>0.3229166667</v>
      </c>
      <c r="O14" s="110">
        <f t="shared" ref="O14:O17" si="7">C14-N14</f>
        <v>0.3285984848</v>
      </c>
      <c r="P14" s="16">
        <f>IFERROR(__xludf.DUMMYFUNCTION("VLOOKUP(A14,IMPORTRANGE(""1QZ5UxyNCwadreQAXnQ7oCoH982DjIA-QnZdO7ZoqkC0/edit#gid=884617569"",""S1 Totals!$A$2:$O$256""),13,FALSE)"),16.5)</f>
        <v>16.5</v>
      </c>
      <c r="Q14" s="15">
        <f>IFERROR(__xludf.DUMMYFUNCTION("VLOOKUP(A14,IMPORTRANGE(""1QZ5UxyNCwadreQAXnQ7oCoH982DjIA-QnZdO7ZoqkC0/edit#gid=884617569"",""S1 Totals!$A$2:$O$256""),14,FALSE)"),0.33)</f>
        <v>0.33</v>
      </c>
      <c r="R14" s="15">
        <f t="shared" si="5"/>
        <v>0.3215151515</v>
      </c>
    </row>
    <row r="15">
      <c r="A15" s="107" t="s">
        <v>75</v>
      </c>
      <c r="B15" s="16">
        <f>IFERROR(__xludf.DUMMYFUNCTION("VLOOKUP(A15,IMPORTRANGE(""1aFCnJY1qhIj8-JckJhDJ18aqmVo17tofpQmOjcYa3u8/edit#gid=590920912"",""S1 Totals!$A$2:$O$255""),2,FALSE)"),16.5)</f>
        <v>16.5</v>
      </c>
      <c r="C15" s="15">
        <f>IFERROR(__xludf.DUMMYFUNCTION("VLOOKUP(A15,IMPORTRANGE(""1aFCnJY1qhIj8-JckJhDJ18aqmVo17tofpQmOjcYa3u8/edit#gid=590920912"",""S1 Totals!$A$2:$O$255""),3,FALSE)"),0.5)</f>
        <v>0.5</v>
      </c>
      <c r="D15" s="16">
        <f>IFERROR(__xludf.DUMMYFUNCTION("VLOOKUP(A15,IMPORTRANGE(""1QZ5UxyNCwadreQAXnQ7oCoH982DjIA-QnZdO7ZoqkC0/edit#gid=884617569"",""S1 Totals!$A$2:$O$255""),2,FALSE)"),23.5)</f>
        <v>23.5</v>
      </c>
      <c r="E15" s="15">
        <f>IFERROR(__xludf.DUMMYFUNCTION("VLOOKUP(A15,IMPORTRANGE(""1QZ5UxyNCwadreQAXnQ7oCoH982DjIA-QnZdO7ZoqkC0/edit#gid=884617569"",""S1 Totals!$A$2:$O$255""),3,FALSE)"),0.7121212121212122)</f>
        <v>0.7121212121</v>
      </c>
      <c r="F15" s="108">
        <f t="shared" si="1"/>
        <v>-0.2121212121</v>
      </c>
      <c r="G15" s="16">
        <f>IFERROR(__xludf.DUMMYFUNCTION("VLOOKUP(A15,IMPORTRANGE(""1QZ5UxyNCwadreQAXnQ7oCoH982DjIA-QnZdO7ZoqkC0/edit#gid=884617569"",""S1 Totals!$A$2:$O$255""),4,FALSE)"),36.5)</f>
        <v>36.5</v>
      </c>
      <c r="H15" s="15">
        <f>IFERROR(__xludf.DUMMYFUNCTION("VLOOKUP(A15,IMPORTRANGE(""1QZ5UxyNCwadreQAXnQ7oCoH982DjIA-QnZdO7ZoqkC0/edit#gid=884617569"",""S1 Totals!$A$2:$O$255""),5,FALSE)"),0.776595744680851)</f>
        <v>0.7765957447</v>
      </c>
      <c r="I15" s="108">
        <f t="shared" si="2"/>
        <v>-0.2765957447</v>
      </c>
      <c r="J15" s="16">
        <f>IFERROR(__xludf.DUMMYFUNCTION("VLOOKUP(A15,IMPORTRANGE(""1QZ5UxyNCwadreQAXnQ7oCoH982DjIA-QnZdO7ZoqkC0/edit#gid=884617569"",""S1 Totals!$A$2:$O$255""),7,FALSE)"),38.0)</f>
        <v>38</v>
      </c>
      <c r="K15" s="15">
        <f>IFERROR(__xludf.DUMMYFUNCTION("VLOOKUP(A15,IMPORTRANGE(""1QZ5UxyNCwadreQAXnQ7oCoH982DjIA-QnZdO7ZoqkC0/edit#gid=884617569"",""S1 Totals!$A$2:$O$255""),8,FALSE)"),0.7755102040816326)</f>
        <v>0.7755102041</v>
      </c>
      <c r="L15" s="109">
        <f t="shared" si="3"/>
        <v>-0.06338899196</v>
      </c>
      <c r="M15" s="16">
        <f>IFERROR(__xludf.DUMMYFUNCTION("VLOOKUP(A15,IMPORTRANGE(""1QZ5UxyNCwadreQAXnQ7oCoH982DjIA-QnZdO7ZoqkC0/edit#gid=884617569"",""S1 Totals!$A$2:$O$255""),10,FALSE)"),32.0)</f>
        <v>32</v>
      </c>
      <c r="N15" s="15">
        <f>IFERROR(__xludf.DUMMYFUNCTION("VLOOKUP(A15,IMPORTRANGE(""1QZ5UxyNCwadreQAXnQ7oCoH982DjIA-QnZdO7ZoqkC0/edit#gid=884617569"",""S1 Totals!$A$2:$O$256""),11,FALSE)"),0.6666666666666666)</f>
        <v>0.6666666667</v>
      </c>
      <c r="O15" s="110">
        <f t="shared" si="7"/>
        <v>-0.1666666667</v>
      </c>
      <c r="P15" s="16">
        <f>IFERROR(__xludf.DUMMYFUNCTION("VLOOKUP(A15,IMPORTRANGE(""1QZ5UxyNCwadreQAXnQ7oCoH982DjIA-QnZdO7ZoqkC0/edit#gid=884617569"",""S1 Totals!$A$2:$O$256""),13,FALSE)"),25.5)</f>
        <v>25.5</v>
      </c>
      <c r="Q15" s="15">
        <f>IFERROR(__xludf.DUMMYFUNCTION("VLOOKUP(A15,IMPORTRANGE(""1QZ5UxyNCwadreQAXnQ7oCoH982DjIA-QnZdO7ZoqkC0/edit#gid=884617569"",""S1 Totals!$A$2:$O$256""),14,FALSE)"),0.51)</f>
        <v>0.51</v>
      </c>
      <c r="R15" s="15">
        <f t="shared" si="5"/>
        <v>-0.01</v>
      </c>
    </row>
    <row r="16">
      <c r="A16" s="107" t="s">
        <v>28</v>
      </c>
      <c r="B16" s="16">
        <f>IFERROR(__xludf.DUMMYFUNCTION("VLOOKUP(A16,IMPORTRANGE(""1aFCnJY1qhIj8-JckJhDJ18aqmVo17tofpQmOjcYa3u8/edit#gid=590920912"",""S1 Totals!$A$2:$O$255""),2,FALSE)"),25.25)</f>
        <v>25.25</v>
      </c>
      <c r="C16" s="15">
        <f>IFERROR(__xludf.DUMMYFUNCTION("VLOOKUP(A16,IMPORTRANGE(""1aFCnJY1qhIj8-JckJhDJ18aqmVo17tofpQmOjcYa3u8/edit#gid=590920912"",""S1 Totals!$A$2:$O$255""),3,FALSE)"),0.7651515151515151)</f>
        <v>0.7651515152</v>
      </c>
      <c r="D16" s="16">
        <f>IFERROR(__xludf.DUMMYFUNCTION("VLOOKUP(A16,IMPORTRANGE(""1QZ5UxyNCwadreQAXnQ7oCoH982DjIA-QnZdO7ZoqkC0/edit#gid=884617569"",""S1 Totals!$A$2:$O$255""),2,FALSE)"),26.25)</f>
        <v>26.25</v>
      </c>
      <c r="E16" s="15">
        <f>IFERROR(__xludf.DUMMYFUNCTION("VLOOKUP(A16,IMPORTRANGE(""1QZ5UxyNCwadreQAXnQ7oCoH982DjIA-QnZdO7ZoqkC0/edit#gid=884617569"",""S1 Totals!$A$2:$O$255""),3,FALSE)"),0.7954545454545454)</f>
        <v>0.7954545455</v>
      </c>
      <c r="F16" s="108">
        <f t="shared" si="1"/>
        <v>-0.0303030303</v>
      </c>
      <c r="G16" s="16">
        <f>IFERROR(__xludf.DUMMYFUNCTION("VLOOKUP(A16,IMPORTRANGE(""1QZ5UxyNCwadreQAXnQ7oCoH982DjIA-QnZdO7ZoqkC0/edit#gid=884617569"",""S1 Totals!$A$2:$O$255""),4,FALSE)"),40.5)</f>
        <v>40.5</v>
      </c>
      <c r="H16" s="15">
        <f>IFERROR(__xludf.DUMMYFUNCTION("VLOOKUP(A16,IMPORTRANGE(""1QZ5UxyNCwadreQAXnQ7oCoH982DjIA-QnZdO7ZoqkC0/edit#gid=884617569"",""S1 Totals!$A$2:$O$255""),5,FALSE)"),0.8617021276595744)</f>
        <v>0.8617021277</v>
      </c>
      <c r="I16" s="108">
        <f t="shared" si="2"/>
        <v>-0.09655061251</v>
      </c>
      <c r="J16" s="16">
        <f>IFERROR(__xludf.DUMMYFUNCTION("VLOOKUP(A16,IMPORTRANGE(""1QZ5UxyNCwadreQAXnQ7oCoH982DjIA-QnZdO7ZoqkC0/edit#gid=884617569"",""S1 Totals!$A$2:$O$255""),7,FALSE)"),34.0)</f>
        <v>34</v>
      </c>
      <c r="K16" s="15">
        <f>IFERROR(__xludf.DUMMYFUNCTION("VLOOKUP(A16,IMPORTRANGE(""1QZ5UxyNCwadreQAXnQ7oCoH982DjIA-QnZdO7ZoqkC0/edit#gid=884617569"",""S1 Totals!$A$2:$O$255""),8,FALSE)"),0.6938775510204082)</f>
        <v>0.693877551</v>
      </c>
      <c r="L16" s="109">
        <f t="shared" si="3"/>
        <v>0.1015769944</v>
      </c>
      <c r="M16" s="16">
        <f>IFERROR(__xludf.DUMMYFUNCTION("VLOOKUP(A16,IMPORTRANGE(""1QZ5UxyNCwadreQAXnQ7oCoH982DjIA-QnZdO7ZoqkC0/edit#gid=884617569"",""S1 Totals!$A$2:$O$255""),10,FALSE)"),30.0)</f>
        <v>30</v>
      </c>
      <c r="N16" s="15">
        <f>IFERROR(__xludf.DUMMYFUNCTION("VLOOKUP(A16,IMPORTRANGE(""1QZ5UxyNCwadreQAXnQ7oCoH982DjIA-QnZdO7ZoqkC0/edit#gid=884617569"",""S1 Totals!$A$2:$O$256""),11,FALSE)"),0.625)</f>
        <v>0.625</v>
      </c>
      <c r="O16" s="110">
        <f t="shared" si="7"/>
        <v>0.1401515152</v>
      </c>
      <c r="P16" s="16">
        <f>IFERROR(__xludf.DUMMYFUNCTION("VLOOKUP(A16,IMPORTRANGE(""1QZ5UxyNCwadreQAXnQ7oCoH982DjIA-QnZdO7ZoqkC0/edit#gid=884617569"",""S1 Totals!$A$2:$O$256""),13,FALSE)"),32.0)</f>
        <v>32</v>
      </c>
      <c r="Q16" s="15">
        <f>IFERROR(__xludf.DUMMYFUNCTION("VLOOKUP(A16,IMPORTRANGE(""1QZ5UxyNCwadreQAXnQ7oCoH982DjIA-QnZdO7ZoqkC0/edit#gid=884617569"",""S1 Totals!$A$2:$O$256""),14,FALSE)"),0.64)</f>
        <v>0.64</v>
      </c>
      <c r="R16" s="15">
        <f t="shared" si="5"/>
        <v>0.1251515152</v>
      </c>
    </row>
    <row r="17">
      <c r="A17" s="107" t="s">
        <v>29</v>
      </c>
      <c r="B17" s="16">
        <f>IFERROR(__xludf.DUMMYFUNCTION("VLOOKUP(A17,IMPORTRANGE(""1aFCnJY1qhIj8-JckJhDJ18aqmVo17tofpQmOjcYa3u8/edit#gid=590920912"",""S1 Totals!$A$2:$O$255""),2,FALSE)"),26.5)</f>
        <v>26.5</v>
      </c>
      <c r="C17" s="15">
        <f>IFERROR(__xludf.DUMMYFUNCTION("VLOOKUP(A17,IMPORTRANGE(""1aFCnJY1qhIj8-JckJhDJ18aqmVo17tofpQmOjcYa3u8/edit#gid=590920912"",""S1 Totals!$A$2:$O$255""),3,FALSE)"),0.803030303030303)</f>
        <v>0.803030303</v>
      </c>
      <c r="D17" s="16">
        <f>IFERROR(__xludf.DUMMYFUNCTION("VLOOKUP(A17,IMPORTRANGE(""1QZ5UxyNCwadreQAXnQ7oCoH982DjIA-QnZdO7ZoqkC0/edit#gid=884617569"",""S1 Totals!$A$2:$O$255""),2,FALSE)"),27.25)</f>
        <v>27.25</v>
      </c>
      <c r="E17" s="15">
        <f>IFERROR(__xludf.DUMMYFUNCTION("VLOOKUP(A17,IMPORTRANGE(""1QZ5UxyNCwadreQAXnQ7oCoH982DjIA-QnZdO7ZoqkC0/edit#gid=884617569"",""S1 Totals!$A$2:$O$255""),3,FALSE)"),0.8257575757575758)</f>
        <v>0.8257575758</v>
      </c>
      <c r="F17" s="108">
        <f t="shared" si="1"/>
        <v>-0.02272727273</v>
      </c>
      <c r="G17" s="16">
        <f>IFERROR(__xludf.DUMMYFUNCTION("VLOOKUP(A17,IMPORTRANGE(""1QZ5UxyNCwadreQAXnQ7oCoH982DjIA-QnZdO7ZoqkC0/edit#gid=884617569"",""S1 Totals!$A$2:$O$255""),4,FALSE)"),37.0)</f>
        <v>37</v>
      </c>
      <c r="H17" s="15">
        <f>IFERROR(__xludf.DUMMYFUNCTION("VLOOKUP(A17,IMPORTRANGE(""1QZ5UxyNCwadreQAXnQ7oCoH982DjIA-QnZdO7ZoqkC0/edit#gid=884617569"",""S1 Totals!$A$2:$O$255""),5,FALSE)"),0.7872340425531915)</f>
        <v>0.7872340426</v>
      </c>
      <c r="I17" s="108">
        <f t="shared" si="2"/>
        <v>0.01579626048</v>
      </c>
      <c r="J17" s="16">
        <f>IFERROR(__xludf.DUMMYFUNCTION("VLOOKUP(A17,IMPORTRANGE(""1QZ5UxyNCwadreQAXnQ7oCoH982DjIA-QnZdO7ZoqkC0/edit#gid=884617569"",""S1 Totals!$A$2:$O$255""),7,FALSE)"),43.0)</f>
        <v>43</v>
      </c>
      <c r="K17" s="15">
        <f>IFERROR(__xludf.DUMMYFUNCTION("VLOOKUP(A17,IMPORTRANGE(""1QZ5UxyNCwadreQAXnQ7oCoH982DjIA-QnZdO7ZoqkC0/edit#gid=884617569"",""S1 Totals!$A$2:$O$255""),8,FALSE)"),0.8775510204081632)</f>
        <v>0.8775510204</v>
      </c>
      <c r="L17" s="109">
        <f t="shared" si="3"/>
        <v>-0.05179344465</v>
      </c>
      <c r="M17" s="16">
        <f>IFERROR(__xludf.DUMMYFUNCTION("VLOOKUP(A17,IMPORTRANGE(""1QZ5UxyNCwadreQAXnQ7oCoH982DjIA-QnZdO7ZoqkC0/edit#gid=884617569"",""S1 Totals!$A$2:$O$255""),10,FALSE)"),33.5)</f>
        <v>33.5</v>
      </c>
      <c r="N17" s="15">
        <f>IFERROR(__xludf.DUMMYFUNCTION("VLOOKUP(A17,IMPORTRANGE(""1QZ5UxyNCwadreQAXnQ7oCoH982DjIA-QnZdO7ZoqkC0/edit#gid=884617569"",""S1 Totals!$A$2:$O$256""),11,FALSE)"),0.6979166666666666)</f>
        <v>0.6979166667</v>
      </c>
      <c r="O17" s="110">
        <f t="shared" si="7"/>
        <v>0.1051136364</v>
      </c>
      <c r="P17" s="16">
        <f>IFERROR(__xludf.DUMMYFUNCTION("VLOOKUP(A17,IMPORTRANGE(""1QZ5UxyNCwadreQAXnQ7oCoH982DjIA-QnZdO7ZoqkC0/edit#gid=884617569"",""S1 Totals!$A$2:$O$256""),13,FALSE)"),32.5)</f>
        <v>32.5</v>
      </c>
      <c r="Q17" s="15">
        <f>IFERROR(__xludf.DUMMYFUNCTION("VLOOKUP(A17,IMPORTRANGE(""1QZ5UxyNCwadreQAXnQ7oCoH982DjIA-QnZdO7ZoqkC0/edit#gid=884617569"",""S1 Totals!$A$2:$O$256""),14,FALSE)"),0.65)</f>
        <v>0.65</v>
      </c>
      <c r="R17" s="15">
        <f t="shared" si="5"/>
        <v>0.153030303</v>
      </c>
    </row>
    <row r="18">
      <c r="A18" s="107" t="s">
        <v>211</v>
      </c>
      <c r="B18" s="16">
        <f>IFERROR(__xludf.DUMMYFUNCTION("VLOOKUP(A18,IMPORTRANGE(""1aFCnJY1qhIj8-JckJhDJ18aqmVo17tofpQmOjcYa3u8/edit#gid=590920912"",""S1 Totals!$A$2:$O$255""),2,FALSE)"),30.5)</f>
        <v>30.5</v>
      </c>
      <c r="C18" s="15">
        <f>IFERROR(__xludf.DUMMYFUNCTION("VLOOKUP(A18,IMPORTRANGE(""1aFCnJY1qhIj8-JckJhDJ18aqmVo17tofpQmOjcYa3u8/edit#gid=590920912"",""S1 Totals!$A$2:$O$255""),3,FALSE)"),0.9242424242424242)</f>
        <v>0.9242424242</v>
      </c>
      <c r="D18" s="16">
        <f>IFERROR(__xludf.DUMMYFUNCTION("VLOOKUP(A18,IMPORTRANGE(""1QZ5UxyNCwadreQAXnQ7oCoH982DjIA-QnZdO7ZoqkC0/edit#gid=884617569"",""S1 Totals!$A$2:$O$255""),2,FALSE)"),28.0)</f>
        <v>28</v>
      </c>
      <c r="E18" s="15">
        <f>IFERROR(__xludf.DUMMYFUNCTION("VLOOKUP(A18,IMPORTRANGE(""1QZ5UxyNCwadreQAXnQ7oCoH982DjIA-QnZdO7ZoqkC0/edit#gid=884617569"",""S1 Totals!$A$2:$O$255""),3,FALSE)"),0.8484848484848485)</f>
        <v>0.8484848485</v>
      </c>
      <c r="F18" s="108">
        <f t="shared" si="1"/>
        <v>0.07575757576</v>
      </c>
      <c r="G18" s="16">
        <f>IFERROR(__xludf.DUMMYFUNCTION("VLOOKUP(A18,IMPORTRANGE(""1QZ5UxyNCwadreQAXnQ7oCoH982DjIA-QnZdO7ZoqkC0/edit#gid=884617569"",""S1 Totals!$A$2:$O$255""),4,FALSE)"),46.0)</f>
        <v>46</v>
      </c>
      <c r="H18" s="15">
        <f>IFERROR(__xludf.DUMMYFUNCTION("VLOOKUP(A18,IMPORTRANGE(""1QZ5UxyNCwadreQAXnQ7oCoH982DjIA-QnZdO7ZoqkC0/edit#gid=884617569"",""S1 Totals!$A$2:$O$255""),5,FALSE)"),0.9787234042553191)</f>
        <v>0.9787234043</v>
      </c>
      <c r="I18" s="108">
        <f t="shared" si="2"/>
        <v>-0.05448098001</v>
      </c>
      <c r="J18" s="16" t="str">
        <f>IFERROR(__xludf.DUMMYFUNCTION("VLOOKUP(A18,IMPORTRANGE(""1QZ5UxyNCwadreQAXnQ7oCoH982DjIA-QnZdO7ZoqkC0/edit#gid=884617569"",""S1 Totals!$A$2:$O$255""),7,FALSE)"),"")</f>
        <v/>
      </c>
      <c r="K18" s="15" t="str">
        <f>IFERROR(__xludf.DUMMYFUNCTION("VLOOKUP(A18,IMPORTRANGE(""1QZ5UxyNCwadreQAXnQ7oCoH982DjIA-QnZdO7ZoqkC0/edit#gid=884617569"",""S1 Totals!$A$2:$O$255""),8,FALSE)"),"")</f>
        <v/>
      </c>
      <c r="L18" s="109">
        <f t="shared" si="3"/>
        <v>0.8484848485</v>
      </c>
      <c r="M18" s="16" t="str">
        <f>IFERROR(__xludf.DUMMYFUNCTION("VLOOKUP(A18,IMPORTRANGE(""1QZ5UxyNCwadreQAXnQ7oCoH982DjIA-QnZdO7ZoqkC0/edit#gid=884617569"",""S1 Totals!$A$2:$O$255""),10,FALSE)"),"")</f>
        <v/>
      </c>
      <c r="N18" s="15" t="str">
        <f>IFERROR(__xludf.DUMMYFUNCTION("VLOOKUP(A18,IMPORTRANGE(""1QZ5UxyNCwadreQAXnQ7oCoH982DjIA-QnZdO7ZoqkC0/edit#gid=884617569"",""S1 Totals!$A$2:$O$256""),11,FALSE)"),"")</f>
        <v/>
      </c>
      <c r="O18" s="110"/>
      <c r="P18" s="16" t="str">
        <f>IFERROR(__xludf.DUMMYFUNCTION("VLOOKUP(A18,IMPORTRANGE(""1QZ5UxyNCwadreQAXnQ7oCoH982DjIA-QnZdO7ZoqkC0/edit#gid=884617569"",""S1 Totals!$A$2:$O$256""),13,FALSE)"),"")</f>
        <v/>
      </c>
      <c r="Q18" s="15" t="str">
        <f>IFERROR(__xludf.DUMMYFUNCTION("VLOOKUP(A18,IMPORTRANGE(""1QZ5UxyNCwadreQAXnQ7oCoH982DjIA-QnZdO7ZoqkC0/edit#gid=884617569"",""S1 Totals!$A$2:$O$256""),14,FALSE)"),"")</f>
        <v/>
      </c>
      <c r="R18" s="15">
        <f t="shared" si="5"/>
        <v>0.9242424242</v>
      </c>
    </row>
    <row r="19">
      <c r="A19" s="107" t="s">
        <v>212</v>
      </c>
      <c r="B19" s="16">
        <f>IFERROR(__xludf.DUMMYFUNCTION("VLOOKUP(A19,IMPORTRANGE(""1aFCnJY1qhIj8-JckJhDJ18aqmVo17tofpQmOjcYa3u8/edit#gid=590920912"",""S1 Totals!$A$2:$O$255""),2,FALSE)"),18.25)</f>
        <v>18.25</v>
      </c>
      <c r="C19" s="15">
        <f>IFERROR(__xludf.DUMMYFUNCTION("VLOOKUP(A19,IMPORTRANGE(""1aFCnJY1qhIj8-JckJhDJ18aqmVo17tofpQmOjcYa3u8/edit#gid=590920912"",""S1 Totals!$A$2:$O$255""),3,FALSE)"),0.553030303030303)</f>
        <v>0.553030303</v>
      </c>
      <c r="D19" s="16">
        <f>IFERROR(__xludf.DUMMYFUNCTION("VLOOKUP(A19,IMPORTRANGE(""1QZ5UxyNCwadreQAXnQ7oCoH982DjIA-QnZdO7ZoqkC0/edit#gid=884617569"",""S1 Totals!$A$2:$O$255""),2,FALSE)"),14.0)</f>
        <v>14</v>
      </c>
      <c r="E19" s="15">
        <f>IFERROR(__xludf.DUMMYFUNCTION("VLOOKUP(A19,IMPORTRANGE(""1QZ5UxyNCwadreQAXnQ7oCoH982DjIA-QnZdO7ZoqkC0/edit#gid=884617569"",""S1 Totals!$A$2:$O$255""),3,FALSE)"),0.42424242424242425)</f>
        <v>0.4242424242</v>
      </c>
      <c r="F19" s="108">
        <f t="shared" si="1"/>
        <v>0.1287878788</v>
      </c>
      <c r="G19" s="16">
        <f>IFERROR(__xludf.DUMMYFUNCTION("VLOOKUP(A19,IMPORTRANGE(""1QZ5UxyNCwadreQAXnQ7oCoH982DjIA-QnZdO7ZoqkC0/edit#gid=884617569"",""S1 Totals!$A$2:$O$255""),4,FALSE)"),0.0)</f>
        <v>0</v>
      </c>
      <c r="H19" s="15">
        <f>IFERROR(__xludf.DUMMYFUNCTION("VLOOKUP(A19,IMPORTRANGE(""1QZ5UxyNCwadreQAXnQ7oCoH982DjIA-QnZdO7ZoqkC0/edit#gid=884617569"",""S1 Totals!$A$2:$O$255""),5,FALSE)"),0.0)</f>
        <v>0</v>
      </c>
      <c r="I19" s="108">
        <f t="shared" si="2"/>
        <v>0.553030303</v>
      </c>
      <c r="J19" s="16" t="str">
        <f>IFERROR(__xludf.DUMMYFUNCTION("VLOOKUP(A19,IMPORTRANGE(""1QZ5UxyNCwadreQAXnQ7oCoH982DjIA-QnZdO7ZoqkC0/edit#gid=884617569"",""S1 Totals!$A$2:$O$255""),7,FALSE)"),"")</f>
        <v/>
      </c>
      <c r="K19" s="15" t="str">
        <f>IFERROR(__xludf.DUMMYFUNCTION("VLOOKUP(A19,IMPORTRANGE(""1QZ5UxyNCwadreQAXnQ7oCoH982DjIA-QnZdO7ZoqkC0/edit#gid=884617569"",""S1 Totals!$A$2:$O$255""),8,FALSE)"),"")</f>
        <v/>
      </c>
      <c r="L19" s="109">
        <f t="shared" si="3"/>
        <v>0.4242424242</v>
      </c>
      <c r="M19" s="16" t="str">
        <f>IFERROR(__xludf.DUMMYFUNCTION("VLOOKUP(A19,IMPORTRANGE(""1QZ5UxyNCwadreQAXnQ7oCoH982DjIA-QnZdO7ZoqkC0/edit#gid=884617569"",""S1 Totals!$A$2:$O$255""),10,FALSE)"),"")</f>
        <v/>
      </c>
      <c r="N19" s="15" t="str">
        <f>IFERROR(__xludf.DUMMYFUNCTION("VLOOKUP(A19,IMPORTRANGE(""1QZ5UxyNCwadreQAXnQ7oCoH982DjIA-QnZdO7ZoqkC0/edit#gid=884617569"",""S1 Totals!$A$2:$O$256""),11,FALSE)"),"")</f>
        <v/>
      </c>
      <c r="O19" s="110"/>
      <c r="P19" s="16" t="str">
        <f>IFERROR(__xludf.DUMMYFUNCTION("VLOOKUP(A19,IMPORTRANGE(""1QZ5UxyNCwadreQAXnQ7oCoH982DjIA-QnZdO7ZoqkC0/edit#gid=884617569"",""S1 Totals!$A$2:$O$256""),13,FALSE)"),"")</f>
        <v/>
      </c>
      <c r="Q19" s="15" t="str">
        <f>IFERROR(__xludf.DUMMYFUNCTION("VLOOKUP(A19,IMPORTRANGE(""1QZ5UxyNCwadreQAXnQ7oCoH982DjIA-QnZdO7ZoqkC0/edit#gid=884617569"",""S1 Totals!$A$2:$O$256""),14,FALSE)"),"")</f>
        <v/>
      </c>
      <c r="R19" s="15">
        <f t="shared" si="5"/>
        <v>0.553030303</v>
      </c>
    </row>
    <row r="20">
      <c r="A20" s="107" t="s">
        <v>57</v>
      </c>
      <c r="B20" s="16">
        <f>IFERROR(__xludf.DUMMYFUNCTION("VLOOKUP(A20,IMPORTRANGE(""1aFCnJY1qhIj8-JckJhDJ18aqmVo17tofpQmOjcYa3u8/edit#gid=590920912"",""S1 Totals!$A$2:$O$255""),2,FALSE)"),28.5)</f>
        <v>28.5</v>
      </c>
      <c r="C20" s="15">
        <f>IFERROR(__xludf.DUMMYFUNCTION("VLOOKUP(A20,IMPORTRANGE(""1aFCnJY1qhIj8-JckJhDJ18aqmVo17tofpQmOjcYa3u8/edit#gid=590920912"",""S1 Totals!$A$2:$O$255""),3,FALSE)"),0.8636363636363636)</f>
        <v>0.8636363636</v>
      </c>
      <c r="D20" s="16">
        <f>IFERROR(__xludf.DUMMYFUNCTION("VLOOKUP(A20,IMPORTRANGE(""1QZ5UxyNCwadreQAXnQ7oCoH982DjIA-QnZdO7ZoqkC0/edit#gid=884617569"",""S1 Totals!$A$2:$O$255""),2,FALSE)"),30.0)</f>
        <v>30</v>
      </c>
      <c r="E20" s="15">
        <f>IFERROR(__xludf.DUMMYFUNCTION("VLOOKUP(A20,IMPORTRANGE(""1QZ5UxyNCwadreQAXnQ7oCoH982DjIA-QnZdO7ZoqkC0/edit#gid=884617569"",""S1 Totals!$A$2:$O$255""),3,FALSE)"),0.9090909090909091)</f>
        <v>0.9090909091</v>
      </c>
      <c r="F20" s="108">
        <f t="shared" si="1"/>
        <v>-0.04545454545</v>
      </c>
      <c r="G20" s="16">
        <f>IFERROR(__xludf.DUMMYFUNCTION("VLOOKUP(A20,IMPORTRANGE(""1QZ5UxyNCwadreQAXnQ7oCoH982DjIA-QnZdO7ZoqkC0/edit#gid=884617569"",""S1 Totals!$A$2:$O$255""),4,FALSE)"),43.0)</f>
        <v>43</v>
      </c>
      <c r="H20" s="15">
        <f>IFERROR(__xludf.DUMMYFUNCTION("VLOOKUP(A20,IMPORTRANGE(""1QZ5UxyNCwadreQAXnQ7oCoH982DjIA-QnZdO7ZoqkC0/edit#gid=884617569"",""S1 Totals!$A$2:$O$255""),5,FALSE)"),0.9148936170212766)</f>
        <v>0.914893617</v>
      </c>
      <c r="I20" s="108">
        <f t="shared" si="2"/>
        <v>-0.05125725338</v>
      </c>
      <c r="J20" s="16">
        <f>IFERROR(__xludf.DUMMYFUNCTION("VLOOKUP(A20,IMPORTRANGE(""1QZ5UxyNCwadreQAXnQ7oCoH982DjIA-QnZdO7ZoqkC0/edit#gid=884617569"",""S1 Totals!$A$2:$O$255""),7,FALSE)"),44.5)</f>
        <v>44.5</v>
      </c>
      <c r="K20" s="15">
        <f>IFERROR(__xludf.DUMMYFUNCTION("VLOOKUP(A20,IMPORTRANGE(""1QZ5UxyNCwadreQAXnQ7oCoH982DjIA-QnZdO7ZoqkC0/edit#gid=884617569"",""S1 Totals!$A$2:$O$255""),8,FALSE)"),0.9081632653061225)</f>
        <v>0.9081632653</v>
      </c>
      <c r="L20" s="109">
        <f t="shared" si="3"/>
        <v>0.0009276437848</v>
      </c>
      <c r="M20" s="16">
        <f>IFERROR(__xludf.DUMMYFUNCTION("VLOOKUP(A20,IMPORTRANGE(""1QZ5UxyNCwadreQAXnQ7oCoH982DjIA-QnZdO7ZoqkC0/edit#gid=884617569"",""S1 Totals!$A$2:$O$255""),10,FALSE)"),41.5)</f>
        <v>41.5</v>
      </c>
      <c r="N20" s="15">
        <f>IFERROR(__xludf.DUMMYFUNCTION("VLOOKUP(A20,IMPORTRANGE(""1QZ5UxyNCwadreQAXnQ7oCoH982DjIA-QnZdO7ZoqkC0/edit#gid=884617569"",""S1 Totals!$A$2:$O$256""),11,FALSE)"),0.8645833333333334)</f>
        <v>0.8645833333</v>
      </c>
      <c r="O20" s="110">
        <f>C20-N20</f>
        <v>-0.000946969697</v>
      </c>
      <c r="P20" s="16">
        <f>IFERROR(__xludf.DUMMYFUNCTION("VLOOKUP(A20,IMPORTRANGE(""1QZ5UxyNCwadreQAXnQ7oCoH982DjIA-QnZdO7ZoqkC0/edit#gid=884617569"",""S1 Totals!$A$2:$O$256""),13,FALSE)"),43.0)</f>
        <v>43</v>
      </c>
      <c r="Q20" s="15">
        <f>IFERROR(__xludf.DUMMYFUNCTION("VLOOKUP(A20,IMPORTRANGE(""1QZ5UxyNCwadreQAXnQ7oCoH982DjIA-QnZdO7ZoqkC0/edit#gid=884617569"",""S1 Totals!$A$2:$O$256""),14,FALSE)"),0.86)</f>
        <v>0.86</v>
      </c>
      <c r="R20" s="15">
        <f t="shared" si="5"/>
        <v>0.003636363636</v>
      </c>
    </row>
    <row r="21">
      <c r="A21" s="107" t="s">
        <v>164</v>
      </c>
      <c r="B21" s="16">
        <f>IFERROR(__xludf.DUMMYFUNCTION("VLOOKUP(A21,IMPORTRANGE(""1aFCnJY1qhIj8-JckJhDJ18aqmVo17tofpQmOjcYa3u8/edit#gid=590920912"",""S1 Totals!$A$2:$O$255""),2,FALSE)"),1.25)</f>
        <v>1.25</v>
      </c>
      <c r="C21" s="15">
        <f>IFERROR(__xludf.DUMMYFUNCTION("VLOOKUP(A21,IMPORTRANGE(""1aFCnJY1qhIj8-JckJhDJ18aqmVo17tofpQmOjcYa3u8/edit#gid=590920912"",""S1 Totals!$A$2:$O$255""),3,FALSE)"),0.03787878787878788)</f>
        <v>0.03787878788</v>
      </c>
      <c r="D21" s="16">
        <f>IFERROR(__xludf.DUMMYFUNCTION("VLOOKUP(A21,IMPORTRANGE(""1QZ5UxyNCwadreQAXnQ7oCoH982DjIA-QnZdO7ZoqkC0/edit#gid=884617569"",""S1 Totals!$A$2:$O$255""),2,FALSE)"),1.75)</f>
        <v>1.75</v>
      </c>
      <c r="E21" s="15">
        <f>IFERROR(__xludf.DUMMYFUNCTION("VLOOKUP(A21,IMPORTRANGE(""1QZ5UxyNCwadreQAXnQ7oCoH982DjIA-QnZdO7ZoqkC0/edit#gid=884617569"",""S1 Totals!$A$2:$O$255""),3,FALSE)"),0.05303030303030303)</f>
        <v>0.05303030303</v>
      </c>
      <c r="F21" s="108">
        <f t="shared" si="1"/>
        <v>-0.01515151515</v>
      </c>
      <c r="G21" s="16">
        <f>IFERROR(__xludf.DUMMYFUNCTION("VLOOKUP(A21,IMPORTRANGE(""1QZ5UxyNCwadreQAXnQ7oCoH982DjIA-QnZdO7ZoqkC0/edit#gid=884617569"",""S1 Totals!$A$2:$O$255""),4,FALSE)"),6.0)</f>
        <v>6</v>
      </c>
      <c r="H21" s="15">
        <f>IFERROR(__xludf.DUMMYFUNCTION("VLOOKUP(A21,IMPORTRANGE(""1QZ5UxyNCwadreQAXnQ7oCoH982DjIA-QnZdO7ZoqkC0/edit#gid=884617569"",""S1 Totals!$A$2:$O$255""),5,FALSE)"),0.1276595744680851)</f>
        <v>0.1276595745</v>
      </c>
      <c r="I21" s="108">
        <f t="shared" si="2"/>
        <v>-0.08978078659</v>
      </c>
      <c r="J21" s="16">
        <f>IFERROR(__xludf.DUMMYFUNCTION("VLOOKUP(A21,IMPORTRANGE(""1QZ5UxyNCwadreQAXnQ7oCoH982DjIA-QnZdO7ZoqkC0/edit#gid=884617569"",""S1 Totals!$A$2:$O$255""),7,FALSE)"),3.5)</f>
        <v>3.5</v>
      </c>
      <c r="K21" s="15">
        <f>IFERROR(__xludf.DUMMYFUNCTION("VLOOKUP(A21,IMPORTRANGE(""1QZ5UxyNCwadreQAXnQ7oCoH982DjIA-QnZdO7ZoqkC0/edit#gid=884617569"",""S1 Totals!$A$2:$O$255""),8,FALSE)"),0.07142857142857142)</f>
        <v>0.07142857143</v>
      </c>
      <c r="L21" s="109">
        <f t="shared" si="3"/>
        <v>-0.0183982684</v>
      </c>
      <c r="M21" s="16" t="str">
        <f>IFERROR(__xludf.DUMMYFUNCTION("VLOOKUP(A21,IMPORTRANGE(""1QZ5UxyNCwadreQAXnQ7oCoH982DjIA-QnZdO7ZoqkC0/edit#gid=884617569"",""S1 Totals!$A$2:$O$255""),10,FALSE)"),"")</f>
        <v/>
      </c>
      <c r="N21" s="15" t="str">
        <f>IFERROR(__xludf.DUMMYFUNCTION("VLOOKUP(A21,IMPORTRANGE(""1QZ5UxyNCwadreQAXnQ7oCoH982DjIA-QnZdO7ZoqkC0/edit#gid=884617569"",""S1 Totals!$A$2:$O$256""),11,FALSE)"),"")</f>
        <v/>
      </c>
      <c r="O21" s="110"/>
      <c r="P21" s="16" t="str">
        <f>IFERROR(__xludf.DUMMYFUNCTION("VLOOKUP(A21,IMPORTRANGE(""1QZ5UxyNCwadreQAXnQ7oCoH982DjIA-QnZdO7ZoqkC0/edit#gid=884617569"",""S1 Totals!$A$2:$O$256""),13,FALSE)"),"")</f>
        <v/>
      </c>
      <c r="Q21" s="15" t="str">
        <f>IFERROR(__xludf.DUMMYFUNCTION("VLOOKUP(A21,IMPORTRANGE(""1QZ5UxyNCwadreQAXnQ7oCoH982DjIA-QnZdO7ZoqkC0/edit#gid=884617569"",""S1 Totals!$A$2:$O$256""),14,FALSE)"),"")</f>
        <v/>
      </c>
      <c r="R21" s="15">
        <f t="shared" si="5"/>
        <v>0.03787878788</v>
      </c>
    </row>
    <row r="22">
      <c r="A22" s="107" t="s">
        <v>165</v>
      </c>
      <c r="B22" s="16">
        <f>IFERROR(__xludf.DUMMYFUNCTION("VLOOKUP(A22,IMPORTRANGE(""1aFCnJY1qhIj8-JckJhDJ18aqmVo17tofpQmOjcYa3u8/edit#gid=590920912"",""S1 Totals!$A$2:$O$255""),2,FALSE)"),8.75)</f>
        <v>8.75</v>
      </c>
      <c r="C22" s="15">
        <f>IFERROR(__xludf.DUMMYFUNCTION("VLOOKUP(A22,IMPORTRANGE(""1aFCnJY1qhIj8-JckJhDJ18aqmVo17tofpQmOjcYa3u8/edit#gid=590920912"",""S1 Totals!$A$2:$O$255""),3,FALSE)"),0.26515151515151514)</f>
        <v>0.2651515152</v>
      </c>
      <c r="D22" s="16">
        <f>IFERROR(__xludf.DUMMYFUNCTION("VLOOKUP(A22,IMPORTRANGE(""1QZ5UxyNCwadreQAXnQ7oCoH982DjIA-QnZdO7ZoqkC0/edit#gid=884617569"",""S1 Totals!$A$2:$O$255""),2,FALSE)"),5.5)</f>
        <v>5.5</v>
      </c>
      <c r="E22" s="15">
        <f>IFERROR(__xludf.DUMMYFUNCTION("VLOOKUP(A22,IMPORTRANGE(""1QZ5UxyNCwadreQAXnQ7oCoH982DjIA-QnZdO7ZoqkC0/edit#gid=884617569"",""S1 Totals!$A$2:$O$255""),3,FALSE)"),0.16666666666666666)</f>
        <v>0.1666666667</v>
      </c>
      <c r="F22" s="108">
        <f t="shared" si="1"/>
        <v>0.09848484848</v>
      </c>
      <c r="G22" s="16">
        <f>IFERROR(__xludf.DUMMYFUNCTION("VLOOKUP(A22,IMPORTRANGE(""1QZ5UxyNCwadreQAXnQ7oCoH982DjIA-QnZdO7ZoqkC0/edit#gid=884617569"",""S1 Totals!$A$2:$O$255""),4,FALSE)"),10.0)</f>
        <v>10</v>
      </c>
      <c r="H22" s="15">
        <f>IFERROR(__xludf.DUMMYFUNCTION("VLOOKUP(A22,IMPORTRANGE(""1QZ5UxyNCwadreQAXnQ7oCoH982DjIA-QnZdO7ZoqkC0/edit#gid=884617569"",""S1 Totals!$A$2:$O$255""),5,FALSE)"),0.2127659574468085)</f>
        <v>0.2127659574</v>
      </c>
      <c r="I22" s="108">
        <f t="shared" si="2"/>
        <v>0.0523855577</v>
      </c>
      <c r="J22" s="16">
        <f>IFERROR(__xludf.DUMMYFUNCTION("VLOOKUP(A22,IMPORTRANGE(""1QZ5UxyNCwadreQAXnQ7oCoH982DjIA-QnZdO7ZoqkC0/edit#gid=884617569"",""S1 Totals!$A$2:$O$255""),7,FALSE)"),0.5)</f>
        <v>0.5</v>
      </c>
      <c r="K22" s="15">
        <f>IFERROR(__xludf.DUMMYFUNCTION("VLOOKUP(A22,IMPORTRANGE(""1QZ5UxyNCwadreQAXnQ7oCoH982DjIA-QnZdO7ZoqkC0/edit#gid=884617569"",""S1 Totals!$A$2:$O$255""),8,FALSE)"),0.01020408163265306)</f>
        <v>0.01020408163</v>
      </c>
      <c r="L22" s="109">
        <f t="shared" si="3"/>
        <v>0.156462585</v>
      </c>
      <c r="M22" s="16" t="str">
        <f>IFERROR(__xludf.DUMMYFUNCTION("VLOOKUP(A22,IMPORTRANGE(""1QZ5UxyNCwadreQAXnQ7oCoH982DjIA-QnZdO7ZoqkC0/edit#gid=884617569"",""S1 Totals!$A$2:$O$255""),10,FALSE)"),"")</f>
        <v/>
      </c>
      <c r="N22" s="15" t="str">
        <f>IFERROR(__xludf.DUMMYFUNCTION("VLOOKUP(A22,IMPORTRANGE(""1QZ5UxyNCwadreQAXnQ7oCoH982DjIA-QnZdO7ZoqkC0/edit#gid=884617569"",""S1 Totals!$A$2:$O$256""),11,FALSE)"),"")</f>
        <v/>
      </c>
      <c r="O22" s="110"/>
      <c r="P22" s="16" t="str">
        <f>IFERROR(__xludf.DUMMYFUNCTION("VLOOKUP(A22,IMPORTRANGE(""1QZ5UxyNCwadreQAXnQ7oCoH982DjIA-QnZdO7ZoqkC0/edit#gid=884617569"",""S1 Totals!$A$2:$O$256""),13,FALSE)"),"")</f>
        <v/>
      </c>
      <c r="Q22" s="15" t="str">
        <f>IFERROR(__xludf.DUMMYFUNCTION("VLOOKUP(A22,IMPORTRANGE(""1QZ5UxyNCwadreQAXnQ7oCoH982DjIA-QnZdO7ZoqkC0/edit#gid=884617569"",""S1 Totals!$A$2:$O$256""),14,FALSE)"),"")</f>
        <v/>
      </c>
      <c r="R22" s="15">
        <f t="shared" si="5"/>
        <v>0.2651515152</v>
      </c>
    </row>
    <row r="23">
      <c r="A23" s="107" t="s">
        <v>213</v>
      </c>
      <c r="B23" s="16">
        <f>IFERROR(__xludf.DUMMYFUNCTION("VLOOKUP(A23,IMPORTRANGE(""1aFCnJY1qhIj8-JckJhDJ18aqmVo17tofpQmOjcYa3u8/edit#gid=590920912"",""S1 Totals!$A$2:$O$255""),2,FALSE)"),0.0)</f>
        <v>0</v>
      </c>
      <c r="C23" s="15">
        <f>IFERROR(__xludf.DUMMYFUNCTION("VLOOKUP(A23,IMPORTRANGE(""1aFCnJY1qhIj8-JckJhDJ18aqmVo17tofpQmOjcYa3u8/edit#gid=590920912"",""S1 Totals!$A$2:$O$255""),3,FALSE)"),0.0)</f>
        <v>0</v>
      </c>
      <c r="D23" s="16">
        <f>IFERROR(__xludf.DUMMYFUNCTION("VLOOKUP(A23,IMPORTRANGE(""1QZ5UxyNCwadreQAXnQ7oCoH982DjIA-QnZdO7ZoqkC0/edit#gid=884617569"",""S1 Totals!$A$2:$O$255""),2,FALSE)"),0.0)</f>
        <v>0</v>
      </c>
      <c r="E23" s="15">
        <f>IFERROR(__xludf.DUMMYFUNCTION("VLOOKUP(A23,IMPORTRANGE(""1QZ5UxyNCwadreQAXnQ7oCoH982DjIA-QnZdO7ZoqkC0/edit#gid=884617569"",""S1 Totals!$A$2:$O$255""),3,FALSE)"),0.0)</f>
        <v>0</v>
      </c>
      <c r="F23" s="108">
        <f t="shared" si="1"/>
        <v>0</v>
      </c>
      <c r="G23" s="16">
        <f>IFERROR(__xludf.DUMMYFUNCTION("VLOOKUP(A23,IMPORTRANGE(""1QZ5UxyNCwadreQAXnQ7oCoH982DjIA-QnZdO7ZoqkC0/edit#gid=884617569"",""S1 Totals!$A$2:$O$255""),4,FALSE)"),0.0)</f>
        <v>0</v>
      </c>
      <c r="H23" s="15">
        <f>IFERROR(__xludf.DUMMYFUNCTION("VLOOKUP(A23,IMPORTRANGE(""1QZ5UxyNCwadreQAXnQ7oCoH982DjIA-QnZdO7ZoqkC0/edit#gid=884617569"",""S1 Totals!$A$2:$O$255""),5,FALSE)"),0.0)</f>
        <v>0</v>
      </c>
      <c r="I23" s="108">
        <f t="shared" si="2"/>
        <v>0</v>
      </c>
      <c r="J23" s="16" t="str">
        <f>IFERROR(__xludf.DUMMYFUNCTION("VLOOKUP(A23,IMPORTRANGE(""1QZ5UxyNCwadreQAXnQ7oCoH982DjIA-QnZdO7ZoqkC0/edit#gid=884617569"",""S1 Totals!$A$2:$O$255""),7,FALSE)"),"")</f>
        <v/>
      </c>
      <c r="K23" s="15" t="str">
        <f>IFERROR(__xludf.DUMMYFUNCTION("VLOOKUP(A23,IMPORTRANGE(""1QZ5UxyNCwadreQAXnQ7oCoH982DjIA-QnZdO7ZoqkC0/edit#gid=884617569"",""S1 Totals!$A$2:$O$255""),8,FALSE)"),"")</f>
        <v/>
      </c>
      <c r="L23" s="109">
        <f t="shared" si="3"/>
        <v>0</v>
      </c>
      <c r="M23" s="16" t="str">
        <f>IFERROR(__xludf.DUMMYFUNCTION("VLOOKUP(A23,IMPORTRANGE(""1QZ5UxyNCwadreQAXnQ7oCoH982DjIA-QnZdO7ZoqkC0/edit#gid=884617569"",""S1 Totals!$A$2:$O$255""),10,FALSE)"),"")</f>
        <v/>
      </c>
      <c r="N23" s="15" t="str">
        <f>IFERROR(__xludf.DUMMYFUNCTION("VLOOKUP(A23,IMPORTRANGE(""1QZ5UxyNCwadreQAXnQ7oCoH982DjIA-QnZdO7ZoqkC0/edit#gid=884617569"",""S1 Totals!$A$2:$O$256""),11,FALSE)"),"")</f>
        <v/>
      </c>
      <c r="O23" s="110"/>
      <c r="P23" s="16" t="str">
        <f>IFERROR(__xludf.DUMMYFUNCTION("VLOOKUP(A23,IMPORTRANGE(""1QZ5UxyNCwadreQAXnQ7oCoH982DjIA-QnZdO7ZoqkC0/edit#gid=884617569"",""S1 Totals!$A$2:$O$256""),13,FALSE)"),"")</f>
        <v/>
      </c>
      <c r="Q23" s="15" t="str">
        <f>IFERROR(__xludf.DUMMYFUNCTION("VLOOKUP(A23,IMPORTRANGE(""1QZ5UxyNCwadreQAXnQ7oCoH982DjIA-QnZdO7ZoqkC0/edit#gid=884617569"",""S1 Totals!$A$2:$O$256""),14,FALSE)"),"")</f>
        <v/>
      </c>
      <c r="R23" s="15">
        <f t="shared" si="5"/>
        <v>0</v>
      </c>
    </row>
    <row r="24">
      <c r="A24" s="107" t="s">
        <v>31</v>
      </c>
      <c r="B24" s="16">
        <f>IFERROR(__xludf.DUMMYFUNCTION("VLOOKUP(A24,IMPORTRANGE(""1aFCnJY1qhIj8-JckJhDJ18aqmVo17tofpQmOjcYa3u8/edit#gid=590920912"",""S1 Totals!$A$2:$O$255""),2,FALSE)"),29.75)</f>
        <v>29.75</v>
      </c>
      <c r="C24" s="15">
        <f>IFERROR(__xludf.DUMMYFUNCTION("VLOOKUP(A24,IMPORTRANGE(""1aFCnJY1qhIj8-JckJhDJ18aqmVo17tofpQmOjcYa3u8/edit#gid=590920912"",""S1 Totals!$A$2:$O$255""),3,FALSE)"),0.9015151515151515)</f>
        <v>0.9015151515</v>
      </c>
      <c r="D24" s="16">
        <f>IFERROR(__xludf.DUMMYFUNCTION("VLOOKUP(A24,IMPORTRANGE(""1QZ5UxyNCwadreQAXnQ7oCoH982DjIA-QnZdO7ZoqkC0/edit#gid=884617569"",""S1 Totals!$A$2:$O$255""),2,FALSE)"),29.5)</f>
        <v>29.5</v>
      </c>
      <c r="E24" s="15">
        <f>IFERROR(__xludf.DUMMYFUNCTION("VLOOKUP(A24,IMPORTRANGE(""1QZ5UxyNCwadreQAXnQ7oCoH982DjIA-QnZdO7ZoqkC0/edit#gid=884617569"",""S1 Totals!$A$2:$O$255""),3,FALSE)"),0.8939393939393939)</f>
        <v>0.8939393939</v>
      </c>
      <c r="F24" s="108">
        <f t="shared" si="1"/>
        <v>0.007575757576</v>
      </c>
      <c r="G24" s="16">
        <f>IFERROR(__xludf.DUMMYFUNCTION("VLOOKUP(A24,IMPORTRANGE(""1QZ5UxyNCwadreQAXnQ7oCoH982DjIA-QnZdO7ZoqkC0/edit#gid=884617569"",""S1 Totals!$A$2:$O$255""),4,FALSE)"),40.5)</f>
        <v>40.5</v>
      </c>
      <c r="H24" s="15">
        <f>IFERROR(__xludf.DUMMYFUNCTION("VLOOKUP(A24,IMPORTRANGE(""1QZ5UxyNCwadreQAXnQ7oCoH982DjIA-QnZdO7ZoqkC0/edit#gid=884617569"",""S1 Totals!$A$2:$O$255""),5,FALSE)"),0.8617021276595744)</f>
        <v>0.8617021277</v>
      </c>
      <c r="I24" s="108">
        <f t="shared" si="2"/>
        <v>0.03981302386</v>
      </c>
      <c r="J24" s="16">
        <f>IFERROR(__xludf.DUMMYFUNCTION("VLOOKUP(A24,IMPORTRANGE(""1QZ5UxyNCwadreQAXnQ7oCoH982DjIA-QnZdO7ZoqkC0/edit#gid=884617569"",""S1 Totals!$A$2:$O$255""),7,FALSE)"),43.0)</f>
        <v>43</v>
      </c>
      <c r="K24" s="15">
        <f>IFERROR(__xludf.DUMMYFUNCTION("VLOOKUP(A24,IMPORTRANGE(""1QZ5UxyNCwadreQAXnQ7oCoH982DjIA-QnZdO7ZoqkC0/edit#gid=884617569"",""S1 Totals!$A$2:$O$255""),8,FALSE)"),0.8775510204081632)</f>
        <v>0.8775510204</v>
      </c>
      <c r="L24" s="109">
        <f t="shared" si="3"/>
        <v>0.01638837353</v>
      </c>
      <c r="M24" s="16">
        <f>IFERROR(__xludf.DUMMYFUNCTION("VLOOKUP(A24,IMPORTRANGE(""1QZ5UxyNCwadreQAXnQ7oCoH982DjIA-QnZdO7ZoqkC0/edit#gid=884617569"",""S1 Totals!$A$2:$O$255""),10,FALSE)"),42.0)</f>
        <v>42</v>
      </c>
      <c r="N24" s="15">
        <f>IFERROR(__xludf.DUMMYFUNCTION("VLOOKUP(A24,IMPORTRANGE(""1QZ5UxyNCwadreQAXnQ7oCoH982DjIA-QnZdO7ZoqkC0/edit#gid=884617569"",""S1 Totals!$A$2:$O$256""),11,FALSE)"),0.875)</f>
        <v>0.875</v>
      </c>
      <c r="O24" s="110">
        <f>C24-N24</f>
        <v>0.02651515152</v>
      </c>
      <c r="P24" s="16">
        <f>IFERROR(__xludf.DUMMYFUNCTION("VLOOKUP(A24,IMPORTRANGE(""1QZ5UxyNCwadreQAXnQ7oCoH982DjIA-QnZdO7ZoqkC0/edit#gid=884617569"",""S1 Totals!$A$2:$O$256""),13,FALSE)"),43.0)</f>
        <v>43</v>
      </c>
      <c r="Q24" s="15">
        <f>IFERROR(__xludf.DUMMYFUNCTION("VLOOKUP(A24,IMPORTRANGE(""1QZ5UxyNCwadreQAXnQ7oCoH982DjIA-QnZdO7ZoqkC0/edit#gid=884617569"",""S1 Totals!$A$2:$O$256""),14,FALSE)"),0.86)</f>
        <v>0.86</v>
      </c>
      <c r="R24" s="15">
        <f t="shared" si="5"/>
        <v>0.04151515152</v>
      </c>
    </row>
    <row r="25">
      <c r="A25" s="107" t="s">
        <v>214</v>
      </c>
      <c r="B25" s="16">
        <f>IFERROR(__xludf.DUMMYFUNCTION("VLOOKUP(A25,IMPORTRANGE(""1aFCnJY1qhIj8-JckJhDJ18aqmVo17tofpQmOjcYa3u8/edit#gid=590920912"",""S1 Totals!$A$2:$O$255""),2,FALSE)"),0.0)</f>
        <v>0</v>
      </c>
      <c r="C25" s="15">
        <f>IFERROR(__xludf.DUMMYFUNCTION("VLOOKUP(A25,IMPORTRANGE(""1aFCnJY1qhIj8-JckJhDJ18aqmVo17tofpQmOjcYa3u8/edit#gid=590920912"",""S1 Totals!$A$2:$O$255""),3,FALSE)"),0.0)</f>
        <v>0</v>
      </c>
      <c r="D25" s="16">
        <f>IFERROR(__xludf.DUMMYFUNCTION("VLOOKUP(A25,IMPORTRANGE(""1QZ5UxyNCwadreQAXnQ7oCoH982DjIA-QnZdO7ZoqkC0/edit#gid=884617569"",""S1 Totals!$A$2:$O$255""),2,FALSE)"),0.0)</f>
        <v>0</v>
      </c>
      <c r="E25" s="15">
        <f>IFERROR(__xludf.DUMMYFUNCTION("VLOOKUP(A25,IMPORTRANGE(""1QZ5UxyNCwadreQAXnQ7oCoH982DjIA-QnZdO7ZoqkC0/edit#gid=884617569"",""S1 Totals!$A$2:$O$255""),3,FALSE)"),0.0)</f>
        <v>0</v>
      </c>
      <c r="F25" s="108">
        <f t="shared" si="1"/>
        <v>0</v>
      </c>
      <c r="G25" s="16">
        <f>IFERROR(__xludf.DUMMYFUNCTION("VLOOKUP(A25,IMPORTRANGE(""1QZ5UxyNCwadreQAXnQ7oCoH982DjIA-QnZdO7ZoqkC0/edit#gid=884617569"",""S1 Totals!$A$2:$O$255""),4,FALSE)"),2.0)</f>
        <v>2</v>
      </c>
      <c r="H25" s="15">
        <f>IFERROR(__xludf.DUMMYFUNCTION("VLOOKUP(A25,IMPORTRANGE(""1QZ5UxyNCwadreQAXnQ7oCoH982DjIA-QnZdO7ZoqkC0/edit#gid=884617569"",""S1 Totals!$A$2:$O$255""),5,FALSE)"),0.0425531914893617)</f>
        <v>0.04255319149</v>
      </c>
      <c r="I25" s="108">
        <f t="shared" si="2"/>
        <v>-0.04255319149</v>
      </c>
      <c r="J25" s="16" t="str">
        <f>IFERROR(__xludf.DUMMYFUNCTION("VLOOKUP(A25,IMPORTRANGE(""1QZ5UxyNCwadreQAXnQ7oCoH982DjIA-QnZdO7ZoqkC0/edit#gid=884617569"",""S1 Totals!$A$2:$O$255""),7,FALSE)"),"")</f>
        <v/>
      </c>
      <c r="K25" s="15" t="str">
        <f>IFERROR(__xludf.DUMMYFUNCTION("VLOOKUP(A25,IMPORTRANGE(""1QZ5UxyNCwadreQAXnQ7oCoH982DjIA-QnZdO7ZoqkC0/edit#gid=884617569"",""S1 Totals!$A$2:$O$255""),8,FALSE)"),"")</f>
        <v/>
      </c>
      <c r="L25" s="109">
        <f t="shared" si="3"/>
        <v>0</v>
      </c>
      <c r="M25" s="16" t="str">
        <f>IFERROR(__xludf.DUMMYFUNCTION("VLOOKUP(A25,IMPORTRANGE(""1QZ5UxyNCwadreQAXnQ7oCoH982DjIA-QnZdO7ZoqkC0/edit#gid=884617569"",""S1 Totals!$A$2:$O$255""),10,FALSE)"),"")</f>
        <v/>
      </c>
      <c r="N25" s="15" t="str">
        <f>IFERROR(__xludf.DUMMYFUNCTION("VLOOKUP(A25,IMPORTRANGE(""1QZ5UxyNCwadreQAXnQ7oCoH982DjIA-QnZdO7ZoqkC0/edit#gid=884617569"",""S1 Totals!$A$2:$O$256""),11,FALSE)"),"")</f>
        <v/>
      </c>
      <c r="O25" s="110"/>
      <c r="P25" s="16" t="str">
        <f>IFERROR(__xludf.DUMMYFUNCTION("VLOOKUP(A25,IMPORTRANGE(""1QZ5UxyNCwadreQAXnQ7oCoH982DjIA-QnZdO7ZoqkC0/edit#gid=884617569"",""S1 Totals!$A$2:$O$256""),13,FALSE)"),"")</f>
        <v/>
      </c>
      <c r="Q25" s="15" t="str">
        <f>IFERROR(__xludf.DUMMYFUNCTION("VLOOKUP(A25,IMPORTRANGE(""1QZ5UxyNCwadreQAXnQ7oCoH982DjIA-QnZdO7ZoqkC0/edit#gid=884617569"",""S1 Totals!$A$2:$O$256""),14,FALSE)"),"")</f>
        <v/>
      </c>
      <c r="R25" s="15">
        <f t="shared" si="5"/>
        <v>0</v>
      </c>
    </row>
    <row r="26">
      <c r="A26" s="107" t="s">
        <v>215</v>
      </c>
      <c r="B26" s="16">
        <f>IFERROR(__xludf.DUMMYFUNCTION("VLOOKUP(A26,IMPORTRANGE(""1aFCnJY1qhIj8-JckJhDJ18aqmVo17tofpQmOjcYa3u8/edit#gid=590920912"",""S1 Totals!$A$2:$O$255""),2,FALSE)"),25.25)</f>
        <v>25.25</v>
      </c>
      <c r="C26" s="15">
        <f>IFERROR(__xludf.DUMMYFUNCTION("VLOOKUP(A26,IMPORTRANGE(""1aFCnJY1qhIj8-JckJhDJ18aqmVo17tofpQmOjcYa3u8/edit#gid=590920912"",""S1 Totals!$A$2:$O$255""),3,FALSE)"),0.7651515151515151)</f>
        <v>0.7651515152</v>
      </c>
      <c r="D26" s="16">
        <f>IFERROR(__xludf.DUMMYFUNCTION("VLOOKUP(A26,IMPORTRANGE(""1QZ5UxyNCwadreQAXnQ7oCoH982DjIA-QnZdO7ZoqkC0/edit#gid=884617569"",""S1 Totals!$A$2:$O$255""),2,FALSE)"),26.0)</f>
        <v>26</v>
      </c>
      <c r="E26" s="15">
        <f>IFERROR(__xludf.DUMMYFUNCTION("VLOOKUP(A26,IMPORTRANGE(""1QZ5UxyNCwadreQAXnQ7oCoH982DjIA-QnZdO7ZoqkC0/edit#gid=884617569"",""S1 Totals!$A$2:$O$255""),3,FALSE)"),0.7878787878787878)</f>
        <v>0.7878787879</v>
      </c>
      <c r="F26" s="108">
        <f t="shared" si="1"/>
        <v>-0.02272727273</v>
      </c>
      <c r="G26" s="16">
        <f>IFERROR(__xludf.DUMMYFUNCTION("VLOOKUP(A26,IMPORTRANGE(""1QZ5UxyNCwadreQAXnQ7oCoH982DjIA-QnZdO7ZoqkC0/edit#gid=884617569"",""S1 Totals!$A$2:$O$255""),4,FALSE)"),34.5)</f>
        <v>34.5</v>
      </c>
      <c r="H26" s="15">
        <f>IFERROR(__xludf.DUMMYFUNCTION("VLOOKUP(A26,IMPORTRANGE(""1QZ5UxyNCwadreQAXnQ7oCoH982DjIA-QnZdO7ZoqkC0/edit#gid=884617569"",""S1 Totals!$A$2:$O$255""),5,FALSE)"),0.7340425531914894)</f>
        <v>0.7340425532</v>
      </c>
      <c r="I26" s="108">
        <f t="shared" si="2"/>
        <v>0.03110896196</v>
      </c>
      <c r="J26" s="16" t="str">
        <f>IFERROR(__xludf.DUMMYFUNCTION("VLOOKUP(A26,IMPORTRANGE(""1QZ5UxyNCwadreQAXnQ7oCoH982DjIA-QnZdO7ZoqkC0/edit#gid=884617569"",""S1 Totals!$A$2:$O$255""),7,FALSE)"),"")</f>
        <v/>
      </c>
      <c r="K26" s="15" t="str">
        <f>IFERROR(__xludf.DUMMYFUNCTION("VLOOKUP(A26,IMPORTRANGE(""1QZ5UxyNCwadreQAXnQ7oCoH982DjIA-QnZdO7ZoqkC0/edit#gid=884617569"",""S1 Totals!$A$2:$O$255""),8,FALSE)"),"")</f>
        <v/>
      </c>
      <c r="L26" s="109">
        <f t="shared" si="3"/>
        <v>0.7878787879</v>
      </c>
      <c r="M26" s="16" t="str">
        <f>IFERROR(__xludf.DUMMYFUNCTION("VLOOKUP(A26,IMPORTRANGE(""1QZ5UxyNCwadreQAXnQ7oCoH982DjIA-QnZdO7ZoqkC0/edit#gid=884617569"",""S1 Totals!$A$2:$O$255""),10,FALSE)"),"")</f>
        <v/>
      </c>
      <c r="N26" s="15" t="str">
        <f>IFERROR(__xludf.DUMMYFUNCTION("VLOOKUP(A26,IMPORTRANGE(""1QZ5UxyNCwadreQAXnQ7oCoH982DjIA-QnZdO7ZoqkC0/edit#gid=884617569"",""S1 Totals!$A$2:$O$256""),11,FALSE)"),"")</f>
        <v/>
      </c>
      <c r="O26" s="110"/>
      <c r="P26" s="16" t="str">
        <f>IFERROR(__xludf.DUMMYFUNCTION("VLOOKUP(A26,IMPORTRANGE(""1QZ5UxyNCwadreQAXnQ7oCoH982DjIA-QnZdO7ZoqkC0/edit#gid=884617569"",""S1 Totals!$A$2:$O$256""),13,FALSE)"),"")</f>
        <v/>
      </c>
      <c r="Q26" s="15" t="str">
        <f>IFERROR(__xludf.DUMMYFUNCTION("VLOOKUP(A26,IMPORTRANGE(""1QZ5UxyNCwadreQAXnQ7oCoH982DjIA-QnZdO7ZoqkC0/edit#gid=884617569"",""S1 Totals!$A$2:$O$256""),14,FALSE)"),"")</f>
        <v/>
      </c>
      <c r="R26" s="15">
        <f t="shared" si="5"/>
        <v>0.7651515152</v>
      </c>
    </row>
    <row r="27">
      <c r="A27" s="107" t="s">
        <v>216</v>
      </c>
      <c r="B27" s="16">
        <f>IFERROR(__xludf.DUMMYFUNCTION("VLOOKUP(A27,IMPORTRANGE(""1aFCnJY1qhIj8-JckJhDJ18aqmVo17tofpQmOjcYa3u8/edit#gid=590920912"",""S1 Totals!$A$2:$O$255""),2,FALSE)"),11.75)</f>
        <v>11.75</v>
      </c>
      <c r="C27" s="15">
        <f>IFERROR(__xludf.DUMMYFUNCTION("VLOOKUP(A27,IMPORTRANGE(""1aFCnJY1qhIj8-JckJhDJ18aqmVo17tofpQmOjcYa3u8/edit#gid=590920912"",""S1 Totals!$A$2:$O$255""),3,FALSE)"),0.3560606060606061)</f>
        <v>0.3560606061</v>
      </c>
      <c r="D27" s="16">
        <f>IFERROR(__xludf.DUMMYFUNCTION("VLOOKUP(A27,IMPORTRANGE(""1QZ5UxyNCwadreQAXnQ7oCoH982DjIA-QnZdO7ZoqkC0/edit#gid=884617569"",""S1 Totals!$A$2:$O$255""),2,FALSE)"),0.75)</f>
        <v>0.75</v>
      </c>
      <c r="E27" s="15">
        <f>IFERROR(__xludf.DUMMYFUNCTION("VLOOKUP(A27,IMPORTRANGE(""1QZ5UxyNCwadreQAXnQ7oCoH982DjIA-QnZdO7ZoqkC0/edit#gid=884617569"",""S1 Totals!$A$2:$O$255""),3,FALSE)"),0.022727272727272728)</f>
        <v>0.02272727273</v>
      </c>
      <c r="F27" s="108">
        <f t="shared" si="1"/>
        <v>0.3333333333</v>
      </c>
      <c r="G27" s="16">
        <f>IFERROR(__xludf.DUMMYFUNCTION("VLOOKUP(A27,IMPORTRANGE(""1QZ5UxyNCwadreQAXnQ7oCoH982DjIA-QnZdO7ZoqkC0/edit#gid=884617569"",""S1 Totals!$A$2:$O$255""),4,FALSE)"),4.5)</f>
        <v>4.5</v>
      </c>
      <c r="H27" s="15">
        <f>IFERROR(__xludf.DUMMYFUNCTION("VLOOKUP(A27,IMPORTRANGE(""1QZ5UxyNCwadreQAXnQ7oCoH982DjIA-QnZdO7ZoqkC0/edit#gid=884617569"",""S1 Totals!$A$2:$O$255""),5,FALSE)"),0.09574468085106383)</f>
        <v>0.09574468085</v>
      </c>
      <c r="I27" s="108">
        <f t="shared" si="2"/>
        <v>0.2603159252</v>
      </c>
      <c r="J27" s="16" t="str">
        <f>IFERROR(__xludf.DUMMYFUNCTION("VLOOKUP(A27,IMPORTRANGE(""1QZ5UxyNCwadreQAXnQ7oCoH982DjIA-QnZdO7ZoqkC0/edit#gid=884617569"",""S1 Totals!$A$2:$O$255""),7,FALSE)"),"")</f>
        <v/>
      </c>
      <c r="K27" s="15" t="str">
        <f>IFERROR(__xludf.DUMMYFUNCTION("VLOOKUP(A27,IMPORTRANGE(""1QZ5UxyNCwadreQAXnQ7oCoH982DjIA-QnZdO7ZoqkC0/edit#gid=884617569"",""S1 Totals!$A$2:$O$255""),8,FALSE)"),"")</f>
        <v/>
      </c>
      <c r="L27" s="109">
        <f t="shared" si="3"/>
        <v>0.02272727273</v>
      </c>
      <c r="M27" s="16" t="str">
        <f>IFERROR(__xludf.DUMMYFUNCTION("VLOOKUP(A27,IMPORTRANGE(""1QZ5UxyNCwadreQAXnQ7oCoH982DjIA-QnZdO7ZoqkC0/edit#gid=884617569"",""S1 Totals!$A$2:$O$255""),10,FALSE)"),"")</f>
        <v/>
      </c>
      <c r="N27" s="15" t="str">
        <f>IFERROR(__xludf.DUMMYFUNCTION("VLOOKUP(A27,IMPORTRANGE(""1QZ5UxyNCwadreQAXnQ7oCoH982DjIA-QnZdO7ZoqkC0/edit#gid=884617569"",""S1 Totals!$A$2:$O$256""),11,FALSE)"),"")</f>
        <v/>
      </c>
      <c r="O27" s="110"/>
      <c r="P27" s="16" t="str">
        <f>IFERROR(__xludf.DUMMYFUNCTION("VLOOKUP(A27,IMPORTRANGE(""1QZ5UxyNCwadreQAXnQ7oCoH982DjIA-QnZdO7ZoqkC0/edit#gid=884617569"",""S1 Totals!$A$2:$O$256""),13,FALSE)"),"")</f>
        <v/>
      </c>
      <c r="Q27" s="15" t="str">
        <f>IFERROR(__xludf.DUMMYFUNCTION("VLOOKUP(A27,IMPORTRANGE(""1QZ5UxyNCwadreQAXnQ7oCoH982DjIA-QnZdO7ZoqkC0/edit#gid=884617569"",""S1 Totals!$A$2:$O$256""),14,FALSE)"),"")</f>
        <v/>
      </c>
      <c r="R27" s="15">
        <f t="shared" si="5"/>
        <v>0.3560606061</v>
      </c>
    </row>
    <row r="28">
      <c r="A28" s="107" t="s">
        <v>114</v>
      </c>
      <c r="B28" s="16">
        <f>IFERROR(__xludf.DUMMYFUNCTION("VLOOKUP(A28,IMPORTRANGE(""1aFCnJY1qhIj8-JckJhDJ18aqmVo17tofpQmOjcYa3u8/edit#gid=590920912"",""S1 Totals!$A$2:$O$255""),2,FALSE)"),11.25)</f>
        <v>11.25</v>
      </c>
      <c r="C28" s="15">
        <f>IFERROR(__xludf.DUMMYFUNCTION("VLOOKUP(A28,IMPORTRANGE(""1aFCnJY1qhIj8-JckJhDJ18aqmVo17tofpQmOjcYa3u8/edit#gid=590920912"",""S1 Totals!$A$2:$O$255""),3,FALSE)"),0.3409090909090909)</f>
        <v>0.3409090909</v>
      </c>
      <c r="D28" s="16">
        <f>IFERROR(__xludf.DUMMYFUNCTION("VLOOKUP(A28,IMPORTRANGE(""1QZ5UxyNCwadreQAXnQ7oCoH982DjIA-QnZdO7ZoqkC0/edit#gid=884617569"",""S1 Totals!$A$2:$O$255""),2,FALSE)"),16.0)</f>
        <v>16</v>
      </c>
      <c r="E28" s="15">
        <f>IFERROR(__xludf.DUMMYFUNCTION("VLOOKUP(A28,IMPORTRANGE(""1QZ5UxyNCwadreQAXnQ7oCoH982DjIA-QnZdO7ZoqkC0/edit#gid=884617569"",""S1 Totals!$A$2:$O$255""),3,FALSE)"),0.48484848484848486)</f>
        <v>0.4848484848</v>
      </c>
      <c r="F28" s="108">
        <f t="shared" si="1"/>
        <v>-0.1439393939</v>
      </c>
      <c r="G28" s="16">
        <f>IFERROR(__xludf.DUMMYFUNCTION("VLOOKUP(A28,IMPORTRANGE(""1QZ5UxyNCwadreQAXnQ7oCoH982DjIA-QnZdO7ZoqkC0/edit#gid=884617569"",""S1 Totals!$A$2:$O$255""),4,FALSE)"),28.0)</f>
        <v>28</v>
      </c>
      <c r="H28" s="15">
        <f>IFERROR(__xludf.DUMMYFUNCTION("VLOOKUP(A28,IMPORTRANGE(""1QZ5UxyNCwadreQAXnQ7oCoH982DjIA-QnZdO7ZoqkC0/edit#gid=884617569"",""S1 Totals!$A$2:$O$255""),5,FALSE)"),0.5957446808510638)</f>
        <v>0.5957446809</v>
      </c>
      <c r="I28" s="108">
        <f t="shared" si="2"/>
        <v>-0.2548355899</v>
      </c>
      <c r="J28" s="16">
        <f>IFERROR(__xludf.DUMMYFUNCTION("VLOOKUP(A28,IMPORTRANGE(""1QZ5UxyNCwadreQAXnQ7oCoH982DjIA-QnZdO7ZoqkC0/edit#gid=884617569"",""S1 Totals!$A$2:$O$255""),7,FALSE)"),24.5)</f>
        <v>24.5</v>
      </c>
      <c r="K28" s="15">
        <f>IFERROR(__xludf.DUMMYFUNCTION("VLOOKUP(A28,IMPORTRANGE(""1QZ5UxyNCwadreQAXnQ7oCoH982DjIA-QnZdO7ZoqkC0/edit#gid=884617569"",""S1 Totals!$A$2:$O$255""),8,FALSE)"),0.5)</f>
        <v>0.5</v>
      </c>
      <c r="L28" s="109">
        <f t="shared" si="3"/>
        <v>-0.01515151515</v>
      </c>
      <c r="M28" s="16">
        <f>IFERROR(__xludf.DUMMYFUNCTION("VLOOKUP(A28,IMPORTRANGE(""1QZ5UxyNCwadreQAXnQ7oCoH982DjIA-QnZdO7ZoqkC0/edit#gid=884617569"",""S1 Totals!$A$2:$O$255""),10,FALSE)"),25.0)</f>
        <v>25</v>
      </c>
      <c r="N28" s="15">
        <f>IFERROR(__xludf.DUMMYFUNCTION("VLOOKUP(A28,IMPORTRANGE(""1QZ5UxyNCwadreQAXnQ7oCoH982DjIA-QnZdO7ZoqkC0/edit#gid=884617569"",""S1 Totals!$A$2:$O$256""),11,FALSE)"),0.5208333333333334)</f>
        <v>0.5208333333</v>
      </c>
      <c r="O28" s="110">
        <f t="shared" ref="O28:O29" si="8">C28-N28</f>
        <v>-0.1799242424</v>
      </c>
      <c r="P28" s="16" t="str">
        <f>IFERROR(__xludf.DUMMYFUNCTION("VLOOKUP(A28,IMPORTRANGE(""1QZ5UxyNCwadreQAXnQ7oCoH982DjIA-QnZdO7ZoqkC0/edit#gid=884617569"",""S1 Totals!$A$2:$O$256""),13,FALSE)"),"")</f>
        <v/>
      </c>
      <c r="Q28" s="15" t="str">
        <f>IFERROR(__xludf.DUMMYFUNCTION("VLOOKUP(A28,IMPORTRANGE(""1QZ5UxyNCwadreQAXnQ7oCoH982DjIA-QnZdO7ZoqkC0/edit#gid=884617569"",""S1 Totals!$A$2:$O$256""),14,FALSE)"),"")</f>
        <v/>
      </c>
      <c r="R28" s="15">
        <f t="shared" si="5"/>
        <v>0.3409090909</v>
      </c>
    </row>
    <row r="29">
      <c r="A29" s="107" t="s">
        <v>115</v>
      </c>
      <c r="B29" s="16">
        <f>IFERROR(__xludf.DUMMYFUNCTION("VLOOKUP(A29,IMPORTRANGE(""1aFCnJY1qhIj8-JckJhDJ18aqmVo17tofpQmOjcYa3u8/edit#gid=590920912"",""S1 Totals!$A$2:$O$255""),2,FALSE)"),22.25)</f>
        <v>22.25</v>
      </c>
      <c r="C29" s="15">
        <f>IFERROR(__xludf.DUMMYFUNCTION("VLOOKUP(A29,IMPORTRANGE(""1aFCnJY1qhIj8-JckJhDJ18aqmVo17tofpQmOjcYa3u8/edit#gid=590920912"",""S1 Totals!$A$2:$O$255""),3,FALSE)"),0.6742424242424242)</f>
        <v>0.6742424242</v>
      </c>
      <c r="D29" s="16">
        <f>IFERROR(__xludf.DUMMYFUNCTION("VLOOKUP(A29,IMPORTRANGE(""1QZ5UxyNCwadreQAXnQ7oCoH982DjIA-QnZdO7ZoqkC0/edit#gid=884617569"",""S1 Totals!$A$2:$O$255""),2,FALSE)"),23.25)</f>
        <v>23.25</v>
      </c>
      <c r="E29" s="15">
        <f>IFERROR(__xludf.DUMMYFUNCTION("VLOOKUP(A29,IMPORTRANGE(""1QZ5UxyNCwadreQAXnQ7oCoH982DjIA-QnZdO7ZoqkC0/edit#gid=884617569"",""S1 Totals!$A$2:$O$255""),3,FALSE)"),0.7045454545454546)</f>
        <v>0.7045454545</v>
      </c>
      <c r="F29" s="108">
        <f t="shared" si="1"/>
        <v>-0.0303030303</v>
      </c>
      <c r="G29" s="16">
        <f>IFERROR(__xludf.DUMMYFUNCTION("VLOOKUP(A29,IMPORTRANGE(""1QZ5UxyNCwadreQAXnQ7oCoH982DjIA-QnZdO7ZoqkC0/edit#gid=884617569"",""S1 Totals!$A$2:$O$255""),4,FALSE)"),33.5)</f>
        <v>33.5</v>
      </c>
      <c r="H29" s="15">
        <f>IFERROR(__xludf.DUMMYFUNCTION("VLOOKUP(A29,IMPORTRANGE(""1QZ5UxyNCwadreQAXnQ7oCoH982DjIA-QnZdO7ZoqkC0/edit#gid=884617569"",""S1 Totals!$A$2:$O$255""),5,FALSE)"),0.7127659574468085)</f>
        <v>0.7127659574</v>
      </c>
      <c r="I29" s="108">
        <f t="shared" si="2"/>
        <v>-0.0385235332</v>
      </c>
      <c r="J29" s="16">
        <f>IFERROR(__xludf.DUMMYFUNCTION("VLOOKUP(A29,IMPORTRANGE(""1QZ5UxyNCwadreQAXnQ7oCoH982DjIA-QnZdO7ZoqkC0/edit#gid=884617569"",""S1 Totals!$A$2:$O$255""),7,FALSE)"),34.0)</f>
        <v>34</v>
      </c>
      <c r="K29" s="15">
        <f>IFERROR(__xludf.DUMMYFUNCTION("VLOOKUP(A29,IMPORTRANGE(""1QZ5UxyNCwadreQAXnQ7oCoH982DjIA-QnZdO7ZoqkC0/edit#gid=884617569"",""S1 Totals!$A$2:$O$255""),8,FALSE)"),0.6938775510204082)</f>
        <v>0.693877551</v>
      </c>
      <c r="L29" s="109">
        <f t="shared" si="3"/>
        <v>0.01066790353</v>
      </c>
      <c r="M29" s="16">
        <f>IFERROR(__xludf.DUMMYFUNCTION("VLOOKUP(A29,IMPORTRANGE(""1QZ5UxyNCwadreQAXnQ7oCoH982DjIA-QnZdO7ZoqkC0/edit#gid=884617569"",""S1 Totals!$A$2:$O$255""),10,FALSE)"),30.0)</f>
        <v>30</v>
      </c>
      <c r="N29" s="15">
        <f>IFERROR(__xludf.DUMMYFUNCTION("VLOOKUP(A29,IMPORTRANGE(""1QZ5UxyNCwadreQAXnQ7oCoH982DjIA-QnZdO7ZoqkC0/edit#gid=884617569"",""S1 Totals!$A$2:$O$256""),11,FALSE)"),0.625)</f>
        <v>0.625</v>
      </c>
      <c r="O29" s="110">
        <f t="shared" si="8"/>
        <v>0.04924242424</v>
      </c>
      <c r="P29" s="16" t="str">
        <f>IFERROR(__xludf.DUMMYFUNCTION("VLOOKUP(A29,IMPORTRANGE(""1QZ5UxyNCwadreQAXnQ7oCoH982DjIA-QnZdO7ZoqkC0/edit#gid=884617569"",""S1 Totals!$A$2:$O$256""),13,FALSE)"),"")</f>
        <v/>
      </c>
      <c r="Q29" s="15" t="str">
        <f>IFERROR(__xludf.DUMMYFUNCTION("VLOOKUP(A29,IMPORTRANGE(""1QZ5UxyNCwadreQAXnQ7oCoH982DjIA-QnZdO7ZoqkC0/edit#gid=884617569"",""S1 Totals!$A$2:$O$256""),14,FALSE)"),"")</f>
        <v/>
      </c>
      <c r="R29" s="15">
        <f t="shared" si="5"/>
        <v>0.6742424242</v>
      </c>
    </row>
    <row r="30">
      <c r="A30" s="107" t="s">
        <v>166</v>
      </c>
      <c r="B30" s="16">
        <f>IFERROR(__xludf.DUMMYFUNCTION("VLOOKUP(A30,IMPORTRANGE(""1aFCnJY1qhIj8-JckJhDJ18aqmVo17tofpQmOjcYa3u8/edit#gid=590920912"",""S1 Totals!$A$2:$O$255""),2,FALSE)"),18.25)</f>
        <v>18.25</v>
      </c>
      <c r="C30" s="15">
        <f>IFERROR(__xludf.DUMMYFUNCTION("VLOOKUP(A30,IMPORTRANGE(""1aFCnJY1qhIj8-JckJhDJ18aqmVo17tofpQmOjcYa3u8/edit#gid=590920912"",""S1 Totals!$A$2:$O$255""),3,FALSE)"),0.553030303030303)</f>
        <v>0.553030303</v>
      </c>
      <c r="D30" s="16">
        <f>IFERROR(__xludf.DUMMYFUNCTION("VLOOKUP(A30,IMPORTRANGE(""1QZ5UxyNCwadreQAXnQ7oCoH982DjIA-QnZdO7ZoqkC0/edit#gid=884617569"",""S1 Totals!$A$2:$O$255""),2,FALSE)"),17.25)</f>
        <v>17.25</v>
      </c>
      <c r="E30" s="15">
        <f>IFERROR(__xludf.DUMMYFUNCTION("VLOOKUP(A30,IMPORTRANGE(""1QZ5UxyNCwadreQAXnQ7oCoH982DjIA-QnZdO7ZoqkC0/edit#gid=884617569"",""S1 Totals!$A$2:$O$255""),3,FALSE)"),0.5227272727272727)</f>
        <v>0.5227272727</v>
      </c>
      <c r="F30" s="108">
        <f t="shared" si="1"/>
        <v>0.0303030303</v>
      </c>
      <c r="G30" s="16">
        <f>IFERROR(__xludf.DUMMYFUNCTION("VLOOKUP(A30,IMPORTRANGE(""1QZ5UxyNCwadreQAXnQ7oCoH982DjIA-QnZdO7ZoqkC0/edit#gid=884617569"",""S1 Totals!$A$2:$O$255""),4,FALSE)"),12.0)</f>
        <v>12</v>
      </c>
      <c r="H30" s="15">
        <f>IFERROR(__xludf.DUMMYFUNCTION("VLOOKUP(A30,IMPORTRANGE(""1QZ5UxyNCwadreQAXnQ7oCoH982DjIA-QnZdO7ZoqkC0/edit#gid=884617569"",""S1 Totals!$A$2:$O$255""),5,FALSE)"),0.2553191489361702)</f>
        <v>0.2553191489</v>
      </c>
      <c r="I30" s="108">
        <f t="shared" si="2"/>
        <v>0.2977111541</v>
      </c>
      <c r="J30" s="16">
        <f>IFERROR(__xludf.DUMMYFUNCTION("VLOOKUP(A30,IMPORTRANGE(""1QZ5UxyNCwadreQAXnQ7oCoH982DjIA-QnZdO7ZoqkC0/edit#gid=884617569"",""S1 Totals!$A$2:$O$255""),7,FALSE)"),15.0)</f>
        <v>15</v>
      </c>
      <c r="K30" s="15">
        <f>IFERROR(__xludf.DUMMYFUNCTION("VLOOKUP(A30,IMPORTRANGE(""1QZ5UxyNCwadreQAXnQ7oCoH982DjIA-QnZdO7ZoqkC0/edit#gid=884617569"",""S1 Totals!$A$2:$O$255""),8,FALSE)"),0.30612244897959184)</f>
        <v>0.306122449</v>
      </c>
      <c r="L30" s="109">
        <f t="shared" si="3"/>
        <v>0.2166048237</v>
      </c>
      <c r="M30" s="16" t="str">
        <f>IFERROR(__xludf.DUMMYFUNCTION("VLOOKUP(A30,IMPORTRANGE(""1QZ5UxyNCwadreQAXnQ7oCoH982DjIA-QnZdO7ZoqkC0/edit#gid=884617569"",""S1 Totals!$A$2:$O$255""),10,FALSE)"),"")</f>
        <v/>
      </c>
      <c r="N30" s="15" t="str">
        <f>IFERROR(__xludf.DUMMYFUNCTION("VLOOKUP(A30,IMPORTRANGE(""1QZ5UxyNCwadreQAXnQ7oCoH982DjIA-QnZdO7ZoqkC0/edit#gid=884617569"",""S1 Totals!$A$2:$O$256""),11,FALSE)"),"")</f>
        <v/>
      </c>
      <c r="O30" s="110"/>
      <c r="P30" s="16" t="str">
        <f>IFERROR(__xludf.DUMMYFUNCTION("VLOOKUP(A30,IMPORTRANGE(""1QZ5UxyNCwadreQAXnQ7oCoH982DjIA-QnZdO7ZoqkC0/edit#gid=884617569"",""S1 Totals!$A$2:$O$256""),13,FALSE)"),"")</f>
        <v/>
      </c>
      <c r="Q30" s="15" t="str">
        <f>IFERROR(__xludf.DUMMYFUNCTION("VLOOKUP(A30,IMPORTRANGE(""1QZ5UxyNCwadreQAXnQ7oCoH982DjIA-QnZdO7ZoqkC0/edit#gid=884617569"",""S1 Totals!$A$2:$O$256""),14,FALSE)"),"")</f>
        <v/>
      </c>
      <c r="R30" s="15">
        <f t="shared" si="5"/>
        <v>0.553030303</v>
      </c>
    </row>
    <row r="31">
      <c r="A31" s="107" t="s">
        <v>217</v>
      </c>
      <c r="B31" s="16">
        <f>IFERROR(__xludf.DUMMYFUNCTION("VLOOKUP(A31,IMPORTRANGE(""1aFCnJY1qhIj8-JckJhDJ18aqmVo17tofpQmOjcYa3u8/edit#gid=590920912"",""S1 Totals!$A$2:$O$255""),2,FALSE)"),8.5)</f>
        <v>8.5</v>
      </c>
      <c r="C31" s="15">
        <f>IFERROR(__xludf.DUMMYFUNCTION("VLOOKUP(A31,IMPORTRANGE(""1aFCnJY1qhIj8-JckJhDJ18aqmVo17tofpQmOjcYa3u8/edit#gid=590920912"",""S1 Totals!$A$2:$O$255""),3,FALSE)"),0.25757575757575757)</f>
        <v>0.2575757576</v>
      </c>
      <c r="D31" s="16">
        <f>IFERROR(__xludf.DUMMYFUNCTION("VLOOKUP(A31,IMPORTRANGE(""1QZ5UxyNCwadreQAXnQ7oCoH982DjIA-QnZdO7ZoqkC0/edit#gid=884617569"",""S1 Totals!$A$2:$O$255""),2,FALSE)"),8.5)</f>
        <v>8.5</v>
      </c>
      <c r="E31" s="15">
        <f>IFERROR(__xludf.DUMMYFUNCTION("VLOOKUP(A31,IMPORTRANGE(""1QZ5UxyNCwadreQAXnQ7oCoH982DjIA-QnZdO7ZoqkC0/edit#gid=884617569"",""S1 Totals!$A$2:$O$255""),3,FALSE)"),0.25757575757575757)</f>
        <v>0.2575757576</v>
      </c>
      <c r="F31" s="108">
        <f t="shared" si="1"/>
        <v>0</v>
      </c>
      <c r="G31" s="16">
        <f>IFERROR(__xludf.DUMMYFUNCTION("VLOOKUP(A31,IMPORTRANGE(""1QZ5UxyNCwadreQAXnQ7oCoH982DjIA-QnZdO7ZoqkC0/edit#gid=884617569"",""S1 Totals!$A$2:$O$255""),4,FALSE)"),16.5)</f>
        <v>16.5</v>
      </c>
      <c r="H31" s="15">
        <f>IFERROR(__xludf.DUMMYFUNCTION("VLOOKUP(A31,IMPORTRANGE(""1QZ5UxyNCwadreQAXnQ7oCoH982DjIA-QnZdO7ZoqkC0/edit#gid=884617569"",""S1 Totals!$A$2:$O$255""),5,FALSE)"),0.35106382978723405)</f>
        <v>0.3510638298</v>
      </c>
      <c r="I31" s="108">
        <f t="shared" si="2"/>
        <v>-0.09348807221</v>
      </c>
      <c r="J31" s="16" t="str">
        <f>IFERROR(__xludf.DUMMYFUNCTION("VLOOKUP(A31,IMPORTRANGE(""1QZ5UxyNCwadreQAXnQ7oCoH982DjIA-QnZdO7ZoqkC0/edit#gid=884617569"",""S1 Totals!$A$2:$O$255""),7,FALSE)"),"")</f>
        <v/>
      </c>
      <c r="K31" s="15" t="str">
        <f>IFERROR(__xludf.DUMMYFUNCTION("VLOOKUP(A31,IMPORTRANGE(""1QZ5UxyNCwadreQAXnQ7oCoH982DjIA-QnZdO7ZoqkC0/edit#gid=884617569"",""S1 Totals!$A$2:$O$255""),8,FALSE)"),"")</f>
        <v/>
      </c>
      <c r="L31" s="109">
        <f t="shared" si="3"/>
        <v>0.2575757576</v>
      </c>
      <c r="M31" s="16" t="str">
        <f>IFERROR(__xludf.DUMMYFUNCTION("VLOOKUP(A31,IMPORTRANGE(""1QZ5UxyNCwadreQAXnQ7oCoH982DjIA-QnZdO7ZoqkC0/edit#gid=884617569"",""S1 Totals!$A$2:$O$255""),10,FALSE)"),"")</f>
        <v/>
      </c>
      <c r="N31" s="15" t="str">
        <f>IFERROR(__xludf.DUMMYFUNCTION("VLOOKUP(A31,IMPORTRANGE(""1QZ5UxyNCwadreQAXnQ7oCoH982DjIA-QnZdO7ZoqkC0/edit#gid=884617569"",""S1 Totals!$A$2:$O$256""),11,FALSE)"),"")</f>
        <v/>
      </c>
      <c r="O31" s="110"/>
      <c r="P31" s="16" t="str">
        <f>IFERROR(__xludf.DUMMYFUNCTION("VLOOKUP(A31,IMPORTRANGE(""1QZ5UxyNCwadreQAXnQ7oCoH982DjIA-QnZdO7ZoqkC0/edit#gid=884617569"",""S1 Totals!$A$2:$O$256""),13,FALSE)"),"")</f>
        <v/>
      </c>
      <c r="Q31" s="15" t="str">
        <f>IFERROR(__xludf.DUMMYFUNCTION("VLOOKUP(A31,IMPORTRANGE(""1QZ5UxyNCwadreQAXnQ7oCoH982DjIA-QnZdO7ZoqkC0/edit#gid=884617569"",""S1 Totals!$A$2:$O$256""),14,FALSE)"),"")</f>
        <v/>
      </c>
      <c r="R31" s="15">
        <f t="shared" si="5"/>
        <v>0.2575757576</v>
      </c>
    </row>
    <row r="32">
      <c r="A32" s="114" t="s">
        <v>32</v>
      </c>
      <c r="B32" s="16">
        <f>IFERROR(__xludf.DUMMYFUNCTION("VLOOKUP(A32,IMPORTRANGE(""1aFCnJY1qhIj8-JckJhDJ18aqmVo17tofpQmOjcYa3u8/edit#gid=590920912"",""S1 Totals!$A$2:$O$255""),2,FALSE)"),30.5)</f>
        <v>30.5</v>
      </c>
      <c r="C32" s="15">
        <f>IFERROR(__xludf.DUMMYFUNCTION("VLOOKUP(A32,IMPORTRANGE(""1aFCnJY1qhIj8-JckJhDJ18aqmVo17tofpQmOjcYa3u8/edit#gid=590920912"",""S1 Totals!$A$2:$O$255""),3,FALSE)"),0.9242424242424242)</f>
        <v>0.9242424242</v>
      </c>
      <c r="D32" s="16">
        <f>IFERROR(__xludf.DUMMYFUNCTION("VLOOKUP(A32,IMPORTRANGE(""1QZ5UxyNCwadreQAXnQ7oCoH982DjIA-QnZdO7ZoqkC0/edit#gid=884617569"",""S1 Totals!$A$2:$O$255""),2,FALSE)"),28.0)</f>
        <v>28</v>
      </c>
      <c r="E32" s="15">
        <f>IFERROR(__xludf.DUMMYFUNCTION("VLOOKUP(A32,IMPORTRANGE(""1QZ5UxyNCwadreQAXnQ7oCoH982DjIA-QnZdO7ZoqkC0/edit#gid=884617569"",""S1 Totals!$A$2:$O$255""),3,FALSE)"),0.8484848484848485)</f>
        <v>0.8484848485</v>
      </c>
      <c r="F32" s="108">
        <f t="shared" si="1"/>
        <v>0.07575757576</v>
      </c>
      <c r="G32" s="16">
        <f>IFERROR(__xludf.DUMMYFUNCTION("VLOOKUP(A32,IMPORTRANGE(""1QZ5UxyNCwadreQAXnQ7oCoH982DjIA-QnZdO7ZoqkC0/edit#gid=884617569"",""S1 Totals!$A$2:$O$255""),4,FALSE)"),46.0)</f>
        <v>46</v>
      </c>
      <c r="H32" s="15">
        <f>IFERROR(__xludf.DUMMYFUNCTION("VLOOKUP(A32,IMPORTRANGE(""1QZ5UxyNCwadreQAXnQ7oCoH982DjIA-QnZdO7ZoqkC0/edit#gid=884617569"",""S1 Totals!$A$2:$O$255""),5,FALSE)"),0.9787234042553191)</f>
        <v>0.9787234043</v>
      </c>
      <c r="I32" s="108">
        <f t="shared" si="2"/>
        <v>-0.05448098001</v>
      </c>
      <c r="J32" s="16">
        <f>IFERROR(__xludf.DUMMYFUNCTION("VLOOKUP(A32,IMPORTRANGE(""1QZ5UxyNCwadreQAXnQ7oCoH982DjIA-QnZdO7ZoqkC0/edit#gid=884617569"",""S1 Totals!$A$2:$O$255""),7,FALSE)"),49.0)</f>
        <v>49</v>
      </c>
      <c r="K32" s="15">
        <f>IFERROR(__xludf.DUMMYFUNCTION("VLOOKUP(A32,IMPORTRANGE(""1QZ5UxyNCwadreQAXnQ7oCoH982DjIA-QnZdO7ZoqkC0/edit#gid=884617569"",""S1 Totals!$A$2:$O$255""),8,FALSE)"),1.0)</f>
        <v>1</v>
      </c>
      <c r="L32" s="109">
        <f t="shared" si="3"/>
        <v>-0.1515151515</v>
      </c>
      <c r="M32" s="16">
        <f>IFERROR(__xludf.DUMMYFUNCTION("VLOOKUP(A32,IMPORTRANGE(""1QZ5UxyNCwadreQAXnQ7oCoH982DjIA-QnZdO7ZoqkC0/edit#gid=884617569"",""S1 Totals!$A$2:$O$255""),10,FALSE)"),47.0)</f>
        <v>47</v>
      </c>
      <c r="N32" s="15">
        <f>IFERROR(__xludf.DUMMYFUNCTION("VLOOKUP(A32,IMPORTRANGE(""1QZ5UxyNCwadreQAXnQ7oCoH982DjIA-QnZdO7ZoqkC0/edit#gid=884617569"",""S1 Totals!$A$2:$O$256""),11,FALSE)"),0.9791666666666666)</f>
        <v>0.9791666667</v>
      </c>
      <c r="O32" s="110">
        <f t="shared" ref="O32:O33" si="9">C32-N32</f>
        <v>-0.05492424242</v>
      </c>
      <c r="P32" s="16">
        <f>IFERROR(__xludf.DUMMYFUNCTION("VLOOKUP(A32,IMPORTRANGE(""1QZ5UxyNCwadreQAXnQ7oCoH982DjIA-QnZdO7ZoqkC0/edit#gid=884617569"",""S1 Totals!$A$2:$O$256""),13,FALSE)"),39.0)</f>
        <v>39</v>
      </c>
      <c r="Q32" s="15">
        <f>IFERROR(__xludf.DUMMYFUNCTION("VLOOKUP(A32,IMPORTRANGE(""1QZ5UxyNCwadreQAXnQ7oCoH982DjIA-QnZdO7ZoqkC0/edit#gid=884617569"",""S1 Totals!$A$2:$O$256""),14,FALSE)"),0.78)</f>
        <v>0.78</v>
      </c>
      <c r="R32" s="15">
        <f t="shared" si="5"/>
        <v>0.1442424242</v>
      </c>
    </row>
    <row r="33">
      <c r="A33" s="115" t="s">
        <v>297</v>
      </c>
      <c r="B33" s="16" t="str">
        <f>IFERROR(__xludf.DUMMYFUNCTION("VLOOKUP(A33,IMPORTRANGE(""1aFCnJY1qhIj8-JckJhDJ18aqmVo17tofpQmOjcYa3u8/edit#gid=590920912"",""S1 Totals!$A$2:$O$255""),2,FALSE)"),"#N/A")</f>
        <v>#N/A</v>
      </c>
      <c r="C33" s="15" t="str">
        <f>IFERROR(__xludf.DUMMYFUNCTION("VLOOKUP(A33,IMPORTRANGE(""1aFCnJY1qhIj8-JckJhDJ18aqmVo17tofpQmOjcYa3u8/edit#gid=590920912"",""S1 Totals!$A$2:$O$255""),3,FALSE)"),"#N/A")</f>
        <v>#N/A</v>
      </c>
      <c r="D33" s="16" t="str">
        <f>IFERROR(__xludf.DUMMYFUNCTION("VLOOKUP(A33,IMPORTRANGE(""1QZ5UxyNCwadreQAXnQ7oCoH982DjIA-QnZdO7ZoqkC0/edit#gid=884617569"",""S1 Totals!$A$2:$O$255""),2,FALSE)"),"#N/A")</f>
        <v>#N/A</v>
      </c>
      <c r="E33" s="15" t="str">
        <f>IFERROR(__xludf.DUMMYFUNCTION("VLOOKUP(A33,IMPORTRANGE(""1QZ5UxyNCwadreQAXnQ7oCoH982DjIA-QnZdO7ZoqkC0/edit#gid=884617569"",""S1 Totals!$A$2:$O$255""),3,FALSE)"),"#N/A")</f>
        <v>#N/A</v>
      </c>
      <c r="F33" s="112" t="str">
        <f t="shared" si="1"/>
        <v>#N/A</v>
      </c>
      <c r="G33" s="16" t="str">
        <f>IFERROR(__xludf.DUMMYFUNCTION("VLOOKUP(A33,IMPORTRANGE(""1QZ5UxyNCwadreQAXnQ7oCoH982DjIA-QnZdO7ZoqkC0/edit#gid=884617569"",""S1 Totals!$A$2:$O$255""),4,FALSE)"),"#N/A")</f>
        <v>#N/A</v>
      </c>
      <c r="H33" s="15" t="str">
        <f>IFERROR(__xludf.DUMMYFUNCTION("VLOOKUP(A33,IMPORTRANGE(""1QZ5UxyNCwadreQAXnQ7oCoH982DjIA-QnZdO7ZoqkC0/edit#gid=884617569"",""S1 Totals!$A$2:$O$255""),5,FALSE)"),"#N/A")</f>
        <v>#N/A</v>
      </c>
      <c r="I33" s="108" t="str">
        <f t="shared" si="2"/>
        <v>#N/A</v>
      </c>
      <c r="J33" s="16" t="str">
        <f>IFERROR(__xludf.DUMMYFUNCTION("VLOOKUP(A33,IMPORTRANGE(""1QZ5UxyNCwadreQAXnQ7oCoH982DjIA-QnZdO7ZoqkC0/edit#gid=884617569"",""S1 Totals!$A$2:$O$255""),7,FALSE)"),"#N/A")</f>
        <v>#N/A</v>
      </c>
      <c r="K33" s="15" t="str">
        <f>IFERROR(__xludf.DUMMYFUNCTION("VLOOKUP(A33,IMPORTRANGE(""1QZ5UxyNCwadreQAXnQ7oCoH982DjIA-QnZdO7ZoqkC0/edit#gid=884617569"",""S1 Totals!$A$2:$O$255""),8,FALSE)"),"#N/A")</f>
        <v>#N/A</v>
      </c>
      <c r="L33" s="113" t="str">
        <f t="shared" si="3"/>
        <v>#N/A</v>
      </c>
      <c r="M33" s="16" t="str">
        <f>IFERROR(__xludf.DUMMYFUNCTION("VLOOKUP(A33,IMPORTRANGE(""1QZ5UxyNCwadreQAXnQ7oCoH982DjIA-QnZdO7ZoqkC0/edit#gid=884617569"",""S1 Totals!$A$2:$O$255""),10,FALSE)"),"#N/A")</f>
        <v>#N/A</v>
      </c>
      <c r="N33" s="15" t="str">
        <f>IFERROR(__xludf.DUMMYFUNCTION("VLOOKUP(A33,IMPORTRANGE(""1QZ5UxyNCwadreQAXnQ7oCoH982DjIA-QnZdO7ZoqkC0/edit#gid=884617569"",""S1 Totals!$A$2:$O$256""),11,FALSE)"),"#N/A")</f>
        <v>#N/A</v>
      </c>
      <c r="O33" s="110" t="str">
        <f t="shared" si="9"/>
        <v>#N/A</v>
      </c>
      <c r="P33" s="16" t="str">
        <f>IFERROR(__xludf.DUMMYFUNCTION("VLOOKUP(A33,IMPORTRANGE(""1QZ5UxyNCwadreQAXnQ7oCoH982DjIA-QnZdO7ZoqkC0/edit#gid=884617569"",""S1 Totals!$A$2:$O$256""),13,FALSE)"),"#N/A")</f>
        <v>#N/A</v>
      </c>
      <c r="Q33" s="15" t="str">
        <f>IFERROR(__xludf.DUMMYFUNCTION("VLOOKUP(A33,IMPORTRANGE(""1QZ5UxyNCwadreQAXnQ7oCoH982DjIA-QnZdO7ZoqkC0/edit#gid=884617569"",""S1 Totals!$A$2:$O$256""),14,FALSE)"),"#N/A")</f>
        <v>#N/A</v>
      </c>
      <c r="R33" s="16" t="str">
        <f t="shared" si="5"/>
        <v>#N/A</v>
      </c>
    </row>
    <row r="34">
      <c r="A34" s="107" t="s">
        <v>167</v>
      </c>
      <c r="B34" s="16">
        <f>IFERROR(__xludf.DUMMYFUNCTION("VLOOKUP(A34,IMPORTRANGE(""1aFCnJY1qhIj8-JckJhDJ18aqmVo17tofpQmOjcYa3u8/edit#gid=590920912"",""S1 Totals!$A$2:$O$255""),2,FALSE)"),10.0)</f>
        <v>10</v>
      </c>
      <c r="C34" s="15">
        <f>IFERROR(__xludf.DUMMYFUNCTION("VLOOKUP(A34,IMPORTRANGE(""1aFCnJY1qhIj8-JckJhDJ18aqmVo17tofpQmOjcYa3u8/edit#gid=590920912"",""S1 Totals!$A$2:$O$255""),3,FALSE)"),0.30303030303030304)</f>
        <v>0.303030303</v>
      </c>
      <c r="D34" s="16">
        <f>IFERROR(__xludf.DUMMYFUNCTION("VLOOKUP(A34,IMPORTRANGE(""1QZ5UxyNCwadreQAXnQ7oCoH982DjIA-QnZdO7ZoqkC0/edit#gid=884617569"",""S1 Totals!$A$2:$O$255""),2,FALSE)"),1.5)</f>
        <v>1.5</v>
      </c>
      <c r="E34" s="15">
        <f>IFERROR(__xludf.DUMMYFUNCTION("VLOOKUP(A34,IMPORTRANGE(""1QZ5UxyNCwadreQAXnQ7oCoH982DjIA-QnZdO7ZoqkC0/edit#gid=884617569"",""S1 Totals!$A$2:$O$255""),3,FALSE)"),0.045454545454545456)</f>
        <v>0.04545454545</v>
      </c>
      <c r="F34" s="108">
        <f t="shared" si="1"/>
        <v>0.2575757576</v>
      </c>
      <c r="G34" s="16">
        <f>IFERROR(__xludf.DUMMYFUNCTION("VLOOKUP(A34,IMPORTRANGE(""1QZ5UxyNCwadreQAXnQ7oCoH982DjIA-QnZdO7ZoqkC0/edit#gid=884617569"",""S1 Totals!$A$2:$O$255""),4,FALSE)"),11.5)</f>
        <v>11.5</v>
      </c>
      <c r="H34" s="15">
        <f>IFERROR(__xludf.DUMMYFUNCTION("VLOOKUP(A34,IMPORTRANGE(""1QZ5UxyNCwadreQAXnQ7oCoH982DjIA-QnZdO7ZoqkC0/edit#gid=884617569"",""S1 Totals!$A$2:$O$255""),5,FALSE)"),0.24468085106382978)</f>
        <v>0.2446808511</v>
      </c>
      <c r="I34" s="108">
        <f t="shared" si="2"/>
        <v>0.05834945197</v>
      </c>
      <c r="J34" s="16">
        <f>IFERROR(__xludf.DUMMYFUNCTION("VLOOKUP(A34,IMPORTRANGE(""1QZ5UxyNCwadreQAXnQ7oCoH982DjIA-QnZdO7ZoqkC0/edit#gid=884617569"",""S1 Totals!$A$2:$O$255""),7,FALSE)"),14.5)</f>
        <v>14.5</v>
      </c>
      <c r="K34" s="15">
        <f>IFERROR(__xludf.DUMMYFUNCTION("VLOOKUP(A34,IMPORTRANGE(""1QZ5UxyNCwadreQAXnQ7oCoH982DjIA-QnZdO7ZoqkC0/edit#gid=884617569"",""S1 Totals!$A$2:$O$255""),8,FALSE)"),0.29591836734693877)</f>
        <v>0.2959183673</v>
      </c>
      <c r="L34" s="109">
        <f t="shared" si="3"/>
        <v>-0.2504638219</v>
      </c>
      <c r="M34" s="16" t="str">
        <f>IFERROR(__xludf.DUMMYFUNCTION("VLOOKUP(A34,IMPORTRANGE(""1QZ5UxyNCwadreQAXnQ7oCoH982DjIA-QnZdO7ZoqkC0/edit#gid=884617569"",""S1 Totals!$A$2:$O$255""),10,FALSE)"),"")</f>
        <v/>
      </c>
      <c r="N34" s="15" t="str">
        <f>IFERROR(__xludf.DUMMYFUNCTION("VLOOKUP(A34,IMPORTRANGE(""1QZ5UxyNCwadreQAXnQ7oCoH982DjIA-QnZdO7ZoqkC0/edit#gid=884617569"",""S1 Totals!$A$2:$O$256""),11,FALSE)"),"")</f>
        <v/>
      </c>
      <c r="O34" s="110"/>
      <c r="P34" s="16" t="str">
        <f>IFERROR(__xludf.DUMMYFUNCTION("VLOOKUP(A34,IMPORTRANGE(""1QZ5UxyNCwadreQAXnQ7oCoH982DjIA-QnZdO7ZoqkC0/edit#gid=884617569"",""S1 Totals!$A$2:$O$256""),13,FALSE)"),"")</f>
        <v/>
      </c>
      <c r="Q34" s="15" t="str">
        <f>IFERROR(__xludf.DUMMYFUNCTION("VLOOKUP(A34,IMPORTRANGE(""1QZ5UxyNCwadreQAXnQ7oCoH982DjIA-QnZdO7ZoqkC0/edit#gid=884617569"",""S1 Totals!$A$2:$O$256""),14,FALSE)"),"")</f>
        <v/>
      </c>
      <c r="R34" s="15">
        <f t="shared" si="5"/>
        <v>0.303030303</v>
      </c>
    </row>
    <row r="35">
      <c r="A35" s="107" t="s">
        <v>116</v>
      </c>
      <c r="B35" s="16">
        <f>IFERROR(__xludf.DUMMYFUNCTION("VLOOKUP(A35,IMPORTRANGE(""1aFCnJY1qhIj8-JckJhDJ18aqmVo17tofpQmOjcYa3u8/edit#gid=590920912"",""S1 Totals!$A$2:$O$255""),2,FALSE)"),7.75)</f>
        <v>7.75</v>
      </c>
      <c r="C35" s="15">
        <f>IFERROR(__xludf.DUMMYFUNCTION("VLOOKUP(A35,IMPORTRANGE(""1aFCnJY1qhIj8-JckJhDJ18aqmVo17tofpQmOjcYa3u8/edit#gid=590920912"",""S1 Totals!$A$2:$O$255""),3,FALSE)"),0.23484848484848486)</f>
        <v>0.2348484848</v>
      </c>
      <c r="D35" s="16">
        <f>IFERROR(__xludf.DUMMYFUNCTION("VLOOKUP(A35,IMPORTRANGE(""1QZ5UxyNCwadreQAXnQ7oCoH982DjIA-QnZdO7ZoqkC0/edit#gid=884617569"",""S1 Totals!$A$2:$O$255""),2,FALSE)"),9.75)</f>
        <v>9.75</v>
      </c>
      <c r="E35" s="15">
        <f>IFERROR(__xludf.DUMMYFUNCTION("VLOOKUP(A35,IMPORTRANGE(""1QZ5UxyNCwadreQAXnQ7oCoH982DjIA-QnZdO7ZoqkC0/edit#gid=884617569"",""S1 Totals!$A$2:$O$255""),3,FALSE)"),0.29545454545454547)</f>
        <v>0.2954545455</v>
      </c>
      <c r="F35" s="108">
        <f t="shared" si="1"/>
        <v>-0.06060606061</v>
      </c>
      <c r="G35" s="16">
        <f>IFERROR(__xludf.DUMMYFUNCTION("VLOOKUP(A35,IMPORTRANGE(""1QZ5UxyNCwadreQAXnQ7oCoH982DjIA-QnZdO7ZoqkC0/edit#gid=884617569"",""S1 Totals!$A$2:$O$255""),4,FALSE)"),17.0)</f>
        <v>17</v>
      </c>
      <c r="H35" s="15">
        <f>IFERROR(__xludf.DUMMYFUNCTION("VLOOKUP(A35,IMPORTRANGE(""1QZ5UxyNCwadreQAXnQ7oCoH982DjIA-QnZdO7ZoqkC0/edit#gid=884617569"",""S1 Totals!$A$2:$O$255""),5,FALSE)"),0.3617021276595745)</f>
        <v>0.3617021277</v>
      </c>
      <c r="I35" s="108">
        <f t="shared" si="2"/>
        <v>-0.1268536428</v>
      </c>
      <c r="J35" s="16">
        <f>IFERROR(__xludf.DUMMYFUNCTION("VLOOKUP(A35,IMPORTRANGE(""1QZ5UxyNCwadreQAXnQ7oCoH982DjIA-QnZdO7ZoqkC0/edit#gid=884617569"",""S1 Totals!$A$2:$O$255""),7,FALSE)"),16.0)</f>
        <v>16</v>
      </c>
      <c r="K35" s="15">
        <f>IFERROR(__xludf.DUMMYFUNCTION("VLOOKUP(A35,IMPORTRANGE(""1QZ5UxyNCwadreQAXnQ7oCoH982DjIA-QnZdO7ZoqkC0/edit#gid=884617569"",""S1 Totals!$A$2:$O$255""),8,FALSE)"),0.32653061224489793)</f>
        <v>0.3265306122</v>
      </c>
      <c r="L35" s="109">
        <f t="shared" si="3"/>
        <v>-0.03107606679</v>
      </c>
      <c r="M35" s="16">
        <f>IFERROR(__xludf.DUMMYFUNCTION("VLOOKUP(A35,IMPORTRANGE(""1QZ5UxyNCwadreQAXnQ7oCoH982DjIA-QnZdO7ZoqkC0/edit#gid=884617569"",""S1 Totals!$A$2:$O$255""),10,FALSE)"),15.5)</f>
        <v>15.5</v>
      </c>
      <c r="N35" s="15">
        <f>IFERROR(__xludf.DUMMYFUNCTION("VLOOKUP(A35,IMPORTRANGE(""1QZ5UxyNCwadreQAXnQ7oCoH982DjIA-QnZdO7ZoqkC0/edit#gid=884617569"",""S1 Totals!$A$2:$O$256""),11,FALSE)"),0.3229166666666667)</f>
        <v>0.3229166667</v>
      </c>
      <c r="O35" s="110">
        <f t="shared" ref="O35:O40" si="10">C35-N35</f>
        <v>-0.08806818182</v>
      </c>
      <c r="P35" s="16" t="str">
        <f>IFERROR(__xludf.DUMMYFUNCTION("VLOOKUP(A35,IMPORTRANGE(""1QZ5UxyNCwadreQAXnQ7oCoH982DjIA-QnZdO7ZoqkC0/edit#gid=884617569"",""S1 Totals!$A$2:$O$256""),13,FALSE)"),"")</f>
        <v/>
      </c>
      <c r="Q35" s="15" t="str">
        <f>IFERROR(__xludf.DUMMYFUNCTION("VLOOKUP(A35,IMPORTRANGE(""1QZ5UxyNCwadreQAXnQ7oCoH982DjIA-QnZdO7ZoqkC0/edit#gid=884617569"",""S1 Totals!$A$2:$O$256""),14,FALSE)"),"")</f>
        <v/>
      </c>
      <c r="R35" s="15">
        <f t="shared" si="5"/>
        <v>0.2348484848</v>
      </c>
    </row>
    <row r="36">
      <c r="A36" s="107" t="s">
        <v>33</v>
      </c>
      <c r="B36" s="16">
        <f>IFERROR(__xludf.DUMMYFUNCTION("VLOOKUP(A36,IMPORTRANGE(""1aFCnJY1qhIj8-JckJhDJ18aqmVo17tofpQmOjcYa3u8/edit#gid=590920912"",""S1 Totals!$A$2:$O$255""),2,FALSE)"),28.75)</f>
        <v>28.75</v>
      </c>
      <c r="C36" s="15">
        <f>IFERROR(__xludf.DUMMYFUNCTION("VLOOKUP(A36,IMPORTRANGE(""1aFCnJY1qhIj8-JckJhDJ18aqmVo17tofpQmOjcYa3u8/edit#gid=590920912"",""S1 Totals!$A$2:$O$255""),3,FALSE)"),0.8712121212121212)</f>
        <v>0.8712121212</v>
      </c>
      <c r="D36" s="16">
        <f>IFERROR(__xludf.DUMMYFUNCTION("VLOOKUP(A36,IMPORTRANGE(""1QZ5UxyNCwadreQAXnQ7oCoH982DjIA-QnZdO7ZoqkC0/edit#gid=884617569"",""S1 Totals!$A$2:$O$255""),2,FALSE)"),28.5)</f>
        <v>28.5</v>
      </c>
      <c r="E36" s="15">
        <f>IFERROR(__xludf.DUMMYFUNCTION("VLOOKUP(A36,IMPORTRANGE(""1QZ5UxyNCwadreQAXnQ7oCoH982DjIA-QnZdO7ZoqkC0/edit#gid=884617569"",""S1 Totals!$A$2:$O$255""),3,FALSE)"),0.8636363636363636)</f>
        <v>0.8636363636</v>
      </c>
      <c r="F36" s="108">
        <f t="shared" si="1"/>
        <v>0.007575757576</v>
      </c>
      <c r="G36" s="16">
        <f>IFERROR(__xludf.DUMMYFUNCTION("VLOOKUP(A36,IMPORTRANGE(""1QZ5UxyNCwadreQAXnQ7oCoH982DjIA-QnZdO7ZoqkC0/edit#gid=884617569"",""S1 Totals!$A$2:$O$255""),4,FALSE)"),40.0)</f>
        <v>40</v>
      </c>
      <c r="H36" s="15">
        <f>IFERROR(__xludf.DUMMYFUNCTION("VLOOKUP(A36,IMPORTRANGE(""1QZ5UxyNCwadreQAXnQ7oCoH982DjIA-QnZdO7ZoqkC0/edit#gid=884617569"",""S1 Totals!$A$2:$O$255""),5,FALSE)"),0.851063829787234)</f>
        <v>0.8510638298</v>
      </c>
      <c r="I36" s="108">
        <f t="shared" si="2"/>
        <v>0.02014829142</v>
      </c>
      <c r="J36" s="16">
        <f>IFERROR(__xludf.DUMMYFUNCTION("VLOOKUP(A36,IMPORTRANGE(""1QZ5UxyNCwadreQAXnQ7oCoH982DjIA-QnZdO7ZoqkC0/edit#gid=884617569"",""S1 Totals!$A$2:$O$255""),7,FALSE)"),42.0)</f>
        <v>42</v>
      </c>
      <c r="K36" s="15">
        <f>IFERROR(__xludf.DUMMYFUNCTION("VLOOKUP(A36,IMPORTRANGE(""1QZ5UxyNCwadreQAXnQ7oCoH982DjIA-QnZdO7ZoqkC0/edit#gid=884617569"",""S1 Totals!$A$2:$O$255""),8,FALSE)"),0.8571428571428571)</f>
        <v>0.8571428571</v>
      </c>
      <c r="L36" s="109">
        <f t="shared" si="3"/>
        <v>0.006493506494</v>
      </c>
      <c r="M36" s="16">
        <f>IFERROR(__xludf.DUMMYFUNCTION("VLOOKUP(A36,IMPORTRANGE(""1QZ5UxyNCwadreQAXnQ7oCoH982DjIA-QnZdO7ZoqkC0/edit#gid=884617569"",""S1 Totals!$A$2:$O$255""),10,FALSE)"),39.5)</f>
        <v>39.5</v>
      </c>
      <c r="N36" s="15">
        <f>IFERROR(__xludf.DUMMYFUNCTION("VLOOKUP(A36,IMPORTRANGE(""1QZ5UxyNCwadreQAXnQ7oCoH982DjIA-QnZdO7ZoqkC0/edit#gid=884617569"",""S1 Totals!$A$2:$O$256""),11,FALSE)"),0.8229166666666666)</f>
        <v>0.8229166667</v>
      </c>
      <c r="O36" s="110">
        <f t="shared" si="10"/>
        <v>0.04829545455</v>
      </c>
      <c r="P36" s="16">
        <f>IFERROR(__xludf.DUMMYFUNCTION("VLOOKUP(A36,IMPORTRANGE(""1QZ5UxyNCwadreQAXnQ7oCoH982DjIA-QnZdO7ZoqkC0/edit#gid=884617569"",""S1 Totals!$A$2:$O$256""),13,FALSE)"),37.0)</f>
        <v>37</v>
      </c>
      <c r="Q36" s="15">
        <f>IFERROR(__xludf.DUMMYFUNCTION("VLOOKUP(A36,IMPORTRANGE(""1QZ5UxyNCwadreQAXnQ7oCoH982DjIA-QnZdO7ZoqkC0/edit#gid=884617569"",""S1 Totals!$A$2:$O$256""),14,FALSE)"),0.74)</f>
        <v>0.74</v>
      </c>
      <c r="R36" s="15">
        <f t="shared" si="5"/>
        <v>0.1312121212</v>
      </c>
    </row>
    <row r="37">
      <c r="A37" s="107" t="s">
        <v>106</v>
      </c>
      <c r="B37" s="16">
        <f>IFERROR(__xludf.DUMMYFUNCTION("VLOOKUP(A37,IMPORTRANGE(""1aFCnJY1qhIj8-JckJhDJ18aqmVo17tofpQmOjcYa3u8/edit#gid=590920912"",""S1 Totals!$A$2:$O$255""),2,FALSE)"),12.75)</f>
        <v>12.75</v>
      </c>
      <c r="C37" s="15">
        <f>IFERROR(__xludf.DUMMYFUNCTION("VLOOKUP(A37,IMPORTRANGE(""1aFCnJY1qhIj8-JckJhDJ18aqmVo17tofpQmOjcYa3u8/edit#gid=590920912"",""S1 Totals!$A$2:$O$255""),3,FALSE)"),0.38636363636363635)</f>
        <v>0.3863636364</v>
      </c>
      <c r="D37" s="16">
        <f>IFERROR(__xludf.DUMMYFUNCTION("VLOOKUP(A37,IMPORTRANGE(""1QZ5UxyNCwadreQAXnQ7oCoH982DjIA-QnZdO7ZoqkC0/edit#gid=884617569"",""S1 Totals!$A$2:$O$255""),2,FALSE)"),15.5)</f>
        <v>15.5</v>
      </c>
      <c r="E37" s="15">
        <f>IFERROR(__xludf.DUMMYFUNCTION("VLOOKUP(A37,IMPORTRANGE(""1QZ5UxyNCwadreQAXnQ7oCoH982DjIA-QnZdO7ZoqkC0/edit#gid=884617569"",""S1 Totals!$A$2:$O$255""),3,FALSE)"),0.4696969696969697)</f>
        <v>0.4696969697</v>
      </c>
      <c r="F37" s="108">
        <f t="shared" si="1"/>
        <v>-0.08333333333</v>
      </c>
      <c r="G37" s="16">
        <f>IFERROR(__xludf.DUMMYFUNCTION("VLOOKUP(A37,IMPORTRANGE(""1QZ5UxyNCwadreQAXnQ7oCoH982DjIA-QnZdO7ZoqkC0/edit#gid=884617569"",""S1 Totals!$A$2:$O$255""),4,FALSE)"),23.0)</f>
        <v>23</v>
      </c>
      <c r="H37" s="15">
        <f>IFERROR(__xludf.DUMMYFUNCTION("VLOOKUP(A37,IMPORTRANGE(""1QZ5UxyNCwadreQAXnQ7oCoH982DjIA-QnZdO7ZoqkC0/edit#gid=884617569"",""S1 Totals!$A$2:$O$255""),5,FALSE)"),0.48936170212765956)</f>
        <v>0.4893617021</v>
      </c>
      <c r="I37" s="108">
        <f t="shared" si="2"/>
        <v>-0.1029980658</v>
      </c>
      <c r="J37" s="16">
        <f>IFERROR(__xludf.DUMMYFUNCTION("VLOOKUP(A37,IMPORTRANGE(""1QZ5UxyNCwadreQAXnQ7oCoH982DjIA-QnZdO7ZoqkC0/edit#gid=884617569"",""S1 Totals!$A$2:$O$255""),7,FALSE)"),16.0)</f>
        <v>16</v>
      </c>
      <c r="K37" s="15">
        <f>IFERROR(__xludf.DUMMYFUNCTION("VLOOKUP(A37,IMPORTRANGE(""1QZ5UxyNCwadreQAXnQ7oCoH982DjIA-QnZdO7ZoqkC0/edit#gid=884617569"",""S1 Totals!$A$2:$O$255""),8,FALSE)"),0.32653061224489793)</f>
        <v>0.3265306122</v>
      </c>
      <c r="L37" s="109">
        <f t="shared" si="3"/>
        <v>0.1431663575</v>
      </c>
      <c r="M37" s="16">
        <f>IFERROR(__xludf.DUMMYFUNCTION("VLOOKUP(A37,IMPORTRANGE(""1QZ5UxyNCwadreQAXnQ7oCoH982DjIA-QnZdO7ZoqkC0/edit#gid=884617569"",""S1 Totals!$A$2:$O$255""),10,FALSE)"),12.5)</f>
        <v>12.5</v>
      </c>
      <c r="N37" s="15">
        <f>IFERROR(__xludf.DUMMYFUNCTION("VLOOKUP(A37,IMPORTRANGE(""1QZ5UxyNCwadreQAXnQ7oCoH982DjIA-QnZdO7ZoqkC0/edit#gid=884617569"",""S1 Totals!$A$2:$O$256""),11,FALSE)"),0.2604166666666667)</f>
        <v>0.2604166667</v>
      </c>
      <c r="O37" s="110">
        <f t="shared" si="10"/>
        <v>0.1259469697</v>
      </c>
      <c r="P37" s="16">
        <f>IFERROR(__xludf.DUMMYFUNCTION("VLOOKUP(A37,IMPORTRANGE(""1QZ5UxyNCwadreQAXnQ7oCoH982DjIA-QnZdO7ZoqkC0/edit#gid=884617569"",""S1 Totals!$A$2:$O$256""),13,FALSE)"),15.5)</f>
        <v>15.5</v>
      </c>
      <c r="Q37" s="15">
        <f>IFERROR(__xludf.DUMMYFUNCTION("VLOOKUP(A37,IMPORTRANGE(""1QZ5UxyNCwadreQAXnQ7oCoH982DjIA-QnZdO7ZoqkC0/edit#gid=884617569"",""S1 Totals!$A$2:$O$256""),14,FALSE)"),0.31)</f>
        <v>0.31</v>
      </c>
      <c r="R37" s="15">
        <f t="shared" si="5"/>
        <v>0.07636363636</v>
      </c>
    </row>
    <row r="38">
      <c r="A38" s="107" t="s">
        <v>35</v>
      </c>
      <c r="B38" s="16">
        <f>IFERROR(__xludf.DUMMYFUNCTION("VLOOKUP(A38,IMPORTRANGE(""1aFCnJY1qhIj8-JckJhDJ18aqmVo17tofpQmOjcYa3u8/edit#gid=590920912"",""S1 Totals!$A$2:$O$255""),2,FALSE)"),29.75)</f>
        <v>29.75</v>
      </c>
      <c r="C38" s="15">
        <f>IFERROR(__xludf.DUMMYFUNCTION("VLOOKUP(A38,IMPORTRANGE(""1aFCnJY1qhIj8-JckJhDJ18aqmVo17tofpQmOjcYa3u8/edit#gid=590920912"",""S1 Totals!$A$2:$O$255""),3,FALSE)"),0.9015151515151515)</f>
        <v>0.9015151515</v>
      </c>
      <c r="D38" s="16">
        <f>IFERROR(__xludf.DUMMYFUNCTION("VLOOKUP(A38,IMPORTRANGE(""1QZ5UxyNCwadreQAXnQ7oCoH982DjIA-QnZdO7ZoqkC0/edit#gid=884617569"",""S1 Totals!$A$2:$O$255""),2,FALSE)"),30.75)</f>
        <v>30.75</v>
      </c>
      <c r="E38" s="15">
        <f>IFERROR(__xludf.DUMMYFUNCTION("VLOOKUP(A38,IMPORTRANGE(""1QZ5UxyNCwadreQAXnQ7oCoH982DjIA-QnZdO7ZoqkC0/edit#gid=884617569"",""S1 Totals!$A$2:$O$255""),3,FALSE)"),0.9318181818181818)</f>
        <v>0.9318181818</v>
      </c>
      <c r="F38" s="108">
        <f t="shared" si="1"/>
        <v>-0.0303030303</v>
      </c>
      <c r="G38" s="16">
        <f>IFERROR(__xludf.DUMMYFUNCTION("VLOOKUP(A38,IMPORTRANGE(""1QZ5UxyNCwadreQAXnQ7oCoH982DjIA-QnZdO7ZoqkC0/edit#gid=884617569"",""S1 Totals!$A$2:$O$255""),4,FALSE)"),45.5)</f>
        <v>45.5</v>
      </c>
      <c r="H38" s="15">
        <f>IFERROR(__xludf.DUMMYFUNCTION("VLOOKUP(A38,IMPORTRANGE(""1QZ5UxyNCwadreQAXnQ7oCoH982DjIA-QnZdO7ZoqkC0/edit#gid=884617569"",""S1 Totals!$A$2:$O$255""),5,FALSE)"),0.9680851063829787)</f>
        <v>0.9680851064</v>
      </c>
      <c r="I38" s="108">
        <f t="shared" si="2"/>
        <v>-0.06656995487</v>
      </c>
      <c r="J38" s="16">
        <f>IFERROR(__xludf.DUMMYFUNCTION("VLOOKUP(A38,IMPORTRANGE(""1QZ5UxyNCwadreQAXnQ7oCoH982DjIA-QnZdO7ZoqkC0/edit#gid=884617569"",""S1 Totals!$A$2:$O$255""),7,FALSE)"),45.5)</f>
        <v>45.5</v>
      </c>
      <c r="K38" s="15">
        <f>IFERROR(__xludf.DUMMYFUNCTION("VLOOKUP(A38,IMPORTRANGE(""1QZ5UxyNCwadreQAXnQ7oCoH982DjIA-QnZdO7ZoqkC0/edit#gid=884617569"",""S1 Totals!$A$2:$O$255""),8,FALSE)"),0.9285714285714286)</f>
        <v>0.9285714286</v>
      </c>
      <c r="L38" s="109">
        <f t="shared" si="3"/>
        <v>0.003246753247</v>
      </c>
      <c r="M38" s="16">
        <f>IFERROR(__xludf.DUMMYFUNCTION("VLOOKUP(A38,IMPORTRANGE(""1QZ5UxyNCwadreQAXnQ7oCoH982DjIA-QnZdO7ZoqkC0/edit#gid=884617569"",""S1 Totals!$A$2:$O$255""),10,FALSE)"),40.0)</f>
        <v>40</v>
      </c>
      <c r="N38" s="15">
        <f>IFERROR(__xludf.DUMMYFUNCTION("VLOOKUP(A38,IMPORTRANGE(""1QZ5UxyNCwadreQAXnQ7oCoH982DjIA-QnZdO7ZoqkC0/edit#gid=884617569"",""S1 Totals!$A$2:$O$256""),11,FALSE)"),0.8333333333333334)</f>
        <v>0.8333333333</v>
      </c>
      <c r="O38" s="110">
        <f t="shared" si="10"/>
        <v>0.06818181818</v>
      </c>
      <c r="P38" s="16">
        <f>IFERROR(__xludf.DUMMYFUNCTION("VLOOKUP(A38,IMPORTRANGE(""1QZ5UxyNCwadreQAXnQ7oCoH982DjIA-QnZdO7ZoqkC0/edit#gid=884617569"",""S1 Totals!$A$2:$O$256""),13,FALSE)"),37.0)</f>
        <v>37</v>
      </c>
      <c r="Q38" s="15">
        <f>IFERROR(__xludf.DUMMYFUNCTION("VLOOKUP(A38,IMPORTRANGE(""1QZ5UxyNCwadreQAXnQ7oCoH982DjIA-QnZdO7ZoqkC0/edit#gid=884617569"",""S1 Totals!$A$2:$O$256""),14,FALSE)"),0.74)</f>
        <v>0.74</v>
      </c>
      <c r="R38" s="15">
        <f t="shared" si="5"/>
        <v>0.1615151515</v>
      </c>
    </row>
    <row r="39">
      <c r="A39" s="107" t="s">
        <v>36</v>
      </c>
      <c r="B39" s="16">
        <f>IFERROR(__xludf.DUMMYFUNCTION("VLOOKUP(A39,IMPORTRANGE(""1aFCnJY1qhIj8-JckJhDJ18aqmVo17tofpQmOjcYa3u8/edit#gid=590920912"",""S1 Totals!$A$2:$O$255""),2,FALSE)"),28.75)</f>
        <v>28.75</v>
      </c>
      <c r="C39" s="15">
        <f>IFERROR(__xludf.DUMMYFUNCTION("VLOOKUP(A39,IMPORTRANGE(""1aFCnJY1qhIj8-JckJhDJ18aqmVo17tofpQmOjcYa3u8/edit#gid=590920912"",""S1 Totals!$A$2:$O$255""),3,FALSE)"),0.8712121212121212)</f>
        <v>0.8712121212</v>
      </c>
      <c r="D39" s="16">
        <f>IFERROR(__xludf.DUMMYFUNCTION("VLOOKUP(A39,IMPORTRANGE(""1QZ5UxyNCwadreQAXnQ7oCoH982DjIA-QnZdO7ZoqkC0/edit#gid=884617569"",""S1 Totals!$A$2:$O$255""),2,FALSE)"),29.5)</f>
        <v>29.5</v>
      </c>
      <c r="E39" s="15">
        <f>IFERROR(__xludf.DUMMYFUNCTION("VLOOKUP(A39,IMPORTRANGE(""1QZ5UxyNCwadreQAXnQ7oCoH982DjIA-QnZdO7ZoqkC0/edit#gid=884617569"",""S1 Totals!$A$2:$O$255""),3,FALSE)"),0.8939393939393939)</f>
        <v>0.8939393939</v>
      </c>
      <c r="F39" s="108">
        <f t="shared" si="1"/>
        <v>-0.02272727273</v>
      </c>
      <c r="G39" s="16">
        <f>IFERROR(__xludf.DUMMYFUNCTION("VLOOKUP(A39,IMPORTRANGE(""1QZ5UxyNCwadreQAXnQ7oCoH982DjIA-QnZdO7ZoqkC0/edit#gid=884617569"",""S1 Totals!$A$2:$O$255""),4,FALSE)"),41.5)</f>
        <v>41.5</v>
      </c>
      <c r="H39" s="15">
        <f>IFERROR(__xludf.DUMMYFUNCTION("VLOOKUP(A39,IMPORTRANGE(""1QZ5UxyNCwadreQAXnQ7oCoH982DjIA-QnZdO7ZoqkC0/edit#gid=884617569"",""S1 Totals!$A$2:$O$255""),5,FALSE)"),0.8829787234042553)</f>
        <v>0.8829787234</v>
      </c>
      <c r="I39" s="108">
        <f t="shared" si="2"/>
        <v>-0.01176660219</v>
      </c>
      <c r="J39" s="16">
        <f>IFERROR(__xludf.DUMMYFUNCTION("VLOOKUP(A39,IMPORTRANGE(""1QZ5UxyNCwadreQAXnQ7oCoH982DjIA-QnZdO7ZoqkC0/edit#gid=884617569"",""S1 Totals!$A$2:$O$255""),7,FALSE)"),42.0)</f>
        <v>42</v>
      </c>
      <c r="K39" s="15">
        <f>IFERROR(__xludf.DUMMYFUNCTION("VLOOKUP(A39,IMPORTRANGE(""1QZ5UxyNCwadreQAXnQ7oCoH982DjIA-QnZdO7ZoqkC0/edit#gid=884617569"",""S1 Totals!$A$2:$O$255""),8,FALSE)"),0.8571428571428571)</f>
        <v>0.8571428571</v>
      </c>
      <c r="L39" s="109">
        <f t="shared" si="3"/>
        <v>0.0367965368</v>
      </c>
      <c r="M39" s="16">
        <f>IFERROR(__xludf.DUMMYFUNCTION("VLOOKUP(A39,IMPORTRANGE(""1QZ5UxyNCwadreQAXnQ7oCoH982DjIA-QnZdO7ZoqkC0/edit#gid=884617569"",""S1 Totals!$A$2:$O$255""),10,FALSE)"),43.5)</f>
        <v>43.5</v>
      </c>
      <c r="N39" s="15">
        <f>IFERROR(__xludf.DUMMYFUNCTION("VLOOKUP(A39,IMPORTRANGE(""1QZ5UxyNCwadreQAXnQ7oCoH982DjIA-QnZdO7ZoqkC0/edit#gid=884617569"",""S1 Totals!$A$2:$O$256""),11,FALSE)"),0.90625)</f>
        <v>0.90625</v>
      </c>
      <c r="O39" s="110">
        <f t="shared" si="10"/>
        <v>-0.03503787879</v>
      </c>
      <c r="P39" s="16">
        <f>IFERROR(__xludf.DUMMYFUNCTION("VLOOKUP(A39,IMPORTRANGE(""1QZ5UxyNCwadreQAXnQ7oCoH982DjIA-QnZdO7ZoqkC0/edit#gid=884617569"",""S1 Totals!$A$2:$O$256""),13,FALSE)"),43.0)</f>
        <v>43</v>
      </c>
      <c r="Q39" s="15">
        <f>IFERROR(__xludf.DUMMYFUNCTION("VLOOKUP(A39,IMPORTRANGE(""1QZ5UxyNCwadreQAXnQ7oCoH982DjIA-QnZdO7ZoqkC0/edit#gid=884617569"",""S1 Totals!$A$2:$O$256""),14,FALSE)"),0.86)</f>
        <v>0.86</v>
      </c>
      <c r="R39" s="15">
        <f t="shared" si="5"/>
        <v>0.01121212121</v>
      </c>
    </row>
    <row r="40">
      <c r="A40" s="107" t="s">
        <v>37</v>
      </c>
      <c r="B40" s="16">
        <f>IFERROR(__xludf.DUMMYFUNCTION("VLOOKUP(A40,IMPORTRANGE(""1aFCnJY1qhIj8-JckJhDJ18aqmVo17tofpQmOjcYa3u8/edit#gid=590920912"",""S1 Totals!$A$2:$O$255""),2,FALSE)"),16.75)</f>
        <v>16.75</v>
      </c>
      <c r="C40" s="15">
        <f>IFERROR(__xludf.DUMMYFUNCTION("VLOOKUP(A40,IMPORTRANGE(""1aFCnJY1qhIj8-JckJhDJ18aqmVo17tofpQmOjcYa3u8/edit#gid=590920912"",""S1 Totals!$A$2:$O$255""),3,FALSE)"),0.5075757575757576)</f>
        <v>0.5075757576</v>
      </c>
      <c r="D40" s="16">
        <f>IFERROR(__xludf.DUMMYFUNCTION("VLOOKUP(A40,IMPORTRANGE(""1QZ5UxyNCwadreQAXnQ7oCoH982DjIA-QnZdO7ZoqkC0/edit#gid=884617569"",""S1 Totals!$A$2:$O$255""),2,FALSE)"),13.75)</f>
        <v>13.75</v>
      </c>
      <c r="E40" s="15">
        <f>IFERROR(__xludf.DUMMYFUNCTION("VLOOKUP(A40,IMPORTRANGE(""1QZ5UxyNCwadreQAXnQ7oCoH982DjIA-QnZdO7ZoqkC0/edit#gid=884617569"",""S1 Totals!$A$2:$O$255""),3,FALSE)"),0.4166666666666667)</f>
        <v>0.4166666667</v>
      </c>
      <c r="F40" s="108">
        <f t="shared" si="1"/>
        <v>0.09090909091</v>
      </c>
      <c r="G40" s="16">
        <f>IFERROR(__xludf.DUMMYFUNCTION("VLOOKUP(A40,IMPORTRANGE(""1QZ5UxyNCwadreQAXnQ7oCoH982DjIA-QnZdO7ZoqkC0/edit#gid=884617569"",""S1 Totals!$A$2:$O$255""),4,FALSE)"),28.0)</f>
        <v>28</v>
      </c>
      <c r="H40" s="15">
        <f>IFERROR(__xludf.DUMMYFUNCTION("VLOOKUP(A40,IMPORTRANGE(""1QZ5UxyNCwadreQAXnQ7oCoH982DjIA-QnZdO7ZoqkC0/edit#gid=884617569"",""S1 Totals!$A$2:$O$255""),5,FALSE)"),0.5957446808510638)</f>
        <v>0.5957446809</v>
      </c>
      <c r="I40" s="108">
        <f t="shared" si="2"/>
        <v>-0.08816892328</v>
      </c>
      <c r="J40" s="16">
        <f>IFERROR(__xludf.DUMMYFUNCTION("VLOOKUP(A40,IMPORTRANGE(""1QZ5UxyNCwadreQAXnQ7oCoH982DjIA-QnZdO7ZoqkC0/edit#gid=884617569"",""S1 Totals!$A$2:$O$255""),7,FALSE)"),4.5)</f>
        <v>4.5</v>
      </c>
      <c r="K40" s="15">
        <f>IFERROR(__xludf.DUMMYFUNCTION("VLOOKUP(A40,IMPORTRANGE(""1QZ5UxyNCwadreQAXnQ7oCoH982DjIA-QnZdO7ZoqkC0/edit#gid=884617569"",""S1 Totals!$A$2:$O$255""),8,FALSE)"),0.09183673469387756)</f>
        <v>0.09183673469</v>
      </c>
      <c r="L40" s="109">
        <f t="shared" si="3"/>
        <v>0.324829932</v>
      </c>
      <c r="M40" s="16">
        <f>IFERROR(__xludf.DUMMYFUNCTION("VLOOKUP(A40,IMPORTRANGE(""1QZ5UxyNCwadreQAXnQ7oCoH982DjIA-QnZdO7ZoqkC0/edit#gid=884617569"",""S1 Totals!$A$2:$O$255""),10,FALSE)"),5.0)</f>
        <v>5</v>
      </c>
      <c r="N40" s="15">
        <f>IFERROR(__xludf.DUMMYFUNCTION("VLOOKUP(A40,IMPORTRANGE(""1QZ5UxyNCwadreQAXnQ7oCoH982DjIA-QnZdO7ZoqkC0/edit#gid=884617569"",""S1 Totals!$A$2:$O$256""),11,FALSE)"),0.10416666666666667)</f>
        <v>0.1041666667</v>
      </c>
      <c r="O40" s="110">
        <f t="shared" si="10"/>
        <v>0.4034090909</v>
      </c>
      <c r="P40" s="16">
        <f>IFERROR(__xludf.DUMMYFUNCTION("VLOOKUP(A40,IMPORTRANGE(""1QZ5UxyNCwadreQAXnQ7oCoH982DjIA-QnZdO7ZoqkC0/edit#gid=884617569"",""S1 Totals!$A$2:$O$256""),13,FALSE)"),8.0)</f>
        <v>8</v>
      </c>
      <c r="Q40" s="15">
        <f>IFERROR(__xludf.DUMMYFUNCTION("VLOOKUP(A40,IMPORTRANGE(""1QZ5UxyNCwadreQAXnQ7oCoH982DjIA-QnZdO7ZoqkC0/edit#gid=884617569"",""S1 Totals!$A$2:$O$256""),14,FALSE)"),0.16)</f>
        <v>0.16</v>
      </c>
      <c r="R40" s="15">
        <f t="shared" si="5"/>
        <v>0.3475757576</v>
      </c>
    </row>
    <row r="41">
      <c r="A41" s="107" t="s">
        <v>219</v>
      </c>
      <c r="B41" s="16">
        <f>IFERROR(__xludf.DUMMYFUNCTION("VLOOKUP(A41,IMPORTRANGE(""1aFCnJY1qhIj8-JckJhDJ18aqmVo17tofpQmOjcYa3u8/edit#gid=590920912"",""S1 Totals!$A$2:$O$255""),2,FALSE)"),12.5)</f>
        <v>12.5</v>
      </c>
      <c r="C41" s="15">
        <f>IFERROR(__xludf.DUMMYFUNCTION("VLOOKUP(A41,IMPORTRANGE(""1aFCnJY1qhIj8-JckJhDJ18aqmVo17tofpQmOjcYa3u8/edit#gid=590920912"",""S1 Totals!$A$2:$O$255""),3,FALSE)"),0.3787878787878788)</f>
        <v>0.3787878788</v>
      </c>
      <c r="D41" s="16">
        <f>IFERROR(__xludf.DUMMYFUNCTION("VLOOKUP(A41,IMPORTRANGE(""1QZ5UxyNCwadreQAXnQ7oCoH982DjIA-QnZdO7ZoqkC0/edit#gid=884617569"",""S1 Totals!$A$2:$O$255""),2,FALSE)"),10.0)</f>
        <v>10</v>
      </c>
      <c r="E41" s="15">
        <f>IFERROR(__xludf.DUMMYFUNCTION("VLOOKUP(A41,IMPORTRANGE(""1QZ5UxyNCwadreQAXnQ7oCoH982DjIA-QnZdO7ZoqkC0/edit#gid=884617569"",""S1 Totals!$A$2:$O$255""),3,FALSE)"),0.30303030303030304)</f>
        <v>0.303030303</v>
      </c>
      <c r="F41" s="108">
        <f t="shared" si="1"/>
        <v>0.07575757576</v>
      </c>
      <c r="G41" s="16">
        <f>IFERROR(__xludf.DUMMYFUNCTION("VLOOKUP(A41,IMPORTRANGE(""1QZ5UxyNCwadreQAXnQ7oCoH982DjIA-QnZdO7ZoqkC0/edit#gid=884617569"",""S1 Totals!$A$2:$O$255""),4,FALSE)"),4.5)</f>
        <v>4.5</v>
      </c>
      <c r="H41" s="15">
        <f>IFERROR(__xludf.DUMMYFUNCTION("VLOOKUP(A41,IMPORTRANGE(""1QZ5UxyNCwadreQAXnQ7oCoH982DjIA-QnZdO7ZoqkC0/edit#gid=884617569"",""S1 Totals!$A$2:$O$255""),5,FALSE)"),0.09574468085106383)</f>
        <v>0.09574468085</v>
      </c>
      <c r="I41" s="108">
        <f t="shared" si="2"/>
        <v>0.2830431979</v>
      </c>
      <c r="J41" s="16" t="str">
        <f>IFERROR(__xludf.DUMMYFUNCTION("VLOOKUP(A41,IMPORTRANGE(""1QZ5UxyNCwadreQAXnQ7oCoH982DjIA-QnZdO7ZoqkC0/edit#gid=884617569"",""S1 Totals!$A$2:$O$255""),7,FALSE)"),"")</f>
        <v/>
      </c>
      <c r="K41" s="15" t="str">
        <f>IFERROR(__xludf.DUMMYFUNCTION("VLOOKUP(A41,IMPORTRANGE(""1QZ5UxyNCwadreQAXnQ7oCoH982DjIA-QnZdO7ZoqkC0/edit#gid=884617569"",""S1 Totals!$A$2:$O$255""),8,FALSE)"),"")</f>
        <v/>
      </c>
      <c r="L41" s="109">
        <f t="shared" si="3"/>
        <v>0.303030303</v>
      </c>
      <c r="M41" s="16" t="str">
        <f>IFERROR(__xludf.DUMMYFUNCTION("VLOOKUP(A41,IMPORTRANGE(""1QZ5UxyNCwadreQAXnQ7oCoH982DjIA-QnZdO7ZoqkC0/edit#gid=884617569"",""S1 Totals!$A$2:$O$255""),10,FALSE)"),"")</f>
        <v/>
      </c>
      <c r="N41" s="15" t="str">
        <f>IFERROR(__xludf.DUMMYFUNCTION("VLOOKUP(A41,IMPORTRANGE(""1QZ5UxyNCwadreQAXnQ7oCoH982DjIA-QnZdO7ZoqkC0/edit#gid=884617569"",""S1 Totals!$A$2:$O$256""),11,FALSE)"),"")</f>
        <v/>
      </c>
      <c r="O41" s="110"/>
      <c r="P41" s="16" t="str">
        <f>IFERROR(__xludf.DUMMYFUNCTION("VLOOKUP(A41,IMPORTRANGE(""1QZ5UxyNCwadreQAXnQ7oCoH982DjIA-QnZdO7ZoqkC0/edit#gid=884617569"",""S1 Totals!$A$2:$O$256""),13,FALSE)"),"")</f>
        <v/>
      </c>
      <c r="Q41" s="15" t="str">
        <f>IFERROR(__xludf.DUMMYFUNCTION("VLOOKUP(A41,IMPORTRANGE(""1QZ5UxyNCwadreQAXnQ7oCoH982DjIA-QnZdO7ZoqkC0/edit#gid=884617569"",""S1 Totals!$A$2:$O$256""),14,FALSE)"),"")</f>
        <v/>
      </c>
      <c r="R41" s="15">
        <f t="shared" si="5"/>
        <v>0.3787878788</v>
      </c>
    </row>
    <row r="42">
      <c r="A42" s="107" t="s">
        <v>220</v>
      </c>
      <c r="B42" s="16">
        <f>IFERROR(__xludf.DUMMYFUNCTION("VLOOKUP(A42,IMPORTRANGE(""1aFCnJY1qhIj8-JckJhDJ18aqmVo17tofpQmOjcYa3u8/edit#gid=590920912"",""S1 Totals!$A$2:$O$255""),2,FALSE)"),9.75)</f>
        <v>9.75</v>
      </c>
      <c r="C42" s="15">
        <f>IFERROR(__xludf.DUMMYFUNCTION("VLOOKUP(A42,IMPORTRANGE(""1aFCnJY1qhIj8-JckJhDJ18aqmVo17tofpQmOjcYa3u8/edit#gid=590920912"",""S1 Totals!$A$2:$O$255""),3,FALSE)"),0.29545454545454547)</f>
        <v>0.2954545455</v>
      </c>
      <c r="D42" s="16">
        <f>IFERROR(__xludf.DUMMYFUNCTION("VLOOKUP(A42,IMPORTRANGE(""1QZ5UxyNCwadreQAXnQ7oCoH982DjIA-QnZdO7ZoqkC0/edit#gid=884617569"",""S1 Totals!$A$2:$O$255""),2,FALSE)"),8.5)</f>
        <v>8.5</v>
      </c>
      <c r="E42" s="15">
        <f>IFERROR(__xludf.DUMMYFUNCTION("VLOOKUP(A42,IMPORTRANGE(""1QZ5UxyNCwadreQAXnQ7oCoH982DjIA-QnZdO7ZoqkC0/edit#gid=884617569"",""S1 Totals!$A$2:$O$255""),3,FALSE)"),0.25757575757575757)</f>
        <v>0.2575757576</v>
      </c>
      <c r="F42" s="108">
        <f t="shared" si="1"/>
        <v>0.03787878788</v>
      </c>
      <c r="G42" s="16">
        <f>IFERROR(__xludf.DUMMYFUNCTION("VLOOKUP(A42,IMPORTRANGE(""1QZ5UxyNCwadreQAXnQ7oCoH982DjIA-QnZdO7ZoqkC0/edit#gid=884617569"",""S1 Totals!$A$2:$O$255""),4,FALSE)"),11.0)</f>
        <v>11</v>
      </c>
      <c r="H42" s="15">
        <f>IFERROR(__xludf.DUMMYFUNCTION("VLOOKUP(A42,IMPORTRANGE(""1QZ5UxyNCwadreQAXnQ7oCoH982DjIA-QnZdO7ZoqkC0/edit#gid=884617569"",""S1 Totals!$A$2:$O$255""),5,FALSE)"),0.23404255319148937)</f>
        <v>0.2340425532</v>
      </c>
      <c r="I42" s="108">
        <f t="shared" si="2"/>
        <v>0.06141199226</v>
      </c>
      <c r="J42" s="16" t="str">
        <f>IFERROR(__xludf.DUMMYFUNCTION("VLOOKUP(A42,IMPORTRANGE(""1QZ5UxyNCwadreQAXnQ7oCoH982DjIA-QnZdO7ZoqkC0/edit#gid=884617569"",""S1 Totals!$A$2:$O$255""),7,FALSE)"),"")</f>
        <v/>
      </c>
      <c r="K42" s="15" t="str">
        <f>IFERROR(__xludf.DUMMYFUNCTION("VLOOKUP(A42,IMPORTRANGE(""1QZ5UxyNCwadreQAXnQ7oCoH982DjIA-QnZdO7ZoqkC0/edit#gid=884617569"",""S1 Totals!$A$2:$O$255""),8,FALSE)"),"")</f>
        <v/>
      </c>
      <c r="L42" s="109">
        <f t="shared" si="3"/>
        <v>0.2575757576</v>
      </c>
      <c r="M42" s="16" t="str">
        <f>IFERROR(__xludf.DUMMYFUNCTION("VLOOKUP(A42,IMPORTRANGE(""1QZ5UxyNCwadreQAXnQ7oCoH982DjIA-QnZdO7ZoqkC0/edit#gid=884617569"",""S1 Totals!$A$2:$O$255""),10,FALSE)"),"")</f>
        <v/>
      </c>
      <c r="N42" s="15" t="str">
        <f>IFERROR(__xludf.DUMMYFUNCTION("VLOOKUP(A42,IMPORTRANGE(""1QZ5UxyNCwadreQAXnQ7oCoH982DjIA-QnZdO7ZoqkC0/edit#gid=884617569"",""S1 Totals!$A$2:$O$256""),11,FALSE)"),"")</f>
        <v/>
      </c>
      <c r="O42" s="110"/>
      <c r="P42" s="16" t="str">
        <f>IFERROR(__xludf.DUMMYFUNCTION("VLOOKUP(A42,IMPORTRANGE(""1QZ5UxyNCwadreQAXnQ7oCoH982DjIA-QnZdO7ZoqkC0/edit#gid=884617569"",""S1 Totals!$A$2:$O$256""),13,FALSE)"),"")</f>
        <v/>
      </c>
      <c r="Q42" s="15" t="str">
        <f>IFERROR(__xludf.DUMMYFUNCTION("VLOOKUP(A42,IMPORTRANGE(""1QZ5UxyNCwadreQAXnQ7oCoH982DjIA-QnZdO7ZoqkC0/edit#gid=884617569"",""S1 Totals!$A$2:$O$256""),14,FALSE)"),"")</f>
        <v/>
      </c>
      <c r="R42" s="15">
        <f t="shared" si="5"/>
        <v>0.2954545455</v>
      </c>
    </row>
    <row r="43">
      <c r="A43" s="107" t="s">
        <v>117</v>
      </c>
      <c r="B43" s="16">
        <f>IFERROR(__xludf.DUMMYFUNCTION("VLOOKUP(A43,IMPORTRANGE(""1aFCnJY1qhIj8-JckJhDJ18aqmVo17tofpQmOjcYa3u8/edit#gid=590920912"",""S1 Totals!$A$2:$O$255""),2,FALSE)"),13.5)</f>
        <v>13.5</v>
      </c>
      <c r="C43" s="15">
        <f>IFERROR(__xludf.DUMMYFUNCTION("VLOOKUP(A43,IMPORTRANGE(""1aFCnJY1qhIj8-JckJhDJ18aqmVo17tofpQmOjcYa3u8/edit#gid=590920912"",""S1 Totals!$A$2:$O$255""),3,FALSE)"),0.4090909090909091)</f>
        <v>0.4090909091</v>
      </c>
      <c r="D43" s="16">
        <f>IFERROR(__xludf.DUMMYFUNCTION("VLOOKUP(A43,IMPORTRANGE(""1QZ5UxyNCwadreQAXnQ7oCoH982DjIA-QnZdO7ZoqkC0/edit#gid=884617569"",""S1 Totals!$A$2:$O$255""),2,FALSE)"),17.5)</f>
        <v>17.5</v>
      </c>
      <c r="E43" s="15">
        <f>IFERROR(__xludf.DUMMYFUNCTION("VLOOKUP(A43,IMPORTRANGE(""1QZ5UxyNCwadreQAXnQ7oCoH982DjIA-QnZdO7ZoqkC0/edit#gid=884617569"",""S1 Totals!$A$2:$O$255""),3,FALSE)"),0.5303030303030303)</f>
        <v>0.5303030303</v>
      </c>
      <c r="F43" s="108">
        <f t="shared" si="1"/>
        <v>-0.1212121212</v>
      </c>
      <c r="G43" s="16">
        <f>IFERROR(__xludf.DUMMYFUNCTION("VLOOKUP(A43,IMPORTRANGE(""1QZ5UxyNCwadreQAXnQ7oCoH982DjIA-QnZdO7ZoqkC0/edit#gid=884617569"",""S1 Totals!$A$2:$O$255""),4,FALSE)"),21.0)</f>
        <v>21</v>
      </c>
      <c r="H43" s="15">
        <f>IFERROR(__xludf.DUMMYFUNCTION("VLOOKUP(A43,IMPORTRANGE(""1QZ5UxyNCwadreQAXnQ7oCoH982DjIA-QnZdO7ZoqkC0/edit#gid=884617569"",""S1 Totals!$A$2:$O$255""),5,FALSE)"),0.44680851063829785)</f>
        <v>0.4468085106</v>
      </c>
      <c r="I43" s="108">
        <f t="shared" si="2"/>
        <v>-0.03771760155</v>
      </c>
      <c r="J43" s="16">
        <f>IFERROR(__xludf.DUMMYFUNCTION("VLOOKUP(A43,IMPORTRANGE(""1QZ5UxyNCwadreQAXnQ7oCoH982DjIA-QnZdO7ZoqkC0/edit#gid=884617569"",""S1 Totals!$A$2:$O$255""),7,FALSE)"),19.0)</f>
        <v>19</v>
      </c>
      <c r="K43" s="15">
        <f>IFERROR(__xludf.DUMMYFUNCTION("VLOOKUP(A43,IMPORTRANGE(""1QZ5UxyNCwadreQAXnQ7oCoH982DjIA-QnZdO7ZoqkC0/edit#gid=884617569"",""S1 Totals!$A$2:$O$255""),8,FALSE)"),0.3877551020408163)</f>
        <v>0.387755102</v>
      </c>
      <c r="L43" s="109">
        <f t="shared" si="3"/>
        <v>0.1425479283</v>
      </c>
      <c r="M43" s="16">
        <f>IFERROR(__xludf.DUMMYFUNCTION("VLOOKUP(A43,IMPORTRANGE(""1QZ5UxyNCwadreQAXnQ7oCoH982DjIA-QnZdO7ZoqkC0/edit#gid=884617569"",""S1 Totals!$A$2:$O$255""),10,FALSE)"),7.0)</f>
        <v>7</v>
      </c>
      <c r="N43" s="15">
        <f>IFERROR(__xludf.DUMMYFUNCTION("VLOOKUP(A43,IMPORTRANGE(""1QZ5UxyNCwadreQAXnQ7oCoH982DjIA-QnZdO7ZoqkC0/edit#gid=884617569"",""S1 Totals!$A$2:$O$256""),11,FALSE)"),0.14583333333333334)</f>
        <v>0.1458333333</v>
      </c>
      <c r="O43" s="110">
        <f>C43-N43</f>
        <v>0.2632575758</v>
      </c>
      <c r="P43" s="16" t="str">
        <f>IFERROR(__xludf.DUMMYFUNCTION("VLOOKUP(A43,IMPORTRANGE(""1QZ5UxyNCwadreQAXnQ7oCoH982DjIA-QnZdO7ZoqkC0/edit#gid=884617569"",""S1 Totals!$A$2:$O$256""),13,FALSE)"),"")</f>
        <v/>
      </c>
      <c r="Q43" s="15" t="str">
        <f>IFERROR(__xludf.DUMMYFUNCTION("VLOOKUP(A43,IMPORTRANGE(""1QZ5UxyNCwadreQAXnQ7oCoH982DjIA-QnZdO7ZoqkC0/edit#gid=884617569"",""S1 Totals!$A$2:$O$256""),14,FALSE)"),"")</f>
        <v/>
      </c>
      <c r="R43" s="15">
        <f t="shared" si="5"/>
        <v>0.4090909091</v>
      </c>
    </row>
    <row r="44">
      <c r="A44" s="114" t="s">
        <v>168</v>
      </c>
      <c r="B44" s="16">
        <f>IFERROR(__xludf.DUMMYFUNCTION("VLOOKUP(A44,IMPORTRANGE(""1aFCnJY1qhIj8-JckJhDJ18aqmVo17tofpQmOjcYa3u8/edit#gid=590920912"",""S1 Totals!$A$2:$O$255""),2,FALSE)"),8.5)</f>
        <v>8.5</v>
      </c>
      <c r="C44" s="15">
        <f>IFERROR(__xludf.DUMMYFUNCTION("VLOOKUP(A44,IMPORTRANGE(""1aFCnJY1qhIj8-JckJhDJ18aqmVo17tofpQmOjcYa3u8/edit#gid=590920912"",""S1 Totals!$A$2:$O$255""),3,FALSE)"),0.25757575757575757)</f>
        <v>0.2575757576</v>
      </c>
      <c r="D44" s="16">
        <f>IFERROR(__xludf.DUMMYFUNCTION("VLOOKUP(A44,IMPORTRANGE(""1QZ5UxyNCwadreQAXnQ7oCoH982DjIA-QnZdO7ZoqkC0/edit#gid=884617569"",""S1 Totals!$A$2:$O$255""),2,FALSE)"),15.5)</f>
        <v>15.5</v>
      </c>
      <c r="E44" s="15">
        <f>IFERROR(__xludf.DUMMYFUNCTION("VLOOKUP(A44,IMPORTRANGE(""1QZ5UxyNCwadreQAXnQ7oCoH982DjIA-QnZdO7ZoqkC0/edit#gid=884617569"",""S1 Totals!$A$2:$O$255""),3,FALSE)"),0.4696969696969697)</f>
        <v>0.4696969697</v>
      </c>
      <c r="F44" s="108">
        <f t="shared" si="1"/>
        <v>-0.2121212121</v>
      </c>
      <c r="G44" s="16">
        <f>IFERROR(__xludf.DUMMYFUNCTION("VLOOKUP(A44,IMPORTRANGE(""1QZ5UxyNCwadreQAXnQ7oCoH982DjIA-QnZdO7ZoqkC0/edit#gid=884617569"",""S1 Totals!$A$2:$O$255""),4,FALSE)"),24.0)</f>
        <v>24</v>
      </c>
      <c r="H44" s="15">
        <f>IFERROR(__xludf.DUMMYFUNCTION("VLOOKUP(A44,IMPORTRANGE(""1QZ5UxyNCwadreQAXnQ7oCoH982DjIA-QnZdO7ZoqkC0/edit#gid=884617569"",""S1 Totals!$A$2:$O$255""),5,FALSE)"),0.5106382978723404)</f>
        <v>0.5106382979</v>
      </c>
      <c r="I44" s="108">
        <f t="shared" si="2"/>
        <v>-0.2530625403</v>
      </c>
      <c r="J44" s="16">
        <f>IFERROR(__xludf.DUMMYFUNCTION("VLOOKUP(A44,IMPORTRANGE(""1QZ5UxyNCwadreQAXnQ7oCoH982DjIA-QnZdO7ZoqkC0/edit#gid=884617569"",""S1 Totals!$A$2:$O$255""),7,FALSE)"),4.5)</f>
        <v>4.5</v>
      </c>
      <c r="K44" s="15">
        <f>IFERROR(__xludf.DUMMYFUNCTION("VLOOKUP(A44,IMPORTRANGE(""1QZ5UxyNCwadreQAXnQ7oCoH982DjIA-QnZdO7ZoqkC0/edit#gid=884617569"",""S1 Totals!$A$2:$O$255""),8,FALSE)"),0.09183673469387756)</f>
        <v>0.09183673469</v>
      </c>
      <c r="L44" s="109">
        <f t="shared" si="3"/>
        <v>0.377860235</v>
      </c>
      <c r="M44" s="16" t="str">
        <f>IFERROR(__xludf.DUMMYFUNCTION("VLOOKUP(A44,IMPORTRANGE(""1QZ5UxyNCwadreQAXnQ7oCoH982DjIA-QnZdO7ZoqkC0/edit#gid=884617569"",""S1 Totals!$A$2:$O$255""),10,FALSE)"),"")</f>
        <v/>
      </c>
      <c r="N44" s="15" t="str">
        <f>IFERROR(__xludf.DUMMYFUNCTION("VLOOKUP(A44,IMPORTRANGE(""1QZ5UxyNCwadreQAXnQ7oCoH982DjIA-QnZdO7ZoqkC0/edit#gid=884617569"",""S1 Totals!$A$2:$O$256""),11,FALSE)"),"")</f>
        <v/>
      </c>
      <c r="O44" s="110"/>
      <c r="P44" s="16" t="str">
        <f>IFERROR(__xludf.DUMMYFUNCTION("VLOOKUP(A44,IMPORTRANGE(""1QZ5UxyNCwadreQAXnQ7oCoH982DjIA-QnZdO7ZoqkC0/edit#gid=884617569"",""S1 Totals!$A$2:$O$256""),13,FALSE)"),"")</f>
        <v/>
      </c>
      <c r="Q44" s="15" t="str">
        <f>IFERROR(__xludf.DUMMYFUNCTION("VLOOKUP(A44,IMPORTRANGE(""1QZ5UxyNCwadreQAXnQ7oCoH982DjIA-QnZdO7ZoqkC0/edit#gid=884617569"",""S1 Totals!$A$2:$O$256""),14,FALSE)"),"")</f>
        <v/>
      </c>
      <c r="R44" s="15">
        <f t="shared" si="5"/>
        <v>0.2575757576</v>
      </c>
    </row>
    <row r="45">
      <c r="A45" s="107" t="s">
        <v>169</v>
      </c>
      <c r="B45" s="16">
        <f>IFERROR(__xludf.DUMMYFUNCTION("VLOOKUP(A45,IMPORTRANGE(""1aFCnJY1qhIj8-JckJhDJ18aqmVo17tofpQmOjcYa3u8/edit#gid=590920912"",""S1 Totals!$A$2:$O$255""),2,FALSE)"),21.0)</f>
        <v>21</v>
      </c>
      <c r="C45" s="15">
        <f>IFERROR(__xludf.DUMMYFUNCTION("VLOOKUP(A45,IMPORTRANGE(""1aFCnJY1qhIj8-JckJhDJ18aqmVo17tofpQmOjcYa3u8/edit#gid=590920912"",""S1 Totals!$A$2:$O$255""),3,FALSE)"),0.6363636363636364)</f>
        <v>0.6363636364</v>
      </c>
      <c r="D45" s="16">
        <f>IFERROR(__xludf.DUMMYFUNCTION("VLOOKUP(A45,IMPORTRANGE(""1QZ5UxyNCwadreQAXnQ7oCoH982DjIA-QnZdO7ZoqkC0/edit#gid=884617569"",""S1 Totals!$A$2:$O$255""),2,FALSE)"),22.25)</f>
        <v>22.25</v>
      </c>
      <c r="E45" s="15">
        <f>IFERROR(__xludf.DUMMYFUNCTION("VLOOKUP(A45,IMPORTRANGE(""1QZ5UxyNCwadreQAXnQ7oCoH982DjIA-QnZdO7ZoqkC0/edit#gid=884617569"",""S1 Totals!$A$2:$O$255""),3,FALSE)"),0.6742424242424242)</f>
        <v>0.6742424242</v>
      </c>
      <c r="F45" s="108">
        <f t="shared" si="1"/>
        <v>-0.03787878788</v>
      </c>
      <c r="G45" s="16">
        <f>IFERROR(__xludf.DUMMYFUNCTION("VLOOKUP(A45,IMPORTRANGE(""1QZ5UxyNCwadreQAXnQ7oCoH982DjIA-QnZdO7ZoqkC0/edit#gid=884617569"",""S1 Totals!$A$2:$O$255""),4,FALSE)"),30.0)</f>
        <v>30</v>
      </c>
      <c r="H45" s="15">
        <f>IFERROR(__xludf.DUMMYFUNCTION("VLOOKUP(A45,IMPORTRANGE(""1QZ5UxyNCwadreQAXnQ7oCoH982DjIA-QnZdO7ZoqkC0/edit#gid=884617569"",""S1 Totals!$A$2:$O$255""),5,FALSE)"),0.6382978723404256)</f>
        <v>0.6382978723</v>
      </c>
      <c r="I45" s="108">
        <f t="shared" si="2"/>
        <v>-0.001934235977</v>
      </c>
      <c r="J45" s="16">
        <f>IFERROR(__xludf.DUMMYFUNCTION("VLOOKUP(A45,IMPORTRANGE(""1QZ5UxyNCwadreQAXnQ7oCoH982DjIA-QnZdO7ZoqkC0/edit#gid=884617569"",""S1 Totals!$A$2:$O$255""),7,FALSE)"),30.5)</f>
        <v>30.5</v>
      </c>
      <c r="K45" s="15">
        <f>IFERROR(__xludf.DUMMYFUNCTION("VLOOKUP(A45,IMPORTRANGE(""1QZ5UxyNCwadreQAXnQ7oCoH982DjIA-QnZdO7ZoqkC0/edit#gid=884617569"",""S1 Totals!$A$2:$O$255""),8,FALSE)"),0.6224489795918368)</f>
        <v>0.6224489796</v>
      </c>
      <c r="L45" s="109">
        <f t="shared" si="3"/>
        <v>0.05179344465</v>
      </c>
      <c r="M45" s="16" t="str">
        <f>IFERROR(__xludf.DUMMYFUNCTION("VLOOKUP(A45,IMPORTRANGE(""1QZ5UxyNCwadreQAXnQ7oCoH982DjIA-QnZdO7ZoqkC0/edit#gid=884617569"",""S1 Totals!$A$2:$O$255""),10,FALSE)"),"")</f>
        <v/>
      </c>
      <c r="N45" s="15" t="str">
        <f>IFERROR(__xludf.DUMMYFUNCTION("VLOOKUP(A45,IMPORTRANGE(""1QZ5UxyNCwadreQAXnQ7oCoH982DjIA-QnZdO7ZoqkC0/edit#gid=884617569"",""S1 Totals!$A$2:$O$256""),11,FALSE)"),"")</f>
        <v/>
      </c>
      <c r="O45" s="110"/>
      <c r="P45" s="16" t="str">
        <f>IFERROR(__xludf.DUMMYFUNCTION("VLOOKUP(A45,IMPORTRANGE(""1QZ5UxyNCwadreQAXnQ7oCoH982DjIA-QnZdO7ZoqkC0/edit#gid=884617569"",""S1 Totals!$A$2:$O$256""),13,FALSE)"),"")</f>
        <v/>
      </c>
      <c r="Q45" s="15" t="str">
        <f>IFERROR(__xludf.DUMMYFUNCTION("VLOOKUP(A45,IMPORTRANGE(""1QZ5UxyNCwadreQAXnQ7oCoH982DjIA-QnZdO7ZoqkC0/edit#gid=884617569"",""S1 Totals!$A$2:$O$256""),14,FALSE)"),"")</f>
        <v/>
      </c>
      <c r="R45" s="15">
        <f t="shared" si="5"/>
        <v>0.6363636364</v>
      </c>
    </row>
    <row r="46">
      <c r="A46" s="107" t="s">
        <v>263</v>
      </c>
      <c r="B46" s="16">
        <f>IFERROR(__xludf.DUMMYFUNCTION("VLOOKUP(A46,IMPORTRANGE(""1aFCnJY1qhIj8-JckJhDJ18aqmVo17tofpQmOjcYa3u8/edit#gid=590920912"",""S1 Totals!$A$2:$O$255""),2,FALSE)"),20.0)</f>
        <v>20</v>
      </c>
      <c r="C46" s="15">
        <f>IFERROR(__xludf.DUMMYFUNCTION("VLOOKUP(A46,IMPORTRANGE(""1aFCnJY1qhIj8-JckJhDJ18aqmVo17tofpQmOjcYa3u8/edit#gid=590920912"",""S1 Totals!$A$2:$O$255""),3,FALSE)"),0.6060606060606061)</f>
        <v>0.6060606061</v>
      </c>
      <c r="D46" s="16" t="str">
        <f>IFERROR(__xludf.DUMMYFUNCTION("VLOOKUP(A46,IMPORTRANGE(""1QZ5UxyNCwadreQAXnQ7oCoH982DjIA-QnZdO7ZoqkC0/edit#gid=884617569"",""S1 Totals!$A$2:$O$255""),2,FALSE)"),"#N/A")</f>
        <v>#N/A</v>
      </c>
      <c r="E46" s="15" t="str">
        <f>IFERROR(__xludf.DUMMYFUNCTION("VLOOKUP(A46,IMPORTRANGE(""1QZ5UxyNCwadreQAXnQ7oCoH982DjIA-QnZdO7ZoqkC0/edit#gid=884617569"",""S1 Totals!$A$2:$O$255""),3,FALSE)"),"#N/A")</f>
        <v>#N/A</v>
      </c>
      <c r="F46" s="112" t="str">
        <f t="shared" si="1"/>
        <v>#N/A</v>
      </c>
      <c r="G46" s="16" t="str">
        <f>IFERROR(__xludf.DUMMYFUNCTION("VLOOKUP(A46,IMPORTRANGE(""1QZ5UxyNCwadreQAXnQ7oCoH982DjIA-QnZdO7ZoqkC0/edit#gid=884617569"",""S1 Totals!$A$2:$O$255""),4,FALSE)"),"#N/A")</f>
        <v>#N/A</v>
      </c>
      <c r="H46" s="15" t="str">
        <f>IFERROR(__xludf.DUMMYFUNCTION("VLOOKUP(A46,IMPORTRANGE(""1QZ5UxyNCwadreQAXnQ7oCoH982DjIA-QnZdO7ZoqkC0/edit#gid=884617569"",""S1 Totals!$A$2:$O$255""),5,FALSE)"),"#N/A")</f>
        <v>#N/A</v>
      </c>
      <c r="I46" s="108" t="str">
        <f t="shared" si="2"/>
        <v>#N/A</v>
      </c>
      <c r="J46" s="16" t="str">
        <f>IFERROR(__xludf.DUMMYFUNCTION("VLOOKUP(A46,IMPORTRANGE(""1QZ5UxyNCwadreQAXnQ7oCoH982DjIA-QnZdO7ZoqkC0/edit#gid=884617569"",""S1 Totals!$A$2:$O$255""),7,FALSE)"),"#N/A")</f>
        <v>#N/A</v>
      </c>
      <c r="K46" s="15" t="str">
        <f>IFERROR(__xludf.DUMMYFUNCTION("VLOOKUP(A46,IMPORTRANGE(""1QZ5UxyNCwadreQAXnQ7oCoH982DjIA-QnZdO7ZoqkC0/edit#gid=884617569"",""S1 Totals!$A$2:$O$255""),8,FALSE)"),"#N/A")</f>
        <v>#N/A</v>
      </c>
      <c r="L46" s="113" t="str">
        <f t="shared" si="3"/>
        <v>#N/A</v>
      </c>
      <c r="M46" s="16" t="str">
        <f>IFERROR(__xludf.DUMMYFUNCTION("VLOOKUP(A46,IMPORTRANGE(""1QZ5UxyNCwadreQAXnQ7oCoH982DjIA-QnZdO7ZoqkC0/edit#gid=884617569"",""S1 Totals!$A$2:$O$255""),10,FALSE)"),"#N/A")</f>
        <v>#N/A</v>
      </c>
      <c r="N46" s="15" t="str">
        <f>IFERROR(__xludf.DUMMYFUNCTION("VLOOKUP(A46,IMPORTRANGE(""1QZ5UxyNCwadreQAXnQ7oCoH982DjIA-QnZdO7ZoqkC0/edit#gid=884617569"",""S1 Totals!$A$2:$O$256""),11,FALSE)"),"#N/A")</f>
        <v>#N/A</v>
      </c>
      <c r="O46" s="110" t="str">
        <f>C46-N46</f>
        <v>#N/A</v>
      </c>
      <c r="P46" s="16" t="str">
        <f>IFERROR(__xludf.DUMMYFUNCTION("VLOOKUP(A46,IMPORTRANGE(""1QZ5UxyNCwadreQAXnQ7oCoH982DjIA-QnZdO7ZoqkC0/edit#gid=884617569"",""S1 Totals!$A$2:$O$256""),13,FALSE)"),"#N/A")</f>
        <v>#N/A</v>
      </c>
      <c r="Q46" s="15" t="str">
        <f>IFERROR(__xludf.DUMMYFUNCTION("VLOOKUP(A46,IMPORTRANGE(""1QZ5UxyNCwadreQAXnQ7oCoH982DjIA-QnZdO7ZoqkC0/edit#gid=884617569"",""S1 Totals!$A$2:$O$256""),14,FALSE)"),"#N/A")</f>
        <v>#N/A</v>
      </c>
      <c r="R46" s="16" t="str">
        <f t="shared" si="5"/>
        <v>#N/A</v>
      </c>
    </row>
    <row r="47">
      <c r="A47" s="107" t="s">
        <v>170</v>
      </c>
      <c r="B47" s="16">
        <f>IFERROR(__xludf.DUMMYFUNCTION("VLOOKUP(A47,IMPORTRANGE(""1aFCnJY1qhIj8-JckJhDJ18aqmVo17tofpQmOjcYa3u8/edit#gid=590920912"",""S1 Totals!$A$2:$O$255""),2,FALSE)"),23.75)</f>
        <v>23.75</v>
      </c>
      <c r="C47" s="15">
        <f>IFERROR(__xludf.DUMMYFUNCTION("VLOOKUP(A47,IMPORTRANGE(""1aFCnJY1qhIj8-JckJhDJ18aqmVo17tofpQmOjcYa3u8/edit#gid=590920912"",""S1 Totals!$A$2:$O$255""),3,FALSE)"),0.7196969696969697)</f>
        <v>0.7196969697</v>
      </c>
      <c r="D47" s="16">
        <f>IFERROR(__xludf.DUMMYFUNCTION("VLOOKUP(A47,IMPORTRANGE(""1QZ5UxyNCwadreQAXnQ7oCoH982DjIA-QnZdO7ZoqkC0/edit#gid=884617569"",""S1 Totals!$A$2:$O$255""),2,FALSE)"),26.5)</f>
        <v>26.5</v>
      </c>
      <c r="E47" s="15">
        <f>IFERROR(__xludf.DUMMYFUNCTION("VLOOKUP(A47,IMPORTRANGE(""1QZ5UxyNCwadreQAXnQ7oCoH982DjIA-QnZdO7ZoqkC0/edit#gid=884617569"",""S1 Totals!$A$2:$O$255""),3,FALSE)"),0.803030303030303)</f>
        <v>0.803030303</v>
      </c>
      <c r="F47" s="108">
        <f t="shared" si="1"/>
        <v>-0.08333333333</v>
      </c>
      <c r="G47" s="16">
        <f>IFERROR(__xludf.DUMMYFUNCTION("VLOOKUP(A47,IMPORTRANGE(""1QZ5UxyNCwadreQAXnQ7oCoH982DjIA-QnZdO7ZoqkC0/edit#gid=884617569"",""S1 Totals!$A$2:$O$255""),4,FALSE)"),37.0)</f>
        <v>37</v>
      </c>
      <c r="H47" s="15">
        <f>IFERROR(__xludf.DUMMYFUNCTION("VLOOKUP(A47,IMPORTRANGE(""1QZ5UxyNCwadreQAXnQ7oCoH982DjIA-QnZdO7ZoqkC0/edit#gid=884617569"",""S1 Totals!$A$2:$O$255""),5,FALSE)"),0.7872340425531915)</f>
        <v>0.7872340426</v>
      </c>
      <c r="I47" s="108">
        <f t="shared" si="2"/>
        <v>-0.06753707286</v>
      </c>
      <c r="J47" s="16">
        <f>IFERROR(__xludf.DUMMYFUNCTION("VLOOKUP(A47,IMPORTRANGE(""1QZ5UxyNCwadreQAXnQ7oCoH982DjIA-QnZdO7ZoqkC0/edit#gid=884617569"",""S1 Totals!$A$2:$O$255""),7,FALSE)"),33.5)</f>
        <v>33.5</v>
      </c>
      <c r="K47" s="15">
        <f>IFERROR(__xludf.DUMMYFUNCTION("VLOOKUP(A47,IMPORTRANGE(""1QZ5UxyNCwadreQAXnQ7oCoH982DjIA-QnZdO7ZoqkC0/edit#gid=884617569"",""S1 Totals!$A$2:$O$255""),8,FALSE)"),0.6836734693877551)</f>
        <v>0.6836734694</v>
      </c>
      <c r="L47" s="109">
        <f t="shared" si="3"/>
        <v>0.1193568336</v>
      </c>
      <c r="M47" s="16" t="str">
        <f>IFERROR(__xludf.DUMMYFUNCTION("VLOOKUP(A47,IMPORTRANGE(""1QZ5UxyNCwadreQAXnQ7oCoH982DjIA-QnZdO7ZoqkC0/edit#gid=884617569"",""S1 Totals!$A$2:$O$255""),10,FALSE)"),"")</f>
        <v/>
      </c>
      <c r="N47" s="15" t="str">
        <f>IFERROR(__xludf.DUMMYFUNCTION("VLOOKUP(A47,IMPORTRANGE(""1QZ5UxyNCwadreQAXnQ7oCoH982DjIA-QnZdO7ZoqkC0/edit#gid=884617569"",""S1 Totals!$A$2:$O$256""),11,FALSE)"),"")</f>
        <v/>
      </c>
      <c r="O47" s="110"/>
      <c r="P47" s="16" t="str">
        <f>IFERROR(__xludf.DUMMYFUNCTION("VLOOKUP(A47,IMPORTRANGE(""1QZ5UxyNCwadreQAXnQ7oCoH982DjIA-QnZdO7ZoqkC0/edit#gid=884617569"",""S1 Totals!$A$2:$O$256""),13,FALSE)"),"")</f>
        <v/>
      </c>
      <c r="Q47" s="15" t="str">
        <f>IFERROR(__xludf.DUMMYFUNCTION("VLOOKUP(A47,IMPORTRANGE(""1QZ5UxyNCwadreQAXnQ7oCoH982DjIA-QnZdO7ZoqkC0/edit#gid=884617569"",""S1 Totals!$A$2:$O$256""),14,FALSE)"),"")</f>
        <v/>
      </c>
      <c r="R47" s="15">
        <f t="shared" si="5"/>
        <v>0.7196969697</v>
      </c>
    </row>
    <row r="48">
      <c r="A48" s="107" t="s">
        <v>221</v>
      </c>
      <c r="B48" s="16">
        <f>IFERROR(__xludf.DUMMYFUNCTION("VLOOKUP(A48,IMPORTRANGE(""1aFCnJY1qhIj8-JckJhDJ18aqmVo17tofpQmOjcYa3u8/edit#gid=590920912"",""S1 Totals!$A$2:$O$255""),2,FALSE)"),1.25)</f>
        <v>1.25</v>
      </c>
      <c r="C48" s="15">
        <f>IFERROR(__xludf.DUMMYFUNCTION("VLOOKUP(A48,IMPORTRANGE(""1aFCnJY1qhIj8-JckJhDJ18aqmVo17tofpQmOjcYa3u8/edit#gid=590920912"",""S1 Totals!$A$2:$O$255""),3,FALSE)"),0.03787878787878788)</f>
        <v>0.03787878788</v>
      </c>
      <c r="D48" s="16">
        <f>IFERROR(__xludf.DUMMYFUNCTION("VLOOKUP(A48,IMPORTRANGE(""1QZ5UxyNCwadreQAXnQ7oCoH982DjIA-QnZdO7ZoqkC0/edit#gid=884617569"",""S1 Totals!$A$2:$O$255""),2,FALSE)"),1.0)</f>
        <v>1</v>
      </c>
      <c r="E48" s="15">
        <f>IFERROR(__xludf.DUMMYFUNCTION("VLOOKUP(A48,IMPORTRANGE(""1QZ5UxyNCwadreQAXnQ7oCoH982DjIA-QnZdO7ZoqkC0/edit#gid=884617569"",""S1 Totals!$A$2:$O$255""),3,FALSE)"),0.030303030303030304)</f>
        <v>0.0303030303</v>
      </c>
      <c r="F48" s="108">
        <f t="shared" si="1"/>
        <v>0.007575757576</v>
      </c>
      <c r="G48" s="16">
        <f>IFERROR(__xludf.DUMMYFUNCTION("VLOOKUP(A48,IMPORTRANGE(""1QZ5UxyNCwadreQAXnQ7oCoH982DjIA-QnZdO7ZoqkC0/edit#gid=884617569"",""S1 Totals!$A$2:$O$255""),4,FALSE)"),3.5)</f>
        <v>3.5</v>
      </c>
      <c r="H48" s="15">
        <f>IFERROR(__xludf.DUMMYFUNCTION("VLOOKUP(A48,IMPORTRANGE(""1QZ5UxyNCwadreQAXnQ7oCoH982DjIA-QnZdO7ZoqkC0/edit#gid=884617569"",""S1 Totals!$A$2:$O$255""),5,FALSE)"),0.07446808510638298)</f>
        <v>0.07446808511</v>
      </c>
      <c r="I48" s="108">
        <f t="shared" si="2"/>
        <v>-0.03658929723</v>
      </c>
      <c r="J48" s="16" t="str">
        <f>IFERROR(__xludf.DUMMYFUNCTION("VLOOKUP(A48,IMPORTRANGE(""1QZ5UxyNCwadreQAXnQ7oCoH982DjIA-QnZdO7ZoqkC0/edit#gid=884617569"",""S1 Totals!$A$2:$O$255""),7,FALSE)"),"")</f>
        <v/>
      </c>
      <c r="K48" s="15" t="str">
        <f>IFERROR(__xludf.DUMMYFUNCTION("VLOOKUP(A48,IMPORTRANGE(""1QZ5UxyNCwadreQAXnQ7oCoH982DjIA-QnZdO7ZoqkC0/edit#gid=884617569"",""S1 Totals!$A$2:$O$255""),8,FALSE)"),"")</f>
        <v/>
      </c>
      <c r="L48" s="109">
        <f t="shared" si="3"/>
        <v>0.0303030303</v>
      </c>
      <c r="M48" s="16" t="str">
        <f>IFERROR(__xludf.DUMMYFUNCTION("VLOOKUP(A48,IMPORTRANGE(""1QZ5UxyNCwadreQAXnQ7oCoH982DjIA-QnZdO7ZoqkC0/edit#gid=884617569"",""S1 Totals!$A$2:$O$255""),10,FALSE)"),"")</f>
        <v/>
      </c>
      <c r="N48" s="15" t="str">
        <f>IFERROR(__xludf.DUMMYFUNCTION("VLOOKUP(A48,IMPORTRANGE(""1QZ5UxyNCwadreQAXnQ7oCoH982DjIA-QnZdO7ZoqkC0/edit#gid=884617569"",""S1 Totals!$A$2:$O$256""),11,FALSE)"),"")</f>
        <v/>
      </c>
      <c r="O48" s="110"/>
      <c r="P48" s="16" t="str">
        <f>IFERROR(__xludf.DUMMYFUNCTION("VLOOKUP(A48,IMPORTRANGE(""1QZ5UxyNCwadreQAXnQ7oCoH982DjIA-QnZdO7ZoqkC0/edit#gid=884617569"",""S1 Totals!$A$2:$O$256""),13,FALSE)"),"")</f>
        <v/>
      </c>
      <c r="Q48" s="15" t="str">
        <f>IFERROR(__xludf.DUMMYFUNCTION("VLOOKUP(A48,IMPORTRANGE(""1QZ5UxyNCwadreQAXnQ7oCoH982DjIA-QnZdO7ZoqkC0/edit#gid=884617569"",""S1 Totals!$A$2:$O$256""),14,FALSE)"),"")</f>
        <v/>
      </c>
      <c r="R48" s="15">
        <f t="shared" si="5"/>
        <v>0.03787878788</v>
      </c>
    </row>
    <row r="49">
      <c r="A49" s="107" t="s">
        <v>38</v>
      </c>
      <c r="B49" s="16">
        <f>IFERROR(__xludf.DUMMYFUNCTION("VLOOKUP(A49,IMPORTRANGE(""1aFCnJY1qhIj8-JckJhDJ18aqmVo17tofpQmOjcYa3u8/edit#gid=590920912"",""S1 Totals!$A$2:$O$255""),2,FALSE)"),20.75)</f>
        <v>20.75</v>
      </c>
      <c r="C49" s="15">
        <f>IFERROR(__xludf.DUMMYFUNCTION("VLOOKUP(A49,IMPORTRANGE(""1aFCnJY1qhIj8-JckJhDJ18aqmVo17tofpQmOjcYa3u8/edit#gid=590920912"",""S1 Totals!$A$2:$O$255""),3,FALSE)"),0.6287878787878788)</f>
        <v>0.6287878788</v>
      </c>
      <c r="D49" s="16">
        <f>IFERROR(__xludf.DUMMYFUNCTION("VLOOKUP(A49,IMPORTRANGE(""1QZ5UxyNCwadreQAXnQ7oCoH982DjIA-QnZdO7ZoqkC0/edit#gid=884617569"",""S1 Totals!$A$2:$O$255""),2,FALSE)"),21.25)</f>
        <v>21.25</v>
      </c>
      <c r="E49" s="15">
        <f>IFERROR(__xludf.DUMMYFUNCTION("VLOOKUP(A49,IMPORTRANGE(""1QZ5UxyNCwadreQAXnQ7oCoH982DjIA-QnZdO7ZoqkC0/edit#gid=884617569"",""S1 Totals!$A$2:$O$255""),3,FALSE)"),0.6439393939393939)</f>
        <v>0.6439393939</v>
      </c>
      <c r="F49" s="108">
        <f t="shared" si="1"/>
        <v>-0.01515151515</v>
      </c>
      <c r="G49" s="16">
        <f>IFERROR(__xludf.DUMMYFUNCTION("VLOOKUP(A49,IMPORTRANGE(""1QZ5UxyNCwadreQAXnQ7oCoH982DjIA-QnZdO7ZoqkC0/edit#gid=884617569"",""S1 Totals!$A$2:$O$255""),4,FALSE)"),25.0)</f>
        <v>25</v>
      </c>
      <c r="H49" s="15">
        <f>IFERROR(__xludf.DUMMYFUNCTION("VLOOKUP(A49,IMPORTRANGE(""1QZ5UxyNCwadreQAXnQ7oCoH982DjIA-QnZdO7ZoqkC0/edit#gid=884617569"",""S1 Totals!$A$2:$O$255""),5,FALSE)"),0.5319148936170213)</f>
        <v>0.5319148936</v>
      </c>
      <c r="I49" s="108">
        <f t="shared" si="2"/>
        <v>0.09687298517</v>
      </c>
      <c r="J49" s="16">
        <f>IFERROR(__xludf.DUMMYFUNCTION("VLOOKUP(A49,IMPORTRANGE(""1QZ5UxyNCwadreQAXnQ7oCoH982DjIA-QnZdO7ZoqkC0/edit#gid=884617569"",""S1 Totals!$A$2:$O$255""),7,FALSE)"),23.0)</f>
        <v>23</v>
      </c>
      <c r="K49" s="15">
        <f>IFERROR(__xludf.DUMMYFUNCTION("VLOOKUP(A49,IMPORTRANGE(""1QZ5UxyNCwadreQAXnQ7oCoH982DjIA-QnZdO7ZoqkC0/edit#gid=884617569"",""S1 Totals!$A$2:$O$255""),8,FALSE)"),0.46938775510204084)</f>
        <v>0.4693877551</v>
      </c>
      <c r="L49" s="109">
        <f t="shared" si="3"/>
        <v>0.1745516388</v>
      </c>
      <c r="M49" s="16">
        <f>IFERROR(__xludf.DUMMYFUNCTION("VLOOKUP(A49,IMPORTRANGE(""1QZ5UxyNCwadreQAXnQ7oCoH982DjIA-QnZdO7ZoqkC0/edit#gid=884617569"",""S1 Totals!$A$2:$O$255""),10,FALSE)"),21.0)</f>
        <v>21</v>
      </c>
      <c r="N49" s="15">
        <f>IFERROR(__xludf.DUMMYFUNCTION("VLOOKUP(A49,IMPORTRANGE(""1QZ5UxyNCwadreQAXnQ7oCoH982DjIA-QnZdO7ZoqkC0/edit#gid=884617569"",""S1 Totals!$A$2:$O$256""),11,FALSE)"),0.4375)</f>
        <v>0.4375</v>
      </c>
      <c r="O49" s="110">
        <f t="shared" ref="O49:O51" si="11">C49-N49</f>
        <v>0.1912878788</v>
      </c>
      <c r="P49" s="16">
        <f>IFERROR(__xludf.DUMMYFUNCTION("VLOOKUP(A49,IMPORTRANGE(""1QZ5UxyNCwadreQAXnQ7oCoH982DjIA-QnZdO7ZoqkC0/edit#gid=884617569"",""S1 Totals!$A$2:$O$256""),13,FALSE)"),17.0)</f>
        <v>17</v>
      </c>
      <c r="Q49" s="15">
        <f>IFERROR(__xludf.DUMMYFUNCTION("VLOOKUP(A49,IMPORTRANGE(""1QZ5UxyNCwadreQAXnQ7oCoH982DjIA-QnZdO7ZoqkC0/edit#gid=884617569"",""S1 Totals!$A$2:$O$256""),14,FALSE)"),0.34)</f>
        <v>0.34</v>
      </c>
      <c r="R49" s="15">
        <f t="shared" si="5"/>
        <v>0.2887878788</v>
      </c>
    </row>
    <row r="50">
      <c r="A50" s="107" t="s">
        <v>39</v>
      </c>
      <c r="B50" s="16">
        <f>IFERROR(__xludf.DUMMYFUNCTION("VLOOKUP(A50,IMPORTRANGE(""1aFCnJY1qhIj8-JckJhDJ18aqmVo17tofpQmOjcYa3u8/edit#gid=590920912"",""S1 Totals!$A$2:$O$255""),2,FALSE)"),13.75)</f>
        <v>13.75</v>
      </c>
      <c r="C50" s="15">
        <f>IFERROR(__xludf.DUMMYFUNCTION("VLOOKUP(A50,IMPORTRANGE(""1aFCnJY1qhIj8-JckJhDJ18aqmVo17tofpQmOjcYa3u8/edit#gid=590920912"",""S1 Totals!$A$2:$O$255""),3,FALSE)"),0.4166666666666667)</f>
        <v>0.4166666667</v>
      </c>
      <c r="D50" s="16">
        <f>IFERROR(__xludf.DUMMYFUNCTION("VLOOKUP(A50,IMPORTRANGE(""1QZ5UxyNCwadreQAXnQ7oCoH982DjIA-QnZdO7ZoqkC0/edit#gid=884617569"",""S1 Totals!$A$2:$O$255""),2,FALSE)"),15.0)</f>
        <v>15</v>
      </c>
      <c r="E50" s="15">
        <f>IFERROR(__xludf.DUMMYFUNCTION("VLOOKUP(A50,IMPORTRANGE(""1QZ5UxyNCwadreQAXnQ7oCoH982DjIA-QnZdO7ZoqkC0/edit#gid=884617569"",""S1 Totals!$A$2:$O$255""),3,FALSE)"),0.45454545454545453)</f>
        <v>0.4545454545</v>
      </c>
      <c r="F50" s="108">
        <f t="shared" si="1"/>
        <v>-0.03787878788</v>
      </c>
      <c r="G50" s="16">
        <f>IFERROR(__xludf.DUMMYFUNCTION("VLOOKUP(A50,IMPORTRANGE(""1QZ5UxyNCwadreQAXnQ7oCoH982DjIA-QnZdO7ZoqkC0/edit#gid=884617569"",""S1 Totals!$A$2:$O$255""),4,FALSE)"),20.5)</f>
        <v>20.5</v>
      </c>
      <c r="H50" s="15">
        <f>IFERROR(__xludf.DUMMYFUNCTION("VLOOKUP(A50,IMPORTRANGE(""1QZ5UxyNCwadreQAXnQ7oCoH982DjIA-QnZdO7ZoqkC0/edit#gid=884617569"",""S1 Totals!$A$2:$O$255""),5,FALSE)"),0.43617021276595747)</f>
        <v>0.4361702128</v>
      </c>
      <c r="I50" s="108">
        <f t="shared" si="2"/>
        <v>-0.0195035461</v>
      </c>
      <c r="J50" s="16">
        <f>IFERROR(__xludf.DUMMYFUNCTION("VLOOKUP(A50,IMPORTRANGE(""1QZ5UxyNCwadreQAXnQ7oCoH982DjIA-QnZdO7ZoqkC0/edit#gid=884617569"",""S1 Totals!$A$2:$O$255""),7,FALSE)"),17.5)</f>
        <v>17.5</v>
      </c>
      <c r="K50" s="15">
        <f>IFERROR(__xludf.DUMMYFUNCTION("VLOOKUP(A50,IMPORTRANGE(""1QZ5UxyNCwadreQAXnQ7oCoH982DjIA-QnZdO7ZoqkC0/edit#gid=884617569"",""S1 Totals!$A$2:$O$255""),8,FALSE)"),0.35714285714285715)</f>
        <v>0.3571428571</v>
      </c>
      <c r="L50" s="109">
        <f t="shared" si="3"/>
        <v>0.0974025974</v>
      </c>
      <c r="M50" s="16">
        <f>IFERROR(__xludf.DUMMYFUNCTION("VLOOKUP(A50,IMPORTRANGE(""1QZ5UxyNCwadreQAXnQ7oCoH982DjIA-QnZdO7ZoqkC0/edit#gid=884617569"",""S1 Totals!$A$2:$O$255""),10,FALSE)"),3.5)</f>
        <v>3.5</v>
      </c>
      <c r="N50" s="15">
        <f>IFERROR(__xludf.DUMMYFUNCTION("VLOOKUP(A50,IMPORTRANGE(""1QZ5UxyNCwadreQAXnQ7oCoH982DjIA-QnZdO7ZoqkC0/edit#gid=884617569"",""S1 Totals!$A$2:$O$256""),11,FALSE)"),0.07291666666666667)</f>
        <v>0.07291666667</v>
      </c>
      <c r="O50" s="110">
        <f t="shared" si="11"/>
        <v>0.34375</v>
      </c>
      <c r="P50" s="16">
        <f>IFERROR(__xludf.DUMMYFUNCTION("VLOOKUP(A50,IMPORTRANGE(""1QZ5UxyNCwadreQAXnQ7oCoH982DjIA-QnZdO7ZoqkC0/edit#gid=884617569"",""S1 Totals!$A$2:$O$256""),13,FALSE)"),1.5)</f>
        <v>1.5</v>
      </c>
      <c r="Q50" s="15">
        <f>IFERROR(__xludf.DUMMYFUNCTION("VLOOKUP(A50,IMPORTRANGE(""1QZ5UxyNCwadreQAXnQ7oCoH982DjIA-QnZdO7ZoqkC0/edit#gid=884617569"",""S1 Totals!$A$2:$O$256""),14,FALSE)"),0.03)</f>
        <v>0.03</v>
      </c>
      <c r="R50" s="15">
        <f t="shared" si="5"/>
        <v>0.3866666667</v>
      </c>
    </row>
    <row r="51">
      <c r="A51" s="107" t="s">
        <v>94</v>
      </c>
      <c r="B51" s="16">
        <f>IFERROR(__xludf.DUMMYFUNCTION("VLOOKUP(A51,IMPORTRANGE(""1aFCnJY1qhIj8-JckJhDJ18aqmVo17tofpQmOjcYa3u8/edit#gid=590920912"",""S1 Totals!$A$2:$O$255""),2,FALSE)"),10.5)</f>
        <v>10.5</v>
      </c>
      <c r="C51" s="15">
        <f>IFERROR(__xludf.DUMMYFUNCTION("VLOOKUP(A51,IMPORTRANGE(""1aFCnJY1qhIj8-JckJhDJ18aqmVo17tofpQmOjcYa3u8/edit#gid=590920912"",""S1 Totals!$A$2:$O$255""),3,FALSE)"),0.3181818181818182)</f>
        <v>0.3181818182</v>
      </c>
      <c r="D51" s="16">
        <f>IFERROR(__xludf.DUMMYFUNCTION("VLOOKUP(A51,IMPORTRANGE(""1QZ5UxyNCwadreQAXnQ7oCoH982DjIA-QnZdO7ZoqkC0/edit#gid=884617569"",""S1 Totals!$A$2:$O$255""),2,FALSE)"),13.0)</f>
        <v>13</v>
      </c>
      <c r="E51" s="15">
        <f>IFERROR(__xludf.DUMMYFUNCTION("VLOOKUP(A51,IMPORTRANGE(""1QZ5UxyNCwadreQAXnQ7oCoH982DjIA-QnZdO7ZoqkC0/edit#gid=884617569"",""S1 Totals!$A$2:$O$255""),3,FALSE)"),0.3939393939393939)</f>
        <v>0.3939393939</v>
      </c>
      <c r="F51" s="108">
        <f t="shared" si="1"/>
        <v>-0.07575757576</v>
      </c>
      <c r="G51" s="16">
        <f>IFERROR(__xludf.DUMMYFUNCTION("VLOOKUP(A51,IMPORTRANGE(""1QZ5UxyNCwadreQAXnQ7oCoH982DjIA-QnZdO7ZoqkC0/edit#gid=884617569"",""S1 Totals!$A$2:$O$255""),4,FALSE)"),18.5)</f>
        <v>18.5</v>
      </c>
      <c r="H51" s="15">
        <f>IFERROR(__xludf.DUMMYFUNCTION("VLOOKUP(A51,IMPORTRANGE(""1QZ5UxyNCwadreQAXnQ7oCoH982DjIA-QnZdO7ZoqkC0/edit#gid=884617569"",""S1 Totals!$A$2:$O$255""),5,FALSE)"),0.39361702127659576)</f>
        <v>0.3936170213</v>
      </c>
      <c r="I51" s="108">
        <f t="shared" si="2"/>
        <v>-0.07543520309</v>
      </c>
      <c r="J51" s="16">
        <f>IFERROR(__xludf.DUMMYFUNCTION("VLOOKUP(A51,IMPORTRANGE(""1QZ5UxyNCwadreQAXnQ7oCoH982DjIA-QnZdO7ZoqkC0/edit#gid=884617569"",""S1 Totals!$A$2:$O$255""),7,FALSE)"),15.0)</f>
        <v>15</v>
      </c>
      <c r="K51" s="15">
        <f>IFERROR(__xludf.DUMMYFUNCTION("VLOOKUP(A51,IMPORTRANGE(""1QZ5UxyNCwadreQAXnQ7oCoH982DjIA-QnZdO7ZoqkC0/edit#gid=884617569"",""S1 Totals!$A$2:$O$255""),8,FALSE)"),0.30612244897959184)</f>
        <v>0.306122449</v>
      </c>
      <c r="L51" s="109">
        <f t="shared" si="3"/>
        <v>0.08781694496</v>
      </c>
      <c r="M51" s="16">
        <f>IFERROR(__xludf.DUMMYFUNCTION("VLOOKUP(A51,IMPORTRANGE(""1QZ5UxyNCwadreQAXnQ7oCoH982DjIA-QnZdO7ZoqkC0/edit#gid=884617569"",""S1 Totals!$A$2:$O$255""),10,FALSE)"),13.0)</f>
        <v>13</v>
      </c>
      <c r="N51" s="15">
        <f>IFERROR(__xludf.DUMMYFUNCTION("VLOOKUP(A51,IMPORTRANGE(""1QZ5UxyNCwadreQAXnQ7oCoH982DjIA-QnZdO7ZoqkC0/edit#gid=884617569"",""S1 Totals!$A$2:$O$256""),11,FALSE)"),0.2708333333333333)</f>
        <v>0.2708333333</v>
      </c>
      <c r="O51" s="110">
        <f t="shared" si="11"/>
        <v>0.04734848485</v>
      </c>
      <c r="P51" s="16">
        <f>IFERROR(__xludf.DUMMYFUNCTION("VLOOKUP(A51,IMPORTRANGE(""1QZ5UxyNCwadreQAXnQ7oCoH982DjIA-QnZdO7ZoqkC0/edit#gid=884617569"",""S1 Totals!$A$2:$O$256""),13,FALSE)"),7.5)</f>
        <v>7.5</v>
      </c>
      <c r="Q51" s="15">
        <f>IFERROR(__xludf.DUMMYFUNCTION("VLOOKUP(A51,IMPORTRANGE(""1QZ5UxyNCwadreQAXnQ7oCoH982DjIA-QnZdO7ZoqkC0/edit#gid=884617569"",""S1 Totals!$A$2:$O$256""),14,FALSE)"),0.15)</f>
        <v>0.15</v>
      </c>
      <c r="R51" s="15">
        <f t="shared" si="5"/>
        <v>0.1681818182</v>
      </c>
    </row>
    <row r="52">
      <c r="A52" s="107" t="s">
        <v>222</v>
      </c>
      <c r="B52" s="16">
        <f>IFERROR(__xludf.DUMMYFUNCTION("VLOOKUP(A52,IMPORTRANGE(""1aFCnJY1qhIj8-JckJhDJ18aqmVo17tofpQmOjcYa3u8/edit#gid=590920912"",""S1 Totals!$A$2:$O$255""),2,FALSE)"),24.5)</f>
        <v>24.5</v>
      </c>
      <c r="C52" s="15">
        <f>IFERROR(__xludf.DUMMYFUNCTION("VLOOKUP(A52,IMPORTRANGE(""1aFCnJY1qhIj8-JckJhDJ18aqmVo17tofpQmOjcYa3u8/edit#gid=590920912"",""S1 Totals!$A$2:$O$255""),3,FALSE)"),0.7424242424242424)</f>
        <v>0.7424242424</v>
      </c>
      <c r="D52" s="16">
        <f>IFERROR(__xludf.DUMMYFUNCTION("VLOOKUP(A52,IMPORTRANGE(""1QZ5UxyNCwadreQAXnQ7oCoH982DjIA-QnZdO7ZoqkC0/edit#gid=884617569"",""S1 Totals!$A$2:$O$255""),2,FALSE)"),18.0)</f>
        <v>18</v>
      </c>
      <c r="E52" s="15">
        <f>IFERROR(__xludf.DUMMYFUNCTION("VLOOKUP(A52,IMPORTRANGE(""1QZ5UxyNCwadreQAXnQ7oCoH982DjIA-QnZdO7ZoqkC0/edit#gid=884617569"",""S1 Totals!$A$2:$O$255""),3,FALSE)"),0.5454545454545454)</f>
        <v>0.5454545455</v>
      </c>
      <c r="F52" s="108">
        <f t="shared" si="1"/>
        <v>0.196969697</v>
      </c>
      <c r="G52" s="16">
        <f>IFERROR(__xludf.DUMMYFUNCTION("VLOOKUP(A52,IMPORTRANGE(""1QZ5UxyNCwadreQAXnQ7oCoH982DjIA-QnZdO7ZoqkC0/edit#gid=884617569"",""S1 Totals!$A$2:$O$255""),4,FALSE)"),31.0)</f>
        <v>31</v>
      </c>
      <c r="H52" s="15">
        <f>IFERROR(__xludf.DUMMYFUNCTION("VLOOKUP(A52,IMPORTRANGE(""1QZ5UxyNCwadreQAXnQ7oCoH982DjIA-QnZdO7ZoqkC0/edit#gid=884617569"",""S1 Totals!$A$2:$O$255""),5,FALSE)"),0.6595744680851063)</f>
        <v>0.6595744681</v>
      </c>
      <c r="I52" s="108">
        <f t="shared" si="2"/>
        <v>0.08284977434</v>
      </c>
      <c r="J52" s="16" t="str">
        <f>IFERROR(__xludf.DUMMYFUNCTION("VLOOKUP(A52,IMPORTRANGE(""1QZ5UxyNCwadreQAXnQ7oCoH982DjIA-QnZdO7ZoqkC0/edit#gid=884617569"",""S1 Totals!$A$2:$O$255""),7,FALSE)"),"")</f>
        <v/>
      </c>
      <c r="K52" s="15" t="str">
        <f>IFERROR(__xludf.DUMMYFUNCTION("VLOOKUP(A52,IMPORTRANGE(""1QZ5UxyNCwadreQAXnQ7oCoH982DjIA-QnZdO7ZoqkC0/edit#gid=884617569"",""S1 Totals!$A$2:$O$255""),8,FALSE)"),"")</f>
        <v/>
      </c>
      <c r="L52" s="109">
        <f t="shared" si="3"/>
        <v>0.5454545455</v>
      </c>
      <c r="M52" s="16" t="str">
        <f>IFERROR(__xludf.DUMMYFUNCTION("VLOOKUP(A52,IMPORTRANGE(""1QZ5UxyNCwadreQAXnQ7oCoH982DjIA-QnZdO7ZoqkC0/edit#gid=884617569"",""S1 Totals!$A$2:$O$255""),10,FALSE)"),"")</f>
        <v/>
      </c>
      <c r="N52" s="15" t="str">
        <f>IFERROR(__xludf.DUMMYFUNCTION("VLOOKUP(A52,IMPORTRANGE(""1QZ5UxyNCwadreQAXnQ7oCoH982DjIA-QnZdO7ZoqkC0/edit#gid=884617569"",""S1 Totals!$A$2:$O$256""),11,FALSE)"),"")</f>
        <v/>
      </c>
      <c r="O52" s="110"/>
      <c r="P52" s="16" t="str">
        <f>IFERROR(__xludf.DUMMYFUNCTION("VLOOKUP(A52,IMPORTRANGE(""1QZ5UxyNCwadreQAXnQ7oCoH982DjIA-QnZdO7ZoqkC0/edit#gid=884617569"",""S1 Totals!$A$2:$O$256""),13,FALSE)"),"")</f>
        <v/>
      </c>
      <c r="Q52" s="15" t="str">
        <f>IFERROR(__xludf.DUMMYFUNCTION("VLOOKUP(A52,IMPORTRANGE(""1QZ5UxyNCwadreQAXnQ7oCoH982DjIA-QnZdO7ZoqkC0/edit#gid=884617569"",""S1 Totals!$A$2:$O$256""),14,FALSE)"),"")</f>
        <v/>
      </c>
      <c r="R52" s="15">
        <f t="shared" si="5"/>
        <v>0.7424242424</v>
      </c>
    </row>
    <row r="53">
      <c r="A53" s="107" t="s">
        <v>171</v>
      </c>
      <c r="B53" s="16">
        <f>IFERROR(__xludf.DUMMYFUNCTION("VLOOKUP(A53,IMPORTRANGE(""1aFCnJY1qhIj8-JckJhDJ18aqmVo17tofpQmOjcYa3u8/edit#gid=590920912"",""S1 Totals!$A$2:$O$255""),2,FALSE)"),20.0)</f>
        <v>20</v>
      </c>
      <c r="C53" s="15">
        <f>IFERROR(__xludf.DUMMYFUNCTION("VLOOKUP(A53,IMPORTRANGE(""1aFCnJY1qhIj8-JckJhDJ18aqmVo17tofpQmOjcYa3u8/edit#gid=590920912"",""S1 Totals!$A$2:$O$255""),3,FALSE)"),0.6060606060606061)</f>
        <v>0.6060606061</v>
      </c>
      <c r="D53" s="16">
        <f>IFERROR(__xludf.DUMMYFUNCTION("VLOOKUP(A53,IMPORTRANGE(""1QZ5UxyNCwadreQAXnQ7oCoH982DjIA-QnZdO7ZoqkC0/edit#gid=884617569"",""S1 Totals!$A$2:$O$255""),2,FALSE)"),22.25)</f>
        <v>22.25</v>
      </c>
      <c r="E53" s="15">
        <f>IFERROR(__xludf.DUMMYFUNCTION("VLOOKUP(A53,IMPORTRANGE(""1QZ5UxyNCwadreQAXnQ7oCoH982DjIA-QnZdO7ZoqkC0/edit#gid=884617569"",""S1 Totals!$A$2:$O$255""),3,FALSE)"),0.6742424242424242)</f>
        <v>0.6742424242</v>
      </c>
      <c r="F53" s="108">
        <f t="shared" si="1"/>
        <v>-0.06818181818</v>
      </c>
      <c r="G53" s="16">
        <f>IFERROR(__xludf.DUMMYFUNCTION("VLOOKUP(A53,IMPORTRANGE(""1QZ5UxyNCwadreQAXnQ7oCoH982DjIA-QnZdO7ZoqkC0/edit#gid=884617569"",""S1 Totals!$A$2:$O$255""),4,FALSE)"),32.0)</f>
        <v>32</v>
      </c>
      <c r="H53" s="15">
        <f>IFERROR(__xludf.DUMMYFUNCTION("VLOOKUP(A53,IMPORTRANGE(""1QZ5UxyNCwadreQAXnQ7oCoH982DjIA-QnZdO7ZoqkC0/edit#gid=884617569"",""S1 Totals!$A$2:$O$255""),5,FALSE)"),0.6808510638297872)</f>
        <v>0.6808510638</v>
      </c>
      <c r="I53" s="108">
        <f t="shared" si="2"/>
        <v>-0.07479045777</v>
      </c>
      <c r="J53" s="16">
        <f>IFERROR(__xludf.DUMMYFUNCTION("VLOOKUP(A53,IMPORTRANGE(""1QZ5UxyNCwadreQAXnQ7oCoH982DjIA-QnZdO7ZoqkC0/edit#gid=884617569"",""S1 Totals!$A$2:$O$255""),7,FALSE)"),30.0)</f>
        <v>30</v>
      </c>
      <c r="K53" s="15">
        <f>IFERROR(__xludf.DUMMYFUNCTION("VLOOKUP(A53,IMPORTRANGE(""1QZ5UxyNCwadreQAXnQ7oCoH982DjIA-QnZdO7ZoqkC0/edit#gid=884617569"",""S1 Totals!$A$2:$O$255""),8,FALSE)"),0.6122448979591837)</f>
        <v>0.612244898</v>
      </c>
      <c r="L53" s="109">
        <f t="shared" si="3"/>
        <v>0.06199752628</v>
      </c>
      <c r="M53" s="16" t="str">
        <f>IFERROR(__xludf.DUMMYFUNCTION("VLOOKUP(A53,IMPORTRANGE(""1QZ5UxyNCwadreQAXnQ7oCoH982DjIA-QnZdO7ZoqkC0/edit#gid=884617569"",""S1 Totals!$A$2:$O$255""),10,FALSE)"),"")</f>
        <v/>
      </c>
      <c r="N53" s="15" t="str">
        <f>IFERROR(__xludf.DUMMYFUNCTION("VLOOKUP(A53,IMPORTRANGE(""1QZ5UxyNCwadreQAXnQ7oCoH982DjIA-QnZdO7ZoqkC0/edit#gid=884617569"",""S1 Totals!$A$2:$O$256""),11,FALSE)"),"")</f>
        <v/>
      </c>
      <c r="O53" s="110"/>
      <c r="P53" s="16" t="str">
        <f>IFERROR(__xludf.DUMMYFUNCTION("VLOOKUP(A53,IMPORTRANGE(""1QZ5UxyNCwadreQAXnQ7oCoH982DjIA-QnZdO7ZoqkC0/edit#gid=884617569"",""S1 Totals!$A$2:$O$256""),13,FALSE)"),"")</f>
        <v/>
      </c>
      <c r="Q53" s="15" t="str">
        <f>IFERROR(__xludf.DUMMYFUNCTION("VLOOKUP(A53,IMPORTRANGE(""1QZ5UxyNCwadreQAXnQ7oCoH982DjIA-QnZdO7ZoqkC0/edit#gid=884617569"",""S1 Totals!$A$2:$O$256""),14,FALSE)"),"")</f>
        <v/>
      </c>
      <c r="R53" s="15">
        <f t="shared" si="5"/>
        <v>0.6060606061</v>
      </c>
    </row>
    <row r="54">
      <c r="A54" s="107" t="s">
        <v>41</v>
      </c>
      <c r="B54" s="16">
        <f>IFERROR(__xludf.DUMMYFUNCTION("VLOOKUP(A54,IMPORTRANGE(""1aFCnJY1qhIj8-JckJhDJ18aqmVo17tofpQmOjcYa3u8/edit#gid=590920912"",""S1 Totals!$A$2:$O$255""),2,FALSE)"),20.25)</f>
        <v>20.25</v>
      </c>
      <c r="C54" s="15">
        <f>IFERROR(__xludf.DUMMYFUNCTION("VLOOKUP(A54,IMPORTRANGE(""1aFCnJY1qhIj8-JckJhDJ18aqmVo17tofpQmOjcYa3u8/edit#gid=590920912"",""S1 Totals!$A$2:$O$255""),3,FALSE)"),0.6136363636363636)</f>
        <v>0.6136363636</v>
      </c>
      <c r="D54" s="16">
        <f>IFERROR(__xludf.DUMMYFUNCTION("VLOOKUP(A54,IMPORTRANGE(""1QZ5UxyNCwadreQAXnQ7oCoH982DjIA-QnZdO7ZoqkC0/edit#gid=884617569"",""S1 Totals!$A$2:$O$255""),2,FALSE)"),19.0)</f>
        <v>19</v>
      </c>
      <c r="E54" s="15">
        <f>IFERROR(__xludf.DUMMYFUNCTION("VLOOKUP(A54,IMPORTRANGE(""1QZ5UxyNCwadreQAXnQ7oCoH982DjIA-QnZdO7ZoqkC0/edit#gid=884617569"",""S1 Totals!$A$2:$O$255""),3,FALSE)"),0.5757575757575758)</f>
        <v>0.5757575758</v>
      </c>
      <c r="F54" s="108">
        <f t="shared" si="1"/>
        <v>0.03787878788</v>
      </c>
      <c r="G54" s="16">
        <f>IFERROR(__xludf.DUMMYFUNCTION("VLOOKUP(A54,IMPORTRANGE(""1QZ5UxyNCwadreQAXnQ7oCoH982DjIA-QnZdO7ZoqkC0/edit#gid=884617569"",""S1 Totals!$A$2:$O$255""),4,FALSE)"),28.0)</f>
        <v>28</v>
      </c>
      <c r="H54" s="15">
        <f>IFERROR(__xludf.DUMMYFUNCTION("VLOOKUP(A54,IMPORTRANGE(""1QZ5UxyNCwadreQAXnQ7oCoH982DjIA-QnZdO7ZoqkC0/edit#gid=884617569"",""S1 Totals!$A$2:$O$255""),5,FALSE)"),0.5957446808510638)</f>
        <v>0.5957446809</v>
      </c>
      <c r="I54" s="108">
        <f t="shared" si="2"/>
        <v>0.01789168279</v>
      </c>
      <c r="J54" s="16">
        <f>IFERROR(__xludf.DUMMYFUNCTION("VLOOKUP(A54,IMPORTRANGE(""1QZ5UxyNCwadreQAXnQ7oCoH982DjIA-QnZdO7ZoqkC0/edit#gid=884617569"",""S1 Totals!$A$2:$O$255""),7,FALSE)"),30.0)</f>
        <v>30</v>
      </c>
      <c r="K54" s="15">
        <f>IFERROR(__xludf.DUMMYFUNCTION("VLOOKUP(A54,IMPORTRANGE(""1QZ5UxyNCwadreQAXnQ7oCoH982DjIA-QnZdO7ZoqkC0/edit#gid=884617569"",""S1 Totals!$A$2:$O$255""),8,FALSE)"),0.6122448979591837)</f>
        <v>0.612244898</v>
      </c>
      <c r="L54" s="109">
        <f t="shared" si="3"/>
        <v>-0.0364873222</v>
      </c>
      <c r="M54" s="16">
        <f>IFERROR(__xludf.DUMMYFUNCTION("VLOOKUP(A54,IMPORTRANGE(""1QZ5UxyNCwadreQAXnQ7oCoH982DjIA-QnZdO7ZoqkC0/edit#gid=884617569"",""S1 Totals!$A$2:$O$255""),10,FALSE)"),22.0)</f>
        <v>22</v>
      </c>
      <c r="N54" s="15">
        <f>IFERROR(__xludf.DUMMYFUNCTION("VLOOKUP(A54,IMPORTRANGE(""1QZ5UxyNCwadreQAXnQ7oCoH982DjIA-QnZdO7ZoqkC0/edit#gid=884617569"",""S1 Totals!$A$2:$O$256""),11,FALSE)"),0.4583333333333333)</f>
        <v>0.4583333333</v>
      </c>
      <c r="O54" s="110">
        <f>C54-N54</f>
        <v>0.1553030303</v>
      </c>
      <c r="P54" s="16">
        <f>IFERROR(__xludf.DUMMYFUNCTION("VLOOKUP(A54,IMPORTRANGE(""1QZ5UxyNCwadreQAXnQ7oCoH982DjIA-QnZdO7ZoqkC0/edit#gid=884617569"",""S1 Totals!$A$2:$O$256""),13,FALSE)"),26.5)</f>
        <v>26.5</v>
      </c>
      <c r="Q54" s="15">
        <f>IFERROR(__xludf.DUMMYFUNCTION("VLOOKUP(A54,IMPORTRANGE(""1QZ5UxyNCwadreQAXnQ7oCoH982DjIA-QnZdO7ZoqkC0/edit#gid=884617569"",""S1 Totals!$A$2:$O$256""),14,FALSE)"),0.53)</f>
        <v>0.53</v>
      </c>
      <c r="R54" s="15">
        <f t="shared" si="5"/>
        <v>0.08363636364</v>
      </c>
    </row>
    <row r="55">
      <c r="A55" s="107" t="s">
        <v>298</v>
      </c>
      <c r="B55" s="16">
        <f>IFERROR(__xludf.DUMMYFUNCTION("VLOOKUP(A55,IMPORTRANGE(""1aFCnJY1qhIj8-JckJhDJ18aqmVo17tofpQmOjcYa3u8/edit#gid=590920912"",""S1 Totals!$A$2:$O$255""),2,FALSE)"),6.75)</f>
        <v>6.75</v>
      </c>
      <c r="C55" s="15">
        <f>IFERROR(__xludf.DUMMYFUNCTION("VLOOKUP(A55,IMPORTRANGE(""1aFCnJY1qhIj8-JckJhDJ18aqmVo17tofpQmOjcYa3u8/edit#gid=590920912"",""S1 Totals!$A$2:$O$255""),3,FALSE)"),0.20454545454545456)</f>
        <v>0.2045454545</v>
      </c>
      <c r="D55" s="16">
        <f>IFERROR(__xludf.DUMMYFUNCTION("VLOOKUP(A55,IMPORTRANGE(""1QZ5UxyNCwadreQAXnQ7oCoH982DjIA-QnZdO7ZoqkC0/edit#gid=884617569"",""S1 Totals!$A$2:$O$255""),2,FALSE)"),7.0)</f>
        <v>7</v>
      </c>
      <c r="E55" s="15">
        <f>IFERROR(__xludf.DUMMYFUNCTION("VLOOKUP(A55,IMPORTRANGE(""1QZ5UxyNCwadreQAXnQ7oCoH982DjIA-QnZdO7ZoqkC0/edit#gid=884617569"",""S1 Totals!$A$2:$O$255""),3,FALSE)"),0.21212121212121213)</f>
        <v>0.2121212121</v>
      </c>
      <c r="F55" s="108">
        <f t="shared" si="1"/>
        <v>-0.007575757576</v>
      </c>
      <c r="G55" s="16">
        <f>IFERROR(__xludf.DUMMYFUNCTION("VLOOKUP(A55,IMPORTRANGE(""1QZ5UxyNCwadreQAXnQ7oCoH982DjIA-QnZdO7ZoqkC0/edit#gid=884617569"",""S1 Totals!$A$2:$O$255""),4,FALSE)"),11.5)</f>
        <v>11.5</v>
      </c>
      <c r="H55" s="15">
        <f>IFERROR(__xludf.DUMMYFUNCTION("VLOOKUP(A55,IMPORTRANGE(""1QZ5UxyNCwadreQAXnQ7oCoH982DjIA-QnZdO7ZoqkC0/edit#gid=884617569"",""S1 Totals!$A$2:$O$255""),5,FALSE)"),0.24468085106382978)</f>
        <v>0.2446808511</v>
      </c>
      <c r="I55" s="108">
        <f t="shared" si="2"/>
        <v>-0.04013539652</v>
      </c>
      <c r="J55" s="16">
        <f>IFERROR(__xludf.DUMMYFUNCTION("VLOOKUP(A55,IMPORTRANGE(""1QZ5UxyNCwadreQAXnQ7oCoH982DjIA-QnZdO7ZoqkC0/edit#gid=884617569"",""S1 Totals!$A$2:$O$255""),7,FALSE)"),10.5)</f>
        <v>10.5</v>
      </c>
      <c r="K55" s="15">
        <f>IFERROR(__xludf.DUMMYFUNCTION("VLOOKUP(A55,IMPORTRANGE(""1QZ5UxyNCwadreQAXnQ7oCoH982DjIA-QnZdO7ZoqkC0/edit#gid=884617569"",""S1 Totals!$A$2:$O$255""),8,FALSE)"),0.21428571428571427)</f>
        <v>0.2142857143</v>
      </c>
      <c r="L55" s="109">
        <f t="shared" si="3"/>
        <v>-0.002164502165</v>
      </c>
      <c r="M55" s="16" t="str">
        <f>IFERROR(__xludf.DUMMYFUNCTION("VLOOKUP(A55,IMPORTRANGE(""1QZ5UxyNCwadreQAXnQ7oCoH982DjIA-QnZdO7ZoqkC0/edit#gid=884617569"",""S1 Totals!$A$2:$O$255""),10,FALSE)"),"")</f>
        <v/>
      </c>
      <c r="N55" s="15" t="str">
        <f>IFERROR(__xludf.DUMMYFUNCTION("VLOOKUP(A55,IMPORTRANGE(""1QZ5UxyNCwadreQAXnQ7oCoH982DjIA-QnZdO7ZoqkC0/edit#gid=884617569"",""S1 Totals!$A$2:$O$256""),11,FALSE)"),"")</f>
        <v/>
      </c>
      <c r="O55" s="110"/>
      <c r="P55" s="16" t="str">
        <f>IFERROR(__xludf.DUMMYFUNCTION("VLOOKUP(A55,IMPORTRANGE(""1QZ5UxyNCwadreQAXnQ7oCoH982DjIA-QnZdO7ZoqkC0/edit#gid=884617569"",""S1 Totals!$A$2:$O$256""),13,FALSE)"),"")</f>
        <v/>
      </c>
      <c r="Q55" s="15" t="str">
        <f>IFERROR(__xludf.DUMMYFUNCTION("VLOOKUP(A55,IMPORTRANGE(""1QZ5UxyNCwadreQAXnQ7oCoH982DjIA-QnZdO7ZoqkC0/edit#gid=884617569"",""S1 Totals!$A$2:$O$256""),14,FALSE)"),"")</f>
        <v/>
      </c>
      <c r="R55" s="15">
        <f t="shared" si="5"/>
        <v>0.2045454545</v>
      </c>
    </row>
    <row r="56">
      <c r="A56" s="107" t="s">
        <v>42</v>
      </c>
      <c r="B56" s="16">
        <f>IFERROR(__xludf.DUMMYFUNCTION("VLOOKUP(A56,IMPORTRANGE(""1aFCnJY1qhIj8-JckJhDJ18aqmVo17tofpQmOjcYa3u8/edit#gid=590920912"",""S1 Totals!$A$2:$O$255""),2,FALSE)"),21.25)</f>
        <v>21.25</v>
      </c>
      <c r="C56" s="15">
        <f>IFERROR(__xludf.DUMMYFUNCTION("VLOOKUP(A56,IMPORTRANGE(""1aFCnJY1qhIj8-JckJhDJ18aqmVo17tofpQmOjcYa3u8/edit#gid=590920912"",""S1 Totals!$A$2:$O$255""),3,FALSE)"),0.6439393939393939)</f>
        <v>0.6439393939</v>
      </c>
      <c r="D56" s="16">
        <f>IFERROR(__xludf.DUMMYFUNCTION("VLOOKUP(A56,IMPORTRANGE(""1QZ5UxyNCwadreQAXnQ7oCoH982DjIA-QnZdO7ZoqkC0/edit#gid=884617569"",""S1 Totals!$A$2:$O$255""),2,FALSE)"),18.25)</f>
        <v>18.25</v>
      </c>
      <c r="E56" s="15">
        <f>IFERROR(__xludf.DUMMYFUNCTION("VLOOKUP(A56,IMPORTRANGE(""1QZ5UxyNCwadreQAXnQ7oCoH982DjIA-QnZdO7ZoqkC0/edit#gid=884617569"",""S1 Totals!$A$2:$O$255""),3,FALSE)"),0.553030303030303)</f>
        <v>0.553030303</v>
      </c>
      <c r="F56" s="108">
        <f t="shared" si="1"/>
        <v>0.09090909091</v>
      </c>
      <c r="G56" s="16">
        <f>IFERROR(__xludf.DUMMYFUNCTION("VLOOKUP(A56,IMPORTRANGE(""1QZ5UxyNCwadreQAXnQ7oCoH982DjIA-QnZdO7ZoqkC0/edit#gid=884617569"",""S1 Totals!$A$2:$O$255""),4,FALSE)"),23.5)</f>
        <v>23.5</v>
      </c>
      <c r="H56" s="15">
        <f>IFERROR(__xludf.DUMMYFUNCTION("VLOOKUP(A56,IMPORTRANGE(""1QZ5UxyNCwadreQAXnQ7oCoH982DjIA-QnZdO7ZoqkC0/edit#gid=884617569"",""S1 Totals!$A$2:$O$255""),5,FALSE)"),0.5)</f>
        <v>0.5</v>
      </c>
      <c r="I56" s="108">
        <f t="shared" si="2"/>
        <v>0.1439393939</v>
      </c>
      <c r="J56" s="16">
        <f>IFERROR(__xludf.DUMMYFUNCTION("VLOOKUP(A56,IMPORTRANGE(""1QZ5UxyNCwadreQAXnQ7oCoH982DjIA-QnZdO7ZoqkC0/edit#gid=884617569"",""S1 Totals!$A$2:$O$255""),7,FALSE)"),18.0)</f>
        <v>18</v>
      </c>
      <c r="K56" s="15">
        <f>IFERROR(__xludf.DUMMYFUNCTION("VLOOKUP(A56,IMPORTRANGE(""1QZ5UxyNCwadreQAXnQ7oCoH982DjIA-QnZdO7ZoqkC0/edit#gid=884617569"",""S1 Totals!$A$2:$O$255""),8,FALSE)"),0.3673469387755102)</f>
        <v>0.3673469388</v>
      </c>
      <c r="L56" s="109">
        <f t="shared" si="3"/>
        <v>0.1856833643</v>
      </c>
      <c r="M56" s="16">
        <f>IFERROR(__xludf.DUMMYFUNCTION("VLOOKUP(A56,IMPORTRANGE(""1QZ5UxyNCwadreQAXnQ7oCoH982DjIA-QnZdO7ZoqkC0/edit#gid=884617569"",""S1 Totals!$A$2:$O$255""),10,FALSE)"),16.0)</f>
        <v>16</v>
      </c>
      <c r="N56" s="15">
        <f>IFERROR(__xludf.DUMMYFUNCTION("VLOOKUP(A56,IMPORTRANGE(""1QZ5UxyNCwadreQAXnQ7oCoH982DjIA-QnZdO7ZoqkC0/edit#gid=884617569"",""S1 Totals!$A$2:$O$256""),11,FALSE)"),0.3333333333333333)</f>
        <v>0.3333333333</v>
      </c>
      <c r="O56" s="110">
        <f t="shared" ref="O56:O59" si="12">C56-N56</f>
        <v>0.3106060606</v>
      </c>
      <c r="P56" s="16">
        <f>IFERROR(__xludf.DUMMYFUNCTION("VLOOKUP(A56,IMPORTRANGE(""1QZ5UxyNCwadreQAXnQ7oCoH982DjIA-QnZdO7ZoqkC0/edit#gid=884617569"",""S1 Totals!$A$2:$O$256""),13,FALSE)"),19.5)</f>
        <v>19.5</v>
      </c>
      <c r="Q56" s="15">
        <f>IFERROR(__xludf.DUMMYFUNCTION("VLOOKUP(A56,IMPORTRANGE(""1QZ5UxyNCwadreQAXnQ7oCoH982DjIA-QnZdO7ZoqkC0/edit#gid=884617569"",""S1 Totals!$A$2:$O$256""),14,FALSE)"),0.39)</f>
        <v>0.39</v>
      </c>
      <c r="R56" s="15">
        <f t="shared" si="5"/>
        <v>0.2539393939</v>
      </c>
    </row>
    <row r="57">
      <c r="A57" s="107" t="s">
        <v>43</v>
      </c>
      <c r="B57" s="16">
        <f>IFERROR(__xludf.DUMMYFUNCTION("VLOOKUP(A57,IMPORTRANGE(""1aFCnJY1qhIj8-JckJhDJ18aqmVo17tofpQmOjcYa3u8/edit#gid=590920912"",""S1 Totals!$A$2:$O$255""),2,FALSE)"),30.5)</f>
        <v>30.5</v>
      </c>
      <c r="C57" s="15">
        <f>IFERROR(__xludf.DUMMYFUNCTION("VLOOKUP(A57,IMPORTRANGE(""1aFCnJY1qhIj8-JckJhDJ18aqmVo17tofpQmOjcYa3u8/edit#gid=590920912"",""S1 Totals!$A$2:$O$255""),3,FALSE)"),0.9242424242424242)</f>
        <v>0.9242424242</v>
      </c>
      <c r="D57" s="16">
        <f>IFERROR(__xludf.DUMMYFUNCTION("VLOOKUP(A57,IMPORTRANGE(""1QZ5UxyNCwadreQAXnQ7oCoH982DjIA-QnZdO7ZoqkC0/edit#gid=884617569"",""S1 Totals!$A$2:$O$255""),2,FALSE)"),30.5)</f>
        <v>30.5</v>
      </c>
      <c r="E57" s="15">
        <f>IFERROR(__xludf.DUMMYFUNCTION("VLOOKUP(A57,IMPORTRANGE(""1QZ5UxyNCwadreQAXnQ7oCoH982DjIA-QnZdO7ZoqkC0/edit#gid=884617569"",""S1 Totals!$A$2:$O$255""),3,FALSE)"),0.9242424242424242)</f>
        <v>0.9242424242</v>
      </c>
      <c r="F57" s="108">
        <f t="shared" si="1"/>
        <v>0</v>
      </c>
      <c r="G57" s="16">
        <f>IFERROR(__xludf.DUMMYFUNCTION("VLOOKUP(A57,IMPORTRANGE(""1QZ5UxyNCwadreQAXnQ7oCoH982DjIA-QnZdO7ZoqkC0/edit#gid=884617569"",""S1 Totals!$A$2:$O$255""),4,FALSE)"),43.0)</f>
        <v>43</v>
      </c>
      <c r="H57" s="15">
        <f>IFERROR(__xludf.DUMMYFUNCTION("VLOOKUP(A57,IMPORTRANGE(""1QZ5UxyNCwadreQAXnQ7oCoH982DjIA-QnZdO7ZoqkC0/edit#gid=884617569"",""S1 Totals!$A$2:$O$255""),5,FALSE)"),0.9148936170212766)</f>
        <v>0.914893617</v>
      </c>
      <c r="I57" s="108">
        <f t="shared" si="2"/>
        <v>0.009348807221</v>
      </c>
      <c r="J57" s="16">
        <f>IFERROR(__xludf.DUMMYFUNCTION("VLOOKUP(A57,IMPORTRANGE(""1QZ5UxyNCwadreQAXnQ7oCoH982DjIA-QnZdO7ZoqkC0/edit#gid=884617569"",""S1 Totals!$A$2:$O$255""),7,FALSE)"),44.0)</f>
        <v>44</v>
      </c>
      <c r="K57" s="15">
        <f>IFERROR(__xludf.DUMMYFUNCTION("VLOOKUP(A57,IMPORTRANGE(""1QZ5UxyNCwadreQAXnQ7oCoH982DjIA-QnZdO7ZoqkC0/edit#gid=884617569"",""S1 Totals!$A$2:$O$255""),8,FALSE)"),0.8979591836734694)</f>
        <v>0.8979591837</v>
      </c>
      <c r="L57" s="109">
        <f t="shared" si="3"/>
        <v>0.02628324057</v>
      </c>
      <c r="M57" s="16">
        <f>IFERROR(__xludf.DUMMYFUNCTION("VLOOKUP(A57,IMPORTRANGE(""1QZ5UxyNCwadreQAXnQ7oCoH982DjIA-QnZdO7ZoqkC0/edit#gid=884617569"",""S1 Totals!$A$2:$O$255""),10,FALSE)"),40.0)</f>
        <v>40</v>
      </c>
      <c r="N57" s="15">
        <f>IFERROR(__xludf.DUMMYFUNCTION("VLOOKUP(A57,IMPORTRANGE(""1QZ5UxyNCwadreQAXnQ7oCoH982DjIA-QnZdO7ZoqkC0/edit#gid=884617569"",""S1 Totals!$A$2:$O$256""),11,FALSE)"),0.8333333333333334)</f>
        <v>0.8333333333</v>
      </c>
      <c r="O57" s="110">
        <f t="shared" si="12"/>
        <v>0.09090909091</v>
      </c>
      <c r="P57" s="16">
        <f>IFERROR(__xludf.DUMMYFUNCTION("VLOOKUP(A57,IMPORTRANGE(""1QZ5UxyNCwadreQAXnQ7oCoH982DjIA-QnZdO7ZoqkC0/edit#gid=884617569"",""S1 Totals!$A$2:$O$256""),13,FALSE)"),38.0)</f>
        <v>38</v>
      </c>
      <c r="Q57" s="15">
        <f>IFERROR(__xludf.DUMMYFUNCTION("VLOOKUP(A57,IMPORTRANGE(""1QZ5UxyNCwadreQAXnQ7oCoH982DjIA-QnZdO7ZoqkC0/edit#gid=884617569"",""S1 Totals!$A$2:$O$256""),14,FALSE)"),0.76)</f>
        <v>0.76</v>
      </c>
      <c r="R57" s="15">
        <f t="shared" si="5"/>
        <v>0.1642424242</v>
      </c>
    </row>
    <row r="58">
      <c r="A58" s="107" t="s">
        <v>118</v>
      </c>
      <c r="B58" s="16">
        <f>IFERROR(__xludf.DUMMYFUNCTION("VLOOKUP(A58,IMPORTRANGE(""1aFCnJY1qhIj8-JckJhDJ18aqmVo17tofpQmOjcYa3u8/edit#gid=590920912"",""S1 Totals!$A$2:$O$255""),2,FALSE)"),17.75)</f>
        <v>17.75</v>
      </c>
      <c r="C58" s="15">
        <f>IFERROR(__xludf.DUMMYFUNCTION("VLOOKUP(A58,IMPORTRANGE(""1aFCnJY1qhIj8-JckJhDJ18aqmVo17tofpQmOjcYa3u8/edit#gid=590920912"",""S1 Totals!$A$2:$O$255""),3,FALSE)"),0.5378787878787878)</f>
        <v>0.5378787879</v>
      </c>
      <c r="D58" s="16">
        <f>IFERROR(__xludf.DUMMYFUNCTION("VLOOKUP(A58,IMPORTRANGE(""1QZ5UxyNCwadreQAXnQ7oCoH982DjIA-QnZdO7ZoqkC0/edit#gid=884617569"",""S1 Totals!$A$2:$O$255""),2,FALSE)"),19.0)</f>
        <v>19</v>
      </c>
      <c r="E58" s="15">
        <f>IFERROR(__xludf.DUMMYFUNCTION("VLOOKUP(A58,IMPORTRANGE(""1QZ5UxyNCwadreQAXnQ7oCoH982DjIA-QnZdO7ZoqkC0/edit#gid=884617569"",""S1 Totals!$A$2:$O$255""),3,FALSE)"),0.5757575757575758)</f>
        <v>0.5757575758</v>
      </c>
      <c r="F58" s="108">
        <f t="shared" si="1"/>
        <v>-0.03787878788</v>
      </c>
      <c r="G58" s="16">
        <f>IFERROR(__xludf.DUMMYFUNCTION("VLOOKUP(A58,IMPORTRANGE(""1QZ5UxyNCwadreQAXnQ7oCoH982DjIA-QnZdO7ZoqkC0/edit#gid=884617569"",""S1 Totals!$A$2:$O$255""),4,FALSE)"),22.5)</f>
        <v>22.5</v>
      </c>
      <c r="H58" s="15">
        <f>IFERROR(__xludf.DUMMYFUNCTION("VLOOKUP(A58,IMPORTRANGE(""1QZ5UxyNCwadreQAXnQ7oCoH982DjIA-QnZdO7ZoqkC0/edit#gid=884617569"",""S1 Totals!$A$2:$O$255""),5,FALSE)"),0.4787234042553192)</f>
        <v>0.4787234043</v>
      </c>
      <c r="I58" s="108">
        <f t="shared" si="2"/>
        <v>0.05915538362</v>
      </c>
      <c r="J58" s="16">
        <f>IFERROR(__xludf.DUMMYFUNCTION("VLOOKUP(A58,IMPORTRANGE(""1QZ5UxyNCwadreQAXnQ7oCoH982DjIA-QnZdO7ZoqkC0/edit#gid=884617569"",""S1 Totals!$A$2:$O$255""),7,FALSE)"),26.5)</f>
        <v>26.5</v>
      </c>
      <c r="K58" s="15">
        <f>IFERROR(__xludf.DUMMYFUNCTION("VLOOKUP(A58,IMPORTRANGE(""1QZ5UxyNCwadreQAXnQ7oCoH982DjIA-QnZdO7ZoqkC0/edit#gid=884617569"",""S1 Totals!$A$2:$O$255""),8,FALSE)"),0.5408163265306123)</f>
        <v>0.5408163265</v>
      </c>
      <c r="L58" s="109">
        <f t="shared" si="3"/>
        <v>0.03494124923</v>
      </c>
      <c r="M58" s="16">
        <f>IFERROR(__xludf.DUMMYFUNCTION("VLOOKUP(A58,IMPORTRANGE(""1QZ5UxyNCwadreQAXnQ7oCoH982DjIA-QnZdO7ZoqkC0/edit#gid=884617569"",""S1 Totals!$A$2:$O$255""),10,FALSE)"),24.5)</f>
        <v>24.5</v>
      </c>
      <c r="N58" s="15">
        <f>IFERROR(__xludf.DUMMYFUNCTION("VLOOKUP(A58,IMPORTRANGE(""1QZ5UxyNCwadreQAXnQ7oCoH982DjIA-QnZdO7ZoqkC0/edit#gid=884617569"",""S1 Totals!$A$2:$O$256""),11,FALSE)"),0.5104166666666666)</f>
        <v>0.5104166667</v>
      </c>
      <c r="O58" s="110">
        <f t="shared" si="12"/>
        <v>0.02746212121</v>
      </c>
      <c r="P58" s="16" t="str">
        <f>IFERROR(__xludf.DUMMYFUNCTION("VLOOKUP(A58,IMPORTRANGE(""1QZ5UxyNCwadreQAXnQ7oCoH982DjIA-QnZdO7ZoqkC0/edit#gid=884617569"",""S1 Totals!$A$2:$O$256""),13,FALSE)"),"")</f>
        <v/>
      </c>
      <c r="Q58" s="15" t="str">
        <f>IFERROR(__xludf.DUMMYFUNCTION("VLOOKUP(A58,IMPORTRANGE(""1QZ5UxyNCwadreQAXnQ7oCoH982DjIA-QnZdO7ZoqkC0/edit#gid=884617569"",""S1 Totals!$A$2:$O$256""),14,FALSE)"),"")</f>
        <v/>
      </c>
      <c r="R58" s="15">
        <f t="shared" si="5"/>
        <v>0.5378787879</v>
      </c>
    </row>
    <row r="59">
      <c r="A59" s="107" t="s">
        <v>40</v>
      </c>
      <c r="B59" s="16">
        <f>IFERROR(__xludf.DUMMYFUNCTION("VLOOKUP(A59,IMPORTRANGE(""1aFCnJY1qhIj8-JckJhDJ18aqmVo17tofpQmOjcYa3u8/edit#gid=590920912"",""S1 Totals!$A$2:$O$255""),2,FALSE)"),13.25)</f>
        <v>13.25</v>
      </c>
      <c r="C59" s="15">
        <f>IFERROR(__xludf.DUMMYFUNCTION("VLOOKUP(A59,IMPORTRANGE(""1aFCnJY1qhIj8-JckJhDJ18aqmVo17tofpQmOjcYa3u8/edit#gid=590920912"",""S1 Totals!$A$2:$O$255""),3,FALSE)"),0.4015151515151515)</f>
        <v>0.4015151515</v>
      </c>
      <c r="D59" s="16">
        <f>IFERROR(__xludf.DUMMYFUNCTION("VLOOKUP(A59,IMPORTRANGE(""1QZ5UxyNCwadreQAXnQ7oCoH982DjIA-QnZdO7ZoqkC0/edit#gid=884617569"",""S1 Totals!$A$2:$O$255""),2,FALSE)"),16.25)</f>
        <v>16.25</v>
      </c>
      <c r="E59" s="15">
        <f>IFERROR(__xludf.DUMMYFUNCTION("VLOOKUP(A59,IMPORTRANGE(""1QZ5UxyNCwadreQAXnQ7oCoH982DjIA-QnZdO7ZoqkC0/edit#gid=884617569"",""S1 Totals!$A$2:$O$255""),3,FALSE)"),0.49242424242424243)</f>
        <v>0.4924242424</v>
      </c>
      <c r="F59" s="108">
        <f t="shared" si="1"/>
        <v>-0.09090909091</v>
      </c>
      <c r="G59" s="16">
        <f>IFERROR(__xludf.DUMMYFUNCTION("VLOOKUP(A59,IMPORTRANGE(""1QZ5UxyNCwadreQAXnQ7oCoH982DjIA-QnZdO7ZoqkC0/edit#gid=884617569"",""S1 Totals!$A$2:$O$255""),4,FALSE)"),26.0)</f>
        <v>26</v>
      </c>
      <c r="H59" s="15">
        <f>IFERROR(__xludf.DUMMYFUNCTION("VLOOKUP(A59,IMPORTRANGE(""1QZ5UxyNCwadreQAXnQ7oCoH982DjIA-QnZdO7ZoqkC0/edit#gid=884617569"",""S1 Totals!$A$2:$O$255""),5,FALSE)"),0.5531914893617021)</f>
        <v>0.5531914894</v>
      </c>
      <c r="I59" s="108">
        <f t="shared" si="2"/>
        <v>-0.1516763378</v>
      </c>
      <c r="J59" s="16">
        <f>IFERROR(__xludf.DUMMYFUNCTION("VLOOKUP(A59,IMPORTRANGE(""1QZ5UxyNCwadreQAXnQ7oCoH982DjIA-QnZdO7ZoqkC0/edit#gid=884617569"",""S1 Totals!$A$2:$O$255""),7,FALSE)"),25.5)</f>
        <v>25.5</v>
      </c>
      <c r="K59" s="15">
        <f>IFERROR(__xludf.DUMMYFUNCTION("VLOOKUP(A59,IMPORTRANGE(""1QZ5UxyNCwadreQAXnQ7oCoH982DjIA-QnZdO7ZoqkC0/edit#gid=884617569"",""S1 Totals!$A$2:$O$255""),8,FALSE)"),0.5204081632653061)</f>
        <v>0.5204081633</v>
      </c>
      <c r="L59" s="109">
        <f t="shared" si="3"/>
        <v>-0.02798392084</v>
      </c>
      <c r="M59" s="16">
        <f>IFERROR(__xludf.DUMMYFUNCTION("VLOOKUP(A59,IMPORTRANGE(""1QZ5UxyNCwadreQAXnQ7oCoH982DjIA-QnZdO7ZoqkC0/edit#gid=884617569"",""S1 Totals!$A$2:$O$255""),10,FALSE)"),18.5)</f>
        <v>18.5</v>
      </c>
      <c r="N59" s="15">
        <f>IFERROR(__xludf.DUMMYFUNCTION("VLOOKUP(A59,IMPORTRANGE(""1QZ5UxyNCwadreQAXnQ7oCoH982DjIA-QnZdO7ZoqkC0/edit#gid=884617569"",""S1 Totals!$A$2:$O$256""),11,FALSE)"),0.3854166666666667)</f>
        <v>0.3854166667</v>
      </c>
      <c r="O59" s="110">
        <f t="shared" si="12"/>
        <v>0.01609848485</v>
      </c>
      <c r="P59" s="16">
        <f>IFERROR(__xludf.DUMMYFUNCTION("VLOOKUP(A59,IMPORTRANGE(""1QZ5UxyNCwadreQAXnQ7oCoH982DjIA-QnZdO7ZoqkC0/edit#gid=884617569"",""S1 Totals!$A$2:$O$256""),13,FALSE)"),13.5)</f>
        <v>13.5</v>
      </c>
      <c r="Q59" s="15">
        <f>IFERROR(__xludf.DUMMYFUNCTION("VLOOKUP(A59,IMPORTRANGE(""1QZ5UxyNCwadreQAXnQ7oCoH982DjIA-QnZdO7ZoqkC0/edit#gid=884617569"",""S1 Totals!$A$2:$O$256""),14,FALSE)"),0.27)</f>
        <v>0.27</v>
      </c>
      <c r="R59" s="15">
        <f t="shared" si="5"/>
        <v>0.1315151515</v>
      </c>
    </row>
    <row r="60">
      <c r="A60" s="107" t="s">
        <v>223</v>
      </c>
      <c r="B60" s="16">
        <f>IFERROR(__xludf.DUMMYFUNCTION("VLOOKUP(A60,IMPORTRANGE(""1aFCnJY1qhIj8-JckJhDJ18aqmVo17tofpQmOjcYa3u8/edit#gid=590920912"",""S1 Totals!$A$2:$O$255""),2,FALSE)"),14.5)</f>
        <v>14.5</v>
      </c>
      <c r="C60" s="15">
        <f>IFERROR(__xludf.DUMMYFUNCTION("VLOOKUP(A60,IMPORTRANGE(""1aFCnJY1qhIj8-JckJhDJ18aqmVo17tofpQmOjcYa3u8/edit#gid=590920912"",""S1 Totals!$A$2:$O$255""),3,FALSE)"),0.4393939393939394)</f>
        <v>0.4393939394</v>
      </c>
      <c r="D60" s="16">
        <f>IFERROR(__xludf.DUMMYFUNCTION("VLOOKUP(A60,IMPORTRANGE(""1QZ5UxyNCwadreQAXnQ7oCoH982DjIA-QnZdO7ZoqkC0/edit#gid=884617569"",""S1 Totals!$A$2:$O$255""),2,FALSE)"),13.0)</f>
        <v>13</v>
      </c>
      <c r="E60" s="15">
        <f>IFERROR(__xludf.DUMMYFUNCTION("VLOOKUP(A60,IMPORTRANGE(""1QZ5UxyNCwadreQAXnQ7oCoH982DjIA-QnZdO7ZoqkC0/edit#gid=884617569"",""S1 Totals!$A$2:$O$255""),3,FALSE)"),0.3939393939393939)</f>
        <v>0.3939393939</v>
      </c>
      <c r="F60" s="108">
        <f t="shared" si="1"/>
        <v>0.04545454545</v>
      </c>
      <c r="G60" s="16">
        <f>IFERROR(__xludf.DUMMYFUNCTION("VLOOKUP(A60,IMPORTRANGE(""1QZ5UxyNCwadreQAXnQ7oCoH982DjIA-QnZdO7ZoqkC0/edit#gid=884617569"",""S1 Totals!$A$2:$O$255""),4,FALSE)"),17.5)</f>
        <v>17.5</v>
      </c>
      <c r="H60" s="15">
        <f>IFERROR(__xludf.DUMMYFUNCTION("VLOOKUP(A60,IMPORTRANGE(""1QZ5UxyNCwadreQAXnQ7oCoH982DjIA-QnZdO7ZoqkC0/edit#gid=884617569"",""S1 Totals!$A$2:$O$255""),5,FALSE)"),0.3723404255319149)</f>
        <v>0.3723404255</v>
      </c>
      <c r="I60" s="108">
        <f t="shared" si="2"/>
        <v>0.06705351386</v>
      </c>
      <c r="J60" s="16" t="str">
        <f>IFERROR(__xludf.DUMMYFUNCTION("VLOOKUP(A60,IMPORTRANGE(""1QZ5UxyNCwadreQAXnQ7oCoH982DjIA-QnZdO7ZoqkC0/edit#gid=884617569"",""S1 Totals!$A$2:$O$255""),7,FALSE)"),"")</f>
        <v/>
      </c>
      <c r="K60" s="15" t="str">
        <f>IFERROR(__xludf.DUMMYFUNCTION("VLOOKUP(A60,IMPORTRANGE(""1QZ5UxyNCwadreQAXnQ7oCoH982DjIA-QnZdO7ZoqkC0/edit#gid=884617569"",""S1 Totals!$A$2:$O$255""),8,FALSE)"),"")</f>
        <v/>
      </c>
      <c r="L60" s="109">
        <f t="shared" si="3"/>
        <v>0.3939393939</v>
      </c>
      <c r="M60" s="16" t="str">
        <f>IFERROR(__xludf.DUMMYFUNCTION("VLOOKUP(A60,IMPORTRANGE(""1QZ5UxyNCwadreQAXnQ7oCoH982DjIA-QnZdO7ZoqkC0/edit#gid=884617569"",""S1 Totals!$A$2:$O$255""),10,FALSE)"),"")</f>
        <v/>
      </c>
      <c r="N60" s="15" t="str">
        <f>IFERROR(__xludf.DUMMYFUNCTION("VLOOKUP(A60,IMPORTRANGE(""1QZ5UxyNCwadreQAXnQ7oCoH982DjIA-QnZdO7ZoqkC0/edit#gid=884617569"",""S1 Totals!$A$2:$O$256""),11,FALSE)"),"")</f>
        <v/>
      </c>
      <c r="O60" s="110"/>
      <c r="P60" s="16" t="str">
        <f>IFERROR(__xludf.DUMMYFUNCTION("VLOOKUP(A60,IMPORTRANGE(""1QZ5UxyNCwadreQAXnQ7oCoH982DjIA-QnZdO7ZoqkC0/edit#gid=884617569"",""S1 Totals!$A$2:$O$256""),13,FALSE)"),"")</f>
        <v/>
      </c>
      <c r="Q60" s="15" t="str">
        <f>IFERROR(__xludf.DUMMYFUNCTION("VLOOKUP(A60,IMPORTRANGE(""1QZ5UxyNCwadreQAXnQ7oCoH982DjIA-QnZdO7ZoqkC0/edit#gid=884617569"",""S1 Totals!$A$2:$O$256""),14,FALSE)"),"")</f>
        <v/>
      </c>
      <c r="R60" s="15">
        <f t="shared" si="5"/>
        <v>0.4393939394</v>
      </c>
    </row>
    <row r="61">
      <c r="A61" s="107" t="s">
        <v>119</v>
      </c>
      <c r="B61" s="16">
        <f>IFERROR(__xludf.DUMMYFUNCTION("VLOOKUP(A61,IMPORTRANGE(""1aFCnJY1qhIj8-JckJhDJ18aqmVo17tofpQmOjcYa3u8/edit#gid=590920912"",""S1 Totals!$A$2:$O$255""),2,FALSE)"),21.75)</f>
        <v>21.75</v>
      </c>
      <c r="C61" s="15">
        <f>IFERROR(__xludf.DUMMYFUNCTION("VLOOKUP(A61,IMPORTRANGE(""1aFCnJY1qhIj8-JckJhDJ18aqmVo17tofpQmOjcYa3u8/edit#gid=590920912"",""S1 Totals!$A$2:$O$255""),3,FALSE)"),0.6590909090909091)</f>
        <v>0.6590909091</v>
      </c>
      <c r="D61" s="16">
        <f>IFERROR(__xludf.DUMMYFUNCTION("VLOOKUP(A61,IMPORTRANGE(""1QZ5UxyNCwadreQAXnQ7oCoH982DjIA-QnZdO7ZoqkC0/edit#gid=884617569"",""S1 Totals!$A$2:$O$255""),2,FALSE)"),23.0)</f>
        <v>23</v>
      </c>
      <c r="E61" s="15">
        <f>IFERROR(__xludf.DUMMYFUNCTION("VLOOKUP(A61,IMPORTRANGE(""1QZ5UxyNCwadreQAXnQ7oCoH982DjIA-QnZdO7ZoqkC0/edit#gid=884617569"",""S1 Totals!$A$2:$O$255""),3,FALSE)"),0.696969696969697)</f>
        <v>0.696969697</v>
      </c>
      <c r="F61" s="108">
        <f t="shared" si="1"/>
        <v>-0.03787878788</v>
      </c>
      <c r="G61" s="16">
        <f>IFERROR(__xludf.DUMMYFUNCTION("VLOOKUP(A61,IMPORTRANGE(""1QZ5UxyNCwadreQAXnQ7oCoH982DjIA-QnZdO7ZoqkC0/edit#gid=884617569"",""S1 Totals!$A$2:$O$255""),4,FALSE)"),28.5)</f>
        <v>28.5</v>
      </c>
      <c r="H61" s="15">
        <f>IFERROR(__xludf.DUMMYFUNCTION("VLOOKUP(A61,IMPORTRANGE(""1QZ5UxyNCwadreQAXnQ7oCoH982DjIA-QnZdO7ZoqkC0/edit#gid=884617569"",""S1 Totals!$A$2:$O$255""),5,FALSE)"),0.6063829787234043)</f>
        <v>0.6063829787</v>
      </c>
      <c r="I61" s="108">
        <f t="shared" si="2"/>
        <v>0.05270793037</v>
      </c>
      <c r="J61" s="16">
        <f>IFERROR(__xludf.DUMMYFUNCTION("VLOOKUP(A61,IMPORTRANGE(""1QZ5UxyNCwadreQAXnQ7oCoH982DjIA-QnZdO7ZoqkC0/edit#gid=884617569"",""S1 Totals!$A$2:$O$255""),7,FALSE)"),29.5)</f>
        <v>29.5</v>
      </c>
      <c r="K61" s="15">
        <f>IFERROR(__xludf.DUMMYFUNCTION("VLOOKUP(A61,IMPORTRANGE(""1QZ5UxyNCwadreQAXnQ7oCoH982DjIA-QnZdO7ZoqkC0/edit#gid=884617569"",""S1 Totals!$A$2:$O$255""),8,FALSE)"),0.6020408163265306)</f>
        <v>0.6020408163</v>
      </c>
      <c r="L61" s="109">
        <f t="shared" si="3"/>
        <v>0.09492888064</v>
      </c>
      <c r="M61" s="16">
        <f>IFERROR(__xludf.DUMMYFUNCTION("VLOOKUP(A61,IMPORTRANGE(""1QZ5UxyNCwadreQAXnQ7oCoH982DjIA-QnZdO7ZoqkC0/edit#gid=884617569"",""S1 Totals!$A$2:$O$255""),10,FALSE)"),26.0)</f>
        <v>26</v>
      </c>
      <c r="N61" s="15">
        <f>IFERROR(__xludf.DUMMYFUNCTION("VLOOKUP(A61,IMPORTRANGE(""1QZ5UxyNCwadreQAXnQ7oCoH982DjIA-QnZdO7ZoqkC0/edit#gid=884617569"",""S1 Totals!$A$2:$O$256""),11,FALSE)"),0.5416666666666666)</f>
        <v>0.5416666667</v>
      </c>
      <c r="O61" s="110">
        <f t="shared" ref="O61:O67" si="13">C61-N61</f>
        <v>0.1174242424</v>
      </c>
      <c r="P61" s="16" t="str">
        <f>IFERROR(__xludf.DUMMYFUNCTION("VLOOKUP(A61,IMPORTRANGE(""1QZ5UxyNCwadreQAXnQ7oCoH982DjIA-QnZdO7ZoqkC0/edit#gid=884617569"",""S1 Totals!$A$2:$O$256""),13,FALSE)"),"")</f>
        <v/>
      </c>
      <c r="Q61" s="15" t="str">
        <f>IFERROR(__xludf.DUMMYFUNCTION("VLOOKUP(A61,IMPORTRANGE(""1QZ5UxyNCwadreQAXnQ7oCoH982DjIA-QnZdO7ZoqkC0/edit#gid=884617569"",""S1 Totals!$A$2:$O$256""),14,FALSE)"),"")</f>
        <v/>
      </c>
      <c r="R61" s="15">
        <f t="shared" si="5"/>
        <v>0.6590909091</v>
      </c>
    </row>
    <row r="62">
      <c r="A62" s="107" t="s">
        <v>264</v>
      </c>
      <c r="B62" s="16">
        <f>IFERROR(__xludf.DUMMYFUNCTION("VLOOKUP(A62,IMPORTRANGE(""1aFCnJY1qhIj8-JckJhDJ18aqmVo17tofpQmOjcYa3u8/edit#gid=590920912"",""S1 Totals!$A$2:$O$255""),2,FALSE)"),6.25)</f>
        <v>6.25</v>
      </c>
      <c r="C62" s="15">
        <f>IFERROR(__xludf.DUMMYFUNCTION("VLOOKUP(A62,IMPORTRANGE(""1aFCnJY1qhIj8-JckJhDJ18aqmVo17tofpQmOjcYa3u8/edit#gid=590920912"",""S1 Totals!$A$2:$O$255""),3,FALSE)"),0.1893939393939394)</f>
        <v>0.1893939394</v>
      </c>
      <c r="D62" s="16" t="str">
        <f>IFERROR(__xludf.DUMMYFUNCTION("VLOOKUP(A62,IMPORTRANGE(""1QZ5UxyNCwadreQAXnQ7oCoH982DjIA-QnZdO7ZoqkC0/edit#gid=884617569"",""S1 Totals!$A$2:$O$255""),2,FALSE)"),"#N/A")</f>
        <v>#N/A</v>
      </c>
      <c r="E62" s="15" t="str">
        <f>IFERROR(__xludf.DUMMYFUNCTION("VLOOKUP(A62,IMPORTRANGE(""1QZ5UxyNCwadreQAXnQ7oCoH982DjIA-QnZdO7ZoqkC0/edit#gid=884617569"",""S1 Totals!$A$2:$O$255""),3,FALSE)"),"#N/A")</f>
        <v>#N/A</v>
      </c>
      <c r="F62" s="112" t="str">
        <f t="shared" si="1"/>
        <v>#N/A</v>
      </c>
      <c r="G62" s="16" t="str">
        <f>IFERROR(__xludf.DUMMYFUNCTION("VLOOKUP(A62,IMPORTRANGE(""1QZ5UxyNCwadreQAXnQ7oCoH982DjIA-QnZdO7ZoqkC0/edit#gid=884617569"",""S1 Totals!$A$2:$O$255""),4,FALSE)"),"#N/A")</f>
        <v>#N/A</v>
      </c>
      <c r="H62" s="15" t="str">
        <f>IFERROR(__xludf.DUMMYFUNCTION("VLOOKUP(A62,IMPORTRANGE(""1QZ5UxyNCwadreQAXnQ7oCoH982DjIA-QnZdO7ZoqkC0/edit#gid=884617569"",""S1 Totals!$A$2:$O$255""),5,FALSE)"),"#N/A")</f>
        <v>#N/A</v>
      </c>
      <c r="I62" s="108" t="str">
        <f t="shared" si="2"/>
        <v>#N/A</v>
      </c>
      <c r="J62" s="16" t="str">
        <f>IFERROR(__xludf.DUMMYFUNCTION("VLOOKUP(A62,IMPORTRANGE(""1QZ5UxyNCwadreQAXnQ7oCoH982DjIA-QnZdO7ZoqkC0/edit#gid=884617569"",""S1 Totals!$A$2:$O$255""),7,FALSE)"),"#N/A")</f>
        <v>#N/A</v>
      </c>
      <c r="K62" s="15" t="str">
        <f>IFERROR(__xludf.DUMMYFUNCTION("VLOOKUP(A62,IMPORTRANGE(""1QZ5UxyNCwadreQAXnQ7oCoH982DjIA-QnZdO7ZoqkC0/edit#gid=884617569"",""S1 Totals!$A$2:$O$255""),8,FALSE)"),"#N/A")</f>
        <v>#N/A</v>
      </c>
      <c r="L62" s="113" t="str">
        <f t="shared" si="3"/>
        <v>#N/A</v>
      </c>
      <c r="M62" s="16" t="str">
        <f>IFERROR(__xludf.DUMMYFUNCTION("VLOOKUP(A62,IMPORTRANGE(""1QZ5UxyNCwadreQAXnQ7oCoH982DjIA-QnZdO7ZoqkC0/edit#gid=884617569"",""S1 Totals!$A$2:$O$255""),10,FALSE)"),"#N/A")</f>
        <v>#N/A</v>
      </c>
      <c r="N62" s="15" t="str">
        <f>IFERROR(__xludf.DUMMYFUNCTION("VLOOKUP(A62,IMPORTRANGE(""1QZ5UxyNCwadreQAXnQ7oCoH982DjIA-QnZdO7ZoqkC0/edit#gid=884617569"",""S1 Totals!$A$2:$O$256""),11,FALSE)"),"#N/A")</f>
        <v>#N/A</v>
      </c>
      <c r="O62" s="110" t="str">
        <f t="shared" si="13"/>
        <v>#N/A</v>
      </c>
      <c r="P62" s="16" t="str">
        <f>IFERROR(__xludf.DUMMYFUNCTION("VLOOKUP(A62,IMPORTRANGE(""1QZ5UxyNCwadreQAXnQ7oCoH982DjIA-QnZdO7ZoqkC0/edit#gid=884617569"",""S1 Totals!$A$2:$O$256""),13,FALSE)"),"#N/A")</f>
        <v>#N/A</v>
      </c>
      <c r="Q62" s="15" t="str">
        <f>IFERROR(__xludf.DUMMYFUNCTION("VLOOKUP(A62,IMPORTRANGE(""1QZ5UxyNCwadreQAXnQ7oCoH982DjIA-QnZdO7ZoqkC0/edit#gid=884617569"",""S1 Totals!$A$2:$O$256""),14,FALSE)"),"#N/A")</f>
        <v>#N/A</v>
      </c>
      <c r="R62" s="16" t="str">
        <f t="shared" si="5"/>
        <v>#N/A</v>
      </c>
    </row>
    <row r="63">
      <c r="A63" s="107" t="s">
        <v>120</v>
      </c>
      <c r="B63" s="16">
        <f>IFERROR(__xludf.DUMMYFUNCTION("VLOOKUP(A63,IMPORTRANGE(""1aFCnJY1qhIj8-JckJhDJ18aqmVo17tofpQmOjcYa3u8/edit#gid=590920912"",""S1 Totals!$A$2:$O$255""),2,FALSE)"),17.25)</f>
        <v>17.25</v>
      </c>
      <c r="C63" s="15">
        <f>IFERROR(__xludf.DUMMYFUNCTION("VLOOKUP(A63,IMPORTRANGE(""1aFCnJY1qhIj8-JckJhDJ18aqmVo17tofpQmOjcYa3u8/edit#gid=590920912"",""S1 Totals!$A$2:$O$255""),3,FALSE)"),0.5227272727272727)</f>
        <v>0.5227272727</v>
      </c>
      <c r="D63" s="16">
        <f>IFERROR(__xludf.DUMMYFUNCTION("VLOOKUP(A63,IMPORTRANGE(""1QZ5UxyNCwadreQAXnQ7oCoH982DjIA-QnZdO7ZoqkC0/edit#gid=884617569"",""S1 Totals!$A$2:$O$255""),2,FALSE)"),18.5)</f>
        <v>18.5</v>
      </c>
      <c r="E63" s="15">
        <f>IFERROR(__xludf.DUMMYFUNCTION("VLOOKUP(A63,IMPORTRANGE(""1QZ5UxyNCwadreQAXnQ7oCoH982DjIA-QnZdO7ZoqkC0/edit#gid=884617569"",""S1 Totals!$A$2:$O$255""),3,FALSE)"),0.5606060606060606)</f>
        <v>0.5606060606</v>
      </c>
      <c r="F63" s="108">
        <f t="shared" si="1"/>
        <v>-0.03787878788</v>
      </c>
      <c r="G63" s="16">
        <f>IFERROR(__xludf.DUMMYFUNCTION("VLOOKUP(A63,IMPORTRANGE(""1QZ5UxyNCwadreQAXnQ7oCoH982DjIA-QnZdO7ZoqkC0/edit#gid=884617569"",""S1 Totals!$A$2:$O$255""),4,FALSE)"),26.0)</f>
        <v>26</v>
      </c>
      <c r="H63" s="15">
        <f>IFERROR(__xludf.DUMMYFUNCTION("VLOOKUP(A63,IMPORTRANGE(""1QZ5UxyNCwadreQAXnQ7oCoH982DjIA-QnZdO7ZoqkC0/edit#gid=884617569"",""S1 Totals!$A$2:$O$255""),5,FALSE)"),0.5531914893617021)</f>
        <v>0.5531914894</v>
      </c>
      <c r="I63" s="108">
        <f t="shared" si="2"/>
        <v>-0.03046421663</v>
      </c>
      <c r="J63" s="16">
        <f>IFERROR(__xludf.DUMMYFUNCTION("VLOOKUP(A63,IMPORTRANGE(""1QZ5UxyNCwadreQAXnQ7oCoH982DjIA-QnZdO7ZoqkC0/edit#gid=884617569"",""S1 Totals!$A$2:$O$255""),7,FALSE)"),13.5)</f>
        <v>13.5</v>
      </c>
      <c r="K63" s="15">
        <f>IFERROR(__xludf.DUMMYFUNCTION("VLOOKUP(A63,IMPORTRANGE(""1QZ5UxyNCwadreQAXnQ7oCoH982DjIA-QnZdO7ZoqkC0/edit#gid=884617569"",""S1 Totals!$A$2:$O$255""),8,FALSE)"),0.2755102040816326)</f>
        <v>0.2755102041</v>
      </c>
      <c r="L63" s="109">
        <f t="shared" si="3"/>
        <v>0.2850958565</v>
      </c>
      <c r="M63" s="16">
        <f>IFERROR(__xludf.DUMMYFUNCTION("VLOOKUP(A63,IMPORTRANGE(""1QZ5UxyNCwadreQAXnQ7oCoH982DjIA-QnZdO7ZoqkC0/edit#gid=884617569"",""S1 Totals!$A$2:$O$255""),10,FALSE)"),0.0)</f>
        <v>0</v>
      </c>
      <c r="N63" s="15">
        <f>IFERROR(__xludf.DUMMYFUNCTION("VLOOKUP(A63,IMPORTRANGE(""1QZ5UxyNCwadreQAXnQ7oCoH982DjIA-QnZdO7ZoqkC0/edit#gid=884617569"",""S1 Totals!$A$2:$O$256""),11,FALSE)"),0.0)</f>
        <v>0</v>
      </c>
      <c r="O63" s="110">
        <f t="shared" si="13"/>
        <v>0.5227272727</v>
      </c>
      <c r="P63" s="16" t="str">
        <f>IFERROR(__xludf.DUMMYFUNCTION("VLOOKUP(A63,IMPORTRANGE(""1QZ5UxyNCwadreQAXnQ7oCoH982DjIA-QnZdO7ZoqkC0/edit#gid=884617569"",""S1 Totals!$A$2:$O$256""),13,FALSE)"),"")</f>
        <v/>
      </c>
      <c r="Q63" s="15" t="str">
        <f>IFERROR(__xludf.DUMMYFUNCTION("VLOOKUP(A63,IMPORTRANGE(""1QZ5UxyNCwadreQAXnQ7oCoH982DjIA-QnZdO7ZoqkC0/edit#gid=884617569"",""S1 Totals!$A$2:$O$256""),14,FALSE)"),"")</f>
        <v/>
      </c>
      <c r="R63" s="15">
        <f t="shared" si="5"/>
        <v>0.5227272727</v>
      </c>
    </row>
    <row r="64">
      <c r="A64" s="114" t="s">
        <v>121</v>
      </c>
      <c r="B64" s="16">
        <f>IFERROR(__xludf.DUMMYFUNCTION("VLOOKUP(A64,IMPORTRANGE(""1aFCnJY1qhIj8-JckJhDJ18aqmVo17tofpQmOjcYa3u8/edit#gid=590920912"",""S1 Totals!$A$2:$O$255""),2,FALSE)"),20.5)</f>
        <v>20.5</v>
      </c>
      <c r="C64" s="15">
        <f>IFERROR(__xludf.DUMMYFUNCTION("VLOOKUP(A64,IMPORTRANGE(""1aFCnJY1qhIj8-JckJhDJ18aqmVo17tofpQmOjcYa3u8/edit#gid=590920912"",""S1 Totals!$A$2:$O$255""),3,FALSE)"),0.6212121212121212)</f>
        <v>0.6212121212</v>
      </c>
      <c r="D64" s="16">
        <f>IFERROR(__xludf.DUMMYFUNCTION("VLOOKUP(A64,IMPORTRANGE(""1QZ5UxyNCwadreQAXnQ7oCoH982DjIA-QnZdO7ZoqkC0/edit#gid=884617569"",""S1 Totals!$A$2:$O$255""),2,FALSE)"),20.75)</f>
        <v>20.75</v>
      </c>
      <c r="E64" s="15">
        <f>IFERROR(__xludf.DUMMYFUNCTION("VLOOKUP(A64,IMPORTRANGE(""1QZ5UxyNCwadreQAXnQ7oCoH982DjIA-QnZdO7ZoqkC0/edit#gid=884617569"",""S1 Totals!$A$2:$O$255""),3,FALSE)"),0.6287878787878788)</f>
        <v>0.6287878788</v>
      </c>
      <c r="F64" s="108">
        <f t="shared" si="1"/>
        <v>-0.007575757576</v>
      </c>
      <c r="G64" s="16">
        <f>IFERROR(__xludf.DUMMYFUNCTION("VLOOKUP(A64,IMPORTRANGE(""1QZ5UxyNCwadreQAXnQ7oCoH982DjIA-QnZdO7ZoqkC0/edit#gid=884617569"",""S1 Totals!$A$2:$O$255""),4,FALSE)"),26.0)</f>
        <v>26</v>
      </c>
      <c r="H64" s="15">
        <f>IFERROR(__xludf.DUMMYFUNCTION("VLOOKUP(A64,IMPORTRANGE(""1QZ5UxyNCwadreQAXnQ7oCoH982DjIA-QnZdO7ZoqkC0/edit#gid=884617569"",""S1 Totals!$A$2:$O$255""),5,FALSE)"),0.5531914893617021)</f>
        <v>0.5531914894</v>
      </c>
      <c r="I64" s="108">
        <f t="shared" si="2"/>
        <v>0.06802063185</v>
      </c>
      <c r="J64" s="16">
        <f>IFERROR(__xludf.DUMMYFUNCTION("VLOOKUP(A64,IMPORTRANGE(""1QZ5UxyNCwadreQAXnQ7oCoH982DjIA-QnZdO7ZoqkC0/edit#gid=884617569"",""S1 Totals!$A$2:$O$255""),7,FALSE)"),13.0)</f>
        <v>13</v>
      </c>
      <c r="K64" s="15">
        <f>IFERROR(__xludf.DUMMYFUNCTION("VLOOKUP(A64,IMPORTRANGE(""1QZ5UxyNCwadreQAXnQ7oCoH982DjIA-QnZdO7ZoqkC0/edit#gid=884617569"",""S1 Totals!$A$2:$O$255""),8,FALSE)"),0.2653061224489796)</f>
        <v>0.2653061224</v>
      </c>
      <c r="L64" s="109">
        <f t="shared" si="3"/>
        <v>0.3634817563</v>
      </c>
      <c r="M64" s="16">
        <f>IFERROR(__xludf.DUMMYFUNCTION("VLOOKUP(A64,IMPORTRANGE(""1QZ5UxyNCwadreQAXnQ7oCoH982DjIA-QnZdO7ZoqkC0/edit#gid=884617569"",""S1 Totals!$A$2:$O$255""),10,FALSE)"),12.0)</f>
        <v>12</v>
      </c>
      <c r="N64" s="15">
        <f>IFERROR(__xludf.DUMMYFUNCTION("VLOOKUP(A64,IMPORTRANGE(""1QZ5UxyNCwadreQAXnQ7oCoH982DjIA-QnZdO7ZoqkC0/edit#gid=884617569"",""S1 Totals!$A$2:$O$256""),11,FALSE)"),0.25)</f>
        <v>0.25</v>
      </c>
      <c r="O64" s="110">
        <f t="shared" si="13"/>
        <v>0.3712121212</v>
      </c>
      <c r="P64" s="16" t="str">
        <f>IFERROR(__xludf.DUMMYFUNCTION("VLOOKUP(A64,IMPORTRANGE(""1QZ5UxyNCwadreQAXnQ7oCoH982DjIA-QnZdO7ZoqkC0/edit#gid=884617569"",""S1 Totals!$A$2:$O$256""),13,FALSE)"),"")</f>
        <v/>
      </c>
      <c r="Q64" s="15" t="str">
        <f>IFERROR(__xludf.DUMMYFUNCTION("VLOOKUP(A64,IMPORTRANGE(""1QZ5UxyNCwadreQAXnQ7oCoH982DjIA-QnZdO7ZoqkC0/edit#gid=884617569"",""S1 Totals!$A$2:$O$256""),14,FALSE)"),"")</f>
        <v/>
      </c>
      <c r="R64" s="15">
        <f t="shared" si="5"/>
        <v>0.6212121212</v>
      </c>
    </row>
    <row r="65">
      <c r="A65" s="107" t="s">
        <v>122</v>
      </c>
      <c r="B65" s="16">
        <f>IFERROR(__xludf.DUMMYFUNCTION("VLOOKUP(A65,IMPORTRANGE(""1aFCnJY1qhIj8-JckJhDJ18aqmVo17tofpQmOjcYa3u8/edit#gid=590920912"",""S1 Totals!$A$2:$O$255""),2,FALSE)"),12.5)</f>
        <v>12.5</v>
      </c>
      <c r="C65" s="15">
        <f>IFERROR(__xludf.DUMMYFUNCTION("VLOOKUP(A65,IMPORTRANGE(""1aFCnJY1qhIj8-JckJhDJ18aqmVo17tofpQmOjcYa3u8/edit#gid=590920912"",""S1 Totals!$A$2:$O$255""),3,FALSE)"),0.3787878787878788)</f>
        <v>0.3787878788</v>
      </c>
      <c r="D65" s="16">
        <f>IFERROR(__xludf.DUMMYFUNCTION("VLOOKUP(A65,IMPORTRANGE(""1QZ5UxyNCwadreQAXnQ7oCoH982DjIA-QnZdO7ZoqkC0/edit#gid=884617569"",""S1 Totals!$A$2:$O$255""),2,FALSE)"),14.0)</f>
        <v>14</v>
      </c>
      <c r="E65" s="15">
        <f>IFERROR(__xludf.DUMMYFUNCTION("VLOOKUP(A65,IMPORTRANGE(""1QZ5UxyNCwadreQAXnQ7oCoH982DjIA-QnZdO7ZoqkC0/edit#gid=884617569"",""S1 Totals!$A$2:$O$255""),3,FALSE)"),0.42424242424242425)</f>
        <v>0.4242424242</v>
      </c>
      <c r="F65" s="108">
        <f t="shared" si="1"/>
        <v>-0.04545454545</v>
      </c>
      <c r="G65" s="16">
        <f>IFERROR(__xludf.DUMMYFUNCTION("VLOOKUP(A65,IMPORTRANGE(""1QZ5UxyNCwadreQAXnQ7oCoH982DjIA-QnZdO7ZoqkC0/edit#gid=884617569"",""S1 Totals!$A$2:$O$255""),4,FALSE)"),18.5)</f>
        <v>18.5</v>
      </c>
      <c r="H65" s="15">
        <f>IFERROR(__xludf.DUMMYFUNCTION("VLOOKUP(A65,IMPORTRANGE(""1QZ5UxyNCwadreQAXnQ7oCoH982DjIA-QnZdO7ZoqkC0/edit#gid=884617569"",""S1 Totals!$A$2:$O$255""),5,FALSE)"),0.39361702127659576)</f>
        <v>0.3936170213</v>
      </c>
      <c r="I65" s="108">
        <f t="shared" si="2"/>
        <v>-0.01482914249</v>
      </c>
      <c r="J65" s="16">
        <f>IFERROR(__xludf.DUMMYFUNCTION("VLOOKUP(A65,IMPORTRANGE(""1QZ5UxyNCwadreQAXnQ7oCoH982DjIA-QnZdO7ZoqkC0/edit#gid=884617569"",""S1 Totals!$A$2:$O$255""),7,FALSE)"),18.5)</f>
        <v>18.5</v>
      </c>
      <c r="K65" s="15">
        <f>IFERROR(__xludf.DUMMYFUNCTION("VLOOKUP(A65,IMPORTRANGE(""1QZ5UxyNCwadreQAXnQ7oCoH982DjIA-QnZdO7ZoqkC0/edit#gid=884617569"",""S1 Totals!$A$2:$O$255""),8,FALSE)"),0.37755102040816324)</f>
        <v>0.3775510204</v>
      </c>
      <c r="L65" s="109">
        <f t="shared" si="3"/>
        <v>0.04669140383</v>
      </c>
      <c r="M65" s="16">
        <f>IFERROR(__xludf.DUMMYFUNCTION("VLOOKUP(A65,IMPORTRANGE(""1QZ5UxyNCwadreQAXnQ7oCoH982DjIA-QnZdO7ZoqkC0/edit#gid=884617569"",""S1 Totals!$A$2:$O$255""),10,FALSE)"),4.0)</f>
        <v>4</v>
      </c>
      <c r="N65" s="15">
        <f>IFERROR(__xludf.DUMMYFUNCTION("VLOOKUP(A65,IMPORTRANGE(""1QZ5UxyNCwadreQAXnQ7oCoH982DjIA-QnZdO7ZoqkC0/edit#gid=884617569"",""S1 Totals!$A$2:$O$256""),11,FALSE)"),0.08333333333333333)</f>
        <v>0.08333333333</v>
      </c>
      <c r="O65" s="110">
        <f t="shared" si="13"/>
        <v>0.2954545455</v>
      </c>
      <c r="P65" s="16" t="str">
        <f>IFERROR(__xludf.DUMMYFUNCTION("VLOOKUP(A65,IMPORTRANGE(""1QZ5UxyNCwadreQAXnQ7oCoH982DjIA-QnZdO7ZoqkC0/edit#gid=884617569"",""S1 Totals!$A$2:$O$256""),13,FALSE)"),"")</f>
        <v/>
      </c>
      <c r="Q65" s="15" t="str">
        <f>IFERROR(__xludf.DUMMYFUNCTION("VLOOKUP(A65,IMPORTRANGE(""1QZ5UxyNCwadreQAXnQ7oCoH982DjIA-QnZdO7ZoqkC0/edit#gid=884617569"",""S1 Totals!$A$2:$O$256""),14,FALSE)"),"")</f>
        <v/>
      </c>
      <c r="R65" s="15">
        <f t="shared" si="5"/>
        <v>0.3787878788</v>
      </c>
    </row>
    <row r="66">
      <c r="A66" s="116" t="s">
        <v>45</v>
      </c>
      <c r="B66" s="16">
        <f>IFERROR(__xludf.DUMMYFUNCTION("VLOOKUP(A66,IMPORTRANGE(""1aFCnJY1qhIj8-JckJhDJ18aqmVo17tofpQmOjcYa3u8/edit#gid=590920912"",""S1 Totals!$A$2:$O$255""),2,FALSE)"),6.0)</f>
        <v>6</v>
      </c>
      <c r="C66" s="15">
        <f>IFERROR(__xludf.DUMMYFUNCTION("VLOOKUP(A66,IMPORTRANGE(""1aFCnJY1qhIj8-JckJhDJ18aqmVo17tofpQmOjcYa3u8/edit#gid=590920912"",""S1 Totals!$A$2:$O$255""),3,FALSE)"),0.18181818181818182)</f>
        <v>0.1818181818</v>
      </c>
      <c r="D66" s="16">
        <f>IFERROR(__xludf.DUMMYFUNCTION("VLOOKUP(A66,IMPORTRANGE(""1QZ5UxyNCwadreQAXnQ7oCoH982DjIA-QnZdO7ZoqkC0/edit#gid=884617569"",""S1 Totals!$A$2:$O$255""),2,FALSE)"),6.25)</f>
        <v>6.25</v>
      </c>
      <c r="E66" s="15">
        <f>IFERROR(__xludf.DUMMYFUNCTION("VLOOKUP(A66,IMPORTRANGE(""1QZ5UxyNCwadreQAXnQ7oCoH982DjIA-QnZdO7ZoqkC0/edit#gid=884617569"",""S1 Totals!$A$2:$O$255""),3,FALSE)"),0.1893939393939394)</f>
        <v>0.1893939394</v>
      </c>
      <c r="F66" s="108">
        <f t="shared" si="1"/>
        <v>-0.007575757576</v>
      </c>
      <c r="G66" s="16">
        <f>IFERROR(__xludf.DUMMYFUNCTION("VLOOKUP(A66,IMPORTRANGE(""1QZ5UxyNCwadreQAXnQ7oCoH982DjIA-QnZdO7ZoqkC0/edit#gid=884617569"",""S1 Totals!$A$2:$O$255""),4,FALSE)"),13.0)</f>
        <v>13</v>
      </c>
      <c r="H66" s="15">
        <f>IFERROR(__xludf.DUMMYFUNCTION("VLOOKUP(A66,IMPORTRANGE(""1QZ5UxyNCwadreQAXnQ7oCoH982DjIA-QnZdO7ZoqkC0/edit#gid=884617569"",""S1 Totals!$A$2:$O$255""),5,FALSE)"),0.2765957446808511)</f>
        <v>0.2765957447</v>
      </c>
      <c r="I66" s="108">
        <f t="shared" si="2"/>
        <v>-0.09477756286</v>
      </c>
      <c r="J66" s="16">
        <f>IFERROR(__xludf.DUMMYFUNCTION("VLOOKUP(A66,IMPORTRANGE(""1QZ5UxyNCwadreQAXnQ7oCoH982DjIA-QnZdO7ZoqkC0/edit#gid=884617569"",""S1 Totals!$A$2:$O$255""),7,FALSE)"),8.5)</f>
        <v>8.5</v>
      </c>
      <c r="K66" s="15">
        <f>IFERROR(__xludf.DUMMYFUNCTION("VLOOKUP(A66,IMPORTRANGE(""1QZ5UxyNCwadreQAXnQ7oCoH982DjIA-QnZdO7ZoqkC0/edit#gid=884617569"",""S1 Totals!$A$2:$O$255""),8,FALSE)"),0.17346938775510204)</f>
        <v>0.1734693878</v>
      </c>
      <c r="L66" s="109">
        <f t="shared" si="3"/>
        <v>0.01592455164</v>
      </c>
      <c r="M66" s="16">
        <f>IFERROR(__xludf.DUMMYFUNCTION("VLOOKUP(A66,IMPORTRANGE(""1QZ5UxyNCwadreQAXnQ7oCoH982DjIA-QnZdO7ZoqkC0/edit#gid=884617569"",""S1 Totals!$A$2:$O$255""),10,FALSE)"),7.5)</f>
        <v>7.5</v>
      </c>
      <c r="N66" s="15">
        <f>IFERROR(__xludf.DUMMYFUNCTION("VLOOKUP(A66,IMPORTRANGE(""1QZ5UxyNCwadreQAXnQ7oCoH982DjIA-QnZdO7ZoqkC0/edit#gid=884617569"",""S1 Totals!$A$2:$O$256""),11,FALSE)"),0.15625)</f>
        <v>0.15625</v>
      </c>
      <c r="O66" s="110">
        <f t="shared" si="13"/>
        <v>0.02556818182</v>
      </c>
      <c r="P66" s="16">
        <f>IFERROR(__xludf.DUMMYFUNCTION("VLOOKUP(A66,IMPORTRANGE(""1QZ5UxyNCwadreQAXnQ7oCoH982DjIA-QnZdO7ZoqkC0/edit#gid=884617569"",""S1 Totals!$A$2:$O$256""),13,FALSE)"),8.0)</f>
        <v>8</v>
      </c>
      <c r="Q66" s="15">
        <f>IFERROR(__xludf.DUMMYFUNCTION("VLOOKUP(A66,IMPORTRANGE(""1QZ5UxyNCwadreQAXnQ7oCoH982DjIA-QnZdO7ZoqkC0/edit#gid=884617569"",""S1 Totals!$A$2:$O$256""),14,FALSE)"),0.16)</f>
        <v>0.16</v>
      </c>
      <c r="R66" s="15">
        <f t="shared" si="5"/>
        <v>0.02181818182</v>
      </c>
    </row>
    <row r="67">
      <c r="A67" s="107" t="s">
        <v>46</v>
      </c>
      <c r="B67" s="16">
        <f>IFERROR(__xludf.DUMMYFUNCTION("VLOOKUP(A67,IMPORTRANGE(""1aFCnJY1qhIj8-JckJhDJ18aqmVo17tofpQmOjcYa3u8/edit#gid=590920912"",""S1 Totals!$A$2:$O$255""),2,FALSE)"),23.25)</f>
        <v>23.25</v>
      </c>
      <c r="C67" s="15">
        <f>IFERROR(__xludf.DUMMYFUNCTION("VLOOKUP(A67,IMPORTRANGE(""1aFCnJY1qhIj8-JckJhDJ18aqmVo17tofpQmOjcYa3u8/edit#gid=590920912"",""S1 Totals!$A$2:$O$255""),3,FALSE)"),0.7045454545454546)</f>
        <v>0.7045454545</v>
      </c>
      <c r="D67" s="16">
        <f>IFERROR(__xludf.DUMMYFUNCTION("VLOOKUP(A67,IMPORTRANGE(""1QZ5UxyNCwadreQAXnQ7oCoH982DjIA-QnZdO7ZoqkC0/edit#gid=884617569"",""S1 Totals!$A$2:$O$255""),2,FALSE)"),26.5)</f>
        <v>26.5</v>
      </c>
      <c r="E67" s="15">
        <f>IFERROR(__xludf.DUMMYFUNCTION("VLOOKUP(A67,IMPORTRANGE(""1QZ5UxyNCwadreQAXnQ7oCoH982DjIA-QnZdO7ZoqkC0/edit#gid=884617569"",""S1 Totals!$A$2:$O$255""),3,FALSE)"),0.803030303030303)</f>
        <v>0.803030303</v>
      </c>
      <c r="F67" s="108">
        <f t="shared" si="1"/>
        <v>-0.09848484848</v>
      </c>
      <c r="G67" s="16">
        <f>IFERROR(__xludf.DUMMYFUNCTION("VLOOKUP(A67,IMPORTRANGE(""1QZ5UxyNCwadreQAXnQ7oCoH982DjIA-QnZdO7ZoqkC0/edit#gid=884617569"",""S1 Totals!$A$2:$O$255""),4,FALSE)"),37.0)</f>
        <v>37</v>
      </c>
      <c r="H67" s="15">
        <f>IFERROR(__xludf.DUMMYFUNCTION("VLOOKUP(A67,IMPORTRANGE(""1QZ5UxyNCwadreQAXnQ7oCoH982DjIA-QnZdO7ZoqkC0/edit#gid=884617569"",""S1 Totals!$A$2:$O$255""),5,FALSE)"),0.7872340425531915)</f>
        <v>0.7872340426</v>
      </c>
      <c r="I67" s="108">
        <f t="shared" si="2"/>
        <v>-0.08268858801</v>
      </c>
      <c r="J67" s="16">
        <f>IFERROR(__xludf.DUMMYFUNCTION("VLOOKUP(A67,IMPORTRANGE(""1QZ5UxyNCwadreQAXnQ7oCoH982DjIA-QnZdO7ZoqkC0/edit#gid=884617569"",""S1 Totals!$A$2:$O$255""),7,FALSE)"),34.0)</f>
        <v>34</v>
      </c>
      <c r="K67" s="15">
        <f>IFERROR(__xludf.DUMMYFUNCTION("VLOOKUP(A67,IMPORTRANGE(""1QZ5UxyNCwadreQAXnQ7oCoH982DjIA-QnZdO7ZoqkC0/edit#gid=884617569"",""S1 Totals!$A$2:$O$255""),8,FALSE)"),0.6938775510204082)</f>
        <v>0.693877551</v>
      </c>
      <c r="L67" s="109">
        <f t="shared" si="3"/>
        <v>0.109152752</v>
      </c>
      <c r="M67" s="16">
        <f>IFERROR(__xludf.DUMMYFUNCTION("VLOOKUP(A67,IMPORTRANGE(""1QZ5UxyNCwadreQAXnQ7oCoH982DjIA-QnZdO7ZoqkC0/edit#gid=884617569"",""S1 Totals!$A$2:$O$255""),10,FALSE)"),0.0)</f>
        <v>0</v>
      </c>
      <c r="N67" s="15">
        <f>IFERROR(__xludf.DUMMYFUNCTION("VLOOKUP(A67,IMPORTRANGE(""1QZ5UxyNCwadreQAXnQ7oCoH982DjIA-QnZdO7ZoqkC0/edit#gid=884617569"",""S1 Totals!$A$2:$O$256""),11,FALSE)"),0.0)</f>
        <v>0</v>
      </c>
      <c r="O67" s="110">
        <f t="shared" si="13"/>
        <v>0.7045454545</v>
      </c>
      <c r="P67" s="16">
        <f>IFERROR(__xludf.DUMMYFUNCTION("VLOOKUP(A67,IMPORTRANGE(""1QZ5UxyNCwadreQAXnQ7oCoH982DjIA-QnZdO7ZoqkC0/edit#gid=884617569"",""S1 Totals!$A$2:$O$256""),13,FALSE)"),0.0)</f>
        <v>0</v>
      </c>
      <c r="Q67" s="15">
        <f>IFERROR(__xludf.DUMMYFUNCTION("VLOOKUP(A67,IMPORTRANGE(""1QZ5UxyNCwadreQAXnQ7oCoH982DjIA-QnZdO7ZoqkC0/edit#gid=884617569"",""S1 Totals!$A$2:$O$256""),14,FALSE)"),0.0)</f>
        <v>0</v>
      </c>
      <c r="R67" s="15">
        <f t="shared" si="5"/>
        <v>0.7045454545</v>
      </c>
    </row>
    <row r="68">
      <c r="A68" s="107" t="s">
        <v>224</v>
      </c>
      <c r="B68" s="16">
        <f>IFERROR(__xludf.DUMMYFUNCTION("VLOOKUP(A68,IMPORTRANGE(""1aFCnJY1qhIj8-JckJhDJ18aqmVo17tofpQmOjcYa3u8/edit#gid=590920912"",""S1 Totals!$A$2:$O$255""),2,FALSE)"),13.25)</f>
        <v>13.25</v>
      </c>
      <c r="C68" s="15">
        <f>IFERROR(__xludf.DUMMYFUNCTION("VLOOKUP(A68,IMPORTRANGE(""1aFCnJY1qhIj8-JckJhDJ18aqmVo17tofpQmOjcYa3u8/edit#gid=590920912"",""S1 Totals!$A$2:$O$255""),3,FALSE)"),0.4015151515151515)</f>
        <v>0.4015151515</v>
      </c>
      <c r="D68" s="16">
        <f>IFERROR(__xludf.DUMMYFUNCTION("VLOOKUP(A68,IMPORTRANGE(""1QZ5UxyNCwadreQAXnQ7oCoH982DjIA-QnZdO7ZoqkC0/edit#gid=884617569"",""S1 Totals!$A$2:$O$255""),2,FALSE)"),16.25)</f>
        <v>16.25</v>
      </c>
      <c r="E68" s="15">
        <f>IFERROR(__xludf.DUMMYFUNCTION("VLOOKUP(A68,IMPORTRANGE(""1QZ5UxyNCwadreQAXnQ7oCoH982DjIA-QnZdO7ZoqkC0/edit#gid=884617569"",""S1 Totals!$A$2:$O$255""),3,FALSE)"),0.49242424242424243)</f>
        <v>0.4924242424</v>
      </c>
      <c r="F68" s="108">
        <f t="shared" si="1"/>
        <v>-0.09090909091</v>
      </c>
      <c r="G68" s="16">
        <f>IFERROR(__xludf.DUMMYFUNCTION("VLOOKUP(A68,IMPORTRANGE(""1QZ5UxyNCwadreQAXnQ7oCoH982DjIA-QnZdO7ZoqkC0/edit#gid=884617569"",""S1 Totals!$A$2:$O$255""),4,FALSE)"),24.0)</f>
        <v>24</v>
      </c>
      <c r="H68" s="15">
        <f>IFERROR(__xludf.DUMMYFUNCTION("VLOOKUP(A68,IMPORTRANGE(""1QZ5UxyNCwadreQAXnQ7oCoH982DjIA-QnZdO7ZoqkC0/edit#gid=884617569"",""S1 Totals!$A$2:$O$255""),5,FALSE)"),0.5106382978723404)</f>
        <v>0.5106382979</v>
      </c>
      <c r="I68" s="108">
        <f t="shared" si="2"/>
        <v>-0.1091231464</v>
      </c>
      <c r="J68" s="16" t="str">
        <f>IFERROR(__xludf.DUMMYFUNCTION("VLOOKUP(A68,IMPORTRANGE(""1QZ5UxyNCwadreQAXnQ7oCoH982DjIA-QnZdO7ZoqkC0/edit#gid=884617569"",""S1 Totals!$A$2:$O$255""),7,FALSE)"),"")</f>
        <v/>
      </c>
      <c r="K68" s="15" t="str">
        <f>IFERROR(__xludf.DUMMYFUNCTION("VLOOKUP(A68,IMPORTRANGE(""1QZ5UxyNCwadreQAXnQ7oCoH982DjIA-QnZdO7ZoqkC0/edit#gid=884617569"",""S1 Totals!$A$2:$O$255""),8,FALSE)"),"")</f>
        <v/>
      </c>
      <c r="L68" s="109">
        <f t="shared" si="3"/>
        <v>0.4924242424</v>
      </c>
      <c r="M68" s="16" t="str">
        <f>IFERROR(__xludf.DUMMYFUNCTION("VLOOKUP(A68,IMPORTRANGE(""1QZ5UxyNCwadreQAXnQ7oCoH982DjIA-QnZdO7ZoqkC0/edit#gid=884617569"",""S1 Totals!$A$2:$O$255""),10,FALSE)"),"")</f>
        <v/>
      </c>
      <c r="N68" s="15" t="str">
        <f>IFERROR(__xludf.DUMMYFUNCTION("VLOOKUP(A68,IMPORTRANGE(""1QZ5UxyNCwadreQAXnQ7oCoH982DjIA-QnZdO7ZoqkC0/edit#gid=884617569"",""S1 Totals!$A$2:$O$256""),11,FALSE)"),"")</f>
        <v/>
      </c>
      <c r="O68" s="110"/>
      <c r="P68" s="16" t="str">
        <f>IFERROR(__xludf.DUMMYFUNCTION("VLOOKUP(A68,IMPORTRANGE(""1QZ5UxyNCwadreQAXnQ7oCoH982DjIA-QnZdO7ZoqkC0/edit#gid=884617569"",""S1 Totals!$A$2:$O$256""),13,FALSE)"),"")</f>
        <v/>
      </c>
      <c r="Q68" s="15" t="str">
        <f>IFERROR(__xludf.DUMMYFUNCTION("VLOOKUP(A68,IMPORTRANGE(""1QZ5UxyNCwadreQAXnQ7oCoH982DjIA-QnZdO7ZoqkC0/edit#gid=884617569"",""S1 Totals!$A$2:$O$256""),14,FALSE)"),"")</f>
        <v/>
      </c>
      <c r="R68" s="15">
        <f t="shared" si="5"/>
        <v>0.4015151515</v>
      </c>
    </row>
    <row r="69">
      <c r="A69" s="107" t="s">
        <v>225</v>
      </c>
      <c r="B69" s="16">
        <f>IFERROR(__xludf.DUMMYFUNCTION("VLOOKUP(A69,IMPORTRANGE(""1aFCnJY1qhIj8-JckJhDJ18aqmVo17tofpQmOjcYa3u8/edit#gid=590920912"",""S1 Totals!$A$2:$O$255""),2,FALSE)"),2.5)</f>
        <v>2.5</v>
      </c>
      <c r="C69" s="15">
        <f>IFERROR(__xludf.DUMMYFUNCTION("VLOOKUP(A69,IMPORTRANGE(""1aFCnJY1qhIj8-JckJhDJ18aqmVo17tofpQmOjcYa3u8/edit#gid=590920912"",""S1 Totals!$A$2:$O$255""),3,FALSE)"),0.07575757575757576)</f>
        <v>0.07575757576</v>
      </c>
      <c r="D69" s="16">
        <f>IFERROR(__xludf.DUMMYFUNCTION("VLOOKUP(A69,IMPORTRANGE(""1QZ5UxyNCwadreQAXnQ7oCoH982DjIA-QnZdO7ZoqkC0/edit#gid=884617569"",""S1 Totals!$A$2:$O$255""),2,FALSE)"),2.5)</f>
        <v>2.5</v>
      </c>
      <c r="E69" s="15">
        <f>IFERROR(__xludf.DUMMYFUNCTION("VLOOKUP(A69,IMPORTRANGE(""1QZ5UxyNCwadreQAXnQ7oCoH982DjIA-QnZdO7ZoqkC0/edit#gid=884617569"",""S1 Totals!$A$2:$O$255""),3,FALSE)"),0.07575757575757576)</f>
        <v>0.07575757576</v>
      </c>
      <c r="F69" s="108">
        <f t="shared" si="1"/>
        <v>0</v>
      </c>
      <c r="G69" s="16">
        <f>IFERROR(__xludf.DUMMYFUNCTION("VLOOKUP(A69,IMPORTRANGE(""1QZ5UxyNCwadreQAXnQ7oCoH982DjIA-QnZdO7ZoqkC0/edit#gid=884617569"",""S1 Totals!$A$2:$O$255""),4,FALSE)"),4.0)</f>
        <v>4</v>
      </c>
      <c r="H69" s="15">
        <f>IFERROR(__xludf.DUMMYFUNCTION("VLOOKUP(A69,IMPORTRANGE(""1QZ5UxyNCwadreQAXnQ7oCoH982DjIA-QnZdO7ZoqkC0/edit#gid=884617569"",""S1 Totals!$A$2:$O$255""),5,FALSE)"),0.0851063829787234)</f>
        <v>0.08510638298</v>
      </c>
      <c r="I69" s="108">
        <f t="shared" si="2"/>
        <v>-0.009348807221</v>
      </c>
      <c r="J69" s="16" t="str">
        <f>IFERROR(__xludf.DUMMYFUNCTION("VLOOKUP(A69,IMPORTRANGE(""1QZ5UxyNCwadreQAXnQ7oCoH982DjIA-QnZdO7ZoqkC0/edit#gid=884617569"",""S1 Totals!$A$2:$O$255""),7,FALSE)"),"")</f>
        <v/>
      </c>
      <c r="K69" s="15" t="str">
        <f>IFERROR(__xludf.DUMMYFUNCTION("VLOOKUP(A69,IMPORTRANGE(""1QZ5UxyNCwadreQAXnQ7oCoH982DjIA-QnZdO7ZoqkC0/edit#gid=884617569"",""S1 Totals!$A$2:$O$255""),8,FALSE)"),"")</f>
        <v/>
      </c>
      <c r="L69" s="109">
        <f t="shared" si="3"/>
        <v>0.07575757576</v>
      </c>
      <c r="M69" s="16" t="str">
        <f>IFERROR(__xludf.DUMMYFUNCTION("VLOOKUP(A69,IMPORTRANGE(""1QZ5UxyNCwadreQAXnQ7oCoH982DjIA-QnZdO7ZoqkC0/edit#gid=884617569"",""S1 Totals!$A$2:$O$255""),10,FALSE)"),"")</f>
        <v/>
      </c>
      <c r="N69" s="15" t="str">
        <f>IFERROR(__xludf.DUMMYFUNCTION("VLOOKUP(A69,IMPORTRANGE(""1QZ5UxyNCwadreQAXnQ7oCoH982DjIA-QnZdO7ZoqkC0/edit#gid=884617569"",""S1 Totals!$A$2:$O$256""),11,FALSE)"),"")</f>
        <v/>
      </c>
      <c r="O69" s="110"/>
      <c r="P69" s="16" t="str">
        <f>IFERROR(__xludf.DUMMYFUNCTION("VLOOKUP(A69,IMPORTRANGE(""1QZ5UxyNCwadreQAXnQ7oCoH982DjIA-QnZdO7ZoqkC0/edit#gid=884617569"",""S1 Totals!$A$2:$O$256""),13,FALSE)"),"")</f>
        <v/>
      </c>
      <c r="Q69" s="15" t="str">
        <f>IFERROR(__xludf.DUMMYFUNCTION("VLOOKUP(A69,IMPORTRANGE(""1QZ5UxyNCwadreQAXnQ7oCoH982DjIA-QnZdO7ZoqkC0/edit#gid=884617569"",""S1 Totals!$A$2:$O$256""),14,FALSE)"),"")</f>
        <v/>
      </c>
      <c r="R69" s="15">
        <f t="shared" si="5"/>
        <v>0.07575757576</v>
      </c>
    </row>
    <row r="70">
      <c r="A70" s="107" t="s">
        <v>123</v>
      </c>
      <c r="B70" s="16">
        <f>IFERROR(__xludf.DUMMYFUNCTION("VLOOKUP(A70,IMPORTRANGE(""1aFCnJY1qhIj8-JckJhDJ18aqmVo17tofpQmOjcYa3u8/edit#gid=590920912"",""S1 Totals!$A$2:$O$255""),2,FALSE)"),2.25)</f>
        <v>2.25</v>
      </c>
      <c r="C70" s="15">
        <f>IFERROR(__xludf.DUMMYFUNCTION("VLOOKUP(A70,IMPORTRANGE(""1aFCnJY1qhIj8-JckJhDJ18aqmVo17tofpQmOjcYa3u8/edit#gid=590920912"",""S1 Totals!$A$2:$O$255""),3,FALSE)"),0.06818181818181818)</f>
        <v>0.06818181818</v>
      </c>
      <c r="D70" s="16">
        <f>IFERROR(__xludf.DUMMYFUNCTION("VLOOKUP(A70,IMPORTRANGE(""1QZ5UxyNCwadreQAXnQ7oCoH982DjIA-QnZdO7ZoqkC0/edit#gid=884617569"",""S1 Totals!$A$2:$O$255""),2,FALSE)"),4.0)</f>
        <v>4</v>
      </c>
      <c r="E70" s="15">
        <f>IFERROR(__xludf.DUMMYFUNCTION("VLOOKUP(A70,IMPORTRANGE(""1QZ5UxyNCwadreQAXnQ7oCoH982DjIA-QnZdO7ZoqkC0/edit#gid=884617569"",""S1 Totals!$A$2:$O$255""),3,FALSE)"),0.12121212121212122)</f>
        <v>0.1212121212</v>
      </c>
      <c r="F70" s="108">
        <f t="shared" si="1"/>
        <v>-0.05303030303</v>
      </c>
      <c r="G70" s="16">
        <f>IFERROR(__xludf.DUMMYFUNCTION("VLOOKUP(A70,IMPORTRANGE(""1QZ5UxyNCwadreQAXnQ7oCoH982DjIA-QnZdO7ZoqkC0/edit#gid=884617569"",""S1 Totals!$A$2:$O$255""),4,FALSE)"),8.5)</f>
        <v>8.5</v>
      </c>
      <c r="H70" s="15">
        <f>IFERROR(__xludf.DUMMYFUNCTION("VLOOKUP(A70,IMPORTRANGE(""1QZ5UxyNCwadreQAXnQ7oCoH982DjIA-QnZdO7ZoqkC0/edit#gid=884617569"",""S1 Totals!$A$2:$O$255""),5,FALSE)"),0.18085106382978725)</f>
        <v>0.1808510638</v>
      </c>
      <c r="I70" s="108">
        <f t="shared" si="2"/>
        <v>-0.1126692456</v>
      </c>
      <c r="J70" s="16">
        <f>IFERROR(__xludf.DUMMYFUNCTION("VLOOKUP(A70,IMPORTRANGE(""1QZ5UxyNCwadreQAXnQ7oCoH982DjIA-QnZdO7ZoqkC0/edit#gid=884617569"",""S1 Totals!$A$2:$O$255""),7,FALSE)"),8.5)</f>
        <v>8.5</v>
      </c>
      <c r="K70" s="15">
        <f>IFERROR(__xludf.DUMMYFUNCTION("VLOOKUP(A70,IMPORTRANGE(""1QZ5UxyNCwadreQAXnQ7oCoH982DjIA-QnZdO7ZoqkC0/edit#gid=884617569"",""S1 Totals!$A$2:$O$255""),8,FALSE)"),0.17346938775510204)</f>
        <v>0.1734693878</v>
      </c>
      <c r="L70" s="109">
        <f t="shared" si="3"/>
        <v>-0.05225726654</v>
      </c>
      <c r="M70" s="16">
        <f>IFERROR(__xludf.DUMMYFUNCTION("VLOOKUP(A70,IMPORTRANGE(""1QZ5UxyNCwadreQAXnQ7oCoH982DjIA-QnZdO7ZoqkC0/edit#gid=884617569"",""S1 Totals!$A$2:$O$255""),10,FALSE)"),3.0)</f>
        <v>3</v>
      </c>
      <c r="N70" s="15">
        <f>IFERROR(__xludf.DUMMYFUNCTION("VLOOKUP(A70,IMPORTRANGE(""1QZ5UxyNCwadreQAXnQ7oCoH982DjIA-QnZdO7ZoqkC0/edit#gid=884617569"",""S1 Totals!$A$2:$O$256""),11,FALSE)"),0.0625)</f>
        <v>0.0625</v>
      </c>
      <c r="O70" s="110">
        <f>C70-N70</f>
        <v>0.005681818182</v>
      </c>
      <c r="P70" s="16" t="str">
        <f>IFERROR(__xludf.DUMMYFUNCTION("VLOOKUP(A70,IMPORTRANGE(""1QZ5UxyNCwadreQAXnQ7oCoH982DjIA-QnZdO7ZoqkC0/edit#gid=884617569"",""S1 Totals!$A$2:$O$256""),13,FALSE)"),"")</f>
        <v/>
      </c>
      <c r="Q70" s="15" t="str">
        <f>IFERROR(__xludf.DUMMYFUNCTION("VLOOKUP(A70,IMPORTRANGE(""1QZ5UxyNCwadreQAXnQ7oCoH982DjIA-QnZdO7ZoqkC0/edit#gid=884617569"",""S1 Totals!$A$2:$O$256""),14,FALSE)"),"")</f>
        <v/>
      </c>
      <c r="R70" s="15">
        <f t="shared" si="5"/>
        <v>0.06818181818</v>
      </c>
    </row>
    <row r="71">
      <c r="A71" s="107" t="s">
        <v>226</v>
      </c>
      <c r="B71" s="16">
        <f>IFERROR(__xludf.DUMMYFUNCTION("VLOOKUP(A71,IMPORTRANGE(""1aFCnJY1qhIj8-JckJhDJ18aqmVo17tofpQmOjcYa3u8/edit#gid=590920912"",""S1 Totals!$A$2:$O$255""),2,FALSE)"),19.75)</f>
        <v>19.75</v>
      </c>
      <c r="C71" s="15">
        <f>IFERROR(__xludf.DUMMYFUNCTION("VLOOKUP(A71,IMPORTRANGE(""1aFCnJY1qhIj8-JckJhDJ18aqmVo17tofpQmOjcYa3u8/edit#gid=590920912"",""S1 Totals!$A$2:$O$255""),3,FALSE)"),0.5984848484848485)</f>
        <v>0.5984848485</v>
      </c>
      <c r="D71" s="16">
        <f>IFERROR(__xludf.DUMMYFUNCTION("VLOOKUP(A71,IMPORTRANGE(""1QZ5UxyNCwadreQAXnQ7oCoH982DjIA-QnZdO7ZoqkC0/edit#gid=884617569"",""S1 Totals!$A$2:$O$255""),2,FALSE)"),16.25)</f>
        <v>16.25</v>
      </c>
      <c r="E71" s="15">
        <f>IFERROR(__xludf.DUMMYFUNCTION("VLOOKUP(A71,IMPORTRANGE(""1QZ5UxyNCwadreQAXnQ7oCoH982DjIA-QnZdO7ZoqkC0/edit#gid=884617569"",""S1 Totals!$A$2:$O$255""),3,FALSE)"),0.49242424242424243)</f>
        <v>0.4924242424</v>
      </c>
      <c r="F71" s="108">
        <f t="shared" si="1"/>
        <v>0.1060606061</v>
      </c>
      <c r="G71" s="16">
        <f>IFERROR(__xludf.DUMMYFUNCTION("VLOOKUP(A71,IMPORTRANGE(""1QZ5UxyNCwadreQAXnQ7oCoH982DjIA-QnZdO7ZoqkC0/edit#gid=884617569"",""S1 Totals!$A$2:$O$255""),4,FALSE)"),16.0)</f>
        <v>16</v>
      </c>
      <c r="H71" s="15">
        <f>IFERROR(__xludf.DUMMYFUNCTION("VLOOKUP(A71,IMPORTRANGE(""1QZ5UxyNCwadreQAXnQ7oCoH982DjIA-QnZdO7ZoqkC0/edit#gid=884617569"",""S1 Totals!$A$2:$O$255""),5,FALSE)"),0.3404255319148936)</f>
        <v>0.3404255319</v>
      </c>
      <c r="I71" s="108">
        <f t="shared" si="2"/>
        <v>0.2580593166</v>
      </c>
      <c r="J71" s="16" t="str">
        <f>IFERROR(__xludf.DUMMYFUNCTION("VLOOKUP(A71,IMPORTRANGE(""1QZ5UxyNCwadreQAXnQ7oCoH982DjIA-QnZdO7ZoqkC0/edit#gid=884617569"",""S1 Totals!$A$2:$O$255""),7,FALSE)"),"")</f>
        <v/>
      </c>
      <c r="K71" s="15" t="str">
        <f>IFERROR(__xludf.DUMMYFUNCTION("VLOOKUP(A71,IMPORTRANGE(""1QZ5UxyNCwadreQAXnQ7oCoH982DjIA-QnZdO7ZoqkC0/edit#gid=884617569"",""S1 Totals!$A$2:$O$255""),8,FALSE)"),"")</f>
        <v/>
      </c>
      <c r="L71" s="109">
        <f t="shared" si="3"/>
        <v>0.4924242424</v>
      </c>
      <c r="M71" s="16" t="str">
        <f>IFERROR(__xludf.DUMMYFUNCTION("VLOOKUP(A71,IMPORTRANGE(""1QZ5UxyNCwadreQAXnQ7oCoH982DjIA-QnZdO7ZoqkC0/edit#gid=884617569"",""S1 Totals!$A$2:$O$255""),10,FALSE)"),"")</f>
        <v/>
      </c>
      <c r="N71" s="15" t="str">
        <f>IFERROR(__xludf.DUMMYFUNCTION("VLOOKUP(A71,IMPORTRANGE(""1QZ5UxyNCwadreQAXnQ7oCoH982DjIA-QnZdO7ZoqkC0/edit#gid=884617569"",""S1 Totals!$A$2:$O$256""),11,FALSE)"),"")</f>
        <v/>
      </c>
      <c r="O71" s="110"/>
      <c r="P71" s="16" t="str">
        <f>IFERROR(__xludf.DUMMYFUNCTION("VLOOKUP(A71,IMPORTRANGE(""1QZ5UxyNCwadreQAXnQ7oCoH982DjIA-QnZdO7ZoqkC0/edit#gid=884617569"",""S1 Totals!$A$2:$O$256""),13,FALSE)"),"")</f>
        <v/>
      </c>
      <c r="Q71" s="15" t="str">
        <f>IFERROR(__xludf.DUMMYFUNCTION("VLOOKUP(A71,IMPORTRANGE(""1QZ5UxyNCwadreQAXnQ7oCoH982DjIA-QnZdO7ZoqkC0/edit#gid=884617569"",""S1 Totals!$A$2:$O$256""),14,FALSE)"),"")</f>
        <v/>
      </c>
      <c r="R71" s="15">
        <f t="shared" si="5"/>
        <v>0.5984848485</v>
      </c>
    </row>
    <row r="72">
      <c r="A72" s="107" t="s">
        <v>124</v>
      </c>
      <c r="B72" s="16">
        <f>IFERROR(__xludf.DUMMYFUNCTION("VLOOKUP(A72,IMPORTRANGE(""1aFCnJY1qhIj8-JckJhDJ18aqmVo17tofpQmOjcYa3u8/edit#gid=590920912"",""S1 Totals!$A$2:$O$255""),2,FALSE)"),27.0)</f>
        <v>27</v>
      </c>
      <c r="C72" s="15">
        <f>IFERROR(__xludf.DUMMYFUNCTION("VLOOKUP(A72,IMPORTRANGE(""1aFCnJY1qhIj8-JckJhDJ18aqmVo17tofpQmOjcYa3u8/edit#gid=590920912"",""S1 Totals!$A$2:$O$255""),3,FALSE)"),0.8181818181818182)</f>
        <v>0.8181818182</v>
      </c>
      <c r="D72" s="16">
        <f>IFERROR(__xludf.DUMMYFUNCTION("VLOOKUP(A72,IMPORTRANGE(""1QZ5UxyNCwadreQAXnQ7oCoH982DjIA-QnZdO7ZoqkC0/edit#gid=884617569"",""S1 Totals!$A$2:$O$255""),2,FALSE)"),27.0)</f>
        <v>27</v>
      </c>
      <c r="E72" s="15">
        <f>IFERROR(__xludf.DUMMYFUNCTION("VLOOKUP(A72,IMPORTRANGE(""1QZ5UxyNCwadreQAXnQ7oCoH982DjIA-QnZdO7ZoqkC0/edit#gid=884617569"",""S1 Totals!$A$2:$O$255""),3,FALSE)"),0.8181818181818182)</f>
        <v>0.8181818182</v>
      </c>
      <c r="F72" s="108">
        <f t="shared" si="1"/>
        <v>0</v>
      </c>
      <c r="G72" s="16">
        <f>IFERROR(__xludf.DUMMYFUNCTION("VLOOKUP(A72,IMPORTRANGE(""1QZ5UxyNCwadreQAXnQ7oCoH982DjIA-QnZdO7ZoqkC0/edit#gid=884617569"",""S1 Totals!$A$2:$O$255""),4,FALSE)"),35.0)</f>
        <v>35</v>
      </c>
      <c r="H72" s="15">
        <f>IFERROR(__xludf.DUMMYFUNCTION("VLOOKUP(A72,IMPORTRANGE(""1QZ5UxyNCwadreQAXnQ7oCoH982DjIA-QnZdO7ZoqkC0/edit#gid=884617569"",""S1 Totals!$A$2:$O$255""),5,FALSE)"),0.7446808510638298)</f>
        <v>0.7446808511</v>
      </c>
      <c r="I72" s="108">
        <f t="shared" si="2"/>
        <v>0.07350096712</v>
      </c>
      <c r="J72" s="16">
        <f>IFERROR(__xludf.DUMMYFUNCTION("VLOOKUP(A72,IMPORTRANGE(""1QZ5UxyNCwadreQAXnQ7oCoH982DjIA-QnZdO7ZoqkC0/edit#gid=884617569"",""S1 Totals!$A$2:$O$255""),7,FALSE)"),29.0)</f>
        <v>29</v>
      </c>
      <c r="K72" s="15">
        <f>IFERROR(__xludf.DUMMYFUNCTION("VLOOKUP(A72,IMPORTRANGE(""1QZ5UxyNCwadreQAXnQ7oCoH982DjIA-QnZdO7ZoqkC0/edit#gid=884617569"",""S1 Totals!$A$2:$O$255""),8,FALSE)"),0.5918367346938775)</f>
        <v>0.5918367347</v>
      </c>
      <c r="L72" s="109">
        <f t="shared" si="3"/>
        <v>0.2263450835</v>
      </c>
      <c r="M72" s="16">
        <f>IFERROR(__xludf.DUMMYFUNCTION("VLOOKUP(A72,IMPORTRANGE(""1QZ5UxyNCwadreQAXnQ7oCoH982DjIA-QnZdO7ZoqkC0/edit#gid=884617569"",""S1 Totals!$A$2:$O$255""),10,FALSE)"),21.0)</f>
        <v>21</v>
      </c>
      <c r="N72" s="15">
        <f>IFERROR(__xludf.DUMMYFUNCTION("VLOOKUP(A72,IMPORTRANGE(""1QZ5UxyNCwadreQAXnQ7oCoH982DjIA-QnZdO7ZoqkC0/edit#gid=884617569"",""S1 Totals!$A$2:$O$256""),11,FALSE)"),0.4375)</f>
        <v>0.4375</v>
      </c>
      <c r="O72" s="110">
        <f>C72-N72</f>
        <v>0.3806818182</v>
      </c>
      <c r="P72" s="16" t="str">
        <f>IFERROR(__xludf.DUMMYFUNCTION("VLOOKUP(A72,IMPORTRANGE(""1QZ5UxyNCwadreQAXnQ7oCoH982DjIA-QnZdO7ZoqkC0/edit#gid=884617569"",""S1 Totals!$A$2:$O$256""),13,FALSE)"),"")</f>
        <v/>
      </c>
      <c r="Q72" s="15" t="str">
        <f>IFERROR(__xludf.DUMMYFUNCTION("VLOOKUP(A72,IMPORTRANGE(""1QZ5UxyNCwadreQAXnQ7oCoH982DjIA-QnZdO7ZoqkC0/edit#gid=884617569"",""S1 Totals!$A$2:$O$256""),14,FALSE)"),"")</f>
        <v/>
      </c>
      <c r="R72" s="15">
        <f t="shared" si="5"/>
        <v>0.8181818182</v>
      </c>
    </row>
    <row r="73">
      <c r="A73" s="107" t="s">
        <v>172</v>
      </c>
      <c r="B73" s="16">
        <f>IFERROR(__xludf.DUMMYFUNCTION("VLOOKUP(A73,IMPORTRANGE(""1aFCnJY1qhIj8-JckJhDJ18aqmVo17tofpQmOjcYa3u8/edit#gid=590920912"",""S1 Totals!$A$2:$O$255""),2,FALSE)"),10.25)</f>
        <v>10.25</v>
      </c>
      <c r="C73" s="15">
        <f>IFERROR(__xludf.DUMMYFUNCTION("VLOOKUP(A73,IMPORTRANGE(""1aFCnJY1qhIj8-JckJhDJ18aqmVo17tofpQmOjcYa3u8/edit#gid=590920912"",""S1 Totals!$A$2:$O$255""),3,FALSE)"),0.3106060606060606)</f>
        <v>0.3106060606</v>
      </c>
      <c r="D73" s="16">
        <f>IFERROR(__xludf.DUMMYFUNCTION("VLOOKUP(A73,IMPORTRANGE(""1QZ5UxyNCwadreQAXnQ7oCoH982DjIA-QnZdO7ZoqkC0/edit#gid=884617569"",""S1 Totals!$A$2:$O$255""),2,FALSE)"),11.5)</f>
        <v>11.5</v>
      </c>
      <c r="E73" s="15">
        <f>IFERROR(__xludf.DUMMYFUNCTION("VLOOKUP(A73,IMPORTRANGE(""1QZ5UxyNCwadreQAXnQ7oCoH982DjIA-QnZdO7ZoqkC0/edit#gid=884617569"",""S1 Totals!$A$2:$O$255""),3,FALSE)"),0.3484848484848485)</f>
        <v>0.3484848485</v>
      </c>
      <c r="F73" s="108">
        <f t="shared" si="1"/>
        <v>-0.03787878788</v>
      </c>
      <c r="G73" s="16">
        <f>IFERROR(__xludf.DUMMYFUNCTION("VLOOKUP(A73,IMPORTRANGE(""1QZ5UxyNCwadreQAXnQ7oCoH982DjIA-QnZdO7ZoqkC0/edit#gid=884617569"",""S1 Totals!$A$2:$O$255""),4,FALSE)"),18.0)</f>
        <v>18</v>
      </c>
      <c r="H73" s="15">
        <f>IFERROR(__xludf.DUMMYFUNCTION("VLOOKUP(A73,IMPORTRANGE(""1QZ5UxyNCwadreQAXnQ7oCoH982DjIA-QnZdO7ZoqkC0/edit#gid=884617569"",""S1 Totals!$A$2:$O$255""),5,FALSE)"),0.3829787234042553)</f>
        <v>0.3829787234</v>
      </c>
      <c r="I73" s="108">
        <f t="shared" si="2"/>
        <v>-0.0723726628</v>
      </c>
      <c r="J73" s="16">
        <f>IFERROR(__xludf.DUMMYFUNCTION("VLOOKUP(A73,IMPORTRANGE(""1QZ5UxyNCwadreQAXnQ7oCoH982DjIA-QnZdO7ZoqkC0/edit#gid=884617569"",""S1 Totals!$A$2:$O$255""),7,FALSE)"),13.0)</f>
        <v>13</v>
      </c>
      <c r="K73" s="15">
        <f>IFERROR(__xludf.DUMMYFUNCTION("VLOOKUP(A73,IMPORTRANGE(""1QZ5UxyNCwadreQAXnQ7oCoH982DjIA-QnZdO7ZoqkC0/edit#gid=884617569"",""S1 Totals!$A$2:$O$255""),8,FALSE)"),0.2653061224489796)</f>
        <v>0.2653061224</v>
      </c>
      <c r="L73" s="109">
        <f t="shared" si="3"/>
        <v>0.08317872604</v>
      </c>
      <c r="M73" s="16" t="str">
        <f>IFERROR(__xludf.DUMMYFUNCTION("VLOOKUP(A73,IMPORTRANGE(""1QZ5UxyNCwadreQAXnQ7oCoH982DjIA-QnZdO7ZoqkC0/edit#gid=884617569"",""S1 Totals!$A$2:$O$255""),10,FALSE)"),"")</f>
        <v/>
      </c>
      <c r="N73" s="15" t="str">
        <f>IFERROR(__xludf.DUMMYFUNCTION("VLOOKUP(A73,IMPORTRANGE(""1QZ5UxyNCwadreQAXnQ7oCoH982DjIA-QnZdO7ZoqkC0/edit#gid=884617569"",""S1 Totals!$A$2:$O$256""),11,FALSE)"),"")</f>
        <v/>
      </c>
      <c r="O73" s="110"/>
      <c r="P73" s="16" t="str">
        <f>IFERROR(__xludf.DUMMYFUNCTION("VLOOKUP(A73,IMPORTRANGE(""1QZ5UxyNCwadreQAXnQ7oCoH982DjIA-QnZdO7ZoqkC0/edit#gid=884617569"",""S1 Totals!$A$2:$O$256""),13,FALSE)"),"")</f>
        <v/>
      </c>
      <c r="Q73" s="15" t="str">
        <f>IFERROR(__xludf.DUMMYFUNCTION("VLOOKUP(A73,IMPORTRANGE(""1QZ5UxyNCwadreQAXnQ7oCoH982DjIA-QnZdO7ZoqkC0/edit#gid=884617569"",""S1 Totals!$A$2:$O$256""),14,FALSE)"),"")</f>
        <v/>
      </c>
      <c r="R73" s="15">
        <f t="shared" si="5"/>
        <v>0.3106060606</v>
      </c>
    </row>
    <row r="74">
      <c r="A74" s="107" t="s">
        <v>173</v>
      </c>
      <c r="B74" s="16">
        <f>IFERROR(__xludf.DUMMYFUNCTION("VLOOKUP(A74,IMPORTRANGE(""1aFCnJY1qhIj8-JckJhDJ18aqmVo17tofpQmOjcYa3u8/edit#gid=590920912"",""S1 Totals!$A$2:$O$255""),2,FALSE)"),6.5)</f>
        <v>6.5</v>
      </c>
      <c r="C74" s="15">
        <f>IFERROR(__xludf.DUMMYFUNCTION("VLOOKUP(A74,IMPORTRANGE(""1aFCnJY1qhIj8-JckJhDJ18aqmVo17tofpQmOjcYa3u8/edit#gid=590920912"",""S1 Totals!$A$2:$O$255""),3,FALSE)"),0.19696969696969696)</f>
        <v>0.196969697</v>
      </c>
      <c r="D74" s="16">
        <f>IFERROR(__xludf.DUMMYFUNCTION("VLOOKUP(A74,IMPORTRANGE(""1QZ5UxyNCwadreQAXnQ7oCoH982DjIA-QnZdO7ZoqkC0/edit#gid=884617569"",""S1 Totals!$A$2:$O$255""),2,FALSE)"),5.25)</f>
        <v>5.25</v>
      </c>
      <c r="E74" s="15">
        <f>IFERROR(__xludf.DUMMYFUNCTION("VLOOKUP(A74,IMPORTRANGE(""1QZ5UxyNCwadreQAXnQ7oCoH982DjIA-QnZdO7ZoqkC0/edit#gid=884617569"",""S1 Totals!$A$2:$O$255""),3,FALSE)"),0.1590909090909091)</f>
        <v>0.1590909091</v>
      </c>
      <c r="F74" s="108">
        <f t="shared" si="1"/>
        <v>0.03787878788</v>
      </c>
      <c r="G74" s="16">
        <f>IFERROR(__xludf.DUMMYFUNCTION("VLOOKUP(A74,IMPORTRANGE(""1QZ5UxyNCwadreQAXnQ7oCoH982DjIA-QnZdO7ZoqkC0/edit#gid=884617569"",""S1 Totals!$A$2:$O$255""),4,FALSE)"),9.5)</f>
        <v>9.5</v>
      </c>
      <c r="H74" s="15">
        <f>IFERROR(__xludf.DUMMYFUNCTION("VLOOKUP(A74,IMPORTRANGE(""1QZ5UxyNCwadreQAXnQ7oCoH982DjIA-QnZdO7ZoqkC0/edit#gid=884617569"",""S1 Totals!$A$2:$O$255""),5,FALSE)"),0.20212765957446807)</f>
        <v>0.2021276596</v>
      </c>
      <c r="I74" s="108">
        <f t="shared" si="2"/>
        <v>-0.005157962605</v>
      </c>
      <c r="J74" s="16">
        <f>IFERROR(__xludf.DUMMYFUNCTION("VLOOKUP(A74,IMPORTRANGE(""1QZ5UxyNCwadreQAXnQ7oCoH982DjIA-QnZdO7ZoqkC0/edit#gid=884617569"",""S1 Totals!$A$2:$O$255""),7,FALSE)"),8.5)</f>
        <v>8.5</v>
      </c>
      <c r="K74" s="15">
        <f>IFERROR(__xludf.DUMMYFUNCTION("VLOOKUP(A74,IMPORTRANGE(""1QZ5UxyNCwadreQAXnQ7oCoH982DjIA-QnZdO7ZoqkC0/edit#gid=884617569"",""S1 Totals!$A$2:$O$255""),8,FALSE)"),0.17346938775510204)</f>
        <v>0.1734693878</v>
      </c>
      <c r="L74" s="109">
        <f t="shared" si="3"/>
        <v>-0.01437847866</v>
      </c>
      <c r="M74" s="16" t="str">
        <f>IFERROR(__xludf.DUMMYFUNCTION("VLOOKUP(A74,IMPORTRANGE(""1QZ5UxyNCwadreQAXnQ7oCoH982DjIA-QnZdO7ZoqkC0/edit#gid=884617569"",""S1 Totals!$A$2:$O$255""),10,FALSE)"),"")</f>
        <v/>
      </c>
      <c r="N74" s="15" t="str">
        <f>IFERROR(__xludf.DUMMYFUNCTION("VLOOKUP(A74,IMPORTRANGE(""1QZ5UxyNCwadreQAXnQ7oCoH982DjIA-QnZdO7ZoqkC0/edit#gid=884617569"",""S1 Totals!$A$2:$O$256""),11,FALSE)"),"")</f>
        <v/>
      </c>
      <c r="O74" s="110"/>
      <c r="P74" s="16" t="str">
        <f>IFERROR(__xludf.DUMMYFUNCTION("VLOOKUP(A74,IMPORTRANGE(""1QZ5UxyNCwadreQAXnQ7oCoH982DjIA-QnZdO7ZoqkC0/edit#gid=884617569"",""S1 Totals!$A$2:$O$256""),13,FALSE)"),"")</f>
        <v/>
      </c>
      <c r="Q74" s="15" t="str">
        <f>IFERROR(__xludf.DUMMYFUNCTION("VLOOKUP(A74,IMPORTRANGE(""1QZ5UxyNCwadreQAXnQ7oCoH982DjIA-QnZdO7ZoqkC0/edit#gid=884617569"",""S1 Totals!$A$2:$O$256""),14,FALSE)"),"")</f>
        <v/>
      </c>
      <c r="R74" s="15">
        <f t="shared" si="5"/>
        <v>0.196969697</v>
      </c>
    </row>
    <row r="75">
      <c r="A75" s="107" t="s">
        <v>125</v>
      </c>
      <c r="B75" s="16">
        <f>IFERROR(__xludf.DUMMYFUNCTION("VLOOKUP(A75,IMPORTRANGE(""1aFCnJY1qhIj8-JckJhDJ18aqmVo17tofpQmOjcYa3u8/edit#gid=590920912"",""S1 Totals!$A$2:$O$255""),2,FALSE)"),21.5)</f>
        <v>21.5</v>
      </c>
      <c r="C75" s="15">
        <f>IFERROR(__xludf.DUMMYFUNCTION("VLOOKUP(A75,IMPORTRANGE(""1aFCnJY1qhIj8-JckJhDJ18aqmVo17tofpQmOjcYa3u8/edit#gid=590920912"",""S1 Totals!$A$2:$O$255""),3,FALSE)"),0.6515151515151515)</f>
        <v>0.6515151515</v>
      </c>
      <c r="D75" s="16">
        <f>IFERROR(__xludf.DUMMYFUNCTION("VLOOKUP(A75,IMPORTRANGE(""1QZ5UxyNCwadreQAXnQ7oCoH982DjIA-QnZdO7ZoqkC0/edit#gid=884617569"",""S1 Totals!$A$2:$O$255""),2,FALSE)"),24.25)</f>
        <v>24.25</v>
      </c>
      <c r="E75" s="15">
        <f>IFERROR(__xludf.DUMMYFUNCTION("VLOOKUP(A75,IMPORTRANGE(""1QZ5UxyNCwadreQAXnQ7oCoH982DjIA-QnZdO7ZoqkC0/edit#gid=884617569"",""S1 Totals!$A$2:$O$255""),3,FALSE)"),0.7348484848484849)</f>
        <v>0.7348484848</v>
      </c>
      <c r="F75" s="108">
        <f t="shared" si="1"/>
        <v>-0.08333333333</v>
      </c>
      <c r="G75" s="16">
        <f>IFERROR(__xludf.DUMMYFUNCTION("VLOOKUP(A75,IMPORTRANGE(""1QZ5UxyNCwadreQAXnQ7oCoH982DjIA-QnZdO7ZoqkC0/edit#gid=884617569"",""S1 Totals!$A$2:$O$255""),4,FALSE)"),31.5)</f>
        <v>31.5</v>
      </c>
      <c r="H75" s="15">
        <f>IFERROR(__xludf.DUMMYFUNCTION("VLOOKUP(A75,IMPORTRANGE(""1QZ5UxyNCwadreQAXnQ7oCoH982DjIA-QnZdO7ZoqkC0/edit#gid=884617569"",""S1 Totals!$A$2:$O$255""),5,FALSE)"),0.6702127659574468)</f>
        <v>0.670212766</v>
      </c>
      <c r="I75" s="108">
        <f t="shared" si="2"/>
        <v>-0.01869761444</v>
      </c>
      <c r="J75" s="16">
        <f>IFERROR(__xludf.DUMMYFUNCTION("VLOOKUP(A75,IMPORTRANGE(""1QZ5UxyNCwadreQAXnQ7oCoH982DjIA-QnZdO7ZoqkC0/edit#gid=884617569"",""S1 Totals!$A$2:$O$255""),7,FALSE)"),29.5)</f>
        <v>29.5</v>
      </c>
      <c r="K75" s="15">
        <f>IFERROR(__xludf.DUMMYFUNCTION("VLOOKUP(A75,IMPORTRANGE(""1QZ5UxyNCwadreQAXnQ7oCoH982DjIA-QnZdO7ZoqkC0/edit#gid=884617569"",""S1 Totals!$A$2:$O$255""),8,FALSE)"),0.6020408163265306)</f>
        <v>0.6020408163</v>
      </c>
      <c r="L75" s="109">
        <f t="shared" si="3"/>
        <v>0.1328076685</v>
      </c>
      <c r="M75" s="16">
        <f>IFERROR(__xludf.DUMMYFUNCTION("VLOOKUP(A75,IMPORTRANGE(""1QZ5UxyNCwadreQAXnQ7oCoH982DjIA-QnZdO7ZoqkC0/edit#gid=884617569"",""S1 Totals!$A$2:$O$255""),10,FALSE)"),15.5)</f>
        <v>15.5</v>
      </c>
      <c r="N75" s="15">
        <f>IFERROR(__xludf.DUMMYFUNCTION("VLOOKUP(A75,IMPORTRANGE(""1QZ5UxyNCwadreQAXnQ7oCoH982DjIA-QnZdO7ZoqkC0/edit#gid=884617569"",""S1 Totals!$A$2:$O$256""),11,FALSE)"),0.3229166666666667)</f>
        <v>0.3229166667</v>
      </c>
      <c r="O75" s="110">
        <f>C75-N75</f>
        <v>0.3285984848</v>
      </c>
      <c r="P75" s="16" t="str">
        <f>IFERROR(__xludf.DUMMYFUNCTION("VLOOKUP(A75,IMPORTRANGE(""1QZ5UxyNCwadreQAXnQ7oCoH982DjIA-QnZdO7ZoqkC0/edit#gid=884617569"",""S1 Totals!$A$2:$O$256""),13,FALSE)"),"")</f>
        <v/>
      </c>
      <c r="Q75" s="15" t="str">
        <f>IFERROR(__xludf.DUMMYFUNCTION("VLOOKUP(A75,IMPORTRANGE(""1QZ5UxyNCwadreQAXnQ7oCoH982DjIA-QnZdO7ZoqkC0/edit#gid=884617569"",""S1 Totals!$A$2:$O$256""),14,FALSE)"),"")</f>
        <v/>
      </c>
      <c r="R75" s="15">
        <f t="shared" si="5"/>
        <v>0.6515151515</v>
      </c>
    </row>
    <row r="76">
      <c r="A76" s="107" t="s">
        <v>299</v>
      </c>
      <c r="B76" s="16">
        <f>IFERROR(__xludf.DUMMYFUNCTION("VLOOKUP(A76,IMPORTRANGE(""1aFCnJY1qhIj8-JckJhDJ18aqmVo17tofpQmOjcYa3u8/edit#gid=590920912"",""S1 Totals!$A$2:$O$255""),2,FALSE)"),0.0)</f>
        <v>0</v>
      </c>
      <c r="C76" s="15">
        <f>IFERROR(__xludf.DUMMYFUNCTION("VLOOKUP(A76,IMPORTRANGE(""1aFCnJY1qhIj8-JckJhDJ18aqmVo17tofpQmOjcYa3u8/edit#gid=590920912"",""S1 Totals!$A$2:$O$255""),3,FALSE)"),0.0)</f>
        <v>0</v>
      </c>
      <c r="D76" s="16">
        <f>IFERROR(__xludf.DUMMYFUNCTION("VLOOKUP(A76,IMPORTRANGE(""1QZ5UxyNCwadreQAXnQ7oCoH982DjIA-QnZdO7ZoqkC0/edit#gid=884617569"",""S1 Totals!$A$2:$O$255""),2,FALSE)"),0.0)</f>
        <v>0</v>
      </c>
      <c r="E76" s="15">
        <f>IFERROR(__xludf.DUMMYFUNCTION("VLOOKUP(A76,IMPORTRANGE(""1QZ5UxyNCwadreQAXnQ7oCoH982DjIA-QnZdO7ZoqkC0/edit#gid=884617569"",""S1 Totals!$A$2:$O$255""),3,FALSE)"),0.0)</f>
        <v>0</v>
      </c>
      <c r="F76" s="108">
        <f t="shared" si="1"/>
        <v>0</v>
      </c>
      <c r="G76" s="16">
        <f>IFERROR(__xludf.DUMMYFUNCTION("VLOOKUP(A76,IMPORTRANGE(""1QZ5UxyNCwadreQAXnQ7oCoH982DjIA-QnZdO7ZoqkC0/edit#gid=884617569"",""S1 Totals!$A$2:$O$255""),4,FALSE)"),0.0)</f>
        <v>0</v>
      </c>
      <c r="H76" s="15">
        <f>IFERROR(__xludf.DUMMYFUNCTION("VLOOKUP(A76,IMPORTRANGE(""1QZ5UxyNCwadreQAXnQ7oCoH982DjIA-QnZdO7ZoqkC0/edit#gid=884617569"",""S1 Totals!$A$2:$O$255""),5,FALSE)"),0.0)</f>
        <v>0</v>
      </c>
      <c r="I76" s="108">
        <f t="shared" si="2"/>
        <v>0</v>
      </c>
      <c r="J76" s="16">
        <f>IFERROR(__xludf.DUMMYFUNCTION("VLOOKUP(A76,IMPORTRANGE(""1QZ5UxyNCwadreQAXnQ7oCoH982DjIA-QnZdO7ZoqkC0/edit#gid=884617569"",""S1 Totals!$A$2:$O$255""),7,FALSE)"),0.0)</f>
        <v>0</v>
      </c>
      <c r="K76" s="15">
        <f>IFERROR(__xludf.DUMMYFUNCTION("VLOOKUP(A76,IMPORTRANGE(""1QZ5UxyNCwadreQAXnQ7oCoH982DjIA-QnZdO7ZoqkC0/edit#gid=884617569"",""S1 Totals!$A$2:$O$255""),8,FALSE)"),0.0)</f>
        <v>0</v>
      </c>
      <c r="L76" s="109">
        <f t="shared" si="3"/>
        <v>0</v>
      </c>
      <c r="M76" s="16" t="str">
        <f>IFERROR(__xludf.DUMMYFUNCTION("VLOOKUP(A76,IMPORTRANGE(""1QZ5UxyNCwadreQAXnQ7oCoH982DjIA-QnZdO7ZoqkC0/edit#gid=884617569"",""S1 Totals!$A$2:$O$255""),10,FALSE)"),"")</f>
        <v/>
      </c>
      <c r="N76" s="15" t="str">
        <f>IFERROR(__xludf.DUMMYFUNCTION("VLOOKUP(A76,IMPORTRANGE(""1QZ5UxyNCwadreQAXnQ7oCoH982DjIA-QnZdO7ZoqkC0/edit#gid=884617569"",""S1 Totals!$A$2:$O$256""),11,FALSE)"),"")</f>
        <v/>
      </c>
      <c r="O76" s="110"/>
      <c r="P76" s="16" t="str">
        <f>IFERROR(__xludf.DUMMYFUNCTION("VLOOKUP(A76,IMPORTRANGE(""1QZ5UxyNCwadreQAXnQ7oCoH982DjIA-QnZdO7ZoqkC0/edit#gid=884617569"",""S1 Totals!$A$2:$O$256""),13,FALSE)"),"")</f>
        <v/>
      </c>
      <c r="Q76" s="15" t="str">
        <f>IFERROR(__xludf.DUMMYFUNCTION("VLOOKUP(A76,IMPORTRANGE(""1QZ5UxyNCwadreQAXnQ7oCoH982DjIA-QnZdO7ZoqkC0/edit#gid=884617569"",""S1 Totals!$A$2:$O$256""),14,FALSE)"),"")</f>
        <v/>
      </c>
      <c r="R76" s="15">
        <f t="shared" si="5"/>
        <v>0</v>
      </c>
    </row>
    <row r="77">
      <c r="A77" s="107" t="s">
        <v>47</v>
      </c>
      <c r="B77" s="16">
        <f>IFERROR(__xludf.DUMMYFUNCTION("VLOOKUP(A77,IMPORTRANGE(""1aFCnJY1qhIj8-JckJhDJ18aqmVo17tofpQmOjcYa3u8/edit#gid=590920912"",""S1 Totals!$A$2:$O$255""),2,FALSE)"),14.25)</f>
        <v>14.25</v>
      </c>
      <c r="C77" s="15">
        <f>IFERROR(__xludf.DUMMYFUNCTION("VLOOKUP(A77,IMPORTRANGE(""1aFCnJY1qhIj8-JckJhDJ18aqmVo17tofpQmOjcYa3u8/edit#gid=590920912"",""S1 Totals!$A$2:$O$255""),3,FALSE)"),0.4318181818181818)</f>
        <v>0.4318181818</v>
      </c>
      <c r="D77" s="16">
        <f>IFERROR(__xludf.DUMMYFUNCTION("VLOOKUP(A77,IMPORTRANGE(""1QZ5UxyNCwadreQAXnQ7oCoH982DjIA-QnZdO7ZoqkC0/edit#gid=884617569"",""S1 Totals!$A$2:$O$255""),2,FALSE)"),11.0)</f>
        <v>11</v>
      </c>
      <c r="E77" s="15">
        <f>IFERROR(__xludf.DUMMYFUNCTION("VLOOKUP(A77,IMPORTRANGE(""1QZ5UxyNCwadreQAXnQ7oCoH982DjIA-QnZdO7ZoqkC0/edit#gid=884617569"",""S1 Totals!$A$2:$O$255""),3,FALSE)"),0.3333333333333333)</f>
        <v>0.3333333333</v>
      </c>
      <c r="F77" s="108">
        <f t="shared" si="1"/>
        <v>0.09848484848</v>
      </c>
      <c r="G77" s="16">
        <f>IFERROR(__xludf.DUMMYFUNCTION("VLOOKUP(A77,IMPORTRANGE(""1QZ5UxyNCwadreQAXnQ7oCoH982DjIA-QnZdO7ZoqkC0/edit#gid=884617569"",""S1 Totals!$A$2:$O$255""),4,FALSE)"),17.0)</f>
        <v>17</v>
      </c>
      <c r="H77" s="15">
        <f>IFERROR(__xludf.DUMMYFUNCTION("VLOOKUP(A77,IMPORTRANGE(""1QZ5UxyNCwadreQAXnQ7oCoH982DjIA-QnZdO7ZoqkC0/edit#gid=884617569"",""S1 Totals!$A$2:$O$255""),5,FALSE)"),0.3617021276595745)</f>
        <v>0.3617021277</v>
      </c>
      <c r="I77" s="108">
        <f t="shared" si="2"/>
        <v>0.07011605416</v>
      </c>
      <c r="J77" s="16">
        <f>IFERROR(__xludf.DUMMYFUNCTION("VLOOKUP(A77,IMPORTRANGE(""1QZ5UxyNCwadreQAXnQ7oCoH982DjIA-QnZdO7ZoqkC0/edit#gid=884617569"",""S1 Totals!$A$2:$O$255""),7,FALSE)"),8.0)</f>
        <v>8</v>
      </c>
      <c r="K77" s="15">
        <f>IFERROR(__xludf.DUMMYFUNCTION("VLOOKUP(A77,IMPORTRANGE(""1QZ5UxyNCwadreQAXnQ7oCoH982DjIA-QnZdO7ZoqkC0/edit#gid=884617569"",""S1 Totals!$A$2:$O$255""),8,FALSE)"),0.16326530612244897)</f>
        <v>0.1632653061</v>
      </c>
      <c r="L77" s="109">
        <f t="shared" si="3"/>
        <v>0.1700680272</v>
      </c>
      <c r="M77" s="16">
        <f>IFERROR(__xludf.DUMMYFUNCTION("VLOOKUP(A77,IMPORTRANGE(""1QZ5UxyNCwadreQAXnQ7oCoH982DjIA-QnZdO7ZoqkC0/edit#gid=884617569"",""S1 Totals!$A$2:$O$255""),10,FALSE)"),6.0)</f>
        <v>6</v>
      </c>
      <c r="N77" s="15">
        <f>IFERROR(__xludf.DUMMYFUNCTION("VLOOKUP(A77,IMPORTRANGE(""1QZ5UxyNCwadreQAXnQ7oCoH982DjIA-QnZdO7ZoqkC0/edit#gid=884617569"",""S1 Totals!$A$2:$O$256""),11,FALSE)"),0.125)</f>
        <v>0.125</v>
      </c>
      <c r="O77" s="110">
        <f t="shared" ref="O77:O80" si="14">C77-N77</f>
        <v>0.3068181818</v>
      </c>
      <c r="P77" s="16">
        <f>IFERROR(__xludf.DUMMYFUNCTION("VLOOKUP(A77,IMPORTRANGE(""1QZ5UxyNCwadreQAXnQ7oCoH982DjIA-QnZdO7ZoqkC0/edit#gid=884617569"",""S1 Totals!$A$2:$O$256""),13,FALSE)"),3.5)</f>
        <v>3.5</v>
      </c>
      <c r="Q77" s="15">
        <f>IFERROR(__xludf.DUMMYFUNCTION("VLOOKUP(A77,IMPORTRANGE(""1QZ5UxyNCwadreQAXnQ7oCoH982DjIA-QnZdO7ZoqkC0/edit#gid=884617569"",""S1 Totals!$A$2:$O$256""),14,FALSE)"),0.07)</f>
        <v>0.07</v>
      </c>
      <c r="R77" s="15">
        <f t="shared" si="5"/>
        <v>0.3618181818</v>
      </c>
    </row>
    <row r="78">
      <c r="A78" s="107" t="s">
        <v>48</v>
      </c>
      <c r="B78" s="16">
        <f>IFERROR(__xludf.DUMMYFUNCTION("VLOOKUP(A78,IMPORTRANGE(""1aFCnJY1qhIj8-JckJhDJ18aqmVo17tofpQmOjcYa3u8/edit#gid=590920912"",""S1 Totals!$A$2:$O$255""),2,FALSE)"),27.5)</f>
        <v>27.5</v>
      </c>
      <c r="C78" s="15">
        <f>IFERROR(__xludf.DUMMYFUNCTION("VLOOKUP(A78,IMPORTRANGE(""1aFCnJY1qhIj8-JckJhDJ18aqmVo17tofpQmOjcYa3u8/edit#gid=590920912"",""S1 Totals!$A$2:$O$255""),3,FALSE)"),0.8333333333333334)</f>
        <v>0.8333333333</v>
      </c>
      <c r="D78" s="16">
        <f>IFERROR(__xludf.DUMMYFUNCTION("VLOOKUP(A78,IMPORTRANGE(""1QZ5UxyNCwadreQAXnQ7oCoH982DjIA-QnZdO7ZoqkC0/edit#gid=884617569"",""S1 Totals!$A$2:$O$255""),2,FALSE)"),27.75)</f>
        <v>27.75</v>
      </c>
      <c r="E78" s="15">
        <f>IFERROR(__xludf.DUMMYFUNCTION("VLOOKUP(A78,IMPORTRANGE(""1QZ5UxyNCwadreQAXnQ7oCoH982DjIA-QnZdO7ZoqkC0/edit#gid=884617569"",""S1 Totals!$A$2:$O$255""),3,FALSE)"),0.8409090909090909)</f>
        <v>0.8409090909</v>
      </c>
      <c r="F78" s="108">
        <f t="shared" si="1"/>
        <v>-0.007575757576</v>
      </c>
      <c r="G78" s="16">
        <f>IFERROR(__xludf.DUMMYFUNCTION("VLOOKUP(A78,IMPORTRANGE(""1QZ5UxyNCwadreQAXnQ7oCoH982DjIA-QnZdO7ZoqkC0/edit#gid=884617569"",""S1 Totals!$A$2:$O$255""),4,FALSE)"),40.5)</f>
        <v>40.5</v>
      </c>
      <c r="H78" s="15">
        <f>IFERROR(__xludf.DUMMYFUNCTION("VLOOKUP(A78,IMPORTRANGE(""1QZ5UxyNCwadreQAXnQ7oCoH982DjIA-QnZdO7ZoqkC0/edit#gid=884617569"",""S1 Totals!$A$2:$O$255""),5,FALSE)"),0.8617021276595744)</f>
        <v>0.8617021277</v>
      </c>
      <c r="I78" s="108">
        <f t="shared" si="2"/>
        <v>-0.02836879433</v>
      </c>
      <c r="J78" s="16">
        <f>IFERROR(__xludf.DUMMYFUNCTION("VLOOKUP(A78,IMPORTRANGE(""1QZ5UxyNCwadreQAXnQ7oCoH982DjIA-QnZdO7ZoqkC0/edit#gid=884617569"",""S1 Totals!$A$2:$O$255""),7,FALSE)"),41.5)</f>
        <v>41.5</v>
      </c>
      <c r="K78" s="15">
        <f>IFERROR(__xludf.DUMMYFUNCTION("VLOOKUP(A78,IMPORTRANGE(""1QZ5UxyNCwadreQAXnQ7oCoH982DjIA-QnZdO7ZoqkC0/edit#gid=884617569"",""S1 Totals!$A$2:$O$255""),8,FALSE)"),0.8469387755102041)</f>
        <v>0.8469387755</v>
      </c>
      <c r="L78" s="109">
        <f t="shared" si="3"/>
        <v>-0.006029684601</v>
      </c>
      <c r="M78" s="16">
        <f>IFERROR(__xludf.DUMMYFUNCTION("VLOOKUP(A78,IMPORTRANGE(""1QZ5UxyNCwadreQAXnQ7oCoH982DjIA-QnZdO7ZoqkC0/edit#gid=884617569"",""S1 Totals!$A$2:$O$255""),10,FALSE)"),43.0)</f>
        <v>43</v>
      </c>
      <c r="N78" s="15">
        <f>IFERROR(__xludf.DUMMYFUNCTION("VLOOKUP(A78,IMPORTRANGE(""1QZ5UxyNCwadreQAXnQ7oCoH982DjIA-QnZdO7ZoqkC0/edit#gid=884617569"",""S1 Totals!$A$2:$O$256""),11,FALSE)"),0.8958333333333334)</f>
        <v>0.8958333333</v>
      </c>
      <c r="O78" s="110">
        <f t="shared" si="14"/>
        <v>-0.0625</v>
      </c>
      <c r="P78" s="16">
        <f>IFERROR(__xludf.DUMMYFUNCTION("VLOOKUP(A78,IMPORTRANGE(""1QZ5UxyNCwadreQAXnQ7oCoH982DjIA-QnZdO7ZoqkC0/edit#gid=884617569"",""S1 Totals!$A$2:$O$256""),13,FALSE)"),39.5)</f>
        <v>39.5</v>
      </c>
      <c r="Q78" s="15">
        <f>IFERROR(__xludf.DUMMYFUNCTION("VLOOKUP(A78,IMPORTRANGE(""1QZ5UxyNCwadreQAXnQ7oCoH982DjIA-QnZdO7ZoqkC0/edit#gid=884617569"",""S1 Totals!$A$2:$O$256""),14,FALSE)"),0.79)</f>
        <v>0.79</v>
      </c>
      <c r="R78" s="15">
        <f t="shared" si="5"/>
        <v>0.04333333333</v>
      </c>
    </row>
    <row r="79">
      <c r="A79" s="107" t="s">
        <v>71</v>
      </c>
      <c r="B79" s="16">
        <f>IFERROR(__xludf.DUMMYFUNCTION("VLOOKUP(A79,IMPORTRANGE(""1aFCnJY1qhIj8-JckJhDJ18aqmVo17tofpQmOjcYa3u8/edit#gid=590920912"",""S1 Totals!$A$2:$O$255""),2,FALSE)"),8.0)</f>
        <v>8</v>
      </c>
      <c r="C79" s="15">
        <f>IFERROR(__xludf.DUMMYFUNCTION("VLOOKUP(A79,IMPORTRANGE(""1aFCnJY1qhIj8-JckJhDJ18aqmVo17tofpQmOjcYa3u8/edit#gid=590920912"",""S1 Totals!$A$2:$O$255""),3,FALSE)"),0.24242424242424243)</f>
        <v>0.2424242424</v>
      </c>
      <c r="D79" s="16">
        <f>IFERROR(__xludf.DUMMYFUNCTION("VLOOKUP(A79,IMPORTRANGE(""1QZ5UxyNCwadreQAXnQ7oCoH982DjIA-QnZdO7ZoqkC0/edit#gid=884617569"",""S1 Totals!$A$2:$O$255""),2,FALSE)"),7.75)</f>
        <v>7.75</v>
      </c>
      <c r="E79" s="15">
        <f>IFERROR(__xludf.DUMMYFUNCTION("VLOOKUP(A79,IMPORTRANGE(""1QZ5UxyNCwadreQAXnQ7oCoH982DjIA-QnZdO7ZoqkC0/edit#gid=884617569"",""S1 Totals!$A$2:$O$255""),3,FALSE)"),0.23484848484848486)</f>
        <v>0.2348484848</v>
      </c>
      <c r="F79" s="108">
        <f t="shared" si="1"/>
        <v>0.007575757576</v>
      </c>
      <c r="G79" s="16">
        <f>IFERROR(__xludf.DUMMYFUNCTION("VLOOKUP(A79,IMPORTRANGE(""1QZ5UxyNCwadreQAXnQ7oCoH982DjIA-QnZdO7ZoqkC0/edit#gid=884617569"",""S1 Totals!$A$2:$O$255""),4,FALSE)"),12.0)</f>
        <v>12</v>
      </c>
      <c r="H79" s="15">
        <f>IFERROR(__xludf.DUMMYFUNCTION("VLOOKUP(A79,IMPORTRANGE(""1QZ5UxyNCwadreQAXnQ7oCoH982DjIA-QnZdO7ZoqkC0/edit#gid=884617569"",""S1 Totals!$A$2:$O$255""),5,FALSE)"),0.2553191489361702)</f>
        <v>0.2553191489</v>
      </c>
      <c r="I79" s="108">
        <f t="shared" si="2"/>
        <v>-0.01289490651</v>
      </c>
      <c r="J79" s="16">
        <f>IFERROR(__xludf.DUMMYFUNCTION("VLOOKUP(A79,IMPORTRANGE(""1QZ5UxyNCwadreQAXnQ7oCoH982DjIA-QnZdO7ZoqkC0/edit#gid=884617569"",""S1 Totals!$A$2:$O$255""),7,FALSE)"),10.0)</f>
        <v>10</v>
      </c>
      <c r="K79" s="15">
        <f>IFERROR(__xludf.DUMMYFUNCTION("VLOOKUP(A79,IMPORTRANGE(""1QZ5UxyNCwadreQAXnQ7oCoH982DjIA-QnZdO7ZoqkC0/edit#gid=884617569"",""S1 Totals!$A$2:$O$255""),8,FALSE)"),0.20408163265306123)</f>
        <v>0.2040816327</v>
      </c>
      <c r="L79" s="109">
        <f t="shared" si="3"/>
        <v>0.0307668522</v>
      </c>
      <c r="M79" s="16">
        <f>IFERROR(__xludf.DUMMYFUNCTION("VLOOKUP(A79,IMPORTRANGE(""1QZ5UxyNCwadreQAXnQ7oCoH982DjIA-QnZdO7ZoqkC0/edit#gid=884617569"",""S1 Totals!$A$2:$O$255""),10,FALSE)"),10.0)</f>
        <v>10</v>
      </c>
      <c r="N79" s="15">
        <f>IFERROR(__xludf.DUMMYFUNCTION("VLOOKUP(A79,IMPORTRANGE(""1QZ5UxyNCwadreQAXnQ7oCoH982DjIA-QnZdO7ZoqkC0/edit#gid=884617569"",""S1 Totals!$A$2:$O$256""),11,FALSE)"),0.20833333333333334)</f>
        <v>0.2083333333</v>
      </c>
      <c r="O79" s="110">
        <f t="shared" si="14"/>
        <v>0.03409090909</v>
      </c>
      <c r="P79" s="16">
        <f>IFERROR(__xludf.DUMMYFUNCTION("VLOOKUP(A79,IMPORTRANGE(""1QZ5UxyNCwadreQAXnQ7oCoH982DjIA-QnZdO7ZoqkC0/edit#gid=884617569"",""S1 Totals!$A$2:$O$256""),13,FALSE)"),7.5)</f>
        <v>7.5</v>
      </c>
      <c r="Q79" s="15">
        <f>IFERROR(__xludf.DUMMYFUNCTION("VLOOKUP(A79,IMPORTRANGE(""1QZ5UxyNCwadreQAXnQ7oCoH982DjIA-QnZdO7ZoqkC0/edit#gid=884617569"",""S1 Totals!$A$2:$O$256""),14,FALSE)"),0.15)</f>
        <v>0.15</v>
      </c>
      <c r="R79" s="15">
        <f t="shared" si="5"/>
        <v>0.09242424242</v>
      </c>
    </row>
    <row r="80">
      <c r="A80" s="107" t="s">
        <v>126</v>
      </c>
      <c r="B80" s="16">
        <f>IFERROR(__xludf.DUMMYFUNCTION("VLOOKUP(A80,IMPORTRANGE(""1aFCnJY1qhIj8-JckJhDJ18aqmVo17tofpQmOjcYa3u8/edit#gid=590920912"",""S1 Totals!$A$2:$O$255""),2,FALSE)"),14.25)</f>
        <v>14.25</v>
      </c>
      <c r="C80" s="15">
        <f>IFERROR(__xludf.DUMMYFUNCTION("VLOOKUP(A80,IMPORTRANGE(""1aFCnJY1qhIj8-JckJhDJ18aqmVo17tofpQmOjcYa3u8/edit#gid=590920912"",""S1 Totals!$A$2:$O$255""),3,FALSE)"),0.4318181818181818)</f>
        <v>0.4318181818</v>
      </c>
      <c r="D80" s="16">
        <f>IFERROR(__xludf.DUMMYFUNCTION("VLOOKUP(A80,IMPORTRANGE(""1QZ5UxyNCwadreQAXnQ7oCoH982DjIA-QnZdO7ZoqkC0/edit#gid=884617569"",""S1 Totals!$A$2:$O$255""),2,FALSE)"),18.25)</f>
        <v>18.25</v>
      </c>
      <c r="E80" s="15">
        <f>IFERROR(__xludf.DUMMYFUNCTION("VLOOKUP(A80,IMPORTRANGE(""1QZ5UxyNCwadreQAXnQ7oCoH982DjIA-QnZdO7ZoqkC0/edit#gid=884617569"",""S1 Totals!$A$2:$O$255""),3,FALSE)"),0.553030303030303)</f>
        <v>0.553030303</v>
      </c>
      <c r="F80" s="108">
        <f t="shared" si="1"/>
        <v>-0.1212121212</v>
      </c>
      <c r="G80" s="16">
        <f>IFERROR(__xludf.DUMMYFUNCTION("VLOOKUP(A80,IMPORTRANGE(""1QZ5UxyNCwadreQAXnQ7oCoH982DjIA-QnZdO7ZoqkC0/edit#gid=884617569"",""S1 Totals!$A$2:$O$255""),4,FALSE)"),19.5)</f>
        <v>19.5</v>
      </c>
      <c r="H80" s="15">
        <f>IFERROR(__xludf.DUMMYFUNCTION("VLOOKUP(A80,IMPORTRANGE(""1QZ5UxyNCwadreQAXnQ7oCoH982DjIA-QnZdO7ZoqkC0/edit#gid=884617569"",""S1 Totals!$A$2:$O$255""),5,FALSE)"),0.4148936170212766)</f>
        <v>0.414893617</v>
      </c>
      <c r="I80" s="108">
        <f t="shared" si="2"/>
        <v>0.0169245648</v>
      </c>
      <c r="J80" s="16">
        <f>IFERROR(__xludf.DUMMYFUNCTION("VLOOKUP(A80,IMPORTRANGE(""1QZ5UxyNCwadreQAXnQ7oCoH982DjIA-QnZdO7ZoqkC0/edit#gid=884617569"",""S1 Totals!$A$2:$O$255""),7,FALSE)"),18.0)</f>
        <v>18</v>
      </c>
      <c r="K80" s="15">
        <f>IFERROR(__xludf.DUMMYFUNCTION("VLOOKUP(A80,IMPORTRANGE(""1QZ5UxyNCwadreQAXnQ7oCoH982DjIA-QnZdO7ZoqkC0/edit#gid=884617569"",""S1 Totals!$A$2:$O$255""),8,FALSE)"),0.3673469387755102)</f>
        <v>0.3673469388</v>
      </c>
      <c r="L80" s="109">
        <f t="shared" si="3"/>
        <v>0.1856833643</v>
      </c>
      <c r="M80" s="16">
        <f>IFERROR(__xludf.DUMMYFUNCTION("VLOOKUP(A80,IMPORTRANGE(""1QZ5UxyNCwadreQAXnQ7oCoH982DjIA-QnZdO7ZoqkC0/edit#gid=884617569"",""S1 Totals!$A$2:$O$255""),10,FALSE)"),19.0)</f>
        <v>19</v>
      </c>
      <c r="N80" s="15">
        <f>IFERROR(__xludf.DUMMYFUNCTION("VLOOKUP(A80,IMPORTRANGE(""1QZ5UxyNCwadreQAXnQ7oCoH982DjIA-QnZdO7ZoqkC0/edit#gid=884617569"",""S1 Totals!$A$2:$O$256""),11,FALSE)"),0.3958333333333333)</f>
        <v>0.3958333333</v>
      </c>
      <c r="O80" s="110">
        <f t="shared" si="14"/>
        <v>0.03598484848</v>
      </c>
      <c r="P80" s="16" t="str">
        <f>IFERROR(__xludf.DUMMYFUNCTION("VLOOKUP(A80,IMPORTRANGE(""1QZ5UxyNCwadreQAXnQ7oCoH982DjIA-QnZdO7ZoqkC0/edit#gid=884617569"",""S1 Totals!$A$2:$O$256""),13,FALSE)"),"")</f>
        <v/>
      </c>
      <c r="Q80" s="15" t="str">
        <f>IFERROR(__xludf.DUMMYFUNCTION("VLOOKUP(A80,IMPORTRANGE(""1QZ5UxyNCwadreQAXnQ7oCoH982DjIA-QnZdO7ZoqkC0/edit#gid=884617569"",""S1 Totals!$A$2:$O$256""),14,FALSE)"),"")</f>
        <v/>
      </c>
      <c r="R80" s="15">
        <f t="shared" si="5"/>
        <v>0.4318181818</v>
      </c>
    </row>
    <row r="81">
      <c r="A81" s="107" t="s">
        <v>174</v>
      </c>
      <c r="B81" s="16">
        <f>IFERROR(__xludf.DUMMYFUNCTION("VLOOKUP(A81,IMPORTRANGE(""1aFCnJY1qhIj8-JckJhDJ18aqmVo17tofpQmOjcYa3u8/edit#gid=590920912"",""S1 Totals!$A$2:$O$255""),2,FALSE)"),10.75)</f>
        <v>10.75</v>
      </c>
      <c r="C81" s="15">
        <f>IFERROR(__xludf.DUMMYFUNCTION("VLOOKUP(A81,IMPORTRANGE(""1aFCnJY1qhIj8-JckJhDJ18aqmVo17tofpQmOjcYa3u8/edit#gid=590920912"",""S1 Totals!$A$2:$O$255""),3,FALSE)"),0.32575757575757575)</f>
        <v>0.3257575758</v>
      </c>
      <c r="D81" s="16">
        <f>IFERROR(__xludf.DUMMYFUNCTION("VLOOKUP(A81,IMPORTRANGE(""1QZ5UxyNCwadreQAXnQ7oCoH982DjIA-QnZdO7ZoqkC0/edit#gid=884617569"",""S1 Totals!$A$2:$O$255""),2,FALSE)"),10.0)</f>
        <v>10</v>
      </c>
      <c r="E81" s="15">
        <f>IFERROR(__xludf.DUMMYFUNCTION("VLOOKUP(A81,IMPORTRANGE(""1QZ5UxyNCwadreQAXnQ7oCoH982DjIA-QnZdO7ZoqkC0/edit#gid=884617569"",""S1 Totals!$A$2:$O$255""),3,FALSE)"),0.30303030303030304)</f>
        <v>0.303030303</v>
      </c>
      <c r="F81" s="108">
        <f t="shared" si="1"/>
        <v>0.02272727273</v>
      </c>
      <c r="G81" s="16">
        <f>IFERROR(__xludf.DUMMYFUNCTION("VLOOKUP(A81,IMPORTRANGE(""1QZ5UxyNCwadreQAXnQ7oCoH982DjIA-QnZdO7ZoqkC0/edit#gid=884617569"",""S1 Totals!$A$2:$O$255""),4,FALSE)"),16.0)</f>
        <v>16</v>
      </c>
      <c r="H81" s="15">
        <f>IFERROR(__xludf.DUMMYFUNCTION("VLOOKUP(A81,IMPORTRANGE(""1QZ5UxyNCwadreQAXnQ7oCoH982DjIA-QnZdO7ZoqkC0/edit#gid=884617569"",""S1 Totals!$A$2:$O$255""),5,FALSE)"),0.3404255319148936)</f>
        <v>0.3404255319</v>
      </c>
      <c r="I81" s="108">
        <f t="shared" si="2"/>
        <v>-0.01466795616</v>
      </c>
      <c r="J81" s="16">
        <f>IFERROR(__xludf.DUMMYFUNCTION("VLOOKUP(A81,IMPORTRANGE(""1QZ5UxyNCwadreQAXnQ7oCoH982DjIA-QnZdO7ZoqkC0/edit#gid=884617569"",""S1 Totals!$A$2:$O$255""),7,FALSE)"),11.0)</f>
        <v>11</v>
      </c>
      <c r="K81" s="15">
        <f>IFERROR(__xludf.DUMMYFUNCTION("VLOOKUP(A81,IMPORTRANGE(""1QZ5UxyNCwadreQAXnQ7oCoH982DjIA-QnZdO7ZoqkC0/edit#gid=884617569"",""S1 Totals!$A$2:$O$255""),8,FALSE)"),0.22448979591836735)</f>
        <v>0.2244897959</v>
      </c>
      <c r="L81" s="109">
        <f t="shared" si="3"/>
        <v>0.07854050711</v>
      </c>
      <c r="M81" s="16" t="str">
        <f>IFERROR(__xludf.DUMMYFUNCTION("VLOOKUP(A81,IMPORTRANGE(""1QZ5UxyNCwadreQAXnQ7oCoH982DjIA-QnZdO7ZoqkC0/edit#gid=884617569"",""S1 Totals!$A$2:$O$255""),10,FALSE)"),"")</f>
        <v/>
      </c>
      <c r="N81" s="15" t="str">
        <f>IFERROR(__xludf.DUMMYFUNCTION("VLOOKUP(A81,IMPORTRANGE(""1QZ5UxyNCwadreQAXnQ7oCoH982DjIA-QnZdO7ZoqkC0/edit#gid=884617569"",""S1 Totals!$A$2:$O$256""),11,FALSE)"),"")</f>
        <v/>
      </c>
      <c r="O81" s="110"/>
      <c r="P81" s="16" t="str">
        <f>IFERROR(__xludf.DUMMYFUNCTION("VLOOKUP(A81,IMPORTRANGE(""1QZ5UxyNCwadreQAXnQ7oCoH982DjIA-QnZdO7ZoqkC0/edit#gid=884617569"",""S1 Totals!$A$2:$O$256""),13,FALSE)"),"")</f>
        <v/>
      </c>
      <c r="Q81" s="15" t="str">
        <f>IFERROR(__xludf.DUMMYFUNCTION("VLOOKUP(A81,IMPORTRANGE(""1QZ5UxyNCwadreQAXnQ7oCoH982DjIA-QnZdO7ZoqkC0/edit#gid=884617569"",""S1 Totals!$A$2:$O$256""),14,FALSE)"),"")</f>
        <v/>
      </c>
      <c r="R81" s="15">
        <f t="shared" si="5"/>
        <v>0.3257575758</v>
      </c>
    </row>
    <row r="82">
      <c r="A82" s="107" t="s">
        <v>175</v>
      </c>
      <c r="B82" s="16">
        <f>IFERROR(__xludf.DUMMYFUNCTION("VLOOKUP(A82,IMPORTRANGE(""1aFCnJY1qhIj8-JckJhDJ18aqmVo17tofpQmOjcYa3u8/edit#gid=590920912"",""S1 Totals!$A$2:$O$255""),2,FALSE)"),11.25)</f>
        <v>11.25</v>
      </c>
      <c r="C82" s="15">
        <f>IFERROR(__xludf.DUMMYFUNCTION("VLOOKUP(A82,IMPORTRANGE(""1aFCnJY1qhIj8-JckJhDJ18aqmVo17tofpQmOjcYa3u8/edit#gid=590920912"",""S1 Totals!$A$2:$O$255""),3,FALSE)"),0.3409090909090909)</f>
        <v>0.3409090909</v>
      </c>
      <c r="D82" s="16">
        <f>IFERROR(__xludf.DUMMYFUNCTION("VLOOKUP(A82,IMPORTRANGE(""1QZ5UxyNCwadreQAXnQ7oCoH982DjIA-QnZdO7ZoqkC0/edit#gid=884617569"",""S1 Totals!$A$2:$O$255""),2,FALSE)"),6.5)</f>
        <v>6.5</v>
      </c>
      <c r="E82" s="15">
        <f>IFERROR(__xludf.DUMMYFUNCTION("VLOOKUP(A82,IMPORTRANGE(""1QZ5UxyNCwadreQAXnQ7oCoH982DjIA-QnZdO7ZoqkC0/edit#gid=884617569"",""S1 Totals!$A$2:$O$255""),3,FALSE)"),0.19696969696969696)</f>
        <v>0.196969697</v>
      </c>
      <c r="F82" s="108">
        <f t="shared" si="1"/>
        <v>0.1439393939</v>
      </c>
      <c r="G82" s="16">
        <f>IFERROR(__xludf.DUMMYFUNCTION("VLOOKUP(A82,IMPORTRANGE(""1QZ5UxyNCwadreQAXnQ7oCoH982DjIA-QnZdO7ZoqkC0/edit#gid=884617569"",""S1 Totals!$A$2:$O$255""),4,FALSE)"),12.5)</f>
        <v>12.5</v>
      </c>
      <c r="H82" s="15">
        <f>IFERROR(__xludf.DUMMYFUNCTION("VLOOKUP(A82,IMPORTRANGE(""1QZ5UxyNCwadreQAXnQ7oCoH982DjIA-QnZdO7ZoqkC0/edit#gid=884617569"",""S1 Totals!$A$2:$O$255""),5,FALSE)"),0.26595744680851063)</f>
        <v>0.2659574468</v>
      </c>
      <c r="I82" s="108">
        <f t="shared" si="2"/>
        <v>0.0749516441</v>
      </c>
      <c r="J82" s="16">
        <f>IFERROR(__xludf.DUMMYFUNCTION("VLOOKUP(A82,IMPORTRANGE(""1QZ5UxyNCwadreQAXnQ7oCoH982DjIA-QnZdO7ZoqkC0/edit#gid=884617569"",""S1 Totals!$A$2:$O$255""),7,FALSE)"),5.5)</f>
        <v>5.5</v>
      </c>
      <c r="K82" s="15">
        <f>IFERROR(__xludf.DUMMYFUNCTION("VLOOKUP(A82,IMPORTRANGE(""1QZ5UxyNCwadreQAXnQ7oCoH982DjIA-QnZdO7ZoqkC0/edit#gid=884617569"",""S1 Totals!$A$2:$O$255""),8,FALSE)"),0.11224489795918367)</f>
        <v>0.112244898</v>
      </c>
      <c r="L82" s="109">
        <f t="shared" si="3"/>
        <v>0.08472479901</v>
      </c>
      <c r="M82" s="16" t="str">
        <f>IFERROR(__xludf.DUMMYFUNCTION("VLOOKUP(A82,IMPORTRANGE(""1QZ5UxyNCwadreQAXnQ7oCoH982DjIA-QnZdO7ZoqkC0/edit#gid=884617569"",""S1 Totals!$A$2:$O$255""),10,FALSE)"),"")</f>
        <v/>
      </c>
      <c r="N82" s="15" t="str">
        <f>IFERROR(__xludf.DUMMYFUNCTION("VLOOKUP(A82,IMPORTRANGE(""1QZ5UxyNCwadreQAXnQ7oCoH982DjIA-QnZdO7ZoqkC0/edit#gid=884617569"",""S1 Totals!$A$2:$O$256""),11,FALSE)"),"")</f>
        <v/>
      </c>
      <c r="O82" s="110"/>
      <c r="P82" s="16" t="str">
        <f>IFERROR(__xludf.DUMMYFUNCTION("VLOOKUP(A82,IMPORTRANGE(""1QZ5UxyNCwadreQAXnQ7oCoH982DjIA-QnZdO7ZoqkC0/edit#gid=884617569"",""S1 Totals!$A$2:$O$256""),13,FALSE)"),"")</f>
        <v/>
      </c>
      <c r="Q82" s="15" t="str">
        <f>IFERROR(__xludf.DUMMYFUNCTION("VLOOKUP(A82,IMPORTRANGE(""1QZ5UxyNCwadreQAXnQ7oCoH982DjIA-QnZdO7ZoqkC0/edit#gid=884617569"",""S1 Totals!$A$2:$O$256""),14,FALSE)"),"")</f>
        <v/>
      </c>
      <c r="R82" s="15">
        <f t="shared" si="5"/>
        <v>0.3409090909</v>
      </c>
    </row>
    <row r="83">
      <c r="A83" s="107" t="s">
        <v>227</v>
      </c>
      <c r="B83" s="16">
        <f>IFERROR(__xludf.DUMMYFUNCTION("VLOOKUP(A83,IMPORTRANGE(""1aFCnJY1qhIj8-JckJhDJ18aqmVo17tofpQmOjcYa3u8/edit#gid=590920912"",""S1 Totals!$A$2:$O$255""),2,FALSE)"),0.75)</f>
        <v>0.75</v>
      </c>
      <c r="C83" s="15">
        <f>IFERROR(__xludf.DUMMYFUNCTION("VLOOKUP(A83,IMPORTRANGE(""1aFCnJY1qhIj8-JckJhDJ18aqmVo17tofpQmOjcYa3u8/edit#gid=590920912"",""S1 Totals!$A$2:$O$255""),3,FALSE)"),0.022727272727272728)</f>
        <v>0.02272727273</v>
      </c>
      <c r="D83" s="16">
        <f>IFERROR(__xludf.DUMMYFUNCTION("VLOOKUP(A83,IMPORTRANGE(""1QZ5UxyNCwadreQAXnQ7oCoH982DjIA-QnZdO7ZoqkC0/edit#gid=884617569"",""S1 Totals!$A$2:$O$255""),2,FALSE)"),0.5)</f>
        <v>0.5</v>
      </c>
      <c r="E83" s="15">
        <f>IFERROR(__xludf.DUMMYFUNCTION("VLOOKUP(A83,IMPORTRANGE(""1QZ5UxyNCwadreQAXnQ7oCoH982DjIA-QnZdO7ZoqkC0/edit#gid=884617569"",""S1 Totals!$A$2:$O$255""),3,FALSE)"),0.015151515151515152)</f>
        <v>0.01515151515</v>
      </c>
      <c r="F83" s="108">
        <f t="shared" si="1"/>
        <v>0.007575757576</v>
      </c>
      <c r="G83" s="16">
        <f>IFERROR(__xludf.DUMMYFUNCTION("VLOOKUP(A83,IMPORTRANGE(""1QZ5UxyNCwadreQAXnQ7oCoH982DjIA-QnZdO7ZoqkC0/edit#gid=884617569"",""S1 Totals!$A$2:$O$255""),4,FALSE)"),3.0)</f>
        <v>3</v>
      </c>
      <c r="H83" s="15">
        <f>IFERROR(__xludf.DUMMYFUNCTION("VLOOKUP(A83,IMPORTRANGE(""1QZ5UxyNCwadreQAXnQ7oCoH982DjIA-QnZdO7ZoqkC0/edit#gid=884617569"",""S1 Totals!$A$2:$O$255""),5,FALSE)"),0.06382978723404255)</f>
        <v>0.06382978723</v>
      </c>
      <c r="I83" s="108">
        <f t="shared" si="2"/>
        <v>-0.04110251451</v>
      </c>
      <c r="J83" s="16" t="str">
        <f>IFERROR(__xludf.DUMMYFUNCTION("VLOOKUP(A83,IMPORTRANGE(""1QZ5UxyNCwadreQAXnQ7oCoH982DjIA-QnZdO7ZoqkC0/edit#gid=884617569"",""S1 Totals!$A$2:$O$255""),7,FALSE)"),"")</f>
        <v/>
      </c>
      <c r="K83" s="15" t="str">
        <f>IFERROR(__xludf.DUMMYFUNCTION("VLOOKUP(A83,IMPORTRANGE(""1QZ5UxyNCwadreQAXnQ7oCoH982DjIA-QnZdO7ZoqkC0/edit#gid=884617569"",""S1 Totals!$A$2:$O$255""),8,FALSE)"),"")</f>
        <v/>
      </c>
      <c r="L83" s="109">
        <f t="shared" si="3"/>
        <v>0.01515151515</v>
      </c>
      <c r="M83" s="16" t="str">
        <f>IFERROR(__xludf.DUMMYFUNCTION("VLOOKUP(A83,IMPORTRANGE(""1QZ5UxyNCwadreQAXnQ7oCoH982DjIA-QnZdO7ZoqkC0/edit#gid=884617569"",""S1 Totals!$A$2:$O$255""),10,FALSE)"),"")</f>
        <v/>
      </c>
      <c r="N83" s="15" t="str">
        <f>IFERROR(__xludf.DUMMYFUNCTION("VLOOKUP(A83,IMPORTRANGE(""1QZ5UxyNCwadreQAXnQ7oCoH982DjIA-QnZdO7ZoqkC0/edit#gid=884617569"",""S1 Totals!$A$2:$O$256""),11,FALSE)"),"")</f>
        <v/>
      </c>
      <c r="O83" s="110"/>
      <c r="P83" s="16" t="str">
        <f>IFERROR(__xludf.DUMMYFUNCTION("VLOOKUP(A83,IMPORTRANGE(""1QZ5UxyNCwadreQAXnQ7oCoH982DjIA-QnZdO7ZoqkC0/edit#gid=884617569"",""S1 Totals!$A$2:$O$256""),13,FALSE)"),"")</f>
        <v/>
      </c>
      <c r="Q83" s="15" t="str">
        <f>IFERROR(__xludf.DUMMYFUNCTION("VLOOKUP(A83,IMPORTRANGE(""1QZ5UxyNCwadreQAXnQ7oCoH982DjIA-QnZdO7ZoqkC0/edit#gid=884617569"",""S1 Totals!$A$2:$O$256""),14,FALSE)"),"")</f>
        <v/>
      </c>
      <c r="R83" s="15">
        <f t="shared" si="5"/>
        <v>0.02272727273</v>
      </c>
    </row>
    <row r="84">
      <c r="A84" s="107" t="s">
        <v>127</v>
      </c>
      <c r="B84" s="16">
        <f>IFERROR(__xludf.DUMMYFUNCTION("VLOOKUP(A84,IMPORTRANGE(""1aFCnJY1qhIj8-JckJhDJ18aqmVo17tofpQmOjcYa3u8/edit#gid=590920912"",""S1 Totals!$A$2:$O$255""),2,FALSE)"),25.25)</f>
        <v>25.25</v>
      </c>
      <c r="C84" s="15">
        <f>IFERROR(__xludf.DUMMYFUNCTION("VLOOKUP(A84,IMPORTRANGE(""1aFCnJY1qhIj8-JckJhDJ18aqmVo17tofpQmOjcYa3u8/edit#gid=590920912"",""S1 Totals!$A$2:$O$255""),3,FALSE)"),0.7651515151515151)</f>
        <v>0.7651515152</v>
      </c>
      <c r="D84" s="16">
        <f>IFERROR(__xludf.DUMMYFUNCTION("VLOOKUP(A84,IMPORTRANGE(""1QZ5UxyNCwadreQAXnQ7oCoH982DjIA-QnZdO7ZoqkC0/edit#gid=884617569"",""S1 Totals!$A$2:$O$255""),2,FALSE)"),26.5)</f>
        <v>26.5</v>
      </c>
      <c r="E84" s="15">
        <f>IFERROR(__xludf.DUMMYFUNCTION("VLOOKUP(A84,IMPORTRANGE(""1QZ5UxyNCwadreQAXnQ7oCoH982DjIA-QnZdO7ZoqkC0/edit#gid=884617569"",""S1 Totals!$A$2:$O$255""),3,FALSE)"),0.803030303030303)</f>
        <v>0.803030303</v>
      </c>
      <c r="F84" s="108">
        <f t="shared" si="1"/>
        <v>-0.03787878788</v>
      </c>
      <c r="G84" s="16">
        <f>IFERROR(__xludf.DUMMYFUNCTION("VLOOKUP(A84,IMPORTRANGE(""1QZ5UxyNCwadreQAXnQ7oCoH982DjIA-QnZdO7ZoqkC0/edit#gid=884617569"",""S1 Totals!$A$2:$O$255""),4,FALSE)"),37.0)</f>
        <v>37</v>
      </c>
      <c r="H84" s="15">
        <f>IFERROR(__xludf.DUMMYFUNCTION("VLOOKUP(A84,IMPORTRANGE(""1QZ5UxyNCwadreQAXnQ7oCoH982DjIA-QnZdO7ZoqkC0/edit#gid=884617569"",""S1 Totals!$A$2:$O$255""),5,FALSE)"),0.7872340425531915)</f>
        <v>0.7872340426</v>
      </c>
      <c r="I84" s="108">
        <f t="shared" si="2"/>
        <v>-0.0220825274</v>
      </c>
      <c r="J84" s="16">
        <f>IFERROR(__xludf.DUMMYFUNCTION("VLOOKUP(A84,IMPORTRANGE(""1QZ5UxyNCwadreQAXnQ7oCoH982DjIA-QnZdO7ZoqkC0/edit#gid=884617569"",""S1 Totals!$A$2:$O$255""),7,FALSE)"),33.5)</f>
        <v>33.5</v>
      </c>
      <c r="K84" s="15">
        <f>IFERROR(__xludf.DUMMYFUNCTION("VLOOKUP(A84,IMPORTRANGE(""1QZ5UxyNCwadreQAXnQ7oCoH982DjIA-QnZdO7ZoqkC0/edit#gid=884617569"",""S1 Totals!$A$2:$O$255""),8,FALSE)"),0.6836734693877551)</f>
        <v>0.6836734694</v>
      </c>
      <c r="L84" s="109">
        <f t="shared" si="3"/>
        <v>0.1193568336</v>
      </c>
      <c r="M84" s="16">
        <f>IFERROR(__xludf.DUMMYFUNCTION("VLOOKUP(A84,IMPORTRANGE(""1QZ5UxyNCwadreQAXnQ7oCoH982DjIA-QnZdO7ZoqkC0/edit#gid=884617569"",""S1 Totals!$A$2:$O$255""),10,FALSE)"),30.0)</f>
        <v>30</v>
      </c>
      <c r="N84" s="15">
        <f>IFERROR(__xludf.DUMMYFUNCTION("VLOOKUP(A84,IMPORTRANGE(""1QZ5UxyNCwadreQAXnQ7oCoH982DjIA-QnZdO7ZoqkC0/edit#gid=884617569"",""S1 Totals!$A$2:$O$256""),11,FALSE)"),0.625)</f>
        <v>0.625</v>
      </c>
      <c r="O84" s="110">
        <f>C84-N84</f>
        <v>0.1401515152</v>
      </c>
      <c r="P84" s="16" t="str">
        <f>IFERROR(__xludf.DUMMYFUNCTION("VLOOKUP(A84,IMPORTRANGE(""1QZ5UxyNCwadreQAXnQ7oCoH982DjIA-QnZdO7ZoqkC0/edit#gid=884617569"",""S1 Totals!$A$2:$O$256""),13,FALSE)"),"")</f>
        <v/>
      </c>
      <c r="Q84" s="15" t="str">
        <f>IFERROR(__xludf.DUMMYFUNCTION("VLOOKUP(A84,IMPORTRANGE(""1QZ5UxyNCwadreQAXnQ7oCoH982DjIA-QnZdO7ZoqkC0/edit#gid=884617569"",""S1 Totals!$A$2:$O$256""),14,FALSE)"),"")</f>
        <v/>
      </c>
      <c r="R84" s="15">
        <f t="shared" si="5"/>
        <v>0.7651515152</v>
      </c>
    </row>
    <row r="85">
      <c r="A85" s="107" t="s">
        <v>228</v>
      </c>
      <c r="B85" s="16">
        <f>IFERROR(__xludf.DUMMYFUNCTION("VLOOKUP(A85,IMPORTRANGE(""1aFCnJY1qhIj8-JckJhDJ18aqmVo17tofpQmOjcYa3u8/edit#gid=590920912"",""S1 Totals!$A$2:$O$255""),2,FALSE)"),16.5)</f>
        <v>16.5</v>
      </c>
      <c r="C85" s="15">
        <f>IFERROR(__xludf.DUMMYFUNCTION("VLOOKUP(A85,IMPORTRANGE(""1aFCnJY1qhIj8-JckJhDJ18aqmVo17tofpQmOjcYa3u8/edit#gid=590920912"",""S1 Totals!$A$2:$O$255""),3,FALSE)"),0.5)</f>
        <v>0.5</v>
      </c>
      <c r="D85" s="16">
        <f>IFERROR(__xludf.DUMMYFUNCTION("VLOOKUP(A85,IMPORTRANGE(""1QZ5UxyNCwadreQAXnQ7oCoH982DjIA-QnZdO7ZoqkC0/edit#gid=884617569"",""S1 Totals!$A$2:$O$255""),2,FALSE)"),6.75)</f>
        <v>6.75</v>
      </c>
      <c r="E85" s="15">
        <f>IFERROR(__xludf.DUMMYFUNCTION("VLOOKUP(A85,IMPORTRANGE(""1QZ5UxyNCwadreQAXnQ7oCoH982DjIA-QnZdO7ZoqkC0/edit#gid=884617569"",""S1 Totals!$A$2:$O$255""),3,FALSE)"),0.20454545454545456)</f>
        <v>0.2045454545</v>
      </c>
      <c r="F85" s="108">
        <f t="shared" si="1"/>
        <v>0.2954545455</v>
      </c>
      <c r="G85" s="16">
        <f>IFERROR(__xludf.DUMMYFUNCTION("VLOOKUP(A85,IMPORTRANGE(""1QZ5UxyNCwadreQAXnQ7oCoH982DjIA-QnZdO7ZoqkC0/edit#gid=884617569"",""S1 Totals!$A$2:$O$255""),4,FALSE)"),12.5)</f>
        <v>12.5</v>
      </c>
      <c r="H85" s="15">
        <f>IFERROR(__xludf.DUMMYFUNCTION("VLOOKUP(A85,IMPORTRANGE(""1QZ5UxyNCwadreQAXnQ7oCoH982DjIA-QnZdO7ZoqkC0/edit#gid=884617569"",""S1 Totals!$A$2:$O$255""),5,FALSE)"),0.26595744680851063)</f>
        <v>0.2659574468</v>
      </c>
      <c r="I85" s="108">
        <f t="shared" si="2"/>
        <v>0.2340425532</v>
      </c>
      <c r="J85" s="16" t="str">
        <f>IFERROR(__xludf.DUMMYFUNCTION("VLOOKUP(A85,IMPORTRANGE(""1QZ5UxyNCwadreQAXnQ7oCoH982DjIA-QnZdO7ZoqkC0/edit#gid=884617569"",""S1 Totals!$A$2:$O$255""),7,FALSE)"),"")</f>
        <v/>
      </c>
      <c r="K85" s="15" t="str">
        <f>IFERROR(__xludf.DUMMYFUNCTION("VLOOKUP(A85,IMPORTRANGE(""1QZ5UxyNCwadreQAXnQ7oCoH982DjIA-QnZdO7ZoqkC0/edit#gid=884617569"",""S1 Totals!$A$2:$O$255""),8,FALSE)"),"")</f>
        <v/>
      </c>
      <c r="L85" s="109">
        <f t="shared" si="3"/>
        <v>0.2045454545</v>
      </c>
      <c r="M85" s="16" t="str">
        <f>IFERROR(__xludf.DUMMYFUNCTION("VLOOKUP(A85,IMPORTRANGE(""1QZ5UxyNCwadreQAXnQ7oCoH982DjIA-QnZdO7ZoqkC0/edit#gid=884617569"",""S1 Totals!$A$2:$O$255""),10,FALSE)"),"")</f>
        <v/>
      </c>
      <c r="N85" s="15" t="str">
        <f>IFERROR(__xludf.DUMMYFUNCTION("VLOOKUP(A85,IMPORTRANGE(""1QZ5UxyNCwadreQAXnQ7oCoH982DjIA-QnZdO7ZoqkC0/edit#gid=884617569"",""S1 Totals!$A$2:$O$256""),11,FALSE)"),"")</f>
        <v/>
      </c>
      <c r="O85" s="110"/>
      <c r="P85" s="16" t="str">
        <f>IFERROR(__xludf.DUMMYFUNCTION("VLOOKUP(A85,IMPORTRANGE(""1QZ5UxyNCwadreQAXnQ7oCoH982DjIA-QnZdO7ZoqkC0/edit#gid=884617569"",""S1 Totals!$A$2:$O$256""),13,FALSE)"),"")</f>
        <v/>
      </c>
      <c r="Q85" s="15" t="str">
        <f>IFERROR(__xludf.DUMMYFUNCTION("VLOOKUP(A85,IMPORTRANGE(""1QZ5UxyNCwadreQAXnQ7oCoH982DjIA-QnZdO7ZoqkC0/edit#gid=884617569"",""S1 Totals!$A$2:$O$256""),14,FALSE)"),"")</f>
        <v/>
      </c>
      <c r="R85" s="15">
        <f t="shared" si="5"/>
        <v>0.5</v>
      </c>
    </row>
    <row r="86">
      <c r="A86" s="107" t="s">
        <v>229</v>
      </c>
      <c r="B86" s="16">
        <f>IFERROR(__xludf.DUMMYFUNCTION("VLOOKUP(A86,IMPORTRANGE(""1aFCnJY1qhIj8-JckJhDJ18aqmVo17tofpQmOjcYa3u8/edit#gid=590920912"",""S1 Totals!$A$2:$O$255""),2,FALSE)"),17.5)</f>
        <v>17.5</v>
      </c>
      <c r="C86" s="15">
        <f>IFERROR(__xludf.DUMMYFUNCTION("VLOOKUP(A86,IMPORTRANGE(""1aFCnJY1qhIj8-JckJhDJ18aqmVo17tofpQmOjcYa3u8/edit#gid=590920912"",""S1 Totals!$A$2:$O$255""),3,FALSE)"),0.5303030303030303)</f>
        <v>0.5303030303</v>
      </c>
      <c r="D86" s="16">
        <f>IFERROR(__xludf.DUMMYFUNCTION("VLOOKUP(A86,IMPORTRANGE(""1QZ5UxyNCwadreQAXnQ7oCoH982DjIA-QnZdO7ZoqkC0/edit#gid=884617569"",""S1 Totals!$A$2:$O$255""),2,FALSE)"),23.0)</f>
        <v>23</v>
      </c>
      <c r="E86" s="15">
        <f>IFERROR(__xludf.DUMMYFUNCTION("VLOOKUP(A86,IMPORTRANGE(""1QZ5UxyNCwadreQAXnQ7oCoH982DjIA-QnZdO7ZoqkC0/edit#gid=884617569"",""S1 Totals!$A$2:$O$255""),3,FALSE)"),0.696969696969697)</f>
        <v>0.696969697</v>
      </c>
      <c r="F86" s="108">
        <f t="shared" si="1"/>
        <v>-0.1666666667</v>
      </c>
      <c r="G86" s="16">
        <f>IFERROR(__xludf.DUMMYFUNCTION("VLOOKUP(A86,IMPORTRANGE(""1QZ5UxyNCwadreQAXnQ7oCoH982DjIA-QnZdO7ZoqkC0/edit#gid=884617569"",""S1 Totals!$A$2:$O$255""),4,FALSE)"),38.0)</f>
        <v>38</v>
      </c>
      <c r="H86" s="15">
        <f>IFERROR(__xludf.DUMMYFUNCTION("VLOOKUP(A86,IMPORTRANGE(""1QZ5UxyNCwadreQAXnQ7oCoH982DjIA-QnZdO7ZoqkC0/edit#gid=884617569"",""S1 Totals!$A$2:$O$255""),5,FALSE)"),0.8085106382978723)</f>
        <v>0.8085106383</v>
      </c>
      <c r="I86" s="108">
        <f t="shared" si="2"/>
        <v>-0.278207608</v>
      </c>
      <c r="J86" s="16" t="str">
        <f>IFERROR(__xludf.DUMMYFUNCTION("VLOOKUP(A86,IMPORTRANGE(""1QZ5UxyNCwadreQAXnQ7oCoH982DjIA-QnZdO7ZoqkC0/edit#gid=884617569"",""S1 Totals!$A$2:$O$255""),7,FALSE)"),"")</f>
        <v/>
      </c>
      <c r="K86" s="15" t="str">
        <f>IFERROR(__xludf.DUMMYFUNCTION("VLOOKUP(A86,IMPORTRANGE(""1QZ5UxyNCwadreQAXnQ7oCoH982DjIA-QnZdO7ZoqkC0/edit#gid=884617569"",""S1 Totals!$A$2:$O$255""),8,FALSE)"),"")</f>
        <v/>
      </c>
      <c r="L86" s="109">
        <f t="shared" si="3"/>
        <v>0.696969697</v>
      </c>
      <c r="M86" s="16" t="str">
        <f>IFERROR(__xludf.DUMMYFUNCTION("VLOOKUP(A86,IMPORTRANGE(""1QZ5UxyNCwadreQAXnQ7oCoH982DjIA-QnZdO7ZoqkC0/edit#gid=884617569"",""S1 Totals!$A$2:$O$255""),10,FALSE)"),"")</f>
        <v/>
      </c>
      <c r="N86" s="15" t="str">
        <f>IFERROR(__xludf.DUMMYFUNCTION("VLOOKUP(A86,IMPORTRANGE(""1QZ5UxyNCwadreQAXnQ7oCoH982DjIA-QnZdO7ZoqkC0/edit#gid=884617569"",""S1 Totals!$A$2:$O$256""),11,FALSE)"),"")</f>
        <v/>
      </c>
      <c r="O86" s="110"/>
      <c r="P86" s="16" t="str">
        <f>IFERROR(__xludf.DUMMYFUNCTION("VLOOKUP(A86,IMPORTRANGE(""1QZ5UxyNCwadreQAXnQ7oCoH982DjIA-QnZdO7ZoqkC0/edit#gid=884617569"",""S1 Totals!$A$2:$O$256""),13,FALSE)"),"")</f>
        <v/>
      </c>
      <c r="Q86" s="15" t="str">
        <f>IFERROR(__xludf.DUMMYFUNCTION("VLOOKUP(A86,IMPORTRANGE(""1QZ5UxyNCwadreQAXnQ7oCoH982DjIA-QnZdO7ZoqkC0/edit#gid=884617569"",""S1 Totals!$A$2:$O$256""),14,FALSE)"),"")</f>
        <v/>
      </c>
      <c r="R86" s="15">
        <f t="shared" si="5"/>
        <v>0.5303030303</v>
      </c>
    </row>
    <row r="87">
      <c r="A87" s="107" t="s">
        <v>128</v>
      </c>
      <c r="B87" s="16">
        <f>IFERROR(__xludf.DUMMYFUNCTION("VLOOKUP(A87,IMPORTRANGE(""1aFCnJY1qhIj8-JckJhDJ18aqmVo17tofpQmOjcYa3u8/edit#gid=590920912"",""S1 Totals!$A$2:$O$255""),2,FALSE)"),11.0)</f>
        <v>11</v>
      </c>
      <c r="C87" s="15">
        <f>IFERROR(__xludf.DUMMYFUNCTION("VLOOKUP(A87,IMPORTRANGE(""1aFCnJY1qhIj8-JckJhDJ18aqmVo17tofpQmOjcYa3u8/edit#gid=590920912"",""S1 Totals!$A$2:$O$255""),3,FALSE)"),0.3333333333333333)</f>
        <v>0.3333333333</v>
      </c>
      <c r="D87" s="16">
        <f>IFERROR(__xludf.DUMMYFUNCTION("VLOOKUP(A87,IMPORTRANGE(""1QZ5UxyNCwadreQAXnQ7oCoH982DjIA-QnZdO7ZoqkC0/edit#gid=884617569"",""S1 Totals!$A$2:$O$255""),2,FALSE)"),9.25)</f>
        <v>9.25</v>
      </c>
      <c r="E87" s="15">
        <f>IFERROR(__xludf.DUMMYFUNCTION("VLOOKUP(A87,IMPORTRANGE(""1QZ5UxyNCwadreQAXnQ7oCoH982DjIA-QnZdO7ZoqkC0/edit#gid=884617569"",""S1 Totals!$A$2:$O$255""),3,FALSE)"),0.2803030303030303)</f>
        <v>0.2803030303</v>
      </c>
      <c r="F87" s="108">
        <f t="shared" si="1"/>
        <v>0.05303030303</v>
      </c>
      <c r="G87" s="16">
        <f>IFERROR(__xludf.DUMMYFUNCTION("VLOOKUP(A87,IMPORTRANGE(""1QZ5UxyNCwadreQAXnQ7oCoH982DjIA-QnZdO7ZoqkC0/edit#gid=884617569"",""S1 Totals!$A$2:$O$255""),4,FALSE)"),13.5)</f>
        <v>13.5</v>
      </c>
      <c r="H87" s="15">
        <f>IFERROR(__xludf.DUMMYFUNCTION("VLOOKUP(A87,IMPORTRANGE(""1QZ5UxyNCwadreQAXnQ7oCoH982DjIA-QnZdO7ZoqkC0/edit#gid=884617569"",""S1 Totals!$A$2:$O$255""),5,FALSE)"),0.2872340425531915)</f>
        <v>0.2872340426</v>
      </c>
      <c r="I87" s="108">
        <f t="shared" si="2"/>
        <v>0.04609929078</v>
      </c>
      <c r="J87" s="16">
        <f>IFERROR(__xludf.DUMMYFUNCTION("VLOOKUP(A87,IMPORTRANGE(""1QZ5UxyNCwadreQAXnQ7oCoH982DjIA-QnZdO7ZoqkC0/edit#gid=884617569"",""S1 Totals!$A$2:$O$255""),7,FALSE)"),11.0)</f>
        <v>11</v>
      </c>
      <c r="K87" s="15">
        <f>IFERROR(__xludf.DUMMYFUNCTION("VLOOKUP(A87,IMPORTRANGE(""1QZ5UxyNCwadreQAXnQ7oCoH982DjIA-QnZdO7ZoqkC0/edit#gid=884617569"",""S1 Totals!$A$2:$O$255""),8,FALSE)"),0.22448979591836735)</f>
        <v>0.2244897959</v>
      </c>
      <c r="L87" s="109">
        <f t="shared" si="3"/>
        <v>0.05581323438</v>
      </c>
      <c r="M87" s="16">
        <f>IFERROR(__xludf.DUMMYFUNCTION("VLOOKUP(A87,IMPORTRANGE(""1QZ5UxyNCwadreQAXnQ7oCoH982DjIA-QnZdO7ZoqkC0/edit#gid=884617569"",""S1 Totals!$A$2:$O$255""),10,FALSE)"),10.0)</f>
        <v>10</v>
      </c>
      <c r="N87" s="15">
        <f>IFERROR(__xludf.DUMMYFUNCTION("VLOOKUP(A87,IMPORTRANGE(""1QZ5UxyNCwadreQAXnQ7oCoH982DjIA-QnZdO7ZoqkC0/edit#gid=884617569"",""S1 Totals!$A$2:$O$256""),11,FALSE)"),0.20833333333333334)</f>
        <v>0.2083333333</v>
      </c>
      <c r="O87" s="110">
        <f>C87-N87</f>
        <v>0.125</v>
      </c>
      <c r="P87" s="16" t="str">
        <f>IFERROR(__xludf.DUMMYFUNCTION("VLOOKUP(A87,IMPORTRANGE(""1QZ5UxyNCwadreQAXnQ7oCoH982DjIA-QnZdO7ZoqkC0/edit#gid=884617569"",""S1 Totals!$A$2:$O$256""),13,FALSE)"),"")</f>
        <v/>
      </c>
      <c r="Q87" s="15" t="str">
        <f>IFERROR(__xludf.DUMMYFUNCTION("VLOOKUP(A87,IMPORTRANGE(""1QZ5UxyNCwadreQAXnQ7oCoH982DjIA-QnZdO7ZoqkC0/edit#gid=884617569"",""S1 Totals!$A$2:$O$256""),14,FALSE)"),"")</f>
        <v/>
      </c>
      <c r="R87" s="15">
        <f t="shared" si="5"/>
        <v>0.3333333333</v>
      </c>
    </row>
    <row r="88">
      <c r="A88" s="107" t="s">
        <v>230</v>
      </c>
      <c r="B88" s="16">
        <f>IFERROR(__xludf.DUMMYFUNCTION("VLOOKUP(A88,IMPORTRANGE(""1aFCnJY1qhIj8-JckJhDJ18aqmVo17tofpQmOjcYa3u8/edit#gid=590920912"",""S1 Totals!$A$2:$O$255""),2,FALSE)"),16.5)</f>
        <v>16.5</v>
      </c>
      <c r="C88" s="15">
        <f>IFERROR(__xludf.DUMMYFUNCTION("VLOOKUP(A88,IMPORTRANGE(""1aFCnJY1qhIj8-JckJhDJ18aqmVo17tofpQmOjcYa3u8/edit#gid=590920912"",""S1 Totals!$A$2:$O$255""),3,FALSE)"),0.5)</f>
        <v>0.5</v>
      </c>
      <c r="D88" s="16">
        <f>IFERROR(__xludf.DUMMYFUNCTION("VLOOKUP(A88,IMPORTRANGE(""1QZ5UxyNCwadreQAXnQ7oCoH982DjIA-QnZdO7ZoqkC0/edit#gid=884617569"",""S1 Totals!$A$2:$O$255""),2,FALSE)"),13.75)</f>
        <v>13.75</v>
      </c>
      <c r="E88" s="15">
        <f>IFERROR(__xludf.DUMMYFUNCTION("VLOOKUP(A88,IMPORTRANGE(""1QZ5UxyNCwadreQAXnQ7oCoH982DjIA-QnZdO7ZoqkC0/edit#gid=884617569"",""S1 Totals!$A$2:$O$255""),3,FALSE)"),0.4166666666666667)</f>
        <v>0.4166666667</v>
      </c>
      <c r="F88" s="108">
        <f t="shared" si="1"/>
        <v>0.08333333333</v>
      </c>
      <c r="G88" s="16">
        <f>IFERROR(__xludf.DUMMYFUNCTION("VLOOKUP(A88,IMPORTRANGE(""1QZ5UxyNCwadreQAXnQ7oCoH982DjIA-QnZdO7ZoqkC0/edit#gid=884617569"",""S1 Totals!$A$2:$O$255""),4,FALSE)"),16.0)</f>
        <v>16</v>
      </c>
      <c r="H88" s="15">
        <f>IFERROR(__xludf.DUMMYFUNCTION("VLOOKUP(A88,IMPORTRANGE(""1QZ5UxyNCwadreQAXnQ7oCoH982DjIA-QnZdO7ZoqkC0/edit#gid=884617569"",""S1 Totals!$A$2:$O$255""),5,FALSE)"),0.3404255319148936)</f>
        <v>0.3404255319</v>
      </c>
      <c r="I88" s="108">
        <f t="shared" si="2"/>
        <v>0.1595744681</v>
      </c>
      <c r="J88" s="16" t="str">
        <f>IFERROR(__xludf.DUMMYFUNCTION("VLOOKUP(A88,IMPORTRANGE(""1QZ5UxyNCwadreQAXnQ7oCoH982DjIA-QnZdO7ZoqkC0/edit#gid=884617569"",""S1 Totals!$A$2:$O$255""),7,FALSE)"),"")</f>
        <v/>
      </c>
      <c r="K88" s="15" t="str">
        <f>IFERROR(__xludf.DUMMYFUNCTION("VLOOKUP(A88,IMPORTRANGE(""1QZ5UxyNCwadreQAXnQ7oCoH982DjIA-QnZdO7ZoqkC0/edit#gid=884617569"",""S1 Totals!$A$2:$O$255""),8,FALSE)"),"")</f>
        <v/>
      </c>
      <c r="L88" s="109">
        <f t="shared" si="3"/>
        <v>0.4166666667</v>
      </c>
      <c r="M88" s="16" t="str">
        <f>IFERROR(__xludf.DUMMYFUNCTION("VLOOKUP(A88,IMPORTRANGE(""1QZ5UxyNCwadreQAXnQ7oCoH982DjIA-QnZdO7ZoqkC0/edit#gid=884617569"",""S1 Totals!$A$2:$O$255""),10,FALSE)"),"")</f>
        <v/>
      </c>
      <c r="N88" s="15" t="str">
        <f>IFERROR(__xludf.DUMMYFUNCTION("VLOOKUP(A88,IMPORTRANGE(""1QZ5UxyNCwadreQAXnQ7oCoH982DjIA-QnZdO7ZoqkC0/edit#gid=884617569"",""S1 Totals!$A$2:$O$256""),11,FALSE)"),"")</f>
        <v/>
      </c>
      <c r="O88" s="110"/>
      <c r="P88" s="16" t="str">
        <f>IFERROR(__xludf.DUMMYFUNCTION("VLOOKUP(A88,IMPORTRANGE(""1QZ5UxyNCwadreQAXnQ7oCoH982DjIA-QnZdO7ZoqkC0/edit#gid=884617569"",""S1 Totals!$A$2:$O$256""),13,FALSE)"),"")</f>
        <v/>
      </c>
      <c r="Q88" s="15" t="str">
        <f>IFERROR(__xludf.DUMMYFUNCTION("VLOOKUP(A88,IMPORTRANGE(""1QZ5UxyNCwadreQAXnQ7oCoH982DjIA-QnZdO7ZoqkC0/edit#gid=884617569"",""S1 Totals!$A$2:$O$256""),14,FALSE)"),"")</f>
        <v/>
      </c>
      <c r="R88" s="15">
        <f t="shared" si="5"/>
        <v>0.5</v>
      </c>
    </row>
    <row r="89">
      <c r="A89" s="107" t="s">
        <v>176</v>
      </c>
      <c r="B89" s="16">
        <f>IFERROR(__xludf.DUMMYFUNCTION("VLOOKUP(A89,IMPORTRANGE(""1aFCnJY1qhIj8-JckJhDJ18aqmVo17tofpQmOjcYa3u8/edit#gid=590920912"",""S1 Totals!$A$2:$O$255""),2,FALSE)"),17.75)</f>
        <v>17.75</v>
      </c>
      <c r="C89" s="15">
        <f>IFERROR(__xludf.DUMMYFUNCTION("VLOOKUP(A89,IMPORTRANGE(""1aFCnJY1qhIj8-JckJhDJ18aqmVo17tofpQmOjcYa3u8/edit#gid=590920912"",""S1 Totals!$A$2:$O$255""),3,FALSE)"),0.5378787878787878)</f>
        <v>0.5378787879</v>
      </c>
      <c r="D89" s="16">
        <f>IFERROR(__xludf.DUMMYFUNCTION("VLOOKUP(A89,IMPORTRANGE(""1QZ5UxyNCwadreQAXnQ7oCoH982DjIA-QnZdO7ZoqkC0/edit#gid=884617569"",""S1 Totals!$A$2:$O$255""),2,FALSE)"),16.25)</f>
        <v>16.25</v>
      </c>
      <c r="E89" s="15">
        <f>IFERROR(__xludf.DUMMYFUNCTION("VLOOKUP(A89,IMPORTRANGE(""1QZ5UxyNCwadreQAXnQ7oCoH982DjIA-QnZdO7ZoqkC0/edit#gid=884617569"",""S1 Totals!$A$2:$O$255""),3,FALSE)"),0.49242424242424243)</f>
        <v>0.4924242424</v>
      </c>
      <c r="F89" s="108">
        <f t="shared" si="1"/>
        <v>0.04545454545</v>
      </c>
      <c r="G89" s="16">
        <f>IFERROR(__xludf.DUMMYFUNCTION("VLOOKUP(A89,IMPORTRANGE(""1QZ5UxyNCwadreQAXnQ7oCoH982DjIA-QnZdO7ZoqkC0/edit#gid=884617569"",""S1 Totals!$A$2:$O$255""),4,FALSE)"),21.0)</f>
        <v>21</v>
      </c>
      <c r="H89" s="15">
        <f>IFERROR(__xludf.DUMMYFUNCTION("VLOOKUP(A89,IMPORTRANGE(""1QZ5UxyNCwadreQAXnQ7oCoH982DjIA-QnZdO7ZoqkC0/edit#gid=884617569"",""S1 Totals!$A$2:$O$255""),5,FALSE)"),0.44680851063829785)</f>
        <v>0.4468085106</v>
      </c>
      <c r="I89" s="108">
        <f t="shared" si="2"/>
        <v>0.09107027724</v>
      </c>
      <c r="J89" s="16">
        <f>IFERROR(__xludf.DUMMYFUNCTION("VLOOKUP(A89,IMPORTRANGE(""1QZ5UxyNCwadreQAXnQ7oCoH982DjIA-QnZdO7ZoqkC0/edit#gid=884617569"",""S1 Totals!$A$2:$O$255""),7,FALSE)"),24.5)</f>
        <v>24.5</v>
      </c>
      <c r="K89" s="15">
        <f>IFERROR(__xludf.DUMMYFUNCTION("VLOOKUP(A89,IMPORTRANGE(""1QZ5UxyNCwadreQAXnQ7oCoH982DjIA-QnZdO7ZoqkC0/edit#gid=884617569"",""S1 Totals!$A$2:$O$255""),8,FALSE)"),0.5)</f>
        <v>0.5</v>
      </c>
      <c r="L89" s="109">
        <f t="shared" si="3"/>
        <v>-0.007575757576</v>
      </c>
      <c r="M89" s="16" t="str">
        <f>IFERROR(__xludf.DUMMYFUNCTION("VLOOKUP(A89,IMPORTRANGE(""1QZ5UxyNCwadreQAXnQ7oCoH982DjIA-QnZdO7ZoqkC0/edit#gid=884617569"",""S1 Totals!$A$2:$O$255""),10,FALSE)"),"")</f>
        <v/>
      </c>
      <c r="N89" s="15" t="str">
        <f>IFERROR(__xludf.DUMMYFUNCTION("VLOOKUP(A89,IMPORTRANGE(""1QZ5UxyNCwadreQAXnQ7oCoH982DjIA-QnZdO7ZoqkC0/edit#gid=884617569"",""S1 Totals!$A$2:$O$256""),11,FALSE)"),"")</f>
        <v/>
      </c>
      <c r="O89" s="110"/>
      <c r="P89" s="16" t="str">
        <f>IFERROR(__xludf.DUMMYFUNCTION("VLOOKUP(A89,IMPORTRANGE(""1QZ5UxyNCwadreQAXnQ7oCoH982DjIA-QnZdO7ZoqkC0/edit#gid=884617569"",""S1 Totals!$A$2:$O$256""),13,FALSE)"),"")</f>
        <v/>
      </c>
      <c r="Q89" s="15" t="str">
        <f>IFERROR(__xludf.DUMMYFUNCTION("VLOOKUP(A89,IMPORTRANGE(""1QZ5UxyNCwadreQAXnQ7oCoH982DjIA-QnZdO7ZoqkC0/edit#gid=884617569"",""S1 Totals!$A$2:$O$256""),14,FALSE)"),"")</f>
        <v/>
      </c>
      <c r="R89" s="15">
        <f t="shared" si="5"/>
        <v>0.5378787879</v>
      </c>
    </row>
    <row r="90">
      <c r="A90" s="107" t="s">
        <v>231</v>
      </c>
      <c r="B90" s="16">
        <f>IFERROR(__xludf.DUMMYFUNCTION("VLOOKUP(A90,IMPORTRANGE(""1aFCnJY1qhIj8-JckJhDJ18aqmVo17tofpQmOjcYa3u8/edit#gid=590920912"",""S1 Totals!$A$2:$O$255""),2,FALSE)"),10.75)</f>
        <v>10.75</v>
      </c>
      <c r="C90" s="15">
        <f>IFERROR(__xludf.DUMMYFUNCTION("VLOOKUP(A90,IMPORTRANGE(""1aFCnJY1qhIj8-JckJhDJ18aqmVo17tofpQmOjcYa3u8/edit#gid=590920912"",""S1 Totals!$A$2:$O$255""),3,FALSE)"),0.32575757575757575)</f>
        <v>0.3257575758</v>
      </c>
      <c r="D90" s="16">
        <f>IFERROR(__xludf.DUMMYFUNCTION("VLOOKUP(A90,IMPORTRANGE(""1QZ5UxyNCwadreQAXnQ7oCoH982DjIA-QnZdO7ZoqkC0/edit#gid=884617569"",""S1 Totals!$A$2:$O$255""),2,FALSE)"),13.25)</f>
        <v>13.25</v>
      </c>
      <c r="E90" s="15">
        <f>IFERROR(__xludf.DUMMYFUNCTION("VLOOKUP(A90,IMPORTRANGE(""1QZ5UxyNCwadreQAXnQ7oCoH982DjIA-QnZdO7ZoqkC0/edit#gid=884617569"",""S1 Totals!$A$2:$O$255""),3,FALSE)"),0.4015151515151515)</f>
        <v>0.4015151515</v>
      </c>
      <c r="F90" s="108">
        <f t="shared" si="1"/>
        <v>-0.07575757576</v>
      </c>
      <c r="G90" s="16">
        <f>IFERROR(__xludf.DUMMYFUNCTION("VLOOKUP(A90,IMPORTRANGE(""1QZ5UxyNCwadreQAXnQ7oCoH982DjIA-QnZdO7ZoqkC0/edit#gid=884617569"",""S1 Totals!$A$2:$O$255""),4,FALSE)"),16.5)</f>
        <v>16.5</v>
      </c>
      <c r="H90" s="15">
        <f>IFERROR(__xludf.DUMMYFUNCTION("VLOOKUP(A90,IMPORTRANGE(""1QZ5UxyNCwadreQAXnQ7oCoH982DjIA-QnZdO7ZoqkC0/edit#gid=884617569"",""S1 Totals!$A$2:$O$255""),5,FALSE)"),0.35106382978723405)</f>
        <v>0.3510638298</v>
      </c>
      <c r="I90" s="108">
        <f t="shared" si="2"/>
        <v>-0.02530625403</v>
      </c>
      <c r="J90" s="16" t="str">
        <f>IFERROR(__xludf.DUMMYFUNCTION("VLOOKUP(A90,IMPORTRANGE(""1QZ5UxyNCwadreQAXnQ7oCoH982DjIA-QnZdO7ZoqkC0/edit#gid=884617569"",""S1 Totals!$A$2:$O$255""),7,FALSE)"),"")</f>
        <v/>
      </c>
      <c r="K90" s="15" t="str">
        <f>IFERROR(__xludf.DUMMYFUNCTION("VLOOKUP(A90,IMPORTRANGE(""1QZ5UxyNCwadreQAXnQ7oCoH982DjIA-QnZdO7ZoqkC0/edit#gid=884617569"",""S1 Totals!$A$2:$O$255""),8,FALSE)"),"")</f>
        <v/>
      </c>
      <c r="L90" s="109">
        <f t="shared" si="3"/>
        <v>0.4015151515</v>
      </c>
      <c r="M90" s="16" t="str">
        <f>IFERROR(__xludf.DUMMYFUNCTION("VLOOKUP(A90,IMPORTRANGE(""1QZ5UxyNCwadreQAXnQ7oCoH982DjIA-QnZdO7ZoqkC0/edit#gid=884617569"",""S1 Totals!$A$2:$O$255""),10,FALSE)"),"")</f>
        <v/>
      </c>
      <c r="N90" s="15" t="str">
        <f>IFERROR(__xludf.DUMMYFUNCTION("VLOOKUP(A90,IMPORTRANGE(""1QZ5UxyNCwadreQAXnQ7oCoH982DjIA-QnZdO7ZoqkC0/edit#gid=884617569"",""S1 Totals!$A$2:$O$256""),11,FALSE)"),"")</f>
        <v/>
      </c>
      <c r="O90" s="110"/>
      <c r="P90" s="16" t="str">
        <f>IFERROR(__xludf.DUMMYFUNCTION("VLOOKUP(A90,IMPORTRANGE(""1QZ5UxyNCwadreQAXnQ7oCoH982DjIA-QnZdO7ZoqkC0/edit#gid=884617569"",""S1 Totals!$A$2:$O$256""),13,FALSE)"),"")</f>
        <v/>
      </c>
      <c r="Q90" s="15" t="str">
        <f>IFERROR(__xludf.DUMMYFUNCTION("VLOOKUP(A90,IMPORTRANGE(""1QZ5UxyNCwadreQAXnQ7oCoH982DjIA-QnZdO7ZoqkC0/edit#gid=884617569"",""S1 Totals!$A$2:$O$256""),14,FALSE)"),"")</f>
        <v/>
      </c>
      <c r="R90" s="15">
        <f t="shared" si="5"/>
        <v>0.3257575758</v>
      </c>
    </row>
    <row r="91">
      <c r="A91" s="107" t="s">
        <v>265</v>
      </c>
      <c r="B91" s="16">
        <f>IFERROR(__xludf.DUMMYFUNCTION("VLOOKUP(A91,IMPORTRANGE(""1aFCnJY1qhIj8-JckJhDJ18aqmVo17tofpQmOjcYa3u8/edit#gid=590920912"",""S1 Totals!$A$2:$O$255""),2,FALSE)"),22.5)</f>
        <v>22.5</v>
      </c>
      <c r="C91" s="15">
        <f>IFERROR(__xludf.DUMMYFUNCTION("VLOOKUP(A91,IMPORTRANGE(""1aFCnJY1qhIj8-JckJhDJ18aqmVo17tofpQmOjcYa3u8/edit#gid=590920912"",""S1 Totals!$A$2:$O$255""),3,FALSE)"),0.6818181818181818)</f>
        <v>0.6818181818</v>
      </c>
      <c r="D91" s="16" t="str">
        <f>IFERROR(__xludf.DUMMYFUNCTION("VLOOKUP(A91,IMPORTRANGE(""1QZ5UxyNCwadreQAXnQ7oCoH982DjIA-QnZdO7ZoqkC0/edit#gid=884617569"",""S1 Totals!$A$2:$O$255""),2,FALSE)"),"#N/A")</f>
        <v>#N/A</v>
      </c>
      <c r="E91" s="15" t="str">
        <f>IFERROR(__xludf.DUMMYFUNCTION("VLOOKUP(A91,IMPORTRANGE(""1QZ5UxyNCwadreQAXnQ7oCoH982DjIA-QnZdO7ZoqkC0/edit#gid=884617569"",""S1 Totals!$A$2:$O$255""),3,FALSE)"),"#N/A")</f>
        <v>#N/A</v>
      </c>
      <c r="F91" s="112" t="str">
        <f t="shared" si="1"/>
        <v>#N/A</v>
      </c>
      <c r="G91" s="16" t="str">
        <f>IFERROR(__xludf.DUMMYFUNCTION("VLOOKUP(A91,IMPORTRANGE(""1QZ5UxyNCwadreQAXnQ7oCoH982DjIA-QnZdO7ZoqkC0/edit#gid=884617569"",""S1 Totals!$A$2:$O$255""),4,FALSE)"),"#N/A")</f>
        <v>#N/A</v>
      </c>
      <c r="H91" s="15" t="str">
        <f>IFERROR(__xludf.DUMMYFUNCTION("VLOOKUP(A91,IMPORTRANGE(""1QZ5UxyNCwadreQAXnQ7oCoH982DjIA-QnZdO7ZoqkC0/edit#gid=884617569"",""S1 Totals!$A$2:$O$255""),5,FALSE)"),"#N/A")</f>
        <v>#N/A</v>
      </c>
      <c r="I91" s="108" t="str">
        <f t="shared" si="2"/>
        <v>#N/A</v>
      </c>
      <c r="J91" s="16" t="str">
        <f>IFERROR(__xludf.DUMMYFUNCTION("VLOOKUP(A91,IMPORTRANGE(""1QZ5UxyNCwadreQAXnQ7oCoH982DjIA-QnZdO7ZoqkC0/edit#gid=884617569"",""S1 Totals!$A$2:$O$255""),7,FALSE)"),"#N/A")</f>
        <v>#N/A</v>
      </c>
      <c r="K91" s="15" t="str">
        <f>IFERROR(__xludf.DUMMYFUNCTION("VLOOKUP(A91,IMPORTRANGE(""1QZ5UxyNCwadreQAXnQ7oCoH982DjIA-QnZdO7ZoqkC0/edit#gid=884617569"",""S1 Totals!$A$2:$O$255""),8,FALSE)"),"#N/A")</f>
        <v>#N/A</v>
      </c>
      <c r="L91" s="113" t="str">
        <f t="shared" si="3"/>
        <v>#N/A</v>
      </c>
      <c r="M91" s="16" t="str">
        <f>IFERROR(__xludf.DUMMYFUNCTION("VLOOKUP(A91,IMPORTRANGE(""1QZ5UxyNCwadreQAXnQ7oCoH982DjIA-QnZdO7ZoqkC0/edit#gid=884617569"",""S1 Totals!$A$2:$O$255""),10,FALSE)"),"#N/A")</f>
        <v>#N/A</v>
      </c>
      <c r="N91" s="15" t="str">
        <f>IFERROR(__xludf.DUMMYFUNCTION("VLOOKUP(A91,IMPORTRANGE(""1QZ5UxyNCwadreQAXnQ7oCoH982DjIA-QnZdO7ZoqkC0/edit#gid=884617569"",""S1 Totals!$A$2:$O$256""),11,FALSE)"),"#N/A")</f>
        <v>#N/A</v>
      </c>
      <c r="O91" s="110" t="str">
        <f>C91-N91</f>
        <v>#N/A</v>
      </c>
      <c r="P91" s="16" t="str">
        <f>IFERROR(__xludf.DUMMYFUNCTION("VLOOKUP(A91,IMPORTRANGE(""1QZ5UxyNCwadreQAXnQ7oCoH982DjIA-QnZdO7ZoqkC0/edit#gid=884617569"",""S1 Totals!$A$2:$O$256""),13,FALSE)"),"#N/A")</f>
        <v>#N/A</v>
      </c>
      <c r="Q91" s="15" t="str">
        <f>IFERROR(__xludf.DUMMYFUNCTION("VLOOKUP(A91,IMPORTRANGE(""1QZ5UxyNCwadreQAXnQ7oCoH982DjIA-QnZdO7ZoqkC0/edit#gid=884617569"",""S1 Totals!$A$2:$O$256""),14,FALSE)"),"#N/A")</f>
        <v>#N/A</v>
      </c>
      <c r="R91" s="16" t="str">
        <f t="shared" si="5"/>
        <v>#N/A</v>
      </c>
    </row>
    <row r="92">
      <c r="A92" s="107" t="s">
        <v>177</v>
      </c>
      <c r="B92" s="16">
        <f>IFERROR(__xludf.DUMMYFUNCTION("VLOOKUP(A92,IMPORTRANGE(""1aFCnJY1qhIj8-JckJhDJ18aqmVo17tofpQmOjcYa3u8/edit#gid=590920912"",""S1 Totals!$A$2:$O$255""),2,FALSE)"),9.5)</f>
        <v>9.5</v>
      </c>
      <c r="C92" s="15">
        <f>IFERROR(__xludf.DUMMYFUNCTION("VLOOKUP(A92,IMPORTRANGE(""1aFCnJY1qhIj8-JckJhDJ18aqmVo17tofpQmOjcYa3u8/edit#gid=590920912"",""S1 Totals!$A$2:$O$255""),3,FALSE)"),0.2878787878787879)</f>
        <v>0.2878787879</v>
      </c>
      <c r="D92" s="16">
        <f>IFERROR(__xludf.DUMMYFUNCTION("VLOOKUP(A92,IMPORTRANGE(""1QZ5UxyNCwadreQAXnQ7oCoH982DjIA-QnZdO7ZoqkC0/edit#gid=884617569"",""S1 Totals!$A$2:$O$255""),2,FALSE)"),11.75)</f>
        <v>11.75</v>
      </c>
      <c r="E92" s="15">
        <f>IFERROR(__xludf.DUMMYFUNCTION("VLOOKUP(A92,IMPORTRANGE(""1QZ5UxyNCwadreQAXnQ7oCoH982DjIA-QnZdO7ZoqkC0/edit#gid=884617569"",""S1 Totals!$A$2:$O$255""),3,FALSE)"),0.3560606060606061)</f>
        <v>0.3560606061</v>
      </c>
      <c r="F92" s="108">
        <f t="shared" si="1"/>
        <v>-0.06818181818</v>
      </c>
      <c r="G92" s="16">
        <f>IFERROR(__xludf.DUMMYFUNCTION("VLOOKUP(A92,IMPORTRANGE(""1QZ5UxyNCwadreQAXnQ7oCoH982DjIA-QnZdO7ZoqkC0/edit#gid=884617569"",""S1 Totals!$A$2:$O$255""),4,FALSE)"),21.5)</f>
        <v>21.5</v>
      </c>
      <c r="H92" s="15">
        <f>IFERROR(__xludf.DUMMYFUNCTION("VLOOKUP(A92,IMPORTRANGE(""1QZ5UxyNCwadreQAXnQ7oCoH982DjIA-QnZdO7ZoqkC0/edit#gid=884617569"",""S1 Totals!$A$2:$O$255""),5,FALSE)"),0.4574468085106383)</f>
        <v>0.4574468085</v>
      </c>
      <c r="I92" s="108">
        <f t="shared" si="2"/>
        <v>-0.1695680206</v>
      </c>
      <c r="J92" s="16">
        <f>IFERROR(__xludf.DUMMYFUNCTION("VLOOKUP(A92,IMPORTRANGE(""1QZ5UxyNCwadreQAXnQ7oCoH982DjIA-QnZdO7ZoqkC0/edit#gid=884617569"",""S1 Totals!$A$2:$O$255""),7,FALSE)"),2.0)</f>
        <v>2</v>
      </c>
      <c r="K92" s="15">
        <f>IFERROR(__xludf.DUMMYFUNCTION("VLOOKUP(A92,IMPORTRANGE(""1QZ5UxyNCwadreQAXnQ7oCoH982DjIA-QnZdO7ZoqkC0/edit#gid=884617569"",""S1 Totals!$A$2:$O$255""),8,FALSE)"),0.04081632653061224)</f>
        <v>0.04081632653</v>
      </c>
      <c r="L92" s="109">
        <f t="shared" si="3"/>
        <v>0.3152442795</v>
      </c>
      <c r="M92" s="16" t="str">
        <f>IFERROR(__xludf.DUMMYFUNCTION("VLOOKUP(A92,IMPORTRANGE(""1QZ5UxyNCwadreQAXnQ7oCoH982DjIA-QnZdO7ZoqkC0/edit#gid=884617569"",""S1 Totals!$A$2:$O$255""),10,FALSE)"),"")</f>
        <v/>
      </c>
      <c r="N92" s="15" t="str">
        <f>IFERROR(__xludf.DUMMYFUNCTION("VLOOKUP(A92,IMPORTRANGE(""1QZ5UxyNCwadreQAXnQ7oCoH982DjIA-QnZdO7ZoqkC0/edit#gid=884617569"",""S1 Totals!$A$2:$O$256""),11,FALSE)"),"")</f>
        <v/>
      </c>
      <c r="O92" s="110"/>
      <c r="P92" s="16" t="str">
        <f>IFERROR(__xludf.DUMMYFUNCTION("VLOOKUP(A92,IMPORTRANGE(""1QZ5UxyNCwadreQAXnQ7oCoH982DjIA-QnZdO7ZoqkC0/edit#gid=884617569"",""S1 Totals!$A$2:$O$256""),13,FALSE)"),"")</f>
        <v/>
      </c>
      <c r="Q92" s="15" t="str">
        <f>IFERROR(__xludf.DUMMYFUNCTION("VLOOKUP(A92,IMPORTRANGE(""1QZ5UxyNCwadreQAXnQ7oCoH982DjIA-QnZdO7ZoqkC0/edit#gid=884617569"",""S1 Totals!$A$2:$O$256""),14,FALSE)"),"")</f>
        <v/>
      </c>
      <c r="R92" s="15">
        <f t="shared" si="5"/>
        <v>0.2878787879</v>
      </c>
    </row>
    <row r="93">
      <c r="A93" s="107" t="s">
        <v>129</v>
      </c>
      <c r="B93" s="16">
        <f>IFERROR(__xludf.DUMMYFUNCTION("VLOOKUP(A93,IMPORTRANGE(""1aFCnJY1qhIj8-JckJhDJ18aqmVo17tofpQmOjcYa3u8/edit#gid=590920912"",""S1 Totals!$A$2:$O$255""),2,FALSE)"),26.0)</f>
        <v>26</v>
      </c>
      <c r="C93" s="15">
        <f>IFERROR(__xludf.DUMMYFUNCTION("VLOOKUP(A93,IMPORTRANGE(""1aFCnJY1qhIj8-JckJhDJ18aqmVo17tofpQmOjcYa3u8/edit#gid=590920912"",""S1 Totals!$A$2:$O$255""),3,FALSE)"),0.7878787878787878)</f>
        <v>0.7878787879</v>
      </c>
      <c r="D93" s="16">
        <f>IFERROR(__xludf.DUMMYFUNCTION("VLOOKUP(A93,IMPORTRANGE(""1QZ5UxyNCwadreQAXnQ7oCoH982DjIA-QnZdO7ZoqkC0/edit#gid=884617569"",""S1 Totals!$A$2:$O$255""),2,FALSE)"),28.75)</f>
        <v>28.75</v>
      </c>
      <c r="E93" s="15">
        <f>IFERROR(__xludf.DUMMYFUNCTION("VLOOKUP(A93,IMPORTRANGE(""1QZ5UxyNCwadreQAXnQ7oCoH982DjIA-QnZdO7ZoqkC0/edit#gid=884617569"",""S1 Totals!$A$2:$O$255""),3,FALSE)"),0.8712121212121212)</f>
        <v>0.8712121212</v>
      </c>
      <c r="F93" s="108">
        <f t="shared" si="1"/>
        <v>-0.08333333333</v>
      </c>
      <c r="G93" s="16">
        <f>IFERROR(__xludf.DUMMYFUNCTION("VLOOKUP(A93,IMPORTRANGE(""1QZ5UxyNCwadreQAXnQ7oCoH982DjIA-QnZdO7ZoqkC0/edit#gid=884617569"",""S1 Totals!$A$2:$O$255""),4,FALSE)"),37.0)</f>
        <v>37</v>
      </c>
      <c r="H93" s="15">
        <f>IFERROR(__xludf.DUMMYFUNCTION("VLOOKUP(A93,IMPORTRANGE(""1QZ5UxyNCwadreQAXnQ7oCoH982DjIA-QnZdO7ZoqkC0/edit#gid=884617569"",""S1 Totals!$A$2:$O$255""),5,FALSE)"),0.7872340425531915)</f>
        <v>0.7872340426</v>
      </c>
      <c r="I93" s="108">
        <f t="shared" si="2"/>
        <v>0.0006447453256</v>
      </c>
      <c r="J93" s="16">
        <f>IFERROR(__xludf.DUMMYFUNCTION("VLOOKUP(A93,IMPORTRANGE(""1QZ5UxyNCwadreQAXnQ7oCoH982DjIA-QnZdO7ZoqkC0/edit#gid=884617569"",""S1 Totals!$A$2:$O$255""),7,FALSE)"),39.0)</f>
        <v>39</v>
      </c>
      <c r="K93" s="15">
        <f>IFERROR(__xludf.DUMMYFUNCTION("VLOOKUP(A93,IMPORTRANGE(""1QZ5UxyNCwadreQAXnQ7oCoH982DjIA-QnZdO7ZoqkC0/edit#gid=884617569"",""S1 Totals!$A$2:$O$255""),8,FALSE)"),0.7959183673469388)</f>
        <v>0.7959183673</v>
      </c>
      <c r="L93" s="109">
        <f t="shared" si="3"/>
        <v>0.07529375387</v>
      </c>
      <c r="M93" s="16">
        <f>IFERROR(__xludf.DUMMYFUNCTION("VLOOKUP(A93,IMPORTRANGE(""1QZ5UxyNCwadreQAXnQ7oCoH982DjIA-QnZdO7ZoqkC0/edit#gid=884617569"",""S1 Totals!$A$2:$O$255""),10,FALSE)"),36.0)</f>
        <v>36</v>
      </c>
      <c r="N93" s="15">
        <f>IFERROR(__xludf.DUMMYFUNCTION("VLOOKUP(A93,IMPORTRANGE(""1QZ5UxyNCwadreQAXnQ7oCoH982DjIA-QnZdO7ZoqkC0/edit#gid=884617569"",""S1 Totals!$A$2:$O$256""),11,FALSE)"),0.75)</f>
        <v>0.75</v>
      </c>
      <c r="O93" s="110">
        <f t="shared" ref="O93:O94" si="15">C93-N93</f>
        <v>0.03787878788</v>
      </c>
      <c r="P93" s="16" t="str">
        <f>IFERROR(__xludf.DUMMYFUNCTION("VLOOKUP(A93,IMPORTRANGE(""1QZ5UxyNCwadreQAXnQ7oCoH982DjIA-QnZdO7ZoqkC0/edit#gid=884617569"",""S1 Totals!$A$2:$O$256""),13,FALSE)"),"")</f>
        <v/>
      </c>
      <c r="Q93" s="15" t="str">
        <f>IFERROR(__xludf.DUMMYFUNCTION("VLOOKUP(A93,IMPORTRANGE(""1QZ5UxyNCwadreQAXnQ7oCoH982DjIA-QnZdO7ZoqkC0/edit#gid=884617569"",""S1 Totals!$A$2:$O$256""),14,FALSE)"),"")</f>
        <v/>
      </c>
      <c r="R93" s="15">
        <f t="shared" si="5"/>
        <v>0.7878787879</v>
      </c>
    </row>
    <row r="94">
      <c r="A94" s="107" t="s">
        <v>64</v>
      </c>
      <c r="B94" s="16">
        <f>IFERROR(__xludf.DUMMYFUNCTION("VLOOKUP(A94,IMPORTRANGE(""1aFCnJY1qhIj8-JckJhDJ18aqmVo17tofpQmOjcYa3u8/edit#gid=590920912"",""S1 Totals!$A$2:$O$255""),2,FALSE)"),28.5)</f>
        <v>28.5</v>
      </c>
      <c r="C94" s="15">
        <f>IFERROR(__xludf.DUMMYFUNCTION("VLOOKUP(A94,IMPORTRANGE(""1aFCnJY1qhIj8-JckJhDJ18aqmVo17tofpQmOjcYa3u8/edit#gid=590920912"",""S1 Totals!$A$2:$O$255""),3,FALSE)"),0.8636363636363636)</f>
        <v>0.8636363636</v>
      </c>
      <c r="D94" s="16">
        <f>IFERROR(__xludf.DUMMYFUNCTION("VLOOKUP(A94,IMPORTRANGE(""1QZ5UxyNCwadreQAXnQ7oCoH982DjIA-QnZdO7ZoqkC0/edit#gid=884617569"",""S1 Totals!$A$2:$O$255""),2,FALSE)"),30.0)</f>
        <v>30</v>
      </c>
      <c r="E94" s="15">
        <f>IFERROR(__xludf.DUMMYFUNCTION("VLOOKUP(A94,IMPORTRANGE(""1QZ5UxyNCwadreQAXnQ7oCoH982DjIA-QnZdO7ZoqkC0/edit#gid=884617569"",""S1 Totals!$A$2:$O$255""),3,FALSE)"),0.9090909090909091)</f>
        <v>0.9090909091</v>
      </c>
      <c r="F94" s="108">
        <f t="shared" si="1"/>
        <v>-0.04545454545</v>
      </c>
      <c r="G94" s="16">
        <f>IFERROR(__xludf.DUMMYFUNCTION("VLOOKUP(A94,IMPORTRANGE(""1QZ5UxyNCwadreQAXnQ7oCoH982DjIA-QnZdO7ZoqkC0/edit#gid=884617569"",""S1 Totals!$A$2:$O$255""),4,FALSE)"),43.0)</f>
        <v>43</v>
      </c>
      <c r="H94" s="15">
        <f>IFERROR(__xludf.DUMMYFUNCTION("VLOOKUP(A94,IMPORTRANGE(""1QZ5UxyNCwadreQAXnQ7oCoH982DjIA-QnZdO7ZoqkC0/edit#gid=884617569"",""S1 Totals!$A$2:$O$255""),5,FALSE)"),0.9148936170212766)</f>
        <v>0.914893617</v>
      </c>
      <c r="I94" s="108">
        <f t="shared" si="2"/>
        <v>-0.05125725338</v>
      </c>
      <c r="J94" s="16">
        <f>IFERROR(__xludf.DUMMYFUNCTION("VLOOKUP(A94,IMPORTRANGE(""1QZ5UxyNCwadreQAXnQ7oCoH982DjIA-QnZdO7ZoqkC0/edit#gid=884617569"",""S1 Totals!$A$2:$O$255""),7,FALSE)"),44.5)</f>
        <v>44.5</v>
      </c>
      <c r="K94" s="15">
        <f>IFERROR(__xludf.DUMMYFUNCTION("VLOOKUP(A94,IMPORTRANGE(""1QZ5UxyNCwadreQAXnQ7oCoH982DjIA-QnZdO7ZoqkC0/edit#gid=884617569"",""S1 Totals!$A$2:$O$255""),8,FALSE)"),0.9081632653061225)</f>
        <v>0.9081632653</v>
      </c>
      <c r="L94" s="109">
        <f t="shared" si="3"/>
        <v>0.0009276437848</v>
      </c>
      <c r="M94" s="16">
        <f>IFERROR(__xludf.DUMMYFUNCTION("VLOOKUP(A94,IMPORTRANGE(""1QZ5UxyNCwadreQAXnQ7oCoH982DjIA-QnZdO7ZoqkC0/edit#gid=884617569"",""S1 Totals!$A$2:$O$255""),10,FALSE)"),41.5)</f>
        <v>41.5</v>
      </c>
      <c r="N94" s="15">
        <f>IFERROR(__xludf.DUMMYFUNCTION("VLOOKUP(A94,IMPORTRANGE(""1QZ5UxyNCwadreQAXnQ7oCoH982DjIA-QnZdO7ZoqkC0/edit#gid=884617569"",""S1 Totals!$A$2:$O$256""),11,FALSE)"),0.8645833333333334)</f>
        <v>0.8645833333</v>
      </c>
      <c r="O94" s="110">
        <f t="shared" si="15"/>
        <v>-0.000946969697</v>
      </c>
      <c r="P94" s="16">
        <f>IFERROR(__xludf.DUMMYFUNCTION("VLOOKUP(A94,IMPORTRANGE(""1QZ5UxyNCwadreQAXnQ7oCoH982DjIA-QnZdO7ZoqkC0/edit#gid=884617569"",""S1 Totals!$A$2:$O$256""),13,FALSE)"),38.5)</f>
        <v>38.5</v>
      </c>
      <c r="Q94" s="15">
        <f>IFERROR(__xludf.DUMMYFUNCTION("VLOOKUP(A94,IMPORTRANGE(""1QZ5UxyNCwadreQAXnQ7oCoH982DjIA-QnZdO7ZoqkC0/edit#gid=884617569"",""S1 Totals!$A$2:$O$256""),14,FALSE)"),0.77)</f>
        <v>0.77</v>
      </c>
      <c r="R94" s="15">
        <f t="shared" si="5"/>
        <v>0.09363636364</v>
      </c>
    </row>
    <row r="95">
      <c r="A95" s="107" t="s">
        <v>232</v>
      </c>
      <c r="B95" s="16">
        <f>IFERROR(__xludf.DUMMYFUNCTION("VLOOKUP(A95,IMPORTRANGE(""1aFCnJY1qhIj8-JckJhDJ18aqmVo17tofpQmOjcYa3u8/edit#gid=590920912"",""S1 Totals!$A$2:$O$255""),2,FALSE)"),8.75)</f>
        <v>8.75</v>
      </c>
      <c r="C95" s="15">
        <f>IFERROR(__xludf.DUMMYFUNCTION("VLOOKUP(A95,IMPORTRANGE(""1aFCnJY1qhIj8-JckJhDJ18aqmVo17tofpQmOjcYa3u8/edit#gid=590920912"",""S1 Totals!$A$2:$O$255""),3,FALSE)"),0.26515151515151514)</f>
        <v>0.2651515152</v>
      </c>
      <c r="D95" s="16">
        <f>IFERROR(__xludf.DUMMYFUNCTION("VLOOKUP(A95,IMPORTRANGE(""1QZ5UxyNCwadreQAXnQ7oCoH982DjIA-QnZdO7ZoqkC0/edit#gid=884617569"",""S1 Totals!$A$2:$O$255""),2,FALSE)"),5.25)</f>
        <v>5.25</v>
      </c>
      <c r="E95" s="15">
        <f>IFERROR(__xludf.DUMMYFUNCTION("VLOOKUP(A95,IMPORTRANGE(""1QZ5UxyNCwadreQAXnQ7oCoH982DjIA-QnZdO7ZoqkC0/edit#gid=884617569"",""S1 Totals!$A$2:$O$255""),3,FALSE)"),0.1590909090909091)</f>
        <v>0.1590909091</v>
      </c>
      <c r="F95" s="108">
        <f t="shared" si="1"/>
        <v>0.1060606061</v>
      </c>
      <c r="G95" s="16">
        <f>IFERROR(__xludf.DUMMYFUNCTION("VLOOKUP(A95,IMPORTRANGE(""1QZ5UxyNCwadreQAXnQ7oCoH982DjIA-QnZdO7ZoqkC0/edit#gid=884617569"",""S1 Totals!$A$2:$O$255""),4,FALSE)"),16.0)</f>
        <v>16</v>
      </c>
      <c r="H95" s="15">
        <f>IFERROR(__xludf.DUMMYFUNCTION("VLOOKUP(A95,IMPORTRANGE(""1QZ5UxyNCwadreQAXnQ7oCoH982DjIA-QnZdO7ZoqkC0/edit#gid=884617569"",""S1 Totals!$A$2:$O$255""),5,FALSE)"),0.3404255319148936)</f>
        <v>0.3404255319</v>
      </c>
      <c r="I95" s="108">
        <f t="shared" si="2"/>
        <v>-0.07527401676</v>
      </c>
      <c r="J95" s="16" t="str">
        <f>IFERROR(__xludf.DUMMYFUNCTION("VLOOKUP(A95,IMPORTRANGE(""1QZ5UxyNCwadreQAXnQ7oCoH982DjIA-QnZdO7ZoqkC0/edit#gid=884617569"",""S1 Totals!$A$2:$O$255""),7,FALSE)"),"")</f>
        <v/>
      </c>
      <c r="K95" s="15" t="str">
        <f>IFERROR(__xludf.DUMMYFUNCTION("VLOOKUP(A95,IMPORTRANGE(""1QZ5UxyNCwadreQAXnQ7oCoH982DjIA-QnZdO7ZoqkC0/edit#gid=884617569"",""S1 Totals!$A$2:$O$255""),8,FALSE)"),"")</f>
        <v/>
      </c>
      <c r="L95" s="109">
        <f t="shared" si="3"/>
        <v>0.1590909091</v>
      </c>
      <c r="M95" s="16" t="str">
        <f>IFERROR(__xludf.DUMMYFUNCTION("VLOOKUP(A95,IMPORTRANGE(""1QZ5UxyNCwadreQAXnQ7oCoH982DjIA-QnZdO7ZoqkC0/edit#gid=884617569"",""S1 Totals!$A$2:$O$255""),10,FALSE)"),"")</f>
        <v/>
      </c>
      <c r="N95" s="15" t="str">
        <f>IFERROR(__xludf.DUMMYFUNCTION("VLOOKUP(A95,IMPORTRANGE(""1QZ5UxyNCwadreQAXnQ7oCoH982DjIA-QnZdO7ZoqkC0/edit#gid=884617569"",""S1 Totals!$A$2:$O$256""),11,FALSE)"),"")</f>
        <v/>
      </c>
      <c r="O95" s="110"/>
      <c r="P95" s="16" t="str">
        <f>IFERROR(__xludf.DUMMYFUNCTION("VLOOKUP(A95,IMPORTRANGE(""1QZ5UxyNCwadreQAXnQ7oCoH982DjIA-QnZdO7ZoqkC0/edit#gid=884617569"",""S1 Totals!$A$2:$O$256""),13,FALSE)"),"")</f>
        <v/>
      </c>
      <c r="Q95" s="15" t="str">
        <f>IFERROR(__xludf.DUMMYFUNCTION("VLOOKUP(A95,IMPORTRANGE(""1QZ5UxyNCwadreQAXnQ7oCoH982DjIA-QnZdO7ZoqkC0/edit#gid=884617569"",""S1 Totals!$A$2:$O$256""),14,FALSE)"),"")</f>
        <v/>
      </c>
      <c r="R95" s="15">
        <f t="shared" si="5"/>
        <v>0.2651515152</v>
      </c>
    </row>
    <row r="96">
      <c r="A96" s="107" t="s">
        <v>51</v>
      </c>
      <c r="B96" s="16">
        <f>IFERROR(__xludf.DUMMYFUNCTION("VLOOKUP(A96,IMPORTRANGE(""1aFCnJY1qhIj8-JckJhDJ18aqmVo17tofpQmOjcYa3u8/edit#gid=590920912"",""S1 Totals!$A$2:$O$255""),2,FALSE)"),29.0)</f>
        <v>29</v>
      </c>
      <c r="C96" s="15">
        <f>IFERROR(__xludf.DUMMYFUNCTION("VLOOKUP(A96,IMPORTRANGE(""1aFCnJY1qhIj8-JckJhDJ18aqmVo17tofpQmOjcYa3u8/edit#gid=590920912"",""S1 Totals!$A$2:$O$255""),3,FALSE)"),0.8787878787878788)</f>
        <v>0.8787878788</v>
      </c>
      <c r="D96" s="16">
        <f>IFERROR(__xludf.DUMMYFUNCTION("VLOOKUP(A96,IMPORTRANGE(""1QZ5UxyNCwadreQAXnQ7oCoH982DjIA-QnZdO7ZoqkC0/edit#gid=884617569"",""S1 Totals!$A$2:$O$255""),2,FALSE)"),29.75)</f>
        <v>29.75</v>
      </c>
      <c r="E96" s="15">
        <f>IFERROR(__xludf.DUMMYFUNCTION("VLOOKUP(A96,IMPORTRANGE(""1QZ5UxyNCwadreQAXnQ7oCoH982DjIA-QnZdO7ZoqkC0/edit#gid=884617569"",""S1 Totals!$A$2:$O$255""),3,FALSE)"),0.9015151515151515)</f>
        <v>0.9015151515</v>
      </c>
      <c r="F96" s="108">
        <f t="shared" si="1"/>
        <v>-0.02272727273</v>
      </c>
      <c r="G96" s="16">
        <f>IFERROR(__xludf.DUMMYFUNCTION("VLOOKUP(A96,IMPORTRANGE(""1QZ5UxyNCwadreQAXnQ7oCoH982DjIA-QnZdO7ZoqkC0/edit#gid=884617569"",""S1 Totals!$A$2:$O$255""),4,FALSE)"),43.0)</f>
        <v>43</v>
      </c>
      <c r="H96" s="15">
        <f>IFERROR(__xludf.DUMMYFUNCTION("VLOOKUP(A96,IMPORTRANGE(""1QZ5UxyNCwadreQAXnQ7oCoH982DjIA-QnZdO7ZoqkC0/edit#gid=884617569"",""S1 Totals!$A$2:$O$255""),5,FALSE)"),0.9148936170212766)</f>
        <v>0.914893617</v>
      </c>
      <c r="I96" s="108">
        <f t="shared" si="2"/>
        <v>-0.03610573823</v>
      </c>
      <c r="J96" s="16">
        <f>IFERROR(__xludf.DUMMYFUNCTION("VLOOKUP(A96,IMPORTRANGE(""1QZ5UxyNCwadreQAXnQ7oCoH982DjIA-QnZdO7ZoqkC0/edit#gid=884617569"",""S1 Totals!$A$2:$O$255""),7,FALSE)"),31.5)</f>
        <v>31.5</v>
      </c>
      <c r="K96" s="15">
        <f>IFERROR(__xludf.DUMMYFUNCTION("VLOOKUP(A96,IMPORTRANGE(""1QZ5UxyNCwadreQAXnQ7oCoH982DjIA-QnZdO7ZoqkC0/edit#gid=884617569"",""S1 Totals!$A$2:$O$255""),8,FALSE)"),0.6428571428571429)</f>
        <v>0.6428571429</v>
      </c>
      <c r="L96" s="109">
        <f t="shared" si="3"/>
        <v>0.2586580087</v>
      </c>
      <c r="M96" s="16">
        <f>IFERROR(__xludf.DUMMYFUNCTION("VLOOKUP(A96,IMPORTRANGE(""1QZ5UxyNCwadreQAXnQ7oCoH982DjIA-QnZdO7ZoqkC0/edit#gid=884617569"",""S1 Totals!$A$2:$O$255""),10,FALSE)"),38.5)</f>
        <v>38.5</v>
      </c>
      <c r="N96" s="15">
        <f>IFERROR(__xludf.DUMMYFUNCTION("VLOOKUP(A96,IMPORTRANGE(""1QZ5UxyNCwadreQAXnQ7oCoH982DjIA-QnZdO7ZoqkC0/edit#gid=884617569"",""S1 Totals!$A$2:$O$256""),11,FALSE)"),0.8020833333333334)</f>
        <v>0.8020833333</v>
      </c>
      <c r="O96" s="110">
        <f t="shared" ref="O96:O102" si="16">C96-N96</f>
        <v>0.07670454545</v>
      </c>
      <c r="P96" s="16">
        <f>IFERROR(__xludf.DUMMYFUNCTION("VLOOKUP(A96,IMPORTRANGE(""1QZ5UxyNCwadreQAXnQ7oCoH982DjIA-QnZdO7ZoqkC0/edit#gid=884617569"",""S1 Totals!$A$2:$O$256""),13,FALSE)"),35.5)</f>
        <v>35.5</v>
      </c>
      <c r="Q96" s="15">
        <f>IFERROR(__xludf.DUMMYFUNCTION("VLOOKUP(A96,IMPORTRANGE(""1QZ5UxyNCwadreQAXnQ7oCoH982DjIA-QnZdO7ZoqkC0/edit#gid=884617569"",""S1 Totals!$A$2:$O$256""),14,FALSE)"),0.71)</f>
        <v>0.71</v>
      </c>
      <c r="R96" s="15">
        <f t="shared" si="5"/>
        <v>0.1687878788</v>
      </c>
    </row>
    <row r="97">
      <c r="A97" s="107" t="s">
        <v>266</v>
      </c>
      <c r="B97" s="16">
        <f>IFERROR(__xludf.DUMMYFUNCTION("VLOOKUP(A97,IMPORTRANGE(""1aFCnJY1qhIj8-JckJhDJ18aqmVo17tofpQmOjcYa3u8/edit#gid=590920912"",""S1 Totals!$A$2:$O$255""),2,FALSE)"),25.5)</f>
        <v>25.5</v>
      </c>
      <c r="C97" s="15">
        <f>IFERROR(__xludf.DUMMYFUNCTION("VLOOKUP(A97,IMPORTRANGE(""1aFCnJY1qhIj8-JckJhDJ18aqmVo17tofpQmOjcYa3u8/edit#gid=590920912"",""S1 Totals!$A$2:$O$255""),3,FALSE)"),0.7727272727272727)</f>
        <v>0.7727272727</v>
      </c>
      <c r="D97" s="16" t="str">
        <f>IFERROR(__xludf.DUMMYFUNCTION("VLOOKUP(A97,IMPORTRANGE(""1QZ5UxyNCwadreQAXnQ7oCoH982DjIA-QnZdO7ZoqkC0/edit#gid=884617569"",""S1 Totals!$A$2:$O$255""),2,FALSE)"),"#N/A")</f>
        <v>#N/A</v>
      </c>
      <c r="E97" s="15" t="str">
        <f>IFERROR(__xludf.DUMMYFUNCTION("VLOOKUP(A97,IMPORTRANGE(""1QZ5UxyNCwadreQAXnQ7oCoH982DjIA-QnZdO7ZoqkC0/edit#gid=884617569"",""S1 Totals!$A$2:$O$255""),3,FALSE)"),"#N/A")</f>
        <v>#N/A</v>
      </c>
      <c r="F97" s="112" t="str">
        <f t="shared" si="1"/>
        <v>#N/A</v>
      </c>
      <c r="G97" s="16" t="str">
        <f>IFERROR(__xludf.DUMMYFUNCTION("VLOOKUP(A97,IMPORTRANGE(""1QZ5UxyNCwadreQAXnQ7oCoH982DjIA-QnZdO7ZoqkC0/edit#gid=884617569"",""S1 Totals!$A$2:$O$255""),4,FALSE)"),"#N/A")</f>
        <v>#N/A</v>
      </c>
      <c r="H97" s="15" t="str">
        <f>IFERROR(__xludf.DUMMYFUNCTION("VLOOKUP(A97,IMPORTRANGE(""1QZ5UxyNCwadreQAXnQ7oCoH982DjIA-QnZdO7ZoqkC0/edit#gid=884617569"",""S1 Totals!$A$2:$O$255""),5,FALSE)"),"#N/A")</f>
        <v>#N/A</v>
      </c>
      <c r="I97" s="108" t="str">
        <f t="shared" si="2"/>
        <v>#N/A</v>
      </c>
      <c r="J97" s="16" t="str">
        <f>IFERROR(__xludf.DUMMYFUNCTION("VLOOKUP(A97,IMPORTRANGE(""1QZ5UxyNCwadreQAXnQ7oCoH982DjIA-QnZdO7ZoqkC0/edit#gid=884617569"",""S1 Totals!$A$2:$O$255""),7,FALSE)"),"#N/A")</f>
        <v>#N/A</v>
      </c>
      <c r="K97" s="15" t="str">
        <f>IFERROR(__xludf.DUMMYFUNCTION("VLOOKUP(A97,IMPORTRANGE(""1QZ5UxyNCwadreQAXnQ7oCoH982DjIA-QnZdO7ZoqkC0/edit#gid=884617569"",""S1 Totals!$A$2:$O$255""),8,FALSE)"),"#N/A")</f>
        <v>#N/A</v>
      </c>
      <c r="L97" s="113" t="str">
        <f t="shared" si="3"/>
        <v>#N/A</v>
      </c>
      <c r="M97" s="16" t="str">
        <f>IFERROR(__xludf.DUMMYFUNCTION("VLOOKUP(A97,IMPORTRANGE(""1QZ5UxyNCwadreQAXnQ7oCoH982DjIA-QnZdO7ZoqkC0/edit#gid=884617569"",""S1 Totals!$A$2:$O$255""),10,FALSE)"),"#N/A")</f>
        <v>#N/A</v>
      </c>
      <c r="N97" s="15" t="str">
        <f>IFERROR(__xludf.DUMMYFUNCTION("VLOOKUP(A97,IMPORTRANGE(""1QZ5UxyNCwadreQAXnQ7oCoH982DjIA-QnZdO7ZoqkC0/edit#gid=884617569"",""S1 Totals!$A$2:$O$256""),11,FALSE)"),"#N/A")</f>
        <v>#N/A</v>
      </c>
      <c r="O97" s="110" t="str">
        <f t="shared" si="16"/>
        <v>#N/A</v>
      </c>
      <c r="P97" s="16" t="str">
        <f>IFERROR(__xludf.DUMMYFUNCTION("VLOOKUP(A97,IMPORTRANGE(""1QZ5UxyNCwadreQAXnQ7oCoH982DjIA-QnZdO7ZoqkC0/edit#gid=884617569"",""S1 Totals!$A$2:$O$256""),13,FALSE)"),"#N/A")</f>
        <v>#N/A</v>
      </c>
      <c r="Q97" s="15" t="str">
        <f>IFERROR(__xludf.DUMMYFUNCTION("VLOOKUP(A97,IMPORTRANGE(""1QZ5UxyNCwadreQAXnQ7oCoH982DjIA-QnZdO7ZoqkC0/edit#gid=884617569"",""S1 Totals!$A$2:$O$256""),14,FALSE)"),"#N/A")</f>
        <v>#N/A</v>
      </c>
      <c r="R97" s="16" t="str">
        <f t="shared" si="5"/>
        <v>#N/A</v>
      </c>
    </row>
    <row r="98">
      <c r="A98" s="107" t="s">
        <v>52</v>
      </c>
      <c r="B98" s="16">
        <f>IFERROR(__xludf.DUMMYFUNCTION("VLOOKUP(A98,IMPORTRANGE(""1aFCnJY1qhIj8-JckJhDJ18aqmVo17tofpQmOjcYa3u8/edit#gid=590920912"",""S1 Totals!$A$2:$O$255""),2,FALSE)"),30.5)</f>
        <v>30.5</v>
      </c>
      <c r="C98" s="15">
        <f>IFERROR(__xludf.DUMMYFUNCTION("VLOOKUP(A98,IMPORTRANGE(""1aFCnJY1qhIj8-JckJhDJ18aqmVo17tofpQmOjcYa3u8/edit#gid=590920912"",""S1 Totals!$A$2:$O$255""),3,FALSE)"),0.9242424242424242)</f>
        <v>0.9242424242</v>
      </c>
      <c r="D98" s="16">
        <f>IFERROR(__xludf.DUMMYFUNCTION("VLOOKUP(A98,IMPORTRANGE(""1QZ5UxyNCwadreQAXnQ7oCoH982DjIA-QnZdO7ZoqkC0/edit#gid=884617569"",""S1 Totals!$A$2:$O$255""),2,FALSE)"),29.25)</f>
        <v>29.25</v>
      </c>
      <c r="E98" s="15">
        <f>IFERROR(__xludf.DUMMYFUNCTION("VLOOKUP(A98,IMPORTRANGE(""1QZ5UxyNCwadreQAXnQ7oCoH982DjIA-QnZdO7ZoqkC0/edit#gid=884617569"",""S1 Totals!$A$2:$O$255""),3,FALSE)"),0.8863636363636364)</f>
        <v>0.8863636364</v>
      </c>
      <c r="F98" s="108">
        <f t="shared" si="1"/>
        <v>0.03787878788</v>
      </c>
      <c r="G98" s="16">
        <f>IFERROR(__xludf.DUMMYFUNCTION("VLOOKUP(A98,IMPORTRANGE(""1QZ5UxyNCwadreQAXnQ7oCoH982DjIA-QnZdO7ZoqkC0/edit#gid=884617569"",""S1 Totals!$A$2:$O$255""),4,FALSE)"),47.0)</f>
        <v>47</v>
      </c>
      <c r="H98" s="15">
        <f>IFERROR(__xludf.DUMMYFUNCTION("VLOOKUP(A98,IMPORTRANGE(""1QZ5UxyNCwadreQAXnQ7oCoH982DjIA-QnZdO7ZoqkC0/edit#gid=884617569"",""S1 Totals!$A$2:$O$255""),5,FALSE)"),1.0)</f>
        <v>1</v>
      </c>
      <c r="I98" s="108">
        <f t="shared" si="2"/>
        <v>-0.07575757576</v>
      </c>
      <c r="J98" s="16">
        <f>IFERROR(__xludf.DUMMYFUNCTION("VLOOKUP(A98,IMPORTRANGE(""1QZ5UxyNCwadreQAXnQ7oCoH982DjIA-QnZdO7ZoqkC0/edit#gid=884617569"",""S1 Totals!$A$2:$O$255""),7,FALSE)"),49.0)</f>
        <v>49</v>
      </c>
      <c r="K98" s="15">
        <f>IFERROR(__xludf.DUMMYFUNCTION("VLOOKUP(A98,IMPORTRANGE(""1QZ5UxyNCwadreQAXnQ7oCoH982DjIA-QnZdO7ZoqkC0/edit#gid=884617569"",""S1 Totals!$A$2:$O$255""),8,FALSE)"),1.0)</f>
        <v>1</v>
      </c>
      <c r="L98" s="109">
        <f t="shared" si="3"/>
        <v>-0.1136363636</v>
      </c>
      <c r="M98" s="16">
        <f>IFERROR(__xludf.DUMMYFUNCTION("VLOOKUP(A98,IMPORTRANGE(""1QZ5UxyNCwadreQAXnQ7oCoH982DjIA-QnZdO7ZoqkC0/edit#gid=884617569"",""S1 Totals!$A$2:$O$255""),10,FALSE)"),48.0)</f>
        <v>48</v>
      </c>
      <c r="N98" s="15">
        <f>IFERROR(__xludf.DUMMYFUNCTION("VLOOKUP(A98,IMPORTRANGE(""1QZ5UxyNCwadreQAXnQ7oCoH982DjIA-QnZdO7ZoqkC0/edit#gid=884617569"",""S1 Totals!$A$2:$O$256""),11,FALSE)"),1.0)</f>
        <v>1</v>
      </c>
      <c r="O98" s="110">
        <f t="shared" si="16"/>
        <v>-0.07575757576</v>
      </c>
      <c r="P98" s="16">
        <f>IFERROR(__xludf.DUMMYFUNCTION("VLOOKUP(A98,IMPORTRANGE(""1QZ5UxyNCwadreQAXnQ7oCoH982DjIA-QnZdO7ZoqkC0/edit#gid=884617569"",""S1 Totals!$A$2:$O$256""),13,FALSE)"),39.0)</f>
        <v>39</v>
      </c>
      <c r="Q98" s="15">
        <f>IFERROR(__xludf.DUMMYFUNCTION("VLOOKUP(A98,IMPORTRANGE(""1QZ5UxyNCwadreQAXnQ7oCoH982DjIA-QnZdO7ZoqkC0/edit#gid=884617569"",""S1 Totals!$A$2:$O$256""),14,FALSE)"),0.78)</f>
        <v>0.78</v>
      </c>
      <c r="R98" s="15">
        <f t="shared" si="5"/>
        <v>0.1442424242</v>
      </c>
    </row>
    <row r="99">
      <c r="A99" s="107" t="s">
        <v>53</v>
      </c>
      <c r="B99" s="16">
        <f>IFERROR(__xludf.DUMMYFUNCTION("VLOOKUP(A99,IMPORTRANGE(""1aFCnJY1qhIj8-JckJhDJ18aqmVo17tofpQmOjcYa3u8/edit#gid=590920912"",""S1 Totals!$A$2:$O$255""),2,FALSE)"),20.0)</f>
        <v>20</v>
      </c>
      <c r="C99" s="15">
        <f>IFERROR(__xludf.DUMMYFUNCTION("VLOOKUP(A99,IMPORTRANGE(""1aFCnJY1qhIj8-JckJhDJ18aqmVo17tofpQmOjcYa3u8/edit#gid=590920912"",""S1 Totals!$A$2:$O$255""),3,FALSE)"),0.6060606060606061)</f>
        <v>0.6060606061</v>
      </c>
      <c r="D99" s="16">
        <f>IFERROR(__xludf.DUMMYFUNCTION("VLOOKUP(A99,IMPORTRANGE(""1QZ5UxyNCwadreQAXnQ7oCoH982DjIA-QnZdO7ZoqkC0/edit#gid=884617569"",""S1 Totals!$A$2:$O$255""),2,FALSE)"),17.75)</f>
        <v>17.75</v>
      </c>
      <c r="E99" s="15">
        <f>IFERROR(__xludf.DUMMYFUNCTION("VLOOKUP(A99,IMPORTRANGE(""1QZ5UxyNCwadreQAXnQ7oCoH982DjIA-QnZdO7ZoqkC0/edit#gid=884617569"",""S1 Totals!$A$2:$O$255""),3,FALSE)"),0.5378787878787878)</f>
        <v>0.5378787879</v>
      </c>
      <c r="F99" s="108">
        <f t="shared" si="1"/>
        <v>0.06818181818</v>
      </c>
      <c r="G99" s="16">
        <f>IFERROR(__xludf.DUMMYFUNCTION("VLOOKUP(A99,IMPORTRANGE(""1QZ5UxyNCwadreQAXnQ7oCoH982DjIA-QnZdO7ZoqkC0/edit#gid=884617569"",""S1 Totals!$A$2:$O$255""),4,FALSE)"),27.0)</f>
        <v>27</v>
      </c>
      <c r="H99" s="15">
        <f>IFERROR(__xludf.DUMMYFUNCTION("VLOOKUP(A99,IMPORTRANGE(""1QZ5UxyNCwadreQAXnQ7oCoH982DjIA-QnZdO7ZoqkC0/edit#gid=884617569"",""S1 Totals!$A$2:$O$255""),5,FALSE)"),0.574468085106383)</f>
        <v>0.5744680851</v>
      </c>
      <c r="I99" s="108">
        <f t="shared" si="2"/>
        <v>0.03159252095</v>
      </c>
      <c r="J99" s="16">
        <f>IFERROR(__xludf.DUMMYFUNCTION("VLOOKUP(A99,IMPORTRANGE(""1QZ5UxyNCwadreQAXnQ7oCoH982DjIA-QnZdO7ZoqkC0/edit#gid=884617569"",""S1 Totals!$A$2:$O$255""),7,FALSE)"),31.0)</f>
        <v>31</v>
      </c>
      <c r="K99" s="15">
        <f>IFERROR(__xludf.DUMMYFUNCTION("VLOOKUP(A99,IMPORTRANGE(""1QZ5UxyNCwadreQAXnQ7oCoH982DjIA-QnZdO7ZoqkC0/edit#gid=884617569"",""S1 Totals!$A$2:$O$255""),8,FALSE)"),0.6326530612244898)</f>
        <v>0.6326530612</v>
      </c>
      <c r="L99" s="109">
        <f t="shared" si="3"/>
        <v>-0.09477427335</v>
      </c>
      <c r="M99" s="16">
        <f>IFERROR(__xludf.DUMMYFUNCTION("VLOOKUP(A99,IMPORTRANGE(""1QZ5UxyNCwadreQAXnQ7oCoH982DjIA-QnZdO7ZoqkC0/edit#gid=884617569"",""S1 Totals!$A$2:$O$255""),10,FALSE)"),24.5)</f>
        <v>24.5</v>
      </c>
      <c r="N99" s="15">
        <f>IFERROR(__xludf.DUMMYFUNCTION("VLOOKUP(A99,IMPORTRANGE(""1QZ5UxyNCwadreQAXnQ7oCoH982DjIA-QnZdO7ZoqkC0/edit#gid=884617569"",""S1 Totals!$A$2:$O$256""),11,FALSE)"),0.5104166666666666)</f>
        <v>0.5104166667</v>
      </c>
      <c r="O99" s="110">
        <f t="shared" si="16"/>
        <v>0.09564393939</v>
      </c>
      <c r="P99" s="16">
        <f>IFERROR(__xludf.DUMMYFUNCTION("VLOOKUP(A99,IMPORTRANGE(""1QZ5UxyNCwadreQAXnQ7oCoH982DjIA-QnZdO7ZoqkC0/edit#gid=884617569"",""S1 Totals!$A$2:$O$256""),13,FALSE)"),17.5)</f>
        <v>17.5</v>
      </c>
      <c r="Q99" s="15">
        <f>IFERROR(__xludf.DUMMYFUNCTION("VLOOKUP(A99,IMPORTRANGE(""1QZ5UxyNCwadreQAXnQ7oCoH982DjIA-QnZdO7ZoqkC0/edit#gid=884617569"",""S1 Totals!$A$2:$O$256""),14,FALSE)"),0.35)</f>
        <v>0.35</v>
      </c>
      <c r="R99" s="15">
        <f t="shared" si="5"/>
        <v>0.2560606061</v>
      </c>
    </row>
    <row r="100">
      <c r="A100" s="107" t="s">
        <v>54</v>
      </c>
      <c r="B100" s="16">
        <f>IFERROR(__xludf.DUMMYFUNCTION("VLOOKUP(A100,IMPORTRANGE(""1aFCnJY1qhIj8-JckJhDJ18aqmVo17tofpQmOjcYa3u8/edit#gid=590920912"",""S1 Totals!$A$2:$O$255""),2,FALSE)"),28.75)</f>
        <v>28.75</v>
      </c>
      <c r="C100" s="15">
        <f>IFERROR(__xludf.DUMMYFUNCTION("VLOOKUP(A100,IMPORTRANGE(""1aFCnJY1qhIj8-JckJhDJ18aqmVo17tofpQmOjcYa3u8/edit#gid=590920912"",""S1 Totals!$A$2:$O$255""),3,FALSE)"),0.8712121212121212)</f>
        <v>0.8712121212</v>
      </c>
      <c r="D100" s="16">
        <f>IFERROR(__xludf.DUMMYFUNCTION("VLOOKUP(A100,IMPORTRANGE(""1QZ5UxyNCwadreQAXnQ7oCoH982DjIA-QnZdO7ZoqkC0/edit#gid=884617569"",""S1 Totals!$A$2:$O$255""),2,FALSE)"),28.75)</f>
        <v>28.75</v>
      </c>
      <c r="E100" s="15">
        <f>IFERROR(__xludf.DUMMYFUNCTION("VLOOKUP(A100,IMPORTRANGE(""1QZ5UxyNCwadreQAXnQ7oCoH982DjIA-QnZdO7ZoqkC0/edit#gid=884617569"",""S1 Totals!$A$2:$O$255""),3,FALSE)"),0.8712121212121212)</f>
        <v>0.8712121212</v>
      </c>
      <c r="F100" s="108">
        <f t="shared" si="1"/>
        <v>0</v>
      </c>
      <c r="G100" s="16">
        <f>IFERROR(__xludf.DUMMYFUNCTION("VLOOKUP(A100,IMPORTRANGE(""1QZ5UxyNCwadreQAXnQ7oCoH982DjIA-QnZdO7ZoqkC0/edit#gid=884617569"",""S1 Totals!$A$2:$O$255""),4,FALSE)"),43.0)</f>
        <v>43</v>
      </c>
      <c r="H100" s="15">
        <f>IFERROR(__xludf.DUMMYFUNCTION("VLOOKUP(A100,IMPORTRANGE(""1QZ5UxyNCwadreQAXnQ7oCoH982DjIA-QnZdO7ZoqkC0/edit#gid=884617569"",""S1 Totals!$A$2:$O$255""),5,FALSE)"),0.9148936170212766)</f>
        <v>0.914893617</v>
      </c>
      <c r="I100" s="108">
        <f t="shared" si="2"/>
        <v>-0.04368149581</v>
      </c>
      <c r="J100" s="16">
        <f>IFERROR(__xludf.DUMMYFUNCTION("VLOOKUP(A100,IMPORTRANGE(""1QZ5UxyNCwadreQAXnQ7oCoH982DjIA-QnZdO7ZoqkC0/edit#gid=884617569"",""S1 Totals!$A$2:$O$255""),7,FALSE)"),45.0)</f>
        <v>45</v>
      </c>
      <c r="K100" s="15">
        <f>IFERROR(__xludf.DUMMYFUNCTION("VLOOKUP(A100,IMPORTRANGE(""1QZ5UxyNCwadreQAXnQ7oCoH982DjIA-QnZdO7ZoqkC0/edit#gid=884617569"",""S1 Totals!$A$2:$O$255""),8,FALSE)"),0.9183673469387755)</f>
        <v>0.9183673469</v>
      </c>
      <c r="L100" s="109">
        <f t="shared" si="3"/>
        <v>-0.04715522573</v>
      </c>
      <c r="M100" s="16">
        <f>IFERROR(__xludf.DUMMYFUNCTION("VLOOKUP(A100,IMPORTRANGE(""1QZ5UxyNCwadreQAXnQ7oCoH982DjIA-QnZdO7ZoqkC0/edit#gid=884617569"",""S1 Totals!$A$2:$O$255""),10,FALSE)"),44.0)</f>
        <v>44</v>
      </c>
      <c r="N100" s="15">
        <f>IFERROR(__xludf.DUMMYFUNCTION("VLOOKUP(A100,IMPORTRANGE(""1QZ5UxyNCwadreQAXnQ7oCoH982DjIA-QnZdO7ZoqkC0/edit#gid=884617569"",""S1 Totals!$A$2:$O$256""),11,FALSE)"),0.9166666666666666)</f>
        <v>0.9166666667</v>
      </c>
      <c r="O100" s="110">
        <f t="shared" si="16"/>
        <v>-0.04545454545</v>
      </c>
      <c r="P100" s="16">
        <f>IFERROR(__xludf.DUMMYFUNCTION("VLOOKUP(A100,IMPORTRANGE(""1QZ5UxyNCwadreQAXnQ7oCoH982DjIA-QnZdO7ZoqkC0/edit#gid=884617569"",""S1 Totals!$A$2:$O$256""),13,FALSE)"),45.5)</f>
        <v>45.5</v>
      </c>
      <c r="Q100" s="15">
        <f>IFERROR(__xludf.DUMMYFUNCTION("VLOOKUP(A100,IMPORTRANGE(""1QZ5UxyNCwadreQAXnQ7oCoH982DjIA-QnZdO7ZoqkC0/edit#gid=884617569"",""S1 Totals!$A$2:$O$256""),14,FALSE)"),0.91)</f>
        <v>0.91</v>
      </c>
      <c r="R100" s="15">
        <f t="shared" si="5"/>
        <v>-0.03878787879</v>
      </c>
    </row>
    <row r="101">
      <c r="A101" s="107" t="s">
        <v>55</v>
      </c>
      <c r="B101" s="16">
        <f>IFERROR(__xludf.DUMMYFUNCTION("VLOOKUP(A101,IMPORTRANGE(""1aFCnJY1qhIj8-JckJhDJ18aqmVo17tofpQmOjcYa3u8/edit#gid=590920912"",""S1 Totals!$A$2:$O$255""),2,FALSE)"),21.0)</f>
        <v>21</v>
      </c>
      <c r="C101" s="15">
        <f>IFERROR(__xludf.DUMMYFUNCTION("VLOOKUP(A101,IMPORTRANGE(""1aFCnJY1qhIj8-JckJhDJ18aqmVo17tofpQmOjcYa3u8/edit#gid=590920912"",""S1 Totals!$A$2:$O$255""),3,FALSE)"),0.6363636363636364)</f>
        <v>0.6363636364</v>
      </c>
      <c r="D101" s="16">
        <f>IFERROR(__xludf.DUMMYFUNCTION("VLOOKUP(A101,IMPORTRANGE(""1QZ5UxyNCwadreQAXnQ7oCoH982DjIA-QnZdO7ZoqkC0/edit#gid=884617569"",""S1 Totals!$A$2:$O$255""),2,FALSE)"),21.25)</f>
        <v>21.25</v>
      </c>
      <c r="E101" s="15">
        <f>IFERROR(__xludf.DUMMYFUNCTION("VLOOKUP(A101,IMPORTRANGE(""1QZ5UxyNCwadreQAXnQ7oCoH982DjIA-QnZdO7ZoqkC0/edit#gid=884617569"",""S1 Totals!$A$2:$O$255""),3,FALSE)"),0.6439393939393939)</f>
        <v>0.6439393939</v>
      </c>
      <c r="F101" s="108">
        <f t="shared" si="1"/>
        <v>-0.007575757576</v>
      </c>
      <c r="G101" s="16">
        <f>IFERROR(__xludf.DUMMYFUNCTION("VLOOKUP(A101,IMPORTRANGE(""1QZ5UxyNCwadreQAXnQ7oCoH982DjIA-QnZdO7ZoqkC0/edit#gid=884617569"",""S1 Totals!$A$2:$O$255""),4,FALSE)"),25.0)</f>
        <v>25</v>
      </c>
      <c r="H101" s="15">
        <f>IFERROR(__xludf.DUMMYFUNCTION("VLOOKUP(A101,IMPORTRANGE(""1QZ5UxyNCwadreQAXnQ7oCoH982DjIA-QnZdO7ZoqkC0/edit#gid=884617569"",""S1 Totals!$A$2:$O$255""),5,FALSE)"),0.5319148936170213)</f>
        <v>0.5319148936</v>
      </c>
      <c r="I101" s="108">
        <f t="shared" si="2"/>
        <v>0.1044487427</v>
      </c>
      <c r="J101" s="16">
        <f>IFERROR(__xludf.DUMMYFUNCTION("VLOOKUP(A101,IMPORTRANGE(""1QZ5UxyNCwadreQAXnQ7oCoH982DjIA-QnZdO7ZoqkC0/edit#gid=884617569"",""S1 Totals!$A$2:$O$255""),7,FALSE)"),23.0)</f>
        <v>23</v>
      </c>
      <c r="K101" s="15">
        <f>IFERROR(__xludf.DUMMYFUNCTION("VLOOKUP(A101,IMPORTRANGE(""1QZ5UxyNCwadreQAXnQ7oCoH982DjIA-QnZdO7ZoqkC0/edit#gid=884617569"",""S1 Totals!$A$2:$O$255""),8,FALSE)"),0.46938775510204084)</f>
        <v>0.4693877551</v>
      </c>
      <c r="L101" s="109">
        <f t="shared" si="3"/>
        <v>0.1745516388</v>
      </c>
      <c r="M101" s="16">
        <f>IFERROR(__xludf.DUMMYFUNCTION("VLOOKUP(A101,IMPORTRANGE(""1QZ5UxyNCwadreQAXnQ7oCoH982DjIA-QnZdO7ZoqkC0/edit#gid=884617569"",""S1 Totals!$A$2:$O$255""),10,FALSE)"),21.0)</f>
        <v>21</v>
      </c>
      <c r="N101" s="15">
        <f>IFERROR(__xludf.DUMMYFUNCTION("VLOOKUP(A101,IMPORTRANGE(""1QZ5UxyNCwadreQAXnQ7oCoH982DjIA-QnZdO7ZoqkC0/edit#gid=884617569"",""S1 Totals!$A$2:$O$256""),11,FALSE)"),0.4375)</f>
        <v>0.4375</v>
      </c>
      <c r="O101" s="110">
        <f t="shared" si="16"/>
        <v>0.1988636364</v>
      </c>
      <c r="P101" s="16">
        <f>IFERROR(__xludf.DUMMYFUNCTION("VLOOKUP(A101,IMPORTRANGE(""1QZ5UxyNCwadreQAXnQ7oCoH982DjIA-QnZdO7ZoqkC0/edit#gid=884617569"",""S1 Totals!$A$2:$O$256""),13,FALSE)"),17.0)</f>
        <v>17</v>
      </c>
      <c r="Q101" s="15">
        <f>IFERROR(__xludf.DUMMYFUNCTION("VLOOKUP(A101,IMPORTRANGE(""1QZ5UxyNCwadreQAXnQ7oCoH982DjIA-QnZdO7ZoqkC0/edit#gid=884617569"",""S1 Totals!$A$2:$O$256""),14,FALSE)"),0.34)</f>
        <v>0.34</v>
      </c>
      <c r="R101" s="15">
        <f t="shared" si="5"/>
        <v>0.2963636364</v>
      </c>
    </row>
    <row r="102">
      <c r="A102" s="107" t="s">
        <v>50</v>
      </c>
      <c r="B102" s="16">
        <f>IFERROR(__xludf.DUMMYFUNCTION("VLOOKUP(A102,IMPORTRANGE(""1aFCnJY1qhIj8-JckJhDJ18aqmVo17tofpQmOjcYa3u8/edit#gid=590920912"",""S1 Totals!$A$2:$O$255""),2,FALSE)"),0.25)</f>
        <v>0.25</v>
      </c>
      <c r="C102" s="15">
        <f>IFERROR(__xludf.DUMMYFUNCTION("VLOOKUP(A102,IMPORTRANGE(""1aFCnJY1qhIj8-JckJhDJ18aqmVo17tofpQmOjcYa3u8/edit#gid=590920912"",""S1 Totals!$A$2:$O$255""),3,FALSE)"),0.007575757575757576)</f>
        <v>0.007575757576</v>
      </c>
      <c r="D102" s="16">
        <f>IFERROR(__xludf.DUMMYFUNCTION("VLOOKUP(A102,IMPORTRANGE(""1QZ5UxyNCwadreQAXnQ7oCoH982DjIA-QnZdO7ZoqkC0/edit#gid=884617569"",""S1 Totals!$A$2:$O$255""),2,FALSE)"),0.75)</f>
        <v>0.75</v>
      </c>
      <c r="E102" s="15">
        <f>IFERROR(__xludf.DUMMYFUNCTION("VLOOKUP(A102,IMPORTRANGE(""1QZ5UxyNCwadreQAXnQ7oCoH982DjIA-QnZdO7ZoqkC0/edit#gid=884617569"",""S1 Totals!$A$2:$O$255""),3,FALSE)"),0.022727272727272728)</f>
        <v>0.02272727273</v>
      </c>
      <c r="F102" s="108">
        <f t="shared" si="1"/>
        <v>-0.01515151515</v>
      </c>
      <c r="G102" s="16">
        <f>IFERROR(__xludf.DUMMYFUNCTION("VLOOKUP(A102,IMPORTRANGE(""1QZ5UxyNCwadreQAXnQ7oCoH982DjIA-QnZdO7ZoqkC0/edit#gid=884617569"",""S1 Totals!$A$2:$O$255""),4,FALSE)"),0.0)</f>
        <v>0</v>
      </c>
      <c r="H102" s="15">
        <f>IFERROR(__xludf.DUMMYFUNCTION("VLOOKUP(A102,IMPORTRANGE(""1QZ5UxyNCwadreQAXnQ7oCoH982DjIA-QnZdO7ZoqkC0/edit#gid=884617569"",""S1 Totals!$A$2:$O$255""),5,FALSE)"),0.0)</f>
        <v>0</v>
      </c>
      <c r="I102" s="108">
        <f t="shared" si="2"/>
        <v>0.007575757576</v>
      </c>
      <c r="J102" s="16">
        <f>IFERROR(__xludf.DUMMYFUNCTION("VLOOKUP(A102,IMPORTRANGE(""1QZ5UxyNCwadreQAXnQ7oCoH982DjIA-QnZdO7ZoqkC0/edit#gid=884617569"",""S1 Totals!$A$2:$O$255""),7,FALSE)"),0.5)</f>
        <v>0.5</v>
      </c>
      <c r="K102" s="15">
        <f>IFERROR(__xludf.DUMMYFUNCTION("VLOOKUP(A102,IMPORTRANGE(""1QZ5UxyNCwadreQAXnQ7oCoH982DjIA-QnZdO7ZoqkC0/edit#gid=884617569"",""S1 Totals!$A$2:$O$255""),8,FALSE)"),0.01020408163265306)</f>
        <v>0.01020408163</v>
      </c>
      <c r="L102" s="109">
        <f t="shared" si="3"/>
        <v>0.01252319109</v>
      </c>
      <c r="M102" s="16">
        <f>IFERROR(__xludf.DUMMYFUNCTION("VLOOKUP(A102,IMPORTRANGE(""1QZ5UxyNCwadreQAXnQ7oCoH982DjIA-QnZdO7ZoqkC0/edit#gid=884617569"",""S1 Totals!$A$2:$O$255""),10,FALSE)"),0.0)</f>
        <v>0</v>
      </c>
      <c r="N102" s="15">
        <f>IFERROR(__xludf.DUMMYFUNCTION("VLOOKUP(A102,IMPORTRANGE(""1QZ5UxyNCwadreQAXnQ7oCoH982DjIA-QnZdO7ZoqkC0/edit#gid=884617569"",""S1 Totals!$A$2:$O$256""),11,FALSE)"),0.0)</f>
        <v>0</v>
      </c>
      <c r="O102" s="110">
        <f t="shared" si="16"/>
        <v>0.007575757576</v>
      </c>
      <c r="P102" s="16">
        <f>IFERROR(__xludf.DUMMYFUNCTION("VLOOKUP(A102,IMPORTRANGE(""1QZ5UxyNCwadreQAXnQ7oCoH982DjIA-QnZdO7ZoqkC0/edit#gid=884617569"",""S1 Totals!$A$2:$O$256""),13,FALSE)"),0.0)</f>
        <v>0</v>
      </c>
      <c r="Q102" s="15">
        <f>IFERROR(__xludf.DUMMYFUNCTION("VLOOKUP(A102,IMPORTRANGE(""1QZ5UxyNCwadreQAXnQ7oCoH982DjIA-QnZdO7ZoqkC0/edit#gid=884617569"",""S1 Totals!$A$2:$O$256""),14,FALSE)"),0.0)</f>
        <v>0</v>
      </c>
      <c r="R102" s="15">
        <f t="shared" si="5"/>
        <v>0.007575757576</v>
      </c>
    </row>
    <row r="103">
      <c r="A103" s="107" t="s">
        <v>233</v>
      </c>
      <c r="B103" s="16">
        <f>IFERROR(__xludf.DUMMYFUNCTION("VLOOKUP(A103,IMPORTRANGE(""1aFCnJY1qhIj8-JckJhDJ18aqmVo17tofpQmOjcYa3u8/edit#gid=590920912"",""S1 Totals!$A$2:$O$255""),2,FALSE)"),16.0)</f>
        <v>16</v>
      </c>
      <c r="C103" s="15">
        <f>IFERROR(__xludf.DUMMYFUNCTION("VLOOKUP(A103,IMPORTRANGE(""1aFCnJY1qhIj8-JckJhDJ18aqmVo17tofpQmOjcYa3u8/edit#gid=590920912"",""S1 Totals!$A$2:$O$255""),3,FALSE)"),0.48484848484848486)</f>
        <v>0.4848484848</v>
      </c>
      <c r="D103" s="16">
        <f>IFERROR(__xludf.DUMMYFUNCTION("VLOOKUP(A103,IMPORTRANGE(""1QZ5UxyNCwadreQAXnQ7oCoH982DjIA-QnZdO7ZoqkC0/edit#gid=884617569"",""S1 Totals!$A$2:$O$255""),2,FALSE)"),15.25)</f>
        <v>15.25</v>
      </c>
      <c r="E103" s="15">
        <f>IFERROR(__xludf.DUMMYFUNCTION("VLOOKUP(A103,IMPORTRANGE(""1QZ5UxyNCwadreQAXnQ7oCoH982DjIA-QnZdO7ZoqkC0/edit#gid=884617569"",""S1 Totals!$A$2:$O$255""),3,FALSE)"),0.4621212121212121)</f>
        <v>0.4621212121</v>
      </c>
      <c r="F103" s="108">
        <f t="shared" si="1"/>
        <v>0.02272727273</v>
      </c>
      <c r="G103" s="16">
        <f>IFERROR(__xludf.DUMMYFUNCTION("VLOOKUP(A103,IMPORTRANGE(""1QZ5UxyNCwadreQAXnQ7oCoH982DjIA-QnZdO7ZoqkC0/edit#gid=884617569"",""S1 Totals!$A$2:$O$255""),4,FALSE)"),22.5)</f>
        <v>22.5</v>
      </c>
      <c r="H103" s="15">
        <f>IFERROR(__xludf.DUMMYFUNCTION("VLOOKUP(A103,IMPORTRANGE(""1QZ5UxyNCwadreQAXnQ7oCoH982DjIA-QnZdO7ZoqkC0/edit#gid=884617569"",""S1 Totals!$A$2:$O$255""),5,FALSE)"),0.4787234042553192)</f>
        <v>0.4787234043</v>
      </c>
      <c r="I103" s="108">
        <f t="shared" si="2"/>
        <v>0.006125080593</v>
      </c>
      <c r="J103" s="16" t="str">
        <f>IFERROR(__xludf.DUMMYFUNCTION("VLOOKUP(A103,IMPORTRANGE(""1QZ5UxyNCwadreQAXnQ7oCoH982DjIA-QnZdO7ZoqkC0/edit#gid=884617569"",""S1 Totals!$A$2:$O$255""),7,FALSE)"),"")</f>
        <v/>
      </c>
      <c r="K103" s="15" t="str">
        <f>IFERROR(__xludf.DUMMYFUNCTION("VLOOKUP(A103,IMPORTRANGE(""1QZ5UxyNCwadreQAXnQ7oCoH982DjIA-QnZdO7ZoqkC0/edit#gid=884617569"",""S1 Totals!$A$2:$O$255""),8,FALSE)"),"")</f>
        <v/>
      </c>
      <c r="L103" s="109">
        <f t="shared" si="3"/>
        <v>0.4621212121</v>
      </c>
      <c r="M103" s="16" t="str">
        <f>IFERROR(__xludf.DUMMYFUNCTION("VLOOKUP(A103,IMPORTRANGE(""1QZ5UxyNCwadreQAXnQ7oCoH982DjIA-QnZdO7ZoqkC0/edit#gid=884617569"",""S1 Totals!$A$2:$O$255""),10,FALSE)"),"")</f>
        <v/>
      </c>
      <c r="N103" s="15" t="str">
        <f>IFERROR(__xludf.DUMMYFUNCTION("VLOOKUP(A103,IMPORTRANGE(""1QZ5UxyNCwadreQAXnQ7oCoH982DjIA-QnZdO7ZoqkC0/edit#gid=884617569"",""S1 Totals!$A$2:$O$256""),11,FALSE)"),"")</f>
        <v/>
      </c>
      <c r="O103" s="110"/>
      <c r="P103" s="16" t="str">
        <f>IFERROR(__xludf.DUMMYFUNCTION("VLOOKUP(A103,IMPORTRANGE(""1QZ5UxyNCwadreQAXnQ7oCoH982DjIA-QnZdO7ZoqkC0/edit#gid=884617569"",""S1 Totals!$A$2:$O$256""),13,FALSE)"),"")</f>
        <v/>
      </c>
      <c r="Q103" s="15" t="str">
        <f>IFERROR(__xludf.DUMMYFUNCTION("VLOOKUP(A103,IMPORTRANGE(""1QZ5UxyNCwadreQAXnQ7oCoH982DjIA-QnZdO7ZoqkC0/edit#gid=884617569"",""S1 Totals!$A$2:$O$256""),14,FALSE)"),"")</f>
        <v/>
      </c>
      <c r="R103" s="15">
        <f t="shared" si="5"/>
        <v>0.4848484848</v>
      </c>
    </row>
    <row r="104">
      <c r="A104" s="107" t="s">
        <v>234</v>
      </c>
      <c r="B104" s="16">
        <f>IFERROR(__xludf.DUMMYFUNCTION("VLOOKUP(A104,IMPORTRANGE(""1aFCnJY1qhIj8-JckJhDJ18aqmVo17tofpQmOjcYa3u8/edit#gid=590920912"",""S1 Totals!$A$2:$O$255""),2,FALSE)"),13.25)</f>
        <v>13.25</v>
      </c>
      <c r="C104" s="15">
        <f>IFERROR(__xludf.DUMMYFUNCTION("VLOOKUP(A104,IMPORTRANGE(""1aFCnJY1qhIj8-JckJhDJ18aqmVo17tofpQmOjcYa3u8/edit#gid=590920912"",""S1 Totals!$A$2:$O$255""),3,FALSE)"),0.4015151515151515)</f>
        <v>0.4015151515</v>
      </c>
      <c r="D104" s="16">
        <f>IFERROR(__xludf.DUMMYFUNCTION("VLOOKUP(A104,IMPORTRANGE(""1QZ5UxyNCwadreQAXnQ7oCoH982DjIA-QnZdO7ZoqkC0/edit#gid=884617569"",""S1 Totals!$A$2:$O$255""),2,FALSE)"),14.25)</f>
        <v>14.25</v>
      </c>
      <c r="E104" s="15">
        <f>IFERROR(__xludf.DUMMYFUNCTION("VLOOKUP(A104,IMPORTRANGE(""1QZ5UxyNCwadreQAXnQ7oCoH982DjIA-QnZdO7ZoqkC0/edit#gid=884617569"",""S1 Totals!$A$2:$O$255""),3,FALSE)"),0.4318181818181818)</f>
        <v>0.4318181818</v>
      </c>
      <c r="F104" s="108">
        <f t="shared" si="1"/>
        <v>-0.0303030303</v>
      </c>
      <c r="G104" s="16">
        <f>IFERROR(__xludf.DUMMYFUNCTION("VLOOKUP(A104,IMPORTRANGE(""1QZ5UxyNCwadreQAXnQ7oCoH982DjIA-QnZdO7ZoqkC0/edit#gid=884617569"",""S1 Totals!$A$2:$O$255""),4,FALSE)"),25.5)</f>
        <v>25.5</v>
      </c>
      <c r="H104" s="15">
        <f>IFERROR(__xludf.DUMMYFUNCTION("VLOOKUP(A104,IMPORTRANGE(""1QZ5UxyNCwadreQAXnQ7oCoH982DjIA-QnZdO7ZoqkC0/edit#gid=884617569"",""S1 Totals!$A$2:$O$255""),5,FALSE)"),0.5425531914893617)</f>
        <v>0.5425531915</v>
      </c>
      <c r="I104" s="108">
        <f t="shared" si="2"/>
        <v>-0.14103804</v>
      </c>
      <c r="J104" s="16" t="str">
        <f>IFERROR(__xludf.DUMMYFUNCTION("VLOOKUP(A104,IMPORTRANGE(""1QZ5UxyNCwadreQAXnQ7oCoH982DjIA-QnZdO7ZoqkC0/edit#gid=884617569"",""S1 Totals!$A$2:$O$255""),7,FALSE)"),"")</f>
        <v/>
      </c>
      <c r="K104" s="15" t="str">
        <f>IFERROR(__xludf.DUMMYFUNCTION("VLOOKUP(A104,IMPORTRANGE(""1QZ5UxyNCwadreQAXnQ7oCoH982DjIA-QnZdO7ZoqkC0/edit#gid=884617569"",""S1 Totals!$A$2:$O$255""),8,FALSE)"),"")</f>
        <v/>
      </c>
      <c r="L104" s="109">
        <f t="shared" si="3"/>
        <v>0.4318181818</v>
      </c>
      <c r="M104" s="16" t="str">
        <f>IFERROR(__xludf.DUMMYFUNCTION("VLOOKUP(A104,IMPORTRANGE(""1QZ5UxyNCwadreQAXnQ7oCoH982DjIA-QnZdO7ZoqkC0/edit#gid=884617569"",""S1 Totals!$A$2:$O$255""),10,FALSE)"),"")</f>
        <v/>
      </c>
      <c r="N104" s="15" t="str">
        <f>IFERROR(__xludf.DUMMYFUNCTION("VLOOKUP(A104,IMPORTRANGE(""1QZ5UxyNCwadreQAXnQ7oCoH982DjIA-QnZdO7ZoqkC0/edit#gid=884617569"",""S1 Totals!$A$2:$O$256""),11,FALSE)"),"")</f>
        <v/>
      </c>
      <c r="O104" s="110"/>
      <c r="P104" s="16" t="str">
        <f>IFERROR(__xludf.DUMMYFUNCTION("VLOOKUP(A104,IMPORTRANGE(""1QZ5UxyNCwadreQAXnQ7oCoH982DjIA-QnZdO7ZoqkC0/edit#gid=884617569"",""S1 Totals!$A$2:$O$256""),13,FALSE)"),"")</f>
        <v/>
      </c>
      <c r="Q104" s="15" t="str">
        <f>IFERROR(__xludf.DUMMYFUNCTION("VLOOKUP(A104,IMPORTRANGE(""1QZ5UxyNCwadreQAXnQ7oCoH982DjIA-QnZdO7ZoqkC0/edit#gid=884617569"",""S1 Totals!$A$2:$O$256""),14,FALSE)"),"")</f>
        <v/>
      </c>
      <c r="R104" s="15">
        <f t="shared" si="5"/>
        <v>0.4015151515</v>
      </c>
    </row>
    <row r="105">
      <c r="A105" s="107" t="s">
        <v>98</v>
      </c>
      <c r="B105" s="16">
        <f>IFERROR(__xludf.DUMMYFUNCTION("VLOOKUP(A105,IMPORTRANGE(""1aFCnJY1qhIj8-JckJhDJ18aqmVo17tofpQmOjcYa3u8/edit#gid=590920912"",""S1 Totals!$A$2:$O$255""),2,FALSE)"),21.25)</f>
        <v>21.25</v>
      </c>
      <c r="C105" s="15">
        <f>IFERROR(__xludf.DUMMYFUNCTION("VLOOKUP(A105,IMPORTRANGE(""1aFCnJY1qhIj8-JckJhDJ18aqmVo17tofpQmOjcYa3u8/edit#gid=590920912"",""S1 Totals!$A$2:$O$255""),3,FALSE)"),0.6439393939393939)</f>
        <v>0.6439393939</v>
      </c>
      <c r="D105" s="16">
        <f>IFERROR(__xludf.DUMMYFUNCTION("VLOOKUP(A105,IMPORTRANGE(""1QZ5UxyNCwadreQAXnQ7oCoH982DjIA-QnZdO7ZoqkC0/edit#gid=884617569"",""S1 Totals!$A$2:$O$255""),2,FALSE)"),30.75)</f>
        <v>30.75</v>
      </c>
      <c r="E105" s="15">
        <f>IFERROR(__xludf.DUMMYFUNCTION("VLOOKUP(A105,IMPORTRANGE(""1QZ5UxyNCwadreQAXnQ7oCoH982DjIA-QnZdO7ZoqkC0/edit#gid=884617569"",""S1 Totals!$A$2:$O$255""),3,FALSE)"),0.9318181818181818)</f>
        <v>0.9318181818</v>
      </c>
      <c r="F105" s="108">
        <f t="shared" si="1"/>
        <v>-0.2878787879</v>
      </c>
      <c r="G105" s="16">
        <f>IFERROR(__xludf.DUMMYFUNCTION("VLOOKUP(A105,IMPORTRANGE(""1QZ5UxyNCwadreQAXnQ7oCoH982DjIA-QnZdO7ZoqkC0/edit#gid=884617569"",""S1 Totals!$A$2:$O$255""),4,FALSE)"),41.5)</f>
        <v>41.5</v>
      </c>
      <c r="H105" s="15">
        <f>IFERROR(__xludf.DUMMYFUNCTION("VLOOKUP(A105,IMPORTRANGE(""1QZ5UxyNCwadreQAXnQ7oCoH982DjIA-QnZdO7ZoqkC0/edit#gid=884617569"",""S1 Totals!$A$2:$O$255""),5,FALSE)"),0.8829787234042553)</f>
        <v>0.8829787234</v>
      </c>
      <c r="I105" s="108">
        <f t="shared" si="2"/>
        <v>-0.2390393295</v>
      </c>
      <c r="J105" s="16">
        <f>IFERROR(__xludf.DUMMYFUNCTION("VLOOKUP(A105,IMPORTRANGE(""1QZ5UxyNCwadreQAXnQ7oCoH982DjIA-QnZdO7ZoqkC0/edit#gid=884617569"",""S1 Totals!$A$2:$O$255""),7,FALSE)"),34.5)</f>
        <v>34.5</v>
      </c>
      <c r="K105" s="15">
        <f>IFERROR(__xludf.DUMMYFUNCTION("VLOOKUP(A105,IMPORTRANGE(""1QZ5UxyNCwadreQAXnQ7oCoH982DjIA-QnZdO7ZoqkC0/edit#gid=884617569"",""S1 Totals!$A$2:$O$255""),8,FALSE)"),0.7040816326530612)</f>
        <v>0.7040816327</v>
      </c>
      <c r="L105" s="109">
        <f t="shared" si="3"/>
        <v>0.2277365492</v>
      </c>
      <c r="M105" s="16">
        <f>IFERROR(__xludf.DUMMYFUNCTION("VLOOKUP(A105,IMPORTRANGE(""1QZ5UxyNCwadreQAXnQ7oCoH982DjIA-QnZdO7ZoqkC0/edit#gid=884617569"",""S1 Totals!$A$2:$O$255""),10,FALSE)"),27.0)</f>
        <v>27</v>
      </c>
      <c r="N105" s="15">
        <f>IFERROR(__xludf.DUMMYFUNCTION("VLOOKUP(A105,IMPORTRANGE(""1QZ5UxyNCwadreQAXnQ7oCoH982DjIA-QnZdO7ZoqkC0/edit#gid=884617569"",""S1 Totals!$A$2:$O$256""),11,FALSE)"),0.5625)</f>
        <v>0.5625</v>
      </c>
      <c r="O105" s="110">
        <f>C105-N105</f>
        <v>0.08143939394</v>
      </c>
      <c r="P105" s="16">
        <f>IFERROR(__xludf.DUMMYFUNCTION("VLOOKUP(A105,IMPORTRANGE(""1QZ5UxyNCwadreQAXnQ7oCoH982DjIA-QnZdO7ZoqkC0/edit#gid=884617569"",""S1 Totals!$A$2:$O$256""),13,FALSE)"),28.5)</f>
        <v>28.5</v>
      </c>
      <c r="Q105" s="15">
        <f>IFERROR(__xludf.DUMMYFUNCTION("VLOOKUP(A105,IMPORTRANGE(""1QZ5UxyNCwadreQAXnQ7oCoH982DjIA-QnZdO7ZoqkC0/edit#gid=884617569"",""S1 Totals!$A$2:$O$256""),14,FALSE)"),0.57)</f>
        <v>0.57</v>
      </c>
      <c r="R105" s="15">
        <f t="shared" si="5"/>
        <v>0.07393939394</v>
      </c>
    </row>
    <row r="106">
      <c r="A106" s="107" t="s">
        <v>235</v>
      </c>
      <c r="B106" s="16">
        <f>IFERROR(__xludf.DUMMYFUNCTION("VLOOKUP(A106,IMPORTRANGE(""1aFCnJY1qhIj8-JckJhDJ18aqmVo17tofpQmOjcYa3u8/edit#gid=590920912"",""S1 Totals!$A$2:$O$255""),2,FALSE)"),19.75)</f>
        <v>19.75</v>
      </c>
      <c r="C106" s="15">
        <f>IFERROR(__xludf.DUMMYFUNCTION("VLOOKUP(A106,IMPORTRANGE(""1aFCnJY1qhIj8-JckJhDJ18aqmVo17tofpQmOjcYa3u8/edit#gid=590920912"",""S1 Totals!$A$2:$O$255""),3,FALSE)"),0.5984848484848485)</f>
        <v>0.5984848485</v>
      </c>
      <c r="D106" s="16">
        <f>IFERROR(__xludf.DUMMYFUNCTION("VLOOKUP(A106,IMPORTRANGE(""1QZ5UxyNCwadreQAXnQ7oCoH982DjIA-QnZdO7ZoqkC0/edit#gid=884617569"",""S1 Totals!$A$2:$O$255""),2,FALSE)"),18.75)</f>
        <v>18.75</v>
      </c>
      <c r="E106" s="15">
        <f>IFERROR(__xludf.DUMMYFUNCTION("VLOOKUP(A106,IMPORTRANGE(""1QZ5UxyNCwadreQAXnQ7oCoH982DjIA-QnZdO7ZoqkC0/edit#gid=884617569"",""S1 Totals!$A$2:$O$255""),3,FALSE)"),0.5681818181818182)</f>
        <v>0.5681818182</v>
      </c>
      <c r="F106" s="108">
        <f t="shared" si="1"/>
        <v>0.0303030303</v>
      </c>
      <c r="G106" s="16">
        <f>IFERROR(__xludf.DUMMYFUNCTION("VLOOKUP(A106,IMPORTRANGE(""1QZ5UxyNCwadreQAXnQ7oCoH982DjIA-QnZdO7ZoqkC0/edit#gid=884617569"",""S1 Totals!$A$2:$O$255""),4,FALSE)"),30.0)</f>
        <v>30</v>
      </c>
      <c r="H106" s="15">
        <f>IFERROR(__xludf.DUMMYFUNCTION("VLOOKUP(A106,IMPORTRANGE(""1QZ5UxyNCwadreQAXnQ7oCoH982DjIA-QnZdO7ZoqkC0/edit#gid=884617569"",""S1 Totals!$A$2:$O$255""),5,FALSE)"),0.6382978723404256)</f>
        <v>0.6382978723</v>
      </c>
      <c r="I106" s="108">
        <f t="shared" si="2"/>
        <v>-0.03981302386</v>
      </c>
      <c r="J106" s="16" t="str">
        <f>IFERROR(__xludf.DUMMYFUNCTION("VLOOKUP(A106,IMPORTRANGE(""1QZ5UxyNCwadreQAXnQ7oCoH982DjIA-QnZdO7ZoqkC0/edit#gid=884617569"",""S1 Totals!$A$2:$O$255""),7,FALSE)"),"")</f>
        <v/>
      </c>
      <c r="K106" s="15" t="str">
        <f>IFERROR(__xludf.DUMMYFUNCTION("VLOOKUP(A106,IMPORTRANGE(""1QZ5UxyNCwadreQAXnQ7oCoH982DjIA-QnZdO7ZoqkC0/edit#gid=884617569"",""S1 Totals!$A$2:$O$255""),8,FALSE)"),"")</f>
        <v/>
      </c>
      <c r="L106" s="109">
        <f t="shared" si="3"/>
        <v>0.5681818182</v>
      </c>
      <c r="M106" s="16" t="str">
        <f>IFERROR(__xludf.DUMMYFUNCTION("VLOOKUP(A106,IMPORTRANGE(""1QZ5UxyNCwadreQAXnQ7oCoH982DjIA-QnZdO7ZoqkC0/edit#gid=884617569"",""S1 Totals!$A$2:$O$255""),10,FALSE)"),"")</f>
        <v/>
      </c>
      <c r="N106" s="15" t="str">
        <f>IFERROR(__xludf.DUMMYFUNCTION("VLOOKUP(A106,IMPORTRANGE(""1QZ5UxyNCwadreQAXnQ7oCoH982DjIA-QnZdO7ZoqkC0/edit#gid=884617569"",""S1 Totals!$A$2:$O$256""),11,FALSE)"),"")</f>
        <v/>
      </c>
      <c r="O106" s="110"/>
      <c r="P106" s="16" t="str">
        <f>IFERROR(__xludf.DUMMYFUNCTION("VLOOKUP(A106,IMPORTRANGE(""1QZ5UxyNCwadreQAXnQ7oCoH982DjIA-QnZdO7ZoqkC0/edit#gid=884617569"",""S1 Totals!$A$2:$O$256""),13,FALSE)"),"")</f>
        <v/>
      </c>
      <c r="Q106" s="15" t="str">
        <f>IFERROR(__xludf.DUMMYFUNCTION("VLOOKUP(A106,IMPORTRANGE(""1QZ5UxyNCwadreQAXnQ7oCoH982DjIA-QnZdO7ZoqkC0/edit#gid=884617569"",""S1 Totals!$A$2:$O$256""),14,FALSE)"),"")</f>
        <v/>
      </c>
      <c r="R106" s="15">
        <f t="shared" si="5"/>
        <v>0.5984848485</v>
      </c>
    </row>
    <row r="107">
      <c r="A107" s="107" t="s">
        <v>58</v>
      </c>
      <c r="B107" s="16">
        <f>IFERROR(__xludf.DUMMYFUNCTION("VLOOKUP(A107,IMPORTRANGE(""1aFCnJY1qhIj8-JckJhDJ18aqmVo17tofpQmOjcYa3u8/edit#gid=590920912"",""S1 Totals!$A$2:$O$255""),2,FALSE)"),11.0)</f>
        <v>11</v>
      </c>
      <c r="C107" s="15">
        <f>IFERROR(__xludf.DUMMYFUNCTION("VLOOKUP(A107,IMPORTRANGE(""1aFCnJY1qhIj8-JckJhDJ18aqmVo17tofpQmOjcYa3u8/edit#gid=590920912"",""S1 Totals!$A$2:$O$255""),3,FALSE)"),0.3333333333333333)</f>
        <v>0.3333333333</v>
      </c>
      <c r="D107" s="16">
        <f>IFERROR(__xludf.DUMMYFUNCTION("VLOOKUP(A107,IMPORTRANGE(""1QZ5UxyNCwadreQAXnQ7oCoH982DjIA-QnZdO7ZoqkC0/edit#gid=884617569"",""S1 Totals!$A$2:$O$255""),2,FALSE)"),16.0)</f>
        <v>16</v>
      </c>
      <c r="E107" s="15">
        <f>IFERROR(__xludf.DUMMYFUNCTION("VLOOKUP(A107,IMPORTRANGE(""1QZ5UxyNCwadreQAXnQ7oCoH982DjIA-QnZdO7ZoqkC0/edit#gid=884617569"",""S1 Totals!$A$2:$O$255""),3,FALSE)"),0.48484848484848486)</f>
        <v>0.4848484848</v>
      </c>
      <c r="F107" s="108">
        <f t="shared" si="1"/>
        <v>-0.1515151515</v>
      </c>
      <c r="G107" s="16">
        <f>IFERROR(__xludf.DUMMYFUNCTION("VLOOKUP(A107,IMPORTRANGE(""1QZ5UxyNCwadreQAXnQ7oCoH982DjIA-QnZdO7ZoqkC0/edit#gid=884617569"",""S1 Totals!$A$2:$O$255""),4,FALSE)"),25.5)</f>
        <v>25.5</v>
      </c>
      <c r="H107" s="15">
        <f>IFERROR(__xludf.DUMMYFUNCTION("VLOOKUP(A107,IMPORTRANGE(""1QZ5UxyNCwadreQAXnQ7oCoH982DjIA-QnZdO7ZoqkC0/edit#gid=884617569"",""S1 Totals!$A$2:$O$255""),5,FALSE)"),0.5425531914893617)</f>
        <v>0.5425531915</v>
      </c>
      <c r="I107" s="108">
        <f t="shared" si="2"/>
        <v>-0.2092198582</v>
      </c>
      <c r="J107" s="16">
        <f>IFERROR(__xludf.DUMMYFUNCTION("VLOOKUP(A107,IMPORTRANGE(""1QZ5UxyNCwadreQAXnQ7oCoH982DjIA-QnZdO7ZoqkC0/edit#gid=884617569"",""S1 Totals!$A$2:$O$255""),7,FALSE)"),24.0)</f>
        <v>24</v>
      </c>
      <c r="K107" s="15">
        <f>IFERROR(__xludf.DUMMYFUNCTION("VLOOKUP(A107,IMPORTRANGE(""1QZ5UxyNCwadreQAXnQ7oCoH982DjIA-QnZdO7ZoqkC0/edit#gid=884617569"",""S1 Totals!$A$2:$O$255""),8,FALSE)"),0.4897959183673469)</f>
        <v>0.4897959184</v>
      </c>
      <c r="L107" s="109">
        <f t="shared" si="3"/>
        <v>-0.004947433519</v>
      </c>
      <c r="M107" s="16">
        <f>IFERROR(__xludf.DUMMYFUNCTION("VLOOKUP(A107,IMPORTRANGE(""1QZ5UxyNCwadreQAXnQ7oCoH982DjIA-QnZdO7ZoqkC0/edit#gid=884617569"",""S1 Totals!$A$2:$O$255""),10,FALSE)"),19.5)</f>
        <v>19.5</v>
      </c>
      <c r="N107" s="15">
        <f>IFERROR(__xludf.DUMMYFUNCTION("VLOOKUP(A107,IMPORTRANGE(""1QZ5UxyNCwadreQAXnQ7oCoH982DjIA-QnZdO7ZoqkC0/edit#gid=884617569"",""S1 Totals!$A$2:$O$256""),11,FALSE)"),0.40625)</f>
        <v>0.40625</v>
      </c>
      <c r="O107" s="110">
        <f t="shared" ref="O107:O108" si="17">C107-N107</f>
        <v>-0.07291666667</v>
      </c>
      <c r="P107" s="16">
        <f>IFERROR(__xludf.DUMMYFUNCTION("VLOOKUP(A107,IMPORTRANGE(""1QZ5UxyNCwadreQAXnQ7oCoH982DjIA-QnZdO7ZoqkC0/edit#gid=884617569"",""S1 Totals!$A$2:$O$256""),13,FALSE)"),21.0)</f>
        <v>21</v>
      </c>
      <c r="Q107" s="15">
        <f>IFERROR(__xludf.DUMMYFUNCTION("VLOOKUP(A107,IMPORTRANGE(""1QZ5UxyNCwadreQAXnQ7oCoH982DjIA-QnZdO7ZoqkC0/edit#gid=884617569"",""S1 Totals!$A$2:$O$256""),14,FALSE)"),0.42)</f>
        <v>0.42</v>
      </c>
      <c r="R107" s="15">
        <f t="shared" si="5"/>
        <v>-0.08666666667</v>
      </c>
    </row>
    <row r="108">
      <c r="A108" s="107" t="s">
        <v>59</v>
      </c>
      <c r="B108" s="16">
        <f>IFERROR(__xludf.DUMMYFUNCTION("VLOOKUP(A108,IMPORTRANGE(""1aFCnJY1qhIj8-JckJhDJ18aqmVo17tofpQmOjcYa3u8/edit#gid=590920912"",""S1 Totals!$A$2:$O$255""),2,FALSE)"),28.25)</f>
        <v>28.25</v>
      </c>
      <c r="C108" s="15">
        <f>IFERROR(__xludf.DUMMYFUNCTION("VLOOKUP(A108,IMPORTRANGE(""1aFCnJY1qhIj8-JckJhDJ18aqmVo17tofpQmOjcYa3u8/edit#gid=590920912"",""S1 Totals!$A$2:$O$255""),3,FALSE)"),0.8560606060606061)</f>
        <v>0.8560606061</v>
      </c>
      <c r="D108" s="16">
        <f>IFERROR(__xludf.DUMMYFUNCTION("VLOOKUP(A108,IMPORTRANGE(""1QZ5UxyNCwadreQAXnQ7oCoH982DjIA-QnZdO7ZoqkC0/edit#gid=884617569"",""S1 Totals!$A$2:$O$255""),2,FALSE)"),25.25)</f>
        <v>25.25</v>
      </c>
      <c r="E108" s="15">
        <f>IFERROR(__xludf.DUMMYFUNCTION("VLOOKUP(A108,IMPORTRANGE(""1QZ5UxyNCwadreQAXnQ7oCoH982DjIA-QnZdO7ZoqkC0/edit#gid=884617569"",""S1 Totals!$A$2:$O$255""),3,FALSE)"),0.7651515151515151)</f>
        <v>0.7651515152</v>
      </c>
      <c r="F108" s="108">
        <f t="shared" si="1"/>
        <v>0.09090909091</v>
      </c>
      <c r="G108" s="16">
        <f>IFERROR(__xludf.DUMMYFUNCTION("VLOOKUP(A108,IMPORTRANGE(""1QZ5UxyNCwadreQAXnQ7oCoH982DjIA-QnZdO7ZoqkC0/edit#gid=884617569"",""S1 Totals!$A$2:$O$255""),4,FALSE)"),42.5)</f>
        <v>42.5</v>
      </c>
      <c r="H108" s="15">
        <f>IFERROR(__xludf.DUMMYFUNCTION("VLOOKUP(A108,IMPORTRANGE(""1QZ5UxyNCwadreQAXnQ7oCoH982DjIA-QnZdO7ZoqkC0/edit#gid=884617569"",""S1 Totals!$A$2:$O$255""),5,FALSE)"),0.9042553191489362)</f>
        <v>0.9042553191</v>
      </c>
      <c r="I108" s="108">
        <f t="shared" si="2"/>
        <v>-0.04819471309</v>
      </c>
      <c r="J108" s="16">
        <f>IFERROR(__xludf.DUMMYFUNCTION("VLOOKUP(A108,IMPORTRANGE(""1QZ5UxyNCwadreQAXnQ7oCoH982DjIA-QnZdO7ZoqkC0/edit#gid=884617569"",""S1 Totals!$A$2:$O$255""),7,FALSE)"),42.5)</f>
        <v>42.5</v>
      </c>
      <c r="K108" s="15">
        <f>IFERROR(__xludf.DUMMYFUNCTION("VLOOKUP(A108,IMPORTRANGE(""1QZ5UxyNCwadreQAXnQ7oCoH982DjIA-QnZdO7ZoqkC0/edit#gid=884617569"",""S1 Totals!$A$2:$O$255""),8,FALSE)"),0.8673469387755102)</f>
        <v>0.8673469388</v>
      </c>
      <c r="L108" s="109">
        <f t="shared" si="3"/>
        <v>-0.1021954236</v>
      </c>
      <c r="M108" s="16">
        <f>IFERROR(__xludf.DUMMYFUNCTION("VLOOKUP(A108,IMPORTRANGE(""1QZ5UxyNCwadreQAXnQ7oCoH982DjIA-QnZdO7ZoqkC0/edit#gid=884617569"",""S1 Totals!$A$2:$O$255""),10,FALSE)"),40.0)</f>
        <v>40</v>
      </c>
      <c r="N108" s="15">
        <f>IFERROR(__xludf.DUMMYFUNCTION("VLOOKUP(A108,IMPORTRANGE(""1QZ5UxyNCwadreQAXnQ7oCoH982DjIA-QnZdO7ZoqkC0/edit#gid=884617569"",""S1 Totals!$A$2:$O$256""),11,FALSE)"),0.8333333333333334)</f>
        <v>0.8333333333</v>
      </c>
      <c r="O108" s="110">
        <f t="shared" si="17"/>
        <v>0.02272727273</v>
      </c>
      <c r="P108" s="16">
        <f>IFERROR(__xludf.DUMMYFUNCTION("VLOOKUP(A108,IMPORTRANGE(""1QZ5UxyNCwadreQAXnQ7oCoH982DjIA-QnZdO7ZoqkC0/edit#gid=884617569"",""S1 Totals!$A$2:$O$256""),13,FALSE)"),39.5)</f>
        <v>39.5</v>
      </c>
      <c r="Q108" s="15">
        <f>IFERROR(__xludf.DUMMYFUNCTION("VLOOKUP(A108,IMPORTRANGE(""1QZ5UxyNCwadreQAXnQ7oCoH982DjIA-QnZdO7ZoqkC0/edit#gid=884617569"",""S1 Totals!$A$2:$O$256""),14,FALSE)"),0.79)</f>
        <v>0.79</v>
      </c>
      <c r="R108" s="15">
        <f t="shared" si="5"/>
        <v>0.06606060606</v>
      </c>
    </row>
    <row r="109">
      <c r="A109" s="107" t="s">
        <v>178</v>
      </c>
      <c r="B109" s="16">
        <f>IFERROR(__xludf.DUMMYFUNCTION("VLOOKUP(A109,IMPORTRANGE(""1aFCnJY1qhIj8-JckJhDJ18aqmVo17tofpQmOjcYa3u8/edit#gid=590920912"",""S1 Totals!$A$2:$O$255""),2,FALSE)"),16.75)</f>
        <v>16.75</v>
      </c>
      <c r="C109" s="15">
        <f>IFERROR(__xludf.DUMMYFUNCTION("VLOOKUP(A109,IMPORTRANGE(""1aFCnJY1qhIj8-JckJhDJ18aqmVo17tofpQmOjcYa3u8/edit#gid=590920912"",""S1 Totals!$A$2:$O$255""),3,FALSE)"),0.5075757575757576)</f>
        <v>0.5075757576</v>
      </c>
      <c r="D109" s="16">
        <f>IFERROR(__xludf.DUMMYFUNCTION("VLOOKUP(A109,IMPORTRANGE(""1QZ5UxyNCwadreQAXnQ7oCoH982DjIA-QnZdO7ZoqkC0/edit#gid=884617569"",""S1 Totals!$A$2:$O$255""),2,FALSE)"),13.75)</f>
        <v>13.75</v>
      </c>
      <c r="E109" s="15">
        <f>IFERROR(__xludf.DUMMYFUNCTION("VLOOKUP(A109,IMPORTRANGE(""1QZ5UxyNCwadreQAXnQ7oCoH982DjIA-QnZdO7ZoqkC0/edit#gid=884617569"",""S1 Totals!$A$2:$O$255""),3,FALSE)"),0.4166666666666667)</f>
        <v>0.4166666667</v>
      </c>
      <c r="F109" s="108">
        <f t="shared" si="1"/>
        <v>0.09090909091</v>
      </c>
      <c r="G109" s="16">
        <f>IFERROR(__xludf.DUMMYFUNCTION("VLOOKUP(A109,IMPORTRANGE(""1QZ5UxyNCwadreQAXnQ7oCoH982DjIA-QnZdO7ZoqkC0/edit#gid=884617569"",""S1 Totals!$A$2:$O$255""),4,FALSE)"),28.0)</f>
        <v>28</v>
      </c>
      <c r="H109" s="15">
        <f>IFERROR(__xludf.DUMMYFUNCTION("VLOOKUP(A109,IMPORTRANGE(""1QZ5UxyNCwadreQAXnQ7oCoH982DjIA-QnZdO7ZoqkC0/edit#gid=884617569"",""S1 Totals!$A$2:$O$255""),5,FALSE)"),0.5957446808510638)</f>
        <v>0.5957446809</v>
      </c>
      <c r="I109" s="108">
        <f t="shared" si="2"/>
        <v>-0.08816892328</v>
      </c>
      <c r="J109" s="16">
        <f>IFERROR(__xludf.DUMMYFUNCTION("VLOOKUP(A109,IMPORTRANGE(""1QZ5UxyNCwadreQAXnQ7oCoH982DjIA-QnZdO7ZoqkC0/edit#gid=884617569"",""S1 Totals!$A$2:$O$255""),7,FALSE)"),4.5)</f>
        <v>4.5</v>
      </c>
      <c r="K109" s="15">
        <f>IFERROR(__xludf.DUMMYFUNCTION("VLOOKUP(A109,IMPORTRANGE(""1QZ5UxyNCwadreQAXnQ7oCoH982DjIA-QnZdO7ZoqkC0/edit#gid=884617569"",""S1 Totals!$A$2:$O$255""),8,FALSE)"),0.09183673469387756)</f>
        <v>0.09183673469</v>
      </c>
      <c r="L109" s="109">
        <f t="shared" si="3"/>
        <v>0.324829932</v>
      </c>
      <c r="M109" s="16" t="str">
        <f>IFERROR(__xludf.DUMMYFUNCTION("VLOOKUP(A109,IMPORTRANGE(""1QZ5UxyNCwadreQAXnQ7oCoH982DjIA-QnZdO7ZoqkC0/edit#gid=884617569"",""S1 Totals!$A$2:$O$255""),10,FALSE)"),"")</f>
        <v/>
      </c>
      <c r="N109" s="15" t="str">
        <f>IFERROR(__xludf.DUMMYFUNCTION("VLOOKUP(A109,IMPORTRANGE(""1QZ5UxyNCwadreQAXnQ7oCoH982DjIA-QnZdO7ZoqkC0/edit#gid=884617569"",""S1 Totals!$A$2:$O$256""),11,FALSE)"),"")</f>
        <v/>
      </c>
      <c r="O109" s="110"/>
      <c r="P109" s="16" t="str">
        <f>IFERROR(__xludf.DUMMYFUNCTION("VLOOKUP(A109,IMPORTRANGE(""1QZ5UxyNCwadreQAXnQ7oCoH982DjIA-QnZdO7ZoqkC0/edit#gid=884617569"",""S1 Totals!$A$2:$O$256""),13,FALSE)"),"")</f>
        <v/>
      </c>
      <c r="Q109" s="15" t="str">
        <f>IFERROR(__xludf.DUMMYFUNCTION("VLOOKUP(A109,IMPORTRANGE(""1QZ5UxyNCwadreQAXnQ7oCoH982DjIA-QnZdO7ZoqkC0/edit#gid=884617569"",""S1 Totals!$A$2:$O$256""),14,FALSE)"),"")</f>
        <v/>
      </c>
      <c r="R109" s="15">
        <f t="shared" si="5"/>
        <v>0.5075757576</v>
      </c>
    </row>
    <row r="110">
      <c r="A110" s="107" t="s">
        <v>179</v>
      </c>
      <c r="B110" s="16">
        <f>IFERROR(__xludf.DUMMYFUNCTION("VLOOKUP(A110,IMPORTRANGE(""1aFCnJY1qhIj8-JckJhDJ18aqmVo17tofpQmOjcYa3u8/edit#gid=590920912"",""S1 Totals!$A$2:$O$255""),2,FALSE)"),20.0)</f>
        <v>20</v>
      </c>
      <c r="C110" s="15">
        <f>IFERROR(__xludf.DUMMYFUNCTION("VLOOKUP(A110,IMPORTRANGE(""1aFCnJY1qhIj8-JckJhDJ18aqmVo17tofpQmOjcYa3u8/edit#gid=590920912"",""S1 Totals!$A$2:$O$255""),3,FALSE)"),0.6060606060606061)</f>
        <v>0.6060606061</v>
      </c>
      <c r="D110" s="16">
        <f>IFERROR(__xludf.DUMMYFUNCTION("VLOOKUP(A110,IMPORTRANGE(""1QZ5UxyNCwadreQAXnQ7oCoH982DjIA-QnZdO7ZoqkC0/edit#gid=884617569"",""S1 Totals!$A$2:$O$255""),2,FALSE)"),20.5)</f>
        <v>20.5</v>
      </c>
      <c r="E110" s="15">
        <f>IFERROR(__xludf.DUMMYFUNCTION("VLOOKUP(A110,IMPORTRANGE(""1QZ5UxyNCwadreQAXnQ7oCoH982DjIA-QnZdO7ZoqkC0/edit#gid=884617569"",""S1 Totals!$A$2:$O$255""),3,FALSE)"),0.6212121212121212)</f>
        <v>0.6212121212</v>
      </c>
      <c r="F110" s="108">
        <f t="shared" si="1"/>
        <v>-0.01515151515</v>
      </c>
      <c r="G110" s="16">
        <f>IFERROR(__xludf.DUMMYFUNCTION("VLOOKUP(A110,IMPORTRANGE(""1QZ5UxyNCwadreQAXnQ7oCoH982DjIA-QnZdO7ZoqkC0/edit#gid=884617569"",""S1 Totals!$A$2:$O$255""),4,FALSE)"),33.5)</f>
        <v>33.5</v>
      </c>
      <c r="H110" s="15">
        <f>IFERROR(__xludf.DUMMYFUNCTION("VLOOKUP(A110,IMPORTRANGE(""1QZ5UxyNCwadreQAXnQ7oCoH982DjIA-QnZdO7ZoqkC0/edit#gid=884617569"",""S1 Totals!$A$2:$O$255""),5,FALSE)"),0.7127659574468085)</f>
        <v>0.7127659574</v>
      </c>
      <c r="I110" s="108">
        <f t="shared" si="2"/>
        <v>-0.1067053514</v>
      </c>
      <c r="J110" s="16">
        <f>IFERROR(__xludf.DUMMYFUNCTION("VLOOKUP(A110,IMPORTRANGE(""1QZ5UxyNCwadreQAXnQ7oCoH982DjIA-QnZdO7ZoqkC0/edit#gid=884617569"",""S1 Totals!$A$2:$O$255""),7,FALSE)"),18.5)</f>
        <v>18.5</v>
      </c>
      <c r="K110" s="15">
        <f>IFERROR(__xludf.DUMMYFUNCTION("VLOOKUP(A110,IMPORTRANGE(""1QZ5UxyNCwadreQAXnQ7oCoH982DjIA-QnZdO7ZoqkC0/edit#gid=884617569"",""S1 Totals!$A$2:$O$255""),8,FALSE)"),0.37755102040816324)</f>
        <v>0.3775510204</v>
      </c>
      <c r="L110" s="109">
        <f t="shared" si="3"/>
        <v>0.2436611008</v>
      </c>
      <c r="M110" s="16" t="str">
        <f>IFERROR(__xludf.DUMMYFUNCTION("VLOOKUP(A110,IMPORTRANGE(""1QZ5UxyNCwadreQAXnQ7oCoH982DjIA-QnZdO7ZoqkC0/edit#gid=884617569"",""S1 Totals!$A$2:$O$255""),10,FALSE)"),"")</f>
        <v/>
      </c>
      <c r="N110" s="15" t="str">
        <f>IFERROR(__xludf.DUMMYFUNCTION("VLOOKUP(A110,IMPORTRANGE(""1QZ5UxyNCwadreQAXnQ7oCoH982DjIA-QnZdO7ZoqkC0/edit#gid=884617569"",""S1 Totals!$A$2:$O$256""),11,FALSE)"),"")</f>
        <v/>
      </c>
      <c r="O110" s="110"/>
      <c r="P110" s="16" t="str">
        <f>IFERROR(__xludf.DUMMYFUNCTION("VLOOKUP(A110,IMPORTRANGE(""1QZ5UxyNCwadreQAXnQ7oCoH982DjIA-QnZdO7ZoqkC0/edit#gid=884617569"",""S1 Totals!$A$2:$O$256""),13,FALSE)"),"")</f>
        <v/>
      </c>
      <c r="Q110" s="15" t="str">
        <f>IFERROR(__xludf.DUMMYFUNCTION("VLOOKUP(A110,IMPORTRANGE(""1QZ5UxyNCwadreQAXnQ7oCoH982DjIA-QnZdO7ZoqkC0/edit#gid=884617569"",""S1 Totals!$A$2:$O$256""),14,FALSE)"),"")</f>
        <v/>
      </c>
      <c r="R110" s="15">
        <f t="shared" si="5"/>
        <v>0.6060606061</v>
      </c>
    </row>
    <row r="111">
      <c r="A111" s="107" t="s">
        <v>60</v>
      </c>
      <c r="B111" s="16">
        <f>IFERROR(__xludf.DUMMYFUNCTION("VLOOKUP(A111,IMPORTRANGE(""1aFCnJY1qhIj8-JckJhDJ18aqmVo17tofpQmOjcYa3u8/edit#gid=590920912"",""S1 Totals!$A$2:$O$255""),2,FALSE)"),22.75)</f>
        <v>22.75</v>
      </c>
      <c r="C111" s="15">
        <f>IFERROR(__xludf.DUMMYFUNCTION("VLOOKUP(A111,IMPORTRANGE(""1aFCnJY1qhIj8-JckJhDJ18aqmVo17tofpQmOjcYa3u8/edit#gid=590920912"",""S1 Totals!$A$2:$O$255""),3,FALSE)"),0.6893939393939394)</f>
        <v>0.6893939394</v>
      </c>
      <c r="D111" s="16">
        <f>IFERROR(__xludf.DUMMYFUNCTION("VLOOKUP(A111,IMPORTRANGE(""1QZ5UxyNCwadreQAXnQ7oCoH982DjIA-QnZdO7ZoqkC0/edit#gid=884617569"",""S1 Totals!$A$2:$O$255""),2,FALSE)"),21.0)</f>
        <v>21</v>
      </c>
      <c r="E111" s="15">
        <f>IFERROR(__xludf.DUMMYFUNCTION("VLOOKUP(A111,IMPORTRANGE(""1QZ5UxyNCwadreQAXnQ7oCoH982DjIA-QnZdO7ZoqkC0/edit#gid=884617569"",""S1 Totals!$A$2:$O$255""),3,FALSE)"),0.6363636363636364)</f>
        <v>0.6363636364</v>
      </c>
      <c r="F111" s="108">
        <f t="shared" si="1"/>
        <v>0.05303030303</v>
      </c>
      <c r="G111" s="16">
        <f>IFERROR(__xludf.DUMMYFUNCTION("VLOOKUP(A111,IMPORTRANGE(""1QZ5UxyNCwadreQAXnQ7oCoH982DjIA-QnZdO7ZoqkC0/edit#gid=884617569"",""S1 Totals!$A$2:$O$255""),4,FALSE)"),32.0)</f>
        <v>32</v>
      </c>
      <c r="H111" s="15">
        <f>IFERROR(__xludf.DUMMYFUNCTION("VLOOKUP(A111,IMPORTRANGE(""1QZ5UxyNCwadreQAXnQ7oCoH982DjIA-QnZdO7ZoqkC0/edit#gid=884617569"",""S1 Totals!$A$2:$O$255""),5,FALSE)"),0.6808510638297872)</f>
        <v>0.6808510638</v>
      </c>
      <c r="I111" s="108">
        <f t="shared" si="2"/>
        <v>0.008542875564</v>
      </c>
      <c r="J111" s="16">
        <f>IFERROR(__xludf.DUMMYFUNCTION("VLOOKUP(A111,IMPORTRANGE(""1QZ5UxyNCwadreQAXnQ7oCoH982DjIA-QnZdO7ZoqkC0/edit#gid=884617569"",""S1 Totals!$A$2:$O$255""),7,FALSE)"),32.5)</f>
        <v>32.5</v>
      </c>
      <c r="K111" s="15">
        <f>IFERROR(__xludf.DUMMYFUNCTION("VLOOKUP(A111,IMPORTRANGE(""1QZ5UxyNCwadreQAXnQ7oCoH982DjIA-QnZdO7ZoqkC0/edit#gid=884617569"",""S1 Totals!$A$2:$O$255""),8,FALSE)"),0.6632653061224489)</f>
        <v>0.6632653061</v>
      </c>
      <c r="L111" s="109">
        <f t="shared" si="3"/>
        <v>-0.02690166976</v>
      </c>
      <c r="M111" s="16">
        <f>IFERROR(__xludf.DUMMYFUNCTION("VLOOKUP(A111,IMPORTRANGE(""1QZ5UxyNCwadreQAXnQ7oCoH982DjIA-QnZdO7ZoqkC0/edit#gid=884617569"",""S1 Totals!$A$2:$O$255""),10,FALSE)"),26.0)</f>
        <v>26</v>
      </c>
      <c r="N111" s="15">
        <f>IFERROR(__xludf.DUMMYFUNCTION("VLOOKUP(A111,IMPORTRANGE(""1QZ5UxyNCwadreQAXnQ7oCoH982DjIA-QnZdO7ZoqkC0/edit#gid=884617569"",""S1 Totals!$A$2:$O$256""),11,FALSE)"),0.5416666666666666)</f>
        <v>0.5416666667</v>
      </c>
      <c r="O111" s="110">
        <f t="shared" ref="O111:O113" si="18">C111-N111</f>
        <v>0.1477272727</v>
      </c>
      <c r="P111" s="16">
        <f>IFERROR(__xludf.DUMMYFUNCTION("VLOOKUP(A111,IMPORTRANGE(""1QZ5UxyNCwadreQAXnQ7oCoH982DjIA-QnZdO7ZoqkC0/edit#gid=884617569"",""S1 Totals!$A$2:$O$256""),13,FALSE)"),25.5)</f>
        <v>25.5</v>
      </c>
      <c r="Q111" s="15">
        <f>IFERROR(__xludf.DUMMYFUNCTION("VLOOKUP(A111,IMPORTRANGE(""1QZ5UxyNCwadreQAXnQ7oCoH982DjIA-QnZdO7ZoqkC0/edit#gid=884617569"",""S1 Totals!$A$2:$O$256""),14,FALSE)"),0.51)</f>
        <v>0.51</v>
      </c>
      <c r="R111" s="15">
        <f t="shared" si="5"/>
        <v>0.1793939394</v>
      </c>
    </row>
    <row r="112">
      <c r="A112" s="117" t="s">
        <v>275</v>
      </c>
      <c r="B112" s="16">
        <f>IFERROR(__xludf.DUMMYFUNCTION("VLOOKUP(A112,IMPORTRANGE(""1aFCnJY1qhIj8-JckJhDJ18aqmVo17tofpQmOjcYa3u8/edit#gid=590920912"",""S1 Totals!$A$2:$O$255""),2,FALSE)"),9.0)</f>
        <v>9</v>
      </c>
      <c r="C112" s="15">
        <f>IFERROR(__xludf.DUMMYFUNCTION("VLOOKUP(A112,IMPORTRANGE(""1aFCnJY1qhIj8-JckJhDJ18aqmVo17tofpQmOjcYa3u8/edit#gid=590920912"",""S1 Totals!$A$2:$O$255""),3,FALSE)"),0.2727272727272727)</f>
        <v>0.2727272727</v>
      </c>
      <c r="D112" s="16" t="str">
        <f>IFERROR(__xludf.DUMMYFUNCTION("VLOOKUP(A112,IMPORTRANGE(""1QZ5UxyNCwadreQAXnQ7oCoH982DjIA-QnZdO7ZoqkC0/edit#gid=884617569"",""S1 Totals!$A$2:$O$255""),2,FALSE)"),"#N/A")</f>
        <v>#N/A</v>
      </c>
      <c r="E112" s="15" t="str">
        <f>IFERROR(__xludf.DUMMYFUNCTION("VLOOKUP(A112,IMPORTRANGE(""1QZ5UxyNCwadreQAXnQ7oCoH982DjIA-QnZdO7ZoqkC0/edit#gid=884617569"",""S1 Totals!$A$2:$O$255""),3,FALSE)"),"#N/A")</f>
        <v>#N/A</v>
      </c>
      <c r="F112" s="112" t="str">
        <f t="shared" si="1"/>
        <v>#N/A</v>
      </c>
      <c r="G112" s="16" t="str">
        <f>IFERROR(__xludf.DUMMYFUNCTION("VLOOKUP(A112,IMPORTRANGE(""1QZ5UxyNCwadreQAXnQ7oCoH982DjIA-QnZdO7ZoqkC0/edit#gid=884617569"",""S1 Totals!$A$2:$O$255""),4,FALSE)"),"#N/A")</f>
        <v>#N/A</v>
      </c>
      <c r="H112" s="15" t="str">
        <f>IFERROR(__xludf.DUMMYFUNCTION("VLOOKUP(A112,IMPORTRANGE(""1QZ5UxyNCwadreQAXnQ7oCoH982DjIA-QnZdO7ZoqkC0/edit#gid=884617569"",""S1 Totals!$A$2:$O$255""),5,FALSE)"),"#N/A")</f>
        <v>#N/A</v>
      </c>
      <c r="I112" s="108" t="str">
        <f t="shared" si="2"/>
        <v>#N/A</v>
      </c>
      <c r="J112" s="16" t="str">
        <f>IFERROR(__xludf.DUMMYFUNCTION("VLOOKUP(A112,IMPORTRANGE(""1QZ5UxyNCwadreQAXnQ7oCoH982DjIA-QnZdO7ZoqkC0/edit#gid=884617569"",""S1 Totals!$A$2:$O$255""),7,FALSE)"),"#N/A")</f>
        <v>#N/A</v>
      </c>
      <c r="K112" s="15" t="str">
        <f>IFERROR(__xludf.DUMMYFUNCTION("VLOOKUP(A112,IMPORTRANGE(""1QZ5UxyNCwadreQAXnQ7oCoH982DjIA-QnZdO7ZoqkC0/edit#gid=884617569"",""S1 Totals!$A$2:$O$255""),8,FALSE)"),"#N/A")</f>
        <v>#N/A</v>
      </c>
      <c r="L112" s="113" t="str">
        <f t="shared" si="3"/>
        <v>#N/A</v>
      </c>
      <c r="M112" s="16" t="str">
        <f>IFERROR(__xludf.DUMMYFUNCTION("VLOOKUP(A112,IMPORTRANGE(""1QZ5UxyNCwadreQAXnQ7oCoH982DjIA-QnZdO7ZoqkC0/edit#gid=884617569"",""S1 Totals!$A$2:$O$255""),10,FALSE)"),"#N/A")</f>
        <v>#N/A</v>
      </c>
      <c r="N112" s="15" t="str">
        <f>IFERROR(__xludf.DUMMYFUNCTION("VLOOKUP(A112,IMPORTRANGE(""1QZ5UxyNCwadreQAXnQ7oCoH982DjIA-QnZdO7ZoqkC0/edit#gid=884617569"",""S1 Totals!$A$2:$O$256""),11,FALSE)"),"#N/A")</f>
        <v>#N/A</v>
      </c>
      <c r="O112" s="110" t="str">
        <f t="shared" si="18"/>
        <v>#N/A</v>
      </c>
      <c r="P112" s="16" t="str">
        <f>IFERROR(__xludf.DUMMYFUNCTION("VLOOKUP(A112,IMPORTRANGE(""1QZ5UxyNCwadreQAXnQ7oCoH982DjIA-QnZdO7ZoqkC0/edit#gid=884617569"",""S1 Totals!$A$2:$O$256""),13,FALSE)"),"#N/A")</f>
        <v>#N/A</v>
      </c>
      <c r="Q112" s="15" t="str">
        <f>IFERROR(__xludf.DUMMYFUNCTION("VLOOKUP(A112,IMPORTRANGE(""1QZ5UxyNCwadreQAXnQ7oCoH982DjIA-QnZdO7ZoqkC0/edit#gid=884617569"",""S1 Totals!$A$2:$O$256""),14,FALSE)"),"#N/A")</f>
        <v>#N/A</v>
      </c>
      <c r="R112" s="16" t="str">
        <f t="shared" si="5"/>
        <v>#N/A</v>
      </c>
    </row>
    <row r="113">
      <c r="A113" s="107" t="s">
        <v>130</v>
      </c>
      <c r="B113" s="16">
        <f>IFERROR(__xludf.DUMMYFUNCTION("VLOOKUP(A113,IMPORTRANGE(""1aFCnJY1qhIj8-JckJhDJ18aqmVo17tofpQmOjcYa3u8/edit#gid=590920912"",""S1 Totals!$A$2:$O$255""),2,FALSE)"),12.0)</f>
        <v>12</v>
      </c>
      <c r="C113" s="15">
        <f>IFERROR(__xludf.DUMMYFUNCTION("VLOOKUP(A113,IMPORTRANGE(""1aFCnJY1qhIj8-JckJhDJ18aqmVo17tofpQmOjcYa3u8/edit#gid=590920912"",""S1 Totals!$A$2:$O$255""),3,FALSE)"),0.36363636363636365)</f>
        <v>0.3636363636</v>
      </c>
      <c r="D113" s="16">
        <f>IFERROR(__xludf.DUMMYFUNCTION("VLOOKUP(A113,IMPORTRANGE(""1QZ5UxyNCwadreQAXnQ7oCoH982DjIA-QnZdO7ZoqkC0/edit#gid=884617569"",""S1 Totals!$A$2:$O$255""),2,FALSE)"),17.5)</f>
        <v>17.5</v>
      </c>
      <c r="E113" s="15">
        <f>IFERROR(__xludf.DUMMYFUNCTION("VLOOKUP(A113,IMPORTRANGE(""1QZ5UxyNCwadreQAXnQ7oCoH982DjIA-QnZdO7ZoqkC0/edit#gid=884617569"",""S1 Totals!$A$2:$O$255""),3,FALSE)"),0.5303030303030303)</f>
        <v>0.5303030303</v>
      </c>
      <c r="F113" s="108">
        <f t="shared" si="1"/>
        <v>-0.1666666667</v>
      </c>
      <c r="G113" s="16">
        <f>IFERROR(__xludf.DUMMYFUNCTION("VLOOKUP(A113,IMPORTRANGE(""1QZ5UxyNCwadreQAXnQ7oCoH982DjIA-QnZdO7ZoqkC0/edit#gid=884617569"",""S1 Totals!$A$2:$O$255""),4,FALSE)"),20.0)</f>
        <v>20</v>
      </c>
      <c r="H113" s="15">
        <f>IFERROR(__xludf.DUMMYFUNCTION("VLOOKUP(A113,IMPORTRANGE(""1QZ5UxyNCwadreQAXnQ7oCoH982DjIA-QnZdO7ZoqkC0/edit#gid=884617569"",""S1 Totals!$A$2:$O$255""),5,FALSE)"),0.425531914893617)</f>
        <v>0.4255319149</v>
      </c>
      <c r="I113" s="108">
        <f t="shared" si="2"/>
        <v>-0.06189555126</v>
      </c>
      <c r="J113" s="16">
        <f>IFERROR(__xludf.DUMMYFUNCTION("VLOOKUP(A113,IMPORTRANGE(""1QZ5UxyNCwadreQAXnQ7oCoH982DjIA-QnZdO7ZoqkC0/edit#gid=884617569"",""S1 Totals!$A$2:$O$255""),7,FALSE)"),14.5)</f>
        <v>14.5</v>
      </c>
      <c r="K113" s="15">
        <f>IFERROR(__xludf.DUMMYFUNCTION("VLOOKUP(A113,IMPORTRANGE(""1QZ5UxyNCwadreQAXnQ7oCoH982DjIA-QnZdO7ZoqkC0/edit#gid=884617569"",""S1 Totals!$A$2:$O$255""),8,FALSE)"),0.29591836734693877)</f>
        <v>0.2959183673</v>
      </c>
      <c r="L113" s="109">
        <f t="shared" si="3"/>
        <v>0.234384663</v>
      </c>
      <c r="M113" s="16">
        <f>IFERROR(__xludf.DUMMYFUNCTION("VLOOKUP(A113,IMPORTRANGE(""1QZ5UxyNCwadreQAXnQ7oCoH982DjIA-QnZdO7ZoqkC0/edit#gid=884617569"",""S1 Totals!$A$2:$O$255""),10,FALSE)"),12.5)</f>
        <v>12.5</v>
      </c>
      <c r="N113" s="15">
        <f>IFERROR(__xludf.DUMMYFUNCTION("VLOOKUP(A113,IMPORTRANGE(""1QZ5UxyNCwadreQAXnQ7oCoH982DjIA-QnZdO7ZoqkC0/edit#gid=884617569"",""S1 Totals!$A$2:$O$256""),11,FALSE)"),0.2604166666666667)</f>
        <v>0.2604166667</v>
      </c>
      <c r="O113" s="110">
        <f t="shared" si="18"/>
        <v>0.103219697</v>
      </c>
      <c r="P113" s="16" t="str">
        <f>IFERROR(__xludf.DUMMYFUNCTION("VLOOKUP(A113,IMPORTRANGE(""1QZ5UxyNCwadreQAXnQ7oCoH982DjIA-QnZdO7ZoqkC0/edit#gid=884617569"",""S1 Totals!$A$2:$O$256""),13,FALSE)"),"")</f>
        <v/>
      </c>
      <c r="Q113" s="15" t="str">
        <f>IFERROR(__xludf.DUMMYFUNCTION("VLOOKUP(A113,IMPORTRANGE(""1QZ5UxyNCwadreQAXnQ7oCoH982DjIA-QnZdO7ZoqkC0/edit#gid=884617569"",""S1 Totals!$A$2:$O$256""),14,FALSE)"),"")</f>
        <v/>
      </c>
      <c r="R113" s="15">
        <f t="shared" si="5"/>
        <v>0.3636363636</v>
      </c>
    </row>
    <row r="114">
      <c r="A114" s="107" t="s">
        <v>236</v>
      </c>
      <c r="B114" s="16">
        <f>IFERROR(__xludf.DUMMYFUNCTION("VLOOKUP(A114,IMPORTRANGE(""1aFCnJY1qhIj8-JckJhDJ18aqmVo17tofpQmOjcYa3u8/edit#gid=590920912"",""S1 Totals!$A$2:$O$255""),2,FALSE)"),1.0)</f>
        <v>1</v>
      </c>
      <c r="C114" s="15">
        <f>IFERROR(__xludf.DUMMYFUNCTION("VLOOKUP(A114,IMPORTRANGE(""1aFCnJY1qhIj8-JckJhDJ18aqmVo17tofpQmOjcYa3u8/edit#gid=590920912"",""S1 Totals!$A$2:$O$255""),3,FALSE)"),0.030303030303030304)</f>
        <v>0.0303030303</v>
      </c>
      <c r="D114" s="16">
        <f>IFERROR(__xludf.DUMMYFUNCTION("VLOOKUP(A114,IMPORTRANGE(""1QZ5UxyNCwadreQAXnQ7oCoH982DjIA-QnZdO7ZoqkC0/edit#gid=884617569"",""S1 Totals!$A$2:$O$255""),2,FALSE)"),8.25)</f>
        <v>8.25</v>
      </c>
      <c r="E114" s="15">
        <f>IFERROR(__xludf.DUMMYFUNCTION("VLOOKUP(A114,IMPORTRANGE(""1QZ5UxyNCwadreQAXnQ7oCoH982DjIA-QnZdO7ZoqkC0/edit#gid=884617569"",""S1 Totals!$A$2:$O$255""),3,FALSE)"),0.25)</f>
        <v>0.25</v>
      </c>
      <c r="F114" s="108">
        <f t="shared" si="1"/>
        <v>-0.2196969697</v>
      </c>
      <c r="G114" s="16">
        <f>IFERROR(__xludf.DUMMYFUNCTION("VLOOKUP(A114,IMPORTRANGE(""1QZ5UxyNCwadreQAXnQ7oCoH982DjIA-QnZdO7ZoqkC0/edit#gid=884617569"",""S1 Totals!$A$2:$O$255""),4,FALSE)"),7.5)</f>
        <v>7.5</v>
      </c>
      <c r="H114" s="15">
        <f>IFERROR(__xludf.DUMMYFUNCTION("VLOOKUP(A114,IMPORTRANGE(""1QZ5UxyNCwadreQAXnQ7oCoH982DjIA-QnZdO7ZoqkC0/edit#gid=884617569"",""S1 Totals!$A$2:$O$255""),5,FALSE)"),0.1595744680851064)</f>
        <v>0.1595744681</v>
      </c>
      <c r="I114" s="108">
        <f t="shared" si="2"/>
        <v>-0.1292714378</v>
      </c>
      <c r="J114" s="16" t="str">
        <f>IFERROR(__xludf.DUMMYFUNCTION("VLOOKUP(A114,IMPORTRANGE(""1QZ5UxyNCwadreQAXnQ7oCoH982DjIA-QnZdO7ZoqkC0/edit#gid=884617569"",""S1 Totals!$A$2:$O$255""),7,FALSE)"),"")</f>
        <v/>
      </c>
      <c r="K114" s="15" t="str">
        <f>IFERROR(__xludf.DUMMYFUNCTION("VLOOKUP(A114,IMPORTRANGE(""1QZ5UxyNCwadreQAXnQ7oCoH982DjIA-QnZdO7ZoqkC0/edit#gid=884617569"",""S1 Totals!$A$2:$O$255""),8,FALSE)"),"")</f>
        <v/>
      </c>
      <c r="L114" s="109">
        <f t="shared" si="3"/>
        <v>0.25</v>
      </c>
      <c r="M114" s="16" t="str">
        <f>IFERROR(__xludf.DUMMYFUNCTION("VLOOKUP(A114,IMPORTRANGE(""1QZ5UxyNCwadreQAXnQ7oCoH982DjIA-QnZdO7ZoqkC0/edit#gid=884617569"",""S1 Totals!$A$2:$O$255""),10,FALSE)"),"")</f>
        <v/>
      </c>
      <c r="N114" s="15" t="str">
        <f>IFERROR(__xludf.DUMMYFUNCTION("VLOOKUP(A114,IMPORTRANGE(""1QZ5UxyNCwadreQAXnQ7oCoH982DjIA-QnZdO7ZoqkC0/edit#gid=884617569"",""S1 Totals!$A$2:$O$256""),11,FALSE)"),"")</f>
        <v/>
      </c>
      <c r="O114" s="110"/>
      <c r="P114" s="16" t="str">
        <f>IFERROR(__xludf.DUMMYFUNCTION("VLOOKUP(A114,IMPORTRANGE(""1QZ5UxyNCwadreQAXnQ7oCoH982DjIA-QnZdO7ZoqkC0/edit#gid=884617569"",""S1 Totals!$A$2:$O$256""),13,FALSE)"),"")</f>
        <v/>
      </c>
      <c r="Q114" s="15" t="str">
        <f>IFERROR(__xludf.DUMMYFUNCTION("VLOOKUP(A114,IMPORTRANGE(""1QZ5UxyNCwadreQAXnQ7oCoH982DjIA-QnZdO7ZoqkC0/edit#gid=884617569"",""S1 Totals!$A$2:$O$256""),14,FALSE)"),"")</f>
        <v/>
      </c>
      <c r="R114" s="15">
        <f t="shared" si="5"/>
        <v>0.0303030303</v>
      </c>
    </row>
    <row r="115">
      <c r="A115" s="107" t="s">
        <v>237</v>
      </c>
      <c r="B115" s="16">
        <f>IFERROR(__xludf.DUMMYFUNCTION("VLOOKUP(A115,IMPORTRANGE(""1aFCnJY1qhIj8-JckJhDJ18aqmVo17tofpQmOjcYa3u8/edit#gid=590920912"",""S1 Totals!$A$2:$O$255""),2,FALSE)"),3.5)</f>
        <v>3.5</v>
      </c>
      <c r="C115" s="15">
        <f>IFERROR(__xludf.DUMMYFUNCTION("VLOOKUP(A115,IMPORTRANGE(""1aFCnJY1qhIj8-JckJhDJ18aqmVo17tofpQmOjcYa3u8/edit#gid=590920912"",""S1 Totals!$A$2:$O$255""),3,FALSE)"),0.10606060606060606)</f>
        <v>0.1060606061</v>
      </c>
      <c r="D115" s="16">
        <f>IFERROR(__xludf.DUMMYFUNCTION("VLOOKUP(A115,IMPORTRANGE(""1QZ5UxyNCwadreQAXnQ7oCoH982DjIA-QnZdO7ZoqkC0/edit#gid=884617569"",""S1 Totals!$A$2:$O$255""),2,FALSE)"),4.5)</f>
        <v>4.5</v>
      </c>
      <c r="E115" s="15">
        <f>IFERROR(__xludf.DUMMYFUNCTION("VLOOKUP(A115,IMPORTRANGE(""1QZ5UxyNCwadreQAXnQ7oCoH982DjIA-QnZdO7ZoqkC0/edit#gid=884617569"",""S1 Totals!$A$2:$O$255""),3,FALSE)"),0.13636363636363635)</f>
        <v>0.1363636364</v>
      </c>
      <c r="F115" s="108">
        <f t="shared" si="1"/>
        <v>-0.0303030303</v>
      </c>
      <c r="G115" s="16">
        <f>IFERROR(__xludf.DUMMYFUNCTION("VLOOKUP(A115,IMPORTRANGE(""1QZ5UxyNCwadreQAXnQ7oCoH982DjIA-QnZdO7ZoqkC0/edit#gid=884617569"",""S1 Totals!$A$2:$O$255""),4,FALSE)"),8.0)</f>
        <v>8</v>
      </c>
      <c r="H115" s="15">
        <f>IFERROR(__xludf.DUMMYFUNCTION("VLOOKUP(A115,IMPORTRANGE(""1QZ5UxyNCwadreQAXnQ7oCoH982DjIA-QnZdO7ZoqkC0/edit#gid=884617569"",""S1 Totals!$A$2:$O$255""),5,FALSE)"),0.1702127659574468)</f>
        <v>0.170212766</v>
      </c>
      <c r="I115" s="108">
        <f t="shared" si="2"/>
        <v>-0.0641521599</v>
      </c>
      <c r="J115" s="16" t="str">
        <f>IFERROR(__xludf.DUMMYFUNCTION("VLOOKUP(A115,IMPORTRANGE(""1QZ5UxyNCwadreQAXnQ7oCoH982DjIA-QnZdO7ZoqkC0/edit#gid=884617569"",""S1 Totals!$A$2:$O$255""),7,FALSE)"),"")</f>
        <v/>
      </c>
      <c r="K115" s="15" t="str">
        <f>IFERROR(__xludf.DUMMYFUNCTION("VLOOKUP(A115,IMPORTRANGE(""1QZ5UxyNCwadreQAXnQ7oCoH982DjIA-QnZdO7ZoqkC0/edit#gid=884617569"",""S1 Totals!$A$2:$O$255""),8,FALSE)"),"")</f>
        <v/>
      </c>
      <c r="L115" s="109">
        <f t="shared" si="3"/>
        <v>0.1363636364</v>
      </c>
      <c r="M115" s="16" t="str">
        <f>IFERROR(__xludf.DUMMYFUNCTION("VLOOKUP(A115,IMPORTRANGE(""1QZ5UxyNCwadreQAXnQ7oCoH982DjIA-QnZdO7ZoqkC0/edit#gid=884617569"",""S1 Totals!$A$2:$O$255""),10,FALSE)"),"")</f>
        <v/>
      </c>
      <c r="N115" s="15" t="str">
        <f>IFERROR(__xludf.DUMMYFUNCTION("VLOOKUP(A115,IMPORTRANGE(""1QZ5UxyNCwadreQAXnQ7oCoH982DjIA-QnZdO7ZoqkC0/edit#gid=884617569"",""S1 Totals!$A$2:$O$256""),11,FALSE)"),"")</f>
        <v/>
      </c>
      <c r="O115" s="110"/>
      <c r="P115" s="16" t="str">
        <f>IFERROR(__xludf.DUMMYFUNCTION("VLOOKUP(A115,IMPORTRANGE(""1QZ5UxyNCwadreQAXnQ7oCoH982DjIA-QnZdO7ZoqkC0/edit#gid=884617569"",""S1 Totals!$A$2:$O$256""),13,FALSE)"),"")</f>
        <v/>
      </c>
      <c r="Q115" s="15" t="str">
        <f>IFERROR(__xludf.DUMMYFUNCTION("VLOOKUP(A115,IMPORTRANGE(""1QZ5UxyNCwadreQAXnQ7oCoH982DjIA-QnZdO7ZoqkC0/edit#gid=884617569"",""S1 Totals!$A$2:$O$256""),14,FALSE)"),"")</f>
        <v/>
      </c>
      <c r="R115" s="15">
        <f t="shared" si="5"/>
        <v>0.1060606061</v>
      </c>
    </row>
    <row r="116">
      <c r="A116" s="118" t="s">
        <v>131</v>
      </c>
      <c r="B116" s="16">
        <f>IFERROR(__xludf.DUMMYFUNCTION("VLOOKUP(A116,IMPORTRANGE(""1aFCnJY1qhIj8-JckJhDJ18aqmVo17tofpQmOjcYa3u8/edit#gid=590920912"",""S1 Totals!$A$2:$O$255""),2,FALSE)"),16.5)</f>
        <v>16.5</v>
      </c>
      <c r="C116" s="15">
        <f>IFERROR(__xludf.DUMMYFUNCTION("VLOOKUP(A116,IMPORTRANGE(""1aFCnJY1qhIj8-JckJhDJ18aqmVo17tofpQmOjcYa3u8/edit#gid=590920912"",""S1 Totals!$A$2:$O$255""),3,FALSE)"),0.5)</f>
        <v>0.5</v>
      </c>
      <c r="D116" s="16">
        <f>IFERROR(__xludf.DUMMYFUNCTION("VLOOKUP(A116,IMPORTRANGE(""1QZ5UxyNCwadreQAXnQ7oCoH982DjIA-QnZdO7ZoqkC0/edit#gid=884617569"",""S1 Totals!$A$2:$O$255""),2,FALSE)"),15.5)</f>
        <v>15.5</v>
      </c>
      <c r="E116" s="15">
        <f>IFERROR(__xludf.DUMMYFUNCTION("VLOOKUP(A116,IMPORTRANGE(""1QZ5UxyNCwadreQAXnQ7oCoH982DjIA-QnZdO7ZoqkC0/edit#gid=884617569"",""S1 Totals!$A$2:$O$255""),3,FALSE)"),0.4696969696969697)</f>
        <v>0.4696969697</v>
      </c>
      <c r="F116" s="108">
        <f t="shared" si="1"/>
        <v>0.0303030303</v>
      </c>
      <c r="G116" s="16">
        <f>IFERROR(__xludf.DUMMYFUNCTION("VLOOKUP(A116,IMPORTRANGE(""1QZ5UxyNCwadreQAXnQ7oCoH982DjIA-QnZdO7ZoqkC0/edit#gid=884617569"",""S1 Totals!$A$2:$O$255""),4,FALSE)"),16.5)</f>
        <v>16.5</v>
      </c>
      <c r="H116" s="15">
        <f>IFERROR(__xludf.DUMMYFUNCTION("VLOOKUP(A116,IMPORTRANGE(""1QZ5UxyNCwadreQAXnQ7oCoH982DjIA-QnZdO7ZoqkC0/edit#gid=884617569"",""S1 Totals!$A$2:$O$255""),5,FALSE)"),0.35106382978723405)</f>
        <v>0.3510638298</v>
      </c>
      <c r="I116" s="108">
        <f t="shared" si="2"/>
        <v>0.1489361702</v>
      </c>
      <c r="J116" s="16">
        <f>IFERROR(__xludf.DUMMYFUNCTION("VLOOKUP(A116,IMPORTRANGE(""1QZ5UxyNCwadreQAXnQ7oCoH982DjIA-QnZdO7ZoqkC0/edit#gid=884617569"",""S1 Totals!$A$2:$O$255""),7,FALSE)"),15.5)</f>
        <v>15.5</v>
      </c>
      <c r="K116" s="15">
        <f>IFERROR(__xludf.DUMMYFUNCTION("VLOOKUP(A116,IMPORTRANGE(""1QZ5UxyNCwadreQAXnQ7oCoH982DjIA-QnZdO7ZoqkC0/edit#gid=884617569"",""S1 Totals!$A$2:$O$255""),8,FALSE)"),0.3163265306122449)</f>
        <v>0.3163265306</v>
      </c>
      <c r="L116" s="109">
        <f t="shared" si="3"/>
        <v>0.1533704391</v>
      </c>
      <c r="M116" s="16">
        <f>IFERROR(__xludf.DUMMYFUNCTION("VLOOKUP(A116,IMPORTRANGE(""1QZ5UxyNCwadreQAXnQ7oCoH982DjIA-QnZdO7ZoqkC0/edit#gid=884617569"",""S1 Totals!$A$2:$O$255""),10,FALSE)"),13.0)</f>
        <v>13</v>
      </c>
      <c r="N116" s="15">
        <f>IFERROR(__xludf.DUMMYFUNCTION("VLOOKUP(A116,IMPORTRANGE(""1QZ5UxyNCwadreQAXnQ7oCoH982DjIA-QnZdO7ZoqkC0/edit#gid=884617569"",""S1 Totals!$A$2:$O$256""),11,FALSE)"),0.2708333333333333)</f>
        <v>0.2708333333</v>
      </c>
      <c r="O116" s="110">
        <f t="shared" ref="O116:O118" si="19">C116-N116</f>
        <v>0.2291666667</v>
      </c>
      <c r="P116" s="16" t="str">
        <f>IFERROR(__xludf.DUMMYFUNCTION("VLOOKUP(A116,IMPORTRANGE(""1QZ5UxyNCwadreQAXnQ7oCoH982DjIA-QnZdO7ZoqkC0/edit#gid=884617569"",""S1 Totals!$A$2:$O$256""),13,FALSE)"),"")</f>
        <v/>
      </c>
      <c r="Q116" s="15" t="str">
        <f>IFERROR(__xludf.DUMMYFUNCTION("VLOOKUP(A116,IMPORTRANGE(""1QZ5UxyNCwadreQAXnQ7oCoH982DjIA-QnZdO7ZoqkC0/edit#gid=884617569"",""S1 Totals!$A$2:$O$256""),14,FALSE)"),"")</f>
        <v/>
      </c>
      <c r="R116" s="15">
        <f t="shared" si="5"/>
        <v>0.5</v>
      </c>
    </row>
    <row r="117">
      <c r="A117" s="107" t="s">
        <v>132</v>
      </c>
      <c r="B117" s="16">
        <f>IFERROR(__xludf.DUMMYFUNCTION("VLOOKUP(A117,IMPORTRANGE(""1aFCnJY1qhIj8-JckJhDJ18aqmVo17tofpQmOjcYa3u8/edit#gid=590920912"",""S1 Totals!$A$2:$O$255""),2,FALSE)"),20.5)</f>
        <v>20.5</v>
      </c>
      <c r="C117" s="15">
        <f>IFERROR(__xludf.DUMMYFUNCTION("VLOOKUP(A117,IMPORTRANGE(""1aFCnJY1qhIj8-JckJhDJ18aqmVo17tofpQmOjcYa3u8/edit#gid=590920912"",""S1 Totals!$A$2:$O$255""),3,FALSE)"),0.6212121212121212)</f>
        <v>0.6212121212</v>
      </c>
      <c r="D117" s="16">
        <f>IFERROR(__xludf.DUMMYFUNCTION("VLOOKUP(A117,IMPORTRANGE(""1QZ5UxyNCwadreQAXnQ7oCoH982DjIA-QnZdO7ZoqkC0/edit#gid=884617569"",""S1 Totals!$A$2:$O$255""),2,FALSE)"),20.25)</f>
        <v>20.25</v>
      </c>
      <c r="E117" s="15">
        <f>IFERROR(__xludf.DUMMYFUNCTION("VLOOKUP(A117,IMPORTRANGE(""1QZ5UxyNCwadreQAXnQ7oCoH982DjIA-QnZdO7ZoqkC0/edit#gid=884617569"",""S1 Totals!$A$2:$O$255""),3,FALSE)"),0.6136363636363636)</f>
        <v>0.6136363636</v>
      </c>
      <c r="F117" s="108">
        <f t="shared" si="1"/>
        <v>0.007575757576</v>
      </c>
      <c r="G117" s="16">
        <f>IFERROR(__xludf.DUMMYFUNCTION("VLOOKUP(A117,IMPORTRANGE(""1QZ5UxyNCwadreQAXnQ7oCoH982DjIA-QnZdO7ZoqkC0/edit#gid=884617569"",""S1 Totals!$A$2:$O$255""),4,FALSE)"),27.0)</f>
        <v>27</v>
      </c>
      <c r="H117" s="15">
        <f>IFERROR(__xludf.DUMMYFUNCTION("VLOOKUP(A117,IMPORTRANGE(""1QZ5UxyNCwadreQAXnQ7oCoH982DjIA-QnZdO7ZoqkC0/edit#gid=884617569"",""S1 Totals!$A$2:$O$255""),5,FALSE)"),0.574468085106383)</f>
        <v>0.5744680851</v>
      </c>
      <c r="I117" s="108">
        <f t="shared" si="2"/>
        <v>0.04674403611</v>
      </c>
      <c r="J117" s="16">
        <f>IFERROR(__xludf.DUMMYFUNCTION("VLOOKUP(A117,IMPORTRANGE(""1QZ5UxyNCwadreQAXnQ7oCoH982DjIA-QnZdO7ZoqkC0/edit#gid=884617569"",""S1 Totals!$A$2:$O$255""),7,FALSE)"),32.0)</f>
        <v>32</v>
      </c>
      <c r="K117" s="15">
        <f>IFERROR(__xludf.DUMMYFUNCTION("VLOOKUP(A117,IMPORTRANGE(""1QZ5UxyNCwadreQAXnQ7oCoH982DjIA-QnZdO7ZoqkC0/edit#gid=884617569"",""S1 Totals!$A$2:$O$255""),8,FALSE)"),0.6530612244897959)</f>
        <v>0.6530612245</v>
      </c>
      <c r="L117" s="109">
        <f t="shared" si="3"/>
        <v>-0.03942486085</v>
      </c>
      <c r="M117" s="16">
        <f>IFERROR(__xludf.DUMMYFUNCTION("VLOOKUP(A117,IMPORTRANGE(""1QZ5UxyNCwadreQAXnQ7oCoH982DjIA-QnZdO7ZoqkC0/edit#gid=884617569"",""S1 Totals!$A$2:$O$255""),10,FALSE)"),28.0)</f>
        <v>28</v>
      </c>
      <c r="N117" s="15">
        <f>IFERROR(__xludf.DUMMYFUNCTION("VLOOKUP(A117,IMPORTRANGE(""1QZ5UxyNCwadreQAXnQ7oCoH982DjIA-QnZdO7ZoqkC0/edit#gid=884617569"",""S1 Totals!$A$2:$O$256""),11,FALSE)"),0.5833333333333334)</f>
        <v>0.5833333333</v>
      </c>
      <c r="O117" s="110">
        <f t="shared" si="19"/>
        <v>0.03787878788</v>
      </c>
      <c r="P117" s="16" t="str">
        <f>IFERROR(__xludf.DUMMYFUNCTION("VLOOKUP(A117,IMPORTRANGE(""1QZ5UxyNCwadreQAXnQ7oCoH982DjIA-QnZdO7ZoqkC0/edit#gid=884617569"",""S1 Totals!$A$2:$O$256""),13,FALSE)"),"")</f>
        <v/>
      </c>
      <c r="Q117" s="15" t="str">
        <f>IFERROR(__xludf.DUMMYFUNCTION("VLOOKUP(A117,IMPORTRANGE(""1QZ5UxyNCwadreQAXnQ7oCoH982DjIA-QnZdO7ZoqkC0/edit#gid=884617569"",""S1 Totals!$A$2:$O$256""),14,FALSE)"),"")</f>
        <v/>
      </c>
      <c r="R117" s="15">
        <f t="shared" si="5"/>
        <v>0.6212121212</v>
      </c>
    </row>
    <row r="118">
      <c r="A118" s="107" t="s">
        <v>61</v>
      </c>
      <c r="B118" s="16">
        <f>IFERROR(__xludf.DUMMYFUNCTION("VLOOKUP(A118,IMPORTRANGE(""1aFCnJY1qhIj8-JckJhDJ18aqmVo17tofpQmOjcYa3u8/edit#gid=590920912"",""S1 Totals!$A$2:$O$255""),2,FALSE)"),30.5)</f>
        <v>30.5</v>
      </c>
      <c r="C118" s="15">
        <f>IFERROR(__xludf.DUMMYFUNCTION("VLOOKUP(A118,IMPORTRANGE(""1aFCnJY1qhIj8-JckJhDJ18aqmVo17tofpQmOjcYa3u8/edit#gid=590920912"",""S1 Totals!$A$2:$O$255""),3,FALSE)"),0.9242424242424242)</f>
        <v>0.9242424242</v>
      </c>
      <c r="D118" s="16">
        <f>IFERROR(__xludf.DUMMYFUNCTION("VLOOKUP(A118,IMPORTRANGE(""1QZ5UxyNCwadreQAXnQ7oCoH982DjIA-QnZdO7ZoqkC0/edit#gid=884617569"",""S1 Totals!$A$2:$O$255""),2,FALSE)"),30.5)</f>
        <v>30.5</v>
      </c>
      <c r="E118" s="15">
        <f>IFERROR(__xludf.DUMMYFUNCTION("VLOOKUP(A118,IMPORTRANGE(""1QZ5UxyNCwadreQAXnQ7oCoH982DjIA-QnZdO7ZoqkC0/edit#gid=884617569"",""S1 Totals!$A$2:$O$255""),3,FALSE)"),0.9242424242424242)</f>
        <v>0.9242424242</v>
      </c>
      <c r="F118" s="108">
        <f t="shared" si="1"/>
        <v>0</v>
      </c>
      <c r="G118" s="16">
        <f>IFERROR(__xludf.DUMMYFUNCTION("VLOOKUP(A118,IMPORTRANGE(""1QZ5UxyNCwadreQAXnQ7oCoH982DjIA-QnZdO7ZoqkC0/edit#gid=884617569"",""S1 Totals!$A$2:$O$255""),4,FALSE)"),43.0)</f>
        <v>43</v>
      </c>
      <c r="H118" s="15">
        <f>IFERROR(__xludf.DUMMYFUNCTION("VLOOKUP(A118,IMPORTRANGE(""1QZ5UxyNCwadreQAXnQ7oCoH982DjIA-QnZdO7ZoqkC0/edit#gid=884617569"",""S1 Totals!$A$2:$O$255""),5,FALSE)"),0.9148936170212766)</f>
        <v>0.914893617</v>
      </c>
      <c r="I118" s="108">
        <f t="shared" si="2"/>
        <v>0.009348807221</v>
      </c>
      <c r="J118" s="16">
        <f>IFERROR(__xludf.DUMMYFUNCTION("VLOOKUP(A118,IMPORTRANGE(""1QZ5UxyNCwadreQAXnQ7oCoH982DjIA-QnZdO7ZoqkC0/edit#gid=884617569"",""S1 Totals!$A$2:$O$255""),7,FALSE)"),44.0)</f>
        <v>44</v>
      </c>
      <c r="K118" s="15">
        <f>IFERROR(__xludf.DUMMYFUNCTION("VLOOKUP(A118,IMPORTRANGE(""1QZ5UxyNCwadreQAXnQ7oCoH982DjIA-QnZdO7ZoqkC0/edit#gid=884617569"",""S1 Totals!$A$2:$O$255""),8,FALSE)"),0.8979591836734694)</f>
        <v>0.8979591837</v>
      </c>
      <c r="L118" s="109">
        <f t="shared" si="3"/>
        <v>0.02628324057</v>
      </c>
      <c r="M118" s="16">
        <f>IFERROR(__xludf.DUMMYFUNCTION("VLOOKUP(A118,IMPORTRANGE(""1QZ5UxyNCwadreQAXnQ7oCoH982DjIA-QnZdO7ZoqkC0/edit#gid=884617569"",""S1 Totals!$A$2:$O$255""),10,FALSE)"),40.0)</f>
        <v>40</v>
      </c>
      <c r="N118" s="15">
        <f>IFERROR(__xludf.DUMMYFUNCTION("VLOOKUP(A118,IMPORTRANGE(""1QZ5UxyNCwadreQAXnQ7oCoH982DjIA-QnZdO7ZoqkC0/edit#gid=884617569"",""S1 Totals!$A$2:$O$256""),11,FALSE)"),0.8333333333333334)</f>
        <v>0.8333333333</v>
      </c>
      <c r="O118" s="110">
        <f t="shared" si="19"/>
        <v>0.09090909091</v>
      </c>
      <c r="P118" s="16">
        <f>IFERROR(__xludf.DUMMYFUNCTION("VLOOKUP(A118,IMPORTRANGE(""1QZ5UxyNCwadreQAXnQ7oCoH982DjIA-QnZdO7ZoqkC0/edit#gid=884617569"",""S1 Totals!$A$2:$O$256""),13,FALSE)"),38.0)</f>
        <v>38</v>
      </c>
      <c r="Q118" s="15">
        <f>IFERROR(__xludf.DUMMYFUNCTION("VLOOKUP(A118,IMPORTRANGE(""1QZ5UxyNCwadreQAXnQ7oCoH982DjIA-QnZdO7ZoqkC0/edit#gid=884617569"",""S1 Totals!$A$2:$O$256""),14,FALSE)"),0.76)</f>
        <v>0.76</v>
      </c>
      <c r="R118" s="15">
        <f t="shared" si="5"/>
        <v>0.1642424242</v>
      </c>
    </row>
    <row r="119">
      <c r="A119" s="107" t="s">
        <v>300</v>
      </c>
      <c r="B119" s="16">
        <f>IFERROR(__xludf.DUMMYFUNCTION("VLOOKUP(A119,IMPORTRANGE(""1aFCnJY1qhIj8-JckJhDJ18aqmVo17tofpQmOjcYa3u8/edit#gid=590920912"",""S1 Totals!$A$2:$O$255""),2,FALSE)"),0.0)</f>
        <v>0</v>
      </c>
      <c r="C119" s="15">
        <f>IFERROR(__xludf.DUMMYFUNCTION("VLOOKUP(A119,IMPORTRANGE(""1aFCnJY1qhIj8-JckJhDJ18aqmVo17tofpQmOjcYa3u8/edit#gid=590920912"",""S1 Totals!$A$2:$O$255""),3,FALSE)"),0.0)</f>
        <v>0</v>
      </c>
      <c r="D119" s="16">
        <f>IFERROR(__xludf.DUMMYFUNCTION("VLOOKUP(A119,IMPORTRANGE(""1QZ5UxyNCwadreQAXnQ7oCoH982DjIA-QnZdO7ZoqkC0/edit#gid=884617569"",""S1 Totals!$A$2:$O$255""),2,FALSE)"),6.25)</f>
        <v>6.25</v>
      </c>
      <c r="E119" s="15">
        <f>IFERROR(__xludf.DUMMYFUNCTION("VLOOKUP(A119,IMPORTRANGE(""1QZ5UxyNCwadreQAXnQ7oCoH982DjIA-QnZdO7ZoqkC0/edit#gid=884617569"",""S1 Totals!$A$2:$O$255""),3,FALSE)"),0.1893939393939394)</f>
        <v>0.1893939394</v>
      </c>
      <c r="F119" s="108">
        <f t="shared" si="1"/>
        <v>-0.1893939394</v>
      </c>
      <c r="G119" s="16">
        <f>IFERROR(__xludf.DUMMYFUNCTION("VLOOKUP(A119,IMPORTRANGE(""1QZ5UxyNCwadreQAXnQ7oCoH982DjIA-QnZdO7ZoqkC0/edit#gid=884617569"",""S1 Totals!$A$2:$O$255""),4,FALSE)"),8.5)</f>
        <v>8.5</v>
      </c>
      <c r="H119" s="15">
        <f>IFERROR(__xludf.DUMMYFUNCTION("VLOOKUP(A119,IMPORTRANGE(""1QZ5UxyNCwadreQAXnQ7oCoH982DjIA-QnZdO7ZoqkC0/edit#gid=884617569"",""S1 Totals!$A$2:$O$255""),5,FALSE)"),0.18085106382978725)</f>
        <v>0.1808510638</v>
      </c>
      <c r="I119" s="108">
        <f t="shared" si="2"/>
        <v>-0.1808510638</v>
      </c>
      <c r="J119" s="16" t="str">
        <f>IFERROR(__xludf.DUMMYFUNCTION("VLOOKUP(A119,IMPORTRANGE(""1QZ5UxyNCwadreQAXnQ7oCoH982DjIA-QnZdO7ZoqkC0/edit#gid=884617569"",""S1 Totals!$A$2:$O$255""),7,FALSE)"),"")</f>
        <v/>
      </c>
      <c r="K119" s="15" t="str">
        <f>IFERROR(__xludf.DUMMYFUNCTION("VLOOKUP(A119,IMPORTRANGE(""1QZ5UxyNCwadreQAXnQ7oCoH982DjIA-QnZdO7ZoqkC0/edit#gid=884617569"",""S1 Totals!$A$2:$O$255""),8,FALSE)"),"")</f>
        <v/>
      </c>
      <c r="L119" s="109">
        <f t="shared" si="3"/>
        <v>0.1893939394</v>
      </c>
      <c r="M119" s="16" t="str">
        <f>IFERROR(__xludf.DUMMYFUNCTION("VLOOKUP(A119,IMPORTRANGE(""1QZ5UxyNCwadreQAXnQ7oCoH982DjIA-QnZdO7ZoqkC0/edit#gid=884617569"",""S1 Totals!$A$2:$O$255""),10,FALSE)"),"")</f>
        <v/>
      </c>
      <c r="N119" s="15" t="str">
        <f>IFERROR(__xludf.DUMMYFUNCTION("VLOOKUP(A119,IMPORTRANGE(""1QZ5UxyNCwadreQAXnQ7oCoH982DjIA-QnZdO7ZoqkC0/edit#gid=884617569"",""S1 Totals!$A$2:$O$256""),11,FALSE)"),"")</f>
        <v/>
      </c>
      <c r="O119" s="110"/>
      <c r="P119" s="16" t="str">
        <f>IFERROR(__xludf.DUMMYFUNCTION("VLOOKUP(A119,IMPORTRANGE(""1QZ5UxyNCwadreQAXnQ7oCoH982DjIA-QnZdO7ZoqkC0/edit#gid=884617569"",""S1 Totals!$A$2:$O$256""),13,FALSE)"),"")</f>
        <v/>
      </c>
      <c r="Q119" s="15" t="str">
        <f>IFERROR(__xludf.DUMMYFUNCTION("VLOOKUP(A119,IMPORTRANGE(""1QZ5UxyNCwadreQAXnQ7oCoH982DjIA-QnZdO7ZoqkC0/edit#gid=884617569"",""S1 Totals!$A$2:$O$256""),14,FALSE)"),"")</f>
        <v/>
      </c>
      <c r="R119" s="15">
        <f t="shared" si="5"/>
        <v>0</v>
      </c>
    </row>
    <row r="120">
      <c r="A120" s="114" t="s">
        <v>180</v>
      </c>
      <c r="B120" s="16">
        <f>IFERROR(__xludf.DUMMYFUNCTION("VLOOKUP(A120,IMPORTRANGE(""1aFCnJY1qhIj8-JckJhDJ18aqmVo17tofpQmOjcYa3u8/edit#gid=590920912"",""S1 Totals!$A$2:$O$255""),2,FALSE)"),0.0)</f>
        <v>0</v>
      </c>
      <c r="C120" s="15">
        <f>IFERROR(__xludf.DUMMYFUNCTION("VLOOKUP(A120,IMPORTRANGE(""1aFCnJY1qhIj8-JckJhDJ18aqmVo17tofpQmOjcYa3u8/edit#gid=590920912"",""S1 Totals!$A$2:$O$255""),3,FALSE)"),0.0)</f>
        <v>0</v>
      </c>
      <c r="D120" s="16">
        <f>IFERROR(__xludf.DUMMYFUNCTION("VLOOKUP(A120,IMPORTRANGE(""1QZ5UxyNCwadreQAXnQ7oCoH982DjIA-QnZdO7ZoqkC0/edit#gid=884617569"",""S1 Totals!$A$2:$O$255""),2,FALSE)"),8.0)</f>
        <v>8</v>
      </c>
      <c r="E120" s="15">
        <f>IFERROR(__xludf.DUMMYFUNCTION("VLOOKUP(A120,IMPORTRANGE(""1QZ5UxyNCwadreQAXnQ7oCoH982DjIA-QnZdO7ZoqkC0/edit#gid=884617569"",""S1 Totals!$A$2:$O$255""),3,FALSE)"),0.24242424242424243)</f>
        <v>0.2424242424</v>
      </c>
      <c r="F120" s="108">
        <f t="shared" si="1"/>
        <v>-0.2424242424</v>
      </c>
      <c r="G120" s="16">
        <f>IFERROR(__xludf.DUMMYFUNCTION("VLOOKUP(A120,IMPORTRANGE(""1QZ5UxyNCwadreQAXnQ7oCoH982DjIA-QnZdO7ZoqkC0/edit#gid=884617569"",""S1 Totals!$A$2:$O$255""),4,FALSE)"),11.0)</f>
        <v>11</v>
      </c>
      <c r="H120" s="15">
        <f>IFERROR(__xludf.DUMMYFUNCTION("VLOOKUP(A120,IMPORTRANGE(""1QZ5UxyNCwadreQAXnQ7oCoH982DjIA-QnZdO7ZoqkC0/edit#gid=884617569"",""S1 Totals!$A$2:$O$255""),5,FALSE)"),0.23404255319148937)</f>
        <v>0.2340425532</v>
      </c>
      <c r="I120" s="108">
        <f t="shared" si="2"/>
        <v>-0.2340425532</v>
      </c>
      <c r="J120" s="16">
        <f>IFERROR(__xludf.DUMMYFUNCTION("VLOOKUP(A120,IMPORTRANGE(""1QZ5UxyNCwadreQAXnQ7oCoH982DjIA-QnZdO7ZoqkC0/edit#gid=884617569"",""S1 Totals!$A$2:$O$255""),7,FALSE)"),12.5)</f>
        <v>12.5</v>
      </c>
      <c r="K120" s="15">
        <f>IFERROR(__xludf.DUMMYFUNCTION("VLOOKUP(A120,IMPORTRANGE(""1QZ5UxyNCwadreQAXnQ7oCoH982DjIA-QnZdO7ZoqkC0/edit#gid=884617569"",""S1 Totals!$A$2:$O$255""),8,FALSE)"),0.25510204081632654)</f>
        <v>0.2551020408</v>
      </c>
      <c r="L120" s="109">
        <f t="shared" si="3"/>
        <v>-0.01267779839</v>
      </c>
      <c r="M120" s="16" t="str">
        <f>IFERROR(__xludf.DUMMYFUNCTION("VLOOKUP(A120,IMPORTRANGE(""1QZ5UxyNCwadreQAXnQ7oCoH982DjIA-QnZdO7ZoqkC0/edit#gid=884617569"",""S1 Totals!$A$2:$O$255""),10,FALSE)"),"")</f>
        <v/>
      </c>
      <c r="N120" s="15" t="str">
        <f>IFERROR(__xludf.DUMMYFUNCTION("VLOOKUP(A120,IMPORTRANGE(""1QZ5UxyNCwadreQAXnQ7oCoH982DjIA-QnZdO7ZoqkC0/edit#gid=884617569"",""S1 Totals!$A$2:$O$256""),11,FALSE)"),"")</f>
        <v/>
      </c>
      <c r="O120" s="110"/>
      <c r="P120" s="16" t="str">
        <f>IFERROR(__xludf.DUMMYFUNCTION("VLOOKUP(A120,IMPORTRANGE(""1QZ5UxyNCwadreQAXnQ7oCoH982DjIA-QnZdO7ZoqkC0/edit#gid=884617569"",""S1 Totals!$A$2:$O$256""),13,FALSE)"),"")</f>
        <v/>
      </c>
      <c r="Q120" s="15" t="str">
        <f>IFERROR(__xludf.DUMMYFUNCTION("VLOOKUP(A120,IMPORTRANGE(""1QZ5UxyNCwadreQAXnQ7oCoH982DjIA-QnZdO7ZoqkC0/edit#gid=884617569"",""S1 Totals!$A$2:$O$256""),14,FALSE)"),"")</f>
        <v/>
      </c>
      <c r="R120" s="15">
        <f t="shared" si="5"/>
        <v>0</v>
      </c>
    </row>
    <row r="121">
      <c r="A121" s="107" t="s">
        <v>133</v>
      </c>
      <c r="B121" s="16">
        <f>IFERROR(__xludf.DUMMYFUNCTION("VLOOKUP(A121,IMPORTRANGE(""1aFCnJY1qhIj8-JckJhDJ18aqmVo17tofpQmOjcYa3u8/edit#gid=590920912"",""S1 Totals!$A$2:$O$255""),2,FALSE)"),20.25)</f>
        <v>20.25</v>
      </c>
      <c r="C121" s="15">
        <f>IFERROR(__xludf.DUMMYFUNCTION("VLOOKUP(A121,IMPORTRANGE(""1aFCnJY1qhIj8-JckJhDJ18aqmVo17tofpQmOjcYa3u8/edit#gid=590920912"",""S1 Totals!$A$2:$O$255""),3,FALSE)"),0.6136363636363636)</f>
        <v>0.6136363636</v>
      </c>
      <c r="D121" s="16">
        <f>IFERROR(__xludf.DUMMYFUNCTION("VLOOKUP(A121,IMPORTRANGE(""1QZ5UxyNCwadreQAXnQ7oCoH982DjIA-QnZdO7ZoqkC0/edit#gid=884617569"",""S1 Totals!$A$2:$O$255""),2,FALSE)"),19.0)</f>
        <v>19</v>
      </c>
      <c r="E121" s="15">
        <f>IFERROR(__xludf.DUMMYFUNCTION("VLOOKUP(A121,IMPORTRANGE(""1QZ5UxyNCwadreQAXnQ7oCoH982DjIA-QnZdO7ZoqkC0/edit#gid=884617569"",""S1 Totals!$A$2:$O$255""),3,FALSE)"),0.5757575757575758)</f>
        <v>0.5757575758</v>
      </c>
      <c r="F121" s="108">
        <f t="shared" si="1"/>
        <v>0.03787878788</v>
      </c>
      <c r="G121" s="16">
        <f>IFERROR(__xludf.DUMMYFUNCTION("VLOOKUP(A121,IMPORTRANGE(""1QZ5UxyNCwadreQAXnQ7oCoH982DjIA-QnZdO7ZoqkC0/edit#gid=884617569"",""S1 Totals!$A$2:$O$255""),4,FALSE)"),28.0)</f>
        <v>28</v>
      </c>
      <c r="H121" s="15">
        <f>IFERROR(__xludf.DUMMYFUNCTION("VLOOKUP(A121,IMPORTRANGE(""1QZ5UxyNCwadreQAXnQ7oCoH982DjIA-QnZdO7ZoqkC0/edit#gid=884617569"",""S1 Totals!$A$2:$O$255""),5,FALSE)"),0.5957446808510638)</f>
        <v>0.5957446809</v>
      </c>
      <c r="I121" s="108">
        <f t="shared" si="2"/>
        <v>0.01789168279</v>
      </c>
      <c r="J121" s="16">
        <f>IFERROR(__xludf.DUMMYFUNCTION("VLOOKUP(A121,IMPORTRANGE(""1QZ5UxyNCwadreQAXnQ7oCoH982DjIA-QnZdO7ZoqkC0/edit#gid=884617569"",""S1 Totals!$A$2:$O$255""),7,FALSE)"),30.0)</f>
        <v>30</v>
      </c>
      <c r="K121" s="15">
        <f>IFERROR(__xludf.DUMMYFUNCTION("VLOOKUP(A121,IMPORTRANGE(""1QZ5UxyNCwadreQAXnQ7oCoH982DjIA-QnZdO7ZoqkC0/edit#gid=884617569"",""S1 Totals!$A$2:$O$255""),8,FALSE)"),0.6122448979591837)</f>
        <v>0.612244898</v>
      </c>
      <c r="L121" s="109">
        <f t="shared" si="3"/>
        <v>-0.0364873222</v>
      </c>
      <c r="M121" s="16">
        <f>IFERROR(__xludf.DUMMYFUNCTION("VLOOKUP(A121,IMPORTRANGE(""1QZ5UxyNCwadreQAXnQ7oCoH982DjIA-QnZdO7ZoqkC0/edit#gid=884617569"",""S1 Totals!$A$2:$O$255""),10,FALSE)"),15.0)</f>
        <v>15</v>
      </c>
      <c r="N121" s="15">
        <f>IFERROR(__xludf.DUMMYFUNCTION("VLOOKUP(A121,IMPORTRANGE(""1QZ5UxyNCwadreQAXnQ7oCoH982DjIA-QnZdO7ZoqkC0/edit#gid=884617569"",""S1 Totals!$A$2:$O$256""),11,FALSE)"),0.3125)</f>
        <v>0.3125</v>
      </c>
      <c r="O121" s="110">
        <f>C121-N121</f>
        <v>0.3011363636</v>
      </c>
      <c r="P121" s="16" t="str">
        <f>IFERROR(__xludf.DUMMYFUNCTION("VLOOKUP(A121,IMPORTRANGE(""1QZ5UxyNCwadreQAXnQ7oCoH982DjIA-QnZdO7ZoqkC0/edit#gid=884617569"",""S1 Totals!$A$2:$O$256""),13,FALSE)"),"")</f>
        <v/>
      </c>
      <c r="Q121" s="15" t="str">
        <f>IFERROR(__xludf.DUMMYFUNCTION("VLOOKUP(A121,IMPORTRANGE(""1QZ5UxyNCwadreQAXnQ7oCoH982DjIA-QnZdO7ZoqkC0/edit#gid=884617569"",""S1 Totals!$A$2:$O$256""),14,FALSE)"),"")</f>
        <v/>
      </c>
      <c r="R121" s="15">
        <f t="shared" si="5"/>
        <v>0.6136363636</v>
      </c>
    </row>
    <row r="122">
      <c r="A122" s="107" t="s">
        <v>238</v>
      </c>
      <c r="B122" s="16">
        <f>IFERROR(__xludf.DUMMYFUNCTION("VLOOKUP(A122,IMPORTRANGE(""1aFCnJY1qhIj8-JckJhDJ18aqmVo17tofpQmOjcYa3u8/edit#gid=590920912"",""S1 Totals!$A$2:$O$255""),2,FALSE)"),21.0)</f>
        <v>21</v>
      </c>
      <c r="C122" s="15">
        <f>IFERROR(__xludf.DUMMYFUNCTION("VLOOKUP(A122,IMPORTRANGE(""1aFCnJY1qhIj8-JckJhDJ18aqmVo17tofpQmOjcYa3u8/edit#gid=590920912"",""S1 Totals!$A$2:$O$255""),3,FALSE)"),0.6363636363636364)</f>
        <v>0.6363636364</v>
      </c>
      <c r="D122" s="16">
        <f>IFERROR(__xludf.DUMMYFUNCTION("VLOOKUP(A122,IMPORTRANGE(""1QZ5UxyNCwadreQAXnQ7oCoH982DjIA-QnZdO7ZoqkC0/edit#gid=884617569"",""S1 Totals!$A$2:$O$255""),2,FALSE)"),23.75)</f>
        <v>23.75</v>
      </c>
      <c r="E122" s="15">
        <f>IFERROR(__xludf.DUMMYFUNCTION("VLOOKUP(A122,IMPORTRANGE(""1QZ5UxyNCwadreQAXnQ7oCoH982DjIA-QnZdO7ZoqkC0/edit#gid=884617569"",""S1 Totals!$A$2:$O$255""),3,FALSE)"),0.7196969696969697)</f>
        <v>0.7196969697</v>
      </c>
      <c r="F122" s="108">
        <f t="shared" si="1"/>
        <v>-0.08333333333</v>
      </c>
      <c r="G122" s="16">
        <f>IFERROR(__xludf.DUMMYFUNCTION("VLOOKUP(A122,IMPORTRANGE(""1QZ5UxyNCwadreQAXnQ7oCoH982DjIA-QnZdO7ZoqkC0/edit#gid=884617569"",""S1 Totals!$A$2:$O$255""),4,FALSE)"),32.5)</f>
        <v>32.5</v>
      </c>
      <c r="H122" s="15">
        <f>IFERROR(__xludf.DUMMYFUNCTION("VLOOKUP(A122,IMPORTRANGE(""1QZ5UxyNCwadreQAXnQ7oCoH982DjIA-QnZdO7ZoqkC0/edit#gid=884617569"",""S1 Totals!$A$2:$O$255""),5,FALSE)"),0.6914893617021277)</f>
        <v>0.6914893617</v>
      </c>
      <c r="I122" s="108">
        <f t="shared" si="2"/>
        <v>-0.05512572534</v>
      </c>
      <c r="J122" s="16" t="str">
        <f>IFERROR(__xludf.DUMMYFUNCTION("VLOOKUP(A122,IMPORTRANGE(""1QZ5UxyNCwadreQAXnQ7oCoH982DjIA-QnZdO7ZoqkC0/edit#gid=884617569"",""S1 Totals!$A$2:$O$255""),7,FALSE)"),"")</f>
        <v/>
      </c>
      <c r="K122" s="15" t="str">
        <f>IFERROR(__xludf.DUMMYFUNCTION("VLOOKUP(A122,IMPORTRANGE(""1QZ5UxyNCwadreQAXnQ7oCoH982DjIA-QnZdO7ZoqkC0/edit#gid=884617569"",""S1 Totals!$A$2:$O$255""),8,FALSE)"),"")</f>
        <v/>
      </c>
      <c r="L122" s="109">
        <f t="shared" si="3"/>
        <v>0.7196969697</v>
      </c>
      <c r="M122" s="16" t="str">
        <f>IFERROR(__xludf.DUMMYFUNCTION("VLOOKUP(A122,IMPORTRANGE(""1QZ5UxyNCwadreQAXnQ7oCoH982DjIA-QnZdO7ZoqkC0/edit#gid=884617569"",""S1 Totals!$A$2:$O$255""),10,FALSE)"),"")</f>
        <v/>
      </c>
      <c r="N122" s="15" t="str">
        <f>IFERROR(__xludf.DUMMYFUNCTION("VLOOKUP(A122,IMPORTRANGE(""1QZ5UxyNCwadreQAXnQ7oCoH982DjIA-QnZdO7ZoqkC0/edit#gid=884617569"",""S1 Totals!$A$2:$O$256""),11,FALSE)"),"")</f>
        <v/>
      </c>
      <c r="O122" s="110"/>
      <c r="P122" s="16" t="str">
        <f>IFERROR(__xludf.DUMMYFUNCTION("VLOOKUP(A122,IMPORTRANGE(""1QZ5UxyNCwadreQAXnQ7oCoH982DjIA-QnZdO7ZoqkC0/edit#gid=884617569"",""S1 Totals!$A$2:$O$256""),13,FALSE)"),"")</f>
        <v/>
      </c>
      <c r="Q122" s="15" t="str">
        <f>IFERROR(__xludf.DUMMYFUNCTION("VLOOKUP(A122,IMPORTRANGE(""1QZ5UxyNCwadreQAXnQ7oCoH982DjIA-QnZdO7ZoqkC0/edit#gid=884617569"",""S1 Totals!$A$2:$O$256""),14,FALSE)"),"")</f>
        <v/>
      </c>
      <c r="R122" s="15">
        <f t="shared" si="5"/>
        <v>0.6363636364</v>
      </c>
    </row>
    <row r="123">
      <c r="A123" s="107" t="s">
        <v>239</v>
      </c>
      <c r="B123" s="16">
        <f>IFERROR(__xludf.DUMMYFUNCTION("VLOOKUP(A123,IMPORTRANGE(""1aFCnJY1qhIj8-JckJhDJ18aqmVo17tofpQmOjcYa3u8/edit#gid=590920912"",""S1 Totals!$A$2:$O$255""),2,FALSE)"),9.75)</f>
        <v>9.75</v>
      </c>
      <c r="C123" s="15">
        <f>IFERROR(__xludf.DUMMYFUNCTION("VLOOKUP(A123,IMPORTRANGE(""1aFCnJY1qhIj8-JckJhDJ18aqmVo17tofpQmOjcYa3u8/edit#gid=590920912"",""S1 Totals!$A$2:$O$255""),3,FALSE)"),0.29545454545454547)</f>
        <v>0.2954545455</v>
      </c>
      <c r="D123" s="16">
        <f>IFERROR(__xludf.DUMMYFUNCTION("VLOOKUP(A123,IMPORTRANGE(""1QZ5UxyNCwadreQAXnQ7oCoH982DjIA-QnZdO7ZoqkC0/edit#gid=884617569"",""S1 Totals!$A$2:$O$255""),2,FALSE)"),8.25)</f>
        <v>8.25</v>
      </c>
      <c r="E123" s="15">
        <f>IFERROR(__xludf.DUMMYFUNCTION("VLOOKUP(A123,IMPORTRANGE(""1QZ5UxyNCwadreQAXnQ7oCoH982DjIA-QnZdO7ZoqkC0/edit#gid=884617569"",""S1 Totals!$A$2:$O$255""),3,FALSE)"),0.25)</f>
        <v>0.25</v>
      </c>
      <c r="F123" s="108">
        <f t="shared" si="1"/>
        <v>0.04545454545</v>
      </c>
      <c r="G123" s="16">
        <f>IFERROR(__xludf.DUMMYFUNCTION("VLOOKUP(A123,IMPORTRANGE(""1QZ5UxyNCwadreQAXnQ7oCoH982DjIA-QnZdO7ZoqkC0/edit#gid=884617569"",""S1 Totals!$A$2:$O$255""),4,FALSE)"),14.5)</f>
        <v>14.5</v>
      </c>
      <c r="H123" s="15">
        <f>IFERROR(__xludf.DUMMYFUNCTION("VLOOKUP(A123,IMPORTRANGE(""1QZ5UxyNCwadreQAXnQ7oCoH982DjIA-QnZdO7ZoqkC0/edit#gid=884617569"",""S1 Totals!$A$2:$O$255""),5,FALSE)"),0.30851063829787234)</f>
        <v>0.3085106383</v>
      </c>
      <c r="I123" s="108">
        <f t="shared" si="2"/>
        <v>-0.01305609284</v>
      </c>
      <c r="J123" s="16" t="str">
        <f>IFERROR(__xludf.DUMMYFUNCTION("VLOOKUP(A123,IMPORTRANGE(""1QZ5UxyNCwadreQAXnQ7oCoH982DjIA-QnZdO7ZoqkC0/edit#gid=884617569"",""S1 Totals!$A$2:$O$255""),7,FALSE)"),"")</f>
        <v/>
      </c>
      <c r="K123" s="15" t="str">
        <f>IFERROR(__xludf.DUMMYFUNCTION("VLOOKUP(A123,IMPORTRANGE(""1QZ5UxyNCwadreQAXnQ7oCoH982DjIA-QnZdO7ZoqkC0/edit#gid=884617569"",""S1 Totals!$A$2:$O$255""),8,FALSE)"),"")</f>
        <v/>
      </c>
      <c r="L123" s="109">
        <f t="shared" si="3"/>
        <v>0.25</v>
      </c>
      <c r="M123" s="16" t="str">
        <f>IFERROR(__xludf.DUMMYFUNCTION("VLOOKUP(A123,IMPORTRANGE(""1QZ5UxyNCwadreQAXnQ7oCoH982DjIA-QnZdO7ZoqkC0/edit#gid=884617569"",""S1 Totals!$A$2:$O$255""),10,FALSE)"),"")</f>
        <v/>
      </c>
      <c r="N123" s="15" t="str">
        <f>IFERROR(__xludf.DUMMYFUNCTION("VLOOKUP(A123,IMPORTRANGE(""1QZ5UxyNCwadreQAXnQ7oCoH982DjIA-QnZdO7ZoqkC0/edit#gid=884617569"",""S1 Totals!$A$2:$O$256""),11,FALSE)"),"")</f>
        <v/>
      </c>
      <c r="O123" s="110"/>
      <c r="P123" s="16" t="str">
        <f>IFERROR(__xludf.DUMMYFUNCTION("VLOOKUP(A123,IMPORTRANGE(""1QZ5UxyNCwadreQAXnQ7oCoH982DjIA-QnZdO7ZoqkC0/edit#gid=884617569"",""S1 Totals!$A$2:$O$256""),13,FALSE)"),"")</f>
        <v/>
      </c>
      <c r="Q123" s="15" t="str">
        <f>IFERROR(__xludf.DUMMYFUNCTION("VLOOKUP(A123,IMPORTRANGE(""1QZ5UxyNCwadreQAXnQ7oCoH982DjIA-QnZdO7ZoqkC0/edit#gid=884617569"",""S1 Totals!$A$2:$O$256""),14,FALSE)"),"")</f>
        <v/>
      </c>
      <c r="R123" s="15">
        <f t="shared" si="5"/>
        <v>0.2954545455</v>
      </c>
    </row>
    <row r="124">
      <c r="A124" s="107" t="s">
        <v>267</v>
      </c>
      <c r="B124" s="16">
        <f>IFERROR(__xludf.DUMMYFUNCTION("VLOOKUP(A124,IMPORTRANGE(""1aFCnJY1qhIj8-JckJhDJ18aqmVo17tofpQmOjcYa3u8/edit#gid=590920912"",""S1 Totals!$A$2:$O$255""),2,FALSE)"),11.75)</f>
        <v>11.75</v>
      </c>
      <c r="C124" s="15">
        <f>IFERROR(__xludf.DUMMYFUNCTION("VLOOKUP(A124,IMPORTRANGE(""1aFCnJY1qhIj8-JckJhDJ18aqmVo17tofpQmOjcYa3u8/edit#gid=590920912"",""S1 Totals!$A$2:$O$255""),3,FALSE)"),0.3560606060606061)</f>
        <v>0.3560606061</v>
      </c>
      <c r="D124" s="16" t="str">
        <f>IFERROR(__xludf.DUMMYFUNCTION("VLOOKUP(A124,IMPORTRANGE(""1QZ5UxyNCwadreQAXnQ7oCoH982DjIA-QnZdO7ZoqkC0/edit#gid=884617569"",""S1 Totals!$A$2:$O$255""),2,FALSE)"),"#N/A")</f>
        <v>#N/A</v>
      </c>
      <c r="E124" s="15" t="str">
        <f>IFERROR(__xludf.DUMMYFUNCTION("VLOOKUP(A124,IMPORTRANGE(""1QZ5UxyNCwadreQAXnQ7oCoH982DjIA-QnZdO7ZoqkC0/edit#gid=884617569"",""S1 Totals!$A$2:$O$255""),3,FALSE)"),"#N/A")</f>
        <v>#N/A</v>
      </c>
      <c r="F124" s="112" t="str">
        <f t="shared" si="1"/>
        <v>#N/A</v>
      </c>
      <c r="G124" s="16" t="str">
        <f>IFERROR(__xludf.DUMMYFUNCTION("VLOOKUP(A124,IMPORTRANGE(""1QZ5UxyNCwadreQAXnQ7oCoH982DjIA-QnZdO7ZoqkC0/edit#gid=884617569"",""S1 Totals!$A$2:$O$255""),4,FALSE)"),"#N/A")</f>
        <v>#N/A</v>
      </c>
      <c r="H124" s="15" t="str">
        <f>IFERROR(__xludf.DUMMYFUNCTION("VLOOKUP(A124,IMPORTRANGE(""1QZ5UxyNCwadreQAXnQ7oCoH982DjIA-QnZdO7ZoqkC0/edit#gid=884617569"",""S1 Totals!$A$2:$O$255""),5,FALSE)"),"#N/A")</f>
        <v>#N/A</v>
      </c>
      <c r="I124" s="108" t="str">
        <f t="shared" si="2"/>
        <v>#N/A</v>
      </c>
      <c r="J124" s="16" t="str">
        <f>IFERROR(__xludf.DUMMYFUNCTION("VLOOKUP(A124,IMPORTRANGE(""1QZ5UxyNCwadreQAXnQ7oCoH982DjIA-QnZdO7ZoqkC0/edit#gid=884617569"",""S1 Totals!$A$2:$O$255""),7,FALSE)"),"#N/A")</f>
        <v>#N/A</v>
      </c>
      <c r="K124" s="15" t="str">
        <f>IFERROR(__xludf.DUMMYFUNCTION("VLOOKUP(A124,IMPORTRANGE(""1QZ5UxyNCwadreQAXnQ7oCoH982DjIA-QnZdO7ZoqkC0/edit#gid=884617569"",""S1 Totals!$A$2:$O$255""),8,FALSE)"),"#N/A")</f>
        <v>#N/A</v>
      </c>
      <c r="L124" s="113" t="str">
        <f t="shared" si="3"/>
        <v>#N/A</v>
      </c>
      <c r="M124" s="16" t="str">
        <f>IFERROR(__xludf.DUMMYFUNCTION("VLOOKUP(A124,IMPORTRANGE(""1QZ5UxyNCwadreQAXnQ7oCoH982DjIA-QnZdO7ZoqkC0/edit#gid=884617569"",""S1 Totals!$A$2:$O$255""),10,FALSE)"),"#N/A")</f>
        <v>#N/A</v>
      </c>
      <c r="N124" s="15" t="str">
        <f>IFERROR(__xludf.DUMMYFUNCTION("VLOOKUP(A124,IMPORTRANGE(""1QZ5UxyNCwadreQAXnQ7oCoH982DjIA-QnZdO7ZoqkC0/edit#gid=884617569"",""S1 Totals!$A$2:$O$256""),11,FALSE)"),"#N/A")</f>
        <v>#N/A</v>
      </c>
      <c r="O124" s="110" t="str">
        <f t="shared" ref="O124:O125" si="20">C124-N124</f>
        <v>#N/A</v>
      </c>
      <c r="P124" s="16" t="str">
        <f>IFERROR(__xludf.DUMMYFUNCTION("VLOOKUP(A124,IMPORTRANGE(""1QZ5UxyNCwadreQAXnQ7oCoH982DjIA-QnZdO7ZoqkC0/edit#gid=884617569"",""S1 Totals!$A$2:$O$256""),13,FALSE)"),"#N/A")</f>
        <v>#N/A</v>
      </c>
      <c r="Q124" s="15" t="str">
        <f>IFERROR(__xludf.DUMMYFUNCTION("VLOOKUP(A124,IMPORTRANGE(""1QZ5UxyNCwadreQAXnQ7oCoH982DjIA-QnZdO7ZoqkC0/edit#gid=884617569"",""S1 Totals!$A$2:$O$256""),14,FALSE)"),"#N/A")</f>
        <v>#N/A</v>
      </c>
      <c r="R124" s="16" t="str">
        <f t="shared" si="5"/>
        <v>#N/A</v>
      </c>
    </row>
    <row r="125">
      <c r="A125" s="107" t="s">
        <v>134</v>
      </c>
      <c r="B125" s="16">
        <f>IFERROR(__xludf.DUMMYFUNCTION("VLOOKUP(A125,IMPORTRANGE(""1aFCnJY1qhIj8-JckJhDJ18aqmVo17tofpQmOjcYa3u8/edit#gid=590920912"",""S1 Totals!$A$2:$O$255""),2,FALSE)"),17.0)</f>
        <v>17</v>
      </c>
      <c r="C125" s="15">
        <f>IFERROR(__xludf.DUMMYFUNCTION("VLOOKUP(A125,IMPORTRANGE(""1aFCnJY1qhIj8-JckJhDJ18aqmVo17tofpQmOjcYa3u8/edit#gid=590920912"",""S1 Totals!$A$2:$O$255""),3,FALSE)"),0.5151515151515151)</f>
        <v>0.5151515152</v>
      </c>
      <c r="D125" s="16">
        <f>IFERROR(__xludf.DUMMYFUNCTION("VLOOKUP(A125,IMPORTRANGE(""1QZ5UxyNCwadreQAXnQ7oCoH982DjIA-QnZdO7ZoqkC0/edit#gid=884617569"",""S1 Totals!$A$2:$O$255""),2,FALSE)"),18.75)</f>
        <v>18.75</v>
      </c>
      <c r="E125" s="15">
        <f>IFERROR(__xludf.DUMMYFUNCTION("VLOOKUP(A125,IMPORTRANGE(""1QZ5UxyNCwadreQAXnQ7oCoH982DjIA-QnZdO7ZoqkC0/edit#gid=884617569"",""S1 Totals!$A$2:$O$255""),3,FALSE)"),0.5681818181818182)</f>
        <v>0.5681818182</v>
      </c>
      <c r="F125" s="108">
        <f t="shared" si="1"/>
        <v>-0.05303030303</v>
      </c>
      <c r="G125" s="16">
        <f>IFERROR(__xludf.DUMMYFUNCTION("VLOOKUP(A125,IMPORTRANGE(""1QZ5UxyNCwadreQAXnQ7oCoH982DjIA-QnZdO7ZoqkC0/edit#gid=884617569"",""S1 Totals!$A$2:$O$255""),4,FALSE)"),27.0)</f>
        <v>27</v>
      </c>
      <c r="H125" s="15">
        <f>IFERROR(__xludf.DUMMYFUNCTION("VLOOKUP(A125,IMPORTRANGE(""1QZ5UxyNCwadreQAXnQ7oCoH982DjIA-QnZdO7ZoqkC0/edit#gid=884617569"",""S1 Totals!$A$2:$O$255""),5,FALSE)"),0.574468085106383)</f>
        <v>0.5744680851</v>
      </c>
      <c r="I125" s="108">
        <f t="shared" si="2"/>
        <v>-0.05931656995</v>
      </c>
      <c r="J125" s="16">
        <f>IFERROR(__xludf.DUMMYFUNCTION("VLOOKUP(A125,IMPORTRANGE(""1QZ5UxyNCwadreQAXnQ7oCoH982DjIA-QnZdO7ZoqkC0/edit#gid=884617569"",""S1 Totals!$A$2:$O$255""),7,FALSE)"),21.0)</f>
        <v>21</v>
      </c>
      <c r="K125" s="15">
        <f>IFERROR(__xludf.DUMMYFUNCTION("VLOOKUP(A125,IMPORTRANGE(""1QZ5UxyNCwadreQAXnQ7oCoH982DjIA-QnZdO7ZoqkC0/edit#gid=884617569"",""S1 Totals!$A$2:$O$255""),8,FALSE)"),0.42857142857142855)</f>
        <v>0.4285714286</v>
      </c>
      <c r="L125" s="109">
        <f t="shared" si="3"/>
        <v>0.1396103896</v>
      </c>
      <c r="M125" s="16">
        <f>IFERROR(__xludf.DUMMYFUNCTION("VLOOKUP(A125,IMPORTRANGE(""1QZ5UxyNCwadreQAXnQ7oCoH982DjIA-QnZdO7ZoqkC0/edit#gid=884617569"",""S1 Totals!$A$2:$O$255""),10,FALSE)"),23.0)</f>
        <v>23</v>
      </c>
      <c r="N125" s="15">
        <f>IFERROR(__xludf.DUMMYFUNCTION("VLOOKUP(A125,IMPORTRANGE(""1QZ5UxyNCwadreQAXnQ7oCoH982DjIA-QnZdO7ZoqkC0/edit#gid=884617569"",""S1 Totals!$A$2:$O$256""),11,FALSE)"),0.4791666666666667)</f>
        <v>0.4791666667</v>
      </c>
      <c r="O125" s="110">
        <f t="shared" si="20"/>
        <v>0.03598484848</v>
      </c>
      <c r="P125" s="16" t="str">
        <f>IFERROR(__xludf.DUMMYFUNCTION("VLOOKUP(A125,IMPORTRANGE(""1QZ5UxyNCwadreQAXnQ7oCoH982DjIA-QnZdO7ZoqkC0/edit#gid=884617569"",""S1 Totals!$A$2:$O$256""),13,FALSE)"),"")</f>
        <v/>
      </c>
      <c r="Q125" s="15" t="str">
        <f>IFERROR(__xludf.DUMMYFUNCTION("VLOOKUP(A125,IMPORTRANGE(""1QZ5UxyNCwadreQAXnQ7oCoH982DjIA-QnZdO7ZoqkC0/edit#gid=884617569"",""S1 Totals!$A$2:$O$256""),14,FALSE)"),"")</f>
        <v/>
      </c>
      <c r="R125" s="15">
        <f t="shared" si="5"/>
        <v>0.5151515152</v>
      </c>
    </row>
    <row r="126">
      <c r="A126" s="107" t="s">
        <v>240</v>
      </c>
      <c r="B126" s="16">
        <f>IFERROR(__xludf.DUMMYFUNCTION("VLOOKUP(A126,IMPORTRANGE(""1aFCnJY1qhIj8-JckJhDJ18aqmVo17tofpQmOjcYa3u8/edit#gid=590920912"",""S1 Totals!$A$2:$O$255""),2,FALSE)"),10.25)</f>
        <v>10.25</v>
      </c>
      <c r="C126" s="15">
        <f>IFERROR(__xludf.DUMMYFUNCTION("VLOOKUP(A126,IMPORTRANGE(""1aFCnJY1qhIj8-JckJhDJ18aqmVo17tofpQmOjcYa3u8/edit#gid=590920912"",""S1 Totals!$A$2:$O$255""),3,FALSE)"),0.3106060606060606)</f>
        <v>0.3106060606</v>
      </c>
      <c r="D126" s="16">
        <f>IFERROR(__xludf.DUMMYFUNCTION("VLOOKUP(A126,IMPORTRANGE(""1QZ5UxyNCwadreQAXnQ7oCoH982DjIA-QnZdO7ZoqkC0/edit#gid=884617569"",""S1 Totals!$A$2:$O$255""),2,FALSE)"),11.0)</f>
        <v>11</v>
      </c>
      <c r="E126" s="15">
        <f>IFERROR(__xludf.DUMMYFUNCTION("VLOOKUP(A126,IMPORTRANGE(""1QZ5UxyNCwadreQAXnQ7oCoH982DjIA-QnZdO7ZoqkC0/edit#gid=884617569"",""S1 Totals!$A$2:$O$255""),3,FALSE)"),0.3333333333333333)</f>
        <v>0.3333333333</v>
      </c>
      <c r="F126" s="108">
        <f t="shared" si="1"/>
        <v>-0.02272727273</v>
      </c>
      <c r="G126" s="16">
        <f>IFERROR(__xludf.DUMMYFUNCTION("VLOOKUP(A126,IMPORTRANGE(""1QZ5UxyNCwadreQAXnQ7oCoH982DjIA-QnZdO7ZoqkC0/edit#gid=884617569"",""S1 Totals!$A$2:$O$255""),4,FALSE)"),31.5)</f>
        <v>31.5</v>
      </c>
      <c r="H126" s="15">
        <f>IFERROR(__xludf.DUMMYFUNCTION("VLOOKUP(A126,IMPORTRANGE(""1QZ5UxyNCwadreQAXnQ7oCoH982DjIA-QnZdO7ZoqkC0/edit#gid=884617569"",""S1 Totals!$A$2:$O$255""),5,FALSE)"),0.6702127659574468)</f>
        <v>0.670212766</v>
      </c>
      <c r="I126" s="108">
        <f t="shared" si="2"/>
        <v>-0.3596067054</v>
      </c>
      <c r="J126" s="16">
        <f>IFERROR(__xludf.DUMMYFUNCTION("VLOOKUP(A126,IMPORTRANGE(""1QZ5UxyNCwadreQAXnQ7oCoH982DjIA-QnZdO7ZoqkC0/edit#gid=884617569"",""S1 Totals!$A$2:$O$255""),7,FALSE)"),29.0)</f>
        <v>29</v>
      </c>
      <c r="K126" s="15">
        <f>IFERROR(__xludf.DUMMYFUNCTION("VLOOKUP(A126,IMPORTRANGE(""1QZ5UxyNCwadreQAXnQ7oCoH982DjIA-QnZdO7ZoqkC0/edit#gid=884617569"",""S1 Totals!$A$2:$O$255""),8,FALSE)"),0.5918367346938775)</f>
        <v>0.5918367347</v>
      </c>
      <c r="L126" s="109">
        <f t="shared" si="3"/>
        <v>-0.2585034014</v>
      </c>
      <c r="M126" s="16"/>
      <c r="N126" s="15"/>
      <c r="O126" s="110"/>
      <c r="P126" s="16"/>
      <c r="Q126" s="15"/>
      <c r="R126" s="16"/>
    </row>
    <row r="127">
      <c r="A127" s="107" t="s">
        <v>241</v>
      </c>
      <c r="B127" s="16">
        <f>IFERROR(__xludf.DUMMYFUNCTION("VLOOKUP(A127,IMPORTRANGE(""1aFCnJY1qhIj8-JckJhDJ18aqmVo17tofpQmOjcYa3u8/edit#gid=590920912"",""S1 Totals!$A$2:$O$255""),2,FALSE)"),28.0)</f>
        <v>28</v>
      </c>
      <c r="C127" s="15">
        <f>IFERROR(__xludf.DUMMYFUNCTION("VLOOKUP(A127,IMPORTRANGE(""1aFCnJY1qhIj8-JckJhDJ18aqmVo17tofpQmOjcYa3u8/edit#gid=590920912"",""S1 Totals!$A$2:$O$255""),3,FALSE)"),0.8484848484848485)</f>
        <v>0.8484848485</v>
      </c>
      <c r="D127" s="16">
        <f>IFERROR(__xludf.DUMMYFUNCTION("VLOOKUP(A127,IMPORTRANGE(""1QZ5UxyNCwadreQAXnQ7oCoH982DjIA-QnZdO7ZoqkC0/edit#gid=884617569"",""S1 Totals!$A$2:$O$255""),2,FALSE)"),28.25)</f>
        <v>28.25</v>
      </c>
      <c r="E127" s="15">
        <f>IFERROR(__xludf.DUMMYFUNCTION("VLOOKUP(A127,IMPORTRANGE(""1QZ5UxyNCwadreQAXnQ7oCoH982DjIA-QnZdO7ZoqkC0/edit#gid=884617569"",""S1 Totals!$A$2:$O$255""),3,FALSE)"),0.8560606060606061)</f>
        <v>0.8560606061</v>
      </c>
      <c r="F127" s="108">
        <f t="shared" si="1"/>
        <v>-0.007575757576</v>
      </c>
      <c r="G127" s="16">
        <f>IFERROR(__xludf.DUMMYFUNCTION("VLOOKUP(A127,IMPORTRANGE(""1QZ5UxyNCwadreQAXnQ7oCoH982DjIA-QnZdO7ZoqkC0/edit#gid=884617569"",""S1 Totals!$A$2:$O$255""),4,FALSE)"),39.0)</f>
        <v>39</v>
      </c>
      <c r="H127" s="15">
        <f>IFERROR(__xludf.DUMMYFUNCTION("VLOOKUP(A127,IMPORTRANGE(""1QZ5UxyNCwadreQAXnQ7oCoH982DjIA-QnZdO7ZoqkC0/edit#gid=884617569"",""S1 Totals!$A$2:$O$255""),5,FALSE)"),0.8297872340425532)</f>
        <v>0.829787234</v>
      </c>
      <c r="I127" s="108">
        <f t="shared" si="2"/>
        <v>0.01869761444</v>
      </c>
      <c r="J127" s="16" t="str">
        <f>IFERROR(__xludf.DUMMYFUNCTION("VLOOKUP(A127,IMPORTRANGE(""1QZ5UxyNCwadreQAXnQ7oCoH982DjIA-QnZdO7ZoqkC0/edit#gid=884617569"",""S1 Totals!$A$2:$O$255""),7,FALSE)"),"")</f>
        <v/>
      </c>
      <c r="K127" s="15" t="str">
        <f>IFERROR(__xludf.DUMMYFUNCTION("VLOOKUP(A127,IMPORTRANGE(""1QZ5UxyNCwadreQAXnQ7oCoH982DjIA-QnZdO7ZoqkC0/edit#gid=884617569"",""S1 Totals!$A$2:$O$255""),8,FALSE)"),"")</f>
        <v/>
      </c>
      <c r="L127" s="109">
        <f t="shared" si="3"/>
        <v>0.8560606061</v>
      </c>
      <c r="M127" s="16"/>
      <c r="N127" s="15"/>
      <c r="O127" s="110"/>
      <c r="P127" s="16"/>
      <c r="Q127" s="15"/>
      <c r="R127" s="16"/>
    </row>
    <row r="128">
      <c r="A128" s="107" t="s">
        <v>74</v>
      </c>
      <c r="B128" s="16">
        <f>IFERROR(__xludf.DUMMYFUNCTION("VLOOKUP(A128,IMPORTRANGE(""1aFCnJY1qhIj8-JckJhDJ18aqmVo17tofpQmOjcYa3u8/edit#gid=590920912"",""S1 Totals!$A$2:$O$255""),2,FALSE)"),18.0)</f>
        <v>18</v>
      </c>
      <c r="C128" s="15">
        <f>IFERROR(__xludf.DUMMYFUNCTION("VLOOKUP(A128,IMPORTRANGE(""1aFCnJY1qhIj8-JckJhDJ18aqmVo17tofpQmOjcYa3u8/edit#gid=590920912"",""S1 Totals!$A$2:$O$255""),3,FALSE)"),0.5454545454545454)</f>
        <v>0.5454545455</v>
      </c>
      <c r="D128" s="16">
        <f>IFERROR(__xludf.DUMMYFUNCTION("VLOOKUP(A128,IMPORTRANGE(""1QZ5UxyNCwadreQAXnQ7oCoH982DjIA-QnZdO7ZoqkC0/edit#gid=884617569"",""S1 Totals!$A$2:$O$255""),2,FALSE)"),18.25)</f>
        <v>18.25</v>
      </c>
      <c r="E128" s="15">
        <f>IFERROR(__xludf.DUMMYFUNCTION("VLOOKUP(A128,IMPORTRANGE(""1QZ5UxyNCwadreQAXnQ7oCoH982DjIA-QnZdO7ZoqkC0/edit#gid=884617569"",""S1 Totals!$A$2:$O$255""),3,FALSE)"),0.553030303030303)</f>
        <v>0.553030303</v>
      </c>
      <c r="F128" s="108">
        <f t="shared" si="1"/>
        <v>-0.007575757576</v>
      </c>
      <c r="G128" s="16">
        <f>IFERROR(__xludf.DUMMYFUNCTION("VLOOKUP(A128,IMPORTRANGE(""1QZ5UxyNCwadreQAXnQ7oCoH982DjIA-QnZdO7ZoqkC0/edit#gid=884617569"",""S1 Totals!$A$2:$O$255""),4,FALSE)"),24.0)</f>
        <v>24</v>
      </c>
      <c r="H128" s="15">
        <f>IFERROR(__xludf.DUMMYFUNCTION("VLOOKUP(A128,IMPORTRANGE(""1QZ5UxyNCwadreQAXnQ7oCoH982DjIA-QnZdO7ZoqkC0/edit#gid=884617569"",""S1 Totals!$A$2:$O$255""),5,FALSE)"),0.5106382978723404)</f>
        <v>0.5106382979</v>
      </c>
      <c r="I128" s="108">
        <f t="shared" si="2"/>
        <v>0.03481624758</v>
      </c>
      <c r="J128" s="16">
        <f>IFERROR(__xludf.DUMMYFUNCTION("VLOOKUP(A128,IMPORTRANGE(""1QZ5UxyNCwadreQAXnQ7oCoH982DjIA-QnZdO7ZoqkC0/edit#gid=884617569"",""S1 Totals!$A$2:$O$255""),7,FALSE)"),16.0)</f>
        <v>16</v>
      </c>
      <c r="K128" s="15">
        <f>IFERROR(__xludf.DUMMYFUNCTION("VLOOKUP(A128,IMPORTRANGE(""1QZ5UxyNCwadreQAXnQ7oCoH982DjIA-QnZdO7ZoqkC0/edit#gid=884617569"",""S1 Totals!$A$2:$O$255""),8,FALSE)"),0.32653061224489793)</f>
        <v>0.3265306122</v>
      </c>
      <c r="L128" s="109">
        <f t="shared" si="3"/>
        <v>0.2264996908</v>
      </c>
      <c r="M128" s="16">
        <f>IFERROR(__xludf.DUMMYFUNCTION("VLOOKUP(A128,IMPORTRANGE(""1QZ5UxyNCwadreQAXnQ7oCoH982DjIA-QnZdO7ZoqkC0/edit#gid=884617569"",""S1 Totals!$A$2:$O$255""),10,FALSE)"),7.5)</f>
        <v>7.5</v>
      </c>
      <c r="N128" s="15">
        <f>IFERROR(__xludf.DUMMYFUNCTION("VLOOKUP(A128,IMPORTRANGE(""1QZ5UxyNCwadreQAXnQ7oCoH982DjIA-QnZdO7ZoqkC0/edit#gid=884617569"",""S1 Totals!$A$2:$O$256""),11,FALSE)"),0.15625)</f>
        <v>0.15625</v>
      </c>
      <c r="O128" s="110">
        <f>C128-N128</f>
        <v>0.3892045455</v>
      </c>
      <c r="P128" s="16">
        <f>IFERROR(__xludf.DUMMYFUNCTION("VLOOKUP(A128,IMPORTRANGE(""1QZ5UxyNCwadreQAXnQ7oCoH982DjIA-QnZdO7ZoqkC0/edit#gid=884617569"",""S1 Totals!$A$2:$O$256""),13,FALSE)"),21.0)</f>
        <v>21</v>
      </c>
      <c r="Q128" s="15">
        <f>IFERROR(__xludf.DUMMYFUNCTION("VLOOKUP(A128,IMPORTRANGE(""1QZ5UxyNCwadreQAXnQ7oCoH982DjIA-QnZdO7ZoqkC0/edit#gid=884617569"",""S1 Totals!$A$2:$O$256""),14,FALSE)"),0.42)</f>
        <v>0.42</v>
      </c>
      <c r="R128" s="15">
        <f>C128-Q128</f>
        <v>0.1254545455</v>
      </c>
    </row>
    <row r="129">
      <c r="A129" s="107" t="s">
        <v>242</v>
      </c>
      <c r="B129" s="16">
        <f>IFERROR(__xludf.DUMMYFUNCTION("VLOOKUP(A129,IMPORTRANGE(""1aFCnJY1qhIj8-JckJhDJ18aqmVo17tofpQmOjcYa3u8/edit#gid=590920912"",""S1 Totals!$A$2:$O$255""),2,FALSE)"),0.0)</f>
        <v>0</v>
      </c>
      <c r="C129" s="15">
        <f>IFERROR(__xludf.DUMMYFUNCTION("VLOOKUP(A129,IMPORTRANGE(""1aFCnJY1qhIj8-JckJhDJ18aqmVo17tofpQmOjcYa3u8/edit#gid=590920912"",""S1 Totals!$A$2:$O$255""),3,FALSE)"),0.0)</f>
        <v>0</v>
      </c>
      <c r="D129" s="16">
        <f>IFERROR(__xludf.DUMMYFUNCTION("VLOOKUP(A129,IMPORTRANGE(""1QZ5UxyNCwadreQAXnQ7oCoH982DjIA-QnZdO7ZoqkC0/edit#gid=884617569"",""S1 Totals!$A$2:$O$255""),2,FALSE)"),0.0)</f>
        <v>0</v>
      </c>
      <c r="E129" s="15">
        <f>IFERROR(__xludf.DUMMYFUNCTION("VLOOKUP(A129,IMPORTRANGE(""1QZ5UxyNCwadreQAXnQ7oCoH982DjIA-QnZdO7ZoqkC0/edit#gid=884617569"",""S1 Totals!$A$2:$O$255""),3,FALSE)"),0.0)</f>
        <v>0</v>
      </c>
      <c r="F129" s="108">
        <f t="shared" si="1"/>
        <v>0</v>
      </c>
      <c r="G129" s="16">
        <f>IFERROR(__xludf.DUMMYFUNCTION("VLOOKUP(A129,IMPORTRANGE(""1QZ5UxyNCwadreQAXnQ7oCoH982DjIA-QnZdO7ZoqkC0/edit#gid=884617569"",""S1 Totals!$A$2:$O$255""),4,FALSE)"),4.0)</f>
        <v>4</v>
      </c>
      <c r="H129" s="15">
        <f>IFERROR(__xludf.DUMMYFUNCTION("VLOOKUP(A129,IMPORTRANGE(""1QZ5UxyNCwadreQAXnQ7oCoH982DjIA-QnZdO7ZoqkC0/edit#gid=884617569"",""S1 Totals!$A$2:$O$255""),5,FALSE)"),0.0851063829787234)</f>
        <v>0.08510638298</v>
      </c>
      <c r="I129" s="108">
        <f t="shared" si="2"/>
        <v>-0.08510638298</v>
      </c>
      <c r="J129" s="16" t="str">
        <f>IFERROR(__xludf.DUMMYFUNCTION("VLOOKUP(A129,IMPORTRANGE(""1QZ5UxyNCwadreQAXnQ7oCoH982DjIA-QnZdO7ZoqkC0/edit#gid=884617569"",""S1 Totals!$A$2:$O$255""),7,FALSE)"),"")</f>
        <v/>
      </c>
      <c r="K129" s="15" t="str">
        <f>IFERROR(__xludf.DUMMYFUNCTION("VLOOKUP(A129,IMPORTRANGE(""1QZ5UxyNCwadreQAXnQ7oCoH982DjIA-QnZdO7ZoqkC0/edit#gid=884617569"",""S1 Totals!$A$2:$O$255""),8,FALSE)"),"")</f>
        <v/>
      </c>
      <c r="L129" s="109">
        <f t="shared" si="3"/>
        <v>0</v>
      </c>
      <c r="M129" s="16"/>
      <c r="N129" s="15"/>
      <c r="O129" s="110"/>
      <c r="P129" s="16"/>
      <c r="Q129" s="15"/>
      <c r="R129" s="16"/>
    </row>
    <row r="130">
      <c r="A130" s="107" t="s">
        <v>243</v>
      </c>
      <c r="B130" s="16">
        <f>IFERROR(__xludf.DUMMYFUNCTION("VLOOKUP(A130,IMPORTRANGE(""1aFCnJY1qhIj8-JckJhDJ18aqmVo17tofpQmOjcYa3u8/edit#gid=590920912"",""S1 Totals!$A$2:$O$255""),2,FALSE)"),12.25)</f>
        <v>12.25</v>
      </c>
      <c r="C130" s="15">
        <f>IFERROR(__xludf.DUMMYFUNCTION("VLOOKUP(A130,IMPORTRANGE(""1aFCnJY1qhIj8-JckJhDJ18aqmVo17tofpQmOjcYa3u8/edit#gid=590920912"",""S1 Totals!$A$2:$O$255""),3,FALSE)"),0.3712121212121212)</f>
        <v>0.3712121212</v>
      </c>
      <c r="D130" s="16">
        <f>IFERROR(__xludf.DUMMYFUNCTION("VLOOKUP(A130,IMPORTRANGE(""1QZ5UxyNCwadreQAXnQ7oCoH982DjIA-QnZdO7ZoqkC0/edit#gid=884617569"",""S1 Totals!$A$2:$O$255""),2,FALSE)"),12.5)</f>
        <v>12.5</v>
      </c>
      <c r="E130" s="15">
        <f>IFERROR(__xludf.DUMMYFUNCTION("VLOOKUP(A130,IMPORTRANGE(""1QZ5UxyNCwadreQAXnQ7oCoH982DjIA-QnZdO7ZoqkC0/edit#gid=884617569"",""S1 Totals!$A$2:$O$255""),3,FALSE)"),0.3787878787878788)</f>
        <v>0.3787878788</v>
      </c>
      <c r="F130" s="108">
        <f t="shared" si="1"/>
        <v>-0.007575757576</v>
      </c>
      <c r="G130" s="16">
        <f>IFERROR(__xludf.DUMMYFUNCTION("VLOOKUP(A130,IMPORTRANGE(""1QZ5UxyNCwadreQAXnQ7oCoH982DjIA-QnZdO7ZoqkC0/edit#gid=884617569"",""S1 Totals!$A$2:$O$255""),4,FALSE)"),19.5)</f>
        <v>19.5</v>
      </c>
      <c r="H130" s="15">
        <f>IFERROR(__xludf.DUMMYFUNCTION("VLOOKUP(A130,IMPORTRANGE(""1QZ5UxyNCwadreQAXnQ7oCoH982DjIA-QnZdO7ZoqkC0/edit#gid=884617569"",""S1 Totals!$A$2:$O$255""),5,FALSE)"),0.4148936170212766)</f>
        <v>0.414893617</v>
      </c>
      <c r="I130" s="108">
        <f t="shared" si="2"/>
        <v>-0.04368149581</v>
      </c>
      <c r="J130" s="16" t="str">
        <f>IFERROR(__xludf.DUMMYFUNCTION("VLOOKUP(A130,IMPORTRANGE(""1QZ5UxyNCwadreQAXnQ7oCoH982DjIA-QnZdO7ZoqkC0/edit#gid=884617569"",""S1 Totals!$A$2:$O$255""),7,FALSE)"),"")</f>
        <v/>
      </c>
      <c r="K130" s="15" t="str">
        <f>IFERROR(__xludf.DUMMYFUNCTION("VLOOKUP(A130,IMPORTRANGE(""1QZ5UxyNCwadreQAXnQ7oCoH982DjIA-QnZdO7ZoqkC0/edit#gid=884617569"",""S1 Totals!$A$2:$O$255""),8,FALSE)"),"")</f>
        <v/>
      </c>
      <c r="L130" s="109">
        <f t="shared" si="3"/>
        <v>0.3787878788</v>
      </c>
      <c r="M130" s="16"/>
      <c r="N130" s="15"/>
      <c r="O130" s="110"/>
      <c r="P130" s="16"/>
      <c r="Q130" s="15"/>
      <c r="R130" s="16"/>
    </row>
    <row r="131">
      <c r="A131" s="107" t="s">
        <v>63</v>
      </c>
      <c r="B131" s="16">
        <f>IFERROR(__xludf.DUMMYFUNCTION("VLOOKUP(A131,IMPORTRANGE(""1aFCnJY1qhIj8-JckJhDJ18aqmVo17tofpQmOjcYa3u8/edit#gid=590920912"",""S1 Totals!$A$2:$O$255""),2,FALSE)"),20.75)</f>
        <v>20.75</v>
      </c>
      <c r="C131" s="15">
        <f>IFERROR(__xludf.DUMMYFUNCTION("VLOOKUP(A131,IMPORTRANGE(""1aFCnJY1qhIj8-JckJhDJ18aqmVo17tofpQmOjcYa3u8/edit#gid=590920912"",""S1 Totals!$A$2:$O$255""),3,FALSE)"),0.6287878787878788)</f>
        <v>0.6287878788</v>
      </c>
      <c r="D131" s="16">
        <f>IFERROR(__xludf.DUMMYFUNCTION("VLOOKUP(A131,IMPORTRANGE(""1QZ5UxyNCwadreQAXnQ7oCoH982DjIA-QnZdO7ZoqkC0/edit#gid=884617569"",""S1 Totals!$A$2:$O$255""),2,FALSE)"),19.75)</f>
        <v>19.75</v>
      </c>
      <c r="E131" s="15">
        <f>IFERROR(__xludf.DUMMYFUNCTION("VLOOKUP(A131,IMPORTRANGE(""1QZ5UxyNCwadreQAXnQ7oCoH982DjIA-QnZdO7ZoqkC0/edit#gid=884617569"",""S1 Totals!$A$2:$O$255""),3,FALSE)"),0.5984848484848485)</f>
        <v>0.5984848485</v>
      </c>
      <c r="F131" s="108">
        <f t="shared" si="1"/>
        <v>0.0303030303</v>
      </c>
      <c r="G131" s="16">
        <f>IFERROR(__xludf.DUMMYFUNCTION("VLOOKUP(A131,IMPORTRANGE(""1QZ5UxyNCwadreQAXnQ7oCoH982DjIA-QnZdO7ZoqkC0/edit#gid=884617569"",""S1 Totals!$A$2:$O$255""),4,FALSE)"),30.5)</f>
        <v>30.5</v>
      </c>
      <c r="H131" s="15">
        <f>IFERROR(__xludf.DUMMYFUNCTION("VLOOKUP(A131,IMPORTRANGE(""1QZ5UxyNCwadreQAXnQ7oCoH982DjIA-QnZdO7ZoqkC0/edit#gid=884617569"",""S1 Totals!$A$2:$O$255""),5,FALSE)"),0.648936170212766)</f>
        <v>0.6489361702</v>
      </c>
      <c r="I131" s="108">
        <f t="shared" si="2"/>
        <v>-0.02014829142</v>
      </c>
      <c r="J131" s="16">
        <f>IFERROR(__xludf.DUMMYFUNCTION("VLOOKUP(A131,IMPORTRANGE(""1QZ5UxyNCwadreQAXnQ7oCoH982DjIA-QnZdO7ZoqkC0/edit#gid=884617569"",""S1 Totals!$A$2:$O$255""),7,FALSE)"),23.5)</f>
        <v>23.5</v>
      </c>
      <c r="K131" s="15">
        <f>IFERROR(__xludf.DUMMYFUNCTION("VLOOKUP(A131,IMPORTRANGE(""1QZ5UxyNCwadreQAXnQ7oCoH982DjIA-QnZdO7ZoqkC0/edit#gid=884617569"",""S1 Totals!$A$2:$O$255""),8,FALSE)"),0.47959183673469385)</f>
        <v>0.4795918367</v>
      </c>
      <c r="L131" s="109">
        <f t="shared" si="3"/>
        <v>0.1188930118</v>
      </c>
      <c r="M131" s="16">
        <f>IFERROR(__xludf.DUMMYFUNCTION("VLOOKUP(A131,IMPORTRANGE(""1QZ5UxyNCwadreQAXnQ7oCoH982DjIA-QnZdO7ZoqkC0/edit#gid=884617569"",""S1 Totals!$A$2:$O$255""),10,FALSE)"),14.0)</f>
        <v>14</v>
      </c>
      <c r="N131" s="15">
        <f>IFERROR(__xludf.DUMMYFUNCTION("VLOOKUP(A131,IMPORTRANGE(""1QZ5UxyNCwadreQAXnQ7oCoH982DjIA-QnZdO7ZoqkC0/edit#gid=884617569"",""S1 Totals!$A$2:$O$256""),11,FALSE)"),0.2916666666666667)</f>
        <v>0.2916666667</v>
      </c>
      <c r="O131" s="110">
        <f t="shared" ref="O131:O134" si="21">C131-N131</f>
        <v>0.3371212121</v>
      </c>
      <c r="P131" s="16">
        <f>IFERROR(__xludf.DUMMYFUNCTION("VLOOKUP(A131,IMPORTRANGE(""1QZ5UxyNCwadreQAXnQ7oCoH982DjIA-QnZdO7ZoqkC0/edit#gid=884617569"",""S1 Totals!$A$2:$O$256""),13,FALSE)"),11.5)</f>
        <v>11.5</v>
      </c>
      <c r="Q131" s="15">
        <f>IFERROR(__xludf.DUMMYFUNCTION("VLOOKUP(A131,IMPORTRANGE(""1QZ5UxyNCwadreQAXnQ7oCoH982DjIA-QnZdO7ZoqkC0/edit#gid=884617569"",""S1 Totals!$A$2:$O$256""),14,FALSE)"),0.23)</f>
        <v>0.23</v>
      </c>
      <c r="R131" s="15">
        <f t="shared" ref="R131:R134" si="22">C131-Q131</f>
        <v>0.3987878788</v>
      </c>
    </row>
    <row r="132">
      <c r="A132" s="107" t="s">
        <v>34</v>
      </c>
      <c r="B132" s="16">
        <f>IFERROR(__xludf.DUMMYFUNCTION("VLOOKUP(A132,IMPORTRANGE(""1aFCnJY1qhIj8-JckJhDJ18aqmVo17tofpQmOjcYa3u8/edit#gid=590920912"",""S1 Totals!$A$2:$O$255""),2,FALSE)"),18.5)</f>
        <v>18.5</v>
      </c>
      <c r="C132" s="15">
        <f>IFERROR(__xludf.DUMMYFUNCTION("VLOOKUP(A132,IMPORTRANGE(""1aFCnJY1qhIj8-JckJhDJ18aqmVo17tofpQmOjcYa3u8/edit#gid=590920912"",""S1 Totals!$A$2:$O$255""),3,FALSE)"),0.5606060606060606)</f>
        <v>0.5606060606</v>
      </c>
      <c r="D132" s="16">
        <f>IFERROR(__xludf.DUMMYFUNCTION("VLOOKUP(A132,IMPORTRANGE(""1QZ5UxyNCwadreQAXnQ7oCoH982DjIA-QnZdO7ZoqkC0/edit#gid=884617569"",""S1 Totals!$A$2:$O$255""),2,FALSE)"),19.0)</f>
        <v>19</v>
      </c>
      <c r="E132" s="15">
        <f>IFERROR(__xludf.DUMMYFUNCTION("VLOOKUP(A132,IMPORTRANGE(""1QZ5UxyNCwadreQAXnQ7oCoH982DjIA-QnZdO7ZoqkC0/edit#gid=884617569"",""S1 Totals!$A$2:$O$255""),3,FALSE)"),0.5757575757575758)</f>
        <v>0.5757575758</v>
      </c>
      <c r="F132" s="108">
        <f t="shared" si="1"/>
        <v>-0.01515151515</v>
      </c>
      <c r="G132" s="16">
        <f>IFERROR(__xludf.DUMMYFUNCTION("VLOOKUP(A132,IMPORTRANGE(""1QZ5UxyNCwadreQAXnQ7oCoH982DjIA-QnZdO7ZoqkC0/edit#gid=884617569"",""S1 Totals!$A$2:$O$255""),4,FALSE)"),31.5)</f>
        <v>31.5</v>
      </c>
      <c r="H132" s="15">
        <f>IFERROR(__xludf.DUMMYFUNCTION("VLOOKUP(A132,IMPORTRANGE(""1QZ5UxyNCwadreQAXnQ7oCoH982DjIA-QnZdO7ZoqkC0/edit#gid=884617569"",""S1 Totals!$A$2:$O$255""),5,FALSE)"),0.6702127659574468)</f>
        <v>0.670212766</v>
      </c>
      <c r="I132" s="108">
        <f t="shared" si="2"/>
        <v>-0.1096067054</v>
      </c>
      <c r="J132" s="16">
        <f>IFERROR(__xludf.DUMMYFUNCTION("VLOOKUP(A132,IMPORTRANGE(""1QZ5UxyNCwadreQAXnQ7oCoH982DjIA-QnZdO7ZoqkC0/edit#gid=884617569"",""S1 Totals!$A$2:$O$255""),7,FALSE)"),33.0)</f>
        <v>33</v>
      </c>
      <c r="K132" s="15">
        <f>IFERROR(__xludf.DUMMYFUNCTION("VLOOKUP(A132,IMPORTRANGE(""1QZ5UxyNCwadreQAXnQ7oCoH982DjIA-QnZdO7ZoqkC0/edit#gid=884617569"",""S1 Totals!$A$2:$O$255""),8,FALSE)"),0.673469387755102)</f>
        <v>0.6734693878</v>
      </c>
      <c r="L132" s="109">
        <f t="shared" si="3"/>
        <v>-0.097711812</v>
      </c>
      <c r="M132" s="16">
        <f>IFERROR(__xludf.DUMMYFUNCTION("VLOOKUP(A132,IMPORTRANGE(""1QZ5UxyNCwadreQAXnQ7oCoH982DjIA-QnZdO7ZoqkC0/edit#gid=884617569"",""S1 Totals!$A$2:$O$255""),10,FALSE)"),31.5)</f>
        <v>31.5</v>
      </c>
      <c r="N132" s="15">
        <f>IFERROR(__xludf.DUMMYFUNCTION("VLOOKUP(A132,IMPORTRANGE(""1QZ5UxyNCwadreQAXnQ7oCoH982DjIA-QnZdO7ZoqkC0/edit#gid=884617569"",""S1 Totals!$A$2:$O$256""),11,FALSE)"),0.65625)</f>
        <v>0.65625</v>
      </c>
      <c r="O132" s="110">
        <f t="shared" si="21"/>
        <v>-0.09564393939</v>
      </c>
      <c r="P132" s="16">
        <f>IFERROR(__xludf.DUMMYFUNCTION("VLOOKUP(A132,IMPORTRANGE(""1QZ5UxyNCwadreQAXnQ7oCoH982DjIA-QnZdO7ZoqkC0/edit#gid=884617569"",""S1 Totals!$A$2:$O$256""),13,FALSE)"),28.5)</f>
        <v>28.5</v>
      </c>
      <c r="Q132" s="15">
        <f>IFERROR(__xludf.DUMMYFUNCTION("VLOOKUP(A132,IMPORTRANGE(""1QZ5UxyNCwadreQAXnQ7oCoH982DjIA-QnZdO7ZoqkC0/edit#gid=884617569"",""S1 Totals!$A$2:$O$256""),14,FALSE)"),0.57)</f>
        <v>0.57</v>
      </c>
      <c r="R132" s="15">
        <f t="shared" si="22"/>
        <v>-0.009393939394</v>
      </c>
    </row>
    <row r="133">
      <c r="A133" s="107" t="s">
        <v>268</v>
      </c>
      <c r="B133" s="16">
        <f>IFERROR(__xludf.DUMMYFUNCTION("VLOOKUP(A133,IMPORTRANGE(""1aFCnJY1qhIj8-JckJhDJ18aqmVo17tofpQmOjcYa3u8/edit#gid=590920912"",""S1 Totals!$A$2:$O$255""),2,FALSE)"),7.25)</f>
        <v>7.25</v>
      </c>
      <c r="C133" s="15">
        <f>IFERROR(__xludf.DUMMYFUNCTION("VLOOKUP(A133,IMPORTRANGE(""1aFCnJY1qhIj8-JckJhDJ18aqmVo17tofpQmOjcYa3u8/edit#gid=590920912"",""S1 Totals!$A$2:$O$255""),3,FALSE)"),0.2196969696969697)</f>
        <v>0.2196969697</v>
      </c>
      <c r="D133" s="16" t="str">
        <f>IFERROR(__xludf.DUMMYFUNCTION("VLOOKUP(A133,IMPORTRANGE(""1QZ5UxyNCwadreQAXnQ7oCoH982DjIA-QnZdO7ZoqkC0/edit#gid=884617569"",""S1 Totals!$A$2:$O$255""),2,FALSE)"),"#N/A")</f>
        <v>#N/A</v>
      </c>
      <c r="E133" s="15" t="str">
        <f>IFERROR(__xludf.DUMMYFUNCTION("VLOOKUP(A133,IMPORTRANGE(""1QZ5UxyNCwadreQAXnQ7oCoH982DjIA-QnZdO7ZoqkC0/edit#gid=884617569"",""S1 Totals!$A$2:$O$255""),3,FALSE)"),"#N/A")</f>
        <v>#N/A</v>
      </c>
      <c r="F133" s="112" t="str">
        <f t="shared" si="1"/>
        <v>#N/A</v>
      </c>
      <c r="G133" s="16" t="str">
        <f>IFERROR(__xludf.DUMMYFUNCTION("VLOOKUP(A133,IMPORTRANGE(""1QZ5UxyNCwadreQAXnQ7oCoH982DjIA-QnZdO7ZoqkC0/edit#gid=884617569"",""S1 Totals!$A$2:$O$255""),4,FALSE)"),"#N/A")</f>
        <v>#N/A</v>
      </c>
      <c r="H133" s="15" t="str">
        <f>IFERROR(__xludf.DUMMYFUNCTION("VLOOKUP(A133,IMPORTRANGE(""1QZ5UxyNCwadreQAXnQ7oCoH982DjIA-QnZdO7ZoqkC0/edit#gid=884617569"",""S1 Totals!$A$2:$O$255""),5,FALSE)"),"#N/A")</f>
        <v>#N/A</v>
      </c>
      <c r="I133" s="108" t="str">
        <f t="shared" si="2"/>
        <v>#N/A</v>
      </c>
      <c r="J133" s="16" t="str">
        <f>IFERROR(__xludf.DUMMYFUNCTION("VLOOKUP(A133,IMPORTRANGE(""1QZ5UxyNCwadreQAXnQ7oCoH982DjIA-QnZdO7ZoqkC0/edit#gid=884617569"",""S1 Totals!$A$2:$O$255""),7,FALSE)"),"#N/A")</f>
        <v>#N/A</v>
      </c>
      <c r="K133" s="15" t="str">
        <f>IFERROR(__xludf.DUMMYFUNCTION("VLOOKUP(A133,IMPORTRANGE(""1QZ5UxyNCwadreQAXnQ7oCoH982DjIA-QnZdO7ZoqkC0/edit#gid=884617569"",""S1 Totals!$A$2:$O$255""),8,FALSE)"),"#N/A")</f>
        <v>#N/A</v>
      </c>
      <c r="L133" s="113" t="str">
        <f t="shared" si="3"/>
        <v>#N/A</v>
      </c>
      <c r="M133" s="16" t="str">
        <f>IFERROR(__xludf.DUMMYFUNCTION("VLOOKUP(A133,IMPORTRANGE(""1QZ5UxyNCwadreQAXnQ7oCoH982DjIA-QnZdO7ZoqkC0/edit#gid=884617569"",""S1 Totals!$A$2:$O$255""),10,FALSE)"),"#N/A")</f>
        <v>#N/A</v>
      </c>
      <c r="N133" s="15" t="str">
        <f>IFERROR(__xludf.DUMMYFUNCTION("VLOOKUP(A133,IMPORTRANGE(""1QZ5UxyNCwadreQAXnQ7oCoH982DjIA-QnZdO7ZoqkC0/edit#gid=884617569"",""S1 Totals!$A$2:$O$256""),11,FALSE)"),"#N/A")</f>
        <v>#N/A</v>
      </c>
      <c r="O133" s="110" t="str">
        <f t="shared" si="21"/>
        <v>#N/A</v>
      </c>
      <c r="P133" s="16" t="str">
        <f>IFERROR(__xludf.DUMMYFUNCTION("VLOOKUP(A133,IMPORTRANGE(""1QZ5UxyNCwadreQAXnQ7oCoH982DjIA-QnZdO7ZoqkC0/edit#gid=884617569"",""S1 Totals!$A$2:$O$256""),13,FALSE)"),"#N/A")</f>
        <v>#N/A</v>
      </c>
      <c r="Q133" s="15" t="str">
        <f>IFERROR(__xludf.DUMMYFUNCTION("VLOOKUP(A133,IMPORTRANGE(""1QZ5UxyNCwadreQAXnQ7oCoH982DjIA-QnZdO7ZoqkC0/edit#gid=884617569"",""S1 Totals!$A$2:$O$256""),14,FALSE)"),"#N/A")</f>
        <v>#N/A</v>
      </c>
      <c r="R133" s="16" t="str">
        <f t="shared" si="22"/>
        <v>#N/A</v>
      </c>
    </row>
    <row r="134">
      <c r="A134" s="107" t="s">
        <v>65</v>
      </c>
      <c r="B134" s="16">
        <f>IFERROR(__xludf.DUMMYFUNCTION("VLOOKUP(A134,IMPORTRANGE(""1aFCnJY1qhIj8-JckJhDJ18aqmVo17tofpQmOjcYa3u8/edit#gid=590920912"",""S1 Totals!$A$2:$O$255""),2,FALSE)"),30.5)</f>
        <v>30.5</v>
      </c>
      <c r="C134" s="15">
        <f>IFERROR(__xludf.DUMMYFUNCTION("VLOOKUP(A134,IMPORTRANGE(""1aFCnJY1qhIj8-JckJhDJ18aqmVo17tofpQmOjcYa3u8/edit#gid=590920912"",""S1 Totals!$A$2:$O$255""),3,FALSE)"),0.9242424242424242)</f>
        <v>0.9242424242</v>
      </c>
      <c r="D134" s="16">
        <f>IFERROR(__xludf.DUMMYFUNCTION("VLOOKUP(A134,IMPORTRANGE(""1QZ5UxyNCwadreQAXnQ7oCoH982DjIA-QnZdO7ZoqkC0/edit#gid=884617569"",""S1 Totals!$A$2:$O$255""),2,FALSE)"),30.75)</f>
        <v>30.75</v>
      </c>
      <c r="E134" s="15">
        <f>IFERROR(__xludf.DUMMYFUNCTION("VLOOKUP(A134,IMPORTRANGE(""1QZ5UxyNCwadreQAXnQ7oCoH982DjIA-QnZdO7ZoqkC0/edit#gid=884617569"",""S1 Totals!$A$2:$O$255""),3,FALSE)"),0.9318181818181818)</f>
        <v>0.9318181818</v>
      </c>
      <c r="F134" s="108">
        <f t="shared" si="1"/>
        <v>-0.007575757576</v>
      </c>
      <c r="G134" s="16">
        <f>IFERROR(__xludf.DUMMYFUNCTION("VLOOKUP(A134,IMPORTRANGE(""1QZ5UxyNCwadreQAXnQ7oCoH982DjIA-QnZdO7ZoqkC0/edit#gid=884617569"",""S1 Totals!$A$2:$O$255""),4,FALSE)"),41.5)</f>
        <v>41.5</v>
      </c>
      <c r="H134" s="15">
        <f>IFERROR(__xludf.DUMMYFUNCTION("VLOOKUP(A134,IMPORTRANGE(""1QZ5UxyNCwadreQAXnQ7oCoH982DjIA-QnZdO7ZoqkC0/edit#gid=884617569"",""S1 Totals!$A$2:$O$255""),5,FALSE)"),0.8829787234042553)</f>
        <v>0.8829787234</v>
      </c>
      <c r="I134" s="108">
        <f t="shared" si="2"/>
        <v>0.04126370084</v>
      </c>
      <c r="J134" s="16">
        <f>IFERROR(__xludf.DUMMYFUNCTION("VLOOKUP(A134,IMPORTRANGE(""1QZ5UxyNCwadreQAXnQ7oCoH982DjIA-QnZdO7ZoqkC0/edit#gid=884617569"",""S1 Totals!$A$2:$O$255""),7,FALSE)"),40.5)</f>
        <v>40.5</v>
      </c>
      <c r="K134" s="15">
        <f>IFERROR(__xludf.DUMMYFUNCTION("VLOOKUP(A134,IMPORTRANGE(""1QZ5UxyNCwadreQAXnQ7oCoH982DjIA-QnZdO7ZoqkC0/edit#gid=884617569"",""S1 Totals!$A$2:$O$255""),8,FALSE)"),0.826530612244898)</f>
        <v>0.8265306122</v>
      </c>
      <c r="L134" s="109">
        <f t="shared" si="3"/>
        <v>0.1052875696</v>
      </c>
      <c r="M134" s="16">
        <f>IFERROR(__xludf.DUMMYFUNCTION("VLOOKUP(A134,IMPORTRANGE(""1QZ5UxyNCwadreQAXnQ7oCoH982DjIA-QnZdO7ZoqkC0/edit#gid=884617569"",""S1 Totals!$A$2:$O$255""),10,FALSE)"),37.0)</f>
        <v>37</v>
      </c>
      <c r="N134" s="15">
        <f>IFERROR(__xludf.DUMMYFUNCTION("VLOOKUP(A134,IMPORTRANGE(""1QZ5UxyNCwadreQAXnQ7oCoH982DjIA-QnZdO7ZoqkC0/edit#gid=884617569"",""S1 Totals!$A$2:$O$256""),11,FALSE)"),0.7708333333333334)</f>
        <v>0.7708333333</v>
      </c>
      <c r="O134" s="110">
        <f t="shared" si="21"/>
        <v>0.1534090909</v>
      </c>
      <c r="P134" s="16">
        <f>IFERROR(__xludf.DUMMYFUNCTION("VLOOKUP(A134,IMPORTRANGE(""1QZ5UxyNCwadreQAXnQ7oCoH982DjIA-QnZdO7ZoqkC0/edit#gid=884617569"",""S1 Totals!$A$2:$O$256""),13,FALSE)"),38.0)</f>
        <v>38</v>
      </c>
      <c r="Q134" s="15">
        <f>IFERROR(__xludf.DUMMYFUNCTION("VLOOKUP(A134,IMPORTRANGE(""1QZ5UxyNCwadreQAXnQ7oCoH982DjIA-QnZdO7ZoqkC0/edit#gid=884617569"",""S1 Totals!$A$2:$O$256""),14,FALSE)"),0.76)</f>
        <v>0.76</v>
      </c>
      <c r="R134" s="15">
        <f t="shared" si="22"/>
        <v>0.1642424242</v>
      </c>
    </row>
    <row r="135">
      <c r="A135" s="107" t="s">
        <v>181</v>
      </c>
      <c r="B135" s="16">
        <f>IFERROR(__xludf.DUMMYFUNCTION("VLOOKUP(A135,IMPORTRANGE(""1aFCnJY1qhIj8-JckJhDJ18aqmVo17tofpQmOjcYa3u8/edit#gid=590920912"",""S1 Totals!$A$2:$O$255""),2,FALSE)"),14.25)</f>
        <v>14.25</v>
      </c>
      <c r="C135" s="15">
        <f>IFERROR(__xludf.DUMMYFUNCTION("VLOOKUP(A135,IMPORTRANGE(""1aFCnJY1qhIj8-JckJhDJ18aqmVo17tofpQmOjcYa3u8/edit#gid=590920912"",""S1 Totals!$A$2:$O$255""),3,FALSE)"),0.4318181818181818)</f>
        <v>0.4318181818</v>
      </c>
      <c r="D135" s="16">
        <f>IFERROR(__xludf.DUMMYFUNCTION("VLOOKUP(A135,IMPORTRANGE(""1QZ5UxyNCwadreQAXnQ7oCoH982DjIA-QnZdO7ZoqkC0/edit#gid=884617569"",""S1 Totals!$A$2:$O$255""),2,FALSE)"),16.75)</f>
        <v>16.75</v>
      </c>
      <c r="E135" s="15">
        <f>IFERROR(__xludf.DUMMYFUNCTION("VLOOKUP(A135,IMPORTRANGE(""1QZ5UxyNCwadreQAXnQ7oCoH982DjIA-QnZdO7ZoqkC0/edit#gid=884617569"",""S1 Totals!$A$2:$O$255""),3,FALSE)"),0.5075757575757576)</f>
        <v>0.5075757576</v>
      </c>
      <c r="F135" s="108">
        <f t="shared" si="1"/>
        <v>-0.07575757576</v>
      </c>
      <c r="G135" s="16">
        <f>IFERROR(__xludf.DUMMYFUNCTION("VLOOKUP(A135,IMPORTRANGE(""1QZ5UxyNCwadreQAXnQ7oCoH982DjIA-QnZdO7ZoqkC0/edit#gid=884617569"",""S1 Totals!$A$2:$O$255""),4,FALSE)"),25.5)</f>
        <v>25.5</v>
      </c>
      <c r="H135" s="15">
        <f>IFERROR(__xludf.DUMMYFUNCTION("VLOOKUP(A135,IMPORTRANGE(""1QZ5UxyNCwadreQAXnQ7oCoH982DjIA-QnZdO7ZoqkC0/edit#gid=884617569"",""S1 Totals!$A$2:$O$255""),5,FALSE)"),0.5425531914893617)</f>
        <v>0.5425531915</v>
      </c>
      <c r="I135" s="108">
        <f t="shared" si="2"/>
        <v>-0.1107350097</v>
      </c>
      <c r="J135" s="16">
        <f>IFERROR(__xludf.DUMMYFUNCTION("VLOOKUP(A135,IMPORTRANGE(""1QZ5UxyNCwadreQAXnQ7oCoH982DjIA-QnZdO7ZoqkC0/edit#gid=884617569"",""S1 Totals!$A$2:$O$255""),7,FALSE)"),9.5)</f>
        <v>9.5</v>
      </c>
      <c r="K135" s="15">
        <f>IFERROR(__xludf.DUMMYFUNCTION("VLOOKUP(A135,IMPORTRANGE(""1QZ5UxyNCwadreQAXnQ7oCoH982DjIA-QnZdO7ZoqkC0/edit#gid=884617569"",""S1 Totals!$A$2:$O$255""),8,FALSE)"),0.19387755102040816)</f>
        <v>0.193877551</v>
      </c>
      <c r="L135" s="109">
        <f t="shared" si="3"/>
        <v>0.3136982066</v>
      </c>
      <c r="M135" s="16"/>
      <c r="N135" s="15"/>
      <c r="O135" s="110"/>
      <c r="P135" s="16"/>
      <c r="Q135" s="15"/>
      <c r="R135" s="16"/>
    </row>
    <row r="136">
      <c r="A136" s="107" t="s">
        <v>135</v>
      </c>
      <c r="B136" s="16">
        <f>IFERROR(__xludf.DUMMYFUNCTION("VLOOKUP(A136,IMPORTRANGE(""1aFCnJY1qhIj8-JckJhDJ18aqmVo17tofpQmOjcYa3u8/edit#gid=590920912"",""S1 Totals!$A$2:$O$255""),2,FALSE)"),23.75)</f>
        <v>23.75</v>
      </c>
      <c r="C136" s="15">
        <f>IFERROR(__xludf.DUMMYFUNCTION("VLOOKUP(A136,IMPORTRANGE(""1aFCnJY1qhIj8-JckJhDJ18aqmVo17tofpQmOjcYa3u8/edit#gid=590920912"",""S1 Totals!$A$2:$O$255""),3,FALSE)"),0.7196969696969697)</f>
        <v>0.7196969697</v>
      </c>
      <c r="D136" s="16">
        <f>IFERROR(__xludf.DUMMYFUNCTION("VLOOKUP(A136,IMPORTRANGE(""1QZ5UxyNCwadreQAXnQ7oCoH982DjIA-QnZdO7ZoqkC0/edit#gid=884617569"",""S1 Totals!$A$2:$O$255""),2,FALSE)"),19.0)</f>
        <v>19</v>
      </c>
      <c r="E136" s="15">
        <f>IFERROR(__xludf.DUMMYFUNCTION("VLOOKUP(A136,IMPORTRANGE(""1QZ5UxyNCwadreQAXnQ7oCoH982DjIA-QnZdO7ZoqkC0/edit#gid=884617569"",""S1 Totals!$A$2:$O$255""),3,FALSE)"),0.5757575757575758)</f>
        <v>0.5757575758</v>
      </c>
      <c r="F136" s="108">
        <f t="shared" si="1"/>
        <v>0.1439393939</v>
      </c>
      <c r="G136" s="16">
        <f>IFERROR(__xludf.DUMMYFUNCTION("VLOOKUP(A136,IMPORTRANGE(""1QZ5UxyNCwadreQAXnQ7oCoH982DjIA-QnZdO7ZoqkC0/edit#gid=884617569"",""S1 Totals!$A$2:$O$255""),4,FALSE)"),27.0)</f>
        <v>27</v>
      </c>
      <c r="H136" s="15">
        <f>IFERROR(__xludf.DUMMYFUNCTION("VLOOKUP(A136,IMPORTRANGE(""1QZ5UxyNCwadreQAXnQ7oCoH982DjIA-QnZdO7ZoqkC0/edit#gid=884617569"",""S1 Totals!$A$2:$O$255""),5,FALSE)"),0.574468085106383)</f>
        <v>0.5744680851</v>
      </c>
      <c r="I136" s="108">
        <f t="shared" si="2"/>
        <v>0.1452288846</v>
      </c>
      <c r="J136" s="16">
        <f>IFERROR(__xludf.DUMMYFUNCTION("VLOOKUP(A136,IMPORTRANGE(""1QZ5UxyNCwadreQAXnQ7oCoH982DjIA-QnZdO7ZoqkC0/edit#gid=884617569"",""S1 Totals!$A$2:$O$255""),7,FALSE)"),22.5)</f>
        <v>22.5</v>
      </c>
      <c r="K136" s="15">
        <f>IFERROR(__xludf.DUMMYFUNCTION("VLOOKUP(A136,IMPORTRANGE(""1QZ5UxyNCwadreQAXnQ7oCoH982DjIA-QnZdO7ZoqkC0/edit#gid=884617569"",""S1 Totals!$A$2:$O$255""),8,FALSE)"),0.45918367346938777)</f>
        <v>0.4591836735</v>
      </c>
      <c r="L136" s="109">
        <f t="shared" si="3"/>
        <v>0.1165739023</v>
      </c>
      <c r="M136" s="16">
        <f>IFERROR(__xludf.DUMMYFUNCTION("VLOOKUP(A136,IMPORTRANGE(""1QZ5UxyNCwadreQAXnQ7oCoH982DjIA-QnZdO7ZoqkC0/edit#gid=884617569"",""S1 Totals!$A$2:$O$255""),10,FALSE)"),15.0)</f>
        <v>15</v>
      </c>
      <c r="N136" s="15">
        <f>IFERROR(__xludf.DUMMYFUNCTION("VLOOKUP(A136,IMPORTRANGE(""1QZ5UxyNCwadreQAXnQ7oCoH982DjIA-QnZdO7ZoqkC0/edit#gid=884617569"",""S1 Totals!$A$2:$O$256""),11,FALSE)"),0.3125)</f>
        <v>0.3125</v>
      </c>
      <c r="O136" s="110">
        <f t="shared" ref="O136:O142" si="23">C136-N136</f>
        <v>0.4071969697</v>
      </c>
      <c r="P136" s="16" t="str">
        <f>IFERROR(__xludf.DUMMYFUNCTION("VLOOKUP(A136,IMPORTRANGE(""1QZ5UxyNCwadreQAXnQ7oCoH982DjIA-QnZdO7ZoqkC0/edit#gid=884617569"",""S1 Totals!$A$2:$O$256""),13,FALSE)"),"")</f>
        <v/>
      </c>
      <c r="Q136" s="15" t="str">
        <f>IFERROR(__xludf.DUMMYFUNCTION("VLOOKUP(A136,IMPORTRANGE(""1QZ5UxyNCwadreQAXnQ7oCoH982DjIA-QnZdO7ZoqkC0/edit#gid=884617569"",""S1 Totals!$A$2:$O$256""),14,FALSE)"),"")</f>
        <v/>
      </c>
      <c r="R136" s="16"/>
    </row>
    <row r="137">
      <c r="A137" s="107" t="s">
        <v>136</v>
      </c>
      <c r="B137" s="16">
        <f>IFERROR(__xludf.DUMMYFUNCTION("VLOOKUP(A137,IMPORTRANGE(""1aFCnJY1qhIj8-JckJhDJ18aqmVo17tofpQmOjcYa3u8/edit#gid=590920912"",""S1 Totals!$A$2:$O$255""),2,FALSE)"),22.0)</f>
        <v>22</v>
      </c>
      <c r="C137" s="15">
        <f>IFERROR(__xludf.DUMMYFUNCTION("VLOOKUP(A137,IMPORTRANGE(""1aFCnJY1qhIj8-JckJhDJ18aqmVo17tofpQmOjcYa3u8/edit#gid=590920912"",""S1 Totals!$A$2:$O$255""),3,FALSE)"),0.6666666666666666)</f>
        <v>0.6666666667</v>
      </c>
      <c r="D137" s="16">
        <f>IFERROR(__xludf.DUMMYFUNCTION("VLOOKUP(A137,IMPORTRANGE(""1QZ5UxyNCwadreQAXnQ7oCoH982DjIA-QnZdO7ZoqkC0/edit#gid=884617569"",""S1 Totals!$A$2:$O$255""),2,FALSE)"),24.0)</f>
        <v>24</v>
      </c>
      <c r="E137" s="15">
        <f>IFERROR(__xludf.DUMMYFUNCTION("VLOOKUP(A137,IMPORTRANGE(""1QZ5UxyNCwadreQAXnQ7oCoH982DjIA-QnZdO7ZoqkC0/edit#gid=884617569"",""S1 Totals!$A$2:$O$255""),3,FALSE)"),0.7272727272727273)</f>
        <v>0.7272727273</v>
      </c>
      <c r="F137" s="108">
        <f t="shared" si="1"/>
        <v>-0.06060606061</v>
      </c>
      <c r="G137" s="16">
        <f>IFERROR(__xludf.DUMMYFUNCTION("VLOOKUP(A137,IMPORTRANGE(""1QZ5UxyNCwadreQAXnQ7oCoH982DjIA-QnZdO7ZoqkC0/edit#gid=884617569"",""S1 Totals!$A$2:$O$255""),4,FALSE)"),35.0)</f>
        <v>35</v>
      </c>
      <c r="H137" s="15">
        <f>IFERROR(__xludf.DUMMYFUNCTION("VLOOKUP(A137,IMPORTRANGE(""1QZ5UxyNCwadreQAXnQ7oCoH982DjIA-QnZdO7ZoqkC0/edit#gid=884617569"",""S1 Totals!$A$2:$O$255""),5,FALSE)"),0.7446808510638298)</f>
        <v>0.7446808511</v>
      </c>
      <c r="I137" s="108">
        <f t="shared" si="2"/>
        <v>-0.0780141844</v>
      </c>
      <c r="J137" s="16">
        <f>IFERROR(__xludf.DUMMYFUNCTION("VLOOKUP(A137,IMPORTRANGE(""1QZ5UxyNCwadreQAXnQ7oCoH982DjIA-QnZdO7ZoqkC0/edit#gid=884617569"",""S1 Totals!$A$2:$O$255""),7,FALSE)"),38.0)</f>
        <v>38</v>
      </c>
      <c r="K137" s="15">
        <f>IFERROR(__xludf.DUMMYFUNCTION("VLOOKUP(A137,IMPORTRANGE(""1QZ5UxyNCwadreQAXnQ7oCoH982DjIA-QnZdO7ZoqkC0/edit#gid=884617569"",""S1 Totals!$A$2:$O$255""),8,FALSE)"),0.7755102040816326)</f>
        <v>0.7755102041</v>
      </c>
      <c r="L137" s="109">
        <f t="shared" si="3"/>
        <v>-0.04823747681</v>
      </c>
      <c r="M137" s="16">
        <f>IFERROR(__xludf.DUMMYFUNCTION("VLOOKUP(A137,IMPORTRANGE(""1QZ5UxyNCwadreQAXnQ7oCoH982DjIA-QnZdO7ZoqkC0/edit#gid=884617569"",""S1 Totals!$A$2:$O$255""),10,FALSE)"),28.5)</f>
        <v>28.5</v>
      </c>
      <c r="N137" s="15">
        <f>IFERROR(__xludf.DUMMYFUNCTION("VLOOKUP(A137,IMPORTRANGE(""1QZ5UxyNCwadreQAXnQ7oCoH982DjIA-QnZdO7ZoqkC0/edit#gid=884617569"",""S1 Totals!$A$2:$O$256""),11,FALSE)"),0.59375)</f>
        <v>0.59375</v>
      </c>
      <c r="O137" s="110">
        <f t="shared" si="23"/>
        <v>0.07291666667</v>
      </c>
      <c r="P137" s="16" t="str">
        <f>IFERROR(__xludf.DUMMYFUNCTION("VLOOKUP(A137,IMPORTRANGE(""1QZ5UxyNCwadreQAXnQ7oCoH982DjIA-QnZdO7ZoqkC0/edit#gid=884617569"",""S1 Totals!$A$2:$O$256""),13,FALSE)"),"")</f>
        <v/>
      </c>
      <c r="Q137" s="15" t="str">
        <f>IFERROR(__xludf.DUMMYFUNCTION("VLOOKUP(A137,IMPORTRANGE(""1QZ5UxyNCwadreQAXnQ7oCoH982DjIA-QnZdO7ZoqkC0/edit#gid=884617569"",""S1 Totals!$A$2:$O$256""),14,FALSE)"),"")</f>
        <v/>
      </c>
      <c r="R137" s="16"/>
    </row>
    <row r="138">
      <c r="A138" s="107" t="s">
        <v>88</v>
      </c>
      <c r="B138" s="16">
        <f>IFERROR(__xludf.DUMMYFUNCTION("VLOOKUP(A138,IMPORTRANGE(""1aFCnJY1qhIj8-JckJhDJ18aqmVo17tofpQmOjcYa3u8/edit#gid=590920912"",""S1 Totals!$A$2:$O$255""),2,FALSE)"),8.5)</f>
        <v>8.5</v>
      </c>
      <c r="C138" s="15">
        <f>IFERROR(__xludf.DUMMYFUNCTION("VLOOKUP(A138,IMPORTRANGE(""1aFCnJY1qhIj8-JckJhDJ18aqmVo17tofpQmOjcYa3u8/edit#gid=590920912"",""S1 Totals!$A$2:$O$255""),3,FALSE)"),0.25757575757575757)</f>
        <v>0.2575757576</v>
      </c>
      <c r="D138" s="16">
        <f>IFERROR(__xludf.DUMMYFUNCTION("VLOOKUP(A138,IMPORTRANGE(""1QZ5UxyNCwadreQAXnQ7oCoH982DjIA-QnZdO7ZoqkC0/edit#gid=884617569"",""S1 Totals!$A$2:$O$255""),2,FALSE)"),6.5)</f>
        <v>6.5</v>
      </c>
      <c r="E138" s="15">
        <f>IFERROR(__xludf.DUMMYFUNCTION("VLOOKUP(A138,IMPORTRANGE(""1QZ5UxyNCwadreQAXnQ7oCoH982DjIA-QnZdO7ZoqkC0/edit#gid=884617569"",""S1 Totals!$A$2:$O$255""),3,FALSE)"),0.19696969696969696)</f>
        <v>0.196969697</v>
      </c>
      <c r="F138" s="108">
        <f t="shared" si="1"/>
        <v>0.06060606061</v>
      </c>
      <c r="G138" s="16">
        <f>IFERROR(__xludf.DUMMYFUNCTION("VLOOKUP(A138,IMPORTRANGE(""1QZ5UxyNCwadreQAXnQ7oCoH982DjIA-QnZdO7ZoqkC0/edit#gid=884617569"",""S1 Totals!$A$2:$O$255""),4,FALSE)"),11.0)</f>
        <v>11</v>
      </c>
      <c r="H138" s="15">
        <f>IFERROR(__xludf.DUMMYFUNCTION("VLOOKUP(A138,IMPORTRANGE(""1QZ5UxyNCwadreQAXnQ7oCoH982DjIA-QnZdO7ZoqkC0/edit#gid=884617569"",""S1 Totals!$A$2:$O$255""),5,FALSE)"),0.23404255319148937)</f>
        <v>0.2340425532</v>
      </c>
      <c r="I138" s="108">
        <f t="shared" si="2"/>
        <v>0.02353320438</v>
      </c>
      <c r="J138" s="16">
        <f>IFERROR(__xludf.DUMMYFUNCTION("VLOOKUP(A138,IMPORTRANGE(""1QZ5UxyNCwadreQAXnQ7oCoH982DjIA-QnZdO7ZoqkC0/edit#gid=884617569"",""S1 Totals!$A$2:$O$255""),7,FALSE)"),6.5)</f>
        <v>6.5</v>
      </c>
      <c r="K138" s="15">
        <f>IFERROR(__xludf.DUMMYFUNCTION("VLOOKUP(A138,IMPORTRANGE(""1QZ5UxyNCwadreQAXnQ7oCoH982DjIA-QnZdO7ZoqkC0/edit#gid=884617569"",""S1 Totals!$A$2:$O$255""),8,FALSE)"),0.1326530612244898)</f>
        <v>0.1326530612</v>
      </c>
      <c r="L138" s="109">
        <f t="shared" si="3"/>
        <v>0.06431663575</v>
      </c>
      <c r="M138" s="16">
        <f>IFERROR(__xludf.DUMMYFUNCTION("VLOOKUP(A138,IMPORTRANGE(""1QZ5UxyNCwadreQAXnQ7oCoH982DjIA-QnZdO7ZoqkC0/edit#gid=884617569"",""S1 Totals!$A$2:$O$255""),10,FALSE)"),3.0)</f>
        <v>3</v>
      </c>
      <c r="N138" s="15">
        <f>IFERROR(__xludf.DUMMYFUNCTION("VLOOKUP(A138,IMPORTRANGE(""1QZ5UxyNCwadreQAXnQ7oCoH982DjIA-QnZdO7ZoqkC0/edit#gid=884617569"",""S1 Totals!$A$2:$O$256""),11,FALSE)"),0.0625)</f>
        <v>0.0625</v>
      </c>
      <c r="O138" s="110">
        <f t="shared" si="23"/>
        <v>0.1950757576</v>
      </c>
      <c r="P138" s="16">
        <f>IFERROR(__xludf.DUMMYFUNCTION("VLOOKUP(A138,IMPORTRANGE(""1QZ5UxyNCwadreQAXnQ7oCoH982DjIA-QnZdO7ZoqkC0/edit#gid=884617569"",""S1 Totals!$A$2:$O$256""),13,FALSE)"),5.5)</f>
        <v>5.5</v>
      </c>
      <c r="Q138" s="15">
        <f>IFERROR(__xludf.DUMMYFUNCTION("VLOOKUP(A138,IMPORTRANGE(""1QZ5UxyNCwadreQAXnQ7oCoH982DjIA-QnZdO7ZoqkC0/edit#gid=884617569"",""S1 Totals!$A$2:$O$256""),14,FALSE)"),0.11)</f>
        <v>0.11</v>
      </c>
      <c r="R138" s="15">
        <f t="shared" ref="R138:R142" si="24">C138-Q138</f>
        <v>0.1475757576</v>
      </c>
    </row>
    <row r="139">
      <c r="A139" s="107" t="s">
        <v>137</v>
      </c>
      <c r="B139" s="16">
        <f>IFERROR(__xludf.DUMMYFUNCTION("VLOOKUP(A139,IMPORTRANGE(""1aFCnJY1qhIj8-JckJhDJ18aqmVo17tofpQmOjcYa3u8/edit#gid=590920912"",""S1 Totals!$A$2:$O$255""),2,FALSE)"),4.25)</f>
        <v>4.25</v>
      </c>
      <c r="C139" s="15">
        <f>IFERROR(__xludf.DUMMYFUNCTION("VLOOKUP(A139,IMPORTRANGE(""1aFCnJY1qhIj8-JckJhDJ18aqmVo17tofpQmOjcYa3u8/edit#gid=590920912"",""S1 Totals!$A$2:$O$255""),3,FALSE)"),0.12878787878787878)</f>
        <v>0.1287878788</v>
      </c>
      <c r="D139" s="16">
        <f>IFERROR(__xludf.DUMMYFUNCTION("VLOOKUP(A139,IMPORTRANGE(""1QZ5UxyNCwadreQAXnQ7oCoH982DjIA-QnZdO7ZoqkC0/edit#gid=884617569"",""S1 Totals!$A$2:$O$255""),2,FALSE)"),4.0)</f>
        <v>4</v>
      </c>
      <c r="E139" s="15">
        <f>IFERROR(__xludf.DUMMYFUNCTION("VLOOKUP(A139,IMPORTRANGE(""1QZ5UxyNCwadreQAXnQ7oCoH982DjIA-QnZdO7ZoqkC0/edit#gid=884617569"",""S1 Totals!$A$2:$O$255""),3,FALSE)"),0.12121212121212122)</f>
        <v>0.1212121212</v>
      </c>
      <c r="F139" s="108">
        <f t="shared" si="1"/>
        <v>0.007575757576</v>
      </c>
      <c r="G139" s="16">
        <f>IFERROR(__xludf.DUMMYFUNCTION("VLOOKUP(A139,IMPORTRANGE(""1QZ5UxyNCwadreQAXnQ7oCoH982DjIA-QnZdO7ZoqkC0/edit#gid=884617569"",""S1 Totals!$A$2:$O$255""),4,FALSE)"),4.5)</f>
        <v>4.5</v>
      </c>
      <c r="H139" s="15">
        <f>IFERROR(__xludf.DUMMYFUNCTION("VLOOKUP(A139,IMPORTRANGE(""1QZ5UxyNCwadreQAXnQ7oCoH982DjIA-QnZdO7ZoqkC0/edit#gid=884617569"",""S1 Totals!$A$2:$O$255""),5,FALSE)"),0.09574468085106383)</f>
        <v>0.09574468085</v>
      </c>
      <c r="I139" s="108">
        <f t="shared" si="2"/>
        <v>0.03304319794</v>
      </c>
      <c r="J139" s="16">
        <f>IFERROR(__xludf.DUMMYFUNCTION("VLOOKUP(A139,IMPORTRANGE(""1QZ5UxyNCwadreQAXnQ7oCoH982DjIA-QnZdO7ZoqkC0/edit#gid=884617569"",""S1 Totals!$A$2:$O$255""),7,FALSE)"),0.0)</f>
        <v>0</v>
      </c>
      <c r="K139" s="15">
        <f>IFERROR(__xludf.DUMMYFUNCTION("VLOOKUP(A139,IMPORTRANGE(""1QZ5UxyNCwadreQAXnQ7oCoH982DjIA-QnZdO7ZoqkC0/edit#gid=884617569"",""S1 Totals!$A$2:$O$255""),8,FALSE)"),0.0)</f>
        <v>0</v>
      </c>
      <c r="L139" s="109">
        <f t="shared" si="3"/>
        <v>0.1212121212</v>
      </c>
      <c r="M139" s="16">
        <f>IFERROR(__xludf.DUMMYFUNCTION("VLOOKUP(A139,IMPORTRANGE(""1QZ5UxyNCwadreQAXnQ7oCoH982DjIA-QnZdO7ZoqkC0/edit#gid=884617569"",""S1 Totals!$A$2:$O$255""),10,FALSE)"),0.0)</f>
        <v>0</v>
      </c>
      <c r="N139" s="15">
        <f>IFERROR(__xludf.DUMMYFUNCTION("VLOOKUP(A139,IMPORTRANGE(""1QZ5UxyNCwadreQAXnQ7oCoH982DjIA-QnZdO7ZoqkC0/edit#gid=884617569"",""S1 Totals!$A$2:$O$256""),11,FALSE)"),0.0)</f>
        <v>0</v>
      </c>
      <c r="O139" s="110">
        <f t="shared" si="23"/>
        <v>0.1287878788</v>
      </c>
      <c r="P139" s="16" t="str">
        <f>IFERROR(__xludf.DUMMYFUNCTION("VLOOKUP(A139,IMPORTRANGE(""1QZ5UxyNCwadreQAXnQ7oCoH982DjIA-QnZdO7ZoqkC0/edit#gid=884617569"",""S1 Totals!$A$2:$O$256""),13,FALSE)"),"")</f>
        <v/>
      </c>
      <c r="Q139" s="15" t="str">
        <f>IFERROR(__xludf.DUMMYFUNCTION("VLOOKUP(A139,IMPORTRANGE(""1QZ5UxyNCwadreQAXnQ7oCoH982DjIA-QnZdO7ZoqkC0/edit#gid=884617569"",""S1 Totals!$A$2:$O$256""),14,FALSE)"),"")</f>
        <v/>
      </c>
      <c r="R139" s="15">
        <f t="shared" si="24"/>
        <v>0.1287878788</v>
      </c>
    </row>
    <row r="140">
      <c r="A140" s="107" t="s">
        <v>67</v>
      </c>
      <c r="B140" s="16">
        <f>IFERROR(__xludf.DUMMYFUNCTION("VLOOKUP(A140,IMPORTRANGE(""1aFCnJY1qhIj8-JckJhDJ18aqmVo17tofpQmOjcYa3u8/edit#gid=590920912"",""S1 Totals!$A$2:$O$255""),2,FALSE)"),24.25)</f>
        <v>24.25</v>
      </c>
      <c r="C140" s="15">
        <f>IFERROR(__xludf.DUMMYFUNCTION("VLOOKUP(A140,IMPORTRANGE(""1aFCnJY1qhIj8-JckJhDJ18aqmVo17tofpQmOjcYa3u8/edit#gid=590920912"",""S1 Totals!$A$2:$O$255""),3,FALSE)"),0.7348484848484849)</f>
        <v>0.7348484848</v>
      </c>
      <c r="D140" s="16">
        <f>IFERROR(__xludf.DUMMYFUNCTION("VLOOKUP(A140,IMPORTRANGE(""1QZ5UxyNCwadreQAXnQ7oCoH982DjIA-QnZdO7ZoqkC0/edit#gid=884617569"",""S1 Totals!$A$2:$O$255""),2,FALSE)"),26.5)</f>
        <v>26.5</v>
      </c>
      <c r="E140" s="15">
        <f>IFERROR(__xludf.DUMMYFUNCTION("VLOOKUP(A140,IMPORTRANGE(""1QZ5UxyNCwadreQAXnQ7oCoH982DjIA-QnZdO7ZoqkC0/edit#gid=884617569"",""S1 Totals!$A$2:$O$255""),3,FALSE)"),0.803030303030303)</f>
        <v>0.803030303</v>
      </c>
      <c r="F140" s="108">
        <f t="shared" si="1"/>
        <v>-0.06818181818</v>
      </c>
      <c r="G140" s="16">
        <f>IFERROR(__xludf.DUMMYFUNCTION("VLOOKUP(A140,IMPORTRANGE(""1QZ5UxyNCwadreQAXnQ7oCoH982DjIA-QnZdO7ZoqkC0/edit#gid=884617569"",""S1 Totals!$A$2:$O$255""),4,FALSE)"),37.0)</f>
        <v>37</v>
      </c>
      <c r="H140" s="15">
        <f>IFERROR(__xludf.DUMMYFUNCTION("VLOOKUP(A140,IMPORTRANGE(""1QZ5UxyNCwadreQAXnQ7oCoH982DjIA-QnZdO7ZoqkC0/edit#gid=884617569"",""S1 Totals!$A$2:$O$255""),5,FALSE)"),0.7872340425531915)</f>
        <v>0.7872340426</v>
      </c>
      <c r="I140" s="108">
        <f t="shared" si="2"/>
        <v>-0.0523855577</v>
      </c>
      <c r="J140" s="16">
        <f>IFERROR(__xludf.DUMMYFUNCTION("VLOOKUP(A140,IMPORTRANGE(""1QZ5UxyNCwadreQAXnQ7oCoH982DjIA-QnZdO7ZoqkC0/edit#gid=884617569"",""S1 Totals!$A$2:$O$255""),7,FALSE)"),33.5)</f>
        <v>33.5</v>
      </c>
      <c r="K140" s="15">
        <f>IFERROR(__xludf.DUMMYFUNCTION("VLOOKUP(A140,IMPORTRANGE(""1QZ5UxyNCwadreQAXnQ7oCoH982DjIA-QnZdO7ZoqkC0/edit#gid=884617569"",""S1 Totals!$A$2:$O$255""),8,FALSE)"),0.6836734693877551)</f>
        <v>0.6836734694</v>
      </c>
      <c r="L140" s="109">
        <f t="shared" si="3"/>
        <v>0.1193568336</v>
      </c>
      <c r="M140" s="16">
        <f>IFERROR(__xludf.DUMMYFUNCTION("VLOOKUP(A140,IMPORTRANGE(""1QZ5UxyNCwadreQAXnQ7oCoH982DjIA-QnZdO7ZoqkC0/edit#gid=884617569"",""S1 Totals!$A$2:$O$255""),10,FALSE)"),28.5)</f>
        <v>28.5</v>
      </c>
      <c r="N140" s="15">
        <f>IFERROR(__xludf.DUMMYFUNCTION("VLOOKUP(A140,IMPORTRANGE(""1QZ5UxyNCwadreQAXnQ7oCoH982DjIA-QnZdO7ZoqkC0/edit#gid=884617569"",""S1 Totals!$A$2:$O$256""),11,FALSE)"),0.59375)</f>
        <v>0.59375</v>
      </c>
      <c r="O140" s="110">
        <f t="shared" si="23"/>
        <v>0.1410984848</v>
      </c>
      <c r="P140" s="16">
        <f>IFERROR(__xludf.DUMMYFUNCTION("VLOOKUP(A140,IMPORTRANGE(""1QZ5UxyNCwadreQAXnQ7oCoH982DjIA-QnZdO7ZoqkC0/edit#gid=884617569"",""S1 Totals!$A$2:$O$256""),13,FALSE)"),33.0)</f>
        <v>33</v>
      </c>
      <c r="Q140" s="15">
        <f>IFERROR(__xludf.DUMMYFUNCTION("VLOOKUP(A140,IMPORTRANGE(""1QZ5UxyNCwadreQAXnQ7oCoH982DjIA-QnZdO7ZoqkC0/edit#gid=884617569"",""S1 Totals!$A$2:$O$256""),14,FALSE)"),0.66)</f>
        <v>0.66</v>
      </c>
      <c r="R140" s="15">
        <f t="shared" si="24"/>
        <v>0.07484848485</v>
      </c>
    </row>
    <row r="141">
      <c r="A141" s="107" t="s">
        <v>68</v>
      </c>
      <c r="B141" s="16">
        <f>IFERROR(__xludf.DUMMYFUNCTION("VLOOKUP(A141,IMPORTRANGE(""1aFCnJY1qhIj8-JckJhDJ18aqmVo17tofpQmOjcYa3u8/edit#gid=590920912"",""S1 Totals!$A$2:$O$255""),2,FALSE)"),28.75)</f>
        <v>28.75</v>
      </c>
      <c r="C141" s="15">
        <f>IFERROR(__xludf.DUMMYFUNCTION("VLOOKUP(A141,IMPORTRANGE(""1aFCnJY1qhIj8-JckJhDJ18aqmVo17tofpQmOjcYa3u8/edit#gid=590920912"",""S1 Totals!$A$2:$O$255""),3,FALSE)"),0.8712121212121212)</f>
        <v>0.8712121212</v>
      </c>
      <c r="D141" s="16">
        <f>IFERROR(__xludf.DUMMYFUNCTION("VLOOKUP(A141,IMPORTRANGE(""1QZ5UxyNCwadreQAXnQ7oCoH982DjIA-QnZdO7ZoqkC0/edit#gid=884617569"",""S1 Totals!$A$2:$O$255""),2,FALSE)"),25.75)</f>
        <v>25.75</v>
      </c>
      <c r="E141" s="15">
        <f>IFERROR(__xludf.DUMMYFUNCTION("VLOOKUP(A141,IMPORTRANGE(""1QZ5UxyNCwadreQAXnQ7oCoH982DjIA-QnZdO7ZoqkC0/edit#gid=884617569"",""S1 Totals!$A$2:$O$255""),3,FALSE)"),0.7803030303030303)</f>
        <v>0.7803030303</v>
      </c>
      <c r="F141" s="108">
        <f t="shared" si="1"/>
        <v>0.09090909091</v>
      </c>
      <c r="G141" s="16">
        <f>IFERROR(__xludf.DUMMYFUNCTION("VLOOKUP(A141,IMPORTRANGE(""1QZ5UxyNCwadreQAXnQ7oCoH982DjIA-QnZdO7ZoqkC0/edit#gid=884617569"",""S1 Totals!$A$2:$O$255""),4,FALSE)"),35.0)</f>
        <v>35</v>
      </c>
      <c r="H141" s="15">
        <f>IFERROR(__xludf.DUMMYFUNCTION("VLOOKUP(A141,IMPORTRANGE(""1QZ5UxyNCwadreQAXnQ7oCoH982DjIA-QnZdO7ZoqkC0/edit#gid=884617569"",""S1 Totals!$A$2:$O$255""),5,FALSE)"),0.7446808510638298)</f>
        <v>0.7446808511</v>
      </c>
      <c r="I141" s="108">
        <f t="shared" si="2"/>
        <v>0.1265312701</v>
      </c>
      <c r="J141" s="16">
        <f>IFERROR(__xludf.DUMMYFUNCTION("VLOOKUP(A141,IMPORTRANGE(""1QZ5UxyNCwadreQAXnQ7oCoH982DjIA-QnZdO7ZoqkC0/edit#gid=884617569"",""S1 Totals!$A$2:$O$255""),7,FALSE)"),37.0)</f>
        <v>37</v>
      </c>
      <c r="K141" s="15">
        <f>IFERROR(__xludf.DUMMYFUNCTION("VLOOKUP(A141,IMPORTRANGE(""1QZ5UxyNCwadreQAXnQ7oCoH982DjIA-QnZdO7ZoqkC0/edit#gid=884617569"",""S1 Totals!$A$2:$O$255""),8,FALSE)"),0.7551020408163265)</f>
        <v>0.7551020408</v>
      </c>
      <c r="L141" s="109">
        <f t="shared" si="3"/>
        <v>0.02520098949</v>
      </c>
      <c r="M141" s="16">
        <f>IFERROR(__xludf.DUMMYFUNCTION("VLOOKUP(A141,IMPORTRANGE(""1QZ5UxyNCwadreQAXnQ7oCoH982DjIA-QnZdO7ZoqkC0/edit#gid=884617569"",""S1 Totals!$A$2:$O$255""),10,FALSE)"),33.5)</f>
        <v>33.5</v>
      </c>
      <c r="N141" s="15">
        <f>IFERROR(__xludf.DUMMYFUNCTION("VLOOKUP(A141,IMPORTRANGE(""1QZ5UxyNCwadreQAXnQ7oCoH982DjIA-QnZdO7ZoqkC0/edit#gid=884617569"",""S1 Totals!$A$2:$O$256""),11,FALSE)"),0.6979166666666666)</f>
        <v>0.6979166667</v>
      </c>
      <c r="O141" s="110">
        <f t="shared" si="23"/>
        <v>0.1732954545</v>
      </c>
      <c r="P141" s="16">
        <f>IFERROR(__xludf.DUMMYFUNCTION("VLOOKUP(A141,IMPORTRANGE(""1QZ5UxyNCwadreQAXnQ7oCoH982DjIA-QnZdO7ZoqkC0/edit#gid=884617569"",""S1 Totals!$A$2:$O$256""),13,FALSE)"),30.5)</f>
        <v>30.5</v>
      </c>
      <c r="Q141" s="15">
        <f>IFERROR(__xludf.DUMMYFUNCTION("VLOOKUP(A141,IMPORTRANGE(""1QZ5UxyNCwadreQAXnQ7oCoH982DjIA-QnZdO7ZoqkC0/edit#gid=884617569"",""S1 Totals!$A$2:$O$256""),14,FALSE)"),0.61)</f>
        <v>0.61</v>
      </c>
      <c r="R141" s="15">
        <f t="shared" si="24"/>
        <v>0.2612121212</v>
      </c>
    </row>
    <row r="142">
      <c r="A142" s="107" t="s">
        <v>69</v>
      </c>
      <c r="B142" s="16">
        <f>IFERROR(__xludf.DUMMYFUNCTION("VLOOKUP(A142,IMPORTRANGE(""1aFCnJY1qhIj8-JckJhDJ18aqmVo17tofpQmOjcYa3u8/edit#gid=590920912"",""S1 Totals!$A$2:$O$255""),2,FALSE)"),11.25)</f>
        <v>11.25</v>
      </c>
      <c r="C142" s="15">
        <f>IFERROR(__xludf.DUMMYFUNCTION("VLOOKUP(A142,IMPORTRANGE(""1aFCnJY1qhIj8-JckJhDJ18aqmVo17tofpQmOjcYa3u8/edit#gid=590920912"",""S1 Totals!$A$2:$O$255""),3,FALSE)"),0.3409090909090909)</f>
        <v>0.3409090909</v>
      </c>
      <c r="D142" s="16">
        <f>IFERROR(__xludf.DUMMYFUNCTION("VLOOKUP(A142,IMPORTRANGE(""1QZ5UxyNCwadreQAXnQ7oCoH982DjIA-QnZdO7ZoqkC0/edit#gid=884617569"",""S1 Totals!$A$2:$O$255""),2,FALSE)"),16.0)</f>
        <v>16</v>
      </c>
      <c r="E142" s="15">
        <f>IFERROR(__xludf.DUMMYFUNCTION("VLOOKUP(A142,IMPORTRANGE(""1QZ5UxyNCwadreQAXnQ7oCoH982DjIA-QnZdO7ZoqkC0/edit#gid=884617569"",""S1 Totals!$A$2:$O$255""),3,FALSE)"),0.48484848484848486)</f>
        <v>0.4848484848</v>
      </c>
      <c r="F142" s="108">
        <f t="shared" si="1"/>
        <v>-0.1439393939</v>
      </c>
      <c r="G142" s="16">
        <f>IFERROR(__xludf.DUMMYFUNCTION("VLOOKUP(A142,IMPORTRANGE(""1QZ5UxyNCwadreQAXnQ7oCoH982DjIA-QnZdO7ZoqkC0/edit#gid=884617569"",""S1 Totals!$A$2:$O$255""),4,FALSE)"),28.0)</f>
        <v>28</v>
      </c>
      <c r="H142" s="15">
        <f>IFERROR(__xludf.DUMMYFUNCTION("VLOOKUP(A142,IMPORTRANGE(""1QZ5UxyNCwadreQAXnQ7oCoH982DjIA-QnZdO7ZoqkC0/edit#gid=884617569"",""S1 Totals!$A$2:$O$255""),5,FALSE)"),0.5957446808510638)</f>
        <v>0.5957446809</v>
      </c>
      <c r="I142" s="108">
        <f t="shared" si="2"/>
        <v>-0.2548355899</v>
      </c>
      <c r="J142" s="16">
        <f>IFERROR(__xludf.DUMMYFUNCTION("VLOOKUP(A142,IMPORTRANGE(""1QZ5UxyNCwadreQAXnQ7oCoH982DjIA-QnZdO7ZoqkC0/edit#gid=884617569"",""S1 Totals!$A$2:$O$255""),7,FALSE)"),24.5)</f>
        <v>24.5</v>
      </c>
      <c r="K142" s="15">
        <f>IFERROR(__xludf.DUMMYFUNCTION("VLOOKUP(A142,IMPORTRANGE(""1QZ5UxyNCwadreQAXnQ7oCoH982DjIA-QnZdO7ZoqkC0/edit#gid=884617569"",""S1 Totals!$A$2:$O$255""),8,FALSE)"),0.5)</f>
        <v>0.5</v>
      </c>
      <c r="L142" s="109">
        <f t="shared" si="3"/>
        <v>-0.01515151515</v>
      </c>
      <c r="M142" s="16">
        <f>IFERROR(__xludf.DUMMYFUNCTION("VLOOKUP(A142,IMPORTRANGE(""1QZ5UxyNCwadreQAXnQ7oCoH982DjIA-QnZdO7ZoqkC0/edit#gid=884617569"",""S1 Totals!$A$2:$O$255""),10,FALSE)"),25.0)</f>
        <v>25</v>
      </c>
      <c r="N142" s="15">
        <f>IFERROR(__xludf.DUMMYFUNCTION("VLOOKUP(A142,IMPORTRANGE(""1QZ5UxyNCwadreQAXnQ7oCoH982DjIA-QnZdO7ZoqkC0/edit#gid=884617569"",""S1 Totals!$A$2:$O$256""),11,FALSE)"),0.5208333333333334)</f>
        <v>0.5208333333</v>
      </c>
      <c r="O142" s="110">
        <f t="shared" si="23"/>
        <v>-0.1799242424</v>
      </c>
      <c r="P142" s="16">
        <f>IFERROR(__xludf.DUMMYFUNCTION("VLOOKUP(A142,IMPORTRANGE(""1QZ5UxyNCwadreQAXnQ7oCoH982DjIA-QnZdO7ZoqkC0/edit#gid=884617569"",""S1 Totals!$A$2:$O$256""),13,FALSE)"),28.0)</f>
        <v>28</v>
      </c>
      <c r="Q142" s="15">
        <f>IFERROR(__xludf.DUMMYFUNCTION("VLOOKUP(A142,IMPORTRANGE(""1QZ5UxyNCwadreQAXnQ7oCoH982DjIA-QnZdO7ZoqkC0/edit#gid=884617569"",""S1 Totals!$A$2:$O$256""),14,FALSE)"),0.56)</f>
        <v>0.56</v>
      </c>
      <c r="R142" s="15">
        <f t="shared" si="24"/>
        <v>-0.2190909091</v>
      </c>
    </row>
    <row r="143">
      <c r="A143" s="107" t="s">
        <v>182</v>
      </c>
      <c r="B143" s="16">
        <f>IFERROR(__xludf.DUMMYFUNCTION("VLOOKUP(A143,IMPORTRANGE(""1aFCnJY1qhIj8-JckJhDJ18aqmVo17tofpQmOjcYa3u8/edit#gid=590920912"",""S1 Totals!$A$2:$O$255""),2,FALSE)"),14.0)</f>
        <v>14</v>
      </c>
      <c r="C143" s="15">
        <f>IFERROR(__xludf.DUMMYFUNCTION("VLOOKUP(A143,IMPORTRANGE(""1aFCnJY1qhIj8-JckJhDJ18aqmVo17tofpQmOjcYa3u8/edit#gid=590920912"",""S1 Totals!$A$2:$O$255""),3,FALSE)"),0.42424242424242425)</f>
        <v>0.4242424242</v>
      </c>
      <c r="D143" s="16">
        <f>IFERROR(__xludf.DUMMYFUNCTION("VLOOKUP(A143,IMPORTRANGE(""1QZ5UxyNCwadreQAXnQ7oCoH982DjIA-QnZdO7ZoqkC0/edit#gid=884617569"",""S1 Totals!$A$2:$O$255""),2,FALSE)"),17.0)</f>
        <v>17</v>
      </c>
      <c r="E143" s="15">
        <f>IFERROR(__xludf.DUMMYFUNCTION("VLOOKUP(A143,IMPORTRANGE(""1QZ5UxyNCwadreQAXnQ7oCoH982DjIA-QnZdO7ZoqkC0/edit#gid=884617569"",""S1 Totals!$A$2:$O$255""),3,FALSE)"),0.5151515151515151)</f>
        <v>0.5151515152</v>
      </c>
      <c r="F143" s="108">
        <f t="shared" si="1"/>
        <v>-0.09090909091</v>
      </c>
      <c r="G143" s="16">
        <f>IFERROR(__xludf.DUMMYFUNCTION("VLOOKUP(A143,IMPORTRANGE(""1QZ5UxyNCwadreQAXnQ7oCoH982DjIA-QnZdO7ZoqkC0/edit#gid=884617569"",""S1 Totals!$A$2:$O$255""),4,FALSE)"),24.5)</f>
        <v>24.5</v>
      </c>
      <c r="H143" s="15">
        <f>IFERROR(__xludf.DUMMYFUNCTION("VLOOKUP(A143,IMPORTRANGE(""1QZ5UxyNCwadreQAXnQ7oCoH982DjIA-QnZdO7ZoqkC0/edit#gid=884617569"",""S1 Totals!$A$2:$O$255""),5,FALSE)"),0.5212765957446809)</f>
        <v>0.5212765957</v>
      </c>
      <c r="I143" s="108">
        <f t="shared" si="2"/>
        <v>-0.0970341715</v>
      </c>
      <c r="J143" s="16">
        <f>IFERROR(__xludf.DUMMYFUNCTION("VLOOKUP(A143,IMPORTRANGE(""1QZ5UxyNCwadreQAXnQ7oCoH982DjIA-QnZdO7ZoqkC0/edit#gid=884617569"",""S1 Totals!$A$2:$O$255""),7,FALSE)"),25.0)</f>
        <v>25</v>
      </c>
      <c r="K143" s="15">
        <f>IFERROR(__xludf.DUMMYFUNCTION("VLOOKUP(A143,IMPORTRANGE(""1QZ5UxyNCwadreQAXnQ7oCoH982DjIA-QnZdO7ZoqkC0/edit#gid=884617569"",""S1 Totals!$A$2:$O$255""),8,FALSE)"),0.5102040816326531)</f>
        <v>0.5102040816</v>
      </c>
      <c r="L143" s="109">
        <f t="shared" si="3"/>
        <v>0.004947433519</v>
      </c>
      <c r="M143" s="16"/>
      <c r="N143" s="15"/>
      <c r="O143" s="110"/>
      <c r="P143" s="16"/>
      <c r="Q143" s="15"/>
      <c r="R143" s="16"/>
    </row>
    <row r="144">
      <c r="A144" s="107" t="s">
        <v>70</v>
      </c>
      <c r="B144" s="16">
        <f>IFERROR(__xludf.DUMMYFUNCTION("VLOOKUP(A144,IMPORTRANGE(""1aFCnJY1qhIj8-JckJhDJ18aqmVo17tofpQmOjcYa3u8/edit#gid=590920912"",""S1 Totals!$A$2:$O$255""),2,FALSE)"),26.75)</f>
        <v>26.75</v>
      </c>
      <c r="C144" s="15">
        <f>IFERROR(__xludf.DUMMYFUNCTION("VLOOKUP(A144,IMPORTRANGE(""1aFCnJY1qhIj8-JckJhDJ18aqmVo17tofpQmOjcYa3u8/edit#gid=590920912"",""S1 Totals!$A$2:$O$255""),3,FALSE)"),0.8106060606060606)</f>
        <v>0.8106060606</v>
      </c>
      <c r="D144" s="16">
        <f>IFERROR(__xludf.DUMMYFUNCTION("VLOOKUP(A144,IMPORTRANGE(""1QZ5UxyNCwadreQAXnQ7oCoH982DjIA-QnZdO7ZoqkC0/edit#gid=884617569"",""S1 Totals!$A$2:$O$255""),2,FALSE)"),21.5)</f>
        <v>21.5</v>
      </c>
      <c r="E144" s="15">
        <f>IFERROR(__xludf.DUMMYFUNCTION("VLOOKUP(A144,IMPORTRANGE(""1QZ5UxyNCwadreQAXnQ7oCoH982DjIA-QnZdO7ZoqkC0/edit#gid=884617569"",""S1 Totals!$A$2:$O$255""),3,FALSE)"),0.6515151515151515)</f>
        <v>0.6515151515</v>
      </c>
      <c r="F144" s="108">
        <f t="shared" si="1"/>
        <v>0.1590909091</v>
      </c>
      <c r="G144" s="16">
        <f>IFERROR(__xludf.DUMMYFUNCTION("VLOOKUP(A144,IMPORTRANGE(""1QZ5UxyNCwadreQAXnQ7oCoH982DjIA-QnZdO7ZoqkC0/edit#gid=884617569"",""S1 Totals!$A$2:$O$255""),4,FALSE)"),30.0)</f>
        <v>30</v>
      </c>
      <c r="H144" s="15">
        <f>IFERROR(__xludf.DUMMYFUNCTION("VLOOKUP(A144,IMPORTRANGE(""1QZ5UxyNCwadreQAXnQ7oCoH982DjIA-QnZdO7ZoqkC0/edit#gid=884617569"",""S1 Totals!$A$2:$O$255""),5,FALSE)"),0.6382978723404256)</f>
        <v>0.6382978723</v>
      </c>
      <c r="I144" s="108">
        <f t="shared" si="2"/>
        <v>0.1723081883</v>
      </c>
      <c r="J144" s="16">
        <f>IFERROR(__xludf.DUMMYFUNCTION("VLOOKUP(A144,IMPORTRANGE(""1QZ5UxyNCwadreQAXnQ7oCoH982DjIA-QnZdO7ZoqkC0/edit#gid=884617569"",""S1 Totals!$A$2:$O$255""),7,FALSE)"),28.5)</f>
        <v>28.5</v>
      </c>
      <c r="K144" s="15">
        <f>IFERROR(__xludf.DUMMYFUNCTION("VLOOKUP(A144,IMPORTRANGE(""1QZ5UxyNCwadreQAXnQ7oCoH982DjIA-QnZdO7ZoqkC0/edit#gid=884617569"",""S1 Totals!$A$2:$O$255""),8,FALSE)"),0.5816326530612245)</f>
        <v>0.5816326531</v>
      </c>
      <c r="L144" s="109">
        <f t="shared" si="3"/>
        <v>0.06988249845</v>
      </c>
      <c r="M144" s="16">
        <f>IFERROR(__xludf.DUMMYFUNCTION("VLOOKUP(A144,IMPORTRANGE(""1QZ5UxyNCwadreQAXnQ7oCoH982DjIA-QnZdO7ZoqkC0/edit#gid=884617569"",""S1 Totals!$A$2:$O$255""),10,FALSE)"),25.5)</f>
        <v>25.5</v>
      </c>
      <c r="N144" s="15">
        <f>IFERROR(__xludf.DUMMYFUNCTION("VLOOKUP(A144,IMPORTRANGE(""1QZ5UxyNCwadreQAXnQ7oCoH982DjIA-QnZdO7ZoqkC0/edit#gid=884617569"",""S1 Totals!$A$2:$O$256""),11,FALSE)"),0.53125)</f>
        <v>0.53125</v>
      </c>
      <c r="O144" s="110">
        <f t="shared" ref="O144:O146" si="25">C144-N144</f>
        <v>0.2793560606</v>
      </c>
      <c r="P144" s="16">
        <f>IFERROR(__xludf.DUMMYFUNCTION("VLOOKUP(A144,IMPORTRANGE(""1QZ5UxyNCwadreQAXnQ7oCoH982DjIA-QnZdO7ZoqkC0/edit#gid=884617569"",""S1 Totals!$A$2:$O$256""),13,FALSE)"),21.0)</f>
        <v>21</v>
      </c>
      <c r="Q144" s="15">
        <f>IFERROR(__xludf.DUMMYFUNCTION("VLOOKUP(A144,IMPORTRANGE(""1QZ5UxyNCwadreQAXnQ7oCoH982DjIA-QnZdO7ZoqkC0/edit#gid=884617569"",""S1 Totals!$A$2:$O$256""),14,FALSE)"),0.42)</f>
        <v>0.42</v>
      </c>
      <c r="R144" s="15">
        <f t="shared" ref="R144:R146" si="26">C144-Q144</f>
        <v>0.3906060606</v>
      </c>
    </row>
    <row r="145">
      <c r="A145" s="107" t="s">
        <v>138</v>
      </c>
      <c r="B145" s="16">
        <f>IFERROR(__xludf.DUMMYFUNCTION("VLOOKUP(A145,IMPORTRANGE(""1aFCnJY1qhIj8-JckJhDJ18aqmVo17tofpQmOjcYa3u8/edit#gid=590920912"",""S1 Totals!$A$2:$O$255""),2,FALSE)"),23.25)</f>
        <v>23.25</v>
      </c>
      <c r="C145" s="15">
        <f>IFERROR(__xludf.DUMMYFUNCTION("VLOOKUP(A145,IMPORTRANGE(""1aFCnJY1qhIj8-JckJhDJ18aqmVo17tofpQmOjcYa3u8/edit#gid=590920912"",""S1 Totals!$A$2:$O$255""),3,FALSE)"),0.7045454545454546)</f>
        <v>0.7045454545</v>
      </c>
      <c r="D145" s="16">
        <f>IFERROR(__xludf.DUMMYFUNCTION("VLOOKUP(A145,IMPORTRANGE(""1QZ5UxyNCwadreQAXnQ7oCoH982DjIA-QnZdO7ZoqkC0/edit#gid=884617569"",""S1 Totals!$A$2:$O$255""),2,FALSE)"),26.5)</f>
        <v>26.5</v>
      </c>
      <c r="E145" s="15">
        <f>IFERROR(__xludf.DUMMYFUNCTION("VLOOKUP(A145,IMPORTRANGE(""1QZ5UxyNCwadreQAXnQ7oCoH982DjIA-QnZdO7ZoqkC0/edit#gid=884617569"",""S1 Totals!$A$2:$O$255""),3,FALSE)"),0.803030303030303)</f>
        <v>0.803030303</v>
      </c>
      <c r="F145" s="108">
        <f t="shared" si="1"/>
        <v>-0.09848484848</v>
      </c>
      <c r="G145" s="16">
        <f>IFERROR(__xludf.DUMMYFUNCTION("VLOOKUP(A145,IMPORTRANGE(""1QZ5UxyNCwadreQAXnQ7oCoH982DjIA-QnZdO7ZoqkC0/edit#gid=884617569"",""S1 Totals!$A$2:$O$255""),4,FALSE)"),37.0)</f>
        <v>37</v>
      </c>
      <c r="H145" s="15">
        <f>IFERROR(__xludf.DUMMYFUNCTION("VLOOKUP(A145,IMPORTRANGE(""1QZ5UxyNCwadreQAXnQ7oCoH982DjIA-QnZdO7ZoqkC0/edit#gid=884617569"",""S1 Totals!$A$2:$O$255""),5,FALSE)"),0.7872340425531915)</f>
        <v>0.7872340426</v>
      </c>
      <c r="I145" s="108">
        <f t="shared" si="2"/>
        <v>-0.08268858801</v>
      </c>
      <c r="J145" s="16">
        <f>IFERROR(__xludf.DUMMYFUNCTION("VLOOKUP(A145,IMPORTRANGE(""1QZ5UxyNCwadreQAXnQ7oCoH982DjIA-QnZdO7ZoqkC0/edit#gid=884617569"",""S1 Totals!$A$2:$O$255""),7,FALSE)"),33.5)</f>
        <v>33.5</v>
      </c>
      <c r="K145" s="15">
        <f>IFERROR(__xludf.DUMMYFUNCTION("VLOOKUP(A145,IMPORTRANGE(""1QZ5UxyNCwadreQAXnQ7oCoH982DjIA-QnZdO7ZoqkC0/edit#gid=884617569"",""S1 Totals!$A$2:$O$255""),8,FALSE)"),0.6836734693877551)</f>
        <v>0.6836734694</v>
      </c>
      <c r="L145" s="109">
        <f t="shared" si="3"/>
        <v>0.1193568336</v>
      </c>
      <c r="M145" s="16">
        <f>IFERROR(__xludf.DUMMYFUNCTION("VLOOKUP(A145,IMPORTRANGE(""1QZ5UxyNCwadreQAXnQ7oCoH982DjIA-QnZdO7ZoqkC0/edit#gid=884617569"",""S1 Totals!$A$2:$O$255""),10,FALSE)"),2.0)</f>
        <v>2</v>
      </c>
      <c r="N145" s="15">
        <f>IFERROR(__xludf.DUMMYFUNCTION("VLOOKUP(A145,IMPORTRANGE(""1QZ5UxyNCwadreQAXnQ7oCoH982DjIA-QnZdO7ZoqkC0/edit#gid=884617569"",""S1 Totals!$A$2:$O$256""),11,FALSE)"),0.041666666666666664)</f>
        <v>0.04166666667</v>
      </c>
      <c r="O145" s="110">
        <f t="shared" si="25"/>
        <v>0.6628787879</v>
      </c>
      <c r="P145" s="16" t="str">
        <f>IFERROR(__xludf.DUMMYFUNCTION("VLOOKUP(A145,IMPORTRANGE(""1QZ5UxyNCwadreQAXnQ7oCoH982DjIA-QnZdO7ZoqkC0/edit#gid=884617569"",""S1 Totals!$A$2:$O$256""),13,FALSE)"),"")</f>
        <v/>
      </c>
      <c r="Q145" s="15" t="str">
        <f>IFERROR(__xludf.DUMMYFUNCTION("VLOOKUP(A145,IMPORTRANGE(""1QZ5UxyNCwadreQAXnQ7oCoH982DjIA-QnZdO7ZoqkC0/edit#gid=884617569"",""S1 Totals!$A$2:$O$256""),14,FALSE)"),"")</f>
        <v/>
      </c>
      <c r="R145" s="15">
        <f t="shared" si="26"/>
        <v>0.7045454545</v>
      </c>
    </row>
    <row r="146">
      <c r="A146" s="107" t="s">
        <v>21</v>
      </c>
      <c r="B146" s="16">
        <f>IFERROR(__xludf.DUMMYFUNCTION("VLOOKUP(A146,IMPORTRANGE(""1aFCnJY1qhIj8-JckJhDJ18aqmVo17tofpQmOjcYa3u8/edit#gid=590920912"",""S1 Totals!$A$2:$O$255""),2,FALSE)"),24.75)</f>
        <v>24.75</v>
      </c>
      <c r="C146" s="15">
        <f>IFERROR(__xludf.DUMMYFUNCTION("VLOOKUP(A146,IMPORTRANGE(""1aFCnJY1qhIj8-JckJhDJ18aqmVo17tofpQmOjcYa3u8/edit#gid=590920912"",""S1 Totals!$A$2:$O$255""),3,FALSE)"),0.75)</f>
        <v>0.75</v>
      </c>
      <c r="D146" s="16">
        <f>IFERROR(__xludf.DUMMYFUNCTION("VLOOKUP(A146,IMPORTRANGE(""1QZ5UxyNCwadreQAXnQ7oCoH982DjIA-QnZdO7ZoqkC0/edit#gid=884617569"",""S1 Totals!$A$2:$O$255""),2,FALSE)"),27.25)</f>
        <v>27.25</v>
      </c>
      <c r="E146" s="15">
        <f>IFERROR(__xludf.DUMMYFUNCTION("VLOOKUP(A146,IMPORTRANGE(""1QZ5UxyNCwadreQAXnQ7oCoH982DjIA-QnZdO7ZoqkC0/edit#gid=884617569"",""S1 Totals!$A$2:$O$255""),3,FALSE)"),0.8257575757575758)</f>
        <v>0.8257575758</v>
      </c>
      <c r="F146" s="108">
        <f t="shared" si="1"/>
        <v>-0.07575757576</v>
      </c>
      <c r="G146" s="16">
        <f>IFERROR(__xludf.DUMMYFUNCTION("VLOOKUP(A146,IMPORTRANGE(""1QZ5UxyNCwadreQAXnQ7oCoH982DjIA-QnZdO7ZoqkC0/edit#gid=884617569"",""S1 Totals!$A$2:$O$255""),4,FALSE)"),44.0)</f>
        <v>44</v>
      </c>
      <c r="H146" s="15">
        <f>IFERROR(__xludf.DUMMYFUNCTION("VLOOKUP(A146,IMPORTRANGE(""1QZ5UxyNCwadreQAXnQ7oCoH982DjIA-QnZdO7ZoqkC0/edit#gid=884617569"",""S1 Totals!$A$2:$O$255""),5,FALSE)"),0.9361702127659575)</f>
        <v>0.9361702128</v>
      </c>
      <c r="I146" s="108">
        <f t="shared" si="2"/>
        <v>-0.1861702128</v>
      </c>
      <c r="J146" s="16">
        <f>IFERROR(__xludf.DUMMYFUNCTION("VLOOKUP(A146,IMPORTRANGE(""1QZ5UxyNCwadreQAXnQ7oCoH982DjIA-QnZdO7ZoqkC0/edit#gid=884617569"",""S1 Totals!$A$2:$O$255""),7,FALSE)"),47.5)</f>
        <v>47.5</v>
      </c>
      <c r="K146" s="15">
        <f>IFERROR(__xludf.DUMMYFUNCTION("VLOOKUP(A146,IMPORTRANGE(""1QZ5UxyNCwadreQAXnQ7oCoH982DjIA-QnZdO7ZoqkC0/edit#gid=884617569"",""S1 Totals!$A$2:$O$255""),8,FALSE)"),0.9693877551020408)</f>
        <v>0.9693877551</v>
      </c>
      <c r="L146" s="109">
        <f t="shared" si="3"/>
        <v>-0.1436301793</v>
      </c>
      <c r="M146" s="16">
        <f>IFERROR(__xludf.DUMMYFUNCTION("VLOOKUP(A146,IMPORTRANGE(""1QZ5UxyNCwadreQAXnQ7oCoH982DjIA-QnZdO7ZoqkC0/edit#gid=884617569"",""S1 Totals!$A$2:$O$255""),10,FALSE)"),46.5)</f>
        <v>46.5</v>
      </c>
      <c r="N146" s="15">
        <f>IFERROR(__xludf.DUMMYFUNCTION("VLOOKUP(A146,IMPORTRANGE(""1QZ5UxyNCwadreQAXnQ7oCoH982DjIA-QnZdO7ZoqkC0/edit#gid=884617569"",""S1 Totals!$A$2:$O$256""),11,FALSE)"),0.96875)</f>
        <v>0.96875</v>
      </c>
      <c r="O146" s="110">
        <f t="shared" si="25"/>
        <v>-0.21875</v>
      </c>
      <c r="P146" s="16">
        <f>IFERROR(__xludf.DUMMYFUNCTION("VLOOKUP(A146,IMPORTRANGE(""1QZ5UxyNCwadreQAXnQ7oCoH982DjIA-QnZdO7ZoqkC0/edit#gid=884617569"",""S1 Totals!$A$2:$O$256""),13,FALSE)"),47.0)</f>
        <v>47</v>
      </c>
      <c r="Q146" s="15">
        <f>IFERROR(__xludf.DUMMYFUNCTION("VLOOKUP(A146,IMPORTRANGE(""1QZ5UxyNCwadreQAXnQ7oCoH982DjIA-QnZdO7ZoqkC0/edit#gid=884617569"",""S1 Totals!$A$2:$O$256""),14,FALSE)"),0.94)</f>
        <v>0.94</v>
      </c>
      <c r="R146" s="15">
        <f t="shared" si="26"/>
        <v>-0.19</v>
      </c>
    </row>
    <row r="147">
      <c r="A147" s="107" t="s">
        <v>183</v>
      </c>
      <c r="B147" s="16">
        <f>IFERROR(__xludf.DUMMYFUNCTION("VLOOKUP(A147,IMPORTRANGE(""1aFCnJY1qhIj8-JckJhDJ18aqmVo17tofpQmOjcYa3u8/edit#gid=590920912"",""S1 Totals!$A$2:$O$255""),2,FALSE)"),11.5)</f>
        <v>11.5</v>
      </c>
      <c r="C147" s="15">
        <f>IFERROR(__xludf.DUMMYFUNCTION("VLOOKUP(A147,IMPORTRANGE(""1aFCnJY1qhIj8-JckJhDJ18aqmVo17tofpQmOjcYa3u8/edit#gid=590920912"",""S1 Totals!$A$2:$O$255""),3,FALSE)"),0.3484848484848485)</f>
        <v>0.3484848485</v>
      </c>
      <c r="D147" s="16">
        <f>IFERROR(__xludf.DUMMYFUNCTION("VLOOKUP(A147,IMPORTRANGE(""1QZ5UxyNCwadreQAXnQ7oCoH982DjIA-QnZdO7ZoqkC0/edit#gid=884617569"",""S1 Totals!$A$2:$O$255""),2,FALSE)"),9.25)</f>
        <v>9.25</v>
      </c>
      <c r="E147" s="15">
        <f>IFERROR(__xludf.DUMMYFUNCTION("VLOOKUP(A147,IMPORTRANGE(""1QZ5UxyNCwadreQAXnQ7oCoH982DjIA-QnZdO7ZoqkC0/edit#gid=884617569"",""S1 Totals!$A$2:$O$255""),3,FALSE)"),0.2803030303030303)</f>
        <v>0.2803030303</v>
      </c>
      <c r="F147" s="108">
        <f t="shared" si="1"/>
        <v>0.06818181818</v>
      </c>
      <c r="G147" s="16">
        <f>IFERROR(__xludf.DUMMYFUNCTION("VLOOKUP(A147,IMPORTRANGE(""1QZ5UxyNCwadreQAXnQ7oCoH982DjIA-QnZdO7ZoqkC0/edit#gid=884617569"",""S1 Totals!$A$2:$O$255""),4,FALSE)"),18.5)</f>
        <v>18.5</v>
      </c>
      <c r="H147" s="15">
        <f>IFERROR(__xludf.DUMMYFUNCTION("VLOOKUP(A147,IMPORTRANGE(""1QZ5UxyNCwadreQAXnQ7oCoH982DjIA-QnZdO7ZoqkC0/edit#gid=884617569"",""S1 Totals!$A$2:$O$255""),5,FALSE)"),0.39361702127659576)</f>
        <v>0.3936170213</v>
      </c>
      <c r="I147" s="108">
        <f t="shared" si="2"/>
        <v>-0.04513217279</v>
      </c>
      <c r="J147" s="16">
        <f>IFERROR(__xludf.DUMMYFUNCTION("VLOOKUP(A147,IMPORTRANGE(""1QZ5UxyNCwadreQAXnQ7oCoH982DjIA-QnZdO7ZoqkC0/edit#gid=884617569"",""S1 Totals!$A$2:$O$255""),7,FALSE)"),18.5)</f>
        <v>18.5</v>
      </c>
      <c r="K147" s="15">
        <f>IFERROR(__xludf.DUMMYFUNCTION("VLOOKUP(A147,IMPORTRANGE(""1QZ5UxyNCwadreQAXnQ7oCoH982DjIA-QnZdO7ZoqkC0/edit#gid=884617569"",""S1 Totals!$A$2:$O$255""),8,FALSE)"),0.37755102040816324)</f>
        <v>0.3775510204</v>
      </c>
      <c r="L147" s="109">
        <f t="shared" si="3"/>
        <v>-0.09724799011</v>
      </c>
      <c r="M147" s="16"/>
      <c r="N147" s="15"/>
      <c r="O147" s="110"/>
      <c r="P147" s="16"/>
      <c r="Q147" s="15"/>
      <c r="R147" s="16"/>
    </row>
    <row r="148">
      <c r="A148" s="107" t="s">
        <v>72</v>
      </c>
      <c r="B148" s="16">
        <f>IFERROR(__xludf.DUMMYFUNCTION("VLOOKUP(A148,IMPORTRANGE(""1aFCnJY1qhIj8-JckJhDJ18aqmVo17tofpQmOjcYa3u8/edit#gid=590920912"",""S1 Totals!$A$2:$O$255""),2,FALSE)"),29.75)</f>
        <v>29.75</v>
      </c>
      <c r="C148" s="15">
        <f>IFERROR(__xludf.DUMMYFUNCTION("VLOOKUP(A148,IMPORTRANGE(""1aFCnJY1qhIj8-JckJhDJ18aqmVo17tofpQmOjcYa3u8/edit#gid=590920912"",""S1 Totals!$A$2:$O$255""),3,FALSE)"),0.9015151515151515)</f>
        <v>0.9015151515</v>
      </c>
      <c r="D148" s="16">
        <f>IFERROR(__xludf.DUMMYFUNCTION("VLOOKUP(A148,IMPORTRANGE(""1QZ5UxyNCwadreQAXnQ7oCoH982DjIA-QnZdO7ZoqkC0/edit#gid=884617569"",""S1 Totals!$A$2:$O$255""),2,FALSE)"),29.5)</f>
        <v>29.5</v>
      </c>
      <c r="E148" s="15">
        <f>IFERROR(__xludf.DUMMYFUNCTION("VLOOKUP(A148,IMPORTRANGE(""1QZ5UxyNCwadreQAXnQ7oCoH982DjIA-QnZdO7ZoqkC0/edit#gid=884617569"",""S1 Totals!$A$2:$O$255""),3,FALSE)"),0.8939393939393939)</f>
        <v>0.8939393939</v>
      </c>
      <c r="F148" s="108">
        <f t="shared" si="1"/>
        <v>0.007575757576</v>
      </c>
      <c r="G148" s="16">
        <f>IFERROR(__xludf.DUMMYFUNCTION("VLOOKUP(A148,IMPORTRANGE(""1QZ5UxyNCwadreQAXnQ7oCoH982DjIA-QnZdO7ZoqkC0/edit#gid=884617569"",""S1 Totals!$A$2:$O$255""),4,FALSE)"),40.5)</f>
        <v>40.5</v>
      </c>
      <c r="H148" s="15">
        <f>IFERROR(__xludf.DUMMYFUNCTION("VLOOKUP(A148,IMPORTRANGE(""1QZ5UxyNCwadreQAXnQ7oCoH982DjIA-QnZdO7ZoqkC0/edit#gid=884617569"",""S1 Totals!$A$2:$O$255""),5,FALSE)"),0.8617021276595744)</f>
        <v>0.8617021277</v>
      </c>
      <c r="I148" s="108">
        <f t="shared" si="2"/>
        <v>0.03981302386</v>
      </c>
      <c r="J148" s="16">
        <f>IFERROR(__xludf.DUMMYFUNCTION("VLOOKUP(A148,IMPORTRANGE(""1QZ5UxyNCwadreQAXnQ7oCoH982DjIA-QnZdO7ZoqkC0/edit#gid=884617569"",""S1 Totals!$A$2:$O$255""),7,FALSE)"),43.0)</f>
        <v>43</v>
      </c>
      <c r="K148" s="15">
        <f>IFERROR(__xludf.DUMMYFUNCTION("VLOOKUP(A148,IMPORTRANGE(""1QZ5UxyNCwadreQAXnQ7oCoH982DjIA-QnZdO7ZoqkC0/edit#gid=884617569"",""S1 Totals!$A$2:$O$255""),8,FALSE)"),0.8775510204081632)</f>
        <v>0.8775510204</v>
      </c>
      <c r="L148" s="109">
        <f t="shared" si="3"/>
        <v>0.01638837353</v>
      </c>
      <c r="M148" s="16">
        <f>IFERROR(__xludf.DUMMYFUNCTION("VLOOKUP(A148,IMPORTRANGE(""1QZ5UxyNCwadreQAXnQ7oCoH982DjIA-QnZdO7ZoqkC0/edit#gid=884617569"",""S1 Totals!$A$2:$O$255""),10,FALSE)"),42.0)</f>
        <v>42</v>
      </c>
      <c r="N148" s="15">
        <f>IFERROR(__xludf.DUMMYFUNCTION("VLOOKUP(A148,IMPORTRANGE(""1QZ5UxyNCwadreQAXnQ7oCoH982DjIA-QnZdO7ZoqkC0/edit#gid=884617569"",""S1 Totals!$A$2:$O$256""),11,FALSE)"),0.875)</f>
        <v>0.875</v>
      </c>
      <c r="O148" s="110">
        <f t="shared" ref="O148:O151" si="27">C148-N148</f>
        <v>0.02651515152</v>
      </c>
      <c r="P148" s="16">
        <f>IFERROR(__xludf.DUMMYFUNCTION("VLOOKUP(A148,IMPORTRANGE(""1QZ5UxyNCwadreQAXnQ7oCoH982DjIA-QnZdO7ZoqkC0/edit#gid=884617569"",""S1 Totals!$A$2:$O$256""),13,FALSE)"),43.0)</f>
        <v>43</v>
      </c>
      <c r="Q148" s="15">
        <f>IFERROR(__xludf.DUMMYFUNCTION("VLOOKUP(A148,IMPORTRANGE(""1QZ5UxyNCwadreQAXnQ7oCoH982DjIA-QnZdO7ZoqkC0/edit#gid=884617569"",""S1 Totals!$A$2:$O$256""),14,FALSE)"),0.86)</f>
        <v>0.86</v>
      </c>
      <c r="R148" s="15">
        <f t="shared" ref="R148:R151" si="28">C148-Q148</f>
        <v>0.04151515152</v>
      </c>
    </row>
    <row r="149">
      <c r="A149" s="107" t="s">
        <v>73</v>
      </c>
      <c r="B149" s="16">
        <f>IFERROR(__xludf.DUMMYFUNCTION("VLOOKUP(A149,IMPORTRANGE(""1aFCnJY1qhIj8-JckJhDJ18aqmVo17tofpQmOjcYa3u8/edit#gid=590920912"",""S1 Totals!$A$2:$O$255""),2,FALSE)"),15.0)</f>
        <v>15</v>
      </c>
      <c r="C149" s="15">
        <f>IFERROR(__xludf.DUMMYFUNCTION("VLOOKUP(A149,IMPORTRANGE(""1aFCnJY1qhIj8-JckJhDJ18aqmVo17tofpQmOjcYa3u8/edit#gid=590920912"",""S1 Totals!$A$2:$O$255""),3,FALSE)"),0.45454545454545453)</f>
        <v>0.4545454545</v>
      </c>
      <c r="D149" s="16">
        <f>IFERROR(__xludf.DUMMYFUNCTION("VLOOKUP(A149,IMPORTRANGE(""1QZ5UxyNCwadreQAXnQ7oCoH982DjIA-QnZdO7ZoqkC0/edit#gid=884617569"",""S1 Totals!$A$2:$O$255""),2,FALSE)"),15.0)</f>
        <v>15</v>
      </c>
      <c r="E149" s="15">
        <f>IFERROR(__xludf.DUMMYFUNCTION("VLOOKUP(A149,IMPORTRANGE(""1QZ5UxyNCwadreQAXnQ7oCoH982DjIA-QnZdO7ZoqkC0/edit#gid=884617569"",""S1 Totals!$A$2:$O$255""),3,FALSE)"),0.45454545454545453)</f>
        <v>0.4545454545</v>
      </c>
      <c r="F149" s="108">
        <f t="shared" si="1"/>
        <v>0</v>
      </c>
      <c r="G149" s="16">
        <f>IFERROR(__xludf.DUMMYFUNCTION("VLOOKUP(A149,IMPORTRANGE(""1QZ5UxyNCwadreQAXnQ7oCoH982DjIA-QnZdO7ZoqkC0/edit#gid=884617569"",""S1 Totals!$A$2:$O$255""),4,FALSE)"),19.0)</f>
        <v>19</v>
      </c>
      <c r="H149" s="15">
        <f>IFERROR(__xludf.DUMMYFUNCTION("VLOOKUP(A149,IMPORTRANGE(""1QZ5UxyNCwadreQAXnQ7oCoH982DjIA-QnZdO7ZoqkC0/edit#gid=884617569"",""S1 Totals!$A$2:$O$255""),5,FALSE)"),0.40425531914893614)</f>
        <v>0.4042553191</v>
      </c>
      <c r="I149" s="108">
        <f t="shared" si="2"/>
        <v>0.0502901354</v>
      </c>
      <c r="J149" s="16">
        <f>IFERROR(__xludf.DUMMYFUNCTION("VLOOKUP(A149,IMPORTRANGE(""1QZ5UxyNCwadreQAXnQ7oCoH982DjIA-QnZdO7ZoqkC0/edit#gid=884617569"",""S1 Totals!$A$2:$O$255""),7,FALSE)"),12.0)</f>
        <v>12</v>
      </c>
      <c r="K149" s="15">
        <f>IFERROR(__xludf.DUMMYFUNCTION("VLOOKUP(A149,IMPORTRANGE(""1QZ5UxyNCwadreQAXnQ7oCoH982DjIA-QnZdO7ZoqkC0/edit#gid=884617569"",""S1 Totals!$A$2:$O$255""),8,FALSE)"),0.24489795918367346)</f>
        <v>0.2448979592</v>
      </c>
      <c r="L149" s="109">
        <f t="shared" si="3"/>
        <v>0.2096474954</v>
      </c>
      <c r="M149" s="16">
        <f>IFERROR(__xludf.DUMMYFUNCTION("VLOOKUP(A149,IMPORTRANGE(""1QZ5UxyNCwadreQAXnQ7oCoH982DjIA-QnZdO7ZoqkC0/edit#gid=884617569"",""S1 Totals!$A$2:$O$255""),10,FALSE)"),6.5)</f>
        <v>6.5</v>
      </c>
      <c r="N149" s="15">
        <f>IFERROR(__xludf.DUMMYFUNCTION("VLOOKUP(A149,IMPORTRANGE(""1QZ5UxyNCwadreQAXnQ7oCoH982DjIA-QnZdO7ZoqkC0/edit#gid=884617569"",""S1 Totals!$A$2:$O$256""),11,FALSE)"),0.13541666666666666)</f>
        <v>0.1354166667</v>
      </c>
      <c r="O149" s="110">
        <f t="shared" si="27"/>
        <v>0.3191287879</v>
      </c>
      <c r="P149" s="16">
        <f>IFERROR(__xludf.DUMMYFUNCTION("VLOOKUP(A149,IMPORTRANGE(""1QZ5UxyNCwadreQAXnQ7oCoH982DjIA-QnZdO7ZoqkC0/edit#gid=884617569"",""S1 Totals!$A$2:$O$256""),13,FALSE)"),0.5)</f>
        <v>0.5</v>
      </c>
      <c r="Q149" s="15">
        <f>IFERROR(__xludf.DUMMYFUNCTION("VLOOKUP(A149,IMPORTRANGE(""1QZ5UxyNCwadreQAXnQ7oCoH982DjIA-QnZdO7ZoqkC0/edit#gid=884617569"",""S1 Totals!$A$2:$O$256""),14,FALSE)"),0.01)</f>
        <v>0.01</v>
      </c>
      <c r="R149" s="15">
        <f t="shared" si="28"/>
        <v>0.4445454545</v>
      </c>
    </row>
    <row r="150">
      <c r="A150" s="117" t="s">
        <v>276</v>
      </c>
      <c r="B150" s="16" t="str">
        <f>IFERROR(__xludf.DUMMYFUNCTION("VLOOKUP(A150,IMPORTRANGE(""1aFCnJY1qhIj8-JckJhDJ18aqmVo17tofpQmOjcYa3u8/edit#gid=590920912"",""S1 Totals!$A$2:$O$255""),2,FALSE)"),"#N/A")</f>
        <v>#N/A</v>
      </c>
      <c r="C150" s="15" t="str">
        <f>IFERROR(__xludf.DUMMYFUNCTION("VLOOKUP(A150,IMPORTRANGE(""1aFCnJY1qhIj8-JckJhDJ18aqmVo17tofpQmOjcYa3u8/edit#gid=590920912"",""S1 Totals!$A$2:$O$255""),3,FALSE)"),"#N/A")</f>
        <v>#N/A</v>
      </c>
      <c r="D150" s="16" t="str">
        <f>IFERROR(__xludf.DUMMYFUNCTION("VLOOKUP(A150,IMPORTRANGE(""1QZ5UxyNCwadreQAXnQ7oCoH982DjIA-QnZdO7ZoqkC0/edit#gid=884617569"",""S1 Totals!$A$2:$O$255""),2,FALSE)"),"#N/A")</f>
        <v>#N/A</v>
      </c>
      <c r="E150" s="15" t="str">
        <f>IFERROR(__xludf.DUMMYFUNCTION("VLOOKUP(A150,IMPORTRANGE(""1QZ5UxyNCwadreQAXnQ7oCoH982DjIA-QnZdO7ZoqkC0/edit#gid=884617569"",""S1 Totals!$A$2:$O$255""),3,FALSE)"),"#N/A")</f>
        <v>#N/A</v>
      </c>
      <c r="F150" s="112" t="str">
        <f t="shared" si="1"/>
        <v>#N/A</v>
      </c>
      <c r="G150" s="16" t="str">
        <f>IFERROR(__xludf.DUMMYFUNCTION("VLOOKUP(A150,IMPORTRANGE(""1QZ5UxyNCwadreQAXnQ7oCoH982DjIA-QnZdO7ZoqkC0/edit#gid=884617569"",""S1 Totals!$A$2:$O$255""),4,FALSE)"),"#N/A")</f>
        <v>#N/A</v>
      </c>
      <c r="H150" s="15" t="str">
        <f>IFERROR(__xludf.DUMMYFUNCTION("VLOOKUP(A150,IMPORTRANGE(""1QZ5UxyNCwadreQAXnQ7oCoH982DjIA-QnZdO7ZoqkC0/edit#gid=884617569"",""S1 Totals!$A$2:$O$255""),5,FALSE)"),"#N/A")</f>
        <v>#N/A</v>
      </c>
      <c r="I150" s="108" t="str">
        <f t="shared" si="2"/>
        <v>#N/A</v>
      </c>
      <c r="J150" s="16" t="str">
        <f>IFERROR(__xludf.DUMMYFUNCTION("VLOOKUP(A150,IMPORTRANGE(""1QZ5UxyNCwadreQAXnQ7oCoH982DjIA-QnZdO7ZoqkC0/edit#gid=884617569"",""S1 Totals!$A$2:$O$255""),7,FALSE)"),"#N/A")</f>
        <v>#N/A</v>
      </c>
      <c r="K150" s="15" t="str">
        <f>IFERROR(__xludf.DUMMYFUNCTION("VLOOKUP(A150,IMPORTRANGE(""1QZ5UxyNCwadreQAXnQ7oCoH982DjIA-QnZdO7ZoqkC0/edit#gid=884617569"",""S1 Totals!$A$2:$O$255""),8,FALSE)"),"#N/A")</f>
        <v>#N/A</v>
      </c>
      <c r="L150" s="113" t="str">
        <f t="shared" si="3"/>
        <v>#N/A</v>
      </c>
      <c r="M150" s="16" t="str">
        <f>IFERROR(__xludf.DUMMYFUNCTION("VLOOKUP(A150,IMPORTRANGE(""1QZ5UxyNCwadreQAXnQ7oCoH982DjIA-QnZdO7ZoqkC0/edit#gid=884617569"",""S1 Totals!$A$2:$O$255""),10,FALSE)"),"#N/A")</f>
        <v>#N/A</v>
      </c>
      <c r="N150" s="15" t="str">
        <f>IFERROR(__xludf.DUMMYFUNCTION("VLOOKUP(A150,IMPORTRANGE(""1QZ5UxyNCwadreQAXnQ7oCoH982DjIA-QnZdO7ZoqkC0/edit#gid=884617569"",""S1 Totals!$A$2:$O$256""),11,FALSE)"),"#N/A")</f>
        <v>#N/A</v>
      </c>
      <c r="O150" s="110" t="str">
        <f t="shared" si="27"/>
        <v>#N/A</v>
      </c>
      <c r="P150" s="16" t="str">
        <f>IFERROR(__xludf.DUMMYFUNCTION("VLOOKUP(A150,IMPORTRANGE(""1QZ5UxyNCwadreQAXnQ7oCoH982DjIA-QnZdO7ZoqkC0/edit#gid=884617569"",""S1 Totals!$A$2:$O$256""),13,FALSE)"),"#N/A")</f>
        <v>#N/A</v>
      </c>
      <c r="Q150" s="15" t="str">
        <f>IFERROR(__xludf.DUMMYFUNCTION("VLOOKUP(A150,IMPORTRANGE(""1QZ5UxyNCwadreQAXnQ7oCoH982DjIA-QnZdO7ZoqkC0/edit#gid=884617569"",""S1 Totals!$A$2:$O$256""),14,FALSE)"),"#N/A")</f>
        <v>#N/A</v>
      </c>
      <c r="R150" s="16" t="str">
        <f t="shared" si="28"/>
        <v>#N/A</v>
      </c>
    </row>
    <row r="151">
      <c r="A151" s="107" t="s">
        <v>139</v>
      </c>
      <c r="B151" s="16">
        <f>IFERROR(__xludf.DUMMYFUNCTION("VLOOKUP(A151,IMPORTRANGE(""1aFCnJY1qhIj8-JckJhDJ18aqmVo17tofpQmOjcYa3u8/edit#gid=590920912"",""S1 Totals!$A$2:$O$255""),2,FALSE)"),0.5)</f>
        <v>0.5</v>
      </c>
      <c r="C151" s="15">
        <f>IFERROR(__xludf.DUMMYFUNCTION("VLOOKUP(A151,IMPORTRANGE(""1aFCnJY1qhIj8-JckJhDJ18aqmVo17tofpQmOjcYa3u8/edit#gid=590920912"",""S1 Totals!$A$2:$O$255""),3,FALSE)"),0.015151515151515152)</f>
        <v>0.01515151515</v>
      </c>
      <c r="D151" s="16">
        <f>IFERROR(__xludf.DUMMYFUNCTION("VLOOKUP(A151,IMPORTRANGE(""1QZ5UxyNCwadreQAXnQ7oCoH982DjIA-QnZdO7ZoqkC0/edit#gid=884617569"",""S1 Totals!$A$2:$O$255""),2,FALSE)"),1.0)</f>
        <v>1</v>
      </c>
      <c r="E151" s="15">
        <f>IFERROR(__xludf.DUMMYFUNCTION("VLOOKUP(A151,IMPORTRANGE(""1QZ5UxyNCwadreQAXnQ7oCoH982DjIA-QnZdO7ZoqkC0/edit#gid=884617569"",""S1 Totals!$A$2:$O$255""),3,FALSE)"),0.030303030303030304)</f>
        <v>0.0303030303</v>
      </c>
      <c r="F151" s="108">
        <f t="shared" si="1"/>
        <v>-0.01515151515</v>
      </c>
      <c r="G151" s="16">
        <f>IFERROR(__xludf.DUMMYFUNCTION("VLOOKUP(A151,IMPORTRANGE(""1QZ5UxyNCwadreQAXnQ7oCoH982DjIA-QnZdO7ZoqkC0/edit#gid=884617569"",""S1 Totals!$A$2:$O$255""),4,FALSE)"),1.0)</f>
        <v>1</v>
      </c>
      <c r="H151" s="15">
        <f>IFERROR(__xludf.DUMMYFUNCTION("VLOOKUP(A151,IMPORTRANGE(""1QZ5UxyNCwadreQAXnQ7oCoH982DjIA-QnZdO7ZoqkC0/edit#gid=884617569"",""S1 Totals!$A$2:$O$255""),5,FALSE)"),0.02127659574468085)</f>
        <v>0.02127659574</v>
      </c>
      <c r="I151" s="108">
        <f t="shared" si="2"/>
        <v>-0.006125080593</v>
      </c>
      <c r="J151" s="16">
        <f>IFERROR(__xludf.DUMMYFUNCTION("VLOOKUP(A151,IMPORTRANGE(""1QZ5UxyNCwadreQAXnQ7oCoH982DjIA-QnZdO7ZoqkC0/edit#gid=884617569"",""S1 Totals!$A$2:$O$255""),7,FALSE)"),1.0)</f>
        <v>1</v>
      </c>
      <c r="K151" s="15">
        <f>IFERROR(__xludf.DUMMYFUNCTION("VLOOKUP(A151,IMPORTRANGE(""1QZ5UxyNCwadreQAXnQ7oCoH982DjIA-QnZdO7ZoqkC0/edit#gid=884617569"",""S1 Totals!$A$2:$O$255""),8,FALSE)"),0.02040816326530612)</f>
        <v>0.02040816327</v>
      </c>
      <c r="L151" s="109">
        <f t="shared" si="3"/>
        <v>0.009894867038</v>
      </c>
      <c r="M151" s="16">
        <f>IFERROR(__xludf.DUMMYFUNCTION("VLOOKUP(A151,IMPORTRANGE(""1QZ5UxyNCwadreQAXnQ7oCoH982DjIA-QnZdO7ZoqkC0/edit#gid=884617569"",""S1 Totals!$A$2:$O$255""),10,FALSE)"),1.0)</f>
        <v>1</v>
      </c>
      <c r="N151" s="15">
        <f>IFERROR(__xludf.DUMMYFUNCTION("VLOOKUP(A151,IMPORTRANGE(""1QZ5UxyNCwadreQAXnQ7oCoH982DjIA-QnZdO7ZoqkC0/edit#gid=884617569"",""S1 Totals!$A$2:$O$256""),11,FALSE)"),0.020833333333333332)</f>
        <v>0.02083333333</v>
      </c>
      <c r="O151" s="110">
        <f t="shared" si="27"/>
        <v>-0.005681818182</v>
      </c>
      <c r="P151" s="16" t="str">
        <f>IFERROR(__xludf.DUMMYFUNCTION("VLOOKUP(A151,IMPORTRANGE(""1QZ5UxyNCwadreQAXnQ7oCoH982DjIA-QnZdO7ZoqkC0/edit#gid=884617569"",""S1 Totals!$A$2:$O$256""),13,FALSE)"),"")</f>
        <v/>
      </c>
      <c r="Q151" s="15" t="str">
        <f>IFERROR(__xludf.DUMMYFUNCTION("VLOOKUP(A151,IMPORTRANGE(""1QZ5UxyNCwadreQAXnQ7oCoH982DjIA-QnZdO7ZoqkC0/edit#gid=884617569"",""S1 Totals!$A$2:$O$256""),14,FALSE)"),"")</f>
        <v/>
      </c>
      <c r="R151" s="15">
        <f t="shared" si="28"/>
        <v>0.01515151515</v>
      </c>
    </row>
    <row r="152">
      <c r="A152" s="107" t="s">
        <v>184</v>
      </c>
      <c r="B152" s="16">
        <f>IFERROR(__xludf.DUMMYFUNCTION("VLOOKUP(A152,IMPORTRANGE(""1aFCnJY1qhIj8-JckJhDJ18aqmVo17tofpQmOjcYa3u8/edit#gid=590920912"",""S1 Totals!$A$2:$O$255""),2,FALSE)"),9.25)</f>
        <v>9.25</v>
      </c>
      <c r="C152" s="15">
        <f>IFERROR(__xludf.DUMMYFUNCTION("VLOOKUP(A152,IMPORTRANGE(""1aFCnJY1qhIj8-JckJhDJ18aqmVo17tofpQmOjcYa3u8/edit#gid=590920912"",""S1 Totals!$A$2:$O$255""),3,FALSE)"),0.2803030303030303)</f>
        <v>0.2803030303</v>
      </c>
      <c r="D152" s="16">
        <f>IFERROR(__xludf.DUMMYFUNCTION("VLOOKUP(A152,IMPORTRANGE(""1QZ5UxyNCwadreQAXnQ7oCoH982DjIA-QnZdO7ZoqkC0/edit#gid=884617569"",""S1 Totals!$A$2:$O$255""),2,FALSE)"),13.0)</f>
        <v>13</v>
      </c>
      <c r="E152" s="15">
        <f>IFERROR(__xludf.DUMMYFUNCTION("VLOOKUP(A152,IMPORTRANGE(""1QZ5UxyNCwadreQAXnQ7oCoH982DjIA-QnZdO7ZoqkC0/edit#gid=884617569"",""S1 Totals!$A$2:$O$255""),3,FALSE)"),0.3939393939393939)</f>
        <v>0.3939393939</v>
      </c>
      <c r="F152" s="108">
        <f t="shared" si="1"/>
        <v>-0.1136363636</v>
      </c>
      <c r="G152" s="16">
        <f>IFERROR(__xludf.DUMMYFUNCTION("VLOOKUP(A152,IMPORTRANGE(""1QZ5UxyNCwadreQAXnQ7oCoH982DjIA-QnZdO7ZoqkC0/edit#gid=884617569"",""S1 Totals!$A$2:$O$255""),4,FALSE)"),18.5)</f>
        <v>18.5</v>
      </c>
      <c r="H152" s="15">
        <f>IFERROR(__xludf.DUMMYFUNCTION("VLOOKUP(A152,IMPORTRANGE(""1QZ5UxyNCwadreQAXnQ7oCoH982DjIA-QnZdO7ZoqkC0/edit#gid=884617569"",""S1 Totals!$A$2:$O$255""),5,FALSE)"),0.39361702127659576)</f>
        <v>0.3936170213</v>
      </c>
      <c r="I152" s="108">
        <f t="shared" si="2"/>
        <v>-0.113313991</v>
      </c>
      <c r="J152" s="16">
        <f>IFERROR(__xludf.DUMMYFUNCTION("VLOOKUP(A152,IMPORTRANGE(""1QZ5UxyNCwadreQAXnQ7oCoH982DjIA-QnZdO7ZoqkC0/edit#gid=884617569"",""S1 Totals!$A$2:$O$255""),7,FALSE)"),17.5)</f>
        <v>17.5</v>
      </c>
      <c r="K152" s="15">
        <f>IFERROR(__xludf.DUMMYFUNCTION("VLOOKUP(A152,IMPORTRANGE(""1QZ5UxyNCwadreQAXnQ7oCoH982DjIA-QnZdO7ZoqkC0/edit#gid=884617569"",""S1 Totals!$A$2:$O$255""),8,FALSE)"),0.35714285714285715)</f>
        <v>0.3571428571</v>
      </c>
      <c r="L152" s="109">
        <f t="shared" si="3"/>
        <v>0.0367965368</v>
      </c>
      <c r="M152" s="16"/>
      <c r="N152" s="15"/>
      <c r="O152" s="110"/>
      <c r="P152" s="16"/>
      <c r="Q152" s="15"/>
      <c r="R152" s="16"/>
    </row>
    <row r="153">
      <c r="A153" s="107" t="s">
        <v>185</v>
      </c>
      <c r="B153" s="16">
        <f>IFERROR(__xludf.DUMMYFUNCTION("VLOOKUP(A153,IMPORTRANGE(""1aFCnJY1qhIj8-JckJhDJ18aqmVo17tofpQmOjcYa3u8/edit#gid=590920912"",""S1 Totals!$A$2:$O$255""),2,FALSE)"),0.0)</f>
        <v>0</v>
      </c>
      <c r="C153" s="15">
        <f>IFERROR(__xludf.DUMMYFUNCTION("VLOOKUP(A153,IMPORTRANGE(""1aFCnJY1qhIj8-JckJhDJ18aqmVo17tofpQmOjcYa3u8/edit#gid=590920912"",""S1 Totals!$A$2:$O$255""),3,FALSE)"),0.0)</f>
        <v>0</v>
      </c>
      <c r="D153" s="16">
        <f>IFERROR(__xludf.DUMMYFUNCTION("VLOOKUP(A153,IMPORTRANGE(""1QZ5UxyNCwadreQAXnQ7oCoH982DjIA-QnZdO7ZoqkC0/edit#gid=884617569"",""S1 Totals!$A$2:$O$255""),2,FALSE)"),0.0)</f>
        <v>0</v>
      </c>
      <c r="E153" s="15">
        <f>IFERROR(__xludf.DUMMYFUNCTION("VLOOKUP(A153,IMPORTRANGE(""1QZ5UxyNCwadreQAXnQ7oCoH982DjIA-QnZdO7ZoqkC0/edit#gid=884617569"",""S1 Totals!$A$2:$O$255""),3,FALSE)"),0.0)</f>
        <v>0</v>
      </c>
      <c r="F153" s="108">
        <f t="shared" si="1"/>
        <v>0</v>
      </c>
      <c r="G153" s="16">
        <f>IFERROR(__xludf.DUMMYFUNCTION("VLOOKUP(A153,IMPORTRANGE(""1QZ5UxyNCwadreQAXnQ7oCoH982DjIA-QnZdO7ZoqkC0/edit#gid=884617569"",""S1 Totals!$A$2:$O$255""),4,FALSE)"),0.0)</f>
        <v>0</v>
      </c>
      <c r="H153" s="15">
        <f>IFERROR(__xludf.DUMMYFUNCTION("VLOOKUP(A153,IMPORTRANGE(""1QZ5UxyNCwadreQAXnQ7oCoH982DjIA-QnZdO7ZoqkC0/edit#gid=884617569"",""S1 Totals!$A$2:$O$255""),5,FALSE)"),0.0)</f>
        <v>0</v>
      </c>
      <c r="I153" s="108">
        <f t="shared" si="2"/>
        <v>0</v>
      </c>
      <c r="J153" s="16">
        <f>IFERROR(__xludf.DUMMYFUNCTION("VLOOKUP(A153,IMPORTRANGE(""1QZ5UxyNCwadreQAXnQ7oCoH982DjIA-QnZdO7ZoqkC0/edit#gid=884617569"",""S1 Totals!$A$2:$O$255""),7,FALSE)"),0.5)</f>
        <v>0.5</v>
      </c>
      <c r="K153" s="15">
        <f>IFERROR(__xludf.DUMMYFUNCTION("VLOOKUP(A153,IMPORTRANGE(""1QZ5UxyNCwadreQAXnQ7oCoH982DjIA-QnZdO7ZoqkC0/edit#gid=884617569"",""S1 Totals!$A$2:$O$255""),8,FALSE)"),0.01020408163265306)</f>
        <v>0.01020408163</v>
      </c>
      <c r="L153" s="109">
        <f t="shared" si="3"/>
        <v>-0.01020408163</v>
      </c>
      <c r="M153" s="16"/>
      <c r="N153" s="15"/>
      <c r="O153" s="110"/>
      <c r="P153" s="16"/>
      <c r="Q153" s="15"/>
      <c r="R153" s="16"/>
    </row>
    <row r="154">
      <c r="A154" s="107" t="s">
        <v>22</v>
      </c>
      <c r="B154" s="16">
        <f>IFERROR(__xludf.DUMMYFUNCTION("VLOOKUP(A154,IMPORTRANGE(""1aFCnJY1qhIj8-JckJhDJ18aqmVo17tofpQmOjcYa3u8/edit#gid=590920912"",""S1 Totals!$A$2:$O$255""),2,FALSE)"),0.0)</f>
        <v>0</v>
      </c>
      <c r="C154" s="15">
        <f>IFERROR(__xludf.DUMMYFUNCTION("VLOOKUP(A154,IMPORTRANGE(""1aFCnJY1qhIj8-JckJhDJ18aqmVo17tofpQmOjcYa3u8/edit#gid=590920912"",""S1 Totals!$A$2:$O$255""),3,FALSE)"),0.0)</f>
        <v>0</v>
      </c>
      <c r="D154" s="16">
        <f>IFERROR(__xludf.DUMMYFUNCTION("VLOOKUP(A154,IMPORTRANGE(""1QZ5UxyNCwadreQAXnQ7oCoH982DjIA-QnZdO7ZoqkC0/edit#gid=884617569"",""S1 Totals!$A$2:$O$255""),2,FALSE)"),0.0)</f>
        <v>0</v>
      </c>
      <c r="E154" s="15">
        <f>IFERROR(__xludf.DUMMYFUNCTION("VLOOKUP(A154,IMPORTRANGE(""1QZ5UxyNCwadreQAXnQ7oCoH982DjIA-QnZdO7ZoqkC0/edit#gid=884617569"",""S1 Totals!$A$2:$O$255""),3,FALSE)"),0.0)</f>
        <v>0</v>
      </c>
      <c r="F154" s="108">
        <f t="shared" si="1"/>
        <v>0</v>
      </c>
      <c r="G154" s="16">
        <f>IFERROR(__xludf.DUMMYFUNCTION("VLOOKUP(A154,IMPORTRANGE(""1QZ5UxyNCwadreQAXnQ7oCoH982DjIA-QnZdO7ZoqkC0/edit#gid=884617569"",""S1 Totals!$A$2:$O$255""),4,FALSE)"),0.0)</f>
        <v>0</v>
      </c>
      <c r="H154" s="15">
        <f>IFERROR(__xludf.DUMMYFUNCTION("VLOOKUP(A154,IMPORTRANGE(""1QZ5UxyNCwadreQAXnQ7oCoH982DjIA-QnZdO7ZoqkC0/edit#gid=884617569"",""S1 Totals!$A$2:$O$255""),5,FALSE)"),0.0)</f>
        <v>0</v>
      </c>
      <c r="I154" s="108">
        <f t="shared" si="2"/>
        <v>0</v>
      </c>
      <c r="J154" s="16">
        <f>IFERROR(__xludf.DUMMYFUNCTION("VLOOKUP(A154,IMPORTRANGE(""1QZ5UxyNCwadreQAXnQ7oCoH982DjIA-QnZdO7ZoqkC0/edit#gid=884617569"",""S1 Totals!$A$2:$O$255""),7,FALSE)"),0.0)</f>
        <v>0</v>
      </c>
      <c r="K154" s="15">
        <f>IFERROR(__xludf.DUMMYFUNCTION("VLOOKUP(A154,IMPORTRANGE(""1QZ5UxyNCwadreQAXnQ7oCoH982DjIA-QnZdO7ZoqkC0/edit#gid=884617569"",""S1 Totals!$A$2:$O$255""),8,FALSE)"),0.0)</f>
        <v>0</v>
      </c>
      <c r="L154" s="109">
        <f t="shared" si="3"/>
        <v>0</v>
      </c>
      <c r="M154" s="16">
        <f>IFERROR(__xludf.DUMMYFUNCTION("VLOOKUP(A154,IMPORTRANGE(""1QZ5UxyNCwadreQAXnQ7oCoH982DjIA-QnZdO7ZoqkC0/edit#gid=884617569"",""S1 Totals!$A$2:$O$255""),10,FALSE)"),0.0)</f>
        <v>0</v>
      </c>
      <c r="N154" s="15">
        <f>IFERROR(__xludf.DUMMYFUNCTION("VLOOKUP(A154,IMPORTRANGE(""1QZ5UxyNCwadreQAXnQ7oCoH982DjIA-QnZdO7ZoqkC0/edit#gid=884617569"",""S1 Totals!$A$2:$O$256""),11,FALSE)"),0.0)</f>
        <v>0</v>
      </c>
      <c r="O154" s="110">
        <f t="shared" ref="O154:O156" si="29">C154-N154</f>
        <v>0</v>
      </c>
      <c r="P154" s="16">
        <f>IFERROR(__xludf.DUMMYFUNCTION("VLOOKUP(A154,IMPORTRANGE(""1QZ5UxyNCwadreQAXnQ7oCoH982DjIA-QnZdO7ZoqkC0/edit#gid=884617569"",""S1 Totals!$A$2:$O$256""),13,FALSE)"),14.5)</f>
        <v>14.5</v>
      </c>
      <c r="Q154" s="15">
        <f>IFERROR(__xludf.DUMMYFUNCTION("VLOOKUP(A154,IMPORTRANGE(""1QZ5UxyNCwadreQAXnQ7oCoH982DjIA-QnZdO7ZoqkC0/edit#gid=884617569"",""S1 Totals!$A$2:$O$256""),14,FALSE)"),0.29)</f>
        <v>0.29</v>
      </c>
      <c r="R154" s="15">
        <f t="shared" ref="R154:R156" si="30">C154-Q154</f>
        <v>-0.29</v>
      </c>
    </row>
    <row r="155">
      <c r="A155" s="107" t="s">
        <v>100</v>
      </c>
      <c r="B155" s="16">
        <f>IFERROR(__xludf.DUMMYFUNCTION("VLOOKUP(A155,IMPORTRANGE(""1aFCnJY1qhIj8-JckJhDJ18aqmVo17tofpQmOjcYa3u8/edit#gid=590920912"",""S1 Totals!$A$2:$O$255""),2,FALSE)"),17.0)</f>
        <v>17</v>
      </c>
      <c r="C155" s="15">
        <f>IFERROR(__xludf.DUMMYFUNCTION("VLOOKUP(A155,IMPORTRANGE(""1aFCnJY1qhIj8-JckJhDJ18aqmVo17tofpQmOjcYa3u8/edit#gid=590920912"",""S1 Totals!$A$2:$O$255""),3,FALSE)"),0.5151515151515151)</f>
        <v>0.5151515152</v>
      </c>
      <c r="D155" s="16">
        <f>IFERROR(__xludf.DUMMYFUNCTION("VLOOKUP(A155,IMPORTRANGE(""1QZ5UxyNCwadreQAXnQ7oCoH982DjIA-QnZdO7ZoqkC0/edit#gid=884617569"",""S1 Totals!$A$2:$O$255""),2,FALSE)"),19.0)</f>
        <v>19</v>
      </c>
      <c r="E155" s="15">
        <f>IFERROR(__xludf.DUMMYFUNCTION("VLOOKUP(A155,IMPORTRANGE(""1QZ5UxyNCwadreQAXnQ7oCoH982DjIA-QnZdO7ZoqkC0/edit#gid=884617569"",""S1 Totals!$A$2:$O$255""),3,FALSE)"),0.5757575757575758)</f>
        <v>0.5757575758</v>
      </c>
      <c r="F155" s="108">
        <f t="shared" si="1"/>
        <v>-0.06060606061</v>
      </c>
      <c r="G155" s="16">
        <f>IFERROR(__xludf.DUMMYFUNCTION("VLOOKUP(A155,IMPORTRANGE(""1QZ5UxyNCwadreQAXnQ7oCoH982DjIA-QnZdO7ZoqkC0/edit#gid=884617569"",""S1 Totals!$A$2:$O$255""),4,FALSE)"),11.0)</f>
        <v>11</v>
      </c>
      <c r="H155" s="15">
        <f>IFERROR(__xludf.DUMMYFUNCTION("VLOOKUP(A155,IMPORTRANGE(""1QZ5UxyNCwadreQAXnQ7oCoH982DjIA-QnZdO7ZoqkC0/edit#gid=884617569"",""S1 Totals!$A$2:$O$255""),5,FALSE)"),0.23404255319148937)</f>
        <v>0.2340425532</v>
      </c>
      <c r="I155" s="108">
        <f t="shared" si="2"/>
        <v>0.281108962</v>
      </c>
      <c r="J155" s="16">
        <f>IFERROR(__xludf.DUMMYFUNCTION("VLOOKUP(A155,IMPORTRANGE(""1QZ5UxyNCwadreQAXnQ7oCoH982DjIA-QnZdO7ZoqkC0/edit#gid=884617569"",""S1 Totals!$A$2:$O$255""),7,FALSE)"),11.0)</f>
        <v>11</v>
      </c>
      <c r="K155" s="15">
        <f>IFERROR(__xludf.DUMMYFUNCTION("VLOOKUP(A155,IMPORTRANGE(""1QZ5UxyNCwadreQAXnQ7oCoH982DjIA-QnZdO7ZoqkC0/edit#gid=884617569"",""S1 Totals!$A$2:$O$255""),8,FALSE)"),0.22448979591836735)</f>
        <v>0.2244897959</v>
      </c>
      <c r="L155" s="109">
        <f t="shared" si="3"/>
        <v>0.3512677798</v>
      </c>
      <c r="M155" s="16">
        <f>IFERROR(__xludf.DUMMYFUNCTION("VLOOKUP(A155,IMPORTRANGE(""1QZ5UxyNCwadreQAXnQ7oCoH982DjIA-QnZdO7ZoqkC0/edit#gid=884617569"",""S1 Totals!$A$2:$O$255""),10,FALSE)"),9.5)</f>
        <v>9.5</v>
      </c>
      <c r="N155" s="15">
        <f>IFERROR(__xludf.DUMMYFUNCTION("VLOOKUP(A155,IMPORTRANGE(""1QZ5UxyNCwadreQAXnQ7oCoH982DjIA-QnZdO7ZoqkC0/edit#gid=884617569"",""S1 Totals!$A$2:$O$256""),11,FALSE)"),0.19791666666666666)</f>
        <v>0.1979166667</v>
      </c>
      <c r="O155" s="110">
        <f t="shared" si="29"/>
        <v>0.3172348485</v>
      </c>
      <c r="P155" s="16">
        <f>IFERROR(__xludf.DUMMYFUNCTION("VLOOKUP(A155,IMPORTRANGE(""1QZ5UxyNCwadreQAXnQ7oCoH982DjIA-QnZdO7ZoqkC0/edit#gid=884617569"",""S1 Totals!$A$2:$O$256""),13,FALSE)"),10.0)</f>
        <v>10</v>
      </c>
      <c r="Q155" s="15">
        <f>IFERROR(__xludf.DUMMYFUNCTION("VLOOKUP(A155,IMPORTRANGE(""1QZ5UxyNCwadreQAXnQ7oCoH982DjIA-QnZdO7ZoqkC0/edit#gid=884617569"",""S1 Totals!$A$2:$O$256""),14,FALSE)"),0.2)</f>
        <v>0.2</v>
      </c>
      <c r="R155" s="15">
        <f t="shared" si="30"/>
        <v>0.3151515152</v>
      </c>
    </row>
    <row r="156">
      <c r="A156" s="107" t="s">
        <v>76</v>
      </c>
      <c r="B156" s="16">
        <f>IFERROR(__xludf.DUMMYFUNCTION("VLOOKUP(A156,IMPORTRANGE(""1aFCnJY1qhIj8-JckJhDJ18aqmVo17tofpQmOjcYa3u8/edit#gid=590920912"",""S1 Totals!$A$2:$O$255""),2,FALSE)"),14.25)</f>
        <v>14.25</v>
      </c>
      <c r="C156" s="15">
        <f>IFERROR(__xludf.DUMMYFUNCTION("VLOOKUP(A156,IMPORTRANGE(""1aFCnJY1qhIj8-JckJhDJ18aqmVo17tofpQmOjcYa3u8/edit#gid=590920912"",""S1 Totals!$A$2:$O$255""),3,FALSE)"),0.4318181818181818)</f>
        <v>0.4318181818</v>
      </c>
      <c r="D156" s="16">
        <f>IFERROR(__xludf.DUMMYFUNCTION("VLOOKUP(A156,IMPORTRANGE(""1QZ5UxyNCwadreQAXnQ7oCoH982DjIA-QnZdO7ZoqkC0/edit#gid=884617569"",""S1 Totals!$A$2:$O$255""),2,FALSE)"),16.0)</f>
        <v>16</v>
      </c>
      <c r="E156" s="15">
        <f>IFERROR(__xludf.DUMMYFUNCTION("VLOOKUP(A156,IMPORTRANGE(""1QZ5UxyNCwadreQAXnQ7oCoH982DjIA-QnZdO7ZoqkC0/edit#gid=884617569"",""S1 Totals!$A$2:$O$255""),3,FALSE)"),0.48484848484848486)</f>
        <v>0.4848484848</v>
      </c>
      <c r="F156" s="108">
        <f t="shared" si="1"/>
        <v>-0.05303030303</v>
      </c>
      <c r="G156" s="16">
        <f>IFERROR(__xludf.DUMMYFUNCTION("VLOOKUP(A156,IMPORTRANGE(""1QZ5UxyNCwadreQAXnQ7oCoH982DjIA-QnZdO7ZoqkC0/edit#gid=884617569"",""S1 Totals!$A$2:$O$255""),4,FALSE)"),27.5)</f>
        <v>27.5</v>
      </c>
      <c r="H156" s="15">
        <f>IFERROR(__xludf.DUMMYFUNCTION("VLOOKUP(A156,IMPORTRANGE(""1QZ5UxyNCwadreQAXnQ7oCoH982DjIA-QnZdO7ZoqkC0/edit#gid=884617569"",""S1 Totals!$A$2:$O$255""),5,FALSE)"),0.5851063829787234)</f>
        <v>0.585106383</v>
      </c>
      <c r="I156" s="108">
        <f t="shared" si="2"/>
        <v>-0.1532882012</v>
      </c>
      <c r="J156" s="16">
        <f>IFERROR(__xludf.DUMMYFUNCTION("VLOOKUP(A156,IMPORTRANGE(""1QZ5UxyNCwadreQAXnQ7oCoH982DjIA-QnZdO7ZoqkC0/edit#gid=884617569"",""S1 Totals!$A$2:$O$255""),7,FALSE)"),29.0)</f>
        <v>29</v>
      </c>
      <c r="K156" s="15">
        <f>IFERROR(__xludf.DUMMYFUNCTION("VLOOKUP(A156,IMPORTRANGE(""1QZ5UxyNCwadreQAXnQ7oCoH982DjIA-QnZdO7ZoqkC0/edit#gid=884617569"",""S1 Totals!$A$2:$O$255""),8,FALSE)"),0.5918367346938775)</f>
        <v>0.5918367347</v>
      </c>
      <c r="L156" s="109">
        <f t="shared" si="3"/>
        <v>-0.1069882498</v>
      </c>
      <c r="M156" s="16">
        <f>IFERROR(__xludf.DUMMYFUNCTION("VLOOKUP(A156,IMPORTRANGE(""1QZ5UxyNCwadreQAXnQ7oCoH982DjIA-QnZdO7ZoqkC0/edit#gid=884617569"",""S1 Totals!$A$2:$O$255""),10,FALSE)"),27.0)</f>
        <v>27</v>
      </c>
      <c r="N156" s="15">
        <f>IFERROR(__xludf.DUMMYFUNCTION("VLOOKUP(A156,IMPORTRANGE(""1QZ5UxyNCwadreQAXnQ7oCoH982DjIA-QnZdO7ZoqkC0/edit#gid=884617569"",""S1 Totals!$A$2:$O$256""),11,FALSE)"),0.5625)</f>
        <v>0.5625</v>
      </c>
      <c r="O156" s="110">
        <f t="shared" si="29"/>
        <v>-0.1306818182</v>
      </c>
      <c r="P156" s="16">
        <f>IFERROR(__xludf.DUMMYFUNCTION("VLOOKUP(A156,IMPORTRANGE(""1QZ5UxyNCwadreQAXnQ7oCoH982DjIA-QnZdO7ZoqkC0/edit#gid=884617569"",""S1 Totals!$A$2:$O$256""),13,FALSE)"),16.0)</f>
        <v>16</v>
      </c>
      <c r="Q156" s="15">
        <f>IFERROR(__xludf.DUMMYFUNCTION("VLOOKUP(A156,IMPORTRANGE(""1QZ5UxyNCwadreQAXnQ7oCoH982DjIA-QnZdO7ZoqkC0/edit#gid=884617569"",""S1 Totals!$A$2:$O$256""),14,FALSE)"),0.32)</f>
        <v>0.32</v>
      </c>
      <c r="R156" s="15">
        <f t="shared" si="30"/>
        <v>0.1118181818</v>
      </c>
    </row>
    <row r="157">
      <c r="A157" s="107" t="s">
        <v>186</v>
      </c>
      <c r="B157" s="16">
        <f>IFERROR(__xludf.DUMMYFUNCTION("VLOOKUP(A157,IMPORTRANGE(""1aFCnJY1qhIj8-JckJhDJ18aqmVo17tofpQmOjcYa3u8/edit#gid=590920912"",""S1 Totals!$A$2:$O$255""),2,FALSE)"),21.0)</f>
        <v>21</v>
      </c>
      <c r="C157" s="15">
        <f>IFERROR(__xludf.DUMMYFUNCTION("VLOOKUP(A157,IMPORTRANGE(""1aFCnJY1qhIj8-JckJhDJ18aqmVo17tofpQmOjcYa3u8/edit#gid=590920912"",""S1 Totals!$A$2:$O$255""),3,FALSE)"),0.6363636363636364)</f>
        <v>0.6363636364</v>
      </c>
      <c r="D157" s="16">
        <f>IFERROR(__xludf.DUMMYFUNCTION("VLOOKUP(A157,IMPORTRANGE(""1QZ5UxyNCwadreQAXnQ7oCoH982DjIA-QnZdO7ZoqkC0/edit#gid=884617569"",""S1 Totals!$A$2:$O$255""),2,FALSE)"),17.75)</f>
        <v>17.75</v>
      </c>
      <c r="E157" s="15">
        <f>IFERROR(__xludf.DUMMYFUNCTION("VLOOKUP(A157,IMPORTRANGE(""1QZ5UxyNCwadreQAXnQ7oCoH982DjIA-QnZdO7ZoqkC0/edit#gid=884617569"",""S1 Totals!$A$2:$O$255""),3,FALSE)"),0.5378787878787878)</f>
        <v>0.5378787879</v>
      </c>
      <c r="F157" s="108">
        <f t="shared" si="1"/>
        <v>0.09848484848</v>
      </c>
      <c r="G157" s="16">
        <f>IFERROR(__xludf.DUMMYFUNCTION("VLOOKUP(A157,IMPORTRANGE(""1QZ5UxyNCwadreQAXnQ7oCoH982DjIA-QnZdO7ZoqkC0/edit#gid=884617569"",""S1 Totals!$A$2:$O$255""),4,FALSE)"),30.0)</f>
        <v>30</v>
      </c>
      <c r="H157" s="15">
        <f>IFERROR(__xludf.DUMMYFUNCTION("VLOOKUP(A157,IMPORTRANGE(""1QZ5UxyNCwadreQAXnQ7oCoH982DjIA-QnZdO7ZoqkC0/edit#gid=884617569"",""S1 Totals!$A$2:$O$255""),5,FALSE)"),0.6382978723404256)</f>
        <v>0.6382978723</v>
      </c>
      <c r="I157" s="108">
        <f t="shared" si="2"/>
        <v>-0.001934235977</v>
      </c>
      <c r="J157" s="16">
        <f>IFERROR(__xludf.DUMMYFUNCTION("VLOOKUP(A157,IMPORTRANGE(""1QZ5UxyNCwadreQAXnQ7oCoH982DjIA-QnZdO7ZoqkC0/edit#gid=884617569"",""S1 Totals!$A$2:$O$255""),7,FALSE)"),25.5)</f>
        <v>25.5</v>
      </c>
      <c r="K157" s="15">
        <f>IFERROR(__xludf.DUMMYFUNCTION("VLOOKUP(A157,IMPORTRANGE(""1QZ5UxyNCwadreQAXnQ7oCoH982DjIA-QnZdO7ZoqkC0/edit#gid=884617569"",""S1 Totals!$A$2:$O$255""),8,FALSE)"),0.5204081632653061)</f>
        <v>0.5204081633</v>
      </c>
      <c r="L157" s="109">
        <f t="shared" si="3"/>
        <v>0.01747062461</v>
      </c>
      <c r="M157" s="16"/>
      <c r="N157" s="15"/>
      <c r="O157" s="110"/>
      <c r="P157" s="16"/>
      <c r="Q157" s="15"/>
      <c r="R157" s="16"/>
    </row>
    <row r="158">
      <c r="A158" s="107" t="s">
        <v>187</v>
      </c>
      <c r="B158" s="16">
        <f>IFERROR(__xludf.DUMMYFUNCTION("VLOOKUP(A158,IMPORTRANGE(""1aFCnJY1qhIj8-JckJhDJ18aqmVo17tofpQmOjcYa3u8/edit#gid=590920912"",""S1 Totals!$A$2:$O$255""),2,FALSE)"),16.0)</f>
        <v>16</v>
      </c>
      <c r="C158" s="15">
        <f>IFERROR(__xludf.DUMMYFUNCTION("VLOOKUP(A158,IMPORTRANGE(""1aFCnJY1qhIj8-JckJhDJ18aqmVo17tofpQmOjcYa3u8/edit#gid=590920912"",""S1 Totals!$A$2:$O$255""),3,FALSE)"),0.48484848484848486)</f>
        <v>0.4848484848</v>
      </c>
      <c r="D158" s="16">
        <f>IFERROR(__xludf.DUMMYFUNCTION("VLOOKUP(A158,IMPORTRANGE(""1QZ5UxyNCwadreQAXnQ7oCoH982DjIA-QnZdO7ZoqkC0/edit#gid=884617569"",""S1 Totals!$A$2:$O$255""),2,FALSE)"),22.75)</f>
        <v>22.75</v>
      </c>
      <c r="E158" s="15">
        <f>IFERROR(__xludf.DUMMYFUNCTION("VLOOKUP(A158,IMPORTRANGE(""1QZ5UxyNCwadreQAXnQ7oCoH982DjIA-QnZdO7ZoqkC0/edit#gid=884617569"",""S1 Totals!$A$2:$O$255""),3,FALSE)"),0.6893939393939394)</f>
        <v>0.6893939394</v>
      </c>
      <c r="F158" s="108">
        <f t="shared" si="1"/>
        <v>-0.2045454545</v>
      </c>
      <c r="G158" s="16">
        <f>IFERROR(__xludf.DUMMYFUNCTION("VLOOKUP(A158,IMPORTRANGE(""1QZ5UxyNCwadreQAXnQ7oCoH982DjIA-QnZdO7ZoqkC0/edit#gid=884617569"",""S1 Totals!$A$2:$O$255""),4,FALSE)"),31.0)</f>
        <v>31</v>
      </c>
      <c r="H158" s="15">
        <f>IFERROR(__xludf.DUMMYFUNCTION("VLOOKUP(A158,IMPORTRANGE(""1QZ5UxyNCwadreQAXnQ7oCoH982DjIA-QnZdO7ZoqkC0/edit#gid=884617569"",""S1 Totals!$A$2:$O$255""),5,FALSE)"),0.6595744680851063)</f>
        <v>0.6595744681</v>
      </c>
      <c r="I158" s="108">
        <f t="shared" si="2"/>
        <v>-0.1747259832</v>
      </c>
      <c r="J158" s="16">
        <f>IFERROR(__xludf.DUMMYFUNCTION("VLOOKUP(A158,IMPORTRANGE(""1QZ5UxyNCwadreQAXnQ7oCoH982DjIA-QnZdO7ZoqkC0/edit#gid=884617569"",""S1 Totals!$A$2:$O$255""),7,FALSE)"),30.0)</f>
        <v>30</v>
      </c>
      <c r="K158" s="15">
        <f>IFERROR(__xludf.DUMMYFUNCTION("VLOOKUP(A158,IMPORTRANGE(""1QZ5UxyNCwadreQAXnQ7oCoH982DjIA-QnZdO7ZoqkC0/edit#gid=884617569"",""S1 Totals!$A$2:$O$255""),8,FALSE)"),0.6122448979591837)</f>
        <v>0.612244898</v>
      </c>
      <c r="L158" s="109">
        <f t="shared" si="3"/>
        <v>0.07714904143</v>
      </c>
      <c r="M158" s="16"/>
      <c r="N158" s="15"/>
      <c r="O158" s="110"/>
      <c r="P158" s="16"/>
      <c r="Q158" s="15"/>
      <c r="R158" s="16"/>
    </row>
    <row r="159">
      <c r="A159" s="107" t="s">
        <v>140</v>
      </c>
      <c r="B159" s="16">
        <f>IFERROR(__xludf.DUMMYFUNCTION("VLOOKUP(A159,IMPORTRANGE(""1aFCnJY1qhIj8-JckJhDJ18aqmVo17tofpQmOjcYa3u8/edit#gid=590920912"",""S1 Totals!$A$2:$O$255""),2,FALSE)"),20.25)</f>
        <v>20.25</v>
      </c>
      <c r="C159" s="15">
        <f>IFERROR(__xludf.DUMMYFUNCTION("VLOOKUP(A159,IMPORTRANGE(""1aFCnJY1qhIj8-JckJhDJ18aqmVo17tofpQmOjcYa3u8/edit#gid=590920912"",""S1 Totals!$A$2:$O$255""),3,FALSE)"),0.6136363636363636)</f>
        <v>0.6136363636</v>
      </c>
      <c r="D159" s="16">
        <f>IFERROR(__xludf.DUMMYFUNCTION("VLOOKUP(A159,IMPORTRANGE(""1QZ5UxyNCwadreQAXnQ7oCoH982DjIA-QnZdO7ZoqkC0/edit#gid=884617569"",""S1 Totals!$A$2:$O$255""),2,FALSE)"),24.0)</f>
        <v>24</v>
      </c>
      <c r="E159" s="15">
        <f>IFERROR(__xludf.DUMMYFUNCTION("VLOOKUP(A159,IMPORTRANGE(""1QZ5UxyNCwadreQAXnQ7oCoH982DjIA-QnZdO7ZoqkC0/edit#gid=884617569"",""S1 Totals!$A$2:$O$255""),3,FALSE)"),0.7272727272727273)</f>
        <v>0.7272727273</v>
      </c>
      <c r="F159" s="108">
        <f t="shared" si="1"/>
        <v>-0.1136363636</v>
      </c>
      <c r="G159" s="16">
        <f>IFERROR(__xludf.DUMMYFUNCTION("VLOOKUP(A159,IMPORTRANGE(""1QZ5UxyNCwadreQAXnQ7oCoH982DjIA-QnZdO7ZoqkC0/edit#gid=884617569"",""S1 Totals!$A$2:$O$255""),4,FALSE)"),36.0)</f>
        <v>36</v>
      </c>
      <c r="H159" s="15">
        <f>IFERROR(__xludf.DUMMYFUNCTION("VLOOKUP(A159,IMPORTRANGE(""1QZ5UxyNCwadreQAXnQ7oCoH982DjIA-QnZdO7ZoqkC0/edit#gid=884617569"",""S1 Totals!$A$2:$O$255""),5,FALSE)"),0.7659574468085106)</f>
        <v>0.7659574468</v>
      </c>
      <c r="I159" s="108">
        <f t="shared" si="2"/>
        <v>-0.1523210832</v>
      </c>
      <c r="J159" s="16">
        <f>IFERROR(__xludf.DUMMYFUNCTION("VLOOKUP(A159,IMPORTRANGE(""1QZ5UxyNCwadreQAXnQ7oCoH982DjIA-QnZdO7ZoqkC0/edit#gid=884617569"",""S1 Totals!$A$2:$O$255""),7,FALSE)"),32.0)</f>
        <v>32</v>
      </c>
      <c r="K159" s="15">
        <f>IFERROR(__xludf.DUMMYFUNCTION("VLOOKUP(A159,IMPORTRANGE(""1QZ5UxyNCwadreQAXnQ7oCoH982DjIA-QnZdO7ZoqkC0/edit#gid=884617569"",""S1 Totals!$A$2:$O$255""),8,FALSE)"),0.6530612244897959)</f>
        <v>0.6530612245</v>
      </c>
      <c r="L159" s="109">
        <f t="shared" si="3"/>
        <v>0.07421150278</v>
      </c>
      <c r="M159" s="16">
        <f>IFERROR(__xludf.DUMMYFUNCTION("VLOOKUP(A159,IMPORTRANGE(""1QZ5UxyNCwadreQAXnQ7oCoH982DjIA-QnZdO7ZoqkC0/edit#gid=884617569"",""S1 Totals!$A$2:$O$255""),10,FALSE)"),23.5)</f>
        <v>23.5</v>
      </c>
      <c r="N159" s="15">
        <f>IFERROR(__xludf.DUMMYFUNCTION("VLOOKUP(A159,IMPORTRANGE(""1QZ5UxyNCwadreQAXnQ7oCoH982DjIA-QnZdO7ZoqkC0/edit#gid=884617569"",""S1 Totals!$A$2:$O$256""),11,FALSE)"),0.4895833333333333)</f>
        <v>0.4895833333</v>
      </c>
      <c r="O159" s="110">
        <f>C159-N159</f>
        <v>0.1240530303</v>
      </c>
      <c r="P159" s="16" t="str">
        <f>IFERROR(__xludf.DUMMYFUNCTION("VLOOKUP(A159,IMPORTRANGE(""1QZ5UxyNCwadreQAXnQ7oCoH982DjIA-QnZdO7ZoqkC0/edit#gid=884617569"",""S1 Totals!$A$2:$O$256""),13,FALSE)"),"")</f>
        <v/>
      </c>
      <c r="Q159" s="15" t="str">
        <f>IFERROR(__xludf.DUMMYFUNCTION("VLOOKUP(A159,IMPORTRANGE(""1QZ5UxyNCwadreQAXnQ7oCoH982DjIA-QnZdO7ZoqkC0/edit#gid=884617569"",""S1 Totals!$A$2:$O$256""),14,FALSE)"),"")</f>
        <v/>
      </c>
      <c r="R159" s="15">
        <f>C159-Q159</f>
        <v>0.6136363636</v>
      </c>
    </row>
    <row r="160">
      <c r="A160" s="107" t="s">
        <v>244</v>
      </c>
      <c r="B160" s="16">
        <f>IFERROR(__xludf.DUMMYFUNCTION("VLOOKUP(A160,IMPORTRANGE(""1aFCnJY1qhIj8-JckJhDJ18aqmVo17tofpQmOjcYa3u8/edit#gid=590920912"",""S1 Totals!$A$2:$O$255""),2,FALSE)"),15.75)</f>
        <v>15.75</v>
      </c>
      <c r="C160" s="15">
        <f>IFERROR(__xludf.DUMMYFUNCTION("VLOOKUP(A160,IMPORTRANGE(""1aFCnJY1qhIj8-JckJhDJ18aqmVo17tofpQmOjcYa3u8/edit#gid=590920912"",""S1 Totals!$A$2:$O$255""),3,FALSE)"),0.4772727272727273)</f>
        <v>0.4772727273</v>
      </c>
      <c r="D160" s="16">
        <f>IFERROR(__xludf.DUMMYFUNCTION("VLOOKUP(A160,IMPORTRANGE(""1QZ5UxyNCwadreQAXnQ7oCoH982DjIA-QnZdO7ZoqkC0/edit#gid=884617569"",""S1 Totals!$A$2:$O$255""),2,FALSE)"),18.75)</f>
        <v>18.75</v>
      </c>
      <c r="E160" s="15">
        <f>IFERROR(__xludf.DUMMYFUNCTION("VLOOKUP(A160,IMPORTRANGE(""1QZ5UxyNCwadreQAXnQ7oCoH982DjIA-QnZdO7ZoqkC0/edit#gid=884617569"",""S1 Totals!$A$2:$O$255""),3,FALSE)"),0.5681818181818182)</f>
        <v>0.5681818182</v>
      </c>
      <c r="F160" s="108">
        <f t="shared" si="1"/>
        <v>-0.09090909091</v>
      </c>
      <c r="G160" s="16">
        <f>IFERROR(__xludf.DUMMYFUNCTION("VLOOKUP(A160,IMPORTRANGE(""1QZ5UxyNCwadreQAXnQ7oCoH982DjIA-QnZdO7ZoqkC0/edit#gid=884617569"",""S1 Totals!$A$2:$O$255""),4,FALSE)"),24.5)</f>
        <v>24.5</v>
      </c>
      <c r="H160" s="15">
        <f>IFERROR(__xludf.DUMMYFUNCTION("VLOOKUP(A160,IMPORTRANGE(""1QZ5UxyNCwadreQAXnQ7oCoH982DjIA-QnZdO7ZoqkC0/edit#gid=884617569"",""S1 Totals!$A$2:$O$255""),5,FALSE)"),0.5212765957446809)</f>
        <v>0.5212765957</v>
      </c>
      <c r="I160" s="108">
        <f t="shared" si="2"/>
        <v>-0.04400386847</v>
      </c>
      <c r="J160" s="16" t="str">
        <f>IFERROR(__xludf.DUMMYFUNCTION("VLOOKUP(A160,IMPORTRANGE(""1QZ5UxyNCwadreQAXnQ7oCoH982DjIA-QnZdO7ZoqkC0/edit#gid=884617569"",""S1 Totals!$A$2:$O$255""),7,FALSE)"),"")</f>
        <v/>
      </c>
      <c r="K160" s="15" t="str">
        <f>IFERROR(__xludf.DUMMYFUNCTION("VLOOKUP(A160,IMPORTRANGE(""1QZ5UxyNCwadreQAXnQ7oCoH982DjIA-QnZdO7ZoqkC0/edit#gid=884617569"",""S1 Totals!$A$2:$O$255""),8,FALSE)"),"")</f>
        <v/>
      </c>
      <c r="L160" s="109">
        <f t="shared" si="3"/>
        <v>0.5681818182</v>
      </c>
      <c r="M160" s="16"/>
      <c r="N160" s="15"/>
      <c r="O160" s="110"/>
      <c r="P160" s="16"/>
      <c r="Q160" s="15"/>
      <c r="R160" s="16"/>
    </row>
    <row r="161">
      <c r="A161" s="107" t="s">
        <v>188</v>
      </c>
      <c r="B161" s="16">
        <f>IFERROR(__xludf.DUMMYFUNCTION("VLOOKUP(A161,IMPORTRANGE(""1aFCnJY1qhIj8-JckJhDJ18aqmVo17tofpQmOjcYa3u8/edit#gid=590920912"",""S1 Totals!$A$2:$O$255""),2,FALSE)"),13.25)</f>
        <v>13.25</v>
      </c>
      <c r="C161" s="15">
        <f>IFERROR(__xludf.DUMMYFUNCTION("VLOOKUP(A161,IMPORTRANGE(""1aFCnJY1qhIj8-JckJhDJ18aqmVo17tofpQmOjcYa3u8/edit#gid=590920912"",""S1 Totals!$A$2:$O$255""),3,FALSE)"),0.4015151515151515)</f>
        <v>0.4015151515</v>
      </c>
      <c r="D161" s="16">
        <f>IFERROR(__xludf.DUMMYFUNCTION("VLOOKUP(A161,IMPORTRANGE(""1QZ5UxyNCwadreQAXnQ7oCoH982DjIA-QnZdO7ZoqkC0/edit#gid=884617569"",""S1 Totals!$A$2:$O$255""),2,FALSE)"),14.25)</f>
        <v>14.25</v>
      </c>
      <c r="E161" s="15">
        <f>IFERROR(__xludf.DUMMYFUNCTION("VLOOKUP(A161,IMPORTRANGE(""1QZ5UxyNCwadreQAXnQ7oCoH982DjIA-QnZdO7ZoqkC0/edit#gid=884617569"",""S1 Totals!$A$2:$O$255""),3,FALSE)"),0.4318181818181818)</f>
        <v>0.4318181818</v>
      </c>
      <c r="F161" s="108">
        <f t="shared" si="1"/>
        <v>-0.0303030303</v>
      </c>
      <c r="G161" s="16">
        <f>IFERROR(__xludf.DUMMYFUNCTION("VLOOKUP(A161,IMPORTRANGE(""1QZ5UxyNCwadreQAXnQ7oCoH982DjIA-QnZdO7ZoqkC0/edit#gid=884617569"",""S1 Totals!$A$2:$O$255""),4,FALSE)"),23.5)</f>
        <v>23.5</v>
      </c>
      <c r="H161" s="15">
        <f>IFERROR(__xludf.DUMMYFUNCTION("VLOOKUP(A161,IMPORTRANGE(""1QZ5UxyNCwadreQAXnQ7oCoH982DjIA-QnZdO7ZoqkC0/edit#gid=884617569"",""S1 Totals!$A$2:$O$255""),5,FALSE)"),0.5)</f>
        <v>0.5</v>
      </c>
      <c r="I161" s="108">
        <f t="shared" si="2"/>
        <v>-0.09848484848</v>
      </c>
      <c r="J161" s="16">
        <f>IFERROR(__xludf.DUMMYFUNCTION("VLOOKUP(A161,IMPORTRANGE(""1QZ5UxyNCwadreQAXnQ7oCoH982DjIA-QnZdO7ZoqkC0/edit#gid=884617569"",""S1 Totals!$A$2:$O$255""),7,FALSE)"),23.5)</f>
        <v>23.5</v>
      </c>
      <c r="K161" s="15">
        <f>IFERROR(__xludf.DUMMYFUNCTION("VLOOKUP(A161,IMPORTRANGE(""1QZ5UxyNCwadreQAXnQ7oCoH982DjIA-QnZdO7ZoqkC0/edit#gid=884617569"",""S1 Totals!$A$2:$O$255""),8,FALSE)"),0.47959183673469385)</f>
        <v>0.4795918367</v>
      </c>
      <c r="L161" s="109">
        <f t="shared" si="3"/>
        <v>-0.04777365492</v>
      </c>
      <c r="M161" s="16"/>
      <c r="N161" s="15"/>
      <c r="O161" s="110"/>
      <c r="P161" s="16"/>
      <c r="Q161" s="15"/>
      <c r="R161" s="16"/>
    </row>
    <row r="162">
      <c r="A162" s="107" t="s">
        <v>189</v>
      </c>
      <c r="B162" s="16">
        <f>IFERROR(__xludf.DUMMYFUNCTION("VLOOKUP(A162,IMPORTRANGE(""1aFCnJY1qhIj8-JckJhDJ18aqmVo17tofpQmOjcYa3u8/edit#gid=590920912"",""S1 Totals!$A$2:$O$255""),2,FALSE)"),21.25)</f>
        <v>21.25</v>
      </c>
      <c r="C162" s="15">
        <f>IFERROR(__xludf.DUMMYFUNCTION("VLOOKUP(A162,IMPORTRANGE(""1aFCnJY1qhIj8-JckJhDJ18aqmVo17tofpQmOjcYa3u8/edit#gid=590920912"",""S1 Totals!$A$2:$O$255""),3,FALSE)"),0.6439393939393939)</f>
        <v>0.6439393939</v>
      </c>
      <c r="D162" s="16">
        <f>IFERROR(__xludf.DUMMYFUNCTION("VLOOKUP(A162,IMPORTRANGE(""1QZ5UxyNCwadreQAXnQ7oCoH982DjIA-QnZdO7ZoqkC0/edit#gid=884617569"",""S1 Totals!$A$2:$O$255""),2,FALSE)"),24.75)</f>
        <v>24.75</v>
      </c>
      <c r="E162" s="15">
        <f>IFERROR(__xludf.DUMMYFUNCTION("VLOOKUP(A162,IMPORTRANGE(""1QZ5UxyNCwadreQAXnQ7oCoH982DjIA-QnZdO7ZoqkC0/edit#gid=884617569"",""S1 Totals!$A$2:$O$255""),3,FALSE)"),0.75)</f>
        <v>0.75</v>
      </c>
      <c r="F162" s="108">
        <f t="shared" si="1"/>
        <v>-0.1060606061</v>
      </c>
      <c r="G162" s="16">
        <f>IFERROR(__xludf.DUMMYFUNCTION("VLOOKUP(A162,IMPORTRANGE(""1QZ5UxyNCwadreQAXnQ7oCoH982DjIA-QnZdO7ZoqkC0/edit#gid=884617569"",""S1 Totals!$A$2:$O$255""),4,FALSE)"),16.0)</f>
        <v>16</v>
      </c>
      <c r="H162" s="15">
        <f>IFERROR(__xludf.DUMMYFUNCTION("VLOOKUP(A162,IMPORTRANGE(""1QZ5UxyNCwadreQAXnQ7oCoH982DjIA-QnZdO7ZoqkC0/edit#gid=884617569"",""S1 Totals!$A$2:$O$255""),5,FALSE)"),0.3404255319148936)</f>
        <v>0.3404255319</v>
      </c>
      <c r="I162" s="108">
        <f t="shared" si="2"/>
        <v>0.303513862</v>
      </c>
      <c r="J162" s="16">
        <f>IFERROR(__xludf.DUMMYFUNCTION("VLOOKUP(A162,IMPORTRANGE(""1QZ5UxyNCwadreQAXnQ7oCoH982DjIA-QnZdO7ZoqkC0/edit#gid=884617569"",""S1 Totals!$A$2:$O$255""),7,FALSE)"),8.0)</f>
        <v>8</v>
      </c>
      <c r="K162" s="15">
        <f>IFERROR(__xludf.DUMMYFUNCTION("VLOOKUP(A162,IMPORTRANGE(""1QZ5UxyNCwadreQAXnQ7oCoH982DjIA-QnZdO7ZoqkC0/edit#gid=884617569"",""S1 Totals!$A$2:$O$255""),8,FALSE)"),0.16326530612244897)</f>
        <v>0.1632653061</v>
      </c>
      <c r="L162" s="109">
        <f t="shared" si="3"/>
        <v>0.5867346939</v>
      </c>
      <c r="M162" s="16"/>
      <c r="N162" s="15"/>
      <c r="O162" s="110"/>
      <c r="P162" s="16"/>
      <c r="Q162" s="15"/>
      <c r="R162" s="16"/>
    </row>
    <row r="163">
      <c r="A163" s="107" t="s">
        <v>77</v>
      </c>
      <c r="B163" s="16">
        <f>IFERROR(__xludf.DUMMYFUNCTION("VLOOKUP(A163,IMPORTRANGE(""1aFCnJY1qhIj8-JckJhDJ18aqmVo17tofpQmOjcYa3u8/edit#gid=590920912"",""S1 Totals!$A$2:$O$255""),2,FALSE)"),25.5)</f>
        <v>25.5</v>
      </c>
      <c r="C163" s="15">
        <f>IFERROR(__xludf.DUMMYFUNCTION("VLOOKUP(A163,IMPORTRANGE(""1aFCnJY1qhIj8-JckJhDJ18aqmVo17tofpQmOjcYa3u8/edit#gid=590920912"",""S1 Totals!$A$2:$O$255""),3,FALSE)"),0.7727272727272727)</f>
        <v>0.7727272727</v>
      </c>
      <c r="D163" s="16">
        <f>IFERROR(__xludf.DUMMYFUNCTION("VLOOKUP(A163,IMPORTRANGE(""1QZ5UxyNCwadreQAXnQ7oCoH982DjIA-QnZdO7ZoqkC0/edit#gid=884617569"",""S1 Totals!$A$2:$O$255""),2,FALSE)"),26.75)</f>
        <v>26.75</v>
      </c>
      <c r="E163" s="15">
        <f>IFERROR(__xludf.DUMMYFUNCTION("VLOOKUP(A163,IMPORTRANGE(""1QZ5UxyNCwadreQAXnQ7oCoH982DjIA-QnZdO7ZoqkC0/edit#gid=884617569"",""S1 Totals!$A$2:$O$255""),3,FALSE)"),0.8106060606060606)</f>
        <v>0.8106060606</v>
      </c>
      <c r="F163" s="108">
        <f t="shared" si="1"/>
        <v>-0.03787878788</v>
      </c>
      <c r="G163" s="16">
        <f>IFERROR(__xludf.DUMMYFUNCTION("VLOOKUP(A163,IMPORTRANGE(""1QZ5UxyNCwadreQAXnQ7oCoH982DjIA-QnZdO7ZoqkC0/edit#gid=884617569"",""S1 Totals!$A$2:$O$255""),4,FALSE)"),36.0)</f>
        <v>36</v>
      </c>
      <c r="H163" s="15">
        <f>IFERROR(__xludf.DUMMYFUNCTION("VLOOKUP(A163,IMPORTRANGE(""1QZ5UxyNCwadreQAXnQ7oCoH982DjIA-QnZdO7ZoqkC0/edit#gid=884617569"",""S1 Totals!$A$2:$O$255""),5,FALSE)"),0.7659574468085106)</f>
        <v>0.7659574468</v>
      </c>
      <c r="I163" s="108">
        <f t="shared" si="2"/>
        <v>0.006769825919</v>
      </c>
      <c r="J163" s="16">
        <f>IFERROR(__xludf.DUMMYFUNCTION("VLOOKUP(A163,IMPORTRANGE(""1QZ5UxyNCwadreQAXnQ7oCoH982DjIA-QnZdO7ZoqkC0/edit#gid=884617569"",""S1 Totals!$A$2:$O$255""),7,FALSE)"),33.0)</f>
        <v>33</v>
      </c>
      <c r="K163" s="15">
        <f>IFERROR(__xludf.DUMMYFUNCTION("VLOOKUP(A163,IMPORTRANGE(""1QZ5UxyNCwadreQAXnQ7oCoH982DjIA-QnZdO7ZoqkC0/edit#gid=884617569"",""S1 Totals!$A$2:$O$255""),8,FALSE)"),0.673469387755102)</f>
        <v>0.6734693878</v>
      </c>
      <c r="L163" s="109">
        <f t="shared" si="3"/>
        <v>0.1371366729</v>
      </c>
      <c r="M163" s="16">
        <f>IFERROR(__xludf.DUMMYFUNCTION("VLOOKUP(A163,IMPORTRANGE(""1QZ5UxyNCwadreQAXnQ7oCoH982DjIA-QnZdO7ZoqkC0/edit#gid=884617569"",""S1 Totals!$A$2:$O$255""),10,FALSE)"),29.0)</f>
        <v>29</v>
      </c>
      <c r="N163" s="15">
        <f>IFERROR(__xludf.DUMMYFUNCTION("VLOOKUP(A163,IMPORTRANGE(""1QZ5UxyNCwadreQAXnQ7oCoH982DjIA-QnZdO7ZoqkC0/edit#gid=884617569"",""S1 Totals!$A$2:$O$256""),11,FALSE)"),0.6041666666666666)</f>
        <v>0.6041666667</v>
      </c>
      <c r="O163" s="110">
        <f t="shared" ref="O163:O170" si="31">C163-N163</f>
        <v>0.1685606061</v>
      </c>
      <c r="P163" s="16">
        <f>IFERROR(__xludf.DUMMYFUNCTION("VLOOKUP(A163,IMPORTRANGE(""1QZ5UxyNCwadreQAXnQ7oCoH982DjIA-QnZdO7ZoqkC0/edit#gid=884617569"",""S1 Totals!$A$2:$O$256""),13,FALSE)"),25.0)</f>
        <v>25</v>
      </c>
      <c r="Q163" s="15">
        <f>IFERROR(__xludf.DUMMYFUNCTION("VLOOKUP(A163,IMPORTRANGE(""1QZ5UxyNCwadreQAXnQ7oCoH982DjIA-QnZdO7ZoqkC0/edit#gid=884617569"",""S1 Totals!$A$2:$O$256""),14,FALSE)"),0.5)</f>
        <v>0.5</v>
      </c>
      <c r="R163" s="15">
        <f t="shared" ref="R163:R164" si="32">C163-Q163</f>
        <v>0.2727272727</v>
      </c>
    </row>
    <row r="164">
      <c r="A164" s="107" t="s">
        <v>78</v>
      </c>
      <c r="B164" s="16">
        <f>IFERROR(__xludf.DUMMYFUNCTION("VLOOKUP(A164,IMPORTRANGE(""1aFCnJY1qhIj8-JckJhDJ18aqmVo17tofpQmOjcYa3u8/edit#gid=590920912"",""S1 Totals!$A$2:$O$255""),2,FALSE)"),22.25)</f>
        <v>22.25</v>
      </c>
      <c r="C164" s="15">
        <f>IFERROR(__xludf.DUMMYFUNCTION("VLOOKUP(A164,IMPORTRANGE(""1aFCnJY1qhIj8-JckJhDJ18aqmVo17tofpQmOjcYa3u8/edit#gid=590920912"",""S1 Totals!$A$2:$O$255""),3,FALSE)"),0.6742424242424242)</f>
        <v>0.6742424242</v>
      </c>
      <c r="D164" s="16">
        <f>IFERROR(__xludf.DUMMYFUNCTION("VLOOKUP(A164,IMPORTRANGE(""1QZ5UxyNCwadreQAXnQ7oCoH982DjIA-QnZdO7ZoqkC0/edit#gid=884617569"",""S1 Totals!$A$2:$O$255""),2,FALSE)"),22.5)</f>
        <v>22.5</v>
      </c>
      <c r="E164" s="15">
        <f>IFERROR(__xludf.DUMMYFUNCTION("VLOOKUP(A164,IMPORTRANGE(""1QZ5UxyNCwadreQAXnQ7oCoH982DjIA-QnZdO7ZoqkC0/edit#gid=884617569"",""S1 Totals!$A$2:$O$255""),3,FALSE)"),0.6818181818181818)</f>
        <v>0.6818181818</v>
      </c>
      <c r="F164" s="108">
        <f t="shared" si="1"/>
        <v>-0.007575757576</v>
      </c>
      <c r="G164" s="16">
        <f>IFERROR(__xludf.DUMMYFUNCTION("VLOOKUP(A164,IMPORTRANGE(""1QZ5UxyNCwadreQAXnQ7oCoH982DjIA-QnZdO7ZoqkC0/edit#gid=884617569"",""S1 Totals!$A$2:$O$255""),4,FALSE)"),31.5)</f>
        <v>31.5</v>
      </c>
      <c r="H164" s="15">
        <f>IFERROR(__xludf.DUMMYFUNCTION("VLOOKUP(A164,IMPORTRANGE(""1QZ5UxyNCwadreQAXnQ7oCoH982DjIA-QnZdO7ZoqkC0/edit#gid=884617569"",""S1 Totals!$A$2:$O$255""),5,FALSE)"),0.6702127659574468)</f>
        <v>0.670212766</v>
      </c>
      <c r="I164" s="108">
        <f t="shared" si="2"/>
        <v>0.004029658285</v>
      </c>
      <c r="J164" s="16">
        <f>IFERROR(__xludf.DUMMYFUNCTION("VLOOKUP(A164,IMPORTRANGE(""1QZ5UxyNCwadreQAXnQ7oCoH982DjIA-QnZdO7ZoqkC0/edit#gid=884617569"",""S1 Totals!$A$2:$O$255""),7,FALSE)"),35.5)</f>
        <v>35.5</v>
      </c>
      <c r="K164" s="15">
        <f>IFERROR(__xludf.DUMMYFUNCTION("VLOOKUP(A164,IMPORTRANGE(""1QZ5UxyNCwadreQAXnQ7oCoH982DjIA-QnZdO7ZoqkC0/edit#gid=884617569"",""S1 Totals!$A$2:$O$255""),8,FALSE)"),0.7244897959183674)</f>
        <v>0.7244897959</v>
      </c>
      <c r="L164" s="109">
        <f t="shared" si="3"/>
        <v>-0.0426716141</v>
      </c>
      <c r="M164" s="16">
        <f>IFERROR(__xludf.DUMMYFUNCTION("VLOOKUP(A164,IMPORTRANGE(""1QZ5UxyNCwadreQAXnQ7oCoH982DjIA-QnZdO7ZoqkC0/edit#gid=884617569"",""S1 Totals!$A$2:$O$255""),10,FALSE)"),31.5)</f>
        <v>31.5</v>
      </c>
      <c r="N164" s="15">
        <f>IFERROR(__xludf.DUMMYFUNCTION("VLOOKUP(A164,IMPORTRANGE(""1QZ5UxyNCwadreQAXnQ7oCoH982DjIA-QnZdO7ZoqkC0/edit#gid=884617569"",""S1 Totals!$A$2:$O$256""),11,FALSE)"),0.65625)</f>
        <v>0.65625</v>
      </c>
      <c r="O164" s="110">
        <f t="shared" si="31"/>
        <v>0.01799242424</v>
      </c>
      <c r="P164" s="16">
        <f>IFERROR(__xludf.DUMMYFUNCTION("VLOOKUP(A164,IMPORTRANGE(""1QZ5UxyNCwadreQAXnQ7oCoH982DjIA-QnZdO7ZoqkC0/edit#gid=884617569"",""S1 Totals!$A$2:$O$256""),13,FALSE)"),29.5)</f>
        <v>29.5</v>
      </c>
      <c r="Q164" s="15">
        <f>IFERROR(__xludf.DUMMYFUNCTION("VLOOKUP(A164,IMPORTRANGE(""1QZ5UxyNCwadreQAXnQ7oCoH982DjIA-QnZdO7ZoqkC0/edit#gid=884617569"",""S1 Totals!$A$2:$O$256""),14,FALSE)"),0.59)</f>
        <v>0.59</v>
      </c>
      <c r="R164" s="15">
        <f t="shared" si="32"/>
        <v>0.08424242424</v>
      </c>
    </row>
    <row r="165">
      <c r="A165" s="107" t="s">
        <v>141</v>
      </c>
      <c r="B165" s="16">
        <f>IFERROR(__xludf.DUMMYFUNCTION("VLOOKUP(A165,IMPORTRANGE(""1aFCnJY1qhIj8-JckJhDJ18aqmVo17tofpQmOjcYa3u8/edit#gid=590920912"",""S1 Totals!$A$2:$O$255""),2,FALSE)"),0.75)</f>
        <v>0.75</v>
      </c>
      <c r="C165" s="15">
        <f>IFERROR(__xludf.DUMMYFUNCTION("VLOOKUP(A165,IMPORTRANGE(""1aFCnJY1qhIj8-JckJhDJ18aqmVo17tofpQmOjcYa3u8/edit#gid=590920912"",""S1 Totals!$A$2:$O$255""),3,FALSE)"),0.022727272727272728)</f>
        <v>0.02272727273</v>
      </c>
      <c r="D165" s="16">
        <f>IFERROR(__xludf.DUMMYFUNCTION("VLOOKUP(A165,IMPORTRANGE(""1QZ5UxyNCwadreQAXnQ7oCoH982DjIA-QnZdO7ZoqkC0/edit#gid=884617569"",""S1 Totals!$A$2:$O$255""),2,FALSE)"),1.0)</f>
        <v>1</v>
      </c>
      <c r="E165" s="15">
        <f>IFERROR(__xludf.DUMMYFUNCTION("VLOOKUP(A165,IMPORTRANGE(""1QZ5UxyNCwadreQAXnQ7oCoH982DjIA-QnZdO7ZoqkC0/edit#gid=884617569"",""S1 Totals!$A$2:$O$255""),3,FALSE)"),0.030303030303030304)</f>
        <v>0.0303030303</v>
      </c>
      <c r="F165" s="108">
        <f t="shared" si="1"/>
        <v>-0.007575757576</v>
      </c>
      <c r="G165" s="16">
        <f>IFERROR(__xludf.DUMMYFUNCTION("VLOOKUP(A165,IMPORTRANGE(""1QZ5UxyNCwadreQAXnQ7oCoH982DjIA-QnZdO7ZoqkC0/edit#gid=884617569"",""S1 Totals!$A$2:$O$255""),4,FALSE)"),1.5)</f>
        <v>1.5</v>
      </c>
      <c r="H165" s="15">
        <f>IFERROR(__xludf.DUMMYFUNCTION("VLOOKUP(A165,IMPORTRANGE(""1QZ5UxyNCwadreQAXnQ7oCoH982DjIA-QnZdO7ZoqkC0/edit#gid=884617569"",""S1 Totals!$A$2:$O$255""),5,FALSE)"),0.031914893617021274)</f>
        <v>0.03191489362</v>
      </c>
      <c r="I165" s="108">
        <f t="shared" si="2"/>
        <v>-0.00918762089</v>
      </c>
      <c r="J165" s="16">
        <f>IFERROR(__xludf.DUMMYFUNCTION("VLOOKUP(A165,IMPORTRANGE(""1QZ5UxyNCwadreQAXnQ7oCoH982DjIA-QnZdO7ZoqkC0/edit#gid=884617569"",""S1 Totals!$A$2:$O$255""),7,FALSE)"),1.5)</f>
        <v>1.5</v>
      </c>
      <c r="K165" s="15">
        <f>IFERROR(__xludf.DUMMYFUNCTION("VLOOKUP(A165,IMPORTRANGE(""1QZ5UxyNCwadreQAXnQ7oCoH982DjIA-QnZdO7ZoqkC0/edit#gid=884617569"",""S1 Totals!$A$2:$O$255""),8,FALSE)"),0.030612244897959183)</f>
        <v>0.0306122449</v>
      </c>
      <c r="L165" s="109">
        <f t="shared" si="3"/>
        <v>-0.0003092145949</v>
      </c>
      <c r="M165" s="16">
        <f>IFERROR(__xludf.DUMMYFUNCTION("VLOOKUP(A165,IMPORTRANGE(""1QZ5UxyNCwadreQAXnQ7oCoH982DjIA-QnZdO7ZoqkC0/edit#gid=884617569"",""S1 Totals!$A$2:$O$255""),10,FALSE)"),1.5)</f>
        <v>1.5</v>
      </c>
      <c r="N165" s="15">
        <f>IFERROR(__xludf.DUMMYFUNCTION("VLOOKUP(A165,IMPORTRANGE(""1QZ5UxyNCwadreQAXnQ7oCoH982DjIA-QnZdO7ZoqkC0/edit#gid=884617569"",""S1 Totals!$A$2:$O$256""),11,FALSE)"),0.03125)</f>
        <v>0.03125</v>
      </c>
      <c r="O165" s="110">
        <f t="shared" si="31"/>
        <v>-0.008522727273</v>
      </c>
      <c r="P165" s="16"/>
      <c r="Q165" s="15"/>
      <c r="R165" s="16"/>
    </row>
    <row r="166">
      <c r="A166" s="107" t="s">
        <v>79</v>
      </c>
      <c r="B166" s="16">
        <f>IFERROR(__xludf.DUMMYFUNCTION("VLOOKUP(A166,IMPORTRANGE(""1aFCnJY1qhIj8-JckJhDJ18aqmVo17tofpQmOjcYa3u8/edit#gid=590920912"",""S1 Totals!$A$2:$O$255""),2,FALSE)"),22.75)</f>
        <v>22.75</v>
      </c>
      <c r="C166" s="15">
        <f>IFERROR(__xludf.DUMMYFUNCTION("VLOOKUP(A166,IMPORTRANGE(""1aFCnJY1qhIj8-JckJhDJ18aqmVo17tofpQmOjcYa3u8/edit#gid=590920912"",""S1 Totals!$A$2:$O$255""),3,FALSE)"),0.6893939393939394)</f>
        <v>0.6893939394</v>
      </c>
      <c r="D166" s="16">
        <f>IFERROR(__xludf.DUMMYFUNCTION("VLOOKUP(A166,IMPORTRANGE(""1QZ5UxyNCwadreQAXnQ7oCoH982DjIA-QnZdO7ZoqkC0/edit#gid=884617569"",""S1 Totals!$A$2:$O$255""),2,FALSE)"),29.25)</f>
        <v>29.25</v>
      </c>
      <c r="E166" s="15">
        <f>IFERROR(__xludf.DUMMYFUNCTION("VLOOKUP(A166,IMPORTRANGE(""1QZ5UxyNCwadreQAXnQ7oCoH982DjIA-QnZdO7ZoqkC0/edit#gid=884617569"",""S1 Totals!$A$2:$O$255""),3,FALSE)"),0.8863636363636364)</f>
        <v>0.8863636364</v>
      </c>
      <c r="F166" s="108">
        <f t="shared" si="1"/>
        <v>-0.196969697</v>
      </c>
      <c r="G166" s="16">
        <f>IFERROR(__xludf.DUMMYFUNCTION("VLOOKUP(A166,IMPORTRANGE(""1QZ5UxyNCwadreQAXnQ7oCoH982DjIA-QnZdO7ZoqkC0/edit#gid=884617569"",""S1 Totals!$A$2:$O$255""),4,FALSE)"),36.5)</f>
        <v>36.5</v>
      </c>
      <c r="H166" s="15">
        <f>IFERROR(__xludf.DUMMYFUNCTION("VLOOKUP(A166,IMPORTRANGE(""1QZ5UxyNCwadreQAXnQ7oCoH982DjIA-QnZdO7ZoqkC0/edit#gid=884617569"",""S1 Totals!$A$2:$O$255""),5,FALSE)"),0.776595744680851)</f>
        <v>0.7765957447</v>
      </c>
      <c r="I166" s="108">
        <f t="shared" si="2"/>
        <v>-0.08720180529</v>
      </c>
      <c r="J166" s="16">
        <f>IFERROR(__xludf.DUMMYFUNCTION("VLOOKUP(A166,IMPORTRANGE(""1QZ5UxyNCwadreQAXnQ7oCoH982DjIA-QnZdO7ZoqkC0/edit#gid=884617569"",""S1 Totals!$A$2:$O$255""),7,FALSE)"),34.5)</f>
        <v>34.5</v>
      </c>
      <c r="K166" s="15">
        <f>IFERROR(__xludf.DUMMYFUNCTION("VLOOKUP(A166,IMPORTRANGE(""1QZ5UxyNCwadreQAXnQ7oCoH982DjIA-QnZdO7ZoqkC0/edit#gid=884617569"",""S1 Totals!$A$2:$O$255""),8,FALSE)"),0.7040816326530612)</f>
        <v>0.7040816327</v>
      </c>
      <c r="L166" s="109">
        <f t="shared" si="3"/>
        <v>0.1822820037</v>
      </c>
      <c r="M166" s="16">
        <f>IFERROR(__xludf.DUMMYFUNCTION("VLOOKUP(A166,IMPORTRANGE(""1QZ5UxyNCwadreQAXnQ7oCoH982DjIA-QnZdO7ZoqkC0/edit#gid=884617569"",""S1 Totals!$A$2:$O$255""),10,FALSE)"),33.5)</f>
        <v>33.5</v>
      </c>
      <c r="N166" s="15">
        <f>IFERROR(__xludf.DUMMYFUNCTION("VLOOKUP(A166,IMPORTRANGE(""1QZ5UxyNCwadreQAXnQ7oCoH982DjIA-QnZdO7ZoqkC0/edit#gid=884617569"",""S1 Totals!$A$2:$O$256""),11,FALSE)"),0.6979166666666666)</f>
        <v>0.6979166667</v>
      </c>
      <c r="O166" s="110">
        <f t="shared" si="31"/>
        <v>-0.008522727273</v>
      </c>
      <c r="P166" s="16">
        <f>IFERROR(__xludf.DUMMYFUNCTION("VLOOKUP(A166,IMPORTRANGE(""1QZ5UxyNCwadreQAXnQ7oCoH982DjIA-QnZdO7ZoqkC0/edit#gid=884617569"",""S1 Totals!$A$2:$O$256""),13,FALSE)"),27.0)</f>
        <v>27</v>
      </c>
      <c r="Q166" s="15">
        <f>IFERROR(__xludf.DUMMYFUNCTION("VLOOKUP(A166,IMPORTRANGE(""1QZ5UxyNCwadreQAXnQ7oCoH982DjIA-QnZdO7ZoqkC0/edit#gid=884617569"",""S1 Totals!$A$2:$O$256""),14,FALSE)"),0.54)</f>
        <v>0.54</v>
      </c>
      <c r="R166" s="15">
        <f t="shared" ref="R166:R167" si="33">C166-Q166</f>
        <v>0.1493939394</v>
      </c>
    </row>
    <row r="167">
      <c r="A167" s="107" t="s">
        <v>80</v>
      </c>
      <c r="B167" s="16">
        <f>IFERROR(__xludf.DUMMYFUNCTION("VLOOKUP(A167,IMPORTRANGE(""1aFCnJY1qhIj8-JckJhDJ18aqmVo17tofpQmOjcYa3u8/edit#gid=590920912"",""S1 Totals!$A$2:$O$255""),2,FALSE)"),30.5)</f>
        <v>30.5</v>
      </c>
      <c r="C167" s="15">
        <f>IFERROR(__xludf.DUMMYFUNCTION("VLOOKUP(A167,IMPORTRANGE(""1aFCnJY1qhIj8-JckJhDJ18aqmVo17tofpQmOjcYa3u8/edit#gid=590920912"",""S1 Totals!$A$2:$O$255""),3,FALSE)"),0.9242424242424242)</f>
        <v>0.9242424242</v>
      </c>
      <c r="D167" s="16">
        <f>IFERROR(__xludf.DUMMYFUNCTION("VLOOKUP(A167,IMPORTRANGE(""1QZ5UxyNCwadreQAXnQ7oCoH982DjIA-QnZdO7ZoqkC0/edit#gid=884617569"",""S1 Totals!$A$2:$O$255""),2,FALSE)"),30.5)</f>
        <v>30.5</v>
      </c>
      <c r="E167" s="15">
        <f>IFERROR(__xludf.DUMMYFUNCTION("VLOOKUP(A167,IMPORTRANGE(""1QZ5UxyNCwadreQAXnQ7oCoH982DjIA-QnZdO7ZoqkC0/edit#gid=884617569"",""S1 Totals!$A$2:$O$255""),3,FALSE)"),0.9242424242424242)</f>
        <v>0.9242424242</v>
      </c>
      <c r="F167" s="108">
        <f t="shared" si="1"/>
        <v>0</v>
      </c>
      <c r="G167" s="16">
        <f>IFERROR(__xludf.DUMMYFUNCTION("VLOOKUP(A167,IMPORTRANGE(""1QZ5UxyNCwadreQAXnQ7oCoH982DjIA-QnZdO7ZoqkC0/edit#gid=884617569"",""S1 Totals!$A$2:$O$255""),4,FALSE)"),43.0)</f>
        <v>43</v>
      </c>
      <c r="H167" s="15">
        <f>IFERROR(__xludf.DUMMYFUNCTION("VLOOKUP(A167,IMPORTRANGE(""1QZ5UxyNCwadreQAXnQ7oCoH982DjIA-QnZdO7ZoqkC0/edit#gid=884617569"",""S1 Totals!$A$2:$O$255""),5,FALSE)"),0.9148936170212766)</f>
        <v>0.914893617</v>
      </c>
      <c r="I167" s="108">
        <f t="shared" si="2"/>
        <v>0.009348807221</v>
      </c>
      <c r="J167" s="16">
        <f>IFERROR(__xludf.DUMMYFUNCTION("VLOOKUP(A167,IMPORTRANGE(""1QZ5UxyNCwadreQAXnQ7oCoH982DjIA-QnZdO7ZoqkC0/edit#gid=884617569"",""S1 Totals!$A$2:$O$255""),7,FALSE)"),44.0)</f>
        <v>44</v>
      </c>
      <c r="K167" s="15">
        <f>IFERROR(__xludf.DUMMYFUNCTION("VLOOKUP(A167,IMPORTRANGE(""1QZ5UxyNCwadreQAXnQ7oCoH982DjIA-QnZdO7ZoqkC0/edit#gid=884617569"",""S1 Totals!$A$2:$O$255""),8,FALSE)"),0.8979591836734694)</f>
        <v>0.8979591837</v>
      </c>
      <c r="L167" s="109">
        <f t="shared" si="3"/>
        <v>0.02628324057</v>
      </c>
      <c r="M167" s="16">
        <f>IFERROR(__xludf.DUMMYFUNCTION("VLOOKUP(A167,IMPORTRANGE(""1QZ5UxyNCwadreQAXnQ7oCoH982DjIA-QnZdO7ZoqkC0/edit#gid=884617569"",""S1 Totals!$A$2:$O$255""),10,FALSE)"),40.0)</f>
        <v>40</v>
      </c>
      <c r="N167" s="15">
        <f>IFERROR(__xludf.DUMMYFUNCTION("VLOOKUP(A167,IMPORTRANGE(""1QZ5UxyNCwadreQAXnQ7oCoH982DjIA-QnZdO7ZoqkC0/edit#gid=884617569"",""S1 Totals!$A$2:$O$256""),11,FALSE)"),0.8333333333333334)</f>
        <v>0.8333333333</v>
      </c>
      <c r="O167" s="110">
        <f t="shared" si="31"/>
        <v>0.09090909091</v>
      </c>
      <c r="P167" s="16">
        <f>IFERROR(__xludf.DUMMYFUNCTION("VLOOKUP(A167,IMPORTRANGE(""1QZ5UxyNCwadreQAXnQ7oCoH982DjIA-QnZdO7ZoqkC0/edit#gid=884617569"",""S1 Totals!$A$2:$O$256""),13,FALSE)"),38.0)</f>
        <v>38</v>
      </c>
      <c r="Q167" s="15">
        <f>IFERROR(__xludf.DUMMYFUNCTION("VLOOKUP(A167,IMPORTRANGE(""1QZ5UxyNCwadreQAXnQ7oCoH982DjIA-QnZdO7ZoqkC0/edit#gid=884617569"",""S1 Totals!$A$2:$O$256""),14,FALSE)"),0.76)</f>
        <v>0.76</v>
      </c>
      <c r="R167" s="15">
        <f t="shared" si="33"/>
        <v>0.1642424242</v>
      </c>
    </row>
    <row r="168">
      <c r="A168" s="107" t="s">
        <v>142</v>
      </c>
      <c r="B168" s="16">
        <f>IFERROR(__xludf.DUMMYFUNCTION("VLOOKUP(A168,IMPORTRANGE(""1aFCnJY1qhIj8-JckJhDJ18aqmVo17tofpQmOjcYa3u8/edit#gid=590920912"",""S1 Totals!$A$2:$O$255""),2,FALSE)"),1.5)</f>
        <v>1.5</v>
      </c>
      <c r="C168" s="15">
        <f>IFERROR(__xludf.DUMMYFUNCTION("VLOOKUP(A168,IMPORTRANGE(""1aFCnJY1qhIj8-JckJhDJ18aqmVo17tofpQmOjcYa3u8/edit#gid=590920912"",""S1 Totals!$A$2:$O$255""),3,FALSE)"),0.045454545454545456)</f>
        <v>0.04545454545</v>
      </c>
      <c r="D168" s="16">
        <f>IFERROR(__xludf.DUMMYFUNCTION("VLOOKUP(A168,IMPORTRANGE(""1QZ5UxyNCwadreQAXnQ7oCoH982DjIA-QnZdO7ZoqkC0/edit#gid=884617569"",""S1 Totals!$A$2:$O$255""),2,FALSE)"),2.5)</f>
        <v>2.5</v>
      </c>
      <c r="E168" s="15">
        <f>IFERROR(__xludf.DUMMYFUNCTION("VLOOKUP(A168,IMPORTRANGE(""1QZ5UxyNCwadreQAXnQ7oCoH982DjIA-QnZdO7ZoqkC0/edit#gid=884617569"",""S1 Totals!$A$2:$O$255""),3,FALSE)"),0.07575757575757576)</f>
        <v>0.07575757576</v>
      </c>
      <c r="F168" s="108">
        <f t="shared" si="1"/>
        <v>-0.0303030303</v>
      </c>
      <c r="G168" s="16">
        <f>IFERROR(__xludf.DUMMYFUNCTION("VLOOKUP(A168,IMPORTRANGE(""1QZ5UxyNCwadreQAXnQ7oCoH982DjIA-QnZdO7ZoqkC0/edit#gid=884617569"",""S1 Totals!$A$2:$O$255""),4,FALSE)"),3.0)</f>
        <v>3</v>
      </c>
      <c r="H168" s="15">
        <f>IFERROR(__xludf.DUMMYFUNCTION("VLOOKUP(A168,IMPORTRANGE(""1QZ5UxyNCwadreQAXnQ7oCoH982DjIA-QnZdO7ZoqkC0/edit#gid=884617569"",""S1 Totals!$A$2:$O$255""),5,FALSE)"),0.06382978723404255)</f>
        <v>0.06382978723</v>
      </c>
      <c r="I168" s="108">
        <f t="shared" si="2"/>
        <v>-0.01837524178</v>
      </c>
      <c r="J168" s="16">
        <f>IFERROR(__xludf.DUMMYFUNCTION("VLOOKUP(A168,IMPORTRANGE(""1QZ5UxyNCwadreQAXnQ7oCoH982DjIA-QnZdO7ZoqkC0/edit#gid=884617569"",""S1 Totals!$A$2:$O$255""),7,FALSE)"),4.0)</f>
        <v>4</v>
      </c>
      <c r="K168" s="15">
        <f>IFERROR(__xludf.DUMMYFUNCTION("VLOOKUP(A168,IMPORTRANGE(""1QZ5UxyNCwadreQAXnQ7oCoH982DjIA-QnZdO7ZoqkC0/edit#gid=884617569"",""S1 Totals!$A$2:$O$255""),8,FALSE)"),0.08163265306122448)</f>
        <v>0.08163265306</v>
      </c>
      <c r="L168" s="109">
        <f t="shared" si="3"/>
        <v>-0.005875077304</v>
      </c>
      <c r="M168" s="16">
        <f>IFERROR(__xludf.DUMMYFUNCTION("VLOOKUP(A168,IMPORTRANGE(""1QZ5UxyNCwadreQAXnQ7oCoH982DjIA-QnZdO7ZoqkC0/edit#gid=884617569"",""S1 Totals!$A$2:$O$255""),10,FALSE)"),0.0)</f>
        <v>0</v>
      </c>
      <c r="N168" s="15">
        <f>IFERROR(__xludf.DUMMYFUNCTION("VLOOKUP(A168,IMPORTRANGE(""1QZ5UxyNCwadreQAXnQ7oCoH982DjIA-QnZdO7ZoqkC0/edit#gid=884617569"",""S1 Totals!$A$2:$O$256""),11,FALSE)"),0.0)</f>
        <v>0</v>
      </c>
      <c r="O168" s="110">
        <f t="shared" si="31"/>
        <v>0.04545454545</v>
      </c>
      <c r="P168" s="16"/>
      <c r="Q168" s="15"/>
      <c r="R168" s="16"/>
    </row>
    <row r="169">
      <c r="A169" s="107" t="s">
        <v>82</v>
      </c>
      <c r="B169" s="16">
        <f>IFERROR(__xludf.DUMMYFUNCTION("VLOOKUP(A169,IMPORTRANGE(""1aFCnJY1qhIj8-JckJhDJ18aqmVo17tofpQmOjcYa3u8/edit#gid=590920912"",""S1 Totals!$A$2:$O$255""),2,FALSE)"),17.75)</f>
        <v>17.75</v>
      </c>
      <c r="C169" s="15">
        <f>IFERROR(__xludf.DUMMYFUNCTION("VLOOKUP(A169,IMPORTRANGE(""1aFCnJY1qhIj8-JckJhDJ18aqmVo17tofpQmOjcYa3u8/edit#gid=590920912"",""S1 Totals!$A$2:$O$255""),3,FALSE)"),0.5378787878787878)</f>
        <v>0.5378787879</v>
      </c>
      <c r="D169" s="16">
        <f>IFERROR(__xludf.DUMMYFUNCTION("VLOOKUP(A169,IMPORTRANGE(""1QZ5UxyNCwadreQAXnQ7oCoH982DjIA-QnZdO7ZoqkC0/edit#gid=884617569"",""S1 Totals!$A$2:$O$255""),2,FALSE)"),21.25)</f>
        <v>21.25</v>
      </c>
      <c r="E169" s="15">
        <f>IFERROR(__xludf.DUMMYFUNCTION("VLOOKUP(A169,IMPORTRANGE(""1QZ5UxyNCwadreQAXnQ7oCoH982DjIA-QnZdO7ZoqkC0/edit#gid=884617569"",""S1 Totals!$A$2:$O$255""),3,FALSE)"),0.6439393939393939)</f>
        <v>0.6439393939</v>
      </c>
      <c r="F169" s="108">
        <f t="shared" si="1"/>
        <v>-0.1060606061</v>
      </c>
      <c r="G169" s="16">
        <f>IFERROR(__xludf.DUMMYFUNCTION("VLOOKUP(A169,IMPORTRANGE(""1QZ5UxyNCwadreQAXnQ7oCoH982DjIA-QnZdO7ZoqkC0/edit#gid=884617569"",""S1 Totals!$A$2:$O$255""),4,FALSE)"),31.5)</f>
        <v>31.5</v>
      </c>
      <c r="H169" s="15">
        <f>IFERROR(__xludf.DUMMYFUNCTION("VLOOKUP(A169,IMPORTRANGE(""1QZ5UxyNCwadreQAXnQ7oCoH982DjIA-QnZdO7ZoqkC0/edit#gid=884617569"",""S1 Totals!$A$2:$O$255""),5,FALSE)"),0.6702127659574468)</f>
        <v>0.670212766</v>
      </c>
      <c r="I169" s="108">
        <f t="shared" si="2"/>
        <v>-0.1323339781</v>
      </c>
      <c r="J169" s="16">
        <f>IFERROR(__xludf.DUMMYFUNCTION("VLOOKUP(A169,IMPORTRANGE(""1QZ5UxyNCwadreQAXnQ7oCoH982DjIA-QnZdO7ZoqkC0/edit#gid=884617569"",""S1 Totals!$A$2:$O$255""),7,FALSE)"),29.0)</f>
        <v>29</v>
      </c>
      <c r="K169" s="15">
        <f>IFERROR(__xludf.DUMMYFUNCTION("VLOOKUP(A169,IMPORTRANGE(""1QZ5UxyNCwadreQAXnQ7oCoH982DjIA-QnZdO7ZoqkC0/edit#gid=884617569"",""S1 Totals!$A$2:$O$255""),8,FALSE)"),0.5918367346938775)</f>
        <v>0.5918367347</v>
      </c>
      <c r="L169" s="109">
        <f t="shared" si="3"/>
        <v>0.05210265925</v>
      </c>
      <c r="M169" s="16">
        <f>IFERROR(__xludf.DUMMYFUNCTION("VLOOKUP(A169,IMPORTRANGE(""1QZ5UxyNCwadreQAXnQ7oCoH982DjIA-QnZdO7ZoqkC0/edit#gid=884617569"",""S1 Totals!$A$2:$O$255""),10,FALSE)"),28.5)</f>
        <v>28.5</v>
      </c>
      <c r="N169" s="15">
        <f>IFERROR(__xludf.DUMMYFUNCTION("VLOOKUP(A169,IMPORTRANGE(""1QZ5UxyNCwadreQAXnQ7oCoH982DjIA-QnZdO7ZoqkC0/edit#gid=884617569"",""S1 Totals!$A$2:$O$256""),11,FALSE)"),0.59375)</f>
        <v>0.59375</v>
      </c>
      <c r="O169" s="110">
        <f t="shared" si="31"/>
        <v>-0.05587121212</v>
      </c>
      <c r="P169" s="16">
        <f>IFERROR(__xludf.DUMMYFUNCTION("VLOOKUP(A169,IMPORTRANGE(""1QZ5UxyNCwadreQAXnQ7oCoH982DjIA-QnZdO7ZoqkC0/edit#gid=884617569"",""S1 Totals!$A$2:$O$256""),13,FALSE)"),25.5)</f>
        <v>25.5</v>
      </c>
      <c r="Q169" s="15">
        <f>IFERROR(__xludf.DUMMYFUNCTION("VLOOKUP(A169,IMPORTRANGE(""1QZ5UxyNCwadreQAXnQ7oCoH982DjIA-QnZdO7ZoqkC0/edit#gid=884617569"",""S1 Totals!$A$2:$O$256""),14,FALSE)"),0.51)</f>
        <v>0.51</v>
      </c>
      <c r="R169" s="15">
        <f t="shared" ref="R169:R170" si="34">C169-Q169</f>
        <v>0.02787878788</v>
      </c>
    </row>
    <row r="170">
      <c r="A170" s="107" t="s">
        <v>66</v>
      </c>
      <c r="B170" s="16">
        <f>IFERROR(__xludf.DUMMYFUNCTION("VLOOKUP(A170,IMPORTRANGE(""1aFCnJY1qhIj8-JckJhDJ18aqmVo17tofpQmOjcYa3u8/edit#gid=590920912"",""S1 Totals!$A$2:$O$255""),2,FALSE)"),28.5)</f>
        <v>28.5</v>
      </c>
      <c r="C170" s="15">
        <f>IFERROR(__xludf.DUMMYFUNCTION("VLOOKUP(A170,IMPORTRANGE(""1aFCnJY1qhIj8-JckJhDJ18aqmVo17tofpQmOjcYa3u8/edit#gid=590920912"",""S1 Totals!$A$2:$O$255""),3,FALSE)"),0.8636363636363636)</f>
        <v>0.8636363636</v>
      </c>
      <c r="D170" s="16">
        <f>IFERROR(__xludf.DUMMYFUNCTION("VLOOKUP(A170,IMPORTRANGE(""1QZ5UxyNCwadreQAXnQ7oCoH982DjIA-QnZdO7ZoqkC0/edit#gid=884617569"",""S1 Totals!$A$2:$O$255""),2,FALSE)"),30.0)</f>
        <v>30</v>
      </c>
      <c r="E170" s="15">
        <f>IFERROR(__xludf.DUMMYFUNCTION("VLOOKUP(A170,IMPORTRANGE(""1QZ5UxyNCwadreQAXnQ7oCoH982DjIA-QnZdO7ZoqkC0/edit#gid=884617569"",""S1 Totals!$A$2:$O$255""),3,FALSE)"),0.9090909090909091)</f>
        <v>0.9090909091</v>
      </c>
      <c r="F170" s="108">
        <f t="shared" si="1"/>
        <v>-0.04545454545</v>
      </c>
      <c r="G170" s="16">
        <f>IFERROR(__xludf.DUMMYFUNCTION("VLOOKUP(A170,IMPORTRANGE(""1QZ5UxyNCwadreQAXnQ7oCoH982DjIA-QnZdO7ZoqkC0/edit#gid=884617569"",""S1 Totals!$A$2:$O$255""),4,FALSE)"),43.0)</f>
        <v>43</v>
      </c>
      <c r="H170" s="15">
        <f>IFERROR(__xludf.DUMMYFUNCTION("VLOOKUP(A170,IMPORTRANGE(""1QZ5UxyNCwadreQAXnQ7oCoH982DjIA-QnZdO7ZoqkC0/edit#gid=884617569"",""S1 Totals!$A$2:$O$255""),5,FALSE)"),0.9148936170212766)</f>
        <v>0.914893617</v>
      </c>
      <c r="I170" s="108">
        <f t="shared" si="2"/>
        <v>-0.05125725338</v>
      </c>
      <c r="J170" s="16">
        <f>IFERROR(__xludf.DUMMYFUNCTION("VLOOKUP(A170,IMPORTRANGE(""1QZ5UxyNCwadreQAXnQ7oCoH982DjIA-QnZdO7ZoqkC0/edit#gid=884617569"",""S1 Totals!$A$2:$O$255""),7,FALSE)"),44.5)</f>
        <v>44.5</v>
      </c>
      <c r="K170" s="15">
        <f>IFERROR(__xludf.DUMMYFUNCTION("VLOOKUP(A170,IMPORTRANGE(""1QZ5UxyNCwadreQAXnQ7oCoH982DjIA-QnZdO7ZoqkC0/edit#gid=884617569"",""S1 Totals!$A$2:$O$255""),8,FALSE)"),0.9081632653061225)</f>
        <v>0.9081632653</v>
      </c>
      <c r="L170" s="109">
        <f t="shared" si="3"/>
        <v>0.0009276437848</v>
      </c>
      <c r="M170" s="16">
        <f>IFERROR(__xludf.DUMMYFUNCTION("VLOOKUP(A170,IMPORTRANGE(""1QZ5UxyNCwadreQAXnQ7oCoH982DjIA-QnZdO7ZoqkC0/edit#gid=884617569"",""S1 Totals!$A$2:$O$255""),10,FALSE)"),41.5)</f>
        <v>41.5</v>
      </c>
      <c r="N170" s="15">
        <f>IFERROR(__xludf.DUMMYFUNCTION("VLOOKUP(A170,IMPORTRANGE(""1QZ5UxyNCwadreQAXnQ7oCoH982DjIA-QnZdO7ZoqkC0/edit#gid=884617569"",""S1 Totals!$A$2:$O$256""),11,FALSE)"),0.8645833333333334)</f>
        <v>0.8645833333</v>
      </c>
      <c r="O170" s="110">
        <f t="shared" si="31"/>
        <v>-0.000946969697</v>
      </c>
      <c r="P170" s="16">
        <f>IFERROR(__xludf.DUMMYFUNCTION("VLOOKUP(A170,IMPORTRANGE(""1QZ5UxyNCwadreQAXnQ7oCoH982DjIA-QnZdO7ZoqkC0/edit#gid=884617569"",""S1 Totals!$A$2:$O$256""),13,FALSE)"),38.5)</f>
        <v>38.5</v>
      </c>
      <c r="Q170" s="15">
        <f>IFERROR(__xludf.DUMMYFUNCTION("VLOOKUP(A170,IMPORTRANGE(""1QZ5UxyNCwadreQAXnQ7oCoH982DjIA-QnZdO7ZoqkC0/edit#gid=884617569"",""S1 Totals!$A$2:$O$256""),14,FALSE)"),0.77)</f>
        <v>0.77</v>
      </c>
      <c r="R170" s="15">
        <f t="shared" si="34"/>
        <v>0.09363636364</v>
      </c>
    </row>
    <row r="171">
      <c r="A171" s="107" t="s">
        <v>245</v>
      </c>
      <c r="B171" s="16">
        <f>IFERROR(__xludf.DUMMYFUNCTION("VLOOKUP(A171,IMPORTRANGE(""1aFCnJY1qhIj8-JckJhDJ18aqmVo17tofpQmOjcYa3u8/edit#gid=590920912"",""S1 Totals!$A$2:$O$255""),2,FALSE)"),18.75)</f>
        <v>18.75</v>
      </c>
      <c r="C171" s="15">
        <f>IFERROR(__xludf.DUMMYFUNCTION("VLOOKUP(A171,IMPORTRANGE(""1aFCnJY1qhIj8-JckJhDJ18aqmVo17tofpQmOjcYa3u8/edit#gid=590920912"",""S1 Totals!$A$2:$O$255""),3,FALSE)"),0.5681818181818182)</f>
        <v>0.5681818182</v>
      </c>
      <c r="D171" s="16">
        <f>IFERROR(__xludf.DUMMYFUNCTION("VLOOKUP(A171,IMPORTRANGE(""1QZ5UxyNCwadreQAXnQ7oCoH982DjIA-QnZdO7ZoqkC0/edit#gid=884617569"",""S1 Totals!$A$2:$O$255""),2,FALSE)"),18.5)</f>
        <v>18.5</v>
      </c>
      <c r="E171" s="15">
        <f>IFERROR(__xludf.DUMMYFUNCTION("VLOOKUP(A171,IMPORTRANGE(""1QZ5UxyNCwadreQAXnQ7oCoH982DjIA-QnZdO7ZoqkC0/edit#gid=884617569"",""S1 Totals!$A$2:$O$255""),3,FALSE)"),0.5606060606060606)</f>
        <v>0.5606060606</v>
      </c>
      <c r="F171" s="108">
        <f t="shared" si="1"/>
        <v>0.007575757576</v>
      </c>
      <c r="G171" s="16">
        <f>IFERROR(__xludf.DUMMYFUNCTION("VLOOKUP(A171,IMPORTRANGE(""1QZ5UxyNCwadreQAXnQ7oCoH982DjIA-QnZdO7ZoqkC0/edit#gid=884617569"",""S1 Totals!$A$2:$O$255""),4,FALSE)"),30.0)</f>
        <v>30</v>
      </c>
      <c r="H171" s="15">
        <f>IFERROR(__xludf.DUMMYFUNCTION("VLOOKUP(A171,IMPORTRANGE(""1QZ5UxyNCwadreQAXnQ7oCoH982DjIA-QnZdO7ZoqkC0/edit#gid=884617569"",""S1 Totals!$A$2:$O$255""),5,FALSE)"),0.6382978723404256)</f>
        <v>0.6382978723</v>
      </c>
      <c r="I171" s="108">
        <f t="shared" si="2"/>
        <v>-0.07011605416</v>
      </c>
      <c r="J171" s="16" t="str">
        <f>IFERROR(__xludf.DUMMYFUNCTION("VLOOKUP(A171,IMPORTRANGE(""1QZ5UxyNCwadreQAXnQ7oCoH982DjIA-QnZdO7ZoqkC0/edit#gid=884617569"",""S1 Totals!$A$2:$O$255""),7,FALSE)"),"")</f>
        <v/>
      </c>
      <c r="K171" s="15" t="str">
        <f>IFERROR(__xludf.DUMMYFUNCTION("VLOOKUP(A171,IMPORTRANGE(""1QZ5UxyNCwadreQAXnQ7oCoH982DjIA-QnZdO7ZoqkC0/edit#gid=884617569"",""S1 Totals!$A$2:$O$255""),8,FALSE)"),"")</f>
        <v/>
      </c>
      <c r="L171" s="109">
        <f t="shared" si="3"/>
        <v>0.5606060606</v>
      </c>
      <c r="M171" s="16" t="str">
        <f>IFERROR(__xludf.DUMMYFUNCTION("VLOOKUP(A171,IMPORTRANGE(""1QZ5UxyNCwadreQAXnQ7oCoH982DjIA-QnZdO7ZoqkC0/edit#gid=884617569"",""S1 Totals!$A$2:$O$255""),10,FALSE)"),"")</f>
        <v/>
      </c>
      <c r="N171" s="15" t="str">
        <f>IFERROR(__xludf.DUMMYFUNCTION("VLOOKUP(A171,IMPORTRANGE(""1QZ5UxyNCwadreQAXnQ7oCoH982DjIA-QnZdO7ZoqkC0/edit#gid=884617569"",""S1 Totals!$A$2:$O$256""),11,FALSE)"),"")</f>
        <v/>
      </c>
      <c r="O171" s="110"/>
      <c r="P171" s="16"/>
      <c r="Q171" s="15"/>
      <c r="R171" s="16"/>
    </row>
    <row r="172">
      <c r="A172" s="107" t="s">
        <v>143</v>
      </c>
      <c r="B172" s="16">
        <f>IFERROR(__xludf.DUMMYFUNCTION("VLOOKUP(A172,IMPORTRANGE(""1aFCnJY1qhIj8-JckJhDJ18aqmVo17tofpQmOjcYa3u8/edit#gid=590920912"",""S1 Totals!$A$2:$O$255""),2,FALSE)"),30.5)</f>
        <v>30.5</v>
      </c>
      <c r="C172" s="15">
        <f>IFERROR(__xludf.DUMMYFUNCTION("VLOOKUP(A172,IMPORTRANGE(""1aFCnJY1qhIj8-JckJhDJ18aqmVo17tofpQmOjcYa3u8/edit#gid=590920912"",""S1 Totals!$A$2:$O$255""),3,FALSE)"),0.9242424242424242)</f>
        <v>0.9242424242</v>
      </c>
      <c r="D172" s="16">
        <f>IFERROR(__xludf.DUMMYFUNCTION("VLOOKUP(A172,IMPORTRANGE(""1QZ5UxyNCwadreQAXnQ7oCoH982DjIA-QnZdO7ZoqkC0/edit#gid=884617569"",""S1 Totals!$A$2:$O$255""),2,FALSE)"),31.0)</f>
        <v>31</v>
      </c>
      <c r="E172" s="15">
        <f>IFERROR(__xludf.DUMMYFUNCTION("VLOOKUP(A172,IMPORTRANGE(""1QZ5UxyNCwadreQAXnQ7oCoH982DjIA-QnZdO7ZoqkC0/edit#gid=884617569"",""S1 Totals!$A$2:$O$255""),3,FALSE)"),0.9393939393939394)</f>
        <v>0.9393939394</v>
      </c>
      <c r="F172" s="108">
        <f t="shared" si="1"/>
        <v>-0.01515151515</v>
      </c>
      <c r="G172" s="16">
        <f>IFERROR(__xludf.DUMMYFUNCTION("VLOOKUP(A172,IMPORTRANGE(""1QZ5UxyNCwadreQAXnQ7oCoH982DjIA-QnZdO7ZoqkC0/edit#gid=884617569"",""S1 Totals!$A$2:$O$255""),4,FALSE)"),34.5)</f>
        <v>34.5</v>
      </c>
      <c r="H172" s="15">
        <f>IFERROR(__xludf.DUMMYFUNCTION("VLOOKUP(A172,IMPORTRANGE(""1QZ5UxyNCwadreQAXnQ7oCoH982DjIA-QnZdO7ZoqkC0/edit#gid=884617569"",""S1 Totals!$A$2:$O$255""),5,FALSE)"),0.7340425531914894)</f>
        <v>0.7340425532</v>
      </c>
      <c r="I172" s="108">
        <f t="shared" si="2"/>
        <v>0.1901998711</v>
      </c>
      <c r="J172" s="16">
        <f>IFERROR(__xludf.DUMMYFUNCTION("VLOOKUP(A172,IMPORTRANGE(""1QZ5UxyNCwadreQAXnQ7oCoH982DjIA-QnZdO7ZoqkC0/edit#gid=884617569"",""S1 Totals!$A$2:$O$255""),7,FALSE)"),38.0)</f>
        <v>38</v>
      </c>
      <c r="K172" s="15">
        <f>IFERROR(__xludf.DUMMYFUNCTION("VLOOKUP(A172,IMPORTRANGE(""1QZ5UxyNCwadreQAXnQ7oCoH982DjIA-QnZdO7ZoqkC0/edit#gid=884617569"",""S1 Totals!$A$2:$O$255""),8,FALSE)"),0.7755102040816326)</f>
        <v>0.7755102041</v>
      </c>
      <c r="L172" s="109">
        <f t="shared" si="3"/>
        <v>0.1638837353</v>
      </c>
      <c r="M172" s="16">
        <f>IFERROR(__xludf.DUMMYFUNCTION("VLOOKUP(A172,IMPORTRANGE(""1QZ5UxyNCwadreQAXnQ7oCoH982DjIA-QnZdO7ZoqkC0/edit#gid=884617569"",""S1 Totals!$A$2:$O$255""),10,FALSE)"),33.0)</f>
        <v>33</v>
      </c>
      <c r="N172" s="15">
        <f>IFERROR(__xludf.DUMMYFUNCTION("VLOOKUP(A172,IMPORTRANGE(""1QZ5UxyNCwadreQAXnQ7oCoH982DjIA-QnZdO7ZoqkC0/edit#gid=884617569"",""S1 Totals!$A$2:$O$256""),11,FALSE)"),0.6875)</f>
        <v>0.6875</v>
      </c>
      <c r="O172" s="110">
        <f t="shared" ref="O172:O173" si="35">C172-N172</f>
        <v>0.2367424242</v>
      </c>
      <c r="P172" s="16"/>
      <c r="Q172" s="15"/>
      <c r="R172" s="16"/>
    </row>
    <row r="173">
      <c r="A173" s="107" t="s">
        <v>269</v>
      </c>
      <c r="B173" s="16">
        <f>IFERROR(__xludf.DUMMYFUNCTION("VLOOKUP(A173,IMPORTRANGE(""1aFCnJY1qhIj8-JckJhDJ18aqmVo17tofpQmOjcYa3u8/edit#gid=590920912"",""S1 Totals!$A$2:$O$255""),2,FALSE)"),18.0)</f>
        <v>18</v>
      </c>
      <c r="C173" s="15">
        <f>IFERROR(__xludf.DUMMYFUNCTION("VLOOKUP(A173,IMPORTRANGE(""1aFCnJY1qhIj8-JckJhDJ18aqmVo17tofpQmOjcYa3u8/edit#gid=590920912"",""S1 Totals!$A$2:$O$255""),3,FALSE)"),0.5454545454545454)</f>
        <v>0.5454545455</v>
      </c>
      <c r="D173" s="16" t="str">
        <f>IFERROR(__xludf.DUMMYFUNCTION("VLOOKUP(A173,IMPORTRANGE(""1QZ5UxyNCwadreQAXnQ7oCoH982DjIA-QnZdO7ZoqkC0/edit#gid=884617569"",""S1 Totals!$A$2:$O$255""),2,FALSE)"),"#N/A")</f>
        <v>#N/A</v>
      </c>
      <c r="E173" s="15" t="str">
        <f>IFERROR(__xludf.DUMMYFUNCTION("VLOOKUP(A173,IMPORTRANGE(""1QZ5UxyNCwadreQAXnQ7oCoH982DjIA-QnZdO7ZoqkC0/edit#gid=884617569"",""S1 Totals!$A$2:$O$255""),3,FALSE)"),"#N/A")</f>
        <v>#N/A</v>
      </c>
      <c r="F173" s="112" t="str">
        <f t="shared" si="1"/>
        <v>#N/A</v>
      </c>
      <c r="G173" s="16" t="str">
        <f>IFERROR(__xludf.DUMMYFUNCTION("VLOOKUP(A173,IMPORTRANGE(""1QZ5UxyNCwadreQAXnQ7oCoH982DjIA-QnZdO7ZoqkC0/edit#gid=884617569"",""S1 Totals!$A$2:$O$255""),4,FALSE)"),"#N/A")</f>
        <v>#N/A</v>
      </c>
      <c r="H173" s="15" t="str">
        <f>IFERROR(__xludf.DUMMYFUNCTION("VLOOKUP(A173,IMPORTRANGE(""1QZ5UxyNCwadreQAXnQ7oCoH982DjIA-QnZdO7ZoqkC0/edit#gid=884617569"",""S1 Totals!$A$2:$O$255""),5,FALSE)"),"#N/A")</f>
        <v>#N/A</v>
      </c>
      <c r="I173" s="108" t="str">
        <f t="shared" si="2"/>
        <v>#N/A</v>
      </c>
      <c r="J173" s="16" t="str">
        <f>IFERROR(__xludf.DUMMYFUNCTION("VLOOKUP(A173,IMPORTRANGE(""1QZ5UxyNCwadreQAXnQ7oCoH982DjIA-QnZdO7ZoqkC0/edit#gid=884617569"",""S1 Totals!$A$2:$O$255""),7,FALSE)"),"#N/A")</f>
        <v>#N/A</v>
      </c>
      <c r="K173" s="15" t="str">
        <f>IFERROR(__xludf.DUMMYFUNCTION("VLOOKUP(A173,IMPORTRANGE(""1QZ5UxyNCwadreQAXnQ7oCoH982DjIA-QnZdO7ZoqkC0/edit#gid=884617569"",""S1 Totals!$A$2:$O$255""),8,FALSE)"),"#N/A")</f>
        <v>#N/A</v>
      </c>
      <c r="L173" s="113" t="str">
        <f t="shared" si="3"/>
        <v>#N/A</v>
      </c>
      <c r="M173" s="16" t="str">
        <f>IFERROR(__xludf.DUMMYFUNCTION("VLOOKUP(A173,IMPORTRANGE(""1QZ5UxyNCwadreQAXnQ7oCoH982DjIA-QnZdO7ZoqkC0/edit#gid=884617569"",""S1 Totals!$A$2:$O$255""),10,FALSE)"),"#N/A")</f>
        <v>#N/A</v>
      </c>
      <c r="N173" s="15" t="str">
        <f>IFERROR(__xludf.DUMMYFUNCTION("VLOOKUP(A173,IMPORTRANGE(""1QZ5UxyNCwadreQAXnQ7oCoH982DjIA-QnZdO7ZoqkC0/edit#gid=884617569"",""S1 Totals!$A$2:$O$256""),11,FALSE)"),"#N/A")</f>
        <v>#N/A</v>
      </c>
      <c r="O173" s="110" t="str">
        <f t="shared" si="35"/>
        <v>#N/A</v>
      </c>
      <c r="P173" s="16" t="str">
        <f>IFERROR(__xludf.DUMMYFUNCTION("VLOOKUP(A173,IMPORTRANGE(""1QZ5UxyNCwadreQAXnQ7oCoH982DjIA-QnZdO7ZoqkC0/edit#gid=884617569"",""S1 Totals!$A$2:$O$256""),13,FALSE)"),"#N/A")</f>
        <v>#N/A</v>
      </c>
      <c r="Q173" s="15" t="str">
        <f>IFERROR(__xludf.DUMMYFUNCTION("VLOOKUP(A173,IMPORTRANGE(""1QZ5UxyNCwadreQAXnQ7oCoH982DjIA-QnZdO7ZoqkC0/edit#gid=884617569"",""S1 Totals!$A$2:$O$256""),14,FALSE)"),"#N/A")</f>
        <v>#N/A</v>
      </c>
      <c r="R173" s="16" t="str">
        <f>C173-Q173</f>
        <v>#N/A</v>
      </c>
    </row>
    <row r="174">
      <c r="A174" s="107" t="s">
        <v>190</v>
      </c>
      <c r="B174" s="16">
        <f>IFERROR(__xludf.DUMMYFUNCTION("VLOOKUP(A174,IMPORTRANGE(""1aFCnJY1qhIj8-JckJhDJ18aqmVo17tofpQmOjcYa3u8/edit#gid=590920912"",""S1 Totals!$A$2:$O$255""),2,FALSE)"),23.0)</f>
        <v>23</v>
      </c>
      <c r="C174" s="15">
        <f>IFERROR(__xludf.DUMMYFUNCTION("VLOOKUP(A174,IMPORTRANGE(""1aFCnJY1qhIj8-JckJhDJ18aqmVo17tofpQmOjcYa3u8/edit#gid=590920912"",""S1 Totals!$A$2:$O$255""),3,FALSE)"),0.696969696969697)</f>
        <v>0.696969697</v>
      </c>
      <c r="D174" s="16">
        <f>IFERROR(__xludf.DUMMYFUNCTION("VLOOKUP(A174,IMPORTRANGE(""1QZ5UxyNCwadreQAXnQ7oCoH982DjIA-QnZdO7ZoqkC0/edit#gid=884617569"",""S1 Totals!$A$2:$O$255""),2,FALSE)"),25.75)</f>
        <v>25.75</v>
      </c>
      <c r="E174" s="15">
        <f>IFERROR(__xludf.DUMMYFUNCTION("VLOOKUP(A174,IMPORTRANGE(""1QZ5UxyNCwadreQAXnQ7oCoH982DjIA-QnZdO7ZoqkC0/edit#gid=884617569"",""S1 Totals!$A$2:$O$255""),3,FALSE)"),0.7803030303030303)</f>
        <v>0.7803030303</v>
      </c>
      <c r="F174" s="108">
        <f t="shared" si="1"/>
        <v>-0.08333333333</v>
      </c>
      <c r="G174" s="16">
        <f>IFERROR(__xludf.DUMMYFUNCTION("VLOOKUP(A174,IMPORTRANGE(""1QZ5UxyNCwadreQAXnQ7oCoH982DjIA-QnZdO7ZoqkC0/edit#gid=884617569"",""S1 Totals!$A$2:$O$255""),4,FALSE)"),42.0)</f>
        <v>42</v>
      </c>
      <c r="H174" s="15">
        <f>IFERROR(__xludf.DUMMYFUNCTION("VLOOKUP(A174,IMPORTRANGE(""1QZ5UxyNCwadreQAXnQ7oCoH982DjIA-QnZdO7ZoqkC0/edit#gid=884617569"",""S1 Totals!$A$2:$O$255""),5,FALSE)"),0.8936170212765957)</f>
        <v>0.8936170213</v>
      </c>
      <c r="I174" s="108">
        <f t="shared" si="2"/>
        <v>-0.1966473243</v>
      </c>
      <c r="J174" s="16">
        <f>IFERROR(__xludf.DUMMYFUNCTION("VLOOKUP(A174,IMPORTRANGE(""1QZ5UxyNCwadreQAXnQ7oCoH982DjIA-QnZdO7ZoqkC0/edit#gid=884617569"",""S1 Totals!$A$2:$O$255""),7,FALSE)"),40.5)</f>
        <v>40.5</v>
      </c>
      <c r="K174" s="15">
        <f>IFERROR(__xludf.DUMMYFUNCTION("VLOOKUP(A174,IMPORTRANGE(""1QZ5UxyNCwadreQAXnQ7oCoH982DjIA-QnZdO7ZoqkC0/edit#gid=884617569"",""S1 Totals!$A$2:$O$255""),8,FALSE)"),0.826530612244898)</f>
        <v>0.8265306122</v>
      </c>
      <c r="L174" s="109">
        <f t="shared" si="3"/>
        <v>-0.04622758194</v>
      </c>
      <c r="M174" s="16"/>
      <c r="N174" s="15"/>
      <c r="O174" s="110"/>
      <c r="P174" s="16"/>
      <c r="Q174" s="15"/>
      <c r="R174" s="16"/>
    </row>
    <row r="175">
      <c r="A175" s="107" t="s">
        <v>246</v>
      </c>
      <c r="B175" s="16">
        <f>IFERROR(__xludf.DUMMYFUNCTION("VLOOKUP(A175,IMPORTRANGE(""1aFCnJY1qhIj8-JckJhDJ18aqmVo17tofpQmOjcYa3u8/edit#gid=590920912"",""S1 Totals!$A$2:$O$255""),2,FALSE)"),3.0)</f>
        <v>3</v>
      </c>
      <c r="C175" s="15">
        <f>IFERROR(__xludf.DUMMYFUNCTION("VLOOKUP(A175,IMPORTRANGE(""1aFCnJY1qhIj8-JckJhDJ18aqmVo17tofpQmOjcYa3u8/edit#gid=590920912"",""S1 Totals!$A$2:$O$255""),3,FALSE)"),0.09090909090909091)</f>
        <v>0.09090909091</v>
      </c>
      <c r="D175" s="16">
        <f>IFERROR(__xludf.DUMMYFUNCTION("VLOOKUP(A175,IMPORTRANGE(""1QZ5UxyNCwadreQAXnQ7oCoH982DjIA-QnZdO7ZoqkC0/edit#gid=884617569"",""S1 Totals!$A$2:$O$255""),2,FALSE)"),0.5)</f>
        <v>0.5</v>
      </c>
      <c r="E175" s="15">
        <f>IFERROR(__xludf.DUMMYFUNCTION("VLOOKUP(A175,IMPORTRANGE(""1QZ5UxyNCwadreQAXnQ7oCoH982DjIA-QnZdO7ZoqkC0/edit#gid=884617569"",""S1 Totals!$A$2:$O$255""),3,FALSE)"),0.015151515151515152)</f>
        <v>0.01515151515</v>
      </c>
      <c r="F175" s="108">
        <f t="shared" si="1"/>
        <v>0.07575757576</v>
      </c>
      <c r="G175" s="16">
        <f>IFERROR(__xludf.DUMMYFUNCTION("VLOOKUP(A175,IMPORTRANGE(""1QZ5UxyNCwadreQAXnQ7oCoH982DjIA-QnZdO7ZoqkC0/edit#gid=884617569"",""S1 Totals!$A$2:$O$255""),4,FALSE)"),1.0)</f>
        <v>1</v>
      </c>
      <c r="H175" s="15">
        <f>IFERROR(__xludf.DUMMYFUNCTION("VLOOKUP(A175,IMPORTRANGE(""1QZ5UxyNCwadreQAXnQ7oCoH982DjIA-QnZdO7ZoqkC0/edit#gid=884617569"",""S1 Totals!$A$2:$O$255""),5,FALSE)"),0.02127659574468085)</f>
        <v>0.02127659574</v>
      </c>
      <c r="I175" s="108">
        <f t="shared" si="2"/>
        <v>0.06963249516</v>
      </c>
      <c r="J175" s="16" t="str">
        <f>IFERROR(__xludf.DUMMYFUNCTION("VLOOKUP(A175,IMPORTRANGE(""1QZ5UxyNCwadreQAXnQ7oCoH982DjIA-QnZdO7ZoqkC0/edit#gid=884617569"",""S1 Totals!$A$2:$O$255""),7,FALSE)"),"")</f>
        <v/>
      </c>
      <c r="K175" s="15" t="str">
        <f>IFERROR(__xludf.DUMMYFUNCTION("VLOOKUP(A175,IMPORTRANGE(""1QZ5UxyNCwadreQAXnQ7oCoH982DjIA-QnZdO7ZoqkC0/edit#gid=884617569"",""S1 Totals!$A$2:$O$255""),8,FALSE)"),"")</f>
        <v/>
      </c>
      <c r="L175" s="109">
        <f t="shared" si="3"/>
        <v>0.01515151515</v>
      </c>
      <c r="M175" s="16"/>
      <c r="N175" s="15"/>
      <c r="O175" s="110"/>
      <c r="P175" s="16"/>
      <c r="Q175" s="15"/>
      <c r="R175" s="16"/>
    </row>
    <row r="176">
      <c r="A176" s="107" t="s">
        <v>191</v>
      </c>
      <c r="B176" s="16">
        <f>IFERROR(__xludf.DUMMYFUNCTION("VLOOKUP(A176,IMPORTRANGE(""1aFCnJY1qhIj8-JckJhDJ18aqmVo17tofpQmOjcYa3u8/edit#gid=590920912"",""S1 Totals!$A$2:$O$255""),2,FALSE)"),12.25)</f>
        <v>12.25</v>
      </c>
      <c r="C176" s="15">
        <f>IFERROR(__xludf.DUMMYFUNCTION("VLOOKUP(A176,IMPORTRANGE(""1aFCnJY1qhIj8-JckJhDJ18aqmVo17tofpQmOjcYa3u8/edit#gid=590920912"",""S1 Totals!$A$2:$O$255""),3,FALSE)"),0.3712121212121212)</f>
        <v>0.3712121212</v>
      </c>
      <c r="D176" s="16">
        <f>IFERROR(__xludf.DUMMYFUNCTION("VLOOKUP(A176,IMPORTRANGE(""1QZ5UxyNCwadreQAXnQ7oCoH982DjIA-QnZdO7ZoqkC0/edit#gid=884617569"",""S1 Totals!$A$2:$O$255""),2,FALSE)"),18.0)</f>
        <v>18</v>
      </c>
      <c r="E176" s="15">
        <f>IFERROR(__xludf.DUMMYFUNCTION("VLOOKUP(A176,IMPORTRANGE(""1QZ5UxyNCwadreQAXnQ7oCoH982DjIA-QnZdO7ZoqkC0/edit#gid=884617569"",""S1 Totals!$A$2:$O$255""),3,FALSE)"),0.5454545454545454)</f>
        <v>0.5454545455</v>
      </c>
      <c r="F176" s="108">
        <f t="shared" si="1"/>
        <v>-0.1742424242</v>
      </c>
      <c r="G176" s="16">
        <f>IFERROR(__xludf.DUMMYFUNCTION("VLOOKUP(A176,IMPORTRANGE(""1QZ5UxyNCwadreQAXnQ7oCoH982DjIA-QnZdO7ZoqkC0/edit#gid=884617569"",""S1 Totals!$A$2:$O$255""),4,FALSE)"),16.5)</f>
        <v>16.5</v>
      </c>
      <c r="H176" s="15">
        <f>IFERROR(__xludf.DUMMYFUNCTION("VLOOKUP(A176,IMPORTRANGE(""1QZ5UxyNCwadreQAXnQ7oCoH982DjIA-QnZdO7ZoqkC0/edit#gid=884617569"",""S1 Totals!$A$2:$O$255""),5,FALSE)"),0.35106382978723405)</f>
        <v>0.3510638298</v>
      </c>
      <c r="I176" s="108">
        <f t="shared" si="2"/>
        <v>0.02014829142</v>
      </c>
      <c r="J176" s="16">
        <f>IFERROR(__xludf.DUMMYFUNCTION("VLOOKUP(A176,IMPORTRANGE(""1QZ5UxyNCwadreQAXnQ7oCoH982DjIA-QnZdO7ZoqkC0/edit#gid=884617569"",""S1 Totals!$A$2:$O$255""),7,FALSE)"),0.0)</f>
        <v>0</v>
      </c>
      <c r="K176" s="15">
        <f>IFERROR(__xludf.DUMMYFUNCTION("VLOOKUP(A176,IMPORTRANGE(""1QZ5UxyNCwadreQAXnQ7oCoH982DjIA-QnZdO7ZoqkC0/edit#gid=884617569"",""S1 Totals!$A$2:$O$255""),8,FALSE)"),0.0)</f>
        <v>0</v>
      </c>
      <c r="L176" s="109">
        <f t="shared" si="3"/>
        <v>0.5454545455</v>
      </c>
      <c r="M176" s="16"/>
      <c r="N176" s="15"/>
      <c r="O176" s="110"/>
      <c r="P176" s="16"/>
      <c r="Q176" s="15"/>
      <c r="R176" s="16"/>
    </row>
    <row r="177">
      <c r="A177" s="107" t="s">
        <v>83</v>
      </c>
      <c r="B177" s="16">
        <f>IFERROR(__xludf.DUMMYFUNCTION("VLOOKUP(A177,IMPORTRANGE(""1aFCnJY1qhIj8-JckJhDJ18aqmVo17tofpQmOjcYa3u8/edit#gid=590920912"",""S1 Totals!$A$2:$O$255""),2,FALSE)"),14.25)</f>
        <v>14.25</v>
      </c>
      <c r="C177" s="15">
        <f>IFERROR(__xludf.DUMMYFUNCTION("VLOOKUP(A177,IMPORTRANGE(""1aFCnJY1qhIj8-JckJhDJ18aqmVo17tofpQmOjcYa3u8/edit#gid=590920912"",""S1 Totals!$A$2:$O$255""),3,FALSE)"),0.4318181818181818)</f>
        <v>0.4318181818</v>
      </c>
      <c r="D177" s="16">
        <f>IFERROR(__xludf.DUMMYFUNCTION("VLOOKUP(A177,IMPORTRANGE(""1QZ5UxyNCwadreQAXnQ7oCoH982DjIA-QnZdO7ZoqkC0/edit#gid=884617569"",""S1 Totals!$A$2:$O$255""),2,FALSE)"),16.0)</f>
        <v>16</v>
      </c>
      <c r="E177" s="15">
        <f>IFERROR(__xludf.DUMMYFUNCTION("VLOOKUP(A177,IMPORTRANGE(""1QZ5UxyNCwadreQAXnQ7oCoH982DjIA-QnZdO7ZoqkC0/edit#gid=884617569"",""S1 Totals!$A$2:$O$255""),3,FALSE)"),0.48484848484848486)</f>
        <v>0.4848484848</v>
      </c>
      <c r="F177" s="108">
        <f t="shared" si="1"/>
        <v>-0.05303030303</v>
      </c>
      <c r="G177" s="16">
        <f>IFERROR(__xludf.DUMMYFUNCTION("VLOOKUP(A177,IMPORTRANGE(""1QZ5UxyNCwadreQAXnQ7oCoH982DjIA-QnZdO7ZoqkC0/edit#gid=884617569"",""S1 Totals!$A$2:$O$255""),4,FALSE)"),27.5)</f>
        <v>27.5</v>
      </c>
      <c r="H177" s="15">
        <f>IFERROR(__xludf.DUMMYFUNCTION("VLOOKUP(A177,IMPORTRANGE(""1QZ5UxyNCwadreQAXnQ7oCoH982DjIA-QnZdO7ZoqkC0/edit#gid=884617569"",""S1 Totals!$A$2:$O$255""),5,FALSE)"),0.5851063829787234)</f>
        <v>0.585106383</v>
      </c>
      <c r="I177" s="108">
        <f t="shared" si="2"/>
        <v>-0.1532882012</v>
      </c>
      <c r="J177" s="16">
        <f>IFERROR(__xludf.DUMMYFUNCTION("VLOOKUP(A177,IMPORTRANGE(""1QZ5UxyNCwadreQAXnQ7oCoH982DjIA-QnZdO7ZoqkC0/edit#gid=884617569"",""S1 Totals!$A$2:$O$255""),7,FALSE)"),29.0)</f>
        <v>29</v>
      </c>
      <c r="K177" s="15">
        <f>IFERROR(__xludf.DUMMYFUNCTION("VLOOKUP(A177,IMPORTRANGE(""1QZ5UxyNCwadreQAXnQ7oCoH982DjIA-QnZdO7ZoqkC0/edit#gid=884617569"",""S1 Totals!$A$2:$O$255""),8,FALSE)"),0.5918367346938775)</f>
        <v>0.5918367347</v>
      </c>
      <c r="L177" s="109">
        <f t="shared" si="3"/>
        <v>-0.1069882498</v>
      </c>
      <c r="M177" s="16">
        <f>IFERROR(__xludf.DUMMYFUNCTION("VLOOKUP(A177,IMPORTRANGE(""1QZ5UxyNCwadreQAXnQ7oCoH982DjIA-QnZdO7ZoqkC0/edit#gid=884617569"",""S1 Totals!$A$2:$O$255""),10,FALSE)"),27.0)</f>
        <v>27</v>
      </c>
      <c r="N177" s="15">
        <f>IFERROR(__xludf.DUMMYFUNCTION("VLOOKUP(A177,IMPORTRANGE(""1QZ5UxyNCwadreQAXnQ7oCoH982DjIA-QnZdO7ZoqkC0/edit#gid=884617569"",""S1 Totals!$A$2:$O$256""),11,FALSE)"),0.5625)</f>
        <v>0.5625</v>
      </c>
      <c r="O177" s="110">
        <f>C177-N177</f>
        <v>-0.1306818182</v>
      </c>
      <c r="P177" s="16">
        <f>IFERROR(__xludf.DUMMYFUNCTION("VLOOKUP(A177,IMPORTRANGE(""1QZ5UxyNCwadreQAXnQ7oCoH982DjIA-QnZdO7ZoqkC0/edit#gid=884617569"",""S1 Totals!$A$2:$O$256""),13,FALSE)"),16.0)</f>
        <v>16</v>
      </c>
      <c r="Q177" s="15">
        <f>IFERROR(__xludf.DUMMYFUNCTION("VLOOKUP(A177,IMPORTRANGE(""1QZ5UxyNCwadreQAXnQ7oCoH982DjIA-QnZdO7ZoqkC0/edit#gid=884617569"",""S1 Totals!$A$2:$O$256""),14,FALSE)"),0.32)</f>
        <v>0.32</v>
      </c>
      <c r="R177" s="15">
        <f>C177-Q177</f>
        <v>0.1118181818</v>
      </c>
    </row>
    <row r="178">
      <c r="A178" s="107" t="s">
        <v>247</v>
      </c>
      <c r="B178" s="16">
        <f>IFERROR(__xludf.DUMMYFUNCTION("VLOOKUP(A178,IMPORTRANGE(""1aFCnJY1qhIj8-JckJhDJ18aqmVo17tofpQmOjcYa3u8/edit#gid=590920912"",""S1 Totals!$A$2:$O$255""),2,FALSE)"),18.25)</f>
        <v>18.25</v>
      </c>
      <c r="C178" s="15">
        <f>IFERROR(__xludf.DUMMYFUNCTION("VLOOKUP(A178,IMPORTRANGE(""1aFCnJY1qhIj8-JckJhDJ18aqmVo17tofpQmOjcYa3u8/edit#gid=590920912"",""S1 Totals!$A$2:$O$255""),3,FALSE)"),0.553030303030303)</f>
        <v>0.553030303</v>
      </c>
      <c r="D178" s="16">
        <f>IFERROR(__xludf.DUMMYFUNCTION("VLOOKUP(A178,IMPORTRANGE(""1QZ5UxyNCwadreQAXnQ7oCoH982DjIA-QnZdO7ZoqkC0/edit#gid=884617569"",""S1 Totals!$A$2:$O$255""),2,FALSE)"),17.25)</f>
        <v>17.25</v>
      </c>
      <c r="E178" s="15">
        <f>IFERROR(__xludf.DUMMYFUNCTION("VLOOKUP(A178,IMPORTRANGE(""1QZ5UxyNCwadreQAXnQ7oCoH982DjIA-QnZdO7ZoqkC0/edit#gid=884617569"",""S1 Totals!$A$2:$O$255""),3,FALSE)"),0.5227272727272727)</f>
        <v>0.5227272727</v>
      </c>
      <c r="F178" s="108">
        <f t="shared" si="1"/>
        <v>0.0303030303</v>
      </c>
      <c r="G178" s="16">
        <f>IFERROR(__xludf.DUMMYFUNCTION("VLOOKUP(A178,IMPORTRANGE(""1QZ5UxyNCwadreQAXnQ7oCoH982DjIA-QnZdO7ZoqkC0/edit#gid=884617569"",""S1 Totals!$A$2:$O$255""),4,FALSE)"),12.0)</f>
        <v>12</v>
      </c>
      <c r="H178" s="15">
        <f>IFERROR(__xludf.DUMMYFUNCTION("VLOOKUP(A178,IMPORTRANGE(""1QZ5UxyNCwadreQAXnQ7oCoH982DjIA-QnZdO7ZoqkC0/edit#gid=884617569"",""S1 Totals!$A$2:$O$255""),5,FALSE)"),0.2553191489361702)</f>
        <v>0.2553191489</v>
      </c>
      <c r="I178" s="108">
        <f t="shared" si="2"/>
        <v>0.2977111541</v>
      </c>
      <c r="J178" s="16" t="str">
        <f>IFERROR(__xludf.DUMMYFUNCTION("VLOOKUP(A178,IMPORTRANGE(""1QZ5UxyNCwadreQAXnQ7oCoH982DjIA-QnZdO7ZoqkC0/edit#gid=884617569"",""S1 Totals!$A$2:$O$255""),7,FALSE)"),"")</f>
        <v/>
      </c>
      <c r="K178" s="15" t="str">
        <f>IFERROR(__xludf.DUMMYFUNCTION("VLOOKUP(A178,IMPORTRANGE(""1QZ5UxyNCwadreQAXnQ7oCoH982DjIA-QnZdO7ZoqkC0/edit#gid=884617569"",""S1 Totals!$A$2:$O$255""),8,FALSE)"),"")</f>
        <v/>
      </c>
      <c r="L178" s="109">
        <f t="shared" si="3"/>
        <v>0.5227272727</v>
      </c>
      <c r="M178" s="16"/>
      <c r="N178" s="15"/>
      <c r="O178" s="110"/>
      <c r="P178" s="16"/>
      <c r="Q178" s="15"/>
      <c r="R178" s="16"/>
    </row>
    <row r="179">
      <c r="A179" s="107" t="s">
        <v>84</v>
      </c>
      <c r="B179" s="16">
        <f>IFERROR(__xludf.DUMMYFUNCTION("VLOOKUP(A179,IMPORTRANGE(""1aFCnJY1qhIj8-JckJhDJ18aqmVo17tofpQmOjcYa3u8/edit#gid=590920912"",""S1 Totals!$A$2:$O$255""),2,FALSE)"),26.0)</f>
        <v>26</v>
      </c>
      <c r="C179" s="15">
        <f>IFERROR(__xludf.DUMMYFUNCTION("VLOOKUP(A179,IMPORTRANGE(""1aFCnJY1qhIj8-JckJhDJ18aqmVo17tofpQmOjcYa3u8/edit#gid=590920912"",""S1 Totals!$A$2:$O$255""),3,FALSE)"),0.7878787878787878)</f>
        <v>0.7878787879</v>
      </c>
      <c r="D179" s="16">
        <f>IFERROR(__xludf.DUMMYFUNCTION("VLOOKUP(A179,IMPORTRANGE(""1QZ5UxyNCwadreQAXnQ7oCoH982DjIA-QnZdO7ZoqkC0/edit#gid=884617569"",""S1 Totals!$A$2:$O$255""),2,FALSE)"),28.0)</f>
        <v>28</v>
      </c>
      <c r="E179" s="15">
        <f>IFERROR(__xludf.DUMMYFUNCTION("VLOOKUP(A179,IMPORTRANGE(""1QZ5UxyNCwadreQAXnQ7oCoH982DjIA-QnZdO7ZoqkC0/edit#gid=884617569"",""S1 Totals!$A$2:$O$255""),3,FALSE)"),0.8484848484848485)</f>
        <v>0.8484848485</v>
      </c>
      <c r="F179" s="108">
        <f t="shared" si="1"/>
        <v>-0.06060606061</v>
      </c>
      <c r="G179" s="16">
        <f>IFERROR(__xludf.DUMMYFUNCTION("VLOOKUP(A179,IMPORTRANGE(""1QZ5UxyNCwadreQAXnQ7oCoH982DjIA-QnZdO7ZoqkC0/edit#gid=884617569"",""S1 Totals!$A$2:$O$255""),4,FALSE)"),34.0)</f>
        <v>34</v>
      </c>
      <c r="H179" s="15">
        <f>IFERROR(__xludf.DUMMYFUNCTION("VLOOKUP(A179,IMPORTRANGE(""1QZ5UxyNCwadreQAXnQ7oCoH982DjIA-QnZdO7ZoqkC0/edit#gid=884617569"",""S1 Totals!$A$2:$O$255""),5,FALSE)"),0.723404255319149)</f>
        <v>0.7234042553</v>
      </c>
      <c r="I179" s="108">
        <f t="shared" si="2"/>
        <v>0.06447453256</v>
      </c>
      <c r="J179" s="16">
        <f>IFERROR(__xludf.DUMMYFUNCTION("VLOOKUP(A179,IMPORTRANGE(""1QZ5UxyNCwadreQAXnQ7oCoH982DjIA-QnZdO7ZoqkC0/edit#gid=884617569"",""S1 Totals!$A$2:$O$255""),7,FALSE)"),33.5)</f>
        <v>33.5</v>
      </c>
      <c r="K179" s="15">
        <f>IFERROR(__xludf.DUMMYFUNCTION("VLOOKUP(A179,IMPORTRANGE(""1QZ5UxyNCwadreQAXnQ7oCoH982DjIA-QnZdO7ZoqkC0/edit#gid=884617569"",""S1 Totals!$A$2:$O$255""),8,FALSE)"),0.6836734693877551)</f>
        <v>0.6836734694</v>
      </c>
      <c r="L179" s="109">
        <f t="shared" si="3"/>
        <v>0.1648113791</v>
      </c>
      <c r="M179" s="16">
        <f>IFERROR(__xludf.DUMMYFUNCTION("VLOOKUP(A179,IMPORTRANGE(""1QZ5UxyNCwadreQAXnQ7oCoH982DjIA-QnZdO7ZoqkC0/edit#gid=884617569"",""S1 Totals!$A$2:$O$255""),10,FALSE)"),27.5)</f>
        <v>27.5</v>
      </c>
      <c r="N179" s="15">
        <f>IFERROR(__xludf.DUMMYFUNCTION("VLOOKUP(A179,IMPORTRANGE(""1QZ5UxyNCwadreQAXnQ7oCoH982DjIA-QnZdO7ZoqkC0/edit#gid=884617569"",""S1 Totals!$A$2:$O$256""),11,FALSE)"),0.5729166666666666)</f>
        <v>0.5729166667</v>
      </c>
      <c r="O179" s="110">
        <f>C179-N179</f>
        <v>0.2149621212</v>
      </c>
      <c r="P179" s="16">
        <f>IFERROR(__xludf.DUMMYFUNCTION("VLOOKUP(A179,IMPORTRANGE(""1QZ5UxyNCwadreQAXnQ7oCoH982DjIA-QnZdO7ZoqkC0/edit#gid=884617569"",""S1 Totals!$A$2:$O$256""),13,FALSE)"),33.5)</f>
        <v>33.5</v>
      </c>
      <c r="Q179" s="15">
        <f>IFERROR(__xludf.DUMMYFUNCTION("VLOOKUP(A179,IMPORTRANGE(""1QZ5UxyNCwadreQAXnQ7oCoH982DjIA-QnZdO7ZoqkC0/edit#gid=884617569"",""S1 Totals!$A$2:$O$256""),14,FALSE)"),0.67)</f>
        <v>0.67</v>
      </c>
      <c r="R179" s="15">
        <f>C179-Q179</f>
        <v>0.1178787879</v>
      </c>
    </row>
    <row r="180">
      <c r="A180" s="107" t="s">
        <v>192</v>
      </c>
      <c r="B180" s="16">
        <f>IFERROR(__xludf.DUMMYFUNCTION("VLOOKUP(A180,IMPORTRANGE(""1aFCnJY1qhIj8-JckJhDJ18aqmVo17tofpQmOjcYa3u8/edit#gid=590920912"",""S1 Totals!$A$2:$O$255""),2,FALSE)"),22.5)</f>
        <v>22.5</v>
      </c>
      <c r="C180" s="15">
        <f>IFERROR(__xludf.DUMMYFUNCTION("VLOOKUP(A180,IMPORTRANGE(""1aFCnJY1qhIj8-JckJhDJ18aqmVo17tofpQmOjcYa3u8/edit#gid=590920912"",""S1 Totals!$A$2:$O$255""),3,FALSE)"),0.6818181818181818)</f>
        <v>0.6818181818</v>
      </c>
      <c r="D180" s="16">
        <f>IFERROR(__xludf.DUMMYFUNCTION("VLOOKUP(A180,IMPORTRANGE(""1QZ5UxyNCwadreQAXnQ7oCoH982DjIA-QnZdO7ZoqkC0/edit#gid=884617569"",""S1 Totals!$A$2:$O$255""),2,FALSE)"),20.75)</f>
        <v>20.75</v>
      </c>
      <c r="E180" s="15">
        <f>IFERROR(__xludf.DUMMYFUNCTION("VLOOKUP(A180,IMPORTRANGE(""1QZ5UxyNCwadreQAXnQ7oCoH982DjIA-QnZdO7ZoqkC0/edit#gid=884617569"",""S1 Totals!$A$2:$O$255""),3,FALSE)"),0.6287878787878788)</f>
        <v>0.6287878788</v>
      </c>
      <c r="F180" s="108">
        <f t="shared" si="1"/>
        <v>0.05303030303</v>
      </c>
      <c r="G180" s="16">
        <f>IFERROR(__xludf.DUMMYFUNCTION("VLOOKUP(A180,IMPORTRANGE(""1QZ5UxyNCwadreQAXnQ7oCoH982DjIA-QnZdO7ZoqkC0/edit#gid=884617569"",""S1 Totals!$A$2:$O$255""),4,FALSE)"),26.0)</f>
        <v>26</v>
      </c>
      <c r="H180" s="15">
        <f>IFERROR(__xludf.DUMMYFUNCTION("VLOOKUP(A180,IMPORTRANGE(""1QZ5UxyNCwadreQAXnQ7oCoH982DjIA-QnZdO7ZoqkC0/edit#gid=884617569"",""S1 Totals!$A$2:$O$255""),5,FALSE)"),0.5531914893617021)</f>
        <v>0.5531914894</v>
      </c>
      <c r="I180" s="108">
        <f t="shared" si="2"/>
        <v>0.1286266925</v>
      </c>
      <c r="J180" s="16">
        <f>IFERROR(__xludf.DUMMYFUNCTION("VLOOKUP(A180,IMPORTRANGE(""1QZ5UxyNCwadreQAXnQ7oCoH982DjIA-QnZdO7ZoqkC0/edit#gid=884617569"",""S1 Totals!$A$2:$O$255""),7,FALSE)"),27.5)</f>
        <v>27.5</v>
      </c>
      <c r="K180" s="15">
        <f>IFERROR(__xludf.DUMMYFUNCTION("VLOOKUP(A180,IMPORTRANGE(""1QZ5UxyNCwadreQAXnQ7oCoH982DjIA-QnZdO7ZoqkC0/edit#gid=884617569"",""S1 Totals!$A$2:$O$255""),8,FALSE)"),0.5612244897959183)</f>
        <v>0.5612244898</v>
      </c>
      <c r="L180" s="109">
        <f t="shared" si="3"/>
        <v>0.06756338899</v>
      </c>
      <c r="M180" s="16"/>
      <c r="N180" s="15"/>
      <c r="O180" s="110"/>
      <c r="P180" s="16"/>
      <c r="Q180" s="15"/>
      <c r="R180" s="16"/>
    </row>
    <row r="181">
      <c r="A181" s="107" t="s">
        <v>85</v>
      </c>
      <c r="B181" s="16">
        <f>IFERROR(__xludf.DUMMYFUNCTION("VLOOKUP(A181,IMPORTRANGE(""1aFCnJY1qhIj8-JckJhDJ18aqmVo17tofpQmOjcYa3u8/edit#gid=590920912"",""S1 Totals!$A$2:$O$255""),2,FALSE)"),29.75)</f>
        <v>29.75</v>
      </c>
      <c r="C181" s="15">
        <f>IFERROR(__xludf.DUMMYFUNCTION("VLOOKUP(A181,IMPORTRANGE(""1aFCnJY1qhIj8-JckJhDJ18aqmVo17tofpQmOjcYa3u8/edit#gid=590920912"",""S1 Totals!$A$2:$O$255""),3,FALSE)"),0.9015151515151515)</f>
        <v>0.9015151515</v>
      </c>
      <c r="D181" s="16">
        <f>IFERROR(__xludf.DUMMYFUNCTION("VLOOKUP(A181,IMPORTRANGE(""1QZ5UxyNCwadreQAXnQ7oCoH982DjIA-QnZdO7ZoqkC0/edit#gid=884617569"",""S1 Totals!$A$2:$O$255""),2,FALSE)"),29.5)</f>
        <v>29.5</v>
      </c>
      <c r="E181" s="15">
        <f>IFERROR(__xludf.DUMMYFUNCTION("VLOOKUP(A181,IMPORTRANGE(""1QZ5UxyNCwadreQAXnQ7oCoH982DjIA-QnZdO7ZoqkC0/edit#gid=884617569"",""S1 Totals!$A$2:$O$255""),3,FALSE)"),0.8939393939393939)</f>
        <v>0.8939393939</v>
      </c>
      <c r="F181" s="108">
        <f t="shared" si="1"/>
        <v>0.007575757576</v>
      </c>
      <c r="G181" s="16">
        <f>IFERROR(__xludf.DUMMYFUNCTION("VLOOKUP(A181,IMPORTRANGE(""1QZ5UxyNCwadreQAXnQ7oCoH982DjIA-QnZdO7ZoqkC0/edit#gid=884617569"",""S1 Totals!$A$2:$O$255""),4,FALSE)"),40.5)</f>
        <v>40.5</v>
      </c>
      <c r="H181" s="15">
        <f>IFERROR(__xludf.DUMMYFUNCTION("VLOOKUP(A181,IMPORTRANGE(""1QZ5UxyNCwadreQAXnQ7oCoH982DjIA-QnZdO7ZoqkC0/edit#gid=884617569"",""S1 Totals!$A$2:$O$255""),5,FALSE)"),0.8617021276595744)</f>
        <v>0.8617021277</v>
      </c>
      <c r="I181" s="108">
        <f t="shared" si="2"/>
        <v>0.03981302386</v>
      </c>
      <c r="J181" s="16">
        <f>IFERROR(__xludf.DUMMYFUNCTION("VLOOKUP(A181,IMPORTRANGE(""1QZ5UxyNCwadreQAXnQ7oCoH982DjIA-QnZdO7ZoqkC0/edit#gid=884617569"",""S1 Totals!$A$2:$O$255""),7,FALSE)"),43.0)</f>
        <v>43</v>
      </c>
      <c r="K181" s="15">
        <f>IFERROR(__xludf.DUMMYFUNCTION("VLOOKUP(A181,IMPORTRANGE(""1QZ5UxyNCwadreQAXnQ7oCoH982DjIA-QnZdO7ZoqkC0/edit#gid=884617569"",""S1 Totals!$A$2:$O$255""),8,FALSE)"),0.8775510204081632)</f>
        <v>0.8775510204</v>
      </c>
      <c r="L181" s="109">
        <f t="shared" si="3"/>
        <v>0.01638837353</v>
      </c>
      <c r="M181" s="16">
        <f>IFERROR(__xludf.DUMMYFUNCTION("VLOOKUP(A181,IMPORTRANGE(""1QZ5UxyNCwadreQAXnQ7oCoH982DjIA-QnZdO7ZoqkC0/edit#gid=884617569"",""S1 Totals!$A$2:$O$255""),10,FALSE)"),42.0)</f>
        <v>42</v>
      </c>
      <c r="N181" s="15">
        <f>IFERROR(__xludf.DUMMYFUNCTION("VLOOKUP(A181,IMPORTRANGE(""1QZ5UxyNCwadreQAXnQ7oCoH982DjIA-QnZdO7ZoqkC0/edit#gid=884617569"",""S1 Totals!$A$2:$O$256""),11,FALSE)"),0.875)</f>
        <v>0.875</v>
      </c>
      <c r="O181" s="110">
        <f t="shared" ref="O181:O182" si="36">C181-N181</f>
        <v>0.02651515152</v>
      </c>
      <c r="P181" s="16">
        <f>IFERROR(__xludf.DUMMYFUNCTION("VLOOKUP(A181,IMPORTRANGE(""1QZ5UxyNCwadreQAXnQ7oCoH982DjIA-QnZdO7ZoqkC0/edit#gid=884617569"",""S1 Totals!$A$2:$O$256""),13,FALSE)"),43.0)</f>
        <v>43</v>
      </c>
      <c r="Q181" s="15">
        <f>IFERROR(__xludf.DUMMYFUNCTION("VLOOKUP(A181,IMPORTRANGE(""1QZ5UxyNCwadreQAXnQ7oCoH982DjIA-QnZdO7ZoqkC0/edit#gid=884617569"",""S1 Totals!$A$2:$O$256""),14,FALSE)"),0.86)</f>
        <v>0.86</v>
      </c>
      <c r="R181" s="15">
        <f t="shared" ref="R181:R182" si="37">C181-Q181</f>
        <v>0.04151515152</v>
      </c>
    </row>
    <row r="182">
      <c r="A182" s="107" t="s">
        <v>86</v>
      </c>
      <c r="B182" s="16">
        <f>IFERROR(__xludf.DUMMYFUNCTION("VLOOKUP(A182,IMPORTRANGE(""1aFCnJY1qhIj8-JckJhDJ18aqmVo17tofpQmOjcYa3u8/edit#gid=590920912"",""S1 Totals!$A$2:$O$255""),2,FALSE)"),31.0)</f>
        <v>31</v>
      </c>
      <c r="C182" s="15">
        <f>IFERROR(__xludf.DUMMYFUNCTION("VLOOKUP(A182,IMPORTRANGE(""1aFCnJY1qhIj8-JckJhDJ18aqmVo17tofpQmOjcYa3u8/edit#gid=590920912"",""S1 Totals!$A$2:$O$255""),3,FALSE)"),0.9393939393939394)</f>
        <v>0.9393939394</v>
      </c>
      <c r="D182" s="16">
        <f>IFERROR(__xludf.DUMMYFUNCTION("VLOOKUP(A182,IMPORTRANGE(""1QZ5UxyNCwadreQAXnQ7oCoH982DjIA-QnZdO7ZoqkC0/edit#gid=884617569"",""S1 Totals!$A$2:$O$255""),2,FALSE)"),31.0)</f>
        <v>31</v>
      </c>
      <c r="E182" s="15">
        <f>IFERROR(__xludf.DUMMYFUNCTION("VLOOKUP(A182,IMPORTRANGE(""1QZ5UxyNCwadreQAXnQ7oCoH982DjIA-QnZdO7ZoqkC0/edit#gid=884617569"",""S1 Totals!$A$2:$O$255""),3,FALSE)"),0.9393939393939394)</f>
        <v>0.9393939394</v>
      </c>
      <c r="F182" s="108">
        <f t="shared" si="1"/>
        <v>0</v>
      </c>
      <c r="G182" s="16">
        <f>IFERROR(__xludf.DUMMYFUNCTION("VLOOKUP(A182,IMPORTRANGE(""1QZ5UxyNCwadreQAXnQ7oCoH982DjIA-QnZdO7ZoqkC0/edit#gid=884617569"",""S1 Totals!$A$2:$O$255""),4,FALSE)"),44.5)</f>
        <v>44.5</v>
      </c>
      <c r="H182" s="15">
        <f>IFERROR(__xludf.DUMMYFUNCTION("VLOOKUP(A182,IMPORTRANGE(""1QZ5UxyNCwadreQAXnQ7oCoH982DjIA-QnZdO7ZoqkC0/edit#gid=884617569"",""S1 Totals!$A$2:$O$255""),5,FALSE)"),0.9468085106382979)</f>
        <v>0.9468085106</v>
      </c>
      <c r="I182" s="108">
        <f t="shared" si="2"/>
        <v>-0.007414571244</v>
      </c>
      <c r="J182" s="16">
        <f>IFERROR(__xludf.DUMMYFUNCTION("VLOOKUP(A182,IMPORTRANGE(""1QZ5UxyNCwadreQAXnQ7oCoH982DjIA-QnZdO7ZoqkC0/edit#gid=884617569"",""S1 Totals!$A$2:$O$255""),7,FALSE)"),47.5)</f>
        <v>47.5</v>
      </c>
      <c r="K182" s="15">
        <f>IFERROR(__xludf.DUMMYFUNCTION("VLOOKUP(A182,IMPORTRANGE(""1QZ5UxyNCwadreQAXnQ7oCoH982DjIA-QnZdO7ZoqkC0/edit#gid=884617569"",""S1 Totals!$A$2:$O$255""),8,FALSE)"),0.9693877551020408)</f>
        <v>0.9693877551</v>
      </c>
      <c r="L182" s="109">
        <f t="shared" si="3"/>
        <v>-0.02999381571</v>
      </c>
      <c r="M182" s="16">
        <f>IFERROR(__xludf.DUMMYFUNCTION("VLOOKUP(A182,IMPORTRANGE(""1QZ5UxyNCwadreQAXnQ7oCoH982DjIA-QnZdO7ZoqkC0/edit#gid=884617569"",""S1 Totals!$A$2:$O$255""),10,FALSE)"),43.0)</f>
        <v>43</v>
      </c>
      <c r="N182" s="15">
        <f>IFERROR(__xludf.DUMMYFUNCTION("VLOOKUP(A182,IMPORTRANGE(""1QZ5UxyNCwadreQAXnQ7oCoH982DjIA-QnZdO7ZoqkC0/edit#gid=884617569"",""S1 Totals!$A$2:$O$256""),11,FALSE)"),0.8958333333333334)</f>
        <v>0.8958333333</v>
      </c>
      <c r="O182" s="110">
        <f t="shared" si="36"/>
        <v>0.04356060606</v>
      </c>
      <c r="P182" s="16">
        <f>IFERROR(__xludf.DUMMYFUNCTION("VLOOKUP(A182,IMPORTRANGE(""1QZ5UxyNCwadreQAXnQ7oCoH982DjIA-QnZdO7ZoqkC0/edit#gid=884617569"",""S1 Totals!$A$2:$O$256""),13,FALSE)"),48.5)</f>
        <v>48.5</v>
      </c>
      <c r="Q182" s="15">
        <f>IFERROR(__xludf.DUMMYFUNCTION("VLOOKUP(A182,IMPORTRANGE(""1QZ5UxyNCwadreQAXnQ7oCoH982DjIA-QnZdO7ZoqkC0/edit#gid=884617569"",""S1 Totals!$A$2:$O$256""),14,FALSE)"),0.97)</f>
        <v>0.97</v>
      </c>
      <c r="R182" s="15">
        <f t="shared" si="37"/>
        <v>-0.03060606061</v>
      </c>
    </row>
    <row r="183">
      <c r="A183" s="107" t="s">
        <v>248</v>
      </c>
      <c r="B183" s="16">
        <f>IFERROR(__xludf.DUMMYFUNCTION("VLOOKUP(A183,IMPORTRANGE(""1aFCnJY1qhIj8-JckJhDJ18aqmVo17tofpQmOjcYa3u8/edit#gid=590920912"",""S1 Totals!$A$2:$O$255""),2,FALSE)"),11.75)</f>
        <v>11.75</v>
      </c>
      <c r="C183" s="15">
        <f>IFERROR(__xludf.DUMMYFUNCTION("VLOOKUP(A183,IMPORTRANGE(""1aFCnJY1qhIj8-JckJhDJ18aqmVo17tofpQmOjcYa3u8/edit#gid=590920912"",""S1 Totals!$A$2:$O$255""),3,FALSE)"),0.3560606060606061)</f>
        <v>0.3560606061</v>
      </c>
      <c r="D183" s="16">
        <f>IFERROR(__xludf.DUMMYFUNCTION("VLOOKUP(A183,IMPORTRANGE(""1QZ5UxyNCwadreQAXnQ7oCoH982DjIA-QnZdO7ZoqkC0/edit#gid=884617569"",""S1 Totals!$A$2:$O$255""),2,FALSE)"),0.75)</f>
        <v>0.75</v>
      </c>
      <c r="E183" s="15">
        <f>IFERROR(__xludf.DUMMYFUNCTION("VLOOKUP(A183,IMPORTRANGE(""1QZ5UxyNCwadreQAXnQ7oCoH982DjIA-QnZdO7ZoqkC0/edit#gid=884617569"",""S1 Totals!$A$2:$O$255""),3,FALSE)"),0.022727272727272728)</f>
        <v>0.02272727273</v>
      </c>
      <c r="F183" s="108">
        <f t="shared" si="1"/>
        <v>0.3333333333</v>
      </c>
      <c r="G183" s="16">
        <f>IFERROR(__xludf.DUMMYFUNCTION("VLOOKUP(A183,IMPORTRANGE(""1QZ5UxyNCwadreQAXnQ7oCoH982DjIA-QnZdO7ZoqkC0/edit#gid=884617569"",""S1 Totals!$A$2:$O$255""),4,FALSE)"),4.5)</f>
        <v>4.5</v>
      </c>
      <c r="H183" s="15">
        <f>IFERROR(__xludf.DUMMYFUNCTION("VLOOKUP(A183,IMPORTRANGE(""1QZ5UxyNCwadreQAXnQ7oCoH982DjIA-QnZdO7ZoqkC0/edit#gid=884617569"",""S1 Totals!$A$2:$O$255""),5,FALSE)"),0.09574468085106383)</f>
        <v>0.09574468085</v>
      </c>
      <c r="I183" s="108">
        <f t="shared" si="2"/>
        <v>0.2603159252</v>
      </c>
      <c r="J183" s="16" t="str">
        <f>IFERROR(__xludf.DUMMYFUNCTION("VLOOKUP(A183,IMPORTRANGE(""1QZ5UxyNCwadreQAXnQ7oCoH982DjIA-QnZdO7ZoqkC0/edit#gid=884617569"",""S1 Totals!$A$2:$O$255""),7,FALSE)"),"")</f>
        <v/>
      </c>
      <c r="K183" s="15" t="str">
        <f>IFERROR(__xludf.DUMMYFUNCTION("VLOOKUP(A183,IMPORTRANGE(""1QZ5UxyNCwadreQAXnQ7oCoH982DjIA-QnZdO7ZoqkC0/edit#gid=884617569"",""S1 Totals!$A$2:$O$255""),8,FALSE)"),"")</f>
        <v/>
      </c>
      <c r="L183" s="109">
        <f t="shared" si="3"/>
        <v>0.02272727273</v>
      </c>
      <c r="M183" s="16"/>
      <c r="N183" s="15"/>
      <c r="O183" s="110"/>
      <c r="P183" s="16"/>
      <c r="Q183" s="15"/>
      <c r="R183" s="16"/>
    </row>
    <row r="184">
      <c r="A184" s="107" t="s">
        <v>87</v>
      </c>
      <c r="B184" s="16">
        <f>IFERROR(__xludf.DUMMYFUNCTION("VLOOKUP(A184,IMPORTRANGE(""1aFCnJY1qhIj8-JckJhDJ18aqmVo17tofpQmOjcYa3u8/edit#gid=590920912"",""S1 Totals!$A$2:$O$255""),2,FALSE)"),27.0)</f>
        <v>27</v>
      </c>
      <c r="C184" s="15">
        <f>IFERROR(__xludf.DUMMYFUNCTION("VLOOKUP(A184,IMPORTRANGE(""1aFCnJY1qhIj8-JckJhDJ18aqmVo17tofpQmOjcYa3u8/edit#gid=590920912"",""S1 Totals!$A$2:$O$255""),3,FALSE)"),0.8181818181818182)</f>
        <v>0.8181818182</v>
      </c>
      <c r="D184" s="16">
        <f>IFERROR(__xludf.DUMMYFUNCTION("VLOOKUP(A184,IMPORTRANGE(""1QZ5UxyNCwadreQAXnQ7oCoH982DjIA-QnZdO7ZoqkC0/edit#gid=884617569"",""S1 Totals!$A$2:$O$255""),2,FALSE)"),23.5)</f>
        <v>23.5</v>
      </c>
      <c r="E184" s="15">
        <f>IFERROR(__xludf.DUMMYFUNCTION("VLOOKUP(A184,IMPORTRANGE(""1QZ5UxyNCwadreQAXnQ7oCoH982DjIA-QnZdO7ZoqkC0/edit#gid=884617569"",""S1 Totals!$A$2:$O$255""),3,FALSE)"),0.7121212121212122)</f>
        <v>0.7121212121</v>
      </c>
      <c r="F184" s="108">
        <f t="shared" si="1"/>
        <v>0.1060606061</v>
      </c>
      <c r="G184" s="16">
        <f>IFERROR(__xludf.DUMMYFUNCTION("VLOOKUP(A184,IMPORTRANGE(""1QZ5UxyNCwadreQAXnQ7oCoH982DjIA-QnZdO7ZoqkC0/edit#gid=884617569"",""S1 Totals!$A$2:$O$255""),4,FALSE)"),36.5)</f>
        <v>36.5</v>
      </c>
      <c r="H184" s="15">
        <f>IFERROR(__xludf.DUMMYFUNCTION("VLOOKUP(A184,IMPORTRANGE(""1QZ5UxyNCwadreQAXnQ7oCoH982DjIA-QnZdO7ZoqkC0/edit#gid=884617569"",""S1 Totals!$A$2:$O$255""),5,FALSE)"),0.776595744680851)</f>
        <v>0.7765957447</v>
      </c>
      <c r="I184" s="108">
        <f t="shared" si="2"/>
        <v>0.0415860735</v>
      </c>
      <c r="J184" s="16">
        <f>IFERROR(__xludf.DUMMYFUNCTION("VLOOKUP(A184,IMPORTRANGE(""1QZ5UxyNCwadreQAXnQ7oCoH982DjIA-QnZdO7ZoqkC0/edit#gid=884617569"",""S1 Totals!$A$2:$O$255""),7,FALSE)"),31.0)</f>
        <v>31</v>
      </c>
      <c r="K184" s="15">
        <f>IFERROR(__xludf.DUMMYFUNCTION("VLOOKUP(A184,IMPORTRANGE(""1QZ5UxyNCwadreQAXnQ7oCoH982DjIA-QnZdO7ZoqkC0/edit#gid=884617569"",""S1 Totals!$A$2:$O$255""),8,FALSE)"),0.6326530612244898)</f>
        <v>0.6326530612</v>
      </c>
      <c r="L184" s="109">
        <f t="shared" si="3"/>
        <v>0.0794681509</v>
      </c>
      <c r="M184" s="16">
        <f>IFERROR(__xludf.DUMMYFUNCTION("VLOOKUP(A184,IMPORTRANGE(""1QZ5UxyNCwadreQAXnQ7oCoH982DjIA-QnZdO7ZoqkC0/edit#gid=884617569"",""S1 Totals!$A$2:$O$255""),10,FALSE)"),19.0)</f>
        <v>19</v>
      </c>
      <c r="N184" s="15">
        <f>IFERROR(__xludf.DUMMYFUNCTION("VLOOKUP(A184,IMPORTRANGE(""1QZ5UxyNCwadreQAXnQ7oCoH982DjIA-QnZdO7ZoqkC0/edit#gid=884617569"",""S1 Totals!$A$2:$O$256""),11,FALSE)"),0.3958333333333333)</f>
        <v>0.3958333333</v>
      </c>
      <c r="O184" s="110">
        <f t="shared" ref="O184:O185" si="38">C184-N184</f>
        <v>0.4223484848</v>
      </c>
      <c r="P184" s="16">
        <f>IFERROR(__xludf.DUMMYFUNCTION("VLOOKUP(A184,IMPORTRANGE(""1QZ5UxyNCwadreQAXnQ7oCoH982DjIA-QnZdO7ZoqkC0/edit#gid=884617569"",""S1 Totals!$A$2:$O$256""),13,FALSE)"),20.0)</f>
        <v>20</v>
      </c>
      <c r="Q184" s="15">
        <f>IFERROR(__xludf.DUMMYFUNCTION("VLOOKUP(A184,IMPORTRANGE(""1QZ5UxyNCwadreQAXnQ7oCoH982DjIA-QnZdO7ZoqkC0/edit#gid=884617569"",""S1 Totals!$A$2:$O$256""),14,FALSE)"),0.4)</f>
        <v>0.4</v>
      </c>
      <c r="R184" s="15">
        <f t="shared" ref="R184:R185" si="39">C184-Q184</f>
        <v>0.4181818182</v>
      </c>
    </row>
    <row r="185">
      <c r="A185" s="107" t="s">
        <v>62</v>
      </c>
      <c r="B185" s="16">
        <f>IFERROR(__xludf.DUMMYFUNCTION("VLOOKUP(A185,IMPORTRANGE(""1aFCnJY1qhIj8-JckJhDJ18aqmVo17tofpQmOjcYa3u8/edit#gid=590920912"",""S1 Totals!$A$2:$O$255""),2,FALSE)"),28.0)</f>
        <v>28</v>
      </c>
      <c r="C185" s="15">
        <f>IFERROR(__xludf.DUMMYFUNCTION("VLOOKUP(A185,IMPORTRANGE(""1aFCnJY1qhIj8-JckJhDJ18aqmVo17tofpQmOjcYa3u8/edit#gid=590920912"",""S1 Totals!$A$2:$O$255""),3,FALSE)"),0.8484848484848485)</f>
        <v>0.8484848485</v>
      </c>
      <c r="D185" s="16">
        <f>IFERROR(__xludf.DUMMYFUNCTION("VLOOKUP(A185,IMPORTRANGE(""1QZ5UxyNCwadreQAXnQ7oCoH982DjIA-QnZdO7ZoqkC0/edit#gid=884617569"",""S1 Totals!$A$2:$O$255""),2,FALSE)"),30.0)</f>
        <v>30</v>
      </c>
      <c r="E185" s="15">
        <f>IFERROR(__xludf.DUMMYFUNCTION("VLOOKUP(A185,IMPORTRANGE(""1QZ5UxyNCwadreQAXnQ7oCoH982DjIA-QnZdO7ZoqkC0/edit#gid=884617569"",""S1 Totals!$A$2:$O$255""),3,FALSE)"),0.9090909090909091)</f>
        <v>0.9090909091</v>
      </c>
      <c r="F185" s="108">
        <f t="shared" si="1"/>
        <v>-0.06060606061</v>
      </c>
      <c r="G185" s="16">
        <f>IFERROR(__xludf.DUMMYFUNCTION("VLOOKUP(A185,IMPORTRANGE(""1QZ5UxyNCwadreQAXnQ7oCoH982DjIA-QnZdO7ZoqkC0/edit#gid=884617569"",""S1 Totals!$A$2:$O$255""),4,FALSE)"),46.5)</f>
        <v>46.5</v>
      </c>
      <c r="H185" s="15">
        <f>IFERROR(__xludf.DUMMYFUNCTION("VLOOKUP(A185,IMPORTRANGE(""1QZ5UxyNCwadreQAXnQ7oCoH982DjIA-QnZdO7ZoqkC0/edit#gid=884617569"",""S1 Totals!$A$2:$O$255""),5,FALSE)"),0.9893617021276596)</f>
        <v>0.9893617021</v>
      </c>
      <c r="I185" s="108">
        <f t="shared" si="2"/>
        <v>-0.1408768536</v>
      </c>
      <c r="J185" s="16">
        <f>IFERROR(__xludf.DUMMYFUNCTION("VLOOKUP(A185,IMPORTRANGE(""1QZ5UxyNCwadreQAXnQ7oCoH982DjIA-QnZdO7ZoqkC0/edit#gid=884617569"",""S1 Totals!$A$2:$O$255""),7,FALSE)"),48.5)</f>
        <v>48.5</v>
      </c>
      <c r="K185" s="15">
        <f>IFERROR(__xludf.DUMMYFUNCTION("VLOOKUP(A185,IMPORTRANGE(""1QZ5UxyNCwadreQAXnQ7oCoH982DjIA-QnZdO7ZoqkC0/edit#gid=884617569"",""S1 Totals!$A$2:$O$255""),8,FALSE)"),0.9897959183673469)</f>
        <v>0.9897959184</v>
      </c>
      <c r="L185" s="109">
        <f t="shared" si="3"/>
        <v>-0.08070500928</v>
      </c>
      <c r="M185" s="16">
        <f>IFERROR(__xludf.DUMMYFUNCTION("VLOOKUP(A185,IMPORTRANGE(""1QZ5UxyNCwadreQAXnQ7oCoH982DjIA-QnZdO7ZoqkC0/edit#gid=884617569"",""S1 Totals!$A$2:$O$255""),10,FALSE)"),46.5)</f>
        <v>46.5</v>
      </c>
      <c r="N185" s="15">
        <f>IFERROR(__xludf.DUMMYFUNCTION("VLOOKUP(A185,IMPORTRANGE(""1QZ5UxyNCwadreQAXnQ7oCoH982DjIA-QnZdO7ZoqkC0/edit#gid=884617569"",""S1 Totals!$A$2:$O$256""),11,FALSE)"),0.96875)</f>
        <v>0.96875</v>
      </c>
      <c r="O185" s="110">
        <f t="shared" si="38"/>
        <v>-0.1202651515</v>
      </c>
      <c r="P185" s="16">
        <f>IFERROR(__xludf.DUMMYFUNCTION("VLOOKUP(A185,IMPORTRANGE(""1QZ5UxyNCwadreQAXnQ7oCoH982DjIA-QnZdO7ZoqkC0/edit#gid=884617569"",""S1 Totals!$A$2:$O$256""),13,FALSE)"),46.5)</f>
        <v>46.5</v>
      </c>
      <c r="Q185" s="15">
        <f>IFERROR(__xludf.DUMMYFUNCTION("VLOOKUP(A185,IMPORTRANGE(""1QZ5UxyNCwadreQAXnQ7oCoH982DjIA-QnZdO7ZoqkC0/edit#gid=884617569"",""S1 Totals!$A$2:$O$256""),14,FALSE)"),0.93)</f>
        <v>0.93</v>
      </c>
      <c r="R185" s="15">
        <f t="shared" si="39"/>
        <v>-0.08151515152</v>
      </c>
    </row>
    <row r="186">
      <c r="A186" s="107" t="s">
        <v>249</v>
      </c>
      <c r="B186" s="16">
        <f>IFERROR(__xludf.DUMMYFUNCTION("VLOOKUP(A186,IMPORTRANGE(""1aFCnJY1qhIj8-JckJhDJ18aqmVo17tofpQmOjcYa3u8/edit#gid=590920912"",""S1 Totals!$A$2:$O$255""),2,FALSE)"),14.0)</f>
        <v>14</v>
      </c>
      <c r="C186" s="15">
        <f>IFERROR(__xludf.DUMMYFUNCTION("VLOOKUP(A186,IMPORTRANGE(""1aFCnJY1qhIj8-JckJhDJ18aqmVo17tofpQmOjcYa3u8/edit#gid=590920912"",""S1 Totals!$A$2:$O$255""),3,FALSE)"),0.42424242424242425)</f>
        <v>0.4242424242</v>
      </c>
      <c r="D186" s="16">
        <f>IFERROR(__xludf.DUMMYFUNCTION("VLOOKUP(A186,IMPORTRANGE(""1QZ5UxyNCwadreQAXnQ7oCoH982DjIA-QnZdO7ZoqkC0/edit#gid=884617569"",""S1 Totals!$A$2:$O$255""),2,FALSE)"),16.5)</f>
        <v>16.5</v>
      </c>
      <c r="E186" s="15">
        <f>IFERROR(__xludf.DUMMYFUNCTION("VLOOKUP(A186,IMPORTRANGE(""1QZ5UxyNCwadreQAXnQ7oCoH982DjIA-QnZdO7ZoqkC0/edit#gid=884617569"",""S1 Totals!$A$2:$O$255""),3,FALSE)"),0.5)</f>
        <v>0.5</v>
      </c>
      <c r="F186" s="108">
        <f t="shared" si="1"/>
        <v>-0.07575757576</v>
      </c>
      <c r="G186" s="16">
        <f>IFERROR(__xludf.DUMMYFUNCTION("VLOOKUP(A186,IMPORTRANGE(""1QZ5UxyNCwadreQAXnQ7oCoH982DjIA-QnZdO7ZoqkC0/edit#gid=884617569"",""S1 Totals!$A$2:$O$255""),4,FALSE)"),25.5)</f>
        <v>25.5</v>
      </c>
      <c r="H186" s="15">
        <f>IFERROR(__xludf.DUMMYFUNCTION("VLOOKUP(A186,IMPORTRANGE(""1QZ5UxyNCwadreQAXnQ7oCoH982DjIA-QnZdO7ZoqkC0/edit#gid=884617569"",""S1 Totals!$A$2:$O$255""),5,FALSE)"),0.5425531914893617)</f>
        <v>0.5425531915</v>
      </c>
      <c r="I186" s="108">
        <f t="shared" si="2"/>
        <v>-0.1183107672</v>
      </c>
      <c r="J186" s="16" t="str">
        <f>IFERROR(__xludf.DUMMYFUNCTION("VLOOKUP(A186,IMPORTRANGE(""1QZ5UxyNCwadreQAXnQ7oCoH982DjIA-QnZdO7ZoqkC0/edit#gid=884617569"",""S1 Totals!$A$2:$O$255""),7,FALSE)"),"")</f>
        <v/>
      </c>
      <c r="K186" s="15" t="str">
        <f>IFERROR(__xludf.DUMMYFUNCTION("VLOOKUP(A186,IMPORTRANGE(""1QZ5UxyNCwadreQAXnQ7oCoH982DjIA-QnZdO7ZoqkC0/edit#gid=884617569"",""S1 Totals!$A$2:$O$255""),8,FALSE)"),"")</f>
        <v/>
      </c>
      <c r="L186" s="109">
        <f t="shared" si="3"/>
        <v>0.5</v>
      </c>
      <c r="M186" s="16"/>
      <c r="N186" s="15"/>
      <c r="O186" s="110"/>
      <c r="P186" s="16"/>
      <c r="Q186" s="15"/>
      <c r="R186" s="16"/>
    </row>
    <row r="187">
      <c r="A187" s="107" t="s">
        <v>250</v>
      </c>
      <c r="B187" s="16">
        <f>IFERROR(__xludf.DUMMYFUNCTION("VLOOKUP(A187,IMPORTRANGE(""1aFCnJY1qhIj8-JckJhDJ18aqmVo17tofpQmOjcYa3u8/edit#gid=590920912"",""S1 Totals!$A$2:$O$255""),2,FALSE)"),10.5)</f>
        <v>10.5</v>
      </c>
      <c r="C187" s="15">
        <f>IFERROR(__xludf.DUMMYFUNCTION("VLOOKUP(A187,IMPORTRANGE(""1aFCnJY1qhIj8-JckJhDJ18aqmVo17tofpQmOjcYa3u8/edit#gid=590920912"",""S1 Totals!$A$2:$O$255""),3,FALSE)"),0.3181818181818182)</f>
        <v>0.3181818182</v>
      </c>
      <c r="D187" s="16">
        <f>IFERROR(__xludf.DUMMYFUNCTION("VLOOKUP(A187,IMPORTRANGE(""1QZ5UxyNCwadreQAXnQ7oCoH982DjIA-QnZdO7ZoqkC0/edit#gid=884617569"",""S1 Totals!$A$2:$O$255""),2,FALSE)"),11.25)</f>
        <v>11.25</v>
      </c>
      <c r="E187" s="15">
        <f>IFERROR(__xludf.DUMMYFUNCTION("VLOOKUP(A187,IMPORTRANGE(""1QZ5UxyNCwadreQAXnQ7oCoH982DjIA-QnZdO7ZoqkC0/edit#gid=884617569"",""S1 Totals!$A$2:$O$255""),3,FALSE)"),0.3409090909090909)</f>
        <v>0.3409090909</v>
      </c>
      <c r="F187" s="108">
        <f t="shared" si="1"/>
        <v>-0.02272727273</v>
      </c>
      <c r="G187" s="16">
        <f>IFERROR(__xludf.DUMMYFUNCTION("VLOOKUP(A187,IMPORTRANGE(""1QZ5UxyNCwadreQAXnQ7oCoH982DjIA-QnZdO7ZoqkC0/edit#gid=884617569"",""S1 Totals!$A$2:$O$255""),4,FALSE)"),17.0)</f>
        <v>17</v>
      </c>
      <c r="H187" s="15">
        <f>IFERROR(__xludf.DUMMYFUNCTION("VLOOKUP(A187,IMPORTRANGE(""1QZ5UxyNCwadreQAXnQ7oCoH982DjIA-QnZdO7ZoqkC0/edit#gid=884617569"",""S1 Totals!$A$2:$O$255""),5,FALSE)"),0.3617021276595745)</f>
        <v>0.3617021277</v>
      </c>
      <c r="I187" s="108">
        <f t="shared" si="2"/>
        <v>-0.04352030948</v>
      </c>
      <c r="J187" s="16" t="str">
        <f>IFERROR(__xludf.DUMMYFUNCTION("VLOOKUP(A187,IMPORTRANGE(""1QZ5UxyNCwadreQAXnQ7oCoH982DjIA-QnZdO7ZoqkC0/edit#gid=884617569"",""S1 Totals!$A$2:$O$255""),7,FALSE)"),"")</f>
        <v/>
      </c>
      <c r="K187" s="15" t="str">
        <f>IFERROR(__xludf.DUMMYFUNCTION("VLOOKUP(A187,IMPORTRANGE(""1QZ5UxyNCwadreQAXnQ7oCoH982DjIA-QnZdO7ZoqkC0/edit#gid=884617569"",""S1 Totals!$A$2:$O$255""),8,FALSE)"),"")</f>
        <v/>
      </c>
      <c r="L187" s="109">
        <f t="shared" si="3"/>
        <v>0.3409090909</v>
      </c>
      <c r="M187" s="16"/>
      <c r="N187" s="15"/>
      <c r="O187" s="110"/>
      <c r="P187" s="16"/>
      <c r="Q187" s="15"/>
      <c r="R187" s="16"/>
    </row>
    <row r="188">
      <c r="A188" s="107" t="s">
        <v>251</v>
      </c>
      <c r="B188" s="16">
        <f>IFERROR(__xludf.DUMMYFUNCTION("VLOOKUP(A188,IMPORTRANGE(""1aFCnJY1qhIj8-JckJhDJ18aqmVo17tofpQmOjcYa3u8/edit#gid=590920912"",""S1 Totals!$A$2:$O$255""),2,FALSE)"),17.5)</f>
        <v>17.5</v>
      </c>
      <c r="C188" s="15">
        <f>IFERROR(__xludf.DUMMYFUNCTION("VLOOKUP(A188,IMPORTRANGE(""1aFCnJY1qhIj8-JckJhDJ18aqmVo17tofpQmOjcYa3u8/edit#gid=590920912"",""S1 Totals!$A$2:$O$255""),3,FALSE)"),0.5303030303030303)</f>
        <v>0.5303030303</v>
      </c>
      <c r="D188" s="16">
        <f>IFERROR(__xludf.DUMMYFUNCTION("VLOOKUP(A188,IMPORTRANGE(""1QZ5UxyNCwadreQAXnQ7oCoH982DjIA-QnZdO7ZoqkC0/edit#gid=884617569"",""S1 Totals!$A$2:$O$255""),2,FALSE)"),17.0)</f>
        <v>17</v>
      </c>
      <c r="E188" s="15">
        <f>IFERROR(__xludf.DUMMYFUNCTION("VLOOKUP(A188,IMPORTRANGE(""1QZ5UxyNCwadreQAXnQ7oCoH982DjIA-QnZdO7ZoqkC0/edit#gid=884617569"",""S1 Totals!$A$2:$O$255""),3,FALSE)"),0.5151515151515151)</f>
        <v>0.5151515152</v>
      </c>
      <c r="F188" s="108">
        <f t="shared" si="1"/>
        <v>0.01515151515</v>
      </c>
      <c r="G188" s="16">
        <f>IFERROR(__xludf.DUMMYFUNCTION("VLOOKUP(A188,IMPORTRANGE(""1QZ5UxyNCwadreQAXnQ7oCoH982DjIA-QnZdO7ZoqkC0/edit#gid=884617569"",""S1 Totals!$A$2:$O$255""),4,FALSE)"),25.5)</f>
        <v>25.5</v>
      </c>
      <c r="H188" s="15">
        <f>IFERROR(__xludf.DUMMYFUNCTION("VLOOKUP(A188,IMPORTRANGE(""1QZ5UxyNCwadreQAXnQ7oCoH982DjIA-QnZdO7ZoqkC0/edit#gid=884617569"",""S1 Totals!$A$2:$O$255""),5,FALSE)"),0.5425531914893617)</f>
        <v>0.5425531915</v>
      </c>
      <c r="I188" s="108">
        <f t="shared" si="2"/>
        <v>-0.01225016119</v>
      </c>
      <c r="J188" s="16" t="str">
        <f>IFERROR(__xludf.DUMMYFUNCTION("VLOOKUP(A188,IMPORTRANGE(""1QZ5UxyNCwadreQAXnQ7oCoH982DjIA-QnZdO7ZoqkC0/edit#gid=884617569"",""S1 Totals!$A$2:$O$255""),7,FALSE)"),"")</f>
        <v/>
      </c>
      <c r="K188" s="15" t="str">
        <f>IFERROR(__xludf.DUMMYFUNCTION("VLOOKUP(A188,IMPORTRANGE(""1QZ5UxyNCwadreQAXnQ7oCoH982DjIA-QnZdO7ZoqkC0/edit#gid=884617569"",""S1 Totals!$A$2:$O$255""),8,FALSE)"),"")</f>
        <v/>
      </c>
      <c r="L188" s="109">
        <f t="shared" si="3"/>
        <v>0.5151515152</v>
      </c>
      <c r="M188" s="16"/>
      <c r="N188" s="15"/>
      <c r="O188" s="110"/>
      <c r="P188" s="16"/>
      <c r="Q188" s="15"/>
      <c r="R188" s="16"/>
    </row>
    <row r="189">
      <c r="A189" s="107" t="s">
        <v>193</v>
      </c>
      <c r="B189" s="16">
        <f>IFERROR(__xludf.DUMMYFUNCTION("VLOOKUP(A189,IMPORTRANGE(""1aFCnJY1qhIj8-JckJhDJ18aqmVo17tofpQmOjcYa3u8/edit#gid=590920912"",""S1 Totals!$A$2:$O$255""),2,FALSE)"),3.0)</f>
        <v>3</v>
      </c>
      <c r="C189" s="15">
        <f>IFERROR(__xludf.DUMMYFUNCTION("VLOOKUP(A189,IMPORTRANGE(""1aFCnJY1qhIj8-JckJhDJ18aqmVo17tofpQmOjcYa3u8/edit#gid=590920912"",""S1 Totals!$A$2:$O$255""),3,FALSE)"),0.09090909090909091)</f>
        <v>0.09090909091</v>
      </c>
      <c r="D189" s="16">
        <f>IFERROR(__xludf.DUMMYFUNCTION("VLOOKUP(A189,IMPORTRANGE(""1QZ5UxyNCwadreQAXnQ7oCoH982DjIA-QnZdO7ZoqkC0/edit#gid=884617569"",""S1 Totals!$A$2:$O$255""),2,FALSE)"),0.5)</f>
        <v>0.5</v>
      </c>
      <c r="E189" s="15">
        <f>IFERROR(__xludf.DUMMYFUNCTION("VLOOKUP(A189,IMPORTRANGE(""1QZ5UxyNCwadreQAXnQ7oCoH982DjIA-QnZdO7ZoqkC0/edit#gid=884617569"",""S1 Totals!$A$2:$O$255""),3,FALSE)"),0.015151515151515152)</f>
        <v>0.01515151515</v>
      </c>
      <c r="F189" s="108">
        <f t="shared" si="1"/>
        <v>0.07575757576</v>
      </c>
      <c r="G189" s="16">
        <f>IFERROR(__xludf.DUMMYFUNCTION("VLOOKUP(A189,IMPORTRANGE(""1QZ5UxyNCwadreQAXnQ7oCoH982DjIA-QnZdO7ZoqkC0/edit#gid=884617569"",""S1 Totals!$A$2:$O$255""),4,FALSE)"),2.5)</f>
        <v>2.5</v>
      </c>
      <c r="H189" s="15">
        <f>IFERROR(__xludf.DUMMYFUNCTION("VLOOKUP(A189,IMPORTRANGE(""1QZ5UxyNCwadreQAXnQ7oCoH982DjIA-QnZdO7ZoqkC0/edit#gid=884617569"",""S1 Totals!$A$2:$O$255""),5,FALSE)"),0.05319148936170213)</f>
        <v>0.05319148936</v>
      </c>
      <c r="I189" s="108">
        <f t="shared" si="2"/>
        <v>0.03771760155</v>
      </c>
      <c r="J189" s="16">
        <f>IFERROR(__xludf.DUMMYFUNCTION("VLOOKUP(A189,IMPORTRANGE(""1QZ5UxyNCwadreQAXnQ7oCoH982DjIA-QnZdO7ZoqkC0/edit#gid=884617569"",""S1 Totals!$A$2:$O$255""),7,FALSE)"),0.5)</f>
        <v>0.5</v>
      </c>
      <c r="K189" s="15">
        <f>IFERROR(__xludf.DUMMYFUNCTION("VLOOKUP(A189,IMPORTRANGE(""1QZ5UxyNCwadreQAXnQ7oCoH982DjIA-QnZdO7ZoqkC0/edit#gid=884617569"",""S1 Totals!$A$2:$O$255""),8,FALSE)"),0.01020408163265306)</f>
        <v>0.01020408163</v>
      </c>
      <c r="L189" s="109">
        <f t="shared" si="3"/>
        <v>0.004947433519</v>
      </c>
      <c r="M189" s="16"/>
      <c r="N189" s="15"/>
      <c r="O189" s="110"/>
      <c r="P189" s="16"/>
      <c r="Q189" s="15"/>
      <c r="R189" s="16"/>
    </row>
    <row r="190">
      <c r="A190" s="107" t="s">
        <v>194</v>
      </c>
      <c r="B190" s="16">
        <f>IFERROR(__xludf.DUMMYFUNCTION("VLOOKUP(A190,IMPORTRANGE(""1aFCnJY1qhIj8-JckJhDJ18aqmVo17tofpQmOjcYa3u8/edit#gid=590920912"",""S1 Totals!$A$2:$O$255""),2,FALSE)"),24.25)</f>
        <v>24.25</v>
      </c>
      <c r="C190" s="15">
        <f>IFERROR(__xludf.DUMMYFUNCTION("VLOOKUP(A190,IMPORTRANGE(""1aFCnJY1qhIj8-JckJhDJ18aqmVo17tofpQmOjcYa3u8/edit#gid=590920912"",""S1 Totals!$A$2:$O$255""),3,FALSE)"),0.7348484848484849)</f>
        <v>0.7348484848</v>
      </c>
      <c r="D190" s="16">
        <f>IFERROR(__xludf.DUMMYFUNCTION("VLOOKUP(A190,IMPORTRANGE(""1QZ5UxyNCwadreQAXnQ7oCoH982DjIA-QnZdO7ZoqkC0/edit#gid=884617569"",""S1 Totals!$A$2:$O$255""),2,FALSE)"),21.0)</f>
        <v>21</v>
      </c>
      <c r="E190" s="15">
        <f>IFERROR(__xludf.DUMMYFUNCTION("VLOOKUP(A190,IMPORTRANGE(""1QZ5UxyNCwadreQAXnQ7oCoH982DjIA-QnZdO7ZoqkC0/edit#gid=884617569"",""S1 Totals!$A$2:$O$255""),3,FALSE)"),0.6363636363636364)</f>
        <v>0.6363636364</v>
      </c>
      <c r="F190" s="108">
        <f t="shared" si="1"/>
        <v>0.09848484848</v>
      </c>
      <c r="G190" s="16">
        <f>IFERROR(__xludf.DUMMYFUNCTION("VLOOKUP(A190,IMPORTRANGE(""1QZ5UxyNCwadreQAXnQ7oCoH982DjIA-QnZdO7ZoqkC0/edit#gid=884617569"",""S1 Totals!$A$2:$O$255""),4,FALSE)"),19.5)</f>
        <v>19.5</v>
      </c>
      <c r="H190" s="15">
        <f>IFERROR(__xludf.DUMMYFUNCTION("VLOOKUP(A190,IMPORTRANGE(""1QZ5UxyNCwadreQAXnQ7oCoH982DjIA-QnZdO7ZoqkC0/edit#gid=884617569"",""S1 Totals!$A$2:$O$255""),5,FALSE)"),0.4148936170212766)</f>
        <v>0.414893617</v>
      </c>
      <c r="I190" s="108">
        <f t="shared" si="2"/>
        <v>0.3199548678</v>
      </c>
      <c r="J190" s="16">
        <f>IFERROR(__xludf.DUMMYFUNCTION("VLOOKUP(A190,IMPORTRANGE(""1QZ5UxyNCwadreQAXnQ7oCoH982DjIA-QnZdO7ZoqkC0/edit#gid=884617569"",""S1 Totals!$A$2:$O$255""),7,FALSE)"),12.0)</f>
        <v>12</v>
      </c>
      <c r="K190" s="15">
        <f>IFERROR(__xludf.DUMMYFUNCTION("VLOOKUP(A190,IMPORTRANGE(""1QZ5UxyNCwadreQAXnQ7oCoH982DjIA-QnZdO7ZoqkC0/edit#gid=884617569"",""S1 Totals!$A$2:$O$255""),8,FALSE)"),0.24489795918367346)</f>
        <v>0.2448979592</v>
      </c>
      <c r="L190" s="109">
        <f t="shared" si="3"/>
        <v>0.3914656772</v>
      </c>
      <c r="M190" s="16"/>
      <c r="N190" s="15"/>
      <c r="O190" s="110"/>
      <c r="P190" s="16"/>
      <c r="Q190" s="15"/>
      <c r="R190" s="16"/>
    </row>
    <row r="191">
      <c r="A191" s="117" t="s">
        <v>277</v>
      </c>
      <c r="B191" s="16">
        <f>IFERROR(__xludf.DUMMYFUNCTION("VLOOKUP(A191,IMPORTRANGE(""1aFCnJY1qhIj8-JckJhDJ18aqmVo17tofpQmOjcYa3u8/edit#gid=590920912"",""S1 Totals!$A$2:$O$255""),2,FALSE)"),4.0)</f>
        <v>4</v>
      </c>
      <c r="C191" s="15">
        <f>IFERROR(__xludf.DUMMYFUNCTION("VLOOKUP(A191,IMPORTRANGE(""1aFCnJY1qhIj8-JckJhDJ18aqmVo17tofpQmOjcYa3u8/edit#gid=590920912"",""S1 Totals!$A$2:$O$255""),3,FALSE)"),0.12121212121212122)</f>
        <v>0.1212121212</v>
      </c>
      <c r="D191" s="16" t="str">
        <f>IFERROR(__xludf.DUMMYFUNCTION("VLOOKUP(A191,IMPORTRANGE(""1QZ5UxyNCwadreQAXnQ7oCoH982DjIA-QnZdO7ZoqkC0/edit#gid=884617569"",""S1 Totals!$A$2:$O$255""),2,FALSE)"),"#N/A")</f>
        <v>#N/A</v>
      </c>
      <c r="E191" s="15" t="str">
        <f>IFERROR(__xludf.DUMMYFUNCTION("VLOOKUP(A191,IMPORTRANGE(""1QZ5UxyNCwadreQAXnQ7oCoH982DjIA-QnZdO7ZoqkC0/edit#gid=884617569"",""S1 Totals!$A$2:$O$255""),3,FALSE)"),"#N/A")</f>
        <v>#N/A</v>
      </c>
      <c r="F191" s="112" t="str">
        <f t="shared" si="1"/>
        <v>#N/A</v>
      </c>
      <c r="G191" s="16" t="str">
        <f>IFERROR(__xludf.DUMMYFUNCTION("VLOOKUP(A191,IMPORTRANGE(""1QZ5UxyNCwadreQAXnQ7oCoH982DjIA-QnZdO7ZoqkC0/edit#gid=884617569"",""S1 Totals!$A$2:$O$255""),4,FALSE)"),"#N/A")</f>
        <v>#N/A</v>
      </c>
      <c r="H191" s="15" t="str">
        <f>IFERROR(__xludf.DUMMYFUNCTION("VLOOKUP(A191,IMPORTRANGE(""1QZ5UxyNCwadreQAXnQ7oCoH982DjIA-QnZdO7ZoqkC0/edit#gid=884617569"",""S1 Totals!$A$2:$O$255""),5,FALSE)"),"#N/A")</f>
        <v>#N/A</v>
      </c>
      <c r="I191" s="108" t="str">
        <f t="shared" si="2"/>
        <v>#N/A</v>
      </c>
      <c r="J191" s="16" t="str">
        <f>IFERROR(__xludf.DUMMYFUNCTION("VLOOKUP(A191,IMPORTRANGE(""1QZ5UxyNCwadreQAXnQ7oCoH982DjIA-QnZdO7ZoqkC0/edit#gid=884617569"",""S1 Totals!$A$2:$O$255""),7,FALSE)"),"#N/A")</f>
        <v>#N/A</v>
      </c>
      <c r="K191" s="15" t="str">
        <f>IFERROR(__xludf.DUMMYFUNCTION("VLOOKUP(A191,IMPORTRANGE(""1QZ5UxyNCwadreQAXnQ7oCoH982DjIA-QnZdO7ZoqkC0/edit#gid=884617569"",""S1 Totals!$A$2:$O$255""),8,FALSE)"),"#N/A")</f>
        <v>#N/A</v>
      </c>
      <c r="L191" s="113" t="str">
        <f t="shared" si="3"/>
        <v>#N/A</v>
      </c>
      <c r="M191" s="16" t="str">
        <f>IFERROR(__xludf.DUMMYFUNCTION("VLOOKUP(A191,IMPORTRANGE(""1QZ5UxyNCwadreQAXnQ7oCoH982DjIA-QnZdO7ZoqkC0/edit#gid=884617569"",""S1 Totals!$A$2:$O$255""),10,FALSE)"),"#N/A")</f>
        <v>#N/A</v>
      </c>
      <c r="N191" s="15" t="str">
        <f>IFERROR(__xludf.DUMMYFUNCTION("VLOOKUP(A191,IMPORTRANGE(""1QZ5UxyNCwadreQAXnQ7oCoH982DjIA-QnZdO7ZoqkC0/edit#gid=884617569"",""S1 Totals!$A$2:$O$256""),11,FALSE)"),"#N/A")</f>
        <v>#N/A</v>
      </c>
      <c r="O191" s="110" t="str">
        <f t="shared" ref="O191:O192" si="40">C191-N191</f>
        <v>#N/A</v>
      </c>
      <c r="P191" s="16" t="str">
        <f>IFERROR(__xludf.DUMMYFUNCTION("VLOOKUP(A191,IMPORTRANGE(""1QZ5UxyNCwadreQAXnQ7oCoH982DjIA-QnZdO7ZoqkC0/edit#gid=884617569"",""S1 Totals!$A$2:$O$256""),13,FALSE)"),"#N/A")</f>
        <v>#N/A</v>
      </c>
      <c r="Q191" s="15" t="str">
        <f>IFERROR(__xludf.DUMMYFUNCTION("VLOOKUP(A191,IMPORTRANGE(""1QZ5UxyNCwadreQAXnQ7oCoH982DjIA-QnZdO7ZoqkC0/edit#gid=884617569"",""S1 Totals!$A$2:$O$256""),14,FALSE)"),"#N/A")</f>
        <v>#N/A</v>
      </c>
      <c r="R191" s="16" t="str">
        <f t="shared" ref="R191:R192" si="41">C191-Q191</f>
        <v>#N/A</v>
      </c>
    </row>
    <row r="192">
      <c r="A192" s="107" t="s">
        <v>44</v>
      </c>
      <c r="B192" s="16">
        <f>IFERROR(__xludf.DUMMYFUNCTION("VLOOKUP(A192,IMPORTRANGE(""1aFCnJY1qhIj8-JckJhDJ18aqmVo17tofpQmOjcYa3u8/edit#gid=590920912"",""S1 Totals!$A$2:$O$255""),2,FALSE)"),6.5)</f>
        <v>6.5</v>
      </c>
      <c r="C192" s="15">
        <f>IFERROR(__xludf.DUMMYFUNCTION("VLOOKUP(A192,IMPORTRANGE(""1aFCnJY1qhIj8-JckJhDJ18aqmVo17tofpQmOjcYa3u8/edit#gid=590920912"",""S1 Totals!$A$2:$O$255""),3,FALSE)"),0.19696969696969696)</f>
        <v>0.196969697</v>
      </c>
      <c r="D192" s="16">
        <f>IFERROR(__xludf.DUMMYFUNCTION("VLOOKUP(A192,IMPORTRANGE(""1QZ5UxyNCwadreQAXnQ7oCoH982DjIA-QnZdO7ZoqkC0/edit#gid=884617569"",""S1 Totals!$A$2:$O$255""),2,FALSE)"),8.25)</f>
        <v>8.25</v>
      </c>
      <c r="E192" s="15">
        <f>IFERROR(__xludf.DUMMYFUNCTION("VLOOKUP(A192,IMPORTRANGE(""1QZ5UxyNCwadreQAXnQ7oCoH982DjIA-QnZdO7ZoqkC0/edit#gid=884617569"",""S1 Totals!$A$2:$O$255""),3,FALSE)"),0.25)</f>
        <v>0.25</v>
      </c>
      <c r="F192" s="108">
        <f t="shared" si="1"/>
        <v>-0.05303030303</v>
      </c>
      <c r="G192" s="16">
        <f>IFERROR(__xludf.DUMMYFUNCTION("VLOOKUP(A192,IMPORTRANGE(""1QZ5UxyNCwadreQAXnQ7oCoH982DjIA-QnZdO7ZoqkC0/edit#gid=884617569"",""S1 Totals!$A$2:$O$255""),4,FALSE)"),15.0)</f>
        <v>15</v>
      </c>
      <c r="H192" s="15">
        <f>IFERROR(__xludf.DUMMYFUNCTION("VLOOKUP(A192,IMPORTRANGE(""1QZ5UxyNCwadreQAXnQ7oCoH982DjIA-QnZdO7ZoqkC0/edit#gid=884617569"",""S1 Totals!$A$2:$O$255""),5,FALSE)"),0.3191489361702128)</f>
        <v>0.3191489362</v>
      </c>
      <c r="I192" s="108">
        <f t="shared" si="2"/>
        <v>-0.1221792392</v>
      </c>
      <c r="J192" s="16">
        <f>IFERROR(__xludf.DUMMYFUNCTION("VLOOKUP(A192,IMPORTRANGE(""1QZ5UxyNCwadreQAXnQ7oCoH982DjIA-QnZdO7ZoqkC0/edit#gid=884617569"",""S1 Totals!$A$2:$O$255""),7,FALSE)"),15.0)</f>
        <v>15</v>
      </c>
      <c r="K192" s="15">
        <f>IFERROR(__xludf.DUMMYFUNCTION("VLOOKUP(A192,IMPORTRANGE(""1QZ5UxyNCwadreQAXnQ7oCoH982DjIA-QnZdO7ZoqkC0/edit#gid=884617569"",""S1 Totals!$A$2:$O$255""),8,FALSE)"),0.30612244897959184)</f>
        <v>0.306122449</v>
      </c>
      <c r="L192" s="109">
        <f t="shared" si="3"/>
        <v>-0.05612244898</v>
      </c>
      <c r="M192" s="16">
        <f>IFERROR(__xludf.DUMMYFUNCTION("VLOOKUP(A192,IMPORTRANGE(""1QZ5UxyNCwadreQAXnQ7oCoH982DjIA-QnZdO7ZoqkC0/edit#gid=884617569"",""S1 Totals!$A$2:$O$255""),10,FALSE)"),14.0)</f>
        <v>14</v>
      </c>
      <c r="N192" s="15">
        <f>IFERROR(__xludf.DUMMYFUNCTION("VLOOKUP(A192,IMPORTRANGE(""1QZ5UxyNCwadreQAXnQ7oCoH982DjIA-QnZdO7ZoqkC0/edit#gid=884617569"",""S1 Totals!$A$2:$O$256""),11,FALSE)"),0.2916666666666667)</f>
        <v>0.2916666667</v>
      </c>
      <c r="O192" s="110">
        <f t="shared" si="40"/>
        <v>-0.0946969697</v>
      </c>
      <c r="P192" s="16">
        <f>IFERROR(__xludf.DUMMYFUNCTION("VLOOKUP(A192,IMPORTRANGE(""1QZ5UxyNCwadreQAXnQ7oCoH982DjIA-QnZdO7ZoqkC0/edit#gid=884617569"",""S1 Totals!$A$2:$O$256""),13,FALSE)"),13.5)</f>
        <v>13.5</v>
      </c>
      <c r="Q192" s="15">
        <f>IFERROR(__xludf.DUMMYFUNCTION("VLOOKUP(A192,IMPORTRANGE(""1QZ5UxyNCwadreQAXnQ7oCoH982DjIA-QnZdO7ZoqkC0/edit#gid=884617569"",""S1 Totals!$A$2:$O$256""),14,FALSE)"),0.27)</f>
        <v>0.27</v>
      </c>
      <c r="R192" s="15">
        <f t="shared" si="41"/>
        <v>-0.07303030303</v>
      </c>
    </row>
    <row r="193">
      <c r="A193" s="107" t="s">
        <v>252</v>
      </c>
      <c r="B193" s="16">
        <f>IFERROR(__xludf.DUMMYFUNCTION("VLOOKUP(A193,IMPORTRANGE(""1aFCnJY1qhIj8-JckJhDJ18aqmVo17tofpQmOjcYa3u8/edit#gid=590920912"",""S1 Totals!$A$2:$O$255""),2,FALSE)"),11.75)</f>
        <v>11.75</v>
      </c>
      <c r="C193" s="15">
        <f>IFERROR(__xludf.DUMMYFUNCTION("VLOOKUP(A193,IMPORTRANGE(""1aFCnJY1qhIj8-JckJhDJ18aqmVo17tofpQmOjcYa3u8/edit#gid=590920912"",""S1 Totals!$A$2:$O$255""),3,FALSE)"),0.3560606060606061)</f>
        <v>0.3560606061</v>
      </c>
      <c r="D193" s="16">
        <f>IFERROR(__xludf.DUMMYFUNCTION("VLOOKUP(A193,IMPORTRANGE(""1QZ5UxyNCwadreQAXnQ7oCoH982DjIA-QnZdO7ZoqkC0/edit#gid=884617569"",""S1 Totals!$A$2:$O$255""),2,FALSE)"),0.75)</f>
        <v>0.75</v>
      </c>
      <c r="E193" s="15">
        <f>IFERROR(__xludf.DUMMYFUNCTION("VLOOKUP(A193,IMPORTRANGE(""1QZ5UxyNCwadreQAXnQ7oCoH982DjIA-QnZdO7ZoqkC0/edit#gid=884617569"",""S1 Totals!$A$2:$O$255""),3,FALSE)"),0.022727272727272728)</f>
        <v>0.02272727273</v>
      </c>
      <c r="F193" s="108">
        <f t="shared" si="1"/>
        <v>0.3333333333</v>
      </c>
      <c r="G193" s="16">
        <f>IFERROR(__xludf.DUMMYFUNCTION("VLOOKUP(A193,IMPORTRANGE(""1QZ5UxyNCwadreQAXnQ7oCoH982DjIA-QnZdO7ZoqkC0/edit#gid=884617569"",""S1 Totals!$A$2:$O$255""),4,FALSE)"),4.5)</f>
        <v>4.5</v>
      </c>
      <c r="H193" s="15">
        <f>IFERROR(__xludf.DUMMYFUNCTION("VLOOKUP(A193,IMPORTRANGE(""1QZ5UxyNCwadreQAXnQ7oCoH982DjIA-QnZdO7ZoqkC0/edit#gid=884617569"",""S1 Totals!$A$2:$O$255""),5,FALSE)"),0.09574468085106383)</f>
        <v>0.09574468085</v>
      </c>
      <c r="I193" s="108">
        <f t="shared" si="2"/>
        <v>0.2603159252</v>
      </c>
      <c r="J193" s="16" t="str">
        <f>IFERROR(__xludf.DUMMYFUNCTION("VLOOKUP(A193,IMPORTRANGE(""1QZ5UxyNCwadreQAXnQ7oCoH982DjIA-QnZdO7ZoqkC0/edit#gid=884617569"",""S1 Totals!$A$2:$O$255""),7,FALSE)"),"")</f>
        <v/>
      </c>
      <c r="K193" s="15" t="str">
        <f>IFERROR(__xludf.DUMMYFUNCTION("VLOOKUP(A193,IMPORTRANGE(""1QZ5UxyNCwadreQAXnQ7oCoH982DjIA-QnZdO7ZoqkC0/edit#gid=884617569"",""S1 Totals!$A$2:$O$255""),8,FALSE)"),"")</f>
        <v/>
      </c>
      <c r="L193" s="109">
        <f t="shared" si="3"/>
        <v>0.02272727273</v>
      </c>
      <c r="M193" s="16"/>
      <c r="N193" s="15"/>
      <c r="O193" s="110"/>
      <c r="P193" s="16"/>
      <c r="Q193" s="15"/>
      <c r="R193" s="16"/>
    </row>
    <row r="194">
      <c r="A194" s="107" t="s">
        <v>90</v>
      </c>
      <c r="B194" s="16">
        <f>IFERROR(__xludf.DUMMYFUNCTION("VLOOKUP(A194,IMPORTRANGE(""1aFCnJY1qhIj8-JckJhDJ18aqmVo17tofpQmOjcYa3u8/edit#gid=590920912"",""S1 Totals!$A$2:$O$255""),2,FALSE)"),22.5)</f>
        <v>22.5</v>
      </c>
      <c r="C194" s="15">
        <f>IFERROR(__xludf.DUMMYFUNCTION("VLOOKUP(A194,IMPORTRANGE(""1aFCnJY1qhIj8-JckJhDJ18aqmVo17tofpQmOjcYa3u8/edit#gid=590920912"",""S1 Totals!$A$2:$O$255""),3,FALSE)"),0.6818181818181818)</f>
        <v>0.6818181818</v>
      </c>
      <c r="D194" s="16">
        <f>IFERROR(__xludf.DUMMYFUNCTION("VLOOKUP(A194,IMPORTRANGE(""1QZ5UxyNCwadreQAXnQ7oCoH982DjIA-QnZdO7ZoqkC0/edit#gid=884617569"",""S1 Totals!$A$2:$O$255""),2,FALSE)"),21.0)</f>
        <v>21</v>
      </c>
      <c r="E194" s="15">
        <f>IFERROR(__xludf.DUMMYFUNCTION("VLOOKUP(A194,IMPORTRANGE(""1QZ5UxyNCwadreQAXnQ7oCoH982DjIA-QnZdO7ZoqkC0/edit#gid=884617569"",""S1 Totals!$A$2:$O$255""),3,FALSE)"),0.6363636363636364)</f>
        <v>0.6363636364</v>
      </c>
      <c r="F194" s="108">
        <f t="shared" si="1"/>
        <v>0.04545454545</v>
      </c>
      <c r="G194" s="16">
        <f>IFERROR(__xludf.DUMMYFUNCTION("VLOOKUP(A194,IMPORTRANGE(""1QZ5UxyNCwadreQAXnQ7oCoH982DjIA-QnZdO7ZoqkC0/edit#gid=884617569"",""S1 Totals!$A$2:$O$255""),4,FALSE)"),27.5)</f>
        <v>27.5</v>
      </c>
      <c r="H194" s="15">
        <f>IFERROR(__xludf.DUMMYFUNCTION("VLOOKUP(A194,IMPORTRANGE(""1QZ5UxyNCwadreQAXnQ7oCoH982DjIA-QnZdO7ZoqkC0/edit#gid=884617569"",""S1 Totals!$A$2:$O$255""),5,FALSE)"),0.5851063829787234)</f>
        <v>0.585106383</v>
      </c>
      <c r="I194" s="108">
        <f t="shared" si="2"/>
        <v>0.09671179884</v>
      </c>
      <c r="J194" s="16">
        <f>IFERROR(__xludf.DUMMYFUNCTION("VLOOKUP(A194,IMPORTRANGE(""1QZ5UxyNCwadreQAXnQ7oCoH982DjIA-QnZdO7ZoqkC0/edit#gid=884617569"",""S1 Totals!$A$2:$O$255""),7,FALSE)"),19.5)</f>
        <v>19.5</v>
      </c>
      <c r="K194" s="15">
        <f>IFERROR(__xludf.DUMMYFUNCTION("VLOOKUP(A194,IMPORTRANGE(""1QZ5UxyNCwadreQAXnQ7oCoH982DjIA-QnZdO7ZoqkC0/edit#gid=884617569"",""S1 Totals!$A$2:$O$255""),8,FALSE)"),0.3979591836734694)</f>
        <v>0.3979591837</v>
      </c>
      <c r="L194" s="109">
        <f t="shared" si="3"/>
        <v>0.2384044527</v>
      </c>
      <c r="M194" s="16">
        <f>IFERROR(__xludf.DUMMYFUNCTION("VLOOKUP(A194,IMPORTRANGE(""1QZ5UxyNCwadreQAXnQ7oCoH982DjIA-QnZdO7ZoqkC0/edit#gid=884617569"",""S1 Totals!$A$2:$O$255""),10,FALSE)"),13.5)</f>
        <v>13.5</v>
      </c>
      <c r="N194" s="15">
        <f>IFERROR(__xludf.DUMMYFUNCTION("VLOOKUP(A194,IMPORTRANGE(""1QZ5UxyNCwadreQAXnQ7oCoH982DjIA-QnZdO7ZoqkC0/edit#gid=884617569"",""S1 Totals!$A$2:$O$256""),11,FALSE)"),0.28125)</f>
        <v>0.28125</v>
      </c>
      <c r="O194" s="110">
        <f t="shared" ref="O194:O203" si="42">C194-N194</f>
        <v>0.4005681818</v>
      </c>
      <c r="P194" s="16">
        <f>IFERROR(__xludf.DUMMYFUNCTION("VLOOKUP(A194,IMPORTRANGE(""1QZ5UxyNCwadreQAXnQ7oCoH982DjIA-QnZdO7ZoqkC0/edit#gid=884617569"",""S1 Totals!$A$2:$O$256""),13,FALSE)"),15.0)</f>
        <v>15</v>
      </c>
      <c r="Q194" s="15">
        <f>IFERROR(__xludf.DUMMYFUNCTION("VLOOKUP(A194,IMPORTRANGE(""1QZ5UxyNCwadreQAXnQ7oCoH982DjIA-QnZdO7ZoqkC0/edit#gid=884617569"",""S1 Totals!$A$2:$O$256""),14,FALSE)"),0.3)</f>
        <v>0.3</v>
      </c>
      <c r="R194" s="15">
        <f t="shared" ref="R194:R195" si="43">C194-Q194</f>
        <v>0.3818181818</v>
      </c>
    </row>
    <row r="195">
      <c r="A195" s="107" t="s">
        <v>91</v>
      </c>
      <c r="B195" s="16">
        <f>IFERROR(__xludf.DUMMYFUNCTION("VLOOKUP(A195,IMPORTRANGE(""1aFCnJY1qhIj8-JckJhDJ18aqmVo17tofpQmOjcYa3u8/edit#gid=590920912"",""S1 Totals!$A$2:$O$255""),2,FALSE)"),17.25)</f>
        <v>17.25</v>
      </c>
      <c r="C195" s="15">
        <f>IFERROR(__xludf.DUMMYFUNCTION("VLOOKUP(A195,IMPORTRANGE(""1aFCnJY1qhIj8-JckJhDJ18aqmVo17tofpQmOjcYa3u8/edit#gid=590920912"",""S1 Totals!$A$2:$O$255""),3,FALSE)"),0.5227272727272727)</f>
        <v>0.5227272727</v>
      </c>
      <c r="D195" s="16">
        <f>IFERROR(__xludf.DUMMYFUNCTION("VLOOKUP(A195,IMPORTRANGE(""1QZ5UxyNCwadreQAXnQ7oCoH982DjIA-QnZdO7ZoqkC0/edit#gid=884617569"",""S1 Totals!$A$2:$O$255""),2,FALSE)"),18.0)</f>
        <v>18</v>
      </c>
      <c r="E195" s="15">
        <f>IFERROR(__xludf.DUMMYFUNCTION("VLOOKUP(A195,IMPORTRANGE(""1QZ5UxyNCwadreQAXnQ7oCoH982DjIA-QnZdO7ZoqkC0/edit#gid=884617569"",""S1 Totals!$A$2:$O$255""),3,FALSE)"),0.5454545454545454)</f>
        <v>0.5454545455</v>
      </c>
      <c r="F195" s="108">
        <f t="shared" si="1"/>
        <v>-0.02272727273</v>
      </c>
      <c r="G195" s="16">
        <f>IFERROR(__xludf.DUMMYFUNCTION("VLOOKUP(A195,IMPORTRANGE(""1QZ5UxyNCwadreQAXnQ7oCoH982DjIA-QnZdO7ZoqkC0/edit#gid=884617569"",""S1 Totals!$A$2:$O$255""),4,FALSE)"),27.5)</f>
        <v>27.5</v>
      </c>
      <c r="H195" s="15">
        <f>IFERROR(__xludf.DUMMYFUNCTION("VLOOKUP(A195,IMPORTRANGE(""1QZ5UxyNCwadreQAXnQ7oCoH982DjIA-QnZdO7ZoqkC0/edit#gid=884617569"",""S1 Totals!$A$2:$O$255""),5,FALSE)"),0.5851063829787234)</f>
        <v>0.585106383</v>
      </c>
      <c r="I195" s="108">
        <f t="shared" si="2"/>
        <v>-0.06237911025</v>
      </c>
      <c r="J195" s="16">
        <f>IFERROR(__xludf.DUMMYFUNCTION("VLOOKUP(A195,IMPORTRANGE(""1QZ5UxyNCwadreQAXnQ7oCoH982DjIA-QnZdO7ZoqkC0/edit#gid=884617569"",""S1 Totals!$A$2:$O$255""),7,FALSE)"),18.0)</f>
        <v>18</v>
      </c>
      <c r="K195" s="15">
        <f>IFERROR(__xludf.DUMMYFUNCTION("VLOOKUP(A195,IMPORTRANGE(""1QZ5UxyNCwadreQAXnQ7oCoH982DjIA-QnZdO7ZoqkC0/edit#gid=884617569"",""S1 Totals!$A$2:$O$255""),8,FALSE)"),0.3673469387755102)</f>
        <v>0.3673469388</v>
      </c>
      <c r="L195" s="109">
        <f t="shared" si="3"/>
        <v>0.1781076067</v>
      </c>
      <c r="M195" s="16">
        <f>IFERROR(__xludf.DUMMYFUNCTION("VLOOKUP(A195,IMPORTRANGE(""1QZ5UxyNCwadreQAXnQ7oCoH982DjIA-QnZdO7ZoqkC0/edit#gid=884617569"",""S1 Totals!$A$2:$O$255""),10,FALSE)"),0.0)</f>
        <v>0</v>
      </c>
      <c r="N195" s="15">
        <f>IFERROR(__xludf.DUMMYFUNCTION("VLOOKUP(A195,IMPORTRANGE(""1QZ5UxyNCwadreQAXnQ7oCoH982DjIA-QnZdO7ZoqkC0/edit#gid=884617569"",""S1 Totals!$A$2:$O$256""),11,FALSE)"),0.0)</f>
        <v>0</v>
      </c>
      <c r="O195" s="110">
        <f t="shared" si="42"/>
        <v>0.5227272727</v>
      </c>
      <c r="P195" s="16">
        <f>IFERROR(__xludf.DUMMYFUNCTION("VLOOKUP(A195,IMPORTRANGE(""1QZ5UxyNCwadreQAXnQ7oCoH982DjIA-QnZdO7ZoqkC0/edit#gid=884617569"",""S1 Totals!$A$2:$O$256""),13,FALSE)"),0.0)</f>
        <v>0</v>
      </c>
      <c r="Q195" s="15">
        <f>IFERROR(__xludf.DUMMYFUNCTION("VLOOKUP(A195,IMPORTRANGE(""1QZ5UxyNCwadreQAXnQ7oCoH982DjIA-QnZdO7ZoqkC0/edit#gid=884617569"",""S1 Totals!$A$2:$O$256""),14,FALSE)"),0.0)</f>
        <v>0</v>
      </c>
      <c r="R195" s="15">
        <f t="shared" si="43"/>
        <v>0.5227272727</v>
      </c>
    </row>
    <row r="196">
      <c r="A196" s="107" t="s">
        <v>144</v>
      </c>
      <c r="B196" s="16">
        <f>IFERROR(__xludf.DUMMYFUNCTION("VLOOKUP(A196,IMPORTRANGE(""1aFCnJY1qhIj8-JckJhDJ18aqmVo17tofpQmOjcYa3u8/edit#gid=590920912"",""S1 Totals!$A$2:$O$255""),2,FALSE)"),23.25)</f>
        <v>23.25</v>
      </c>
      <c r="C196" s="15">
        <f>IFERROR(__xludf.DUMMYFUNCTION("VLOOKUP(A196,IMPORTRANGE(""1aFCnJY1qhIj8-JckJhDJ18aqmVo17tofpQmOjcYa3u8/edit#gid=590920912"",""S1 Totals!$A$2:$O$255""),3,FALSE)"),0.7045454545454546)</f>
        <v>0.7045454545</v>
      </c>
      <c r="D196" s="16">
        <f>IFERROR(__xludf.DUMMYFUNCTION("VLOOKUP(A196,IMPORTRANGE(""1QZ5UxyNCwadreQAXnQ7oCoH982DjIA-QnZdO7ZoqkC0/edit#gid=884617569"",""S1 Totals!$A$2:$O$255""),2,FALSE)"),22.75)</f>
        <v>22.75</v>
      </c>
      <c r="E196" s="15">
        <f>IFERROR(__xludf.DUMMYFUNCTION("VLOOKUP(A196,IMPORTRANGE(""1QZ5UxyNCwadreQAXnQ7oCoH982DjIA-QnZdO7ZoqkC0/edit#gid=884617569"",""S1 Totals!$A$2:$O$255""),3,FALSE)"),0.6893939393939394)</f>
        <v>0.6893939394</v>
      </c>
      <c r="F196" s="108">
        <f t="shared" si="1"/>
        <v>0.01515151515</v>
      </c>
      <c r="G196" s="16">
        <f>IFERROR(__xludf.DUMMYFUNCTION("VLOOKUP(A196,IMPORTRANGE(""1QZ5UxyNCwadreQAXnQ7oCoH982DjIA-QnZdO7ZoqkC0/edit#gid=884617569"",""S1 Totals!$A$2:$O$255""),4,FALSE)"),29.5)</f>
        <v>29.5</v>
      </c>
      <c r="H196" s="15">
        <f>IFERROR(__xludf.DUMMYFUNCTION("VLOOKUP(A196,IMPORTRANGE(""1QZ5UxyNCwadreQAXnQ7oCoH982DjIA-QnZdO7ZoqkC0/edit#gid=884617569"",""S1 Totals!$A$2:$O$255""),5,FALSE)"),0.6276595744680851)</f>
        <v>0.6276595745</v>
      </c>
      <c r="I196" s="108">
        <f t="shared" si="2"/>
        <v>0.07688588008</v>
      </c>
      <c r="J196" s="16">
        <f>IFERROR(__xludf.DUMMYFUNCTION("VLOOKUP(A196,IMPORTRANGE(""1QZ5UxyNCwadreQAXnQ7oCoH982DjIA-QnZdO7ZoqkC0/edit#gid=884617569"",""S1 Totals!$A$2:$O$255""),7,FALSE)"),23.5)</f>
        <v>23.5</v>
      </c>
      <c r="K196" s="15">
        <f>IFERROR(__xludf.DUMMYFUNCTION("VLOOKUP(A196,IMPORTRANGE(""1QZ5UxyNCwadreQAXnQ7oCoH982DjIA-QnZdO7ZoqkC0/edit#gid=884617569"",""S1 Totals!$A$2:$O$255""),8,FALSE)"),0.47959183673469385)</f>
        <v>0.4795918367</v>
      </c>
      <c r="L196" s="109">
        <f t="shared" si="3"/>
        <v>0.2098021027</v>
      </c>
      <c r="M196" s="16">
        <f>IFERROR(__xludf.DUMMYFUNCTION("VLOOKUP(A196,IMPORTRANGE(""1QZ5UxyNCwadreQAXnQ7oCoH982DjIA-QnZdO7ZoqkC0/edit#gid=884617569"",""S1 Totals!$A$2:$O$255""),10,FALSE)"),10.0)</f>
        <v>10</v>
      </c>
      <c r="N196" s="15">
        <f>IFERROR(__xludf.DUMMYFUNCTION("VLOOKUP(A196,IMPORTRANGE(""1QZ5UxyNCwadreQAXnQ7oCoH982DjIA-QnZdO7ZoqkC0/edit#gid=884617569"",""S1 Totals!$A$2:$O$256""),11,FALSE)"),0.20833333333333334)</f>
        <v>0.2083333333</v>
      </c>
      <c r="O196" s="110">
        <f t="shared" si="42"/>
        <v>0.4962121212</v>
      </c>
      <c r="P196" s="16"/>
      <c r="Q196" s="15"/>
      <c r="R196" s="16"/>
    </row>
    <row r="197">
      <c r="A197" s="107" t="s">
        <v>92</v>
      </c>
      <c r="B197" s="16">
        <f>IFERROR(__xludf.DUMMYFUNCTION("VLOOKUP(A197,IMPORTRANGE(""1aFCnJY1qhIj8-JckJhDJ18aqmVo17tofpQmOjcYa3u8/edit#gid=590920912"",""S1 Totals!$A$2:$O$255""),2,FALSE)"),30.5)</f>
        <v>30.5</v>
      </c>
      <c r="C197" s="15">
        <f>IFERROR(__xludf.DUMMYFUNCTION("VLOOKUP(A197,IMPORTRANGE(""1aFCnJY1qhIj8-JckJhDJ18aqmVo17tofpQmOjcYa3u8/edit#gid=590920912"",""S1 Totals!$A$2:$O$255""),3,FALSE)"),0.9242424242424242)</f>
        <v>0.9242424242</v>
      </c>
      <c r="D197" s="16">
        <f>IFERROR(__xludf.DUMMYFUNCTION("VLOOKUP(A197,IMPORTRANGE(""1QZ5UxyNCwadreQAXnQ7oCoH982DjIA-QnZdO7ZoqkC0/edit#gid=884617569"",""S1 Totals!$A$2:$O$255""),2,FALSE)"),28.0)</f>
        <v>28</v>
      </c>
      <c r="E197" s="15">
        <f>IFERROR(__xludf.DUMMYFUNCTION("VLOOKUP(A197,IMPORTRANGE(""1QZ5UxyNCwadreQAXnQ7oCoH982DjIA-QnZdO7ZoqkC0/edit#gid=884617569"",""S1 Totals!$A$2:$O$255""),3,FALSE)"),0.8484848484848485)</f>
        <v>0.8484848485</v>
      </c>
      <c r="F197" s="108">
        <f t="shared" si="1"/>
        <v>0.07575757576</v>
      </c>
      <c r="G197" s="16">
        <f>IFERROR(__xludf.DUMMYFUNCTION("VLOOKUP(A197,IMPORTRANGE(""1QZ5UxyNCwadreQAXnQ7oCoH982DjIA-QnZdO7ZoqkC0/edit#gid=884617569"",""S1 Totals!$A$2:$O$255""),4,FALSE)"),46.0)</f>
        <v>46</v>
      </c>
      <c r="H197" s="15">
        <f>IFERROR(__xludf.DUMMYFUNCTION("VLOOKUP(A197,IMPORTRANGE(""1QZ5UxyNCwadreQAXnQ7oCoH982DjIA-QnZdO7ZoqkC0/edit#gid=884617569"",""S1 Totals!$A$2:$O$255""),5,FALSE)"),0.9787234042553191)</f>
        <v>0.9787234043</v>
      </c>
      <c r="I197" s="108">
        <f t="shared" si="2"/>
        <v>-0.05448098001</v>
      </c>
      <c r="J197" s="16">
        <f>IFERROR(__xludf.DUMMYFUNCTION("VLOOKUP(A197,IMPORTRANGE(""1QZ5UxyNCwadreQAXnQ7oCoH982DjIA-QnZdO7ZoqkC0/edit#gid=884617569"",""S1 Totals!$A$2:$O$255""),7,FALSE)"),46.5)</f>
        <v>46.5</v>
      </c>
      <c r="K197" s="15">
        <f>IFERROR(__xludf.DUMMYFUNCTION("VLOOKUP(A197,IMPORTRANGE(""1QZ5UxyNCwadreQAXnQ7oCoH982DjIA-QnZdO7ZoqkC0/edit#gid=884617569"",""S1 Totals!$A$2:$O$255""),8,FALSE)"),0.9489795918367347)</f>
        <v>0.9489795918</v>
      </c>
      <c r="L197" s="109">
        <f t="shared" si="3"/>
        <v>-0.1004947434</v>
      </c>
      <c r="M197" s="16">
        <f>IFERROR(__xludf.DUMMYFUNCTION("VLOOKUP(A197,IMPORTRANGE(""1QZ5UxyNCwadreQAXnQ7oCoH982DjIA-QnZdO7ZoqkC0/edit#gid=884617569"",""S1 Totals!$A$2:$O$255""),10,FALSE)"),47.0)</f>
        <v>47</v>
      </c>
      <c r="N197" s="15">
        <f>IFERROR(__xludf.DUMMYFUNCTION("VLOOKUP(A197,IMPORTRANGE(""1QZ5UxyNCwadreQAXnQ7oCoH982DjIA-QnZdO7ZoqkC0/edit#gid=884617569"",""S1 Totals!$A$2:$O$256""),11,FALSE)"),0.9791666666666666)</f>
        <v>0.9791666667</v>
      </c>
      <c r="O197" s="110">
        <f t="shared" si="42"/>
        <v>-0.05492424242</v>
      </c>
      <c r="P197" s="16">
        <f>IFERROR(__xludf.DUMMYFUNCTION("VLOOKUP(A197,IMPORTRANGE(""1QZ5UxyNCwadreQAXnQ7oCoH982DjIA-QnZdO7ZoqkC0/edit#gid=884617569"",""S1 Totals!$A$2:$O$256""),13,FALSE)"),39.0)</f>
        <v>39</v>
      </c>
      <c r="Q197" s="15">
        <f>IFERROR(__xludf.DUMMYFUNCTION("VLOOKUP(A197,IMPORTRANGE(""1QZ5UxyNCwadreQAXnQ7oCoH982DjIA-QnZdO7ZoqkC0/edit#gid=884617569"",""S1 Totals!$A$2:$O$256""),14,FALSE)"),0.78)</f>
        <v>0.78</v>
      </c>
      <c r="R197" s="15">
        <f t="shared" ref="R197:R198" si="44">C197-Q197</f>
        <v>0.1442424242</v>
      </c>
    </row>
    <row r="198">
      <c r="A198" s="107" t="s">
        <v>93</v>
      </c>
      <c r="B198" s="16">
        <f>IFERROR(__xludf.DUMMYFUNCTION("VLOOKUP(A198,IMPORTRANGE(""1aFCnJY1qhIj8-JckJhDJ18aqmVo17tofpQmOjcYa3u8/edit#gid=590920912"",""S1 Totals!$A$2:$O$255""),2,FALSE)"),11.0)</f>
        <v>11</v>
      </c>
      <c r="C198" s="15">
        <f>IFERROR(__xludf.DUMMYFUNCTION("VLOOKUP(A198,IMPORTRANGE(""1aFCnJY1qhIj8-JckJhDJ18aqmVo17tofpQmOjcYa3u8/edit#gid=590920912"",""S1 Totals!$A$2:$O$255""),3,FALSE)"),0.3333333333333333)</f>
        <v>0.3333333333</v>
      </c>
      <c r="D198" s="16">
        <f>IFERROR(__xludf.DUMMYFUNCTION("VLOOKUP(A198,IMPORTRANGE(""1QZ5UxyNCwadreQAXnQ7oCoH982DjIA-QnZdO7ZoqkC0/edit#gid=884617569"",""S1 Totals!$A$2:$O$255""),2,FALSE)"),16.0)</f>
        <v>16</v>
      </c>
      <c r="E198" s="15">
        <f>IFERROR(__xludf.DUMMYFUNCTION("VLOOKUP(A198,IMPORTRANGE(""1QZ5UxyNCwadreQAXnQ7oCoH982DjIA-QnZdO7ZoqkC0/edit#gid=884617569"",""S1 Totals!$A$2:$O$255""),3,FALSE)"),0.48484848484848486)</f>
        <v>0.4848484848</v>
      </c>
      <c r="F198" s="108">
        <f t="shared" si="1"/>
        <v>-0.1515151515</v>
      </c>
      <c r="G198" s="16">
        <f>IFERROR(__xludf.DUMMYFUNCTION("VLOOKUP(A198,IMPORTRANGE(""1QZ5UxyNCwadreQAXnQ7oCoH982DjIA-QnZdO7ZoqkC0/edit#gid=884617569"",""S1 Totals!$A$2:$O$255""),4,FALSE)"),25.5)</f>
        <v>25.5</v>
      </c>
      <c r="H198" s="15">
        <f>IFERROR(__xludf.DUMMYFUNCTION("VLOOKUP(A198,IMPORTRANGE(""1QZ5UxyNCwadreQAXnQ7oCoH982DjIA-QnZdO7ZoqkC0/edit#gid=884617569"",""S1 Totals!$A$2:$O$255""),5,FALSE)"),0.5425531914893617)</f>
        <v>0.5425531915</v>
      </c>
      <c r="I198" s="108">
        <f t="shared" si="2"/>
        <v>-0.2092198582</v>
      </c>
      <c r="J198" s="16">
        <f>IFERROR(__xludf.DUMMYFUNCTION("VLOOKUP(A198,IMPORTRANGE(""1QZ5UxyNCwadreQAXnQ7oCoH982DjIA-QnZdO7ZoqkC0/edit#gid=884617569"",""S1 Totals!$A$2:$O$255""),7,FALSE)"),24.0)</f>
        <v>24</v>
      </c>
      <c r="K198" s="15">
        <f>IFERROR(__xludf.DUMMYFUNCTION("VLOOKUP(A198,IMPORTRANGE(""1QZ5UxyNCwadreQAXnQ7oCoH982DjIA-QnZdO7ZoqkC0/edit#gid=884617569"",""S1 Totals!$A$2:$O$255""),8,FALSE)"),0.4897959183673469)</f>
        <v>0.4897959184</v>
      </c>
      <c r="L198" s="109">
        <f t="shared" si="3"/>
        <v>-0.004947433519</v>
      </c>
      <c r="M198" s="16">
        <f>IFERROR(__xludf.DUMMYFUNCTION("VLOOKUP(A198,IMPORTRANGE(""1QZ5UxyNCwadreQAXnQ7oCoH982DjIA-QnZdO7ZoqkC0/edit#gid=884617569"",""S1 Totals!$A$2:$O$255""),10,FALSE)"),19.5)</f>
        <v>19.5</v>
      </c>
      <c r="N198" s="15">
        <f>IFERROR(__xludf.DUMMYFUNCTION("VLOOKUP(A198,IMPORTRANGE(""1QZ5UxyNCwadreQAXnQ7oCoH982DjIA-QnZdO7ZoqkC0/edit#gid=884617569"",""S1 Totals!$A$2:$O$256""),11,FALSE)"),0.40625)</f>
        <v>0.40625</v>
      </c>
      <c r="O198" s="110">
        <f t="shared" si="42"/>
        <v>-0.07291666667</v>
      </c>
      <c r="P198" s="16">
        <f>IFERROR(__xludf.DUMMYFUNCTION("VLOOKUP(A198,IMPORTRANGE(""1QZ5UxyNCwadreQAXnQ7oCoH982DjIA-QnZdO7ZoqkC0/edit#gid=884617569"",""S1 Totals!$A$2:$O$256""),13,FALSE)"),21.0)</f>
        <v>21</v>
      </c>
      <c r="Q198" s="15">
        <f>IFERROR(__xludf.DUMMYFUNCTION("VLOOKUP(A198,IMPORTRANGE(""1QZ5UxyNCwadreQAXnQ7oCoH982DjIA-QnZdO7ZoqkC0/edit#gid=884617569"",""S1 Totals!$A$2:$O$256""),14,FALSE)"),0.42)</f>
        <v>0.42</v>
      </c>
      <c r="R198" s="15">
        <f t="shared" si="44"/>
        <v>-0.08666666667</v>
      </c>
    </row>
    <row r="199">
      <c r="A199" s="107" t="s">
        <v>145</v>
      </c>
      <c r="B199" s="16">
        <f>IFERROR(__xludf.DUMMYFUNCTION("VLOOKUP(A199,IMPORTRANGE(""1aFCnJY1qhIj8-JckJhDJ18aqmVo17tofpQmOjcYa3u8/edit#gid=590920912"",""S1 Totals!$A$2:$O$255""),2,FALSE)"),25.0)</f>
        <v>25</v>
      </c>
      <c r="C199" s="15">
        <f>IFERROR(__xludf.DUMMYFUNCTION("VLOOKUP(A199,IMPORTRANGE(""1aFCnJY1qhIj8-JckJhDJ18aqmVo17tofpQmOjcYa3u8/edit#gid=590920912"",""S1 Totals!$A$2:$O$255""),3,FALSE)"),0.7575757575757576)</f>
        <v>0.7575757576</v>
      </c>
      <c r="D199" s="16">
        <f>IFERROR(__xludf.DUMMYFUNCTION("VLOOKUP(A199,IMPORTRANGE(""1QZ5UxyNCwadreQAXnQ7oCoH982DjIA-QnZdO7ZoqkC0/edit#gid=884617569"",""S1 Totals!$A$2:$O$255""),2,FALSE)"),22.25)</f>
        <v>22.25</v>
      </c>
      <c r="E199" s="15">
        <f>IFERROR(__xludf.DUMMYFUNCTION("VLOOKUP(A199,IMPORTRANGE(""1QZ5UxyNCwadreQAXnQ7oCoH982DjIA-QnZdO7ZoqkC0/edit#gid=884617569"",""S1 Totals!$A$2:$O$255""),3,FALSE)"),0.6742424242424242)</f>
        <v>0.6742424242</v>
      </c>
      <c r="F199" s="108">
        <f t="shared" si="1"/>
        <v>0.08333333333</v>
      </c>
      <c r="G199" s="16">
        <f>IFERROR(__xludf.DUMMYFUNCTION("VLOOKUP(A199,IMPORTRANGE(""1QZ5UxyNCwadreQAXnQ7oCoH982DjIA-QnZdO7ZoqkC0/edit#gid=884617569"",""S1 Totals!$A$2:$O$255""),4,FALSE)"),33.5)</f>
        <v>33.5</v>
      </c>
      <c r="H199" s="15">
        <f>IFERROR(__xludf.DUMMYFUNCTION("VLOOKUP(A199,IMPORTRANGE(""1QZ5UxyNCwadreQAXnQ7oCoH982DjIA-QnZdO7ZoqkC0/edit#gid=884617569"",""S1 Totals!$A$2:$O$255""),5,FALSE)"),0.7127659574468085)</f>
        <v>0.7127659574</v>
      </c>
      <c r="I199" s="108">
        <f t="shared" si="2"/>
        <v>0.04480980013</v>
      </c>
      <c r="J199" s="16">
        <f>IFERROR(__xludf.DUMMYFUNCTION("VLOOKUP(A199,IMPORTRANGE(""1QZ5UxyNCwadreQAXnQ7oCoH982DjIA-QnZdO7ZoqkC0/edit#gid=884617569"",""S1 Totals!$A$2:$O$255""),7,FALSE)"),30.0)</f>
        <v>30</v>
      </c>
      <c r="K199" s="15">
        <f>IFERROR(__xludf.DUMMYFUNCTION("VLOOKUP(A199,IMPORTRANGE(""1QZ5UxyNCwadreQAXnQ7oCoH982DjIA-QnZdO7ZoqkC0/edit#gid=884617569"",""S1 Totals!$A$2:$O$255""),8,FALSE)"),0.6122448979591837)</f>
        <v>0.612244898</v>
      </c>
      <c r="L199" s="109">
        <f t="shared" si="3"/>
        <v>0.06199752628</v>
      </c>
      <c r="M199" s="16">
        <f>IFERROR(__xludf.DUMMYFUNCTION("VLOOKUP(A199,IMPORTRANGE(""1QZ5UxyNCwadreQAXnQ7oCoH982DjIA-QnZdO7ZoqkC0/edit#gid=884617569"",""S1 Totals!$A$2:$O$255""),10,FALSE)"),28.0)</f>
        <v>28</v>
      </c>
      <c r="N199" s="15">
        <f>IFERROR(__xludf.DUMMYFUNCTION("VLOOKUP(A199,IMPORTRANGE(""1QZ5UxyNCwadreQAXnQ7oCoH982DjIA-QnZdO7ZoqkC0/edit#gid=884617569"",""S1 Totals!$A$2:$O$256""),11,FALSE)"),0.5833333333333334)</f>
        <v>0.5833333333</v>
      </c>
      <c r="O199" s="110">
        <f t="shared" si="42"/>
        <v>0.1742424242</v>
      </c>
      <c r="P199" s="16"/>
      <c r="Q199" s="15"/>
      <c r="R199" s="16"/>
    </row>
    <row r="200">
      <c r="A200" s="107" t="s">
        <v>146</v>
      </c>
      <c r="B200" s="16">
        <f>IFERROR(__xludf.DUMMYFUNCTION("VLOOKUP(A200,IMPORTRANGE(""1aFCnJY1qhIj8-JckJhDJ18aqmVo17tofpQmOjcYa3u8/edit#gid=590920912"",""S1 Totals!$A$2:$O$255""),2,FALSE)"),11.5)</f>
        <v>11.5</v>
      </c>
      <c r="C200" s="15">
        <f>IFERROR(__xludf.DUMMYFUNCTION("VLOOKUP(A200,IMPORTRANGE(""1aFCnJY1qhIj8-JckJhDJ18aqmVo17tofpQmOjcYa3u8/edit#gid=590920912"",""S1 Totals!$A$2:$O$255""),3,FALSE)"),0.3484848484848485)</f>
        <v>0.3484848485</v>
      </c>
      <c r="D200" s="16">
        <f>IFERROR(__xludf.DUMMYFUNCTION("VLOOKUP(A200,IMPORTRANGE(""1QZ5UxyNCwadreQAXnQ7oCoH982DjIA-QnZdO7ZoqkC0/edit#gid=884617569"",""S1 Totals!$A$2:$O$255""),2,FALSE)"),13.0)</f>
        <v>13</v>
      </c>
      <c r="E200" s="15">
        <f>IFERROR(__xludf.DUMMYFUNCTION("VLOOKUP(A200,IMPORTRANGE(""1QZ5UxyNCwadreQAXnQ7oCoH982DjIA-QnZdO7ZoqkC0/edit#gid=884617569"",""S1 Totals!$A$2:$O$255""),3,FALSE)"),0.3939393939393939)</f>
        <v>0.3939393939</v>
      </c>
      <c r="F200" s="108">
        <f t="shared" si="1"/>
        <v>-0.04545454545</v>
      </c>
      <c r="G200" s="16">
        <f>IFERROR(__xludf.DUMMYFUNCTION("VLOOKUP(A200,IMPORTRANGE(""1QZ5UxyNCwadreQAXnQ7oCoH982DjIA-QnZdO7ZoqkC0/edit#gid=884617569"",""S1 Totals!$A$2:$O$255""),4,FALSE)"),18.5)</f>
        <v>18.5</v>
      </c>
      <c r="H200" s="15">
        <f>IFERROR(__xludf.DUMMYFUNCTION("VLOOKUP(A200,IMPORTRANGE(""1QZ5UxyNCwadreQAXnQ7oCoH982DjIA-QnZdO7ZoqkC0/edit#gid=884617569"",""S1 Totals!$A$2:$O$255""),5,FALSE)"),0.39361702127659576)</f>
        <v>0.3936170213</v>
      </c>
      <c r="I200" s="108">
        <f t="shared" si="2"/>
        <v>-0.04513217279</v>
      </c>
      <c r="J200" s="16">
        <f>IFERROR(__xludf.DUMMYFUNCTION("VLOOKUP(A200,IMPORTRANGE(""1QZ5UxyNCwadreQAXnQ7oCoH982DjIA-QnZdO7ZoqkC0/edit#gid=884617569"",""S1 Totals!$A$2:$O$255""),7,FALSE)"),16.0)</f>
        <v>16</v>
      </c>
      <c r="K200" s="15">
        <f>IFERROR(__xludf.DUMMYFUNCTION("VLOOKUP(A200,IMPORTRANGE(""1QZ5UxyNCwadreQAXnQ7oCoH982DjIA-QnZdO7ZoqkC0/edit#gid=884617569"",""S1 Totals!$A$2:$O$255""),8,FALSE)"),0.32653061224489793)</f>
        <v>0.3265306122</v>
      </c>
      <c r="L200" s="109">
        <f t="shared" si="3"/>
        <v>0.06740878169</v>
      </c>
      <c r="M200" s="16">
        <f>IFERROR(__xludf.DUMMYFUNCTION("VLOOKUP(A200,IMPORTRANGE(""1QZ5UxyNCwadreQAXnQ7oCoH982DjIA-QnZdO7ZoqkC0/edit#gid=884617569"",""S1 Totals!$A$2:$O$255""),10,FALSE)"),0.0)</f>
        <v>0</v>
      </c>
      <c r="N200" s="15">
        <f>IFERROR(__xludf.DUMMYFUNCTION("VLOOKUP(A200,IMPORTRANGE(""1QZ5UxyNCwadreQAXnQ7oCoH982DjIA-QnZdO7ZoqkC0/edit#gid=884617569"",""S1 Totals!$A$2:$O$256""),11,FALSE)"),0.0)</f>
        <v>0</v>
      </c>
      <c r="O200" s="110">
        <f t="shared" si="42"/>
        <v>0.3484848485</v>
      </c>
      <c r="P200" s="16"/>
      <c r="Q200" s="15"/>
      <c r="R200" s="16"/>
    </row>
    <row r="201">
      <c r="A201" s="107" t="s">
        <v>270</v>
      </c>
      <c r="B201" s="16">
        <f>IFERROR(__xludf.DUMMYFUNCTION("VLOOKUP(A201,IMPORTRANGE(""1aFCnJY1qhIj8-JckJhDJ18aqmVo17tofpQmOjcYa3u8/edit#gid=590920912"",""S1 Totals!$A$2:$O$255""),2,FALSE)"),0.5)</f>
        <v>0.5</v>
      </c>
      <c r="C201" s="15">
        <f>IFERROR(__xludf.DUMMYFUNCTION("VLOOKUP(A201,IMPORTRANGE(""1aFCnJY1qhIj8-JckJhDJ18aqmVo17tofpQmOjcYa3u8/edit#gid=590920912"",""S1 Totals!$A$2:$O$255""),3,FALSE)"),0.015151515151515152)</f>
        <v>0.01515151515</v>
      </c>
      <c r="D201" s="16" t="str">
        <f>IFERROR(__xludf.DUMMYFUNCTION("VLOOKUP(A201,IMPORTRANGE(""1QZ5UxyNCwadreQAXnQ7oCoH982DjIA-QnZdO7ZoqkC0/edit#gid=884617569"",""S1 Totals!$A$2:$O$255""),2,FALSE)"),"#N/A")</f>
        <v>#N/A</v>
      </c>
      <c r="E201" s="15" t="str">
        <f>IFERROR(__xludf.DUMMYFUNCTION("VLOOKUP(A201,IMPORTRANGE(""1QZ5UxyNCwadreQAXnQ7oCoH982DjIA-QnZdO7ZoqkC0/edit#gid=884617569"",""S1 Totals!$A$2:$O$255""),3,FALSE)"),"#N/A")</f>
        <v>#N/A</v>
      </c>
      <c r="F201" s="112" t="str">
        <f t="shared" si="1"/>
        <v>#N/A</v>
      </c>
      <c r="G201" s="16" t="str">
        <f>IFERROR(__xludf.DUMMYFUNCTION("VLOOKUP(A201,IMPORTRANGE(""1QZ5UxyNCwadreQAXnQ7oCoH982DjIA-QnZdO7ZoqkC0/edit#gid=884617569"",""S1 Totals!$A$2:$O$255""),4,FALSE)"),"#N/A")</f>
        <v>#N/A</v>
      </c>
      <c r="H201" s="15" t="str">
        <f>IFERROR(__xludf.DUMMYFUNCTION("VLOOKUP(A201,IMPORTRANGE(""1QZ5UxyNCwadreQAXnQ7oCoH982DjIA-QnZdO7ZoqkC0/edit#gid=884617569"",""S1 Totals!$A$2:$O$255""),5,FALSE)"),"#N/A")</f>
        <v>#N/A</v>
      </c>
      <c r="I201" s="108" t="str">
        <f t="shared" si="2"/>
        <v>#N/A</v>
      </c>
      <c r="J201" s="16" t="str">
        <f>IFERROR(__xludf.DUMMYFUNCTION("VLOOKUP(A201,IMPORTRANGE(""1QZ5UxyNCwadreQAXnQ7oCoH982DjIA-QnZdO7ZoqkC0/edit#gid=884617569"",""S1 Totals!$A$2:$O$255""),7,FALSE)"),"#N/A")</f>
        <v>#N/A</v>
      </c>
      <c r="K201" s="15" t="str">
        <f>IFERROR(__xludf.DUMMYFUNCTION("VLOOKUP(A201,IMPORTRANGE(""1QZ5UxyNCwadreQAXnQ7oCoH982DjIA-QnZdO7ZoqkC0/edit#gid=884617569"",""S1 Totals!$A$2:$O$255""),8,FALSE)"),"#N/A")</f>
        <v>#N/A</v>
      </c>
      <c r="L201" s="113" t="str">
        <f t="shared" si="3"/>
        <v>#N/A</v>
      </c>
      <c r="M201" s="16" t="str">
        <f>IFERROR(__xludf.DUMMYFUNCTION("VLOOKUP(A201,IMPORTRANGE(""1QZ5UxyNCwadreQAXnQ7oCoH982DjIA-QnZdO7ZoqkC0/edit#gid=884617569"",""S1 Totals!$A$2:$O$255""),10,FALSE)"),"#N/A")</f>
        <v>#N/A</v>
      </c>
      <c r="N201" s="15" t="str">
        <f>IFERROR(__xludf.DUMMYFUNCTION("VLOOKUP(A201,IMPORTRANGE(""1QZ5UxyNCwadreQAXnQ7oCoH982DjIA-QnZdO7ZoqkC0/edit#gid=884617569"",""S1 Totals!$A$2:$O$256""),11,FALSE)"),"#N/A")</f>
        <v>#N/A</v>
      </c>
      <c r="O201" s="110" t="str">
        <f t="shared" si="42"/>
        <v>#N/A</v>
      </c>
      <c r="P201" s="16" t="str">
        <f>IFERROR(__xludf.DUMMYFUNCTION("VLOOKUP(A201,IMPORTRANGE(""1QZ5UxyNCwadreQAXnQ7oCoH982DjIA-QnZdO7ZoqkC0/edit#gid=884617569"",""S1 Totals!$A$2:$O$256""),13,FALSE)"),"#N/A")</f>
        <v>#N/A</v>
      </c>
      <c r="Q201" s="15" t="str">
        <f>IFERROR(__xludf.DUMMYFUNCTION("VLOOKUP(A201,IMPORTRANGE(""1QZ5UxyNCwadreQAXnQ7oCoH982DjIA-QnZdO7ZoqkC0/edit#gid=884617569"",""S1 Totals!$A$2:$O$256""),14,FALSE)"),"#N/A")</f>
        <v>#N/A</v>
      </c>
      <c r="R201" s="16" t="str">
        <f t="shared" ref="R201:R203" si="45">C201-Q201</f>
        <v>#N/A</v>
      </c>
    </row>
    <row r="202">
      <c r="A202" s="107" t="s">
        <v>271</v>
      </c>
      <c r="B202" s="16">
        <f>IFERROR(__xludf.DUMMYFUNCTION("VLOOKUP(A202,IMPORTRANGE(""1aFCnJY1qhIj8-JckJhDJ18aqmVo17tofpQmOjcYa3u8/edit#gid=590920912"",""S1 Totals!$A$2:$O$255""),2,FALSE)"),4.5)</f>
        <v>4.5</v>
      </c>
      <c r="C202" s="15">
        <f>IFERROR(__xludf.DUMMYFUNCTION("VLOOKUP(A202,IMPORTRANGE(""1aFCnJY1qhIj8-JckJhDJ18aqmVo17tofpQmOjcYa3u8/edit#gid=590920912"",""S1 Totals!$A$2:$O$255""),3,FALSE)"),0.13636363636363635)</f>
        <v>0.1363636364</v>
      </c>
      <c r="D202" s="16" t="str">
        <f>IFERROR(__xludf.DUMMYFUNCTION("VLOOKUP(A202,IMPORTRANGE(""1QZ5UxyNCwadreQAXnQ7oCoH982DjIA-QnZdO7ZoqkC0/edit#gid=884617569"",""S1 Totals!$A$2:$O$255""),2,FALSE)"),"#N/A")</f>
        <v>#N/A</v>
      </c>
      <c r="E202" s="15" t="str">
        <f>IFERROR(__xludf.DUMMYFUNCTION("VLOOKUP(A202,IMPORTRANGE(""1QZ5UxyNCwadreQAXnQ7oCoH982DjIA-QnZdO7ZoqkC0/edit#gid=884617569"",""S1 Totals!$A$2:$O$255""),3,FALSE)"),"#N/A")</f>
        <v>#N/A</v>
      </c>
      <c r="F202" s="112" t="str">
        <f t="shared" si="1"/>
        <v>#N/A</v>
      </c>
      <c r="G202" s="16" t="str">
        <f>IFERROR(__xludf.DUMMYFUNCTION("VLOOKUP(A202,IMPORTRANGE(""1QZ5UxyNCwadreQAXnQ7oCoH982DjIA-QnZdO7ZoqkC0/edit#gid=884617569"",""S1 Totals!$A$2:$O$255""),4,FALSE)"),"#N/A")</f>
        <v>#N/A</v>
      </c>
      <c r="H202" s="15" t="str">
        <f>IFERROR(__xludf.DUMMYFUNCTION("VLOOKUP(A202,IMPORTRANGE(""1QZ5UxyNCwadreQAXnQ7oCoH982DjIA-QnZdO7ZoqkC0/edit#gid=884617569"",""S1 Totals!$A$2:$O$255""),5,FALSE)"),"#N/A")</f>
        <v>#N/A</v>
      </c>
      <c r="I202" s="108" t="str">
        <f t="shared" si="2"/>
        <v>#N/A</v>
      </c>
      <c r="J202" s="16" t="str">
        <f>IFERROR(__xludf.DUMMYFUNCTION("VLOOKUP(A202,IMPORTRANGE(""1QZ5UxyNCwadreQAXnQ7oCoH982DjIA-QnZdO7ZoqkC0/edit#gid=884617569"",""S1 Totals!$A$2:$O$255""),7,FALSE)"),"#N/A")</f>
        <v>#N/A</v>
      </c>
      <c r="K202" s="15" t="str">
        <f>IFERROR(__xludf.DUMMYFUNCTION("VLOOKUP(A202,IMPORTRANGE(""1QZ5UxyNCwadreQAXnQ7oCoH982DjIA-QnZdO7ZoqkC0/edit#gid=884617569"",""S1 Totals!$A$2:$O$255""),8,FALSE)"),"#N/A")</f>
        <v>#N/A</v>
      </c>
      <c r="L202" s="113" t="str">
        <f t="shared" si="3"/>
        <v>#N/A</v>
      </c>
      <c r="M202" s="16" t="str">
        <f>IFERROR(__xludf.DUMMYFUNCTION("VLOOKUP(A202,IMPORTRANGE(""1QZ5UxyNCwadreQAXnQ7oCoH982DjIA-QnZdO7ZoqkC0/edit#gid=884617569"",""S1 Totals!$A$2:$O$255""),10,FALSE)"),"#N/A")</f>
        <v>#N/A</v>
      </c>
      <c r="N202" s="15" t="str">
        <f>IFERROR(__xludf.DUMMYFUNCTION("VLOOKUP(A202,IMPORTRANGE(""1QZ5UxyNCwadreQAXnQ7oCoH982DjIA-QnZdO7ZoqkC0/edit#gid=884617569"",""S1 Totals!$A$2:$O$256""),11,FALSE)"),"#N/A")</f>
        <v>#N/A</v>
      </c>
      <c r="O202" s="110" t="str">
        <f t="shared" si="42"/>
        <v>#N/A</v>
      </c>
      <c r="P202" s="16" t="str">
        <f>IFERROR(__xludf.DUMMYFUNCTION("VLOOKUP(A202,IMPORTRANGE(""1QZ5UxyNCwadreQAXnQ7oCoH982DjIA-QnZdO7ZoqkC0/edit#gid=884617569"",""S1 Totals!$A$2:$O$256""),13,FALSE)"),"#N/A")</f>
        <v>#N/A</v>
      </c>
      <c r="Q202" s="15" t="str">
        <f>IFERROR(__xludf.DUMMYFUNCTION("VLOOKUP(A202,IMPORTRANGE(""1QZ5UxyNCwadreQAXnQ7oCoH982DjIA-QnZdO7ZoqkC0/edit#gid=884617569"",""S1 Totals!$A$2:$O$256""),14,FALSE)"),"#N/A")</f>
        <v>#N/A</v>
      </c>
      <c r="R202" s="16" t="str">
        <f t="shared" si="45"/>
        <v>#N/A</v>
      </c>
    </row>
    <row r="203">
      <c r="A203" s="119" t="s">
        <v>278</v>
      </c>
      <c r="B203" s="16">
        <f>IFERROR(__xludf.DUMMYFUNCTION("VLOOKUP(A203,IMPORTRANGE(""1aFCnJY1qhIj8-JckJhDJ18aqmVo17tofpQmOjcYa3u8/edit#gid=590920912"",""S1 Totals!$A$2:$O$255""),2,FALSE)"),4.5)</f>
        <v>4.5</v>
      </c>
      <c r="C203" s="15">
        <f>IFERROR(__xludf.DUMMYFUNCTION("VLOOKUP(A203,IMPORTRANGE(""1aFCnJY1qhIj8-JckJhDJ18aqmVo17tofpQmOjcYa3u8/edit#gid=590920912"",""S1 Totals!$A$2:$O$255""),3,FALSE)"),0.13636363636363635)</f>
        <v>0.1363636364</v>
      </c>
      <c r="D203" s="16" t="str">
        <f>IFERROR(__xludf.DUMMYFUNCTION("VLOOKUP(A203,IMPORTRANGE(""1QZ5UxyNCwadreQAXnQ7oCoH982DjIA-QnZdO7ZoqkC0/edit#gid=884617569"",""S1 Totals!$A$2:$O$255""),2,FALSE)"),"#N/A")</f>
        <v>#N/A</v>
      </c>
      <c r="E203" s="15" t="str">
        <f>IFERROR(__xludf.DUMMYFUNCTION("VLOOKUP(A203,IMPORTRANGE(""1QZ5UxyNCwadreQAXnQ7oCoH982DjIA-QnZdO7ZoqkC0/edit#gid=884617569"",""S1 Totals!$A$2:$O$255""),3,FALSE)"),"#N/A")</f>
        <v>#N/A</v>
      </c>
      <c r="F203" s="112" t="str">
        <f t="shared" si="1"/>
        <v>#N/A</v>
      </c>
      <c r="G203" s="16" t="str">
        <f>IFERROR(__xludf.DUMMYFUNCTION("VLOOKUP(A203,IMPORTRANGE(""1QZ5UxyNCwadreQAXnQ7oCoH982DjIA-QnZdO7ZoqkC0/edit#gid=884617569"",""S1 Totals!$A$2:$O$255""),4,FALSE)"),"#N/A")</f>
        <v>#N/A</v>
      </c>
      <c r="H203" s="15" t="str">
        <f>IFERROR(__xludf.DUMMYFUNCTION("VLOOKUP(A203,IMPORTRANGE(""1QZ5UxyNCwadreQAXnQ7oCoH982DjIA-QnZdO7ZoqkC0/edit#gid=884617569"",""S1 Totals!$A$2:$O$255""),5,FALSE)"),"#N/A")</f>
        <v>#N/A</v>
      </c>
      <c r="I203" s="108" t="str">
        <f t="shared" si="2"/>
        <v>#N/A</v>
      </c>
      <c r="J203" s="16" t="str">
        <f>IFERROR(__xludf.DUMMYFUNCTION("VLOOKUP(A203,IMPORTRANGE(""1QZ5UxyNCwadreQAXnQ7oCoH982DjIA-QnZdO7ZoqkC0/edit#gid=884617569"",""S1 Totals!$A$2:$O$255""),7,FALSE)"),"#N/A")</f>
        <v>#N/A</v>
      </c>
      <c r="K203" s="15" t="str">
        <f>IFERROR(__xludf.DUMMYFUNCTION("VLOOKUP(A203,IMPORTRANGE(""1QZ5UxyNCwadreQAXnQ7oCoH982DjIA-QnZdO7ZoqkC0/edit#gid=884617569"",""S1 Totals!$A$2:$O$255""),8,FALSE)"),"#N/A")</f>
        <v>#N/A</v>
      </c>
      <c r="L203" s="113" t="str">
        <f t="shared" si="3"/>
        <v>#N/A</v>
      </c>
      <c r="M203" s="16" t="str">
        <f>IFERROR(__xludf.DUMMYFUNCTION("VLOOKUP(A203,IMPORTRANGE(""1QZ5UxyNCwadreQAXnQ7oCoH982DjIA-QnZdO7ZoqkC0/edit#gid=884617569"",""S1 Totals!$A$2:$O$255""),10,FALSE)"),"#N/A")</f>
        <v>#N/A</v>
      </c>
      <c r="N203" s="15" t="str">
        <f>IFERROR(__xludf.DUMMYFUNCTION("VLOOKUP(A203,IMPORTRANGE(""1QZ5UxyNCwadreQAXnQ7oCoH982DjIA-QnZdO7ZoqkC0/edit#gid=884617569"",""S1 Totals!$A$2:$O$256""),11,FALSE)"),"#N/A")</f>
        <v>#N/A</v>
      </c>
      <c r="O203" s="110" t="str">
        <f t="shared" si="42"/>
        <v>#N/A</v>
      </c>
      <c r="P203" s="16" t="str">
        <f>IFERROR(__xludf.DUMMYFUNCTION("VLOOKUP(A203,IMPORTRANGE(""1QZ5UxyNCwadreQAXnQ7oCoH982DjIA-QnZdO7ZoqkC0/edit#gid=884617569"",""S1 Totals!$A$2:$O$256""),13,FALSE)"),"#N/A")</f>
        <v>#N/A</v>
      </c>
      <c r="Q203" s="15" t="str">
        <f>IFERROR(__xludf.DUMMYFUNCTION("VLOOKUP(A203,IMPORTRANGE(""1QZ5UxyNCwadreQAXnQ7oCoH982DjIA-QnZdO7ZoqkC0/edit#gid=884617569"",""S1 Totals!$A$2:$O$256""),14,FALSE)"),"#N/A")</f>
        <v>#N/A</v>
      </c>
      <c r="R203" s="16" t="str">
        <f t="shared" si="45"/>
        <v>#N/A</v>
      </c>
    </row>
    <row r="204">
      <c r="A204" s="107" t="s">
        <v>195</v>
      </c>
      <c r="B204" s="16">
        <f>IFERROR(__xludf.DUMMYFUNCTION("VLOOKUP(A204,IMPORTRANGE(""1aFCnJY1qhIj8-JckJhDJ18aqmVo17tofpQmOjcYa3u8/edit#gid=590920912"",""S1 Totals!$A$2:$O$255""),2,FALSE)"),11.0)</f>
        <v>11</v>
      </c>
      <c r="C204" s="15">
        <f>IFERROR(__xludf.DUMMYFUNCTION("VLOOKUP(A204,IMPORTRANGE(""1aFCnJY1qhIj8-JckJhDJ18aqmVo17tofpQmOjcYa3u8/edit#gid=590920912"",""S1 Totals!$A$2:$O$255""),3,FALSE)"),0.3333333333333333)</f>
        <v>0.3333333333</v>
      </c>
      <c r="D204" s="16">
        <f>IFERROR(__xludf.DUMMYFUNCTION("VLOOKUP(A204,IMPORTRANGE(""1QZ5UxyNCwadreQAXnQ7oCoH982DjIA-QnZdO7ZoqkC0/edit#gid=884617569"",""S1 Totals!$A$2:$O$255""),2,FALSE)"),12.25)</f>
        <v>12.25</v>
      </c>
      <c r="E204" s="15">
        <f>IFERROR(__xludf.DUMMYFUNCTION("VLOOKUP(A204,IMPORTRANGE(""1QZ5UxyNCwadreQAXnQ7oCoH982DjIA-QnZdO7ZoqkC0/edit#gid=884617569"",""S1 Totals!$A$2:$O$255""),3,FALSE)"),0.3712121212121212)</f>
        <v>0.3712121212</v>
      </c>
      <c r="F204" s="108">
        <f t="shared" si="1"/>
        <v>-0.03787878788</v>
      </c>
      <c r="G204" s="16">
        <f>IFERROR(__xludf.DUMMYFUNCTION("VLOOKUP(A204,IMPORTRANGE(""1QZ5UxyNCwadreQAXnQ7oCoH982DjIA-QnZdO7ZoqkC0/edit#gid=884617569"",""S1 Totals!$A$2:$O$255""),4,FALSE)"),15.5)</f>
        <v>15.5</v>
      </c>
      <c r="H204" s="15">
        <f>IFERROR(__xludf.DUMMYFUNCTION("VLOOKUP(A204,IMPORTRANGE(""1QZ5UxyNCwadreQAXnQ7oCoH982DjIA-QnZdO7ZoqkC0/edit#gid=884617569"",""S1 Totals!$A$2:$O$255""),5,FALSE)"),0.32978723404255317)</f>
        <v>0.329787234</v>
      </c>
      <c r="I204" s="108">
        <f t="shared" si="2"/>
        <v>0.003546099291</v>
      </c>
      <c r="J204" s="16">
        <f>IFERROR(__xludf.DUMMYFUNCTION("VLOOKUP(A204,IMPORTRANGE(""1QZ5UxyNCwadreQAXnQ7oCoH982DjIA-QnZdO7ZoqkC0/edit#gid=884617569"",""S1 Totals!$A$2:$O$255""),7,FALSE)"),12.0)</f>
        <v>12</v>
      </c>
      <c r="K204" s="15">
        <f>IFERROR(__xludf.DUMMYFUNCTION("VLOOKUP(A204,IMPORTRANGE(""1QZ5UxyNCwadreQAXnQ7oCoH982DjIA-QnZdO7ZoqkC0/edit#gid=884617569"",""S1 Totals!$A$2:$O$255""),8,FALSE)"),0.24489795918367346)</f>
        <v>0.2448979592</v>
      </c>
      <c r="L204" s="109">
        <f t="shared" si="3"/>
        <v>0.126314162</v>
      </c>
      <c r="M204" s="16"/>
      <c r="N204" s="15"/>
      <c r="O204" s="110"/>
      <c r="P204" s="16"/>
      <c r="Q204" s="15"/>
      <c r="R204" s="16"/>
    </row>
    <row r="205">
      <c r="A205" s="107" t="s">
        <v>196</v>
      </c>
      <c r="B205" s="16">
        <f>IFERROR(__xludf.DUMMYFUNCTION("VLOOKUP(A205,IMPORTRANGE(""1aFCnJY1qhIj8-JckJhDJ18aqmVo17tofpQmOjcYa3u8/edit#gid=590920912"",""S1 Totals!$A$2:$O$255""),2,FALSE)"),23.5)</f>
        <v>23.5</v>
      </c>
      <c r="C205" s="15">
        <f>IFERROR(__xludf.DUMMYFUNCTION("VLOOKUP(A205,IMPORTRANGE(""1aFCnJY1qhIj8-JckJhDJ18aqmVo17tofpQmOjcYa3u8/edit#gid=590920912"",""S1 Totals!$A$2:$O$255""),3,FALSE)"),0.7121212121212122)</f>
        <v>0.7121212121</v>
      </c>
      <c r="D205" s="16">
        <f>IFERROR(__xludf.DUMMYFUNCTION("VLOOKUP(A205,IMPORTRANGE(""1QZ5UxyNCwadreQAXnQ7oCoH982DjIA-QnZdO7ZoqkC0/edit#gid=884617569"",""S1 Totals!$A$2:$O$255""),2,FALSE)"),27.25)</f>
        <v>27.25</v>
      </c>
      <c r="E205" s="15">
        <f>IFERROR(__xludf.DUMMYFUNCTION("VLOOKUP(A205,IMPORTRANGE(""1QZ5UxyNCwadreQAXnQ7oCoH982DjIA-QnZdO7ZoqkC0/edit#gid=884617569"",""S1 Totals!$A$2:$O$255""),3,FALSE)"),0.8257575757575758)</f>
        <v>0.8257575758</v>
      </c>
      <c r="F205" s="108">
        <f t="shared" si="1"/>
        <v>-0.1136363636</v>
      </c>
      <c r="G205" s="16">
        <f>IFERROR(__xludf.DUMMYFUNCTION("VLOOKUP(A205,IMPORTRANGE(""1QZ5UxyNCwadreQAXnQ7oCoH982DjIA-QnZdO7ZoqkC0/edit#gid=884617569"",""S1 Totals!$A$2:$O$255""),4,FALSE)"),30.5)</f>
        <v>30.5</v>
      </c>
      <c r="H205" s="15">
        <f>IFERROR(__xludf.DUMMYFUNCTION("VLOOKUP(A205,IMPORTRANGE(""1QZ5UxyNCwadreQAXnQ7oCoH982DjIA-QnZdO7ZoqkC0/edit#gid=884617569"",""S1 Totals!$A$2:$O$255""),5,FALSE)"),0.648936170212766)</f>
        <v>0.6489361702</v>
      </c>
      <c r="I205" s="108">
        <f t="shared" si="2"/>
        <v>0.06318504191</v>
      </c>
      <c r="J205" s="16">
        <f>IFERROR(__xludf.DUMMYFUNCTION("VLOOKUP(A205,IMPORTRANGE(""1QZ5UxyNCwadreQAXnQ7oCoH982DjIA-QnZdO7ZoqkC0/edit#gid=884617569"",""S1 Totals!$A$2:$O$255""),7,FALSE)"),31.0)</f>
        <v>31</v>
      </c>
      <c r="K205" s="15">
        <f>IFERROR(__xludf.DUMMYFUNCTION("VLOOKUP(A205,IMPORTRANGE(""1QZ5UxyNCwadreQAXnQ7oCoH982DjIA-QnZdO7ZoqkC0/edit#gid=884617569"",""S1 Totals!$A$2:$O$255""),8,FALSE)"),0.6326530612244898)</f>
        <v>0.6326530612</v>
      </c>
      <c r="L205" s="109">
        <f t="shared" si="3"/>
        <v>0.1931045145</v>
      </c>
      <c r="M205" s="16"/>
      <c r="N205" s="15"/>
      <c r="O205" s="110"/>
      <c r="P205" s="16"/>
      <c r="Q205" s="15"/>
      <c r="R205" s="16"/>
    </row>
    <row r="206">
      <c r="A206" s="107" t="s">
        <v>272</v>
      </c>
      <c r="B206" s="16">
        <f>IFERROR(__xludf.DUMMYFUNCTION("VLOOKUP(A206,IMPORTRANGE(""1aFCnJY1qhIj8-JckJhDJ18aqmVo17tofpQmOjcYa3u8/edit#gid=590920912"",""S1 Totals!$A$2:$O$255""),2,FALSE)"),0.0)</f>
        <v>0</v>
      </c>
      <c r="C206" s="15">
        <f>IFERROR(__xludf.DUMMYFUNCTION("VLOOKUP(A206,IMPORTRANGE(""1aFCnJY1qhIj8-JckJhDJ18aqmVo17tofpQmOjcYa3u8/edit#gid=590920912"",""S1 Totals!$A$2:$O$255""),3,FALSE)"),0.0)</f>
        <v>0</v>
      </c>
      <c r="D206" s="16" t="str">
        <f>IFERROR(__xludf.DUMMYFUNCTION("VLOOKUP(A206,IMPORTRANGE(""1QZ5UxyNCwadreQAXnQ7oCoH982DjIA-QnZdO7ZoqkC0/edit#gid=884617569"",""S1 Totals!$A$2:$O$255""),2,FALSE)"),"#N/A")</f>
        <v>#N/A</v>
      </c>
      <c r="E206" s="15" t="str">
        <f>IFERROR(__xludf.DUMMYFUNCTION("VLOOKUP(A206,IMPORTRANGE(""1QZ5UxyNCwadreQAXnQ7oCoH982DjIA-QnZdO7ZoqkC0/edit#gid=884617569"",""S1 Totals!$A$2:$O$255""),3,FALSE)"),"#N/A")</f>
        <v>#N/A</v>
      </c>
      <c r="F206" s="112" t="str">
        <f t="shared" si="1"/>
        <v>#N/A</v>
      </c>
      <c r="G206" s="16" t="str">
        <f>IFERROR(__xludf.DUMMYFUNCTION("VLOOKUP(A206,IMPORTRANGE(""1QZ5UxyNCwadreQAXnQ7oCoH982DjIA-QnZdO7ZoqkC0/edit#gid=884617569"",""S1 Totals!$A$2:$O$255""),4,FALSE)"),"#N/A")</f>
        <v>#N/A</v>
      </c>
      <c r="H206" s="15" t="str">
        <f>IFERROR(__xludf.DUMMYFUNCTION("VLOOKUP(A206,IMPORTRANGE(""1QZ5UxyNCwadreQAXnQ7oCoH982DjIA-QnZdO7ZoqkC0/edit#gid=884617569"",""S1 Totals!$A$2:$O$255""),5,FALSE)"),"#N/A")</f>
        <v>#N/A</v>
      </c>
      <c r="I206" s="108" t="str">
        <f t="shared" si="2"/>
        <v>#N/A</v>
      </c>
      <c r="J206" s="16" t="str">
        <f>IFERROR(__xludf.DUMMYFUNCTION("VLOOKUP(A206,IMPORTRANGE(""1QZ5UxyNCwadreQAXnQ7oCoH982DjIA-QnZdO7ZoqkC0/edit#gid=884617569"",""S1 Totals!$A$2:$O$255""),7,FALSE)"),"#N/A")</f>
        <v>#N/A</v>
      </c>
      <c r="K206" s="15" t="str">
        <f>IFERROR(__xludf.DUMMYFUNCTION("VLOOKUP(A206,IMPORTRANGE(""1QZ5UxyNCwadreQAXnQ7oCoH982DjIA-QnZdO7ZoqkC0/edit#gid=884617569"",""S1 Totals!$A$2:$O$255""),8,FALSE)"),"#N/A")</f>
        <v>#N/A</v>
      </c>
      <c r="L206" s="113" t="str">
        <f t="shared" si="3"/>
        <v>#N/A</v>
      </c>
      <c r="M206" s="16" t="str">
        <f>IFERROR(__xludf.DUMMYFUNCTION("VLOOKUP(A206,IMPORTRANGE(""1QZ5UxyNCwadreQAXnQ7oCoH982DjIA-QnZdO7ZoqkC0/edit#gid=884617569"",""S1 Totals!$A$2:$O$255""),10,FALSE)"),"#N/A")</f>
        <v>#N/A</v>
      </c>
      <c r="N206" s="15" t="str">
        <f>IFERROR(__xludf.DUMMYFUNCTION("VLOOKUP(A206,IMPORTRANGE(""1QZ5UxyNCwadreQAXnQ7oCoH982DjIA-QnZdO7ZoqkC0/edit#gid=884617569"",""S1 Totals!$A$2:$O$256""),11,FALSE)"),"#N/A")</f>
        <v>#N/A</v>
      </c>
      <c r="O206" s="110" t="str">
        <f t="shared" ref="O206:O207" si="46">C206-N206</f>
        <v>#N/A</v>
      </c>
      <c r="P206" s="16" t="str">
        <f>IFERROR(__xludf.DUMMYFUNCTION("VLOOKUP(A206,IMPORTRANGE(""1QZ5UxyNCwadreQAXnQ7oCoH982DjIA-QnZdO7ZoqkC0/edit#gid=884617569"",""S1 Totals!$A$2:$O$256""),13,FALSE)"),"#N/A")</f>
        <v>#N/A</v>
      </c>
      <c r="Q206" s="15" t="str">
        <f>IFERROR(__xludf.DUMMYFUNCTION("VLOOKUP(A206,IMPORTRANGE(""1QZ5UxyNCwadreQAXnQ7oCoH982DjIA-QnZdO7ZoqkC0/edit#gid=884617569"",""S1 Totals!$A$2:$O$256""),14,FALSE)"),"#N/A")</f>
        <v>#N/A</v>
      </c>
      <c r="R206" s="16" t="str">
        <f>C206-Q206</f>
        <v>#N/A</v>
      </c>
    </row>
    <row r="207">
      <c r="A207" s="107" t="s">
        <v>147</v>
      </c>
      <c r="B207" s="16">
        <f>IFERROR(__xludf.DUMMYFUNCTION("VLOOKUP(A207,IMPORTRANGE(""1aFCnJY1qhIj8-JckJhDJ18aqmVo17tofpQmOjcYa3u8/edit#gid=590920912"",""S1 Totals!$A$2:$O$255""),2,FALSE)"),7.5)</f>
        <v>7.5</v>
      </c>
      <c r="C207" s="15">
        <f>IFERROR(__xludf.DUMMYFUNCTION("VLOOKUP(A207,IMPORTRANGE(""1aFCnJY1qhIj8-JckJhDJ18aqmVo17tofpQmOjcYa3u8/edit#gid=590920912"",""S1 Totals!$A$2:$O$255""),3,FALSE)"),0.22727272727272727)</f>
        <v>0.2272727273</v>
      </c>
      <c r="D207" s="16">
        <f>IFERROR(__xludf.DUMMYFUNCTION("VLOOKUP(A207,IMPORTRANGE(""1QZ5UxyNCwadreQAXnQ7oCoH982DjIA-QnZdO7ZoqkC0/edit#gid=884617569"",""S1 Totals!$A$2:$O$255""),2,FALSE)"),7.25)</f>
        <v>7.25</v>
      </c>
      <c r="E207" s="15">
        <f>IFERROR(__xludf.DUMMYFUNCTION("VLOOKUP(A207,IMPORTRANGE(""1QZ5UxyNCwadreQAXnQ7oCoH982DjIA-QnZdO7ZoqkC0/edit#gid=884617569"",""S1 Totals!$A$2:$O$255""),3,FALSE)"),0.2196969696969697)</f>
        <v>0.2196969697</v>
      </c>
      <c r="F207" s="108">
        <f t="shared" si="1"/>
        <v>0.007575757576</v>
      </c>
      <c r="G207" s="16">
        <f>IFERROR(__xludf.DUMMYFUNCTION("VLOOKUP(A207,IMPORTRANGE(""1QZ5UxyNCwadreQAXnQ7oCoH982DjIA-QnZdO7ZoqkC0/edit#gid=884617569"",""S1 Totals!$A$2:$O$255""),4,FALSE)"),11.0)</f>
        <v>11</v>
      </c>
      <c r="H207" s="15">
        <f>IFERROR(__xludf.DUMMYFUNCTION("VLOOKUP(A207,IMPORTRANGE(""1QZ5UxyNCwadreQAXnQ7oCoH982DjIA-QnZdO7ZoqkC0/edit#gid=884617569"",""S1 Totals!$A$2:$O$255""),5,FALSE)"),0.23404255319148937)</f>
        <v>0.2340425532</v>
      </c>
      <c r="I207" s="108">
        <f t="shared" si="2"/>
        <v>-0.006769825919</v>
      </c>
      <c r="J207" s="16">
        <f>IFERROR(__xludf.DUMMYFUNCTION("VLOOKUP(A207,IMPORTRANGE(""1QZ5UxyNCwadreQAXnQ7oCoH982DjIA-QnZdO7ZoqkC0/edit#gid=884617569"",""S1 Totals!$A$2:$O$255""),7,FALSE)"),11.5)</f>
        <v>11.5</v>
      </c>
      <c r="K207" s="15">
        <f>IFERROR(__xludf.DUMMYFUNCTION("VLOOKUP(A207,IMPORTRANGE(""1QZ5UxyNCwadreQAXnQ7oCoH982DjIA-QnZdO7ZoqkC0/edit#gid=884617569"",""S1 Totals!$A$2:$O$255""),8,FALSE)"),0.23469387755102042)</f>
        <v>0.2346938776</v>
      </c>
      <c r="L207" s="109">
        <f t="shared" si="3"/>
        <v>-0.01499690785</v>
      </c>
      <c r="M207" s="16">
        <f>IFERROR(__xludf.DUMMYFUNCTION("VLOOKUP(A207,IMPORTRANGE(""1QZ5UxyNCwadreQAXnQ7oCoH982DjIA-QnZdO7ZoqkC0/edit#gid=884617569"",""S1 Totals!$A$2:$O$255""),10,FALSE)"),8.5)</f>
        <v>8.5</v>
      </c>
      <c r="N207" s="15">
        <f>IFERROR(__xludf.DUMMYFUNCTION("VLOOKUP(A207,IMPORTRANGE(""1QZ5UxyNCwadreQAXnQ7oCoH982DjIA-QnZdO7ZoqkC0/edit#gid=884617569"",""S1 Totals!$A$2:$O$256""),11,FALSE)"),0.17708333333333334)</f>
        <v>0.1770833333</v>
      </c>
      <c r="O207" s="110">
        <f t="shared" si="46"/>
        <v>0.05018939394</v>
      </c>
      <c r="P207" s="16" t="str">
        <f>IFERROR(__xludf.DUMMYFUNCTION("VLOOKUP(A207,IMPORTRANGE(""1QZ5UxyNCwadreQAXnQ7oCoH982DjIA-QnZdO7ZoqkC0/edit#gid=884617569"",""S1 Totals!$A$2:$O$256""),13,FALSE)"),"")</f>
        <v/>
      </c>
      <c r="Q207" s="15" t="str">
        <f>IFERROR(__xludf.DUMMYFUNCTION("VLOOKUP(A207,IMPORTRANGE(""1QZ5UxyNCwadreQAXnQ7oCoH982DjIA-QnZdO7ZoqkC0/edit#gid=884617569"",""S1 Totals!$A$2:$O$256""),14,FALSE)"),"")</f>
        <v/>
      </c>
      <c r="R207" s="16"/>
    </row>
    <row r="208">
      <c r="A208" s="107" t="s">
        <v>197</v>
      </c>
      <c r="B208" s="16">
        <f>IFERROR(__xludf.DUMMYFUNCTION("VLOOKUP(A208,IMPORTRANGE(""1aFCnJY1qhIj8-JckJhDJ18aqmVo17tofpQmOjcYa3u8/edit#gid=590920912"",""S1 Totals!$A$2:$O$255""),2,FALSE)"),17.25)</f>
        <v>17.25</v>
      </c>
      <c r="C208" s="15">
        <f>IFERROR(__xludf.DUMMYFUNCTION("VLOOKUP(A208,IMPORTRANGE(""1aFCnJY1qhIj8-JckJhDJ18aqmVo17tofpQmOjcYa3u8/edit#gid=590920912"",""S1 Totals!$A$2:$O$255""),3,FALSE)"),0.5227272727272727)</f>
        <v>0.5227272727</v>
      </c>
      <c r="D208" s="16">
        <f>IFERROR(__xludf.DUMMYFUNCTION("VLOOKUP(A208,IMPORTRANGE(""1QZ5UxyNCwadreQAXnQ7oCoH982DjIA-QnZdO7ZoqkC0/edit#gid=884617569"",""S1 Totals!$A$2:$O$255""),2,FALSE)"),16.75)</f>
        <v>16.75</v>
      </c>
      <c r="E208" s="15">
        <f>IFERROR(__xludf.DUMMYFUNCTION("VLOOKUP(A208,IMPORTRANGE(""1QZ5UxyNCwadreQAXnQ7oCoH982DjIA-QnZdO7ZoqkC0/edit#gid=884617569"",""S1 Totals!$A$2:$O$255""),3,FALSE)"),0.5075757575757576)</f>
        <v>0.5075757576</v>
      </c>
      <c r="F208" s="108">
        <f t="shared" si="1"/>
        <v>0.01515151515</v>
      </c>
      <c r="G208" s="16">
        <f>IFERROR(__xludf.DUMMYFUNCTION("VLOOKUP(A208,IMPORTRANGE(""1QZ5UxyNCwadreQAXnQ7oCoH982DjIA-QnZdO7ZoqkC0/edit#gid=884617569"",""S1 Totals!$A$2:$O$255""),4,FALSE)"),19.0)</f>
        <v>19</v>
      </c>
      <c r="H208" s="15">
        <f>IFERROR(__xludf.DUMMYFUNCTION("VLOOKUP(A208,IMPORTRANGE(""1QZ5UxyNCwadreQAXnQ7oCoH982DjIA-QnZdO7ZoqkC0/edit#gid=884617569"",""S1 Totals!$A$2:$O$255""),5,FALSE)"),0.40425531914893614)</f>
        <v>0.4042553191</v>
      </c>
      <c r="I208" s="108">
        <f t="shared" si="2"/>
        <v>0.1184719536</v>
      </c>
      <c r="J208" s="16">
        <f>IFERROR(__xludf.DUMMYFUNCTION("VLOOKUP(A208,IMPORTRANGE(""1QZ5UxyNCwadreQAXnQ7oCoH982DjIA-QnZdO7ZoqkC0/edit#gid=884617569"",""S1 Totals!$A$2:$O$255""),7,FALSE)"),17.0)</f>
        <v>17</v>
      </c>
      <c r="K208" s="15">
        <f>IFERROR(__xludf.DUMMYFUNCTION("VLOOKUP(A208,IMPORTRANGE(""1QZ5UxyNCwadreQAXnQ7oCoH982DjIA-QnZdO7ZoqkC0/edit#gid=884617569"",""S1 Totals!$A$2:$O$255""),8,FALSE)"),0.3469387755102041)</f>
        <v>0.3469387755</v>
      </c>
      <c r="L208" s="109">
        <f t="shared" si="3"/>
        <v>0.1606369821</v>
      </c>
      <c r="M208" s="16"/>
      <c r="N208" s="15"/>
      <c r="O208" s="110"/>
      <c r="P208" s="16"/>
      <c r="Q208" s="15"/>
      <c r="R208" s="16"/>
    </row>
    <row r="209">
      <c r="A209" s="107" t="s">
        <v>148</v>
      </c>
      <c r="B209" s="16">
        <f>IFERROR(__xludf.DUMMYFUNCTION("VLOOKUP(A209,IMPORTRANGE(""1aFCnJY1qhIj8-JckJhDJ18aqmVo17tofpQmOjcYa3u8/edit#gid=590920912"",""S1 Totals!$A$2:$O$255""),2,FALSE)"),29.75)</f>
        <v>29.75</v>
      </c>
      <c r="C209" s="15">
        <f>IFERROR(__xludf.DUMMYFUNCTION("VLOOKUP(A209,IMPORTRANGE(""1aFCnJY1qhIj8-JckJhDJ18aqmVo17tofpQmOjcYa3u8/edit#gid=590920912"",""S1 Totals!$A$2:$O$255""),3,FALSE)"),0.9015151515151515)</f>
        <v>0.9015151515</v>
      </c>
      <c r="D209" s="16">
        <f>IFERROR(__xludf.DUMMYFUNCTION("VLOOKUP(A209,IMPORTRANGE(""1QZ5UxyNCwadreQAXnQ7oCoH982DjIA-QnZdO7ZoqkC0/edit#gid=884617569"",""S1 Totals!$A$2:$O$255""),2,FALSE)"),29.5)</f>
        <v>29.5</v>
      </c>
      <c r="E209" s="15">
        <f>IFERROR(__xludf.DUMMYFUNCTION("VLOOKUP(A209,IMPORTRANGE(""1QZ5UxyNCwadreQAXnQ7oCoH982DjIA-QnZdO7ZoqkC0/edit#gid=884617569"",""S1 Totals!$A$2:$O$255""),3,FALSE)"),0.8939393939393939)</f>
        <v>0.8939393939</v>
      </c>
      <c r="F209" s="108">
        <f t="shared" si="1"/>
        <v>0.007575757576</v>
      </c>
      <c r="G209" s="16">
        <f>IFERROR(__xludf.DUMMYFUNCTION("VLOOKUP(A209,IMPORTRANGE(""1QZ5UxyNCwadreQAXnQ7oCoH982DjIA-QnZdO7ZoqkC0/edit#gid=884617569"",""S1 Totals!$A$2:$O$255""),4,FALSE)"),40.5)</f>
        <v>40.5</v>
      </c>
      <c r="H209" s="15">
        <f>IFERROR(__xludf.DUMMYFUNCTION("VLOOKUP(A209,IMPORTRANGE(""1QZ5UxyNCwadreQAXnQ7oCoH982DjIA-QnZdO7ZoqkC0/edit#gid=884617569"",""S1 Totals!$A$2:$O$255""),5,FALSE)"),0.8617021276595744)</f>
        <v>0.8617021277</v>
      </c>
      <c r="I209" s="108">
        <f t="shared" si="2"/>
        <v>0.03981302386</v>
      </c>
      <c r="J209" s="16">
        <f>IFERROR(__xludf.DUMMYFUNCTION("VLOOKUP(A209,IMPORTRANGE(""1QZ5UxyNCwadreQAXnQ7oCoH982DjIA-QnZdO7ZoqkC0/edit#gid=884617569"",""S1 Totals!$A$2:$O$255""),7,FALSE)"),43.0)</f>
        <v>43</v>
      </c>
      <c r="K209" s="15">
        <f>IFERROR(__xludf.DUMMYFUNCTION("VLOOKUP(A209,IMPORTRANGE(""1QZ5UxyNCwadreQAXnQ7oCoH982DjIA-QnZdO7ZoqkC0/edit#gid=884617569"",""S1 Totals!$A$2:$O$255""),8,FALSE)"),0.8775510204081632)</f>
        <v>0.8775510204</v>
      </c>
      <c r="L209" s="109">
        <f t="shared" si="3"/>
        <v>0.01638837353</v>
      </c>
      <c r="M209" s="16">
        <f>IFERROR(__xludf.DUMMYFUNCTION("VLOOKUP(A209,IMPORTRANGE(""1QZ5UxyNCwadreQAXnQ7oCoH982DjIA-QnZdO7ZoqkC0/edit#gid=884617569"",""S1 Totals!$A$2:$O$255""),10,FALSE)"),42.0)</f>
        <v>42</v>
      </c>
      <c r="N209" s="15">
        <f>IFERROR(__xludf.DUMMYFUNCTION("VLOOKUP(A209,IMPORTRANGE(""1QZ5UxyNCwadreQAXnQ7oCoH982DjIA-QnZdO7ZoqkC0/edit#gid=884617569"",""S1 Totals!$A$2:$O$256""),11,FALSE)"),0.875)</f>
        <v>0.875</v>
      </c>
      <c r="O209" s="110">
        <f t="shared" ref="O209:O212" si="47">C209-N209</f>
        <v>0.02651515152</v>
      </c>
      <c r="P209" s="16" t="str">
        <f>IFERROR(__xludf.DUMMYFUNCTION("VLOOKUP(A209,IMPORTRANGE(""1QZ5UxyNCwadreQAXnQ7oCoH982DjIA-QnZdO7ZoqkC0/edit#gid=884617569"",""S1 Totals!$A$2:$O$256""),13,FALSE)"),"")</f>
        <v/>
      </c>
      <c r="Q209" s="15" t="str">
        <f>IFERROR(__xludf.DUMMYFUNCTION("VLOOKUP(A209,IMPORTRANGE(""1QZ5UxyNCwadreQAXnQ7oCoH982DjIA-QnZdO7ZoqkC0/edit#gid=884617569"",""S1 Totals!$A$2:$O$256""),14,FALSE)"),"")</f>
        <v/>
      </c>
      <c r="R209" s="16"/>
    </row>
    <row r="210">
      <c r="A210" s="107" t="s">
        <v>149</v>
      </c>
      <c r="B210" s="16">
        <f>IFERROR(__xludf.DUMMYFUNCTION("VLOOKUP(A210,IMPORTRANGE(""1aFCnJY1qhIj8-JckJhDJ18aqmVo17tofpQmOjcYa3u8/edit#gid=590920912"",""S1 Totals!$A$2:$O$255""),2,FALSE)"),30.0)</f>
        <v>30</v>
      </c>
      <c r="C210" s="15">
        <f>IFERROR(__xludf.DUMMYFUNCTION("VLOOKUP(A210,IMPORTRANGE(""1aFCnJY1qhIj8-JckJhDJ18aqmVo17tofpQmOjcYa3u8/edit#gid=590920912"",""S1 Totals!$A$2:$O$255""),3,FALSE)"),0.9090909090909091)</f>
        <v>0.9090909091</v>
      </c>
      <c r="D210" s="16">
        <f>IFERROR(__xludf.DUMMYFUNCTION("VLOOKUP(A210,IMPORTRANGE(""1QZ5UxyNCwadreQAXnQ7oCoH982DjIA-QnZdO7ZoqkC0/edit#gid=884617569"",""S1 Totals!$A$2:$O$255""),2,FALSE)"),26.25)</f>
        <v>26.25</v>
      </c>
      <c r="E210" s="15">
        <f>IFERROR(__xludf.DUMMYFUNCTION("VLOOKUP(A210,IMPORTRANGE(""1QZ5UxyNCwadreQAXnQ7oCoH982DjIA-QnZdO7ZoqkC0/edit#gid=884617569"",""S1 Totals!$A$2:$O$255""),3,FALSE)"),0.7954545454545454)</f>
        <v>0.7954545455</v>
      </c>
      <c r="F210" s="108">
        <f t="shared" si="1"/>
        <v>0.1136363636</v>
      </c>
      <c r="G210" s="16">
        <f>IFERROR(__xludf.DUMMYFUNCTION("VLOOKUP(A210,IMPORTRANGE(""1QZ5UxyNCwadreQAXnQ7oCoH982DjIA-QnZdO7ZoqkC0/edit#gid=884617569"",""S1 Totals!$A$2:$O$255""),4,FALSE)"),28.5)</f>
        <v>28.5</v>
      </c>
      <c r="H210" s="15">
        <f>IFERROR(__xludf.DUMMYFUNCTION("VLOOKUP(A210,IMPORTRANGE(""1QZ5UxyNCwadreQAXnQ7oCoH982DjIA-QnZdO7ZoqkC0/edit#gid=884617569"",""S1 Totals!$A$2:$O$255""),5,FALSE)"),0.6063829787234043)</f>
        <v>0.6063829787</v>
      </c>
      <c r="I210" s="108">
        <f t="shared" si="2"/>
        <v>0.3027079304</v>
      </c>
      <c r="J210" s="16">
        <f>IFERROR(__xludf.DUMMYFUNCTION("VLOOKUP(A210,IMPORTRANGE(""1QZ5UxyNCwadreQAXnQ7oCoH982DjIA-QnZdO7ZoqkC0/edit#gid=884617569"",""S1 Totals!$A$2:$O$255""),7,FALSE)"),30.5)</f>
        <v>30.5</v>
      </c>
      <c r="K210" s="15">
        <f>IFERROR(__xludf.DUMMYFUNCTION("VLOOKUP(A210,IMPORTRANGE(""1QZ5UxyNCwadreQAXnQ7oCoH982DjIA-QnZdO7ZoqkC0/edit#gid=884617569"",""S1 Totals!$A$2:$O$255""),8,FALSE)"),0.6224489795918368)</f>
        <v>0.6224489796</v>
      </c>
      <c r="L210" s="109">
        <f t="shared" si="3"/>
        <v>0.1730055659</v>
      </c>
      <c r="M210" s="16">
        <f>IFERROR(__xludf.DUMMYFUNCTION("VLOOKUP(A210,IMPORTRANGE(""1QZ5UxyNCwadreQAXnQ7oCoH982DjIA-QnZdO7ZoqkC0/edit#gid=884617569"",""S1 Totals!$A$2:$O$255""),10,FALSE)"),26.0)</f>
        <v>26</v>
      </c>
      <c r="N210" s="15">
        <f>IFERROR(__xludf.DUMMYFUNCTION("VLOOKUP(A210,IMPORTRANGE(""1QZ5UxyNCwadreQAXnQ7oCoH982DjIA-QnZdO7ZoqkC0/edit#gid=884617569"",""S1 Totals!$A$2:$O$256""),11,FALSE)"),0.5416666666666666)</f>
        <v>0.5416666667</v>
      </c>
      <c r="O210" s="110">
        <f t="shared" si="47"/>
        <v>0.3674242424</v>
      </c>
      <c r="P210" s="16" t="str">
        <f>IFERROR(__xludf.DUMMYFUNCTION("VLOOKUP(A210,IMPORTRANGE(""1QZ5UxyNCwadreQAXnQ7oCoH982DjIA-QnZdO7ZoqkC0/edit#gid=884617569"",""S1 Totals!$A$2:$O$256""),13,FALSE)"),"")</f>
        <v/>
      </c>
      <c r="Q210" s="15" t="str">
        <f>IFERROR(__xludf.DUMMYFUNCTION("VLOOKUP(A210,IMPORTRANGE(""1QZ5UxyNCwadreQAXnQ7oCoH982DjIA-QnZdO7ZoqkC0/edit#gid=884617569"",""S1 Totals!$A$2:$O$256""),14,FALSE)"),"")</f>
        <v/>
      </c>
      <c r="R210" s="16"/>
    </row>
    <row r="211">
      <c r="A211" s="107" t="s">
        <v>150</v>
      </c>
      <c r="B211" s="16">
        <f>IFERROR(__xludf.DUMMYFUNCTION("VLOOKUP(A211,IMPORTRANGE(""1aFCnJY1qhIj8-JckJhDJ18aqmVo17tofpQmOjcYa3u8/edit#gid=590920912"",""S1 Totals!$A$2:$O$255""),2,FALSE)"),10.25)</f>
        <v>10.25</v>
      </c>
      <c r="C211" s="15">
        <f>IFERROR(__xludf.DUMMYFUNCTION("VLOOKUP(A211,IMPORTRANGE(""1aFCnJY1qhIj8-JckJhDJ18aqmVo17tofpQmOjcYa3u8/edit#gid=590920912"",""S1 Totals!$A$2:$O$255""),3,FALSE)"),0.3106060606060606)</f>
        <v>0.3106060606</v>
      </c>
      <c r="D211" s="16">
        <f>IFERROR(__xludf.DUMMYFUNCTION("VLOOKUP(A211,IMPORTRANGE(""1QZ5UxyNCwadreQAXnQ7oCoH982DjIA-QnZdO7ZoqkC0/edit#gid=884617569"",""S1 Totals!$A$2:$O$255""),2,FALSE)"),11.25)</f>
        <v>11.25</v>
      </c>
      <c r="E211" s="15">
        <f>IFERROR(__xludf.DUMMYFUNCTION("VLOOKUP(A211,IMPORTRANGE(""1QZ5UxyNCwadreQAXnQ7oCoH982DjIA-QnZdO7ZoqkC0/edit#gid=884617569"",""S1 Totals!$A$2:$O$255""),3,FALSE)"),0.3409090909090909)</f>
        <v>0.3409090909</v>
      </c>
      <c r="F211" s="108">
        <f t="shared" si="1"/>
        <v>-0.0303030303</v>
      </c>
      <c r="G211" s="16">
        <f>IFERROR(__xludf.DUMMYFUNCTION("VLOOKUP(A211,IMPORTRANGE(""1QZ5UxyNCwadreQAXnQ7oCoH982DjIA-QnZdO7ZoqkC0/edit#gid=884617569"",""S1 Totals!$A$2:$O$255""),4,FALSE)"),15.0)</f>
        <v>15</v>
      </c>
      <c r="H211" s="15">
        <f>IFERROR(__xludf.DUMMYFUNCTION("VLOOKUP(A211,IMPORTRANGE(""1QZ5UxyNCwadreQAXnQ7oCoH982DjIA-QnZdO7ZoqkC0/edit#gid=884617569"",""S1 Totals!$A$2:$O$255""),5,FALSE)"),0.3191489361702128)</f>
        <v>0.3191489362</v>
      </c>
      <c r="I211" s="108">
        <f t="shared" si="2"/>
        <v>-0.008542875564</v>
      </c>
      <c r="J211" s="16">
        <f>IFERROR(__xludf.DUMMYFUNCTION("VLOOKUP(A211,IMPORTRANGE(""1QZ5UxyNCwadreQAXnQ7oCoH982DjIA-QnZdO7ZoqkC0/edit#gid=884617569"",""S1 Totals!$A$2:$O$255""),7,FALSE)"),14.5)</f>
        <v>14.5</v>
      </c>
      <c r="K211" s="15">
        <f>IFERROR(__xludf.DUMMYFUNCTION("VLOOKUP(A211,IMPORTRANGE(""1QZ5UxyNCwadreQAXnQ7oCoH982DjIA-QnZdO7ZoqkC0/edit#gid=884617569"",""S1 Totals!$A$2:$O$255""),8,FALSE)"),0.29591836734693877)</f>
        <v>0.2959183673</v>
      </c>
      <c r="L211" s="109">
        <f t="shared" si="3"/>
        <v>0.04499072356</v>
      </c>
      <c r="M211" s="16">
        <f>IFERROR(__xludf.DUMMYFUNCTION("VLOOKUP(A211,IMPORTRANGE(""1QZ5UxyNCwadreQAXnQ7oCoH982DjIA-QnZdO7ZoqkC0/edit#gid=884617569"",""S1 Totals!$A$2:$O$255""),10,FALSE)"),12.5)</f>
        <v>12.5</v>
      </c>
      <c r="N211" s="15">
        <f>IFERROR(__xludf.DUMMYFUNCTION("VLOOKUP(A211,IMPORTRANGE(""1QZ5UxyNCwadreQAXnQ7oCoH982DjIA-QnZdO7ZoqkC0/edit#gid=884617569"",""S1 Totals!$A$2:$O$256""),11,FALSE)"),0.2604166666666667)</f>
        <v>0.2604166667</v>
      </c>
      <c r="O211" s="110">
        <f t="shared" si="47"/>
        <v>0.05018939394</v>
      </c>
      <c r="P211" s="16" t="str">
        <f>IFERROR(__xludf.DUMMYFUNCTION("VLOOKUP(A211,IMPORTRANGE(""1QZ5UxyNCwadreQAXnQ7oCoH982DjIA-QnZdO7ZoqkC0/edit#gid=884617569"",""S1 Totals!$A$2:$O$256""),13,FALSE)"),"")</f>
        <v/>
      </c>
      <c r="Q211" s="15" t="str">
        <f>IFERROR(__xludf.DUMMYFUNCTION("VLOOKUP(A211,IMPORTRANGE(""1QZ5UxyNCwadreQAXnQ7oCoH982DjIA-QnZdO7ZoqkC0/edit#gid=884617569"",""S1 Totals!$A$2:$O$256""),14,FALSE)"),"")</f>
        <v/>
      </c>
      <c r="R211" s="16"/>
    </row>
    <row r="212">
      <c r="A212" s="107" t="s">
        <v>81</v>
      </c>
      <c r="B212" s="16">
        <f>IFERROR(__xludf.DUMMYFUNCTION("VLOOKUP(A212,IMPORTRANGE(""1aFCnJY1qhIj8-JckJhDJ18aqmVo17tofpQmOjcYa3u8/edit#gid=590920912"",""S1 Totals!$A$2:$O$255""),2,FALSE)"),27.0)</f>
        <v>27</v>
      </c>
      <c r="C212" s="15">
        <f>IFERROR(__xludf.DUMMYFUNCTION("VLOOKUP(A212,IMPORTRANGE(""1aFCnJY1qhIj8-JckJhDJ18aqmVo17tofpQmOjcYa3u8/edit#gid=590920912"",""S1 Totals!$A$2:$O$255""),3,FALSE)"),0.8181818181818182)</f>
        <v>0.8181818182</v>
      </c>
      <c r="D212" s="16">
        <f>IFERROR(__xludf.DUMMYFUNCTION("VLOOKUP(A212,IMPORTRANGE(""1QZ5UxyNCwadreQAXnQ7oCoH982DjIA-QnZdO7ZoqkC0/edit#gid=884617569"",""S1 Totals!$A$2:$O$255""),2,FALSE)"),29.25)</f>
        <v>29.25</v>
      </c>
      <c r="E212" s="15">
        <f>IFERROR(__xludf.DUMMYFUNCTION("VLOOKUP(A212,IMPORTRANGE(""1QZ5UxyNCwadreQAXnQ7oCoH982DjIA-QnZdO7ZoqkC0/edit#gid=884617569"",""S1 Totals!$A$2:$O$255""),3,FALSE)"),0.8863636363636364)</f>
        <v>0.8863636364</v>
      </c>
      <c r="F212" s="108">
        <f t="shared" si="1"/>
        <v>-0.06818181818</v>
      </c>
      <c r="G212" s="16">
        <f>IFERROR(__xludf.DUMMYFUNCTION("VLOOKUP(A212,IMPORTRANGE(""1QZ5UxyNCwadreQAXnQ7oCoH982DjIA-QnZdO7ZoqkC0/edit#gid=884617569"",""S1 Totals!$A$2:$O$255""),4,FALSE)"),37.5)</f>
        <v>37.5</v>
      </c>
      <c r="H212" s="15">
        <f>IFERROR(__xludf.DUMMYFUNCTION("VLOOKUP(A212,IMPORTRANGE(""1QZ5UxyNCwadreQAXnQ7oCoH982DjIA-QnZdO7ZoqkC0/edit#gid=884617569"",""S1 Totals!$A$2:$O$255""),5,FALSE)"),0.7978723404255319)</f>
        <v>0.7978723404</v>
      </c>
      <c r="I212" s="108">
        <f t="shared" si="2"/>
        <v>0.02030947776</v>
      </c>
      <c r="J212" s="16">
        <f>IFERROR(__xludf.DUMMYFUNCTION("VLOOKUP(A212,IMPORTRANGE(""1QZ5UxyNCwadreQAXnQ7oCoH982DjIA-QnZdO7ZoqkC0/edit#gid=884617569"",""S1 Totals!$A$2:$O$255""),7,FALSE)"),38.5)</f>
        <v>38.5</v>
      </c>
      <c r="K212" s="15">
        <f>IFERROR(__xludf.DUMMYFUNCTION("VLOOKUP(A212,IMPORTRANGE(""1QZ5UxyNCwadreQAXnQ7oCoH982DjIA-QnZdO7ZoqkC0/edit#gid=884617569"",""S1 Totals!$A$2:$O$255""),8,FALSE)"),0.7857142857142857)</f>
        <v>0.7857142857</v>
      </c>
      <c r="L212" s="109">
        <f t="shared" si="3"/>
        <v>0.1006493506</v>
      </c>
      <c r="M212" s="16">
        <f>IFERROR(__xludf.DUMMYFUNCTION("VLOOKUP(A212,IMPORTRANGE(""1QZ5UxyNCwadreQAXnQ7oCoH982DjIA-QnZdO7ZoqkC0/edit#gid=884617569"",""S1 Totals!$A$2:$O$255""),10,FALSE)"),34.5)</f>
        <v>34.5</v>
      </c>
      <c r="N212" s="15">
        <f>IFERROR(__xludf.DUMMYFUNCTION("VLOOKUP(A212,IMPORTRANGE(""1QZ5UxyNCwadreQAXnQ7oCoH982DjIA-QnZdO7ZoqkC0/edit#gid=884617569"",""S1 Totals!$A$2:$O$256""),11,FALSE)"),0.71875)</f>
        <v>0.71875</v>
      </c>
      <c r="O212" s="110">
        <f t="shared" si="47"/>
        <v>0.09943181818</v>
      </c>
      <c r="P212" s="16">
        <f>IFERROR(__xludf.DUMMYFUNCTION("VLOOKUP(A212,IMPORTRANGE(""1QZ5UxyNCwadreQAXnQ7oCoH982DjIA-QnZdO7ZoqkC0/edit#gid=884617569"",""S1 Totals!$A$2:$O$256""),13,FALSE)"),32.0)</f>
        <v>32</v>
      </c>
      <c r="Q212" s="15">
        <f>IFERROR(__xludf.DUMMYFUNCTION("VLOOKUP(A212,IMPORTRANGE(""1QZ5UxyNCwadreQAXnQ7oCoH982DjIA-QnZdO7ZoqkC0/edit#gid=884617569"",""S1 Totals!$A$2:$O$256""),14,FALSE)"),0.64)</f>
        <v>0.64</v>
      </c>
      <c r="R212" s="15">
        <f>C212-Q212</f>
        <v>0.1781818182</v>
      </c>
    </row>
    <row r="213">
      <c r="A213" s="107" t="s">
        <v>253</v>
      </c>
      <c r="B213" s="16">
        <f>IFERROR(__xludf.DUMMYFUNCTION("VLOOKUP(A213,IMPORTRANGE(""1aFCnJY1qhIj8-JckJhDJ18aqmVo17tofpQmOjcYa3u8/edit#gid=590920912"",""S1 Totals!$A$2:$O$255""),2,FALSE)"),28.0)</f>
        <v>28</v>
      </c>
      <c r="C213" s="15">
        <f>IFERROR(__xludf.DUMMYFUNCTION("VLOOKUP(A213,IMPORTRANGE(""1aFCnJY1qhIj8-JckJhDJ18aqmVo17tofpQmOjcYa3u8/edit#gid=590920912"",""S1 Totals!$A$2:$O$255""),3,FALSE)"),0.8484848484848485)</f>
        <v>0.8484848485</v>
      </c>
      <c r="D213" s="16">
        <f>IFERROR(__xludf.DUMMYFUNCTION("VLOOKUP(A213,IMPORTRANGE(""1QZ5UxyNCwadreQAXnQ7oCoH982DjIA-QnZdO7ZoqkC0/edit#gid=884617569"",""S1 Totals!$A$2:$O$255""),2,FALSE)"),28.25)</f>
        <v>28.25</v>
      </c>
      <c r="E213" s="15">
        <f>IFERROR(__xludf.DUMMYFUNCTION("VLOOKUP(A213,IMPORTRANGE(""1QZ5UxyNCwadreQAXnQ7oCoH982DjIA-QnZdO7ZoqkC0/edit#gid=884617569"",""S1 Totals!$A$2:$O$255""),3,FALSE)"),0.8560606060606061)</f>
        <v>0.8560606061</v>
      </c>
      <c r="F213" s="108">
        <f t="shared" si="1"/>
        <v>-0.007575757576</v>
      </c>
      <c r="G213" s="16">
        <f>IFERROR(__xludf.DUMMYFUNCTION("VLOOKUP(A213,IMPORTRANGE(""1QZ5UxyNCwadreQAXnQ7oCoH982DjIA-QnZdO7ZoqkC0/edit#gid=884617569"",""S1 Totals!$A$2:$O$255""),4,FALSE)"),39.0)</f>
        <v>39</v>
      </c>
      <c r="H213" s="15">
        <f>IFERROR(__xludf.DUMMYFUNCTION("VLOOKUP(A213,IMPORTRANGE(""1QZ5UxyNCwadreQAXnQ7oCoH982DjIA-QnZdO7ZoqkC0/edit#gid=884617569"",""S1 Totals!$A$2:$O$255""),5,FALSE)"),0.8297872340425532)</f>
        <v>0.829787234</v>
      </c>
      <c r="I213" s="108">
        <f t="shared" si="2"/>
        <v>0.01869761444</v>
      </c>
      <c r="J213" s="16" t="str">
        <f>IFERROR(__xludf.DUMMYFUNCTION("VLOOKUP(A213,IMPORTRANGE(""1QZ5UxyNCwadreQAXnQ7oCoH982DjIA-QnZdO7ZoqkC0/edit#gid=884617569"",""S1 Totals!$A$2:$O$255""),7,FALSE)"),"")</f>
        <v/>
      </c>
      <c r="K213" s="15" t="str">
        <f>IFERROR(__xludf.DUMMYFUNCTION("VLOOKUP(A213,IMPORTRANGE(""1QZ5UxyNCwadreQAXnQ7oCoH982DjIA-QnZdO7ZoqkC0/edit#gid=884617569"",""S1 Totals!$A$2:$O$255""),8,FALSE)"),"")</f>
        <v/>
      </c>
      <c r="L213" s="109">
        <f t="shared" si="3"/>
        <v>0.8560606061</v>
      </c>
      <c r="M213" s="16"/>
      <c r="N213" s="15"/>
      <c r="O213" s="110"/>
      <c r="P213" s="16"/>
      <c r="Q213" s="15"/>
      <c r="R213" s="16"/>
    </row>
    <row r="214">
      <c r="A214" s="107" t="s">
        <v>151</v>
      </c>
      <c r="B214" s="16">
        <f>IFERROR(__xludf.DUMMYFUNCTION("VLOOKUP(A214,IMPORTRANGE(""1aFCnJY1qhIj8-JckJhDJ18aqmVo17tofpQmOjcYa3u8/edit#gid=590920912"",""S1 Totals!$A$2:$O$255""),2,FALSE)"),26.75)</f>
        <v>26.75</v>
      </c>
      <c r="C214" s="15">
        <f>IFERROR(__xludf.DUMMYFUNCTION("VLOOKUP(A214,IMPORTRANGE(""1aFCnJY1qhIj8-JckJhDJ18aqmVo17tofpQmOjcYa3u8/edit#gid=590920912"",""S1 Totals!$A$2:$O$255""),3,FALSE)"),0.8106060606060606)</f>
        <v>0.8106060606</v>
      </c>
      <c r="D214" s="16">
        <f>IFERROR(__xludf.DUMMYFUNCTION("VLOOKUP(A214,IMPORTRANGE(""1QZ5UxyNCwadreQAXnQ7oCoH982DjIA-QnZdO7ZoqkC0/edit#gid=884617569"",""S1 Totals!$A$2:$O$255""),2,FALSE)"),28.5)</f>
        <v>28.5</v>
      </c>
      <c r="E214" s="15">
        <f>IFERROR(__xludf.DUMMYFUNCTION("VLOOKUP(A214,IMPORTRANGE(""1QZ5UxyNCwadreQAXnQ7oCoH982DjIA-QnZdO7ZoqkC0/edit#gid=884617569"",""S1 Totals!$A$2:$O$255""),3,FALSE)"),0.8636363636363636)</f>
        <v>0.8636363636</v>
      </c>
      <c r="F214" s="108">
        <f t="shared" si="1"/>
        <v>-0.05303030303</v>
      </c>
      <c r="G214" s="16">
        <f>IFERROR(__xludf.DUMMYFUNCTION("VLOOKUP(A214,IMPORTRANGE(""1QZ5UxyNCwadreQAXnQ7oCoH982DjIA-QnZdO7ZoqkC0/edit#gid=884617569"",""S1 Totals!$A$2:$O$255""),4,FALSE)"),42.0)</f>
        <v>42</v>
      </c>
      <c r="H214" s="15">
        <f>IFERROR(__xludf.DUMMYFUNCTION("VLOOKUP(A214,IMPORTRANGE(""1QZ5UxyNCwadreQAXnQ7oCoH982DjIA-QnZdO7ZoqkC0/edit#gid=884617569"",""S1 Totals!$A$2:$O$255""),5,FALSE)"),0.8936170212765957)</f>
        <v>0.8936170213</v>
      </c>
      <c r="I214" s="108">
        <f t="shared" si="2"/>
        <v>-0.08301096067</v>
      </c>
      <c r="J214" s="16">
        <f>IFERROR(__xludf.DUMMYFUNCTION("VLOOKUP(A214,IMPORTRANGE(""1QZ5UxyNCwadreQAXnQ7oCoH982DjIA-QnZdO7ZoqkC0/edit#gid=884617569"",""S1 Totals!$A$2:$O$255""),7,FALSE)"),44.0)</f>
        <v>44</v>
      </c>
      <c r="K214" s="15">
        <f>IFERROR(__xludf.DUMMYFUNCTION("VLOOKUP(A214,IMPORTRANGE(""1QZ5UxyNCwadreQAXnQ7oCoH982DjIA-QnZdO7ZoqkC0/edit#gid=884617569"",""S1 Totals!$A$2:$O$255""),8,FALSE)"),0.8979591836734694)</f>
        <v>0.8979591837</v>
      </c>
      <c r="L214" s="109">
        <f t="shared" si="3"/>
        <v>-0.03432282004</v>
      </c>
      <c r="M214" s="16">
        <f>IFERROR(__xludf.DUMMYFUNCTION("VLOOKUP(A214,IMPORTRANGE(""1QZ5UxyNCwadreQAXnQ7oCoH982DjIA-QnZdO7ZoqkC0/edit#gid=884617569"",""S1 Totals!$A$2:$O$255""),10,FALSE)"),41.5)</f>
        <v>41.5</v>
      </c>
      <c r="N214" s="15">
        <f>IFERROR(__xludf.DUMMYFUNCTION("VLOOKUP(A214,IMPORTRANGE(""1QZ5UxyNCwadreQAXnQ7oCoH982DjIA-QnZdO7ZoqkC0/edit#gid=884617569"",""S1 Totals!$A$2:$O$256""),11,FALSE)"),0.8645833333333334)</f>
        <v>0.8645833333</v>
      </c>
      <c r="O214" s="110">
        <f>C214-N214</f>
        <v>-0.05397727273</v>
      </c>
      <c r="P214" s="16" t="str">
        <f>IFERROR(__xludf.DUMMYFUNCTION("VLOOKUP(A214,IMPORTRANGE(""1QZ5UxyNCwadreQAXnQ7oCoH982DjIA-QnZdO7ZoqkC0/edit#gid=884617569"",""S1 Totals!$A$2:$O$256""),13,FALSE)"),"")</f>
        <v/>
      </c>
      <c r="Q214" s="15" t="str">
        <f>IFERROR(__xludf.DUMMYFUNCTION("VLOOKUP(A214,IMPORTRANGE(""1QZ5UxyNCwadreQAXnQ7oCoH982DjIA-QnZdO7ZoqkC0/edit#gid=884617569"",""S1 Totals!$A$2:$O$256""),14,FALSE)"),"")</f>
        <v/>
      </c>
      <c r="R214" s="16"/>
    </row>
    <row r="215">
      <c r="A215" s="107" t="s">
        <v>198</v>
      </c>
      <c r="B215" s="16">
        <f>IFERROR(__xludf.DUMMYFUNCTION("VLOOKUP(A215,IMPORTRANGE(""1aFCnJY1qhIj8-JckJhDJ18aqmVo17tofpQmOjcYa3u8/edit#gid=590920912"",""S1 Totals!$A$2:$O$255""),2,FALSE)"),17.25)</f>
        <v>17.25</v>
      </c>
      <c r="C215" s="15">
        <f>IFERROR(__xludf.DUMMYFUNCTION("VLOOKUP(A215,IMPORTRANGE(""1aFCnJY1qhIj8-JckJhDJ18aqmVo17tofpQmOjcYa3u8/edit#gid=590920912"",""S1 Totals!$A$2:$O$255""),3,FALSE)"),0.5227272727272727)</f>
        <v>0.5227272727</v>
      </c>
      <c r="D215" s="16">
        <f>IFERROR(__xludf.DUMMYFUNCTION("VLOOKUP(A215,IMPORTRANGE(""1QZ5UxyNCwadreQAXnQ7oCoH982DjIA-QnZdO7ZoqkC0/edit#gid=884617569"",""S1 Totals!$A$2:$O$255""),2,FALSE)"),18.0)</f>
        <v>18</v>
      </c>
      <c r="E215" s="15">
        <f>IFERROR(__xludf.DUMMYFUNCTION("VLOOKUP(A215,IMPORTRANGE(""1QZ5UxyNCwadreQAXnQ7oCoH982DjIA-QnZdO7ZoqkC0/edit#gid=884617569"",""S1 Totals!$A$2:$O$255""),3,FALSE)"),0.5454545454545454)</f>
        <v>0.5454545455</v>
      </c>
      <c r="F215" s="108">
        <f t="shared" si="1"/>
        <v>-0.02272727273</v>
      </c>
      <c r="G215" s="16">
        <f>IFERROR(__xludf.DUMMYFUNCTION("VLOOKUP(A215,IMPORTRANGE(""1QZ5UxyNCwadreQAXnQ7oCoH982DjIA-QnZdO7ZoqkC0/edit#gid=884617569"",""S1 Totals!$A$2:$O$255""),4,FALSE)"),24.5)</f>
        <v>24.5</v>
      </c>
      <c r="H215" s="15">
        <f>IFERROR(__xludf.DUMMYFUNCTION("VLOOKUP(A215,IMPORTRANGE(""1QZ5UxyNCwadreQAXnQ7oCoH982DjIA-QnZdO7ZoqkC0/edit#gid=884617569"",""S1 Totals!$A$2:$O$255""),5,FALSE)"),0.5212765957446809)</f>
        <v>0.5212765957</v>
      </c>
      <c r="I215" s="108">
        <f t="shared" si="2"/>
        <v>0.001450676983</v>
      </c>
      <c r="J215" s="16">
        <f>IFERROR(__xludf.DUMMYFUNCTION("VLOOKUP(A215,IMPORTRANGE(""1QZ5UxyNCwadreQAXnQ7oCoH982DjIA-QnZdO7ZoqkC0/edit#gid=884617569"",""S1 Totals!$A$2:$O$255""),7,FALSE)"),22.0)</f>
        <v>22</v>
      </c>
      <c r="K215" s="15">
        <f>IFERROR(__xludf.DUMMYFUNCTION("VLOOKUP(A215,IMPORTRANGE(""1QZ5UxyNCwadreQAXnQ7oCoH982DjIA-QnZdO7ZoqkC0/edit#gid=884617569"",""S1 Totals!$A$2:$O$255""),8,FALSE)"),0.4489795918367347)</f>
        <v>0.4489795918</v>
      </c>
      <c r="L215" s="109">
        <f t="shared" si="3"/>
        <v>0.09647495362</v>
      </c>
      <c r="M215" s="16"/>
      <c r="N215" s="15"/>
      <c r="O215" s="110"/>
      <c r="P215" s="16"/>
      <c r="Q215" s="15"/>
      <c r="R215" s="16"/>
    </row>
    <row r="216">
      <c r="A216" s="107" t="s">
        <v>95</v>
      </c>
      <c r="B216" s="16">
        <f>IFERROR(__xludf.DUMMYFUNCTION("VLOOKUP(A216,IMPORTRANGE(""1aFCnJY1qhIj8-JckJhDJ18aqmVo17tofpQmOjcYa3u8/edit#gid=590920912"",""S1 Totals!$A$2:$O$255""),2,FALSE)"),29.5)</f>
        <v>29.5</v>
      </c>
      <c r="C216" s="15">
        <f>IFERROR(__xludf.DUMMYFUNCTION("VLOOKUP(A216,IMPORTRANGE(""1aFCnJY1qhIj8-JckJhDJ18aqmVo17tofpQmOjcYa3u8/edit#gid=590920912"",""S1 Totals!$A$2:$O$255""),3,FALSE)"),0.8939393939393939)</f>
        <v>0.8939393939</v>
      </c>
      <c r="D216" s="16">
        <f>IFERROR(__xludf.DUMMYFUNCTION("VLOOKUP(A216,IMPORTRANGE(""1QZ5UxyNCwadreQAXnQ7oCoH982DjIA-QnZdO7ZoqkC0/edit#gid=884617569"",""S1 Totals!$A$2:$O$255""),2,FALSE)"),27.75)</f>
        <v>27.75</v>
      </c>
      <c r="E216" s="15">
        <f>IFERROR(__xludf.DUMMYFUNCTION("VLOOKUP(A216,IMPORTRANGE(""1QZ5UxyNCwadreQAXnQ7oCoH982DjIA-QnZdO7ZoqkC0/edit#gid=884617569"",""S1 Totals!$A$2:$O$255""),3,FALSE)"),0.8409090909090909)</f>
        <v>0.8409090909</v>
      </c>
      <c r="F216" s="108">
        <f t="shared" si="1"/>
        <v>0.05303030303</v>
      </c>
      <c r="G216" s="16">
        <f>IFERROR(__xludf.DUMMYFUNCTION("VLOOKUP(A216,IMPORTRANGE(""1QZ5UxyNCwadreQAXnQ7oCoH982DjIA-QnZdO7ZoqkC0/edit#gid=884617569"",""S1 Totals!$A$2:$O$255""),4,FALSE)"),35.5)</f>
        <v>35.5</v>
      </c>
      <c r="H216" s="15">
        <f>IFERROR(__xludf.DUMMYFUNCTION("VLOOKUP(A216,IMPORTRANGE(""1QZ5UxyNCwadreQAXnQ7oCoH982DjIA-QnZdO7ZoqkC0/edit#gid=884617569"",""S1 Totals!$A$2:$O$255""),5,FALSE)"),0.7553191489361702)</f>
        <v>0.7553191489</v>
      </c>
      <c r="I216" s="108">
        <f t="shared" si="2"/>
        <v>0.138620245</v>
      </c>
      <c r="J216" s="16">
        <f>IFERROR(__xludf.DUMMYFUNCTION("VLOOKUP(A216,IMPORTRANGE(""1QZ5UxyNCwadreQAXnQ7oCoH982DjIA-QnZdO7ZoqkC0/edit#gid=884617569"",""S1 Totals!$A$2:$O$255""),7,FALSE)"),36.0)</f>
        <v>36</v>
      </c>
      <c r="K216" s="15">
        <f>IFERROR(__xludf.DUMMYFUNCTION("VLOOKUP(A216,IMPORTRANGE(""1QZ5UxyNCwadreQAXnQ7oCoH982DjIA-QnZdO7ZoqkC0/edit#gid=884617569"",""S1 Totals!$A$2:$O$255""),8,FALSE)"),0.7346938775510204)</f>
        <v>0.7346938776</v>
      </c>
      <c r="L216" s="109">
        <f t="shared" si="3"/>
        <v>0.1062152134</v>
      </c>
      <c r="M216" s="16">
        <f>IFERROR(__xludf.DUMMYFUNCTION("VLOOKUP(A216,IMPORTRANGE(""1QZ5UxyNCwadreQAXnQ7oCoH982DjIA-QnZdO7ZoqkC0/edit#gid=884617569"",""S1 Totals!$A$2:$O$255""),10,FALSE)"),32.0)</f>
        <v>32</v>
      </c>
      <c r="N216" s="15">
        <f>IFERROR(__xludf.DUMMYFUNCTION("VLOOKUP(A216,IMPORTRANGE(""1QZ5UxyNCwadreQAXnQ7oCoH982DjIA-QnZdO7ZoqkC0/edit#gid=884617569"",""S1 Totals!$A$2:$O$256""),11,FALSE)"),0.6666666666666666)</f>
        <v>0.6666666667</v>
      </c>
      <c r="O216" s="110">
        <f>C216-N216</f>
        <v>0.2272727273</v>
      </c>
      <c r="P216" s="16">
        <f>IFERROR(__xludf.DUMMYFUNCTION("VLOOKUP(A216,IMPORTRANGE(""1QZ5UxyNCwadreQAXnQ7oCoH982DjIA-QnZdO7ZoqkC0/edit#gid=884617569"",""S1 Totals!$A$2:$O$256""),13,FALSE)"),32.0)</f>
        <v>32</v>
      </c>
      <c r="Q216" s="15">
        <f>IFERROR(__xludf.DUMMYFUNCTION("VLOOKUP(A216,IMPORTRANGE(""1QZ5UxyNCwadreQAXnQ7oCoH982DjIA-QnZdO7ZoqkC0/edit#gid=884617569"",""S1 Totals!$A$2:$O$256""),14,FALSE)"),0.64)</f>
        <v>0.64</v>
      </c>
      <c r="R216" s="15">
        <f>C216-Q216</f>
        <v>0.2539393939</v>
      </c>
    </row>
    <row r="217">
      <c r="A217" s="107" t="s">
        <v>199</v>
      </c>
      <c r="B217" s="16">
        <f>IFERROR(__xludf.DUMMYFUNCTION("VLOOKUP(A217,IMPORTRANGE(""1aFCnJY1qhIj8-JckJhDJ18aqmVo17tofpQmOjcYa3u8/edit#gid=590920912"",""S1 Totals!$A$2:$O$255""),2,FALSE)"),16.75)</f>
        <v>16.75</v>
      </c>
      <c r="C217" s="15">
        <f>IFERROR(__xludf.DUMMYFUNCTION("VLOOKUP(A217,IMPORTRANGE(""1aFCnJY1qhIj8-JckJhDJ18aqmVo17tofpQmOjcYa3u8/edit#gid=590920912"",""S1 Totals!$A$2:$O$255""),3,FALSE)"),0.5075757575757576)</f>
        <v>0.5075757576</v>
      </c>
      <c r="D217" s="16">
        <f>IFERROR(__xludf.DUMMYFUNCTION("VLOOKUP(A217,IMPORTRANGE(""1QZ5UxyNCwadreQAXnQ7oCoH982DjIA-QnZdO7ZoqkC0/edit#gid=884617569"",""S1 Totals!$A$2:$O$255""),2,FALSE)"),13.75)</f>
        <v>13.75</v>
      </c>
      <c r="E217" s="15">
        <f>IFERROR(__xludf.DUMMYFUNCTION("VLOOKUP(A217,IMPORTRANGE(""1QZ5UxyNCwadreQAXnQ7oCoH982DjIA-QnZdO7ZoqkC0/edit#gid=884617569"",""S1 Totals!$A$2:$O$255""),3,FALSE)"),0.4166666666666667)</f>
        <v>0.4166666667</v>
      </c>
      <c r="F217" s="108">
        <f t="shared" si="1"/>
        <v>0.09090909091</v>
      </c>
      <c r="G217" s="16">
        <f>IFERROR(__xludf.DUMMYFUNCTION("VLOOKUP(A217,IMPORTRANGE(""1QZ5UxyNCwadreQAXnQ7oCoH982DjIA-QnZdO7ZoqkC0/edit#gid=884617569"",""S1 Totals!$A$2:$O$255""),4,FALSE)"),28.0)</f>
        <v>28</v>
      </c>
      <c r="H217" s="15">
        <f>IFERROR(__xludf.DUMMYFUNCTION("VLOOKUP(A217,IMPORTRANGE(""1QZ5UxyNCwadreQAXnQ7oCoH982DjIA-QnZdO7ZoqkC0/edit#gid=884617569"",""S1 Totals!$A$2:$O$255""),5,FALSE)"),0.5957446808510638)</f>
        <v>0.5957446809</v>
      </c>
      <c r="I217" s="108">
        <f t="shared" si="2"/>
        <v>-0.08816892328</v>
      </c>
      <c r="J217" s="16">
        <f>IFERROR(__xludf.DUMMYFUNCTION("VLOOKUP(A217,IMPORTRANGE(""1QZ5UxyNCwadreQAXnQ7oCoH982DjIA-QnZdO7ZoqkC0/edit#gid=884617569"",""S1 Totals!$A$2:$O$255""),7,FALSE)"),4.5)</f>
        <v>4.5</v>
      </c>
      <c r="K217" s="15">
        <f>IFERROR(__xludf.DUMMYFUNCTION("VLOOKUP(A217,IMPORTRANGE(""1QZ5UxyNCwadreQAXnQ7oCoH982DjIA-QnZdO7ZoqkC0/edit#gid=884617569"",""S1 Totals!$A$2:$O$255""),8,FALSE)"),0.09183673469387756)</f>
        <v>0.09183673469</v>
      </c>
      <c r="L217" s="109">
        <f t="shared" si="3"/>
        <v>0.324829932</v>
      </c>
      <c r="M217" s="16"/>
      <c r="N217" s="15"/>
      <c r="O217" s="110"/>
      <c r="P217" s="16"/>
      <c r="Q217" s="15"/>
      <c r="R217" s="16"/>
    </row>
    <row r="218">
      <c r="A218" s="107" t="s">
        <v>254</v>
      </c>
      <c r="B218" s="16">
        <f>IFERROR(__xludf.DUMMYFUNCTION("VLOOKUP(A218,IMPORTRANGE(""1aFCnJY1qhIj8-JckJhDJ18aqmVo17tofpQmOjcYa3u8/edit#gid=590920912"",""S1 Totals!$A$2:$O$255""),2,FALSE)"),16.75)</f>
        <v>16.75</v>
      </c>
      <c r="C218" s="15">
        <f>IFERROR(__xludf.DUMMYFUNCTION("VLOOKUP(A218,IMPORTRANGE(""1aFCnJY1qhIj8-JckJhDJ18aqmVo17tofpQmOjcYa3u8/edit#gid=590920912"",""S1 Totals!$A$2:$O$255""),3,FALSE)"),0.5075757575757576)</f>
        <v>0.5075757576</v>
      </c>
      <c r="D218" s="16">
        <f>IFERROR(__xludf.DUMMYFUNCTION("VLOOKUP(A218,IMPORTRANGE(""1QZ5UxyNCwadreQAXnQ7oCoH982DjIA-QnZdO7ZoqkC0/edit#gid=884617569"",""S1 Totals!$A$2:$O$255""),2,FALSE)"),15.0)</f>
        <v>15</v>
      </c>
      <c r="E218" s="15">
        <f>IFERROR(__xludf.DUMMYFUNCTION("VLOOKUP(A218,IMPORTRANGE(""1QZ5UxyNCwadreQAXnQ7oCoH982DjIA-QnZdO7ZoqkC0/edit#gid=884617569"",""S1 Totals!$A$2:$O$255""),3,FALSE)"),0.45454545454545453)</f>
        <v>0.4545454545</v>
      </c>
      <c r="F218" s="108">
        <f t="shared" si="1"/>
        <v>0.05303030303</v>
      </c>
      <c r="G218" s="16">
        <f>IFERROR(__xludf.DUMMYFUNCTION("VLOOKUP(A218,IMPORTRANGE(""1QZ5UxyNCwadreQAXnQ7oCoH982DjIA-QnZdO7ZoqkC0/edit#gid=884617569"",""S1 Totals!$A$2:$O$255""),4,FALSE)"),16.5)</f>
        <v>16.5</v>
      </c>
      <c r="H218" s="15">
        <f>IFERROR(__xludf.DUMMYFUNCTION("VLOOKUP(A218,IMPORTRANGE(""1QZ5UxyNCwadreQAXnQ7oCoH982DjIA-QnZdO7ZoqkC0/edit#gid=884617569"",""S1 Totals!$A$2:$O$255""),5,FALSE)"),0.35106382978723405)</f>
        <v>0.3510638298</v>
      </c>
      <c r="I218" s="108">
        <f t="shared" si="2"/>
        <v>0.1565119278</v>
      </c>
      <c r="J218" s="16" t="str">
        <f>IFERROR(__xludf.DUMMYFUNCTION("VLOOKUP(A218,IMPORTRANGE(""1QZ5UxyNCwadreQAXnQ7oCoH982DjIA-QnZdO7ZoqkC0/edit#gid=884617569"",""S1 Totals!$A$2:$O$255""),7,FALSE)"),"")</f>
        <v/>
      </c>
      <c r="K218" s="15" t="str">
        <f>IFERROR(__xludf.DUMMYFUNCTION("VLOOKUP(A218,IMPORTRANGE(""1QZ5UxyNCwadreQAXnQ7oCoH982DjIA-QnZdO7ZoqkC0/edit#gid=884617569"",""S1 Totals!$A$2:$O$255""),8,FALSE)"),"")</f>
        <v/>
      </c>
      <c r="L218" s="109">
        <f t="shared" si="3"/>
        <v>0.4545454545</v>
      </c>
      <c r="M218" s="16"/>
      <c r="N218" s="15"/>
      <c r="O218" s="110"/>
      <c r="P218" s="16"/>
      <c r="Q218" s="15"/>
      <c r="R218" s="16"/>
    </row>
    <row r="219">
      <c r="A219" s="107" t="s">
        <v>96</v>
      </c>
      <c r="B219" s="16">
        <f>IFERROR(__xludf.DUMMYFUNCTION("VLOOKUP(A219,IMPORTRANGE(""1aFCnJY1qhIj8-JckJhDJ18aqmVo17tofpQmOjcYa3u8/edit#gid=590920912"",""S1 Totals!$A$2:$O$255""),2,FALSE)"),30.5)</f>
        <v>30.5</v>
      </c>
      <c r="C219" s="15">
        <f>IFERROR(__xludf.DUMMYFUNCTION("VLOOKUP(A219,IMPORTRANGE(""1aFCnJY1qhIj8-JckJhDJ18aqmVo17tofpQmOjcYa3u8/edit#gid=590920912"",""S1 Totals!$A$2:$O$255""),3,FALSE)"),0.9242424242424242)</f>
        <v>0.9242424242</v>
      </c>
      <c r="D219" s="16">
        <f>IFERROR(__xludf.DUMMYFUNCTION("VLOOKUP(A219,IMPORTRANGE(""1QZ5UxyNCwadreQAXnQ7oCoH982DjIA-QnZdO7ZoqkC0/edit#gid=884617569"",""S1 Totals!$A$2:$O$255""),2,FALSE)"),30.25)</f>
        <v>30.25</v>
      </c>
      <c r="E219" s="15">
        <f>IFERROR(__xludf.DUMMYFUNCTION("VLOOKUP(A219,IMPORTRANGE(""1QZ5UxyNCwadreQAXnQ7oCoH982DjIA-QnZdO7ZoqkC0/edit#gid=884617569"",""S1 Totals!$A$2:$O$255""),3,FALSE)"),0.9166666666666666)</f>
        <v>0.9166666667</v>
      </c>
      <c r="F219" s="108">
        <f t="shared" si="1"/>
        <v>0.007575757576</v>
      </c>
      <c r="G219" s="16">
        <f>IFERROR(__xludf.DUMMYFUNCTION("VLOOKUP(A219,IMPORTRANGE(""1QZ5UxyNCwadreQAXnQ7oCoH982DjIA-QnZdO7ZoqkC0/edit#gid=884617569"",""S1 Totals!$A$2:$O$255""),4,FALSE)"),41.5)</f>
        <v>41.5</v>
      </c>
      <c r="H219" s="15">
        <f>IFERROR(__xludf.DUMMYFUNCTION("VLOOKUP(A219,IMPORTRANGE(""1QZ5UxyNCwadreQAXnQ7oCoH982DjIA-QnZdO7ZoqkC0/edit#gid=884617569"",""S1 Totals!$A$2:$O$255""),5,FALSE)"),0.8829787234042553)</f>
        <v>0.8829787234</v>
      </c>
      <c r="I219" s="108">
        <f t="shared" si="2"/>
        <v>0.04126370084</v>
      </c>
      <c r="J219" s="16">
        <f>IFERROR(__xludf.DUMMYFUNCTION("VLOOKUP(A219,IMPORTRANGE(""1QZ5UxyNCwadreQAXnQ7oCoH982DjIA-QnZdO7ZoqkC0/edit#gid=884617569"",""S1 Totals!$A$2:$O$255""),7,FALSE)"),39.5)</f>
        <v>39.5</v>
      </c>
      <c r="K219" s="15">
        <f>IFERROR(__xludf.DUMMYFUNCTION("VLOOKUP(A219,IMPORTRANGE(""1QZ5UxyNCwadreQAXnQ7oCoH982DjIA-QnZdO7ZoqkC0/edit#gid=884617569"",""S1 Totals!$A$2:$O$255""),8,FALSE)"),0.8061224489795918)</f>
        <v>0.806122449</v>
      </c>
      <c r="L219" s="109">
        <f t="shared" si="3"/>
        <v>0.1105442177</v>
      </c>
      <c r="M219" s="16">
        <f>IFERROR(__xludf.DUMMYFUNCTION("VLOOKUP(A219,IMPORTRANGE(""1QZ5UxyNCwadreQAXnQ7oCoH982DjIA-QnZdO7ZoqkC0/edit#gid=884617569"",""S1 Totals!$A$2:$O$255""),10,FALSE)"),40.5)</f>
        <v>40.5</v>
      </c>
      <c r="N219" s="15">
        <f>IFERROR(__xludf.DUMMYFUNCTION("VLOOKUP(A219,IMPORTRANGE(""1QZ5UxyNCwadreQAXnQ7oCoH982DjIA-QnZdO7ZoqkC0/edit#gid=884617569"",""S1 Totals!$A$2:$O$256""),11,FALSE)"),0.84375)</f>
        <v>0.84375</v>
      </c>
      <c r="O219" s="110">
        <f>C219-N219</f>
        <v>0.08049242424</v>
      </c>
      <c r="P219" s="16">
        <f>IFERROR(__xludf.DUMMYFUNCTION("VLOOKUP(A219,IMPORTRANGE(""1QZ5UxyNCwadreQAXnQ7oCoH982DjIA-QnZdO7ZoqkC0/edit#gid=884617569"",""S1 Totals!$A$2:$O$256""),13,FALSE)"),27.5)</f>
        <v>27.5</v>
      </c>
      <c r="Q219" s="15">
        <f>IFERROR(__xludf.DUMMYFUNCTION("VLOOKUP(A219,IMPORTRANGE(""1QZ5UxyNCwadreQAXnQ7oCoH982DjIA-QnZdO7ZoqkC0/edit#gid=884617569"",""S1 Totals!$A$2:$O$256""),14,FALSE)"),0.55)</f>
        <v>0.55</v>
      </c>
      <c r="R219" s="15">
        <f>C219-Q219</f>
        <v>0.3742424242</v>
      </c>
    </row>
    <row r="220">
      <c r="A220" s="107" t="s">
        <v>255</v>
      </c>
      <c r="B220" s="16">
        <f>IFERROR(__xludf.DUMMYFUNCTION("VLOOKUP(A220,IMPORTRANGE(""1aFCnJY1qhIj8-JckJhDJ18aqmVo17tofpQmOjcYa3u8/edit#gid=590920912"",""S1 Totals!$A$2:$O$255""),2,FALSE)"),24.5)</f>
        <v>24.5</v>
      </c>
      <c r="C220" s="15">
        <f>IFERROR(__xludf.DUMMYFUNCTION("VLOOKUP(A220,IMPORTRANGE(""1aFCnJY1qhIj8-JckJhDJ18aqmVo17tofpQmOjcYa3u8/edit#gid=590920912"",""S1 Totals!$A$2:$O$255""),3,FALSE)"),0.7424242424242424)</f>
        <v>0.7424242424</v>
      </c>
      <c r="D220" s="16">
        <f>IFERROR(__xludf.DUMMYFUNCTION("VLOOKUP(A220,IMPORTRANGE(""1QZ5UxyNCwadreQAXnQ7oCoH982DjIA-QnZdO7ZoqkC0/edit#gid=884617569"",""S1 Totals!$A$2:$O$255""),2,FALSE)"),27.0)</f>
        <v>27</v>
      </c>
      <c r="E220" s="15">
        <f>IFERROR(__xludf.DUMMYFUNCTION("VLOOKUP(A220,IMPORTRANGE(""1QZ5UxyNCwadreQAXnQ7oCoH982DjIA-QnZdO7ZoqkC0/edit#gid=884617569"",""S1 Totals!$A$2:$O$255""),3,FALSE)"),0.8181818181818182)</f>
        <v>0.8181818182</v>
      </c>
      <c r="F220" s="108">
        <f t="shared" si="1"/>
        <v>-0.07575757576</v>
      </c>
      <c r="G220" s="16">
        <f>IFERROR(__xludf.DUMMYFUNCTION("VLOOKUP(A220,IMPORTRANGE(""1QZ5UxyNCwadreQAXnQ7oCoH982DjIA-QnZdO7ZoqkC0/edit#gid=884617569"",""S1 Totals!$A$2:$O$255""),4,FALSE)"),35.5)</f>
        <v>35.5</v>
      </c>
      <c r="H220" s="15">
        <f>IFERROR(__xludf.DUMMYFUNCTION("VLOOKUP(A220,IMPORTRANGE(""1QZ5UxyNCwadreQAXnQ7oCoH982DjIA-QnZdO7ZoqkC0/edit#gid=884617569"",""S1 Totals!$A$2:$O$255""),5,FALSE)"),0.7553191489361702)</f>
        <v>0.7553191489</v>
      </c>
      <c r="I220" s="108">
        <f t="shared" si="2"/>
        <v>-0.01289490651</v>
      </c>
      <c r="J220" s="16" t="str">
        <f>IFERROR(__xludf.DUMMYFUNCTION("VLOOKUP(A220,IMPORTRANGE(""1QZ5UxyNCwadreQAXnQ7oCoH982DjIA-QnZdO7ZoqkC0/edit#gid=884617569"",""S1 Totals!$A$2:$O$255""),7,FALSE)"),"")</f>
        <v/>
      </c>
      <c r="K220" s="15" t="str">
        <f>IFERROR(__xludf.DUMMYFUNCTION("VLOOKUP(A220,IMPORTRANGE(""1QZ5UxyNCwadreQAXnQ7oCoH982DjIA-QnZdO7ZoqkC0/edit#gid=884617569"",""S1 Totals!$A$2:$O$255""),8,FALSE)"),"")</f>
        <v/>
      </c>
      <c r="L220" s="109">
        <f t="shared" si="3"/>
        <v>0.8181818182</v>
      </c>
      <c r="M220" s="16"/>
      <c r="N220" s="15"/>
      <c r="O220" s="110"/>
      <c r="P220" s="16"/>
      <c r="Q220" s="15"/>
      <c r="R220" s="16"/>
    </row>
    <row r="221">
      <c r="A221" s="107" t="s">
        <v>97</v>
      </c>
      <c r="B221" s="16">
        <f>IFERROR(__xludf.DUMMYFUNCTION("VLOOKUP(A221,IMPORTRANGE(""1aFCnJY1qhIj8-JckJhDJ18aqmVo17tofpQmOjcYa3u8/edit#gid=590920912"",""S1 Totals!$A$2:$O$255""),2,FALSE)"),30.5)</f>
        <v>30.5</v>
      </c>
      <c r="C221" s="15">
        <f>IFERROR(__xludf.DUMMYFUNCTION("VLOOKUP(A221,IMPORTRANGE(""1aFCnJY1qhIj8-JckJhDJ18aqmVo17tofpQmOjcYa3u8/edit#gid=590920912"",""S1 Totals!$A$2:$O$255""),3,FALSE)"),0.9242424242424242)</f>
        <v>0.9242424242</v>
      </c>
      <c r="D221" s="16">
        <f>IFERROR(__xludf.DUMMYFUNCTION("VLOOKUP(A221,IMPORTRANGE(""1QZ5UxyNCwadreQAXnQ7oCoH982DjIA-QnZdO7ZoqkC0/edit#gid=884617569"",""S1 Totals!$A$2:$O$255""),2,FALSE)"),30.25)</f>
        <v>30.25</v>
      </c>
      <c r="E221" s="15">
        <f>IFERROR(__xludf.DUMMYFUNCTION("VLOOKUP(A221,IMPORTRANGE(""1QZ5UxyNCwadreQAXnQ7oCoH982DjIA-QnZdO7ZoqkC0/edit#gid=884617569"",""S1 Totals!$A$2:$O$255""),3,FALSE)"),0.9166666666666666)</f>
        <v>0.9166666667</v>
      </c>
      <c r="F221" s="108">
        <f t="shared" si="1"/>
        <v>0.007575757576</v>
      </c>
      <c r="G221" s="16">
        <f>IFERROR(__xludf.DUMMYFUNCTION("VLOOKUP(A221,IMPORTRANGE(""1QZ5UxyNCwadreQAXnQ7oCoH982DjIA-QnZdO7ZoqkC0/edit#gid=884617569"",""S1 Totals!$A$2:$O$255""),4,FALSE)"),42.0)</f>
        <v>42</v>
      </c>
      <c r="H221" s="15">
        <f>IFERROR(__xludf.DUMMYFUNCTION("VLOOKUP(A221,IMPORTRANGE(""1QZ5UxyNCwadreQAXnQ7oCoH982DjIA-QnZdO7ZoqkC0/edit#gid=884617569"",""S1 Totals!$A$2:$O$255""),5,FALSE)"),0.8936170212765957)</f>
        <v>0.8936170213</v>
      </c>
      <c r="I221" s="108">
        <f t="shared" si="2"/>
        <v>0.03062540297</v>
      </c>
      <c r="J221" s="16">
        <f>IFERROR(__xludf.DUMMYFUNCTION("VLOOKUP(A221,IMPORTRANGE(""1QZ5UxyNCwadreQAXnQ7oCoH982DjIA-QnZdO7ZoqkC0/edit#gid=884617569"",""S1 Totals!$A$2:$O$255""),7,FALSE)"),39.5)</f>
        <v>39.5</v>
      </c>
      <c r="K221" s="15">
        <f>IFERROR(__xludf.DUMMYFUNCTION("VLOOKUP(A221,IMPORTRANGE(""1QZ5UxyNCwadreQAXnQ7oCoH982DjIA-QnZdO7ZoqkC0/edit#gid=884617569"",""S1 Totals!$A$2:$O$255""),8,FALSE)"),0.8061224489795918)</f>
        <v>0.806122449</v>
      </c>
      <c r="L221" s="109">
        <f t="shared" si="3"/>
        <v>0.1105442177</v>
      </c>
      <c r="M221" s="16">
        <f>IFERROR(__xludf.DUMMYFUNCTION("VLOOKUP(A221,IMPORTRANGE(""1QZ5UxyNCwadreQAXnQ7oCoH982DjIA-QnZdO7ZoqkC0/edit#gid=884617569"",""S1 Totals!$A$2:$O$255""),10,FALSE)"),40.5)</f>
        <v>40.5</v>
      </c>
      <c r="N221" s="15">
        <f>IFERROR(__xludf.DUMMYFUNCTION("VLOOKUP(A221,IMPORTRANGE(""1QZ5UxyNCwadreQAXnQ7oCoH982DjIA-QnZdO7ZoqkC0/edit#gid=884617569"",""S1 Totals!$A$2:$O$256""),11,FALSE)"),0.84375)</f>
        <v>0.84375</v>
      </c>
      <c r="O221" s="110">
        <f t="shared" ref="O221:O222" si="48">C221-N221</f>
        <v>0.08049242424</v>
      </c>
      <c r="P221" s="16">
        <f>IFERROR(__xludf.DUMMYFUNCTION("VLOOKUP(A221,IMPORTRANGE(""1QZ5UxyNCwadreQAXnQ7oCoH982DjIA-QnZdO7ZoqkC0/edit#gid=884617569"",""S1 Totals!$A$2:$O$256""),13,FALSE)"),27.5)</f>
        <v>27.5</v>
      </c>
      <c r="Q221" s="15">
        <f>IFERROR(__xludf.DUMMYFUNCTION("VLOOKUP(A221,IMPORTRANGE(""1QZ5UxyNCwadreQAXnQ7oCoH982DjIA-QnZdO7ZoqkC0/edit#gid=884617569"",""S1 Totals!$A$2:$O$256""),14,FALSE)"),0.55)</f>
        <v>0.55</v>
      </c>
      <c r="R221" s="15">
        <f t="shared" ref="R221:R222" si="49">C221-Q221</f>
        <v>0.3742424242</v>
      </c>
    </row>
    <row r="222">
      <c r="A222" s="107" t="s">
        <v>30</v>
      </c>
      <c r="B222" s="16">
        <f>IFERROR(__xludf.DUMMYFUNCTION("VLOOKUP(A222,IMPORTRANGE(""1aFCnJY1qhIj8-JckJhDJ18aqmVo17tofpQmOjcYa3u8/edit#gid=590920912"",""S1 Totals!$A$2:$O$255""),2,FALSE)"),16.75)</f>
        <v>16.75</v>
      </c>
      <c r="C222" s="15">
        <f>IFERROR(__xludf.DUMMYFUNCTION("VLOOKUP(A222,IMPORTRANGE(""1aFCnJY1qhIj8-JckJhDJ18aqmVo17tofpQmOjcYa3u8/edit#gid=590920912"",""S1 Totals!$A$2:$O$255""),3,FALSE)"),0.5075757575757576)</f>
        <v>0.5075757576</v>
      </c>
      <c r="D222" s="16">
        <f>IFERROR(__xludf.DUMMYFUNCTION("VLOOKUP(A222,IMPORTRANGE(""1QZ5UxyNCwadreQAXnQ7oCoH982DjIA-QnZdO7ZoqkC0/edit#gid=884617569"",""S1 Totals!$A$2:$O$255""),2,FALSE)"),17.5)</f>
        <v>17.5</v>
      </c>
      <c r="E222" s="15">
        <f>IFERROR(__xludf.DUMMYFUNCTION("VLOOKUP(A222,IMPORTRANGE(""1QZ5UxyNCwadreQAXnQ7oCoH982DjIA-QnZdO7ZoqkC0/edit#gid=884617569"",""S1 Totals!$A$2:$O$255""),3,FALSE)"),0.5303030303030303)</f>
        <v>0.5303030303</v>
      </c>
      <c r="F222" s="108">
        <f t="shared" si="1"/>
        <v>-0.02272727273</v>
      </c>
      <c r="G222" s="16">
        <f>IFERROR(__xludf.DUMMYFUNCTION("VLOOKUP(A222,IMPORTRANGE(""1QZ5UxyNCwadreQAXnQ7oCoH982DjIA-QnZdO7ZoqkC0/edit#gid=884617569"",""S1 Totals!$A$2:$O$255""),4,FALSE)"),24.0)</f>
        <v>24</v>
      </c>
      <c r="H222" s="15">
        <f>IFERROR(__xludf.DUMMYFUNCTION("VLOOKUP(A222,IMPORTRANGE(""1QZ5UxyNCwadreQAXnQ7oCoH982DjIA-QnZdO7ZoqkC0/edit#gid=884617569"",""S1 Totals!$A$2:$O$255""),5,FALSE)"),0.5106382978723404)</f>
        <v>0.5106382979</v>
      </c>
      <c r="I222" s="108">
        <f t="shared" si="2"/>
        <v>-0.003062540297</v>
      </c>
      <c r="J222" s="16">
        <f>IFERROR(__xludf.DUMMYFUNCTION("VLOOKUP(A222,IMPORTRANGE(""1QZ5UxyNCwadreQAXnQ7oCoH982DjIA-QnZdO7ZoqkC0/edit#gid=884617569"",""S1 Totals!$A$2:$O$255""),7,FALSE)"),24.5)</f>
        <v>24.5</v>
      </c>
      <c r="K222" s="15">
        <f>IFERROR(__xludf.DUMMYFUNCTION("VLOOKUP(A222,IMPORTRANGE(""1QZ5UxyNCwadreQAXnQ7oCoH982DjIA-QnZdO7ZoqkC0/edit#gid=884617569"",""S1 Totals!$A$2:$O$255""),8,FALSE)"),0.5)</f>
        <v>0.5</v>
      </c>
      <c r="L222" s="109">
        <f t="shared" si="3"/>
        <v>0.0303030303</v>
      </c>
      <c r="M222" s="16">
        <f>IFERROR(__xludf.DUMMYFUNCTION("VLOOKUP(A222,IMPORTRANGE(""1QZ5UxyNCwadreQAXnQ7oCoH982DjIA-QnZdO7ZoqkC0/edit#gid=884617569"",""S1 Totals!$A$2:$O$255""),10,FALSE)"),20.0)</f>
        <v>20</v>
      </c>
      <c r="N222" s="15">
        <f>IFERROR(__xludf.DUMMYFUNCTION("VLOOKUP(A222,IMPORTRANGE(""1QZ5UxyNCwadreQAXnQ7oCoH982DjIA-QnZdO7ZoqkC0/edit#gid=884617569"",""S1 Totals!$A$2:$O$256""),11,FALSE)"),0.4166666666666667)</f>
        <v>0.4166666667</v>
      </c>
      <c r="O222" s="110">
        <f t="shared" si="48"/>
        <v>0.09090909091</v>
      </c>
      <c r="P222" s="16">
        <f>IFERROR(__xludf.DUMMYFUNCTION("VLOOKUP(A222,IMPORTRANGE(""1QZ5UxyNCwadreQAXnQ7oCoH982DjIA-QnZdO7ZoqkC0/edit#gid=884617569"",""S1 Totals!$A$2:$O$256""),13,FALSE)"),25.5)</f>
        <v>25.5</v>
      </c>
      <c r="Q222" s="15">
        <f>IFERROR(__xludf.DUMMYFUNCTION("VLOOKUP(A222,IMPORTRANGE(""1QZ5UxyNCwadreQAXnQ7oCoH982DjIA-QnZdO7ZoqkC0/edit#gid=884617569"",""S1 Totals!$A$2:$O$256""),14,FALSE)"),0.51)</f>
        <v>0.51</v>
      </c>
      <c r="R222" s="15">
        <f t="shared" si="49"/>
        <v>-0.002424242424</v>
      </c>
    </row>
    <row r="223">
      <c r="A223" s="107" t="s">
        <v>200</v>
      </c>
      <c r="B223" s="16">
        <f>IFERROR(__xludf.DUMMYFUNCTION("VLOOKUP(A223,IMPORTRANGE(""1aFCnJY1qhIj8-JckJhDJ18aqmVo17tofpQmOjcYa3u8/edit#gid=590920912"",""S1 Totals!$A$2:$O$255""),2,FALSE)"),11.75)</f>
        <v>11.75</v>
      </c>
      <c r="C223" s="15">
        <f>IFERROR(__xludf.DUMMYFUNCTION("VLOOKUP(A223,IMPORTRANGE(""1aFCnJY1qhIj8-JckJhDJ18aqmVo17tofpQmOjcYa3u8/edit#gid=590920912"",""S1 Totals!$A$2:$O$255""),3,FALSE)"),0.3560606060606061)</f>
        <v>0.3560606061</v>
      </c>
      <c r="D223" s="16">
        <f>IFERROR(__xludf.DUMMYFUNCTION("VLOOKUP(A223,IMPORTRANGE(""1QZ5UxyNCwadreQAXnQ7oCoH982DjIA-QnZdO7ZoqkC0/edit#gid=884617569"",""S1 Totals!$A$2:$O$255""),2,FALSE)"),11.0)</f>
        <v>11</v>
      </c>
      <c r="E223" s="15">
        <f>IFERROR(__xludf.DUMMYFUNCTION("VLOOKUP(A223,IMPORTRANGE(""1QZ5UxyNCwadreQAXnQ7oCoH982DjIA-QnZdO7ZoqkC0/edit#gid=884617569"",""S1 Totals!$A$2:$O$255""),3,FALSE)"),0.3333333333333333)</f>
        <v>0.3333333333</v>
      </c>
      <c r="F223" s="108">
        <f t="shared" si="1"/>
        <v>0.02272727273</v>
      </c>
      <c r="G223" s="16">
        <f>IFERROR(__xludf.DUMMYFUNCTION("VLOOKUP(A223,IMPORTRANGE(""1QZ5UxyNCwadreQAXnQ7oCoH982DjIA-QnZdO7ZoqkC0/edit#gid=884617569"",""S1 Totals!$A$2:$O$255""),4,FALSE)"),23.5)</f>
        <v>23.5</v>
      </c>
      <c r="H223" s="15">
        <f>IFERROR(__xludf.DUMMYFUNCTION("VLOOKUP(A223,IMPORTRANGE(""1QZ5UxyNCwadreQAXnQ7oCoH982DjIA-QnZdO7ZoqkC0/edit#gid=884617569"",""S1 Totals!$A$2:$O$255""),5,FALSE)"),0.5)</f>
        <v>0.5</v>
      </c>
      <c r="I223" s="108">
        <f t="shared" si="2"/>
        <v>-0.1439393939</v>
      </c>
      <c r="J223" s="16">
        <f>IFERROR(__xludf.DUMMYFUNCTION("VLOOKUP(A223,IMPORTRANGE(""1QZ5UxyNCwadreQAXnQ7oCoH982DjIA-QnZdO7ZoqkC0/edit#gid=884617569"",""S1 Totals!$A$2:$O$255""),7,FALSE)"),27.0)</f>
        <v>27</v>
      </c>
      <c r="K223" s="15">
        <f>IFERROR(__xludf.DUMMYFUNCTION("VLOOKUP(A223,IMPORTRANGE(""1QZ5UxyNCwadreQAXnQ7oCoH982DjIA-QnZdO7ZoqkC0/edit#gid=884617569"",""S1 Totals!$A$2:$O$255""),8,FALSE)"),0.5510204081632653)</f>
        <v>0.5510204082</v>
      </c>
      <c r="L223" s="109">
        <f t="shared" si="3"/>
        <v>-0.2176870748</v>
      </c>
      <c r="M223" s="16"/>
      <c r="N223" s="15"/>
      <c r="O223" s="110"/>
      <c r="P223" s="16"/>
      <c r="Q223" s="15"/>
      <c r="R223" s="16"/>
    </row>
    <row r="224">
      <c r="A224" s="107" t="s">
        <v>201</v>
      </c>
      <c r="B224" s="16">
        <f>IFERROR(__xludf.DUMMYFUNCTION("VLOOKUP(A224,IMPORTRANGE(""1aFCnJY1qhIj8-JckJhDJ18aqmVo17tofpQmOjcYa3u8/edit#gid=590920912"",""S1 Totals!$A$2:$O$255""),2,FALSE)"),0.5)</f>
        <v>0.5</v>
      </c>
      <c r="C224" s="15">
        <f>IFERROR(__xludf.DUMMYFUNCTION("VLOOKUP(A224,IMPORTRANGE(""1aFCnJY1qhIj8-JckJhDJ18aqmVo17tofpQmOjcYa3u8/edit#gid=590920912"",""S1 Totals!$A$2:$O$255""),3,FALSE)"),0.015151515151515152)</f>
        <v>0.01515151515</v>
      </c>
      <c r="D224" s="16">
        <f>IFERROR(__xludf.DUMMYFUNCTION("VLOOKUP(A224,IMPORTRANGE(""1QZ5UxyNCwadreQAXnQ7oCoH982DjIA-QnZdO7ZoqkC0/edit#gid=884617569"",""S1 Totals!$A$2:$O$255""),2,FALSE)"),0.5)</f>
        <v>0.5</v>
      </c>
      <c r="E224" s="15">
        <f>IFERROR(__xludf.DUMMYFUNCTION("VLOOKUP(A224,IMPORTRANGE(""1QZ5UxyNCwadreQAXnQ7oCoH982DjIA-QnZdO7ZoqkC0/edit#gid=884617569"",""S1 Totals!$A$2:$O$255""),3,FALSE)"),0.015151515151515152)</f>
        <v>0.01515151515</v>
      </c>
      <c r="F224" s="108">
        <f t="shared" si="1"/>
        <v>0</v>
      </c>
      <c r="G224" s="16">
        <f>IFERROR(__xludf.DUMMYFUNCTION("VLOOKUP(A224,IMPORTRANGE(""1QZ5UxyNCwadreQAXnQ7oCoH982DjIA-QnZdO7ZoqkC0/edit#gid=884617569"",""S1 Totals!$A$2:$O$255""),4,FALSE)"),0.5)</f>
        <v>0.5</v>
      </c>
      <c r="H224" s="15">
        <f>IFERROR(__xludf.DUMMYFUNCTION("VLOOKUP(A224,IMPORTRANGE(""1QZ5UxyNCwadreQAXnQ7oCoH982DjIA-QnZdO7ZoqkC0/edit#gid=884617569"",""S1 Totals!$A$2:$O$255""),5,FALSE)"),0.010638297872340425)</f>
        <v>0.01063829787</v>
      </c>
      <c r="I224" s="108">
        <f t="shared" si="2"/>
        <v>0.004513217279</v>
      </c>
      <c r="J224" s="16">
        <f>IFERROR(__xludf.DUMMYFUNCTION("VLOOKUP(A224,IMPORTRANGE(""1QZ5UxyNCwadreQAXnQ7oCoH982DjIA-QnZdO7ZoqkC0/edit#gid=884617569"",""S1 Totals!$A$2:$O$255""),7,FALSE)"),0.0)</f>
        <v>0</v>
      </c>
      <c r="K224" s="15">
        <f>IFERROR(__xludf.DUMMYFUNCTION("VLOOKUP(A224,IMPORTRANGE(""1QZ5UxyNCwadreQAXnQ7oCoH982DjIA-QnZdO7ZoqkC0/edit#gid=884617569"",""S1 Totals!$A$2:$O$255""),8,FALSE)"),0.0)</f>
        <v>0</v>
      </c>
      <c r="L224" s="109">
        <f t="shared" si="3"/>
        <v>0.01515151515</v>
      </c>
      <c r="M224" s="16"/>
      <c r="N224" s="15"/>
      <c r="O224" s="110"/>
      <c r="P224" s="16"/>
      <c r="Q224" s="15"/>
      <c r="R224" s="16"/>
    </row>
    <row r="225">
      <c r="A225" s="107" t="s">
        <v>202</v>
      </c>
      <c r="B225" s="16">
        <f>IFERROR(__xludf.DUMMYFUNCTION("VLOOKUP(A225,IMPORTRANGE(""1aFCnJY1qhIj8-JckJhDJ18aqmVo17tofpQmOjcYa3u8/edit#gid=590920912"",""S1 Totals!$A$2:$O$255""),2,FALSE)"),23.0)</f>
        <v>23</v>
      </c>
      <c r="C225" s="15">
        <f>IFERROR(__xludf.DUMMYFUNCTION("VLOOKUP(A225,IMPORTRANGE(""1aFCnJY1qhIj8-JckJhDJ18aqmVo17tofpQmOjcYa3u8/edit#gid=590920912"",""S1 Totals!$A$2:$O$255""),3,FALSE)"),0.696969696969697)</f>
        <v>0.696969697</v>
      </c>
      <c r="D225" s="16">
        <f>IFERROR(__xludf.DUMMYFUNCTION("VLOOKUP(A225,IMPORTRANGE(""1QZ5UxyNCwadreQAXnQ7oCoH982DjIA-QnZdO7ZoqkC0/edit#gid=884617569"",""S1 Totals!$A$2:$O$255""),2,FALSE)"),21.75)</f>
        <v>21.75</v>
      </c>
      <c r="E225" s="15">
        <f>IFERROR(__xludf.DUMMYFUNCTION("VLOOKUP(A225,IMPORTRANGE(""1QZ5UxyNCwadreQAXnQ7oCoH982DjIA-QnZdO7ZoqkC0/edit#gid=884617569"",""S1 Totals!$A$2:$O$255""),3,FALSE)"),0.6590909090909091)</f>
        <v>0.6590909091</v>
      </c>
      <c r="F225" s="108">
        <f t="shared" si="1"/>
        <v>0.03787878788</v>
      </c>
      <c r="G225" s="16">
        <f>IFERROR(__xludf.DUMMYFUNCTION("VLOOKUP(A225,IMPORTRANGE(""1QZ5UxyNCwadreQAXnQ7oCoH982DjIA-QnZdO7ZoqkC0/edit#gid=884617569"",""S1 Totals!$A$2:$O$255""),4,FALSE)"),18.0)</f>
        <v>18</v>
      </c>
      <c r="H225" s="15">
        <f>IFERROR(__xludf.DUMMYFUNCTION("VLOOKUP(A225,IMPORTRANGE(""1QZ5UxyNCwadreQAXnQ7oCoH982DjIA-QnZdO7ZoqkC0/edit#gid=884617569"",""S1 Totals!$A$2:$O$255""),5,FALSE)"),0.3829787234042553)</f>
        <v>0.3829787234</v>
      </c>
      <c r="I225" s="108">
        <f t="shared" si="2"/>
        <v>0.3139909736</v>
      </c>
      <c r="J225" s="16">
        <f>IFERROR(__xludf.DUMMYFUNCTION("VLOOKUP(A225,IMPORTRANGE(""1QZ5UxyNCwadreQAXnQ7oCoH982DjIA-QnZdO7ZoqkC0/edit#gid=884617569"",""S1 Totals!$A$2:$O$255""),7,FALSE)"),15.0)</f>
        <v>15</v>
      </c>
      <c r="K225" s="15">
        <f>IFERROR(__xludf.DUMMYFUNCTION("VLOOKUP(A225,IMPORTRANGE(""1QZ5UxyNCwadreQAXnQ7oCoH982DjIA-QnZdO7ZoqkC0/edit#gid=884617569"",""S1 Totals!$A$2:$O$255""),8,FALSE)"),0.30612244897959184)</f>
        <v>0.306122449</v>
      </c>
      <c r="L225" s="109">
        <f t="shared" si="3"/>
        <v>0.3529684601</v>
      </c>
      <c r="M225" s="16"/>
      <c r="N225" s="15"/>
      <c r="O225" s="110"/>
      <c r="P225" s="16"/>
      <c r="Q225" s="15"/>
      <c r="R225" s="16"/>
    </row>
    <row r="226">
      <c r="A226" s="107" t="s">
        <v>203</v>
      </c>
      <c r="B226" s="16">
        <f>IFERROR(__xludf.DUMMYFUNCTION("VLOOKUP(A226,IMPORTRANGE(""1aFCnJY1qhIj8-JckJhDJ18aqmVo17tofpQmOjcYa3u8/edit#gid=590920912"",""S1 Totals!$A$2:$O$255""),2,FALSE)"),6.75)</f>
        <v>6.75</v>
      </c>
      <c r="C226" s="15">
        <f>IFERROR(__xludf.DUMMYFUNCTION("VLOOKUP(A226,IMPORTRANGE(""1aFCnJY1qhIj8-JckJhDJ18aqmVo17tofpQmOjcYa3u8/edit#gid=590920912"",""S1 Totals!$A$2:$O$255""),3,FALSE)"),0.20454545454545456)</f>
        <v>0.2045454545</v>
      </c>
      <c r="D226" s="16">
        <f>IFERROR(__xludf.DUMMYFUNCTION("VLOOKUP(A226,IMPORTRANGE(""1QZ5UxyNCwadreQAXnQ7oCoH982DjIA-QnZdO7ZoqkC0/edit#gid=884617569"",""S1 Totals!$A$2:$O$255""),2,FALSE)"),9.0)</f>
        <v>9</v>
      </c>
      <c r="E226" s="15">
        <f>IFERROR(__xludf.DUMMYFUNCTION("VLOOKUP(A226,IMPORTRANGE(""1QZ5UxyNCwadreQAXnQ7oCoH982DjIA-QnZdO7ZoqkC0/edit#gid=884617569"",""S1 Totals!$A$2:$O$255""),3,FALSE)"),0.2727272727272727)</f>
        <v>0.2727272727</v>
      </c>
      <c r="F226" s="108">
        <f t="shared" si="1"/>
        <v>-0.06818181818</v>
      </c>
      <c r="G226" s="16">
        <f>IFERROR(__xludf.DUMMYFUNCTION("VLOOKUP(A226,IMPORTRANGE(""1QZ5UxyNCwadreQAXnQ7oCoH982DjIA-QnZdO7ZoqkC0/edit#gid=884617569"",""S1 Totals!$A$2:$O$255""),4,FALSE)"),16.0)</f>
        <v>16</v>
      </c>
      <c r="H226" s="15">
        <f>IFERROR(__xludf.DUMMYFUNCTION("VLOOKUP(A226,IMPORTRANGE(""1QZ5UxyNCwadreQAXnQ7oCoH982DjIA-QnZdO7ZoqkC0/edit#gid=884617569"",""S1 Totals!$A$2:$O$255""),5,FALSE)"),0.3404255319148936)</f>
        <v>0.3404255319</v>
      </c>
      <c r="I226" s="108">
        <f t="shared" si="2"/>
        <v>-0.1358800774</v>
      </c>
      <c r="J226" s="16">
        <f>IFERROR(__xludf.DUMMYFUNCTION("VLOOKUP(A226,IMPORTRANGE(""1QZ5UxyNCwadreQAXnQ7oCoH982DjIA-QnZdO7ZoqkC0/edit#gid=884617569"",""S1 Totals!$A$2:$O$255""),7,FALSE)"),6.5)</f>
        <v>6.5</v>
      </c>
      <c r="K226" s="15">
        <f>IFERROR(__xludf.DUMMYFUNCTION("VLOOKUP(A226,IMPORTRANGE(""1QZ5UxyNCwadreQAXnQ7oCoH982DjIA-QnZdO7ZoqkC0/edit#gid=884617569"",""S1 Totals!$A$2:$O$255""),8,FALSE)"),0.1326530612244898)</f>
        <v>0.1326530612</v>
      </c>
      <c r="L226" s="109">
        <f t="shared" si="3"/>
        <v>0.1400742115</v>
      </c>
      <c r="M226" s="16"/>
      <c r="N226" s="15"/>
      <c r="O226" s="110"/>
      <c r="P226" s="16"/>
      <c r="Q226" s="15"/>
      <c r="R226" s="16"/>
    </row>
    <row r="227">
      <c r="A227" s="107" t="s">
        <v>99</v>
      </c>
      <c r="B227" s="16">
        <f>IFERROR(__xludf.DUMMYFUNCTION("VLOOKUP(A227,IMPORTRANGE(""1aFCnJY1qhIj8-JckJhDJ18aqmVo17tofpQmOjcYa3u8/edit#gid=590920912"",""S1 Totals!$A$2:$O$255""),2,FALSE)"),28.75)</f>
        <v>28.75</v>
      </c>
      <c r="C227" s="15">
        <f>IFERROR(__xludf.DUMMYFUNCTION("VLOOKUP(A227,IMPORTRANGE(""1aFCnJY1qhIj8-JckJhDJ18aqmVo17tofpQmOjcYa3u8/edit#gid=590920912"",""S1 Totals!$A$2:$O$255""),3,FALSE)"),0.8712121212121212)</f>
        <v>0.8712121212</v>
      </c>
      <c r="D227" s="16">
        <f>IFERROR(__xludf.DUMMYFUNCTION("VLOOKUP(A227,IMPORTRANGE(""1QZ5UxyNCwadreQAXnQ7oCoH982DjIA-QnZdO7ZoqkC0/edit#gid=884617569"",""S1 Totals!$A$2:$O$255""),2,FALSE)"),29.5)</f>
        <v>29.5</v>
      </c>
      <c r="E227" s="15">
        <f>IFERROR(__xludf.DUMMYFUNCTION("VLOOKUP(A227,IMPORTRANGE(""1QZ5UxyNCwadreQAXnQ7oCoH982DjIA-QnZdO7ZoqkC0/edit#gid=884617569"",""S1 Totals!$A$2:$O$255""),3,FALSE)"),0.8939393939393939)</f>
        <v>0.8939393939</v>
      </c>
      <c r="F227" s="108">
        <f t="shared" si="1"/>
        <v>-0.02272727273</v>
      </c>
      <c r="G227" s="16">
        <f>IFERROR(__xludf.DUMMYFUNCTION("VLOOKUP(A227,IMPORTRANGE(""1QZ5UxyNCwadreQAXnQ7oCoH982DjIA-QnZdO7ZoqkC0/edit#gid=884617569"",""S1 Totals!$A$2:$O$255""),4,FALSE)"),41.5)</f>
        <v>41.5</v>
      </c>
      <c r="H227" s="15">
        <f>IFERROR(__xludf.DUMMYFUNCTION("VLOOKUP(A227,IMPORTRANGE(""1QZ5UxyNCwadreQAXnQ7oCoH982DjIA-QnZdO7ZoqkC0/edit#gid=884617569"",""S1 Totals!$A$2:$O$255""),5,FALSE)"),0.8829787234042553)</f>
        <v>0.8829787234</v>
      </c>
      <c r="I227" s="108">
        <f t="shared" si="2"/>
        <v>-0.01176660219</v>
      </c>
      <c r="J227" s="16">
        <f>IFERROR(__xludf.DUMMYFUNCTION("VLOOKUP(A227,IMPORTRANGE(""1QZ5UxyNCwadreQAXnQ7oCoH982DjIA-QnZdO7ZoqkC0/edit#gid=884617569"",""S1 Totals!$A$2:$O$255""),7,FALSE)"),42.0)</f>
        <v>42</v>
      </c>
      <c r="K227" s="15">
        <f>IFERROR(__xludf.DUMMYFUNCTION("VLOOKUP(A227,IMPORTRANGE(""1QZ5UxyNCwadreQAXnQ7oCoH982DjIA-QnZdO7ZoqkC0/edit#gid=884617569"",""S1 Totals!$A$2:$O$255""),8,FALSE)"),0.8571428571428571)</f>
        <v>0.8571428571</v>
      </c>
      <c r="L227" s="109">
        <f t="shared" si="3"/>
        <v>0.0367965368</v>
      </c>
      <c r="M227" s="16">
        <f>IFERROR(__xludf.DUMMYFUNCTION("VLOOKUP(A227,IMPORTRANGE(""1QZ5UxyNCwadreQAXnQ7oCoH982DjIA-QnZdO7ZoqkC0/edit#gid=884617569"",""S1 Totals!$A$2:$O$255""),10,FALSE)"),43.5)</f>
        <v>43.5</v>
      </c>
      <c r="N227" s="15">
        <f>IFERROR(__xludf.DUMMYFUNCTION("VLOOKUP(A227,IMPORTRANGE(""1QZ5UxyNCwadreQAXnQ7oCoH982DjIA-QnZdO7ZoqkC0/edit#gid=884617569"",""S1 Totals!$A$2:$O$256""),11,FALSE)"),0.90625)</f>
        <v>0.90625</v>
      </c>
      <c r="O227" s="110">
        <f>C227-N227</f>
        <v>-0.03503787879</v>
      </c>
      <c r="P227" s="16">
        <f>IFERROR(__xludf.DUMMYFUNCTION("VLOOKUP(A227,IMPORTRANGE(""1QZ5UxyNCwadreQAXnQ7oCoH982DjIA-QnZdO7ZoqkC0/edit#gid=884617569"",""S1 Totals!$A$2:$O$256""),13,FALSE)"),43.0)</f>
        <v>43</v>
      </c>
      <c r="Q227" s="15">
        <f>IFERROR(__xludf.DUMMYFUNCTION("VLOOKUP(A227,IMPORTRANGE(""1QZ5UxyNCwadreQAXnQ7oCoH982DjIA-QnZdO7ZoqkC0/edit#gid=884617569"",""S1 Totals!$A$2:$O$256""),14,FALSE)"),0.86)</f>
        <v>0.86</v>
      </c>
      <c r="R227" s="15">
        <f>C227-Q227</f>
        <v>0.01121212121</v>
      </c>
    </row>
    <row r="228">
      <c r="A228" s="107" t="s">
        <v>204</v>
      </c>
      <c r="B228" s="16">
        <f>IFERROR(__xludf.DUMMYFUNCTION("VLOOKUP(A228,IMPORTRANGE(""1aFCnJY1qhIj8-JckJhDJ18aqmVo17tofpQmOjcYa3u8/edit#gid=590920912"",""S1 Totals!$A$2:$O$255""),2,FALSE)"),20.75)</f>
        <v>20.75</v>
      </c>
      <c r="C228" s="15">
        <f>IFERROR(__xludf.DUMMYFUNCTION("VLOOKUP(A228,IMPORTRANGE(""1aFCnJY1qhIj8-JckJhDJ18aqmVo17tofpQmOjcYa3u8/edit#gid=590920912"",""S1 Totals!$A$2:$O$255""),3,FALSE)"),0.6287878787878788)</f>
        <v>0.6287878788</v>
      </c>
      <c r="D228" s="16">
        <f>IFERROR(__xludf.DUMMYFUNCTION("VLOOKUP(A228,IMPORTRANGE(""1QZ5UxyNCwadreQAXnQ7oCoH982DjIA-QnZdO7ZoqkC0/edit#gid=884617569"",""S1 Totals!$A$2:$O$255""),2,FALSE)"),21.0)</f>
        <v>21</v>
      </c>
      <c r="E228" s="15">
        <f>IFERROR(__xludf.DUMMYFUNCTION("VLOOKUP(A228,IMPORTRANGE(""1QZ5UxyNCwadreQAXnQ7oCoH982DjIA-QnZdO7ZoqkC0/edit#gid=884617569"",""S1 Totals!$A$2:$O$255""),3,FALSE)"),0.6363636363636364)</f>
        <v>0.6363636364</v>
      </c>
      <c r="F228" s="108">
        <f t="shared" si="1"/>
        <v>-0.007575757576</v>
      </c>
      <c r="G228" s="16">
        <f>IFERROR(__xludf.DUMMYFUNCTION("VLOOKUP(A228,IMPORTRANGE(""1QZ5UxyNCwadreQAXnQ7oCoH982DjIA-QnZdO7ZoqkC0/edit#gid=884617569"",""S1 Totals!$A$2:$O$255""),4,FALSE)"),33.5)</f>
        <v>33.5</v>
      </c>
      <c r="H228" s="15">
        <f>IFERROR(__xludf.DUMMYFUNCTION("VLOOKUP(A228,IMPORTRANGE(""1QZ5UxyNCwadreQAXnQ7oCoH982DjIA-QnZdO7ZoqkC0/edit#gid=884617569"",""S1 Totals!$A$2:$O$255""),5,FALSE)"),0.7127659574468085)</f>
        <v>0.7127659574</v>
      </c>
      <c r="I228" s="108">
        <f t="shared" si="2"/>
        <v>-0.08397807866</v>
      </c>
      <c r="J228" s="16">
        <f>IFERROR(__xludf.DUMMYFUNCTION("VLOOKUP(A228,IMPORTRANGE(""1QZ5UxyNCwadreQAXnQ7oCoH982DjIA-QnZdO7ZoqkC0/edit#gid=884617569"",""S1 Totals!$A$2:$O$255""),7,FALSE)"),17.0)</f>
        <v>17</v>
      </c>
      <c r="K228" s="15">
        <f>IFERROR(__xludf.DUMMYFUNCTION("VLOOKUP(A228,IMPORTRANGE(""1QZ5UxyNCwadreQAXnQ7oCoH982DjIA-QnZdO7ZoqkC0/edit#gid=884617569"",""S1 Totals!$A$2:$O$255""),8,FALSE)"),0.3469387755102041)</f>
        <v>0.3469387755</v>
      </c>
      <c r="L228" s="109">
        <f t="shared" si="3"/>
        <v>0.2894248609</v>
      </c>
      <c r="M228" s="16"/>
      <c r="N228" s="15"/>
      <c r="O228" s="110"/>
      <c r="P228" s="16"/>
      <c r="Q228" s="15"/>
      <c r="R228" s="16"/>
    </row>
    <row r="229">
      <c r="A229" s="107" t="s">
        <v>152</v>
      </c>
      <c r="B229" s="16">
        <f>IFERROR(__xludf.DUMMYFUNCTION("VLOOKUP(A229,IMPORTRANGE(""1aFCnJY1qhIj8-JckJhDJ18aqmVo17tofpQmOjcYa3u8/edit#gid=590920912"",""S1 Totals!$A$2:$O$255""),2,FALSE)"),1.25)</f>
        <v>1.25</v>
      </c>
      <c r="C229" s="15">
        <f>IFERROR(__xludf.DUMMYFUNCTION("VLOOKUP(A229,IMPORTRANGE(""1aFCnJY1qhIj8-JckJhDJ18aqmVo17tofpQmOjcYa3u8/edit#gid=590920912"",""S1 Totals!$A$2:$O$255""),3,FALSE)"),0.03787878787878788)</f>
        <v>0.03787878788</v>
      </c>
      <c r="D229" s="16">
        <f>IFERROR(__xludf.DUMMYFUNCTION("VLOOKUP(A229,IMPORTRANGE(""1QZ5UxyNCwadreQAXnQ7oCoH982DjIA-QnZdO7ZoqkC0/edit#gid=884617569"",""S1 Totals!$A$2:$O$255""),2,FALSE)"),1.0)</f>
        <v>1</v>
      </c>
      <c r="E229" s="15">
        <f>IFERROR(__xludf.DUMMYFUNCTION("VLOOKUP(A229,IMPORTRANGE(""1QZ5UxyNCwadreQAXnQ7oCoH982DjIA-QnZdO7ZoqkC0/edit#gid=884617569"",""S1 Totals!$A$2:$O$255""),3,FALSE)"),0.030303030303030304)</f>
        <v>0.0303030303</v>
      </c>
      <c r="F229" s="108">
        <f t="shared" si="1"/>
        <v>0.007575757576</v>
      </c>
      <c r="G229" s="16">
        <f>IFERROR(__xludf.DUMMYFUNCTION("VLOOKUP(A229,IMPORTRANGE(""1QZ5UxyNCwadreQAXnQ7oCoH982DjIA-QnZdO7ZoqkC0/edit#gid=884617569"",""S1 Totals!$A$2:$O$255""),4,FALSE)"),8.0)</f>
        <v>8</v>
      </c>
      <c r="H229" s="15">
        <f>IFERROR(__xludf.DUMMYFUNCTION("VLOOKUP(A229,IMPORTRANGE(""1QZ5UxyNCwadreQAXnQ7oCoH982DjIA-QnZdO7ZoqkC0/edit#gid=884617569"",""S1 Totals!$A$2:$O$255""),5,FALSE)"),0.1702127659574468)</f>
        <v>0.170212766</v>
      </c>
      <c r="I229" s="108">
        <f t="shared" si="2"/>
        <v>-0.1323339781</v>
      </c>
      <c r="J229" s="16">
        <f>IFERROR(__xludf.DUMMYFUNCTION("VLOOKUP(A229,IMPORTRANGE(""1QZ5UxyNCwadreQAXnQ7oCoH982DjIA-QnZdO7ZoqkC0/edit#gid=884617569"",""S1 Totals!$A$2:$O$255""),7,FALSE)"),7.0)</f>
        <v>7</v>
      </c>
      <c r="K229" s="15">
        <f>IFERROR(__xludf.DUMMYFUNCTION("VLOOKUP(A229,IMPORTRANGE(""1QZ5UxyNCwadreQAXnQ7oCoH982DjIA-QnZdO7ZoqkC0/edit#gid=884617569"",""S1 Totals!$A$2:$O$255""),8,FALSE)"),0.14285714285714285)</f>
        <v>0.1428571429</v>
      </c>
      <c r="L229" s="109">
        <f t="shared" si="3"/>
        <v>-0.1125541126</v>
      </c>
      <c r="M229" s="16">
        <f>IFERROR(__xludf.DUMMYFUNCTION("VLOOKUP(A229,IMPORTRANGE(""1QZ5UxyNCwadreQAXnQ7oCoH982DjIA-QnZdO7ZoqkC0/edit#gid=884617569"",""S1 Totals!$A$2:$O$255""),10,FALSE)"),7.0)</f>
        <v>7</v>
      </c>
      <c r="N229" s="15">
        <f>IFERROR(__xludf.DUMMYFUNCTION("VLOOKUP(A229,IMPORTRANGE(""1QZ5UxyNCwadreQAXnQ7oCoH982DjIA-QnZdO7ZoqkC0/edit#gid=884617569"",""S1 Totals!$A$2:$O$256""),11,FALSE)"),0.14583333333333334)</f>
        <v>0.1458333333</v>
      </c>
      <c r="O229" s="110">
        <f t="shared" ref="O229:O230" si="50">C229-N229</f>
        <v>-0.1079545455</v>
      </c>
      <c r="P229" s="16" t="str">
        <f>IFERROR(__xludf.DUMMYFUNCTION("VLOOKUP(A229,IMPORTRANGE(""1QZ5UxyNCwadreQAXnQ7oCoH982DjIA-QnZdO7ZoqkC0/edit#gid=884617569"",""S1 Totals!$A$2:$O$256""),13,FALSE)"),"")</f>
        <v/>
      </c>
      <c r="Q229" s="15" t="str">
        <f>IFERROR(__xludf.DUMMYFUNCTION("VLOOKUP(A229,IMPORTRANGE(""1QZ5UxyNCwadreQAXnQ7oCoH982DjIA-QnZdO7ZoqkC0/edit#gid=884617569"",""S1 Totals!$A$2:$O$256""),14,FALSE)"),"")</f>
        <v/>
      </c>
      <c r="R229" s="16"/>
    </row>
    <row r="230">
      <c r="A230" s="107" t="s">
        <v>49</v>
      </c>
      <c r="B230" s="16">
        <f>IFERROR(__xludf.DUMMYFUNCTION("VLOOKUP(A230,IMPORTRANGE(""1aFCnJY1qhIj8-JckJhDJ18aqmVo17tofpQmOjcYa3u8/edit#gid=590920912"",""S1 Totals!$A$2:$O$255""),2,FALSE)"),6.75)</f>
        <v>6.75</v>
      </c>
      <c r="C230" s="15">
        <f>IFERROR(__xludf.DUMMYFUNCTION("VLOOKUP(A230,IMPORTRANGE(""1aFCnJY1qhIj8-JckJhDJ18aqmVo17tofpQmOjcYa3u8/edit#gid=590920912"",""S1 Totals!$A$2:$O$255""),3,FALSE)"),0.20454545454545456)</f>
        <v>0.2045454545</v>
      </c>
      <c r="D230" s="16">
        <f>IFERROR(__xludf.DUMMYFUNCTION("VLOOKUP(A230,IMPORTRANGE(""1QZ5UxyNCwadreQAXnQ7oCoH982DjIA-QnZdO7ZoqkC0/edit#gid=884617569"",""S1 Totals!$A$2:$O$255""),2,FALSE)"),7.5)</f>
        <v>7.5</v>
      </c>
      <c r="E230" s="15">
        <f>IFERROR(__xludf.DUMMYFUNCTION("VLOOKUP(A230,IMPORTRANGE(""1QZ5UxyNCwadreQAXnQ7oCoH982DjIA-QnZdO7ZoqkC0/edit#gid=884617569"",""S1 Totals!$A$2:$O$255""),3,FALSE)"),0.22727272727272727)</f>
        <v>0.2272727273</v>
      </c>
      <c r="F230" s="108">
        <f t="shared" si="1"/>
        <v>-0.02272727273</v>
      </c>
      <c r="G230" s="16">
        <f>IFERROR(__xludf.DUMMYFUNCTION("VLOOKUP(A230,IMPORTRANGE(""1QZ5UxyNCwadreQAXnQ7oCoH982DjIA-QnZdO7ZoqkC0/edit#gid=884617569"",""S1 Totals!$A$2:$O$255""),4,FALSE)"),15.0)</f>
        <v>15</v>
      </c>
      <c r="H230" s="15">
        <f>IFERROR(__xludf.DUMMYFUNCTION("VLOOKUP(A230,IMPORTRANGE(""1QZ5UxyNCwadreQAXnQ7oCoH982DjIA-QnZdO7ZoqkC0/edit#gid=884617569"",""S1 Totals!$A$2:$O$255""),5,FALSE)"),0.3191489361702128)</f>
        <v>0.3191489362</v>
      </c>
      <c r="I230" s="108">
        <f t="shared" si="2"/>
        <v>-0.1146034816</v>
      </c>
      <c r="J230" s="16">
        <f>IFERROR(__xludf.DUMMYFUNCTION("VLOOKUP(A230,IMPORTRANGE(""1QZ5UxyNCwadreQAXnQ7oCoH982DjIA-QnZdO7ZoqkC0/edit#gid=884617569"",""S1 Totals!$A$2:$O$255""),7,FALSE)"),16.5)</f>
        <v>16.5</v>
      </c>
      <c r="K230" s="15">
        <f>IFERROR(__xludf.DUMMYFUNCTION("VLOOKUP(A230,IMPORTRANGE(""1QZ5UxyNCwadreQAXnQ7oCoH982DjIA-QnZdO7ZoqkC0/edit#gid=884617569"",""S1 Totals!$A$2:$O$255""),8,FALSE)"),0.336734693877551)</f>
        <v>0.3367346939</v>
      </c>
      <c r="L230" s="109">
        <f t="shared" si="3"/>
        <v>-0.1094619666</v>
      </c>
      <c r="M230" s="16">
        <f>IFERROR(__xludf.DUMMYFUNCTION("VLOOKUP(A230,IMPORTRANGE(""1QZ5UxyNCwadreQAXnQ7oCoH982DjIA-QnZdO7ZoqkC0/edit#gid=884617569"",""S1 Totals!$A$2:$O$255""),10,FALSE)"),13.0)</f>
        <v>13</v>
      </c>
      <c r="N230" s="15">
        <f>IFERROR(__xludf.DUMMYFUNCTION("VLOOKUP(A230,IMPORTRANGE(""1QZ5UxyNCwadreQAXnQ7oCoH982DjIA-QnZdO7ZoqkC0/edit#gid=884617569"",""S1 Totals!$A$2:$O$256""),11,FALSE)"),0.2708333333333333)</f>
        <v>0.2708333333</v>
      </c>
      <c r="O230" s="110">
        <f t="shared" si="50"/>
        <v>-0.06628787879</v>
      </c>
      <c r="P230" s="16">
        <f>IFERROR(__xludf.DUMMYFUNCTION("VLOOKUP(A230,IMPORTRANGE(""1QZ5UxyNCwadreQAXnQ7oCoH982DjIA-QnZdO7ZoqkC0/edit#gid=884617569"",""S1 Totals!$A$2:$O$256""),13,FALSE)"),15.5)</f>
        <v>15.5</v>
      </c>
      <c r="Q230" s="15">
        <f>IFERROR(__xludf.DUMMYFUNCTION("VLOOKUP(A230,IMPORTRANGE(""1QZ5UxyNCwadreQAXnQ7oCoH982DjIA-QnZdO7ZoqkC0/edit#gid=884617569"",""S1 Totals!$A$2:$O$256""),14,FALSE)"),0.31)</f>
        <v>0.31</v>
      </c>
      <c r="R230" s="15">
        <f>C230-Q230</f>
        <v>-0.1054545455</v>
      </c>
    </row>
    <row r="231">
      <c r="A231" s="107" t="s">
        <v>256</v>
      </c>
      <c r="B231" s="16">
        <f>IFERROR(__xludf.DUMMYFUNCTION("VLOOKUP(A231,IMPORTRANGE(""1aFCnJY1qhIj8-JckJhDJ18aqmVo17tofpQmOjcYa3u8/edit#gid=590920912"",""S1 Totals!$A$2:$O$255""),2,FALSE)"),3.25)</f>
        <v>3.25</v>
      </c>
      <c r="C231" s="15">
        <f>IFERROR(__xludf.DUMMYFUNCTION("VLOOKUP(A231,IMPORTRANGE(""1aFCnJY1qhIj8-JckJhDJ18aqmVo17tofpQmOjcYa3u8/edit#gid=590920912"",""S1 Totals!$A$2:$O$255""),3,FALSE)"),0.09848484848484848)</f>
        <v>0.09848484848</v>
      </c>
      <c r="D231" s="16">
        <f>IFERROR(__xludf.DUMMYFUNCTION("VLOOKUP(A231,IMPORTRANGE(""1QZ5UxyNCwadreQAXnQ7oCoH982DjIA-QnZdO7ZoqkC0/edit#gid=884617569"",""S1 Totals!$A$2:$O$255""),2,FALSE)"),15.5)</f>
        <v>15.5</v>
      </c>
      <c r="E231" s="15">
        <f>IFERROR(__xludf.DUMMYFUNCTION("VLOOKUP(A231,IMPORTRANGE(""1QZ5UxyNCwadreQAXnQ7oCoH982DjIA-QnZdO7ZoqkC0/edit#gid=884617569"",""S1 Totals!$A$2:$O$255""),3,FALSE)"),0.4696969696969697)</f>
        <v>0.4696969697</v>
      </c>
      <c r="F231" s="108">
        <f t="shared" si="1"/>
        <v>-0.3712121212</v>
      </c>
      <c r="G231" s="16">
        <f>IFERROR(__xludf.DUMMYFUNCTION("VLOOKUP(A231,IMPORTRANGE(""1QZ5UxyNCwadreQAXnQ7oCoH982DjIA-QnZdO7ZoqkC0/edit#gid=884617569"",""S1 Totals!$A$2:$O$255""),4,FALSE)"),22.5)</f>
        <v>22.5</v>
      </c>
      <c r="H231" s="15">
        <f>IFERROR(__xludf.DUMMYFUNCTION("VLOOKUP(A231,IMPORTRANGE(""1QZ5UxyNCwadreQAXnQ7oCoH982DjIA-QnZdO7ZoqkC0/edit#gid=884617569"",""S1 Totals!$A$2:$O$255""),5,FALSE)"),0.4787234042553192)</f>
        <v>0.4787234043</v>
      </c>
      <c r="I231" s="108">
        <f t="shared" si="2"/>
        <v>-0.3802385558</v>
      </c>
      <c r="J231" s="16" t="str">
        <f>IFERROR(__xludf.DUMMYFUNCTION("VLOOKUP(A231,IMPORTRANGE(""1QZ5UxyNCwadreQAXnQ7oCoH982DjIA-QnZdO7ZoqkC0/edit#gid=884617569"",""S1 Totals!$A$2:$O$255""),7,FALSE)"),"")</f>
        <v/>
      </c>
      <c r="K231" s="15" t="str">
        <f>IFERROR(__xludf.DUMMYFUNCTION("VLOOKUP(A231,IMPORTRANGE(""1QZ5UxyNCwadreQAXnQ7oCoH982DjIA-QnZdO7ZoqkC0/edit#gid=884617569"",""S1 Totals!$A$2:$O$255""),8,FALSE)"),"")</f>
        <v/>
      </c>
      <c r="L231" s="109">
        <f t="shared" si="3"/>
        <v>0.4696969697</v>
      </c>
      <c r="M231" s="16"/>
      <c r="N231" s="15"/>
      <c r="O231" s="110"/>
      <c r="P231" s="16"/>
      <c r="Q231" s="15"/>
      <c r="R231" s="16"/>
    </row>
    <row r="232">
      <c r="A232" s="107" t="s">
        <v>205</v>
      </c>
      <c r="B232" s="16">
        <f>IFERROR(__xludf.DUMMYFUNCTION("VLOOKUP(A232,IMPORTRANGE(""1aFCnJY1qhIj8-JckJhDJ18aqmVo17tofpQmOjcYa3u8/edit#gid=590920912"",""S1 Totals!$A$2:$O$255""),2,FALSE)"),21.0)</f>
        <v>21</v>
      </c>
      <c r="C232" s="15">
        <f>IFERROR(__xludf.DUMMYFUNCTION("VLOOKUP(A232,IMPORTRANGE(""1aFCnJY1qhIj8-JckJhDJ18aqmVo17tofpQmOjcYa3u8/edit#gid=590920912"",""S1 Totals!$A$2:$O$255""),3,FALSE)"),0.6363636363636364)</f>
        <v>0.6363636364</v>
      </c>
      <c r="D232" s="16">
        <f>IFERROR(__xludf.DUMMYFUNCTION("VLOOKUP(A232,IMPORTRANGE(""1QZ5UxyNCwadreQAXnQ7oCoH982DjIA-QnZdO7ZoqkC0/edit#gid=884617569"",""S1 Totals!$A$2:$O$255""),2,FALSE)"),22.25)</f>
        <v>22.25</v>
      </c>
      <c r="E232" s="15">
        <f>IFERROR(__xludf.DUMMYFUNCTION("VLOOKUP(A232,IMPORTRANGE(""1QZ5UxyNCwadreQAXnQ7oCoH982DjIA-QnZdO7ZoqkC0/edit#gid=884617569"",""S1 Totals!$A$2:$O$255""),3,FALSE)"),0.6742424242424242)</f>
        <v>0.6742424242</v>
      </c>
      <c r="F232" s="108">
        <f t="shared" si="1"/>
        <v>-0.03787878788</v>
      </c>
      <c r="G232" s="16">
        <f>IFERROR(__xludf.DUMMYFUNCTION("VLOOKUP(A232,IMPORTRANGE(""1QZ5UxyNCwadreQAXnQ7oCoH982DjIA-QnZdO7ZoqkC0/edit#gid=884617569"",""S1 Totals!$A$2:$O$255""),4,FALSE)"),26.5)</f>
        <v>26.5</v>
      </c>
      <c r="H232" s="15">
        <f>IFERROR(__xludf.DUMMYFUNCTION("VLOOKUP(A232,IMPORTRANGE(""1QZ5UxyNCwadreQAXnQ7oCoH982DjIA-QnZdO7ZoqkC0/edit#gid=884617569"",""S1 Totals!$A$2:$O$255""),5,FALSE)"),0.5638297872340425)</f>
        <v>0.5638297872</v>
      </c>
      <c r="I232" s="108">
        <f t="shared" si="2"/>
        <v>0.07253384913</v>
      </c>
      <c r="J232" s="16">
        <f>IFERROR(__xludf.DUMMYFUNCTION("VLOOKUP(A232,IMPORTRANGE(""1QZ5UxyNCwadreQAXnQ7oCoH982DjIA-QnZdO7ZoqkC0/edit#gid=884617569"",""S1 Totals!$A$2:$O$255""),7,FALSE)"),21.5)</f>
        <v>21.5</v>
      </c>
      <c r="K232" s="15">
        <f>IFERROR(__xludf.DUMMYFUNCTION("VLOOKUP(A232,IMPORTRANGE(""1QZ5UxyNCwadreQAXnQ7oCoH982DjIA-QnZdO7ZoqkC0/edit#gid=884617569"",""S1 Totals!$A$2:$O$255""),8,FALSE)"),0.4387755102040816)</f>
        <v>0.4387755102</v>
      </c>
      <c r="L232" s="109">
        <f t="shared" si="3"/>
        <v>0.235466914</v>
      </c>
      <c r="M232" s="16"/>
      <c r="N232" s="15"/>
      <c r="O232" s="110"/>
      <c r="P232" s="16"/>
      <c r="Q232" s="15"/>
      <c r="R232" s="16"/>
    </row>
    <row r="233">
      <c r="A233" s="107" t="s">
        <v>101</v>
      </c>
      <c r="B233" s="16">
        <f>IFERROR(__xludf.DUMMYFUNCTION("VLOOKUP(A233,IMPORTRANGE(""1aFCnJY1qhIj8-JckJhDJ18aqmVo17tofpQmOjcYa3u8/edit#gid=590920912"",""S1 Totals!$A$2:$O$255""),2,FALSE)"),14.75)</f>
        <v>14.75</v>
      </c>
      <c r="C233" s="15">
        <f>IFERROR(__xludf.DUMMYFUNCTION("VLOOKUP(A233,IMPORTRANGE(""1aFCnJY1qhIj8-JckJhDJ18aqmVo17tofpQmOjcYa3u8/edit#gid=590920912"",""S1 Totals!$A$2:$O$255""),3,FALSE)"),0.44696969696969696)</f>
        <v>0.446969697</v>
      </c>
      <c r="D233" s="16">
        <f>IFERROR(__xludf.DUMMYFUNCTION("VLOOKUP(A233,IMPORTRANGE(""1QZ5UxyNCwadreQAXnQ7oCoH982DjIA-QnZdO7ZoqkC0/edit#gid=884617569"",""S1 Totals!$A$2:$O$255""),2,FALSE)"),16.75)</f>
        <v>16.75</v>
      </c>
      <c r="E233" s="15">
        <f>IFERROR(__xludf.DUMMYFUNCTION("VLOOKUP(A233,IMPORTRANGE(""1QZ5UxyNCwadreQAXnQ7oCoH982DjIA-QnZdO7ZoqkC0/edit#gid=884617569"",""S1 Totals!$A$2:$O$255""),3,FALSE)"),0.5075757575757576)</f>
        <v>0.5075757576</v>
      </c>
      <c r="F233" s="108">
        <f t="shared" si="1"/>
        <v>-0.06060606061</v>
      </c>
      <c r="G233" s="16">
        <f>IFERROR(__xludf.DUMMYFUNCTION("VLOOKUP(A233,IMPORTRANGE(""1QZ5UxyNCwadreQAXnQ7oCoH982DjIA-QnZdO7ZoqkC0/edit#gid=884617569"",""S1 Totals!$A$2:$O$255""),4,FALSE)"),32.0)</f>
        <v>32</v>
      </c>
      <c r="H233" s="15">
        <f>IFERROR(__xludf.DUMMYFUNCTION("VLOOKUP(A233,IMPORTRANGE(""1QZ5UxyNCwadreQAXnQ7oCoH982DjIA-QnZdO7ZoqkC0/edit#gid=884617569"",""S1 Totals!$A$2:$O$255""),5,FALSE)"),0.6808510638297872)</f>
        <v>0.6808510638</v>
      </c>
      <c r="I233" s="108">
        <f t="shared" si="2"/>
        <v>-0.2338813669</v>
      </c>
      <c r="J233" s="16">
        <f>IFERROR(__xludf.DUMMYFUNCTION("VLOOKUP(A233,IMPORTRANGE(""1QZ5UxyNCwadreQAXnQ7oCoH982DjIA-QnZdO7ZoqkC0/edit#gid=884617569"",""S1 Totals!$A$2:$O$255""),7,FALSE)"),34.0)</f>
        <v>34</v>
      </c>
      <c r="K233" s="15">
        <f>IFERROR(__xludf.DUMMYFUNCTION("VLOOKUP(A233,IMPORTRANGE(""1QZ5UxyNCwadreQAXnQ7oCoH982DjIA-QnZdO7ZoqkC0/edit#gid=884617569"",""S1 Totals!$A$2:$O$255""),8,FALSE)"),0.6938775510204082)</f>
        <v>0.693877551</v>
      </c>
      <c r="L233" s="109">
        <f t="shared" si="3"/>
        <v>-0.1863017934</v>
      </c>
      <c r="M233" s="16">
        <f>IFERROR(__xludf.DUMMYFUNCTION("VLOOKUP(A233,IMPORTRANGE(""1QZ5UxyNCwadreQAXnQ7oCoH982DjIA-QnZdO7ZoqkC0/edit#gid=884617569"",""S1 Totals!$A$2:$O$255""),10,FALSE)"),17.5)</f>
        <v>17.5</v>
      </c>
      <c r="N233" s="15">
        <f>IFERROR(__xludf.DUMMYFUNCTION("VLOOKUP(A233,IMPORTRANGE(""1QZ5UxyNCwadreQAXnQ7oCoH982DjIA-QnZdO7ZoqkC0/edit#gid=884617569"",""S1 Totals!$A$2:$O$256""),11,FALSE)"),0.3645833333333333)</f>
        <v>0.3645833333</v>
      </c>
      <c r="O233" s="110">
        <f t="shared" ref="O233:O234" si="51">C233-N233</f>
        <v>0.08238636364</v>
      </c>
      <c r="P233" s="16">
        <f>IFERROR(__xludf.DUMMYFUNCTION("VLOOKUP(A233,IMPORTRANGE(""1QZ5UxyNCwadreQAXnQ7oCoH982DjIA-QnZdO7ZoqkC0/edit#gid=884617569"",""S1 Totals!$A$2:$O$256""),13,FALSE)"),11.5)</f>
        <v>11.5</v>
      </c>
      <c r="Q233" s="15">
        <f>IFERROR(__xludf.DUMMYFUNCTION("VLOOKUP(A233,IMPORTRANGE(""1QZ5UxyNCwadreQAXnQ7oCoH982DjIA-QnZdO7ZoqkC0/edit#gid=884617569"",""S1 Totals!$A$2:$O$256""),14,FALSE)"),0.23)</f>
        <v>0.23</v>
      </c>
      <c r="R233" s="15">
        <f t="shared" ref="R233:R234" si="52">C233-Q233</f>
        <v>0.216969697</v>
      </c>
    </row>
    <row r="234">
      <c r="A234" s="107" t="s">
        <v>102</v>
      </c>
      <c r="B234" s="16">
        <f>IFERROR(__xludf.DUMMYFUNCTION("VLOOKUP(A234,IMPORTRANGE(""1aFCnJY1qhIj8-JckJhDJ18aqmVo17tofpQmOjcYa3u8/edit#gid=590920912"",""S1 Totals!$A$2:$O$255""),2,FALSE)"),25.5)</f>
        <v>25.5</v>
      </c>
      <c r="C234" s="15">
        <f>IFERROR(__xludf.DUMMYFUNCTION("VLOOKUP(A234,IMPORTRANGE(""1aFCnJY1qhIj8-JckJhDJ18aqmVo17tofpQmOjcYa3u8/edit#gid=590920912"",""S1 Totals!$A$2:$O$255""),3,FALSE)"),0.7727272727272727)</f>
        <v>0.7727272727</v>
      </c>
      <c r="D234" s="16">
        <f>IFERROR(__xludf.DUMMYFUNCTION("VLOOKUP(A234,IMPORTRANGE(""1QZ5UxyNCwadreQAXnQ7oCoH982DjIA-QnZdO7ZoqkC0/edit#gid=884617569"",""S1 Totals!$A$2:$O$255""),2,FALSE)"),28.25)</f>
        <v>28.25</v>
      </c>
      <c r="E234" s="15">
        <f>IFERROR(__xludf.DUMMYFUNCTION("VLOOKUP(A234,IMPORTRANGE(""1QZ5UxyNCwadreQAXnQ7oCoH982DjIA-QnZdO7ZoqkC0/edit#gid=884617569"",""S1 Totals!$A$2:$O$255""),3,FALSE)"),0.8560606060606061)</f>
        <v>0.8560606061</v>
      </c>
      <c r="F234" s="108">
        <f t="shared" si="1"/>
        <v>-0.08333333333</v>
      </c>
      <c r="G234" s="16">
        <f>IFERROR(__xludf.DUMMYFUNCTION("VLOOKUP(A234,IMPORTRANGE(""1QZ5UxyNCwadreQAXnQ7oCoH982DjIA-QnZdO7ZoqkC0/edit#gid=884617569"",""S1 Totals!$A$2:$O$255""),4,FALSE)"),37.0)</f>
        <v>37</v>
      </c>
      <c r="H234" s="15">
        <f>IFERROR(__xludf.DUMMYFUNCTION("VLOOKUP(A234,IMPORTRANGE(""1QZ5UxyNCwadreQAXnQ7oCoH982DjIA-QnZdO7ZoqkC0/edit#gid=884617569"",""S1 Totals!$A$2:$O$255""),5,FALSE)"),0.7872340425531915)</f>
        <v>0.7872340426</v>
      </c>
      <c r="I234" s="108">
        <f t="shared" si="2"/>
        <v>-0.01450676983</v>
      </c>
      <c r="J234" s="16">
        <f>IFERROR(__xludf.DUMMYFUNCTION("VLOOKUP(A234,IMPORTRANGE(""1QZ5UxyNCwadreQAXnQ7oCoH982DjIA-QnZdO7ZoqkC0/edit#gid=884617569"",""S1 Totals!$A$2:$O$255""),7,FALSE)"),38.5)</f>
        <v>38.5</v>
      </c>
      <c r="K234" s="15">
        <f>IFERROR(__xludf.DUMMYFUNCTION("VLOOKUP(A234,IMPORTRANGE(""1QZ5UxyNCwadreQAXnQ7oCoH982DjIA-QnZdO7ZoqkC0/edit#gid=884617569"",""S1 Totals!$A$2:$O$255""),8,FALSE)"),0.7857142857142857)</f>
        <v>0.7857142857</v>
      </c>
      <c r="L234" s="109">
        <f t="shared" si="3"/>
        <v>0.07034632035</v>
      </c>
      <c r="M234" s="16">
        <f>IFERROR(__xludf.DUMMYFUNCTION("VLOOKUP(A234,IMPORTRANGE(""1QZ5UxyNCwadreQAXnQ7oCoH982DjIA-QnZdO7ZoqkC0/edit#gid=884617569"",""S1 Totals!$A$2:$O$255""),10,FALSE)"),32.5)</f>
        <v>32.5</v>
      </c>
      <c r="N234" s="15">
        <f>IFERROR(__xludf.DUMMYFUNCTION("VLOOKUP(A234,IMPORTRANGE(""1QZ5UxyNCwadreQAXnQ7oCoH982DjIA-QnZdO7ZoqkC0/edit#gid=884617569"",""S1 Totals!$A$2:$O$256""),11,FALSE)"),0.6770833333333334)</f>
        <v>0.6770833333</v>
      </c>
      <c r="O234" s="110">
        <f t="shared" si="51"/>
        <v>0.09564393939</v>
      </c>
      <c r="P234" s="16">
        <f>IFERROR(__xludf.DUMMYFUNCTION("VLOOKUP(A234,IMPORTRANGE(""1QZ5UxyNCwadreQAXnQ7oCoH982DjIA-QnZdO7ZoqkC0/edit#gid=884617569"",""S1 Totals!$A$2:$O$256""),13,FALSE)"),28.0)</f>
        <v>28</v>
      </c>
      <c r="Q234" s="15">
        <f>IFERROR(__xludf.DUMMYFUNCTION("VLOOKUP(A234,IMPORTRANGE(""1QZ5UxyNCwadreQAXnQ7oCoH982DjIA-QnZdO7ZoqkC0/edit#gid=884617569"",""S1 Totals!$A$2:$O$256""),14,FALSE)"),0.56)</f>
        <v>0.56</v>
      </c>
      <c r="R234" s="15">
        <f t="shared" si="52"/>
        <v>0.2127272727</v>
      </c>
    </row>
    <row r="235">
      <c r="A235" s="107" t="s">
        <v>257</v>
      </c>
      <c r="B235" s="16">
        <f>IFERROR(__xludf.DUMMYFUNCTION("VLOOKUP(A235,IMPORTRANGE(""1aFCnJY1qhIj8-JckJhDJ18aqmVo17tofpQmOjcYa3u8/edit#gid=590920912"",""S1 Totals!$A$2:$O$255""),2,FALSE)"),14.0)</f>
        <v>14</v>
      </c>
      <c r="C235" s="15">
        <f>IFERROR(__xludf.DUMMYFUNCTION("VLOOKUP(A235,IMPORTRANGE(""1aFCnJY1qhIj8-JckJhDJ18aqmVo17tofpQmOjcYa3u8/edit#gid=590920912"",""S1 Totals!$A$2:$O$255""),3,FALSE)"),0.42424242424242425)</f>
        <v>0.4242424242</v>
      </c>
      <c r="D235" s="16">
        <f>IFERROR(__xludf.DUMMYFUNCTION("VLOOKUP(A235,IMPORTRANGE(""1QZ5UxyNCwadreQAXnQ7oCoH982DjIA-QnZdO7ZoqkC0/edit#gid=884617569"",""S1 Totals!$A$2:$O$255""),2,FALSE)"),13.75)</f>
        <v>13.75</v>
      </c>
      <c r="E235" s="15">
        <f>IFERROR(__xludf.DUMMYFUNCTION("VLOOKUP(A235,IMPORTRANGE(""1QZ5UxyNCwadreQAXnQ7oCoH982DjIA-QnZdO7ZoqkC0/edit#gid=884617569"",""S1 Totals!$A$2:$O$255""),3,FALSE)"),0.4166666666666667)</f>
        <v>0.4166666667</v>
      </c>
      <c r="F235" s="108">
        <f t="shared" si="1"/>
        <v>0.007575757576</v>
      </c>
      <c r="G235" s="16">
        <f>IFERROR(__xludf.DUMMYFUNCTION("VLOOKUP(A235,IMPORTRANGE(""1QZ5UxyNCwadreQAXnQ7oCoH982DjIA-QnZdO7ZoqkC0/edit#gid=884617569"",""S1 Totals!$A$2:$O$255""),4,FALSE)"),14.5)</f>
        <v>14.5</v>
      </c>
      <c r="H235" s="15">
        <f>IFERROR(__xludf.DUMMYFUNCTION("VLOOKUP(A235,IMPORTRANGE(""1QZ5UxyNCwadreQAXnQ7oCoH982DjIA-QnZdO7ZoqkC0/edit#gid=884617569"",""S1 Totals!$A$2:$O$255""),5,FALSE)"),0.30851063829787234)</f>
        <v>0.3085106383</v>
      </c>
      <c r="I235" s="108">
        <f t="shared" si="2"/>
        <v>0.1157317859</v>
      </c>
      <c r="J235" s="16" t="str">
        <f>IFERROR(__xludf.DUMMYFUNCTION("VLOOKUP(A235,IMPORTRANGE(""1QZ5UxyNCwadreQAXnQ7oCoH982DjIA-QnZdO7ZoqkC0/edit#gid=884617569"",""S1 Totals!$A$2:$O$255""),7,FALSE)"),"")</f>
        <v/>
      </c>
      <c r="K235" s="15" t="str">
        <f>IFERROR(__xludf.DUMMYFUNCTION("VLOOKUP(A235,IMPORTRANGE(""1QZ5UxyNCwadreQAXnQ7oCoH982DjIA-QnZdO7ZoqkC0/edit#gid=884617569"",""S1 Totals!$A$2:$O$255""),8,FALSE)"),"")</f>
        <v/>
      </c>
      <c r="L235" s="109">
        <f t="shared" si="3"/>
        <v>0.4166666667</v>
      </c>
      <c r="M235" s="16"/>
      <c r="N235" s="15"/>
      <c r="O235" s="110"/>
      <c r="P235" s="16"/>
      <c r="Q235" s="15"/>
      <c r="R235" s="16"/>
    </row>
    <row r="236">
      <c r="A236" s="107" t="s">
        <v>103</v>
      </c>
      <c r="B236" s="16">
        <f>IFERROR(__xludf.DUMMYFUNCTION("VLOOKUP(A236,IMPORTRANGE(""1aFCnJY1qhIj8-JckJhDJ18aqmVo17tofpQmOjcYa3u8/edit#gid=590920912"",""S1 Totals!$A$2:$O$255""),2,FALSE)"),30.0)</f>
        <v>30</v>
      </c>
      <c r="C236" s="15">
        <f>IFERROR(__xludf.DUMMYFUNCTION("VLOOKUP(A236,IMPORTRANGE(""1aFCnJY1qhIj8-JckJhDJ18aqmVo17tofpQmOjcYa3u8/edit#gid=590920912"",""S1 Totals!$A$2:$O$255""),3,FALSE)"),0.9090909090909091)</f>
        <v>0.9090909091</v>
      </c>
      <c r="D236" s="16">
        <f>IFERROR(__xludf.DUMMYFUNCTION("VLOOKUP(A236,IMPORTRANGE(""1QZ5UxyNCwadreQAXnQ7oCoH982DjIA-QnZdO7ZoqkC0/edit#gid=884617569"",""S1 Totals!$A$2:$O$255""),2,FALSE)"),30.25)</f>
        <v>30.25</v>
      </c>
      <c r="E236" s="15">
        <f>IFERROR(__xludf.DUMMYFUNCTION("VLOOKUP(A236,IMPORTRANGE(""1QZ5UxyNCwadreQAXnQ7oCoH982DjIA-QnZdO7ZoqkC0/edit#gid=884617569"",""S1 Totals!$A$2:$O$255""),3,FALSE)"),0.9166666666666666)</f>
        <v>0.9166666667</v>
      </c>
      <c r="F236" s="108">
        <f t="shared" si="1"/>
        <v>-0.007575757576</v>
      </c>
      <c r="G236" s="16">
        <f>IFERROR(__xludf.DUMMYFUNCTION("VLOOKUP(A236,IMPORTRANGE(""1QZ5UxyNCwadreQAXnQ7oCoH982DjIA-QnZdO7ZoqkC0/edit#gid=884617569"",""S1 Totals!$A$2:$O$255""),4,FALSE)"),39.5)</f>
        <v>39.5</v>
      </c>
      <c r="H236" s="15">
        <f>IFERROR(__xludf.DUMMYFUNCTION("VLOOKUP(A236,IMPORTRANGE(""1QZ5UxyNCwadreQAXnQ7oCoH982DjIA-QnZdO7ZoqkC0/edit#gid=884617569"",""S1 Totals!$A$2:$O$255""),5,FALSE)"),0.8404255319148937)</f>
        <v>0.8404255319</v>
      </c>
      <c r="I236" s="108">
        <f t="shared" si="2"/>
        <v>0.06866537718</v>
      </c>
      <c r="J236" s="16">
        <f>IFERROR(__xludf.DUMMYFUNCTION("VLOOKUP(A236,IMPORTRANGE(""1QZ5UxyNCwadreQAXnQ7oCoH982DjIA-QnZdO7ZoqkC0/edit#gid=884617569"",""S1 Totals!$A$2:$O$255""),7,FALSE)"),35.0)</f>
        <v>35</v>
      </c>
      <c r="K236" s="15">
        <f>IFERROR(__xludf.DUMMYFUNCTION("VLOOKUP(A236,IMPORTRANGE(""1QZ5UxyNCwadreQAXnQ7oCoH982DjIA-QnZdO7ZoqkC0/edit#gid=884617569"",""S1 Totals!$A$2:$O$255""),8,FALSE)"),0.7142857142857143)</f>
        <v>0.7142857143</v>
      </c>
      <c r="L236" s="109">
        <f t="shared" si="3"/>
        <v>0.2023809524</v>
      </c>
      <c r="M236" s="16">
        <f>IFERROR(__xludf.DUMMYFUNCTION("VLOOKUP(A236,IMPORTRANGE(""1QZ5UxyNCwadreQAXnQ7oCoH982DjIA-QnZdO7ZoqkC0/edit#gid=884617569"",""S1 Totals!$A$2:$O$255""),10,FALSE)"),25.0)</f>
        <v>25</v>
      </c>
      <c r="N236" s="15">
        <f>IFERROR(__xludf.DUMMYFUNCTION("VLOOKUP(A236,IMPORTRANGE(""1QZ5UxyNCwadreQAXnQ7oCoH982DjIA-QnZdO7ZoqkC0/edit#gid=884617569"",""S1 Totals!$A$2:$O$256""),11,FALSE)"),0.5208333333333334)</f>
        <v>0.5208333333</v>
      </c>
      <c r="O236" s="110">
        <f t="shared" ref="O236:O242" si="53">C236-N236</f>
        <v>0.3882575758</v>
      </c>
      <c r="P236" s="16">
        <f>IFERROR(__xludf.DUMMYFUNCTION("VLOOKUP(A236,IMPORTRANGE(""1QZ5UxyNCwadreQAXnQ7oCoH982DjIA-QnZdO7ZoqkC0/edit#gid=884617569"",""S1 Totals!$A$2:$O$256""),13,FALSE)"),23.0)</f>
        <v>23</v>
      </c>
      <c r="Q236" s="15">
        <f>IFERROR(__xludf.DUMMYFUNCTION("VLOOKUP(A236,IMPORTRANGE(""1QZ5UxyNCwadreQAXnQ7oCoH982DjIA-QnZdO7ZoqkC0/edit#gid=884617569"",""S1 Totals!$A$2:$O$256""),14,FALSE)"),0.46)</f>
        <v>0.46</v>
      </c>
      <c r="R236" s="15">
        <f t="shared" ref="R236:R237" si="54">C236-Q236</f>
        <v>0.4490909091</v>
      </c>
    </row>
    <row r="237">
      <c r="A237" s="107" t="s">
        <v>104</v>
      </c>
      <c r="B237" s="16">
        <f>IFERROR(__xludf.DUMMYFUNCTION("VLOOKUP(A237,IMPORTRANGE(""1aFCnJY1qhIj8-JckJhDJ18aqmVo17tofpQmOjcYa3u8/edit#gid=590920912"",""S1 Totals!$A$2:$O$255""),2,FALSE)"),10.75)</f>
        <v>10.75</v>
      </c>
      <c r="C237" s="15">
        <f>IFERROR(__xludf.DUMMYFUNCTION("VLOOKUP(A237,IMPORTRANGE(""1aFCnJY1qhIj8-JckJhDJ18aqmVo17tofpQmOjcYa3u8/edit#gid=590920912"",""S1 Totals!$A$2:$O$255""),3,FALSE)"),0.32575757575757575)</f>
        <v>0.3257575758</v>
      </c>
      <c r="D237" s="16">
        <f>IFERROR(__xludf.DUMMYFUNCTION("VLOOKUP(A237,IMPORTRANGE(""1QZ5UxyNCwadreQAXnQ7oCoH982DjIA-QnZdO7ZoqkC0/edit#gid=884617569"",""S1 Totals!$A$2:$O$255""),2,FALSE)"),13.25)</f>
        <v>13.25</v>
      </c>
      <c r="E237" s="15">
        <f>IFERROR(__xludf.DUMMYFUNCTION("VLOOKUP(A237,IMPORTRANGE(""1QZ5UxyNCwadreQAXnQ7oCoH982DjIA-QnZdO7ZoqkC0/edit#gid=884617569"",""S1 Totals!$A$2:$O$255""),3,FALSE)"),0.4015151515151515)</f>
        <v>0.4015151515</v>
      </c>
      <c r="F237" s="108">
        <f t="shared" si="1"/>
        <v>-0.07575757576</v>
      </c>
      <c r="G237" s="16">
        <f>IFERROR(__xludf.DUMMYFUNCTION("VLOOKUP(A237,IMPORTRANGE(""1QZ5UxyNCwadreQAXnQ7oCoH982DjIA-QnZdO7ZoqkC0/edit#gid=884617569"",""S1 Totals!$A$2:$O$255""),4,FALSE)"),16.5)</f>
        <v>16.5</v>
      </c>
      <c r="H237" s="15">
        <f>IFERROR(__xludf.DUMMYFUNCTION("VLOOKUP(A237,IMPORTRANGE(""1QZ5UxyNCwadreQAXnQ7oCoH982DjIA-QnZdO7ZoqkC0/edit#gid=884617569"",""S1 Totals!$A$2:$O$255""),5,FALSE)"),0.35106382978723405)</f>
        <v>0.3510638298</v>
      </c>
      <c r="I237" s="108">
        <f t="shared" si="2"/>
        <v>-0.02530625403</v>
      </c>
      <c r="J237" s="16">
        <f>IFERROR(__xludf.DUMMYFUNCTION("VLOOKUP(A237,IMPORTRANGE(""1QZ5UxyNCwadreQAXnQ7oCoH982DjIA-QnZdO7ZoqkC0/edit#gid=884617569"",""S1 Totals!$A$2:$O$255""),7,FALSE)"),12.5)</f>
        <v>12.5</v>
      </c>
      <c r="K237" s="15">
        <f>IFERROR(__xludf.DUMMYFUNCTION("VLOOKUP(A237,IMPORTRANGE(""1QZ5UxyNCwadreQAXnQ7oCoH982DjIA-QnZdO7ZoqkC0/edit#gid=884617569"",""S1 Totals!$A$2:$O$255""),8,FALSE)"),0.25510204081632654)</f>
        <v>0.2551020408</v>
      </c>
      <c r="L237" s="109">
        <f t="shared" si="3"/>
        <v>0.1464131107</v>
      </c>
      <c r="M237" s="16">
        <f>IFERROR(__xludf.DUMMYFUNCTION("VLOOKUP(A237,IMPORTRANGE(""1QZ5UxyNCwadreQAXnQ7oCoH982DjIA-QnZdO7ZoqkC0/edit#gid=884617569"",""S1 Totals!$A$2:$O$255""),10,FALSE)"),9.5)</f>
        <v>9.5</v>
      </c>
      <c r="N237" s="15">
        <f>IFERROR(__xludf.DUMMYFUNCTION("VLOOKUP(A237,IMPORTRANGE(""1QZ5UxyNCwadreQAXnQ7oCoH982DjIA-QnZdO7ZoqkC0/edit#gid=884617569"",""S1 Totals!$A$2:$O$256""),11,FALSE)"),0.19791666666666666)</f>
        <v>0.1979166667</v>
      </c>
      <c r="O237" s="110">
        <f t="shared" si="53"/>
        <v>0.1278409091</v>
      </c>
      <c r="P237" s="16">
        <f>IFERROR(__xludf.DUMMYFUNCTION("VLOOKUP(A237,IMPORTRANGE(""1QZ5UxyNCwadreQAXnQ7oCoH982DjIA-QnZdO7ZoqkC0/edit#gid=884617569"",""S1 Totals!$A$2:$O$256""),13,FALSE)"),11.5)</f>
        <v>11.5</v>
      </c>
      <c r="Q237" s="15">
        <f>IFERROR(__xludf.DUMMYFUNCTION("VLOOKUP(A237,IMPORTRANGE(""1QZ5UxyNCwadreQAXnQ7oCoH982DjIA-QnZdO7ZoqkC0/edit#gid=884617569"",""S1 Totals!$A$2:$O$256""),14,FALSE)"),0.23)</f>
        <v>0.23</v>
      </c>
      <c r="R237" s="15">
        <f t="shared" si="54"/>
        <v>0.09575757576</v>
      </c>
    </row>
    <row r="238">
      <c r="A238" s="107" t="s">
        <v>153</v>
      </c>
      <c r="B238" s="16">
        <f>IFERROR(__xludf.DUMMYFUNCTION("VLOOKUP(A238,IMPORTRANGE(""1aFCnJY1qhIj8-JckJhDJ18aqmVo17tofpQmOjcYa3u8/edit#gid=590920912"",""S1 Totals!$A$2:$O$255""),2,FALSE)"),7.25)</f>
        <v>7.25</v>
      </c>
      <c r="C238" s="15">
        <f>IFERROR(__xludf.DUMMYFUNCTION("VLOOKUP(A238,IMPORTRANGE(""1aFCnJY1qhIj8-JckJhDJ18aqmVo17tofpQmOjcYa3u8/edit#gid=590920912"",""S1 Totals!$A$2:$O$255""),3,FALSE)"),0.2196969696969697)</f>
        <v>0.2196969697</v>
      </c>
      <c r="D238" s="16">
        <f>IFERROR(__xludf.DUMMYFUNCTION("VLOOKUP(A238,IMPORTRANGE(""1QZ5UxyNCwadreQAXnQ7oCoH982DjIA-QnZdO7ZoqkC0/edit#gid=884617569"",""S1 Totals!$A$2:$O$255""),2,FALSE)"),10.25)</f>
        <v>10.25</v>
      </c>
      <c r="E238" s="15">
        <f>IFERROR(__xludf.DUMMYFUNCTION("VLOOKUP(A238,IMPORTRANGE(""1QZ5UxyNCwadreQAXnQ7oCoH982DjIA-QnZdO7ZoqkC0/edit#gid=884617569"",""S1 Totals!$A$2:$O$255""),3,FALSE)"),0.3106060606060606)</f>
        <v>0.3106060606</v>
      </c>
      <c r="F238" s="108">
        <f t="shared" si="1"/>
        <v>-0.09090909091</v>
      </c>
      <c r="G238" s="16">
        <f>IFERROR(__xludf.DUMMYFUNCTION("VLOOKUP(A238,IMPORTRANGE(""1QZ5UxyNCwadreQAXnQ7oCoH982DjIA-QnZdO7ZoqkC0/edit#gid=884617569"",""S1 Totals!$A$2:$O$255""),4,FALSE)"),16.5)</f>
        <v>16.5</v>
      </c>
      <c r="H238" s="15">
        <f>IFERROR(__xludf.DUMMYFUNCTION("VLOOKUP(A238,IMPORTRANGE(""1QZ5UxyNCwadreQAXnQ7oCoH982DjIA-QnZdO7ZoqkC0/edit#gid=884617569"",""S1 Totals!$A$2:$O$255""),5,FALSE)"),0.35106382978723405)</f>
        <v>0.3510638298</v>
      </c>
      <c r="I238" s="108">
        <f t="shared" si="2"/>
        <v>-0.1313668601</v>
      </c>
      <c r="J238" s="16">
        <f>IFERROR(__xludf.DUMMYFUNCTION("VLOOKUP(A238,IMPORTRANGE(""1QZ5UxyNCwadreQAXnQ7oCoH982DjIA-QnZdO7ZoqkC0/edit#gid=884617569"",""S1 Totals!$A$2:$O$255""),7,FALSE)"),17.0)</f>
        <v>17</v>
      </c>
      <c r="K238" s="15">
        <f>IFERROR(__xludf.DUMMYFUNCTION("VLOOKUP(A238,IMPORTRANGE(""1QZ5UxyNCwadreQAXnQ7oCoH982DjIA-QnZdO7ZoqkC0/edit#gid=884617569"",""S1 Totals!$A$2:$O$255""),8,FALSE)"),0.3469387755102041)</f>
        <v>0.3469387755</v>
      </c>
      <c r="L238" s="109">
        <f t="shared" si="3"/>
        <v>-0.0363327149</v>
      </c>
      <c r="M238" s="16">
        <f>IFERROR(__xludf.DUMMYFUNCTION("VLOOKUP(A238,IMPORTRANGE(""1QZ5UxyNCwadreQAXnQ7oCoH982DjIA-QnZdO7ZoqkC0/edit#gid=884617569"",""S1 Totals!$A$2:$O$255""),10,FALSE)"),13.0)</f>
        <v>13</v>
      </c>
      <c r="N238" s="15">
        <f>IFERROR(__xludf.DUMMYFUNCTION("VLOOKUP(A238,IMPORTRANGE(""1QZ5UxyNCwadreQAXnQ7oCoH982DjIA-QnZdO7ZoqkC0/edit#gid=884617569"",""S1 Totals!$A$2:$O$256""),11,FALSE)"),0.2708333333333333)</f>
        <v>0.2708333333</v>
      </c>
      <c r="O238" s="110">
        <f t="shared" si="53"/>
        <v>-0.05113636364</v>
      </c>
      <c r="P238" s="16" t="str">
        <f>IFERROR(__xludf.DUMMYFUNCTION("VLOOKUP(A238,IMPORTRANGE(""1QZ5UxyNCwadreQAXnQ7oCoH982DjIA-QnZdO7ZoqkC0/edit#gid=884617569"",""S1 Totals!$A$2:$O$256""),13,FALSE)"),"")</f>
        <v/>
      </c>
      <c r="Q238" s="15" t="str">
        <f>IFERROR(__xludf.DUMMYFUNCTION("VLOOKUP(A238,IMPORTRANGE(""1QZ5UxyNCwadreQAXnQ7oCoH982DjIA-QnZdO7ZoqkC0/edit#gid=884617569"",""S1 Totals!$A$2:$O$256""),14,FALSE)"),"")</f>
        <v/>
      </c>
      <c r="R238" s="16"/>
    </row>
    <row r="239">
      <c r="A239" s="107" t="s">
        <v>154</v>
      </c>
      <c r="B239" s="16">
        <f>IFERROR(__xludf.DUMMYFUNCTION("VLOOKUP(A239,IMPORTRANGE(""1aFCnJY1qhIj8-JckJhDJ18aqmVo17tofpQmOjcYa3u8/edit#gid=590920912"",""S1 Totals!$A$2:$O$255""),2,FALSE)"),1.75)</f>
        <v>1.75</v>
      </c>
      <c r="C239" s="15">
        <f>IFERROR(__xludf.DUMMYFUNCTION("VLOOKUP(A239,IMPORTRANGE(""1aFCnJY1qhIj8-JckJhDJ18aqmVo17tofpQmOjcYa3u8/edit#gid=590920912"",""S1 Totals!$A$2:$O$255""),3,FALSE)"),0.05303030303030303)</f>
        <v>0.05303030303</v>
      </c>
      <c r="D239" s="16">
        <f>IFERROR(__xludf.DUMMYFUNCTION("VLOOKUP(A239,IMPORTRANGE(""1QZ5UxyNCwadreQAXnQ7oCoH982DjIA-QnZdO7ZoqkC0/edit#gid=884617569"",""S1 Totals!$A$2:$O$255""),2,FALSE)"),29.5)</f>
        <v>29.5</v>
      </c>
      <c r="E239" s="15">
        <f>IFERROR(__xludf.DUMMYFUNCTION("VLOOKUP(A239,IMPORTRANGE(""1QZ5UxyNCwadreQAXnQ7oCoH982DjIA-QnZdO7ZoqkC0/edit#gid=884617569"",""S1 Totals!$A$2:$O$255""),3,FALSE)"),0.8939393939393939)</f>
        <v>0.8939393939</v>
      </c>
      <c r="F239" s="108">
        <f t="shared" si="1"/>
        <v>-0.8409090909</v>
      </c>
      <c r="G239" s="16">
        <f>IFERROR(__xludf.DUMMYFUNCTION("VLOOKUP(A239,IMPORTRANGE(""1QZ5UxyNCwadreQAXnQ7oCoH982DjIA-QnZdO7ZoqkC0/edit#gid=884617569"",""S1 Totals!$A$2:$O$255""),4,FALSE)"),41.5)</f>
        <v>41.5</v>
      </c>
      <c r="H239" s="15">
        <f>IFERROR(__xludf.DUMMYFUNCTION("VLOOKUP(A239,IMPORTRANGE(""1QZ5UxyNCwadreQAXnQ7oCoH982DjIA-QnZdO7ZoqkC0/edit#gid=884617569"",""S1 Totals!$A$2:$O$255""),5,FALSE)"),0.8829787234042553)</f>
        <v>0.8829787234</v>
      </c>
      <c r="I239" s="108">
        <f t="shared" si="2"/>
        <v>-0.8299484204</v>
      </c>
      <c r="J239" s="16">
        <f>IFERROR(__xludf.DUMMYFUNCTION("VLOOKUP(A239,IMPORTRANGE(""1QZ5UxyNCwadreQAXnQ7oCoH982DjIA-QnZdO7ZoqkC0/edit#gid=884617569"",""S1 Totals!$A$2:$O$255""),7,FALSE)"),42.0)</f>
        <v>42</v>
      </c>
      <c r="K239" s="15">
        <f>IFERROR(__xludf.DUMMYFUNCTION("VLOOKUP(A239,IMPORTRANGE(""1QZ5UxyNCwadreQAXnQ7oCoH982DjIA-QnZdO7ZoqkC0/edit#gid=884617569"",""S1 Totals!$A$2:$O$255""),8,FALSE)"),0.8571428571428571)</f>
        <v>0.8571428571</v>
      </c>
      <c r="L239" s="109">
        <f t="shared" si="3"/>
        <v>0.0367965368</v>
      </c>
      <c r="M239" s="16">
        <f>IFERROR(__xludf.DUMMYFUNCTION("VLOOKUP(A239,IMPORTRANGE(""1QZ5UxyNCwadreQAXnQ7oCoH982DjIA-QnZdO7ZoqkC0/edit#gid=884617569"",""S1 Totals!$A$2:$O$255""),10,FALSE)"),43.5)</f>
        <v>43.5</v>
      </c>
      <c r="N239" s="15">
        <f>IFERROR(__xludf.DUMMYFUNCTION("VLOOKUP(A239,IMPORTRANGE(""1QZ5UxyNCwadreQAXnQ7oCoH982DjIA-QnZdO7ZoqkC0/edit#gid=884617569"",""S1 Totals!$A$2:$O$256""),11,FALSE)"),0.90625)</f>
        <v>0.90625</v>
      </c>
      <c r="O239" s="110">
        <f t="shared" si="53"/>
        <v>-0.853219697</v>
      </c>
      <c r="P239" s="16" t="str">
        <f>IFERROR(__xludf.DUMMYFUNCTION("VLOOKUP(A239,IMPORTRANGE(""1QZ5UxyNCwadreQAXnQ7oCoH982DjIA-QnZdO7ZoqkC0/edit#gid=884617569"",""S1 Totals!$A$2:$O$256""),13,FALSE)"),"")</f>
        <v/>
      </c>
      <c r="Q239" s="15" t="str">
        <f>IFERROR(__xludf.DUMMYFUNCTION("VLOOKUP(A239,IMPORTRANGE(""1QZ5UxyNCwadreQAXnQ7oCoH982DjIA-QnZdO7ZoqkC0/edit#gid=884617569"",""S1 Totals!$A$2:$O$256""),14,FALSE)"),"")</f>
        <v/>
      </c>
      <c r="R239" s="16"/>
    </row>
    <row r="240">
      <c r="A240" s="107" t="s">
        <v>155</v>
      </c>
      <c r="B240" s="16">
        <f>IFERROR(__xludf.DUMMYFUNCTION("VLOOKUP(A240,IMPORTRANGE(""1aFCnJY1qhIj8-JckJhDJ18aqmVo17tofpQmOjcYa3u8/edit#gid=590920912"",""S1 Totals!$A$2:$O$255""),2,FALSE)"),30.5)</f>
        <v>30.5</v>
      </c>
      <c r="C240" s="15">
        <f>IFERROR(__xludf.DUMMYFUNCTION("VLOOKUP(A240,IMPORTRANGE(""1aFCnJY1qhIj8-JckJhDJ18aqmVo17tofpQmOjcYa3u8/edit#gid=590920912"",""S1 Totals!$A$2:$O$255""),3,FALSE)"),0.9242424242424242)</f>
        <v>0.9242424242</v>
      </c>
      <c r="D240" s="16">
        <f>IFERROR(__xludf.DUMMYFUNCTION("VLOOKUP(A240,IMPORTRANGE(""1QZ5UxyNCwadreQAXnQ7oCoH982DjIA-QnZdO7ZoqkC0/edit#gid=884617569"",""S1 Totals!$A$2:$O$255""),2,FALSE)"),30.25)</f>
        <v>30.25</v>
      </c>
      <c r="E240" s="15">
        <f>IFERROR(__xludf.DUMMYFUNCTION("VLOOKUP(A240,IMPORTRANGE(""1QZ5UxyNCwadreQAXnQ7oCoH982DjIA-QnZdO7ZoqkC0/edit#gid=884617569"",""S1 Totals!$A$2:$O$255""),3,FALSE)"),0.9166666666666666)</f>
        <v>0.9166666667</v>
      </c>
      <c r="F240" s="108">
        <f t="shared" si="1"/>
        <v>0.007575757576</v>
      </c>
      <c r="G240" s="16">
        <f>IFERROR(__xludf.DUMMYFUNCTION("VLOOKUP(A240,IMPORTRANGE(""1QZ5UxyNCwadreQAXnQ7oCoH982DjIA-QnZdO7ZoqkC0/edit#gid=884617569"",""S1 Totals!$A$2:$O$255""),4,FALSE)"),41.5)</f>
        <v>41.5</v>
      </c>
      <c r="H240" s="15">
        <f>IFERROR(__xludf.DUMMYFUNCTION("VLOOKUP(A240,IMPORTRANGE(""1QZ5UxyNCwadreQAXnQ7oCoH982DjIA-QnZdO7ZoqkC0/edit#gid=884617569"",""S1 Totals!$A$2:$O$255""),5,FALSE)"),0.8829787234042553)</f>
        <v>0.8829787234</v>
      </c>
      <c r="I240" s="108">
        <f t="shared" si="2"/>
        <v>0.04126370084</v>
      </c>
      <c r="J240" s="16">
        <f>IFERROR(__xludf.DUMMYFUNCTION("VLOOKUP(A240,IMPORTRANGE(""1QZ5UxyNCwadreQAXnQ7oCoH982DjIA-QnZdO7ZoqkC0/edit#gid=884617569"",""S1 Totals!$A$2:$O$255""),7,FALSE)"),39.5)</f>
        <v>39.5</v>
      </c>
      <c r="K240" s="15">
        <f>IFERROR(__xludf.DUMMYFUNCTION("VLOOKUP(A240,IMPORTRANGE(""1QZ5UxyNCwadreQAXnQ7oCoH982DjIA-QnZdO7ZoqkC0/edit#gid=884617569"",""S1 Totals!$A$2:$O$255""),8,FALSE)"),0.8061224489795918)</f>
        <v>0.806122449</v>
      </c>
      <c r="L240" s="109">
        <f t="shared" si="3"/>
        <v>0.1105442177</v>
      </c>
      <c r="M240" s="16">
        <f>IFERROR(__xludf.DUMMYFUNCTION("VLOOKUP(A240,IMPORTRANGE(""1QZ5UxyNCwadreQAXnQ7oCoH982DjIA-QnZdO7ZoqkC0/edit#gid=884617569"",""S1 Totals!$A$2:$O$255""),10,FALSE)"),40.5)</f>
        <v>40.5</v>
      </c>
      <c r="N240" s="15">
        <f>IFERROR(__xludf.DUMMYFUNCTION("VLOOKUP(A240,IMPORTRANGE(""1QZ5UxyNCwadreQAXnQ7oCoH982DjIA-QnZdO7ZoqkC0/edit#gid=884617569"",""S1 Totals!$A$2:$O$256""),11,FALSE)"),0.84375)</f>
        <v>0.84375</v>
      </c>
      <c r="O240" s="110">
        <f t="shared" si="53"/>
        <v>0.08049242424</v>
      </c>
      <c r="P240" s="16" t="str">
        <f>IFERROR(__xludf.DUMMYFUNCTION("VLOOKUP(A240,IMPORTRANGE(""1QZ5UxyNCwadreQAXnQ7oCoH982DjIA-QnZdO7ZoqkC0/edit#gid=884617569"",""S1 Totals!$A$2:$O$256""),13,FALSE)"),"")</f>
        <v/>
      </c>
      <c r="Q240" s="15" t="str">
        <f>IFERROR(__xludf.DUMMYFUNCTION("VLOOKUP(A240,IMPORTRANGE(""1QZ5UxyNCwadreQAXnQ7oCoH982DjIA-QnZdO7ZoqkC0/edit#gid=884617569"",""S1 Totals!$A$2:$O$256""),14,FALSE)"),"")</f>
        <v/>
      </c>
      <c r="R240" s="16"/>
    </row>
    <row r="241">
      <c r="A241" s="107" t="s">
        <v>156</v>
      </c>
      <c r="B241" s="16">
        <f>IFERROR(__xludf.DUMMYFUNCTION("VLOOKUP(A241,IMPORTRANGE(""1aFCnJY1qhIj8-JckJhDJ18aqmVo17tofpQmOjcYa3u8/edit#gid=590920912"",""S1 Totals!$A$2:$O$255""),2,FALSE)"),22.75)</f>
        <v>22.75</v>
      </c>
      <c r="C241" s="15">
        <f>IFERROR(__xludf.DUMMYFUNCTION("VLOOKUP(A241,IMPORTRANGE(""1aFCnJY1qhIj8-JckJhDJ18aqmVo17tofpQmOjcYa3u8/edit#gid=590920912"",""S1 Totals!$A$2:$O$255""),3,FALSE)"),0.6893939393939394)</f>
        <v>0.6893939394</v>
      </c>
      <c r="D241" s="16">
        <f>IFERROR(__xludf.DUMMYFUNCTION("VLOOKUP(A241,IMPORTRANGE(""1QZ5UxyNCwadreQAXnQ7oCoH982DjIA-QnZdO7ZoqkC0/edit#gid=884617569"",""S1 Totals!$A$2:$O$255""),2,FALSE)"),21.0)</f>
        <v>21</v>
      </c>
      <c r="E241" s="15">
        <f>IFERROR(__xludf.DUMMYFUNCTION("VLOOKUP(A241,IMPORTRANGE(""1QZ5UxyNCwadreQAXnQ7oCoH982DjIA-QnZdO7ZoqkC0/edit#gid=884617569"",""S1 Totals!$A$2:$O$255""),3,FALSE)"),0.6363636363636364)</f>
        <v>0.6363636364</v>
      </c>
      <c r="F241" s="108">
        <f t="shared" si="1"/>
        <v>0.05303030303</v>
      </c>
      <c r="G241" s="16">
        <f>IFERROR(__xludf.DUMMYFUNCTION("VLOOKUP(A241,IMPORTRANGE(""1QZ5UxyNCwadreQAXnQ7oCoH982DjIA-QnZdO7ZoqkC0/edit#gid=884617569"",""S1 Totals!$A$2:$O$255""),4,FALSE)"),32.0)</f>
        <v>32</v>
      </c>
      <c r="H241" s="15">
        <f>IFERROR(__xludf.DUMMYFUNCTION("VLOOKUP(A241,IMPORTRANGE(""1QZ5UxyNCwadreQAXnQ7oCoH982DjIA-QnZdO7ZoqkC0/edit#gid=884617569"",""S1 Totals!$A$2:$O$255""),5,FALSE)"),0.6808510638297872)</f>
        <v>0.6808510638</v>
      </c>
      <c r="I241" s="108">
        <f t="shared" si="2"/>
        <v>0.008542875564</v>
      </c>
      <c r="J241" s="16">
        <f>IFERROR(__xludf.DUMMYFUNCTION("VLOOKUP(A241,IMPORTRANGE(""1QZ5UxyNCwadreQAXnQ7oCoH982DjIA-QnZdO7ZoqkC0/edit#gid=884617569"",""S1 Totals!$A$2:$O$255""),7,FALSE)"),32.5)</f>
        <v>32.5</v>
      </c>
      <c r="K241" s="15">
        <f>IFERROR(__xludf.DUMMYFUNCTION("VLOOKUP(A241,IMPORTRANGE(""1QZ5UxyNCwadreQAXnQ7oCoH982DjIA-QnZdO7ZoqkC0/edit#gid=884617569"",""S1 Totals!$A$2:$O$255""),8,FALSE)"),0.6632653061224489)</f>
        <v>0.6632653061</v>
      </c>
      <c r="L241" s="109">
        <f t="shared" si="3"/>
        <v>-0.02690166976</v>
      </c>
      <c r="M241" s="16">
        <f>IFERROR(__xludf.DUMMYFUNCTION("VLOOKUP(A241,IMPORTRANGE(""1QZ5UxyNCwadreQAXnQ7oCoH982DjIA-QnZdO7ZoqkC0/edit#gid=884617569"",""S1 Totals!$A$2:$O$255""),10,FALSE)"),26.0)</f>
        <v>26</v>
      </c>
      <c r="N241" s="15">
        <f>IFERROR(__xludf.DUMMYFUNCTION("VLOOKUP(A241,IMPORTRANGE(""1QZ5UxyNCwadreQAXnQ7oCoH982DjIA-QnZdO7ZoqkC0/edit#gid=884617569"",""S1 Totals!$A$2:$O$256""),11,FALSE)"),0.5416666666666666)</f>
        <v>0.5416666667</v>
      </c>
      <c r="O241" s="110">
        <f t="shared" si="53"/>
        <v>0.1477272727</v>
      </c>
      <c r="P241" s="16" t="str">
        <f>IFERROR(__xludf.DUMMYFUNCTION("VLOOKUP(A241,IMPORTRANGE(""1QZ5UxyNCwadreQAXnQ7oCoH982DjIA-QnZdO7ZoqkC0/edit#gid=884617569"",""S1 Totals!$A$2:$O$256""),13,FALSE)"),"")</f>
        <v/>
      </c>
      <c r="Q241" s="15" t="str">
        <f>IFERROR(__xludf.DUMMYFUNCTION("VLOOKUP(A241,IMPORTRANGE(""1QZ5UxyNCwadreQAXnQ7oCoH982DjIA-QnZdO7ZoqkC0/edit#gid=884617569"",""S1 Totals!$A$2:$O$256""),14,FALSE)"),"")</f>
        <v/>
      </c>
      <c r="R241" s="16"/>
    </row>
    <row r="242">
      <c r="A242" s="107" t="s">
        <v>157</v>
      </c>
      <c r="B242" s="16">
        <f>IFERROR(__xludf.DUMMYFUNCTION("VLOOKUP(A242,IMPORTRANGE(""1aFCnJY1qhIj8-JckJhDJ18aqmVo17tofpQmOjcYa3u8/edit#gid=590920912"",""S1 Totals!$A$2:$O$255""),2,FALSE)"),17.0)</f>
        <v>17</v>
      </c>
      <c r="C242" s="15">
        <f>IFERROR(__xludf.DUMMYFUNCTION("VLOOKUP(A242,IMPORTRANGE(""1aFCnJY1qhIj8-JckJhDJ18aqmVo17tofpQmOjcYa3u8/edit#gid=590920912"",""S1 Totals!$A$2:$O$255""),3,FALSE)"),0.5151515151515151)</f>
        <v>0.5151515152</v>
      </c>
      <c r="D242" s="16">
        <f>IFERROR(__xludf.DUMMYFUNCTION("VLOOKUP(A242,IMPORTRANGE(""1QZ5UxyNCwadreQAXnQ7oCoH982DjIA-QnZdO7ZoqkC0/edit#gid=884617569"",""S1 Totals!$A$2:$O$255""),2,FALSE)"),19.0)</f>
        <v>19</v>
      </c>
      <c r="E242" s="15">
        <f>IFERROR(__xludf.DUMMYFUNCTION("VLOOKUP(A242,IMPORTRANGE(""1QZ5UxyNCwadreQAXnQ7oCoH982DjIA-QnZdO7ZoqkC0/edit#gid=884617569"",""S1 Totals!$A$2:$O$255""),3,FALSE)"),0.5757575757575758)</f>
        <v>0.5757575758</v>
      </c>
      <c r="F242" s="108">
        <f t="shared" si="1"/>
        <v>-0.06060606061</v>
      </c>
      <c r="G242" s="16">
        <f>IFERROR(__xludf.DUMMYFUNCTION("VLOOKUP(A242,IMPORTRANGE(""1QZ5UxyNCwadreQAXnQ7oCoH982DjIA-QnZdO7ZoqkC0/edit#gid=884617569"",""S1 Totals!$A$2:$O$255""),4,FALSE)"),9.5)</f>
        <v>9.5</v>
      </c>
      <c r="H242" s="15">
        <f>IFERROR(__xludf.DUMMYFUNCTION("VLOOKUP(A242,IMPORTRANGE(""1QZ5UxyNCwadreQAXnQ7oCoH982DjIA-QnZdO7ZoqkC0/edit#gid=884617569"",""S1 Totals!$A$2:$O$255""),5,FALSE)"),0.20212765957446807)</f>
        <v>0.2021276596</v>
      </c>
      <c r="I242" s="108">
        <f t="shared" si="2"/>
        <v>0.3130238556</v>
      </c>
      <c r="J242" s="16">
        <f>IFERROR(__xludf.DUMMYFUNCTION("VLOOKUP(A242,IMPORTRANGE(""1QZ5UxyNCwadreQAXnQ7oCoH982DjIA-QnZdO7ZoqkC0/edit#gid=884617569"",""S1 Totals!$A$2:$O$255""),7,FALSE)"),16.5)</f>
        <v>16.5</v>
      </c>
      <c r="K242" s="15">
        <f>IFERROR(__xludf.DUMMYFUNCTION("VLOOKUP(A242,IMPORTRANGE(""1QZ5UxyNCwadreQAXnQ7oCoH982DjIA-QnZdO7ZoqkC0/edit#gid=884617569"",""S1 Totals!$A$2:$O$255""),8,FALSE)"),0.336734693877551)</f>
        <v>0.3367346939</v>
      </c>
      <c r="L242" s="109">
        <f t="shared" si="3"/>
        <v>0.2390228819</v>
      </c>
      <c r="M242" s="16">
        <f>IFERROR(__xludf.DUMMYFUNCTION("VLOOKUP(A242,IMPORTRANGE(""1QZ5UxyNCwadreQAXnQ7oCoH982DjIA-QnZdO7ZoqkC0/edit#gid=884617569"",""S1 Totals!$A$2:$O$255""),10,FALSE)"),6.5)</f>
        <v>6.5</v>
      </c>
      <c r="N242" s="15">
        <f>IFERROR(__xludf.DUMMYFUNCTION("VLOOKUP(A242,IMPORTRANGE(""1QZ5UxyNCwadreQAXnQ7oCoH982DjIA-QnZdO7ZoqkC0/edit#gid=884617569"",""S1 Totals!$A$2:$O$256""),11,FALSE)"),0.13541666666666666)</f>
        <v>0.1354166667</v>
      </c>
      <c r="O242" s="110">
        <f t="shared" si="53"/>
        <v>0.3797348485</v>
      </c>
      <c r="P242" s="16" t="str">
        <f>IFERROR(__xludf.DUMMYFUNCTION("VLOOKUP(A242,IMPORTRANGE(""1QZ5UxyNCwadreQAXnQ7oCoH982DjIA-QnZdO7ZoqkC0/edit#gid=884617569"",""S1 Totals!$A$2:$O$256""),13,FALSE)"),"")</f>
        <v/>
      </c>
      <c r="Q242" s="15" t="str">
        <f>IFERROR(__xludf.DUMMYFUNCTION("VLOOKUP(A242,IMPORTRANGE(""1QZ5UxyNCwadreQAXnQ7oCoH982DjIA-QnZdO7ZoqkC0/edit#gid=884617569"",""S1 Totals!$A$2:$O$256""),14,FALSE)"),"")</f>
        <v/>
      </c>
      <c r="R242" s="16"/>
    </row>
    <row r="243">
      <c r="A243" s="107" t="s">
        <v>206</v>
      </c>
      <c r="B243" s="16">
        <f>IFERROR(__xludf.DUMMYFUNCTION("VLOOKUP(A243,IMPORTRANGE(""1aFCnJY1qhIj8-JckJhDJ18aqmVo17tofpQmOjcYa3u8/edit#gid=590920912"",""S1 Totals!$A$2:$O$255""),2,FALSE)"),17.75)</f>
        <v>17.75</v>
      </c>
      <c r="C243" s="15">
        <f>IFERROR(__xludf.DUMMYFUNCTION("VLOOKUP(A243,IMPORTRANGE(""1aFCnJY1qhIj8-JckJhDJ18aqmVo17tofpQmOjcYa3u8/edit#gid=590920912"",""S1 Totals!$A$2:$O$255""),3,FALSE)"),0.5378787878787878)</f>
        <v>0.5378787879</v>
      </c>
      <c r="D243" s="16">
        <f>IFERROR(__xludf.DUMMYFUNCTION("VLOOKUP(A243,IMPORTRANGE(""1QZ5UxyNCwadreQAXnQ7oCoH982DjIA-QnZdO7ZoqkC0/edit#gid=884617569"",""S1 Totals!$A$2:$O$255""),2,FALSE)"),23.0)</f>
        <v>23</v>
      </c>
      <c r="E243" s="15">
        <f>IFERROR(__xludf.DUMMYFUNCTION("VLOOKUP(A243,IMPORTRANGE(""1QZ5UxyNCwadreQAXnQ7oCoH982DjIA-QnZdO7ZoqkC0/edit#gid=884617569"",""S1 Totals!$A$2:$O$255""),3,FALSE)"),0.696969696969697)</f>
        <v>0.696969697</v>
      </c>
      <c r="F243" s="108">
        <f t="shared" si="1"/>
        <v>-0.1590909091</v>
      </c>
      <c r="G243" s="16">
        <f>IFERROR(__xludf.DUMMYFUNCTION("VLOOKUP(A243,IMPORTRANGE(""1QZ5UxyNCwadreQAXnQ7oCoH982DjIA-QnZdO7ZoqkC0/edit#gid=884617569"",""S1 Totals!$A$2:$O$255""),4,FALSE)"),26.5)</f>
        <v>26.5</v>
      </c>
      <c r="H243" s="15">
        <f>IFERROR(__xludf.DUMMYFUNCTION("VLOOKUP(A243,IMPORTRANGE(""1QZ5UxyNCwadreQAXnQ7oCoH982DjIA-QnZdO7ZoqkC0/edit#gid=884617569"",""S1 Totals!$A$2:$O$255""),5,FALSE)"),0.5638297872340425)</f>
        <v>0.5638297872</v>
      </c>
      <c r="I243" s="108">
        <f t="shared" si="2"/>
        <v>-0.02595099936</v>
      </c>
      <c r="J243" s="16">
        <f>IFERROR(__xludf.DUMMYFUNCTION("VLOOKUP(A243,IMPORTRANGE(""1QZ5UxyNCwadreQAXnQ7oCoH982DjIA-QnZdO7ZoqkC0/edit#gid=884617569"",""S1 Totals!$A$2:$O$255""),7,FALSE)"),14.0)</f>
        <v>14</v>
      </c>
      <c r="K243" s="15">
        <f>IFERROR(__xludf.DUMMYFUNCTION("VLOOKUP(A243,IMPORTRANGE(""1QZ5UxyNCwadreQAXnQ7oCoH982DjIA-QnZdO7ZoqkC0/edit#gid=884617569"",""S1 Totals!$A$2:$O$255""),8,FALSE)"),0.2857142857142857)</f>
        <v>0.2857142857</v>
      </c>
      <c r="L243" s="109">
        <f t="shared" si="3"/>
        <v>0.4112554113</v>
      </c>
      <c r="M243" s="16"/>
      <c r="N243" s="15"/>
      <c r="O243" s="110"/>
      <c r="P243" s="16"/>
      <c r="Q243" s="15"/>
      <c r="R243" s="16"/>
    </row>
    <row r="244">
      <c r="A244" s="107" t="s">
        <v>105</v>
      </c>
      <c r="B244" s="16">
        <f>IFERROR(__xludf.DUMMYFUNCTION("VLOOKUP(A244,IMPORTRANGE(""1aFCnJY1qhIj8-JckJhDJ18aqmVo17tofpQmOjcYa3u8/edit#gid=590920912"",""S1 Totals!$A$2:$O$255""),2,FALSE)"),19.75)</f>
        <v>19.75</v>
      </c>
      <c r="C244" s="15">
        <f>IFERROR(__xludf.DUMMYFUNCTION("VLOOKUP(A244,IMPORTRANGE(""1aFCnJY1qhIj8-JckJhDJ18aqmVo17tofpQmOjcYa3u8/edit#gid=590920912"",""S1 Totals!$A$2:$O$255""),3,FALSE)"),0.5984848484848485)</f>
        <v>0.5984848485</v>
      </c>
      <c r="D244" s="16">
        <f>IFERROR(__xludf.DUMMYFUNCTION("VLOOKUP(A244,IMPORTRANGE(""1QZ5UxyNCwadreQAXnQ7oCoH982DjIA-QnZdO7ZoqkC0/edit#gid=884617569"",""S1 Totals!$A$2:$O$255""),2,FALSE)"),19.0)</f>
        <v>19</v>
      </c>
      <c r="E244" s="15">
        <f>IFERROR(__xludf.DUMMYFUNCTION("VLOOKUP(A244,IMPORTRANGE(""1QZ5UxyNCwadreQAXnQ7oCoH982DjIA-QnZdO7ZoqkC0/edit#gid=884617569"",""S1 Totals!$A$2:$O$255""),3,FALSE)"),0.5757575757575758)</f>
        <v>0.5757575758</v>
      </c>
      <c r="F244" s="108">
        <f t="shared" si="1"/>
        <v>0.02272727273</v>
      </c>
      <c r="G244" s="16">
        <f>IFERROR(__xludf.DUMMYFUNCTION("VLOOKUP(A244,IMPORTRANGE(""1QZ5UxyNCwadreQAXnQ7oCoH982DjIA-QnZdO7ZoqkC0/edit#gid=884617569"",""S1 Totals!$A$2:$O$255""),4,FALSE)"),24.0)</f>
        <v>24</v>
      </c>
      <c r="H244" s="15">
        <f>IFERROR(__xludf.DUMMYFUNCTION("VLOOKUP(A244,IMPORTRANGE(""1QZ5UxyNCwadreQAXnQ7oCoH982DjIA-QnZdO7ZoqkC0/edit#gid=884617569"",""S1 Totals!$A$2:$O$255""),5,FALSE)"),0.5106382978723404)</f>
        <v>0.5106382979</v>
      </c>
      <c r="I244" s="108">
        <f t="shared" si="2"/>
        <v>0.08784655061</v>
      </c>
      <c r="J244" s="16">
        <f>IFERROR(__xludf.DUMMYFUNCTION("VLOOKUP(A244,IMPORTRANGE(""1QZ5UxyNCwadreQAXnQ7oCoH982DjIA-QnZdO7ZoqkC0/edit#gid=884617569"",""S1 Totals!$A$2:$O$255""),7,FALSE)"),26.0)</f>
        <v>26</v>
      </c>
      <c r="K244" s="15">
        <f>IFERROR(__xludf.DUMMYFUNCTION("VLOOKUP(A244,IMPORTRANGE(""1QZ5UxyNCwadreQAXnQ7oCoH982DjIA-QnZdO7ZoqkC0/edit#gid=884617569"",""S1 Totals!$A$2:$O$255""),8,FALSE)"),0.5306122448979592)</f>
        <v>0.5306122449</v>
      </c>
      <c r="L244" s="109">
        <f t="shared" si="3"/>
        <v>0.04514533086</v>
      </c>
      <c r="M244" s="16">
        <f>IFERROR(__xludf.DUMMYFUNCTION("VLOOKUP(A244,IMPORTRANGE(""1QZ5UxyNCwadreQAXnQ7oCoH982DjIA-QnZdO7ZoqkC0/edit#gid=884617569"",""S1 Totals!$A$2:$O$255""),10,FALSE)"),25.0)</f>
        <v>25</v>
      </c>
      <c r="N244" s="15">
        <f>IFERROR(__xludf.DUMMYFUNCTION("VLOOKUP(A244,IMPORTRANGE(""1QZ5UxyNCwadreQAXnQ7oCoH982DjIA-QnZdO7ZoqkC0/edit#gid=884617569"",""S1 Totals!$A$2:$O$256""),11,FALSE)"),0.5208333333333334)</f>
        <v>0.5208333333</v>
      </c>
      <c r="O244" s="110">
        <f t="shared" ref="O244:O245" si="55">C244-N244</f>
        <v>0.07765151515</v>
      </c>
      <c r="P244" s="16">
        <f>IFERROR(__xludf.DUMMYFUNCTION("VLOOKUP(A244,IMPORTRANGE(""1QZ5UxyNCwadreQAXnQ7oCoH982DjIA-QnZdO7ZoqkC0/edit#gid=884617569"",""S1 Totals!$A$2:$O$256""),13,FALSE)"),21.5)</f>
        <v>21.5</v>
      </c>
      <c r="Q244" s="15">
        <f>IFERROR(__xludf.DUMMYFUNCTION("VLOOKUP(A244,IMPORTRANGE(""1QZ5UxyNCwadreQAXnQ7oCoH982DjIA-QnZdO7ZoqkC0/edit#gid=884617569"",""S1 Totals!$A$2:$O$256""),14,FALSE)"),0.43)</f>
        <v>0.43</v>
      </c>
      <c r="R244" s="15">
        <f t="shared" ref="R244:R245" si="56">C244-Q244</f>
        <v>0.1684848485</v>
      </c>
    </row>
    <row r="245">
      <c r="A245" s="107" t="s">
        <v>56</v>
      </c>
      <c r="B245" s="16">
        <f>IFERROR(__xludf.DUMMYFUNCTION("VLOOKUP(A245,IMPORTRANGE(""1aFCnJY1qhIj8-JckJhDJ18aqmVo17tofpQmOjcYa3u8/edit#gid=590920912"",""S1 Totals!$A$2:$O$255""),2,FALSE)"),23.5)</f>
        <v>23.5</v>
      </c>
      <c r="C245" s="15">
        <f>IFERROR(__xludf.DUMMYFUNCTION("VLOOKUP(A245,IMPORTRANGE(""1aFCnJY1qhIj8-JckJhDJ18aqmVo17tofpQmOjcYa3u8/edit#gid=590920912"",""S1 Totals!$A$2:$O$255""),3,FALSE)"),0.7121212121212122)</f>
        <v>0.7121212121</v>
      </c>
      <c r="D245" s="16">
        <f>IFERROR(__xludf.DUMMYFUNCTION("VLOOKUP(A245,IMPORTRANGE(""1QZ5UxyNCwadreQAXnQ7oCoH982DjIA-QnZdO7ZoqkC0/edit#gid=884617569"",""S1 Totals!$A$2:$O$255""),2,FALSE)"),25.25)</f>
        <v>25.25</v>
      </c>
      <c r="E245" s="15">
        <f>IFERROR(__xludf.DUMMYFUNCTION("VLOOKUP(A245,IMPORTRANGE(""1QZ5UxyNCwadreQAXnQ7oCoH982DjIA-QnZdO7ZoqkC0/edit#gid=884617569"",""S1 Totals!$A$2:$O$255""),3,FALSE)"),0.7651515151515151)</f>
        <v>0.7651515152</v>
      </c>
      <c r="F245" s="108">
        <f t="shared" si="1"/>
        <v>-0.05303030303</v>
      </c>
      <c r="G245" s="16">
        <f>IFERROR(__xludf.DUMMYFUNCTION("VLOOKUP(A245,IMPORTRANGE(""1QZ5UxyNCwadreQAXnQ7oCoH982DjIA-QnZdO7ZoqkC0/edit#gid=884617569"",""S1 Totals!$A$2:$O$255""),4,FALSE)"),37.0)</f>
        <v>37</v>
      </c>
      <c r="H245" s="15">
        <f>IFERROR(__xludf.DUMMYFUNCTION("VLOOKUP(A245,IMPORTRANGE(""1QZ5UxyNCwadreQAXnQ7oCoH982DjIA-QnZdO7ZoqkC0/edit#gid=884617569"",""S1 Totals!$A$2:$O$255""),5,FALSE)"),0.7872340425531915)</f>
        <v>0.7872340426</v>
      </c>
      <c r="I245" s="108">
        <f t="shared" si="2"/>
        <v>-0.07511283043</v>
      </c>
      <c r="J245" s="16">
        <f>IFERROR(__xludf.DUMMYFUNCTION("VLOOKUP(A245,IMPORTRANGE(""1QZ5UxyNCwadreQAXnQ7oCoH982DjIA-QnZdO7ZoqkC0/edit#gid=884617569"",""S1 Totals!$A$2:$O$255""),7,FALSE)"),36.5)</f>
        <v>36.5</v>
      </c>
      <c r="K245" s="15">
        <f>IFERROR(__xludf.DUMMYFUNCTION("VLOOKUP(A245,IMPORTRANGE(""1QZ5UxyNCwadreQAXnQ7oCoH982DjIA-QnZdO7ZoqkC0/edit#gid=884617569"",""S1 Totals!$A$2:$O$255""),8,FALSE)"),0.7448979591836735)</f>
        <v>0.7448979592</v>
      </c>
      <c r="L245" s="109">
        <f t="shared" si="3"/>
        <v>0.02025355597</v>
      </c>
      <c r="M245" s="16">
        <f>IFERROR(__xludf.DUMMYFUNCTION("VLOOKUP(A245,IMPORTRANGE(""1QZ5UxyNCwadreQAXnQ7oCoH982DjIA-QnZdO7ZoqkC0/edit#gid=884617569"",""S1 Totals!$A$2:$O$255""),10,FALSE)"),32.5)</f>
        <v>32.5</v>
      </c>
      <c r="N245" s="15">
        <f>IFERROR(__xludf.DUMMYFUNCTION("VLOOKUP(A245,IMPORTRANGE(""1QZ5UxyNCwadreQAXnQ7oCoH982DjIA-QnZdO7ZoqkC0/edit#gid=884617569"",""S1 Totals!$A$2:$O$256""),11,FALSE)"),0.6770833333333334)</f>
        <v>0.6770833333</v>
      </c>
      <c r="O245" s="110">
        <f t="shared" si="55"/>
        <v>0.03503787879</v>
      </c>
      <c r="P245" s="16">
        <f>IFERROR(__xludf.DUMMYFUNCTION("VLOOKUP(A245,IMPORTRANGE(""1QZ5UxyNCwadreQAXnQ7oCoH982DjIA-QnZdO7ZoqkC0/edit#gid=884617569"",""S1 Totals!$A$2:$O$256""),13,FALSE)"),34.0)</f>
        <v>34</v>
      </c>
      <c r="Q245" s="15">
        <f>IFERROR(__xludf.DUMMYFUNCTION("VLOOKUP(A245,IMPORTRANGE(""1QZ5UxyNCwadreQAXnQ7oCoH982DjIA-QnZdO7ZoqkC0/edit#gid=884617569"",""S1 Totals!$A$2:$O$256""),14,FALSE)"),0.68)</f>
        <v>0.68</v>
      </c>
      <c r="R245" s="15">
        <f t="shared" si="56"/>
        <v>0.03212121212</v>
      </c>
    </row>
    <row r="246">
      <c r="A246" s="107" t="s">
        <v>258</v>
      </c>
      <c r="B246" s="16">
        <f>IFERROR(__xludf.DUMMYFUNCTION("VLOOKUP(A246,IMPORTRANGE(""1aFCnJY1qhIj8-JckJhDJ18aqmVo17tofpQmOjcYa3u8/edit#gid=590920912"",""S1 Totals!$A$2:$O$255""),2,FALSE)"),25.0)</f>
        <v>25</v>
      </c>
      <c r="C246" s="15">
        <f>IFERROR(__xludf.DUMMYFUNCTION("VLOOKUP(A246,IMPORTRANGE(""1aFCnJY1qhIj8-JckJhDJ18aqmVo17tofpQmOjcYa3u8/edit#gid=590920912"",""S1 Totals!$A$2:$O$255""),3,FALSE)"),0.7575757575757576)</f>
        <v>0.7575757576</v>
      </c>
      <c r="D246" s="16">
        <f>IFERROR(__xludf.DUMMYFUNCTION("VLOOKUP(A246,IMPORTRANGE(""1QZ5UxyNCwadreQAXnQ7oCoH982DjIA-QnZdO7ZoqkC0/edit#gid=884617569"",""S1 Totals!$A$2:$O$255""),2,FALSE)"),23.0)</f>
        <v>23</v>
      </c>
      <c r="E246" s="15">
        <f>IFERROR(__xludf.DUMMYFUNCTION("VLOOKUP(A246,IMPORTRANGE(""1QZ5UxyNCwadreQAXnQ7oCoH982DjIA-QnZdO7ZoqkC0/edit#gid=884617569"",""S1 Totals!$A$2:$O$255""),3,FALSE)"),0.696969696969697)</f>
        <v>0.696969697</v>
      </c>
      <c r="F246" s="108">
        <f t="shared" si="1"/>
        <v>0.06060606061</v>
      </c>
      <c r="G246" s="16">
        <f>IFERROR(__xludf.DUMMYFUNCTION("VLOOKUP(A246,IMPORTRANGE(""1QZ5UxyNCwadreQAXnQ7oCoH982DjIA-QnZdO7ZoqkC0/edit#gid=884617569"",""S1 Totals!$A$2:$O$255""),4,FALSE)"),26.5)</f>
        <v>26.5</v>
      </c>
      <c r="H246" s="15">
        <f>IFERROR(__xludf.DUMMYFUNCTION("VLOOKUP(A246,IMPORTRANGE(""1QZ5UxyNCwadreQAXnQ7oCoH982DjIA-QnZdO7ZoqkC0/edit#gid=884617569"",""S1 Totals!$A$2:$O$255""),5,FALSE)"),0.5638297872340425)</f>
        <v>0.5638297872</v>
      </c>
      <c r="I246" s="108">
        <f t="shared" si="2"/>
        <v>0.1937459703</v>
      </c>
      <c r="J246" s="16" t="str">
        <f>IFERROR(__xludf.DUMMYFUNCTION("VLOOKUP(A246,IMPORTRANGE(""1QZ5UxyNCwadreQAXnQ7oCoH982DjIA-QnZdO7ZoqkC0/edit#gid=884617569"",""S1 Totals!$A$2:$O$255""),7,FALSE)"),"")</f>
        <v/>
      </c>
      <c r="K246" s="15" t="str">
        <f>IFERROR(__xludf.DUMMYFUNCTION("VLOOKUP(A246,IMPORTRANGE(""1QZ5UxyNCwadreQAXnQ7oCoH982DjIA-QnZdO7ZoqkC0/edit#gid=884617569"",""S1 Totals!$A$2:$O$255""),8,FALSE)"),"")</f>
        <v/>
      </c>
      <c r="L246" s="109">
        <f t="shared" si="3"/>
        <v>0.696969697</v>
      </c>
      <c r="M246" s="16"/>
      <c r="N246" s="15"/>
      <c r="O246" s="110"/>
      <c r="P246" s="16"/>
      <c r="Q246" s="15"/>
      <c r="R246" s="16"/>
    </row>
    <row r="247">
      <c r="A247" s="107" t="s">
        <v>107</v>
      </c>
      <c r="B247" s="16">
        <f>IFERROR(__xludf.DUMMYFUNCTION("VLOOKUP(A247,IMPORTRANGE(""1aFCnJY1qhIj8-JckJhDJ18aqmVo17tofpQmOjcYa3u8/edit#gid=590920912"",""S1 Totals!$A$2:$O$255""),2,FALSE)"),27.25)</f>
        <v>27.25</v>
      </c>
      <c r="C247" s="15">
        <f>IFERROR(__xludf.DUMMYFUNCTION("VLOOKUP(A247,IMPORTRANGE(""1aFCnJY1qhIj8-JckJhDJ18aqmVo17tofpQmOjcYa3u8/edit#gid=590920912"",""S1 Totals!$A$2:$O$255""),3,FALSE)"),0.8257575757575758)</f>
        <v>0.8257575758</v>
      </c>
      <c r="D247" s="16">
        <f>IFERROR(__xludf.DUMMYFUNCTION("VLOOKUP(A247,IMPORTRANGE(""1QZ5UxyNCwadreQAXnQ7oCoH982DjIA-QnZdO7ZoqkC0/edit#gid=884617569"",""S1 Totals!$A$2:$O$255""),2,FALSE)"),24.5)</f>
        <v>24.5</v>
      </c>
      <c r="E247" s="15">
        <f>IFERROR(__xludf.DUMMYFUNCTION("VLOOKUP(A247,IMPORTRANGE(""1QZ5UxyNCwadreQAXnQ7oCoH982DjIA-QnZdO7ZoqkC0/edit#gid=884617569"",""S1 Totals!$A$2:$O$255""),3,FALSE)"),0.7424242424242424)</f>
        <v>0.7424242424</v>
      </c>
      <c r="F247" s="108">
        <f t="shared" si="1"/>
        <v>0.08333333333</v>
      </c>
      <c r="G247" s="16">
        <f>IFERROR(__xludf.DUMMYFUNCTION("VLOOKUP(A247,IMPORTRANGE(""1QZ5UxyNCwadreQAXnQ7oCoH982DjIA-QnZdO7ZoqkC0/edit#gid=884617569"",""S1 Totals!$A$2:$O$255""),4,FALSE)"),41.5)</f>
        <v>41.5</v>
      </c>
      <c r="H247" s="15">
        <f>IFERROR(__xludf.DUMMYFUNCTION("VLOOKUP(A247,IMPORTRANGE(""1QZ5UxyNCwadreQAXnQ7oCoH982DjIA-QnZdO7ZoqkC0/edit#gid=884617569"",""S1 Totals!$A$2:$O$255""),5,FALSE)"),0.8829787234042553)</f>
        <v>0.8829787234</v>
      </c>
      <c r="I247" s="108">
        <f t="shared" si="2"/>
        <v>-0.05722114765</v>
      </c>
      <c r="J247" s="16">
        <f>IFERROR(__xludf.DUMMYFUNCTION("VLOOKUP(A247,IMPORTRANGE(""1QZ5UxyNCwadreQAXnQ7oCoH982DjIA-QnZdO7ZoqkC0/edit#gid=884617569"",""S1 Totals!$A$2:$O$255""),7,FALSE)"),39.5)</f>
        <v>39.5</v>
      </c>
      <c r="K247" s="15">
        <f>IFERROR(__xludf.DUMMYFUNCTION("VLOOKUP(A247,IMPORTRANGE(""1QZ5UxyNCwadreQAXnQ7oCoH982DjIA-QnZdO7ZoqkC0/edit#gid=884617569"",""S1 Totals!$A$2:$O$255""),8,FALSE)"),0.8061224489795918)</f>
        <v>0.806122449</v>
      </c>
      <c r="L247" s="109">
        <f t="shared" si="3"/>
        <v>-0.06369820656</v>
      </c>
      <c r="M247" s="16">
        <f>IFERROR(__xludf.DUMMYFUNCTION("VLOOKUP(A247,IMPORTRANGE(""1QZ5UxyNCwadreQAXnQ7oCoH982DjIA-QnZdO7ZoqkC0/edit#gid=884617569"",""S1 Totals!$A$2:$O$255""),10,FALSE)"),40.5)</f>
        <v>40.5</v>
      </c>
      <c r="N247" s="15">
        <f>IFERROR(__xludf.DUMMYFUNCTION("VLOOKUP(A247,IMPORTRANGE(""1QZ5UxyNCwadreQAXnQ7oCoH982DjIA-QnZdO7ZoqkC0/edit#gid=884617569"",""S1 Totals!$A$2:$O$256""),11,FALSE)"),0.84375)</f>
        <v>0.84375</v>
      </c>
      <c r="O247" s="110">
        <f t="shared" ref="O247:O250" si="57">C247-N247</f>
        <v>-0.01799242424</v>
      </c>
      <c r="P247" s="16">
        <f>IFERROR(__xludf.DUMMYFUNCTION("VLOOKUP(A247,IMPORTRANGE(""1QZ5UxyNCwadreQAXnQ7oCoH982DjIA-QnZdO7ZoqkC0/edit#gid=884617569"",""S1 Totals!$A$2:$O$256""),13,FALSE)"),27.5)</f>
        <v>27.5</v>
      </c>
      <c r="Q247" s="15">
        <f>IFERROR(__xludf.DUMMYFUNCTION("VLOOKUP(A247,IMPORTRANGE(""1QZ5UxyNCwadreQAXnQ7oCoH982DjIA-QnZdO7ZoqkC0/edit#gid=884617569"",""S1 Totals!$A$2:$O$256""),14,FALSE)"),0.55)</f>
        <v>0.55</v>
      </c>
      <c r="R247" s="15">
        <f>C247-Q247</f>
        <v>0.2757575758</v>
      </c>
    </row>
    <row r="248">
      <c r="A248" s="107" t="s">
        <v>158</v>
      </c>
      <c r="B248" s="16">
        <f>IFERROR(__xludf.DUMMYFUNCTION("VLOOKUP(A248,IMPORTRANGE(""1aFCnJY1qhIj8-JckJhDJ18aqmVo17tofpQmOjcYa3u8/edit#gid=590920912"",""S1 Totals!$A$2:$O$255""),2,FALSE)"),0.0)</f>
        <v>0</v>
      </c>
      <c r="C248" s="15">
        <f>IFERROR(__xludf.DUMMYFUNCTION("VLOOKUP(A248,IMPORTRANGE(""1aFCnJY1qhIj8-JckJhDJ18aqmVo17tofpQmOjcYa3u8/edit#gid=590920912"",""S1 Totals!$A$2:$O$255""),3,FALSE)"),0.0)</f>
        <v>0</v>
      </c>
      <c r="D248" s="16">
        <f>IFERROR(__xludf.DUMMYFUNCTION("VLOOKUP(A248,IMPORTRANGE(""1QZ5UxyNCwadreQAXnQ7oCoH982DjIA-QnZdO7ZoqkC0/edit#gid=884617569"",""S1 Totals!$A$2:$O$255""),2,FALSE)"),0.0)</f>
        <v>0</v>
      </c>
      <c r="E248" s="15">
        <f>IFERROR(__xludf.DUMMYFUNCTION("VLOOKUP(A248,IMPORTRANGE(""1QZ5UxyNCwadreQAXnQ7oCoH982DjIA-QnZdO7ZoqkC0/edit#gid=884617569"",""S1 Totals!$A$2:$O$255""),3,FALSE)"),0.0)</f>
        <v>0</v>
      </c>
      <c r="F248" s="108">
        <f t="shared" si="1"/>
        <v>0</v>
      </c>
      <c r="G248" s="16">
        <f>IFERROR(__xludf.DUMMYFUNCTION("VLOOKUP(A248,IMPORTRANGE(""1QZ5UxyNCwadreQAXnQ7oCoH982DjIA-QnZdO7ZoqkC0/edit#gid=884617569"",""S1 Totals!$A$2:$O$255""),4,FALSE)"),0.0)</f>
        <v>0</v>
      </c>
      <c r="H248" s="15">
        <f>IFERROR(__xludf.DUMMYFUNCTION("VLOOKUP(A248,IMPORTRANGE(""1QZ5UxyNCwadreQAXnQ7oCoH982DjIA-QnZdO7ZoqkC0/edit#gid=884617569"",""S1 Totals!$A$2:$O$255""),5,FALSE)"),0.0)</f>
        <v>0</v>
      </c>
      <c r="I248" s="108">
        <f t="shared" si="2"/>
        <v>0</v>
      </c>
      <c r="J248" s="16">
        <f>IFERROR(__xludf.DUMMYFUNCTION("VLOOKUP(A248,IMPORTRANGE(""1QZ5UxyNCwadreQAXnQ7oCoH982DjIA-QnZdO7ZoqkC0/edit#gid=884617569"",""S1 Totals!$A$2:$O$255""),7,FALSE)"),0.0)</f>
        <v>0</v>
      </c>
      <c r="K248" s="15">
        <f>IFERROR(__xludf.DUMMYFUNCTION("VLOOKUP(A248,IMPORTRANGE(""1QZ5UxyNCwadreQAXnQ7oCoH982DjIA-QnZdO7ZoqkC0/edit#gid=884617569"",""S1 Totals!$A$2:$O$255""),8,FALSE)"),0.0)</f>
        <v>0</v>
      </c>
      <c r="L248" s="109">
        <f t="shared" si="3"/>
        <v>0</v>
      </c>
      <c r="M248" s="16">
        <f>IFERROR(__xludf.DUMMYFUNCTION("VLOOKUP(A248,IMPORTRANGE(""1QZ5UxyNCwadreQAXnQ7oCoH982DjIA-QnZdO7ZoqkC0/edit#gid=884617569"",""S1 Totals!$A$2:$O$255""),10,FALSE)"),6.5)</f>
        <v>6.5</v>
      </c>
      <c r="N248" s="15">
        <f>IFERROR(__xludf.DUMMYFUNCTION("VLOOKUP(A248,IMPORTRANGE(""1QZ5UxyNCwadreQAXnQ7oCoH982DjIA-QnZdO7ZoqkC0/edit#gid=884617569"",""S1 Totals!$A$2:$O$256""),11,FALSE)"),0.13541666666666666)</f>
        <v>0.1354166667</v>
      </c>
      <c r="O248" s="110">
        <f t="shared" si="57"/>
        <v>-0.1354166667</v>
      </c>
      <c r="P248" s="16"/>
      <c r="Q248" s="15"/>
      <c r="R248" s="16"/>
    </row>
    <row r="249">
      <c r="A249" s="107" t="s">
        <v>108</v>
      </c>
      <c r="B249" s="16">
        <f>IFERROR(__xludf.DUMMYFUNCTION("VLOOKUP(A249,IMPORTRANGE(""1aFCnJY1qhIj8-JckJhDJ18aqmVo17tofpQmOjcYa3u8/edit#gid=590920912"",""S1 Totals!$A$2:$O$255""),2,FALSE)"),23.0)</f>
        <v>23</v>
      </c>
      <c r="C249" s="15">
        <f>IFERROR(__xludf.DUMMYFUNCTION("VLOOKUP(A249,IMPORTRANGE(""1aFCnJY1qhIj8-JckJhDJ18aqmVo17tofpQmOjcYa3u8/edit#gid=590920912"",""S1 Totals!$A$2:$O$255""),3,FALSE)"),0.696969696969697)</f>
        <v>0.696969697</v>
      </c>
      <c r="D249" s="16">
        <f>IFERROR(__xludf.DUMMYFUNCTION("VLOOKUP(A249,IMPORTRANGE(""1QZ5UxyNCwadreQAXnQ7oCoH982DjIA-QnZdO7ZoqkC0/edit#gid=884617569"",""S1 Totals!$A$2:$O$255""),2,FALSE)"),27.25)</f>
        <v>27.25</v>
      </c>
      <c r="E249" s="15">
        <f>IFERROR(__xludf.DUMMYFUNCTION("VLOOKUP(A249,IMPORTRANGE(""1QZ5UxyNCwadreQAXnQ7oCoH982DjIA-QnZdO7ZoqkC0/edit#gid=884617569"",""S1 Totals!$A$2:$O$255""),3,FALSE)"),0.8257575757575758)</f>
        <v>0.8257575758</v>
      </c>
      <c r="F249" s="108">
        <f t="shared" si="1"/>
        <v>-0.1287878788</v>
      </c>
      <c r="G249" s="16">
        <f>IFERROR(__xludf.DUMMYFUNCTION("VLOOKUP(A249,IMPORTRANGE(""1QZ5UxyNCwadreQAXnQ7oCoH982DjIA-QnZdO7ZoqkC0/edit#gid=884617569"",""S1 Totals!$A$2:$O$255""),4,FALSE)"),39.5)</f>
        <v>39.5</v>
      </c>
      <c r="H249" s="15">
        <f>IFERROR(__xludf.DUMMYFUNCTION("VLOOKUP(A249,IMPORTRANGE(""1QZ5UxyNCwadreQAXnQ7oCoH982DjIA-QnZdO7ZoqkC0/edit#gid=884617569"",""S1 Totals!$A$2:$O$255""),5,FALSE)"),0.8404255319148937)</f>
        <v>0.8404255319</v>
      </c>
      <c r="I249" s="108">
        <f t="shared" si="2"/>
        <v>-0.1434558349</v>
      </c>
      <c r="J249" s="16">
        <f>IFERROR(__xludf.DUMMYFUNCTION("VLOOKUP(A249,IMPORTRANGE(""1QZ5UxyNCwadreQAXnQ7oCoH982DjIA-QnZdO7ZoqkC0/edit#gid=884617569"",""S1 Totals!$A$2:$O$255""),7,FALSE)"),42.0)</f>
        <v>42</v>
      </c>
      <c r="K249" s="15">
        <f>IFERROR(__xludf.DUMMYFUNCTION("VLOOKUP(A249,IMPORTRANGE(""1QZ5UxyNCwadreQAXnQ7oCoH982DjIA-QnZdO7ZoqkC0/edit#gid=884617569"",""S1 Totals!$A$2:$O$255""),8,FALSE)"),0.8571428571428571)</f>
        <v>0.8571428571</v>
      </c>
      <c r="L249" s="109">
        <f t="shared" si="3"/>
        <v>-0.03138528139</v>
      </c>
      <c r="M249" s="16">
        <f>IFERROR(__xludf.DUMMYFUNCTION("VLOOKUP(A249,IMPORTRANGE(""1QZ5UxyNCwadreQAXnQ7oCoH982DjIA-QnZdO7ZoqkC0/edit#gid=884617569"",""S1 Totals!$A$2:$O$255""),10,FALSE)"),38.5)</f>
        <v>38.5</v>
      </c>
      <c r="N249" s="15">
        <f>IFERROR(__xludf.DUMMYFUNCTION("VLOOKUP(A249,IMPORTRANGE(""1QZ5UxyNCwadreQAXnQ7oCoH982DjIA-QnZdO7ZoqkC0/edit#gid=884617569"",""S1 Totals!$A$2:$O$256""),11,FALSE)"),0.8020833333333334)</f>
        <v>0.8020833333</v>
      </c>
      <c r="O249" s="110">
        <f t="shared" si="57"/>
        <v>-0.1051136364</v>
      </c>
      <c r="P249" s="16">
        <f>IFERROR(__xludf.DUMMYFUNCTION("VLOOKUP(A249,IMPORTRANGE(""1QZ5UxyNCwadreQAXnQ7oCoH982DjIA-QnZdO7ZoqkC0/edit#gid=884617569"",""S1 Totals!$A$2:$O$256""),13,FALSE)"),25.0)</f>
        <v>25</v>
      </c>
      <c r="Q249" s="15">
        <f>IFERROR(__xludf.DUMMYFUNCTION("VLOOKUP(A249,IMPORTRANGE(""1QZ5UxyNCwadreQAXnQ7oCoH982DjIA-QnZdO7ZoqkC0/edit#gid=884617569"",""S1 Totals!$A$2:$O$256""),14,FALSE)"),0.5)</f>
        <v>0.5</v>
      </c>
      <c r="R249" s="15">
        <f t="shared" ref="R249:R250" si="58">C249-Q249</f>
        <v>0.196969697</v>
      </c>
    </row>
    <row r="250">
      <c r="A250" s="107" t="s">
        <v>109</v>
      </c>
      <c r="B250" s="16">
        <f>IFERROR(__xludf.DUMMYFUNCTION("VLOOKUP(A250,IMPORTRANGE(""1aFCnJY1qhIj8-JckJhDJ18aqmVo17tofpQmOjcYa3u8/edit#gid=590920912"",""S1 Totals!$A$2:$O$255""),2,FALSE)"),29.75)</f>
        <v>29.75</v>
      </c>
      <c r="C250" s="15">
        <f>IFERROR(__xludf.DUMMYFUNCTION("VLOOKUP(A250,IMPORTRANGE(""1aFCnJY1qhIj8-JckJhDJ18aqmVo17tofpQmOjcYa3u8/edit#gid=590920912"",""S1 Totals!$A$2:$O$255""),3,FALSE)"),0.9015151515151515)</f>
        <v>0.9015151515</v>
      </c>
      <c r="D250" s="16">
        <f>IFERROR(__xludf.DUMMYFUNCTION("VLOOKUP(A250,IMPORTRANGE(""1QZ5UxyNCwadreQAXnQ7oCoH982DjIA-QnZdO7ZoqkC0/edit#gid=884617569"",""S1 Totals!$A$2:$O$255""),2,FALSE)"),29.5)</f>
        <v>29.5</v>
      </c>
      <c r="E250" s="15">
        <f>IFERROR(__xludf.DUMMYFUNCTION("VLOOKUP(A250,IMPORTRANGE(""1QZ5UxyNCwadreQAXnQ7oCoH982DjIA-QnZdO7ZoqkC0/edit#gid=884617569"",""S1 Totals!$A$2:$O$255""),3,FALSE)"),0.8939393939393939)</f>
        <v>0.8939393939</v>
      </c>
      <c r="F250" s="108">
        <f t="shared" si="1"/>
        <v>0.007575757576</v>
      </c>
      <c r="G250" s="16">
        <f>IFERROR(__xludf.DUMMYFUNCTION("VLOOKUP(A250,IMPORTRANGE(""1QZ5UxyNCwadreQAXnQ7oCoH982DjIA-QnZdO7ZoqkC0/edit#gid=884617569"",""S1 Totals!$A$2:$O$255""),4,FALSE)"),40.5)</f>
        <v>40.5</v>
      </c>
      <c r="H250" s="15">
        <f>IFERROR(__xludf.DUMMYFUNCTION("VLOOKUP(A250,IMPORTRANGE(""1QZ5UxyNCwadreQAXnQ7oCoH982DjIA-QnZdO7ZoqkC0/edit#gid=884617569"",""S1 Totals!$A$2:$O$255""),5,FALSE)"),0.8617021276595744)</f>
        <v>0.8617021277</v>
      </c>
      <c r="I250" s="108">
        <f t="shared" si="2"/>
        <v>0.03981302386</v>
      </c>
      <c r="J250" s="16">
        <f>IFERROR(__xludf.DUMMYFUNCTION("VLOOKUP(A250,IMPORTRANGE(""1QZ5UxyNCwadreQAXnQ7oCoH982DjIA-QnZdO7ZoqkC0/edit#gid=884617569"",""S1 Totals!$A$2:$O$255""),7,FALSE)"),43.0)</f>
        <v>43</v>
      </c>
      <c r="K250" s="15">
        <f>IFERROR(__xludf.DUMMYFUNCTION("VLOOKUP(A250,IMPORTRANGE(""1QZ5UxyNCwadreQAXnQ7oCoH982DjIA-QnZdO7ZoqkC0/edit#gid=884617569"",""S1 Totals!$A$2:$O$255""),8,FALSE)"),0.8775510204081632)</f>
        <v>0.8775510204</v>
      </c>
      <c r="L250" s="109">
        <f t="shared" si="3"/>
        <v>0.01638837353</v>
      </c>
      <c r="M250" s="16">
        <f>IFERROR(__xludf.DUMMYFUNCTION("VLOOKUP(A250,IMPORTRANGE(""1QZ5UxyNCwadreQAXnQ7oCoH982DjIA-QnZdO7ZoqkC0/edit#gid=884617569"",""S1 Totals!$A$2:$O$255""),10,FALSE)"),42.0)</f>
        <v>42</v>
      </c>
      <c r="N250" s="15">
        <f>IFERROR(__xludf.DUMMYFUNCTION("VLOOKUP(A250,IMPORTRANGE(""1QZ5UxyNCwadreQAXnQ7oCoH982DjIA-QnZdO7ZoqkC0/edit#gid=884617569"",""S1 Totals!$A$2:$O$256""),11,FALSE)"),0.875)</f>
        <v>0.875</v>
      </c>
      <c r="O250" s="110">
        <f t="shared" si="57"/>
        <v>0.02651515152</v>
      </c>
      <c r="P250" s="16">
        <f>IFERROR(__xludf.DUMMYFUNCTION("VLOOKUP(A250,IMPORTRANGE(""1QZ5UxyNCwadreQAXnQ7oCoH982DjIA-QnZdO7ZoqkC0/edit#gid=884617569"",""S1 Totals!$A$2:$O$256""),13,FALSE)"),43.0)</f>
        <v>43</v>
      </c>
      <c r="Q250" s="15">
        <f>IFERROR(__xludf.DUMMYFUNCTION("VLOOKUP(A250,IMPORTRANGE(""1QZ5UxyNCwadreQAXnQ7oCoH982DjIA-QnZdO7ZoqkC0/edit#gid=884617569"",""S1 Totals!$A$2:$O$256""),14,FALSE)"),0.86)</f>
        <v>0.86</v>
      </c>
      <c r="R250" s="15">
        <f t="shared" si="58"/>
        <v>0.04151515152</v>
      </c>
    </row>
    <row r="251">
      <c r="A251" s="107" t="s">
        <v>259</v>
      </c>
      <c r="B251" s="16">
        <f>IFERROR(__xludf.DUMMYFUNCTION("VLOOKUP(A251,IMPORTRANGE(""1aFCnJY1qhIj8-JckJhDJ18aqmVo17tofpQmOjcYa3u8/edit#gid=590920912"",""S1 Totals!$A$2:$O$255""),2,FALSE)"),25.0)</f>
        <v>25</v>
      </c>
      <c r="C251" s="15">
        <f>IFERROR(__xludf.DUMMYFUNCTION("VLOOKUP(A251,IMPORTRANGE(""1aFCnJY1qhIj8-JckJhDJ18aqmVo17tofpQmOjcYa3u8/edit#gid=590920912"",""S1 Totals!$A$2:$O$255""),3,FALSE)"),0.7575757575757576)</f>
        <v>0.7575757576</v>
      </c>
      <c r="D251" s="16">
        <f>IFERROR(__xludf.DUMMYFUNCTION("VLOOKUP(A251,IMPORTRANGE(""1QZ5UxyNCwadreQAXnQ7oCoH982DjIA-QnZdO7ZoqkC0/edit#gid=884617569"",""S1 Totals!$A$2:$O$255""),2,FALSE)"),23.0)</f>
        <v>23</v>
      </c>
      <c r="E251" s="15">
        <f>IFERROR(__xludf.DUMMYFUNCTION("VLOOKUP(A251,IMPORTRANGE(""1QZ5UxyNCwadreQAXnQ7oCoH982DjIA-QnZdO7ZoqkC0/edit#gid=884617569"",""S1 Totals!$A$2:$O$255""),3,FALSE)"),0.696969696969697)</f>
        <v>0.696969697</v>
      </c>
      <c r="F251" s="108">
        <f t="shared" si="1"/>
        <v>0.06060606061</v>
      </c>
      <c r="G251" s="16">
        <f>IFERROR(__xludf.DUMMYFUNCTION("VLOOKUP(A251,IMPORTRANGE(""1QZ5UxyNCwadreQAXnQ7oCoH982DjIA-QnZdO7ZoqkC0/edit#gid=884617569"",""S1 Totals!$A$2:$O$255""),4,FALSE)"),23.0)</f>
        <v>23</v>
      </c>
      <c r="H251" s="15">
        <f>IFERROR(__xludf.DUMMYFUNCTION("VLOOKUP(A251,IMPORTRANGE(""1QZ5UxyNCwadreQAXnQ7oCoH982DjIA-QnZdO7ZoqkC0/edit#gid=884617569"",""S1 Totals!$A$2:$O$255""),5,FALSE)"),0.48936170212765956)</f>
        <v>0.4893617021</v>
      </c>
      <c r="I251" s="108">
        <f t="shared" si="2"/>
        <v>0.2682140554</v>
      </c>
      <c r="J251" s="16" t="str">
        <f>IFERROR(__xludf.DUMMYFUNCTION("VLOOKUP(A251,IMPORTRANGE(""1QZ5UxyNCwadreQAXnQ7oCoH982DjIA-QnZdO7ZoqkC0/edit#gid=884617569"",""S1 Totals!$A$2:$O$255""),7,FALSE)"),"")</f>
        <v/>
      </c>
      <c r="K251" s="15" t="str">
        <f>IFERROR(__xludf.DUMMYFUNCTION("VLOOKUP(A251,IMPORTRANGE(""1QZ5UxyNCwadreQAXnQ7oCoH982DjIA-QnZdO7ZoqkC0/edit#gid=884617569"",""S1 Totals!$A$2:$O$255""),8,FALSE)"),"")</f>
        <v/>
      </c>
      <c r="L251" s="109">
        <f t="shared" si="3"/>
        <v>0.696969697</v>
      </c>
      <c r="M251" s="16"/>
      <c r="N251" s="15"/>
      <c r="O251" s="110"/>
      <c r="P251" s="16"/>
      <c r="Q251" s="15"/>
      <c r="R251" s="16"/>
    </row>
    <row r="252">
      <c r="A252" s="120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</row>
    <row r="253">
      <c r="A253" s="122"/>
      <c r="E253" s="36"/>
      <c r="F253" s="36"/>
      <c r="G253" s="36"/>
      <c r="H253" s="35"/>
      <c r="I253" s="35"/>
      <c r="J253" s="36"/>
      <c r="K253" s="36"/>
      <c r="L253" s="36"/>
      <c r="M253" s="36"/>
      <c r="N253" s="36"/>
      <c r="O253" s="36"/>
      <c r="P253" s="36"/>
      <c r="Q253" s="36"/>
      <c r="R253" s="36"/>
    </row>
    <row r="254">
      <c r="A254" s="122"/>
      <c r="E254" s="36"/>
      <c r="F254" s="36"/>
      <c r="G254" s="36"/>
      <c r="H254" s="35"/>
      <c r="I254" s="35"/>
      <c r="J254" s="36"/>
      <c r="K254" s="36"/>
      <c r="L254" s="36"/>
      <c r="M254" s="36"/>
      <c r="N254" s="36"/>
      <c r="O254" s="36"/>
      <c r="P254" s="36"/>
      <c r="Q254" s="36"/>
      <c r="R254" s="36"/>
    </row>
    <row r="255">
      <c r="A255" s="122"/>
      <c r="E255" s="36"/>
      <c r="F255" s="36"/>
      <c r="G255" s="36"/>
      <c r="H255" s="35"/>
      <c r="I255" s="35"/>
      <c r="J255" s="36"/>
      <c r="K255" s="36"/>
      <c r="L255" s="36"/>
      <c r="M255" s="36"/>
      <c r="N255" s="36"/>
      <c r="O255" s="36"/>
      <c r="P255" s="36"/>
      <c r="Q255" s="36"/>
      <c r="R255" s="36"/>
    </row>
    <row r="256">
      <c r="A256" s="122"/>
      <c r="E256" s="36"/>
      <c r="F256" s="36"/>
      <c r="G256" s="36"/>
      <c r="H256" s="35"/>
      <c r="I256" s="35"/>
      <c r="J256" s="36"/>
      <c r="K256" s="36"/>
      <c r="L256" s="36"/>
      <c r="M256" s="36"/>
      <c r="N256" s="36"/>
      <c r="O256" s="36"/>
      <c r="P256" s="36"/>
      <c r="Q256" s="36"/>
      <c r="R256" s="36"/>
    </row>
    <row r="257">
      <c r="A257" s="122"/>
      <c r="E257" s="36"/>
      <c r="F257" s="36"/>
      <c r="G257" s="36"/>
      <c r="H257" s="35"/>
      <c r="I257" s="35"/>
      <c r="J257" s="36"/>
      <c r="K257" s="36"/>
      <c r="L257" s="36"/>
      <c r="M257" s="36"/>
      <c r="N257" s="36"/>
      <c r="O257" s="36"/>
      <c r="P257" s="36"/>
      <c r="Q257" s="36"/>
      <c r="R257" s="36"/>
    </row>
    <row r="258">
      <c r="A258" s="123" t="s">
        <v>301</v>
      </c>
      <c r="B258" s="91"/>
      <c r="C258" s="124"/>
      <c r="D258" s="36"/>
      <c r="E258" s="36"/>
      <c r="F258" s="36"/>
      <c r="G258" s="36"/>
      <c r="H258" s="36"/>
      <c r="I258" s="35"/>
      <c r="J258" s="36"/>
      <c r="K258" s="36"/>
      <c r="L258" s="36"/>
      <c r="M258" s="36"/>
      <c r="N258" s="36"/>
      <c r="O258" s="36"/>
      <c r="P258" s="36"/>
      <c r="Q258" s="36"/>
      <c r="R258" s="36"/>
    </row>
    <row r="259">
      <c r="A259" s="123" t="s">
        <v>302</v>
      </c>
      <c r="B259" s="91"/>
      <c r="C259" s="124"/>
      <c r="D259" s="91"/>
      <c r="E259" s="91"/>
      <c r="F259" s="91"/>
      <c r="G259" s="91"/>
      <c r="H259" s="91"/>
      <c r="I259" s="35"/>
      <c r="J259" s="36"/>
      <c r="K259" s="36"/>
      <c r="L259" s="36"/>
      <c r="M259" s="36"/>
      <c r="N259" s="36"/>
      <c r="O259" s="36"/>
      <c r="P259" s="36"/>
      <c r="Q259" s="36"/>
      <c r="R259" s="36"/>
    </row>
    <row r="260">
      <c r="A260" s="123" t="s">
        <v>303</v>
      </c>
      <c r="B260" s="91"/>
      <c r="C260" s="124"/>
      <c r="D260" s="91"/>
      <c r="E260" s="91"/>
      <c r="F260" s="91"/>
      <c r="G260" s="91"/>
      <c r="H260" s="36"/>
      <c r="I260" s="35"/>
      <c r="J260" s="36"/>
      <c r="K260" s="36"/>
      <c r="L260" s="36"/>
      <c r="M260" s="36"/>
      <c r="N260" s="36"/>
      <c r="O260" s="36"/>
      <c r="P260" s="36"/>
      <c r="Q260" s="36"/>
      <c r="R260" s="36"/>
    </row>
    <row r="261">
      <c r="A261" s="122"/>
      <c r="E261" s="36"/>
      <c r="F261" s="36"/>
      <c r="G261" s="36"/>
      <c r="H261" s="35"/>
      <c r="I261" s="35"/>
      <c r="J261" s="36"/>
      <c r="K261" s="36"/>
      <c r="L261" s="36"/>
      <c r="M261" s="36"/>
      <c r="N261" s="36"/>
      <c r="O261" s="36"/>
      <c r="P261" s="36"/>
      <c r="Q261" s="36"/>
      <c r="R261" s="36"/>
    </row>
    <row r="262">
      <c r="A262" s="122"/>
      <c r="E262" s="36"/>
      <c r="F262" s="36"/>
      <c r="G262" s="36"/>
      <c r="H262" s="35"/>
      <c r="I262" s="35"/>
      <c r="J262" s="36"/>
      <c r="K262" s="36"/>
      <c r="L262" s="36"/>
      <c r="M262" s="36"/>
      <c r="N262" s="36"/>
      <c r="O262" s="36"/>
      <c r="P262" s="36"/>
      <c r="Q262" s="36"/>
      <c r="R262" s="36"/>
    </row>
    <row r="263">
      <c r="A263" s="122"/>
      <c r="E263" s="36"/>
      <c r="F263" s="36"/>
      <c r="G263" s="36"/>
      <c r="H263" s="35"/>
      <c r="I263" s="35"/>
      <c r="J263" s="36"/>
      <c r="K263" s="36"/>
      <c r="L263" s="36"/>
      <c r="M263" s="36"/>
      <c r="N263" s="36"/>
      <c r="O263" s="36"/>
      <c r="P263" s="36"/>
      <c r="Q263" s="36"/>
      <c r="R263" s="36"/>
    </row>
    <row r="264">
      <c r="A264" s="122"/>
      <c r="E264" s="36"/>
      <c r="F264" s="36"/>
      <c r="G264" s="36"/>
      <c r="H264" s="35"/>
      <c r="I264" s="35"/>
      <c r="J264" s="36"/>
      <c r="K264" s="36"/>
      <c r="L264" s="36"/>
      <c r="M264" s="36"/>
      <c r="N264" s="36"/>
      <c r="O264" s="36"/>
      <c r="P264" s="36"/>
      <c r="Q264" s="36"/>
      <c r="R264" s="36"/>
    </row>
    <row r="265">
      <c r="A265" s="122"/>
      <c r="E265" s="36"/>
      <c r="F265" s="36"/>
      <c r="G265" s="36"/>
      <c r="H265" s="35"/>
      <c r="I265" s="35"/>
      <c r="J265" s="36"/>
      <c r="K265" s="36"/>
      <c r="L265" s="36"/>
      <c r="M265" s="36"/>
      <c r="N265" s="36"/>
      <c r="O265" s="36"/>
      <c r="P265" s="36"/>
      <c r="Q265" s="36"/>
      <c r="R265" s="36"/>
    </row>
    <row r="266">
      <c r="A266" s="122"/>
      <c r="E266" s="36"/>
      <c r="F266" s="36"/>
      <c r="G266" s="36"/>
      <c r="H266" s="35"/>
      <c r="I266" s="35"/>
      <c r="J266" s="36"/>
      <c r="K266" s="36"/>
      <c r="L266" s="36"/>
      <c r="M266" s="36"/>
      <c r="N266" s="36"/>
      <c r="O266" s="36"/>
      <c r="P266" s="36"/>
      <c r="Q266" s="36"/>
      <c r="R266" s="36"/>
    </row>
    <row r="267">
      <c r="A267" s="122"/>
      <c r="E267" s="36"/>
      <c r="F267" s="36"/>
      <c r="G267" s="36"/>
      <c r="H267" s="35"/>
      <c r="I267" s="35"/>
      <c r="J267" s="36"/>
      <c r="K267" s="36"/>
      <c r="L267" s="36"/>
      <c r="M267" s="36"/>
      <c r="N267" s="36"/>
      <c r="O267" s="36"/>
      <c r="P267" s="36"/>
      <c r="Q267" s="36"/>
      <c r="R267" s="36"/>
    </row>
    <row r="268">
      <c r="A268" s="122"/>
      <c r="E268" s="36"/>
      <c r="F268" s="36"/>
      <c r="G268" s="36"/>
      <c r="H268" s="35"/>
      <c r="I268" s="35"/>
      <c r="J268" s="36"/>
      <c r="K268" s="36"/>
      <c r="L268" s="36"/>
      <c r="M268" s="36"/>
      <c r="N268" s="36"/>
      <c r="O268" s="36"/>
      <c r="P268" s="36"/>
      <c r="Q268" s="36"/>
      <c r="R268" s="36"/>
    </row>
    <row r="269">
      <c r="A269" s="122"/>
      <c r="E269" s="36"/>
      <c r="F269" s="36"/>
      <c r="G269" s="36"/>
      <c r="H269" s="35"/>
      <c r="I269" s="35"/>
      <c r="J269" s="36"/>
      <c r="K269" s="36"/>
      <c r="L269" s="36"/>
      <c r="M269" s="36"/>
      <c r="N269" s="36"/>
      <c r="O269" s="36"/>
      <c r="P269" s="36"/>
      <c r="Q269" s="36"/>
      <c r="R269" s="36"/>
    </row>
    <row r="270">
      <c r="A270" s="122"/>
      <c r="E270" s="36"/>
      <c r="F270" s="36"/>
      <c r="G270" s="36"/>
      <c r="H270" s="35"/>
      <c r="I270" s="35"/>
      <c r="J270" s="36"/>
      <c r="K270" s="36"/>
      <c r="L270" s="36"/>
      <c r="M270" s="36"/>
      <c r="N270" s="36"/>
      <c r="O270" s="36"/>
      <c r="P270" s="36"/>
      <c r="Q270" s="36"/>
      <c r="R270" s="36"/>
    </row>
    <row r="271">
      <c r="A271" s="122"/>
      <c r="E271" s="36"/>
      <c r="F271" s="36"/>
      <c r="G271" s="36"/>
      <c r="H271" s="35"/>
      <c r="I271" s="35"/>
      <c r="J271" s="36"/>
      <c r="K271" s="36"/>
      <c r="L271" s="36"/>
      <c r="M271" s="36"/>
      <c r="N271" s="36"/>
      <c r="O271" s="36"/>
      <c r="P271" s="36"/>
      <c r="Q271" s="36"/>
      <c r="R271" s="36"/>
    </row>
    <row r="272">
      <c r="A272" s="122"/>
      <c r="E272" s="36"/>
      <c r="F272" s="36"/>
      <c r="G272" s="36"/>
      <c r="H272" s="35"/>
      <c r="I272" s="35"/>
      <c r="J272" s="36"/>
      <c r="K272" s="36"/>
      <c r="L272" s="36"/>
      <c r="M272" s="36"/>
      <c r="N272" s="36"/>
      <c r="O272" s="36"/>
      <c r="P272" s="36"/>
      <c r="Q272" s="36"/>
      <c r="R272" s="36"/>
    </row>
    <row r="273">
      <c r="A273" s="122"/>
      <c r="E273" s="36"/>
      <c r="F273" s="36"/>
      <c r="G273" s="36"/>
      <c r="H273" s="35"/>
      <c r="I273" s="35"/>
      <c r="J273" s="36"/>
      <c r="K273" s="36"/>
      <c r="L273" s="36"/>
      <c r="M273" s="36"/>
      <c r="N273" s="36"/>
      <c r="O273" s="36"/>
      <c r="P273" s="36"/>
      <c r="Q273" s="36"/>
      <c r="R273" s="36"/>
    </row>
    <row r="274">
      <c r="A274" s="122"/>
      <c r="E274" s="36"/>
      <c r="F274" s="36"/>
      <c r="G274" s="36"/>
      <c r="H274" s="35"/>
      <c r="I274" s="35"/>
      <c r="J274" s="36"/>
      <c r="K274" s="36"/>
      <c r="L274" s="36"/>
      <c r="M274" s="36"/>
      <c r="N274" s="36"/>
      <c r="O274" s="36"/>
      <c r="P274" s="36"/>
      <c r="Q274" s="36"/>
      <c r="R274" s="36"/>
    </row>
    <row r="275">
      <c r="A275" s="122"/>
      <c r="E275" s="36"/>
      <c r="F275" s="36"/>
      <c r="G275" s="36"/>
      <c r="H275" s="35"/>
      <c r="I275" s="35"/>
      <c r="J275" s="36"/>
      <c r="K275" s="36"/>
      <c r="L275" s="36"/>
      <c r="M275" s="36"/>
      <c r="N275" s="36"/>
      <c r="O275" s="36"/>
      <c r="P275" s="36"/>
      <c r="Q275" s="36"/>
      <c r="R275" s="36"/>
    </row>
    <row r="276">
      <c r="A276" s="122"/>
      <c r="E276" s="36"/>
      <c r="F276" s="36"/>
      <c r="G276" s="36"/>
      <c r="H276" s="35"/>
      <c r="I276" s="35"/>
      <c r="J276" s="36"/>
      <c r="K276" s="36"/>
      <c r="L276" s="36"/>
      <c r="M276" s="36"/>
      <c r="N276" s="36"/>
      <c r="O276" s="36"/>
      <c r="P276" s="36"/>
      <c r="Q276" s="36"/>
      <c r="R276" s="36"/>
    </row>
    <row r="277">
      <c r="A277" s="122"/>
      <c r="E277" s="36"/>
      <c r="F277" s="36"/>
      <c r="G277" s="36"/>
      <c r="H277" s="35"/>
      <c r="I277" s="35"/>
      <c r="J277" s="36"/>
      <c r="K277" s="36"/>
      <c r="L277" s="36"/>
      <c r="M277" s="36"/>
      <c r="N277" s="36"/>
      <c r="O277" s="36"/>
      <c r="P277" s="36"/>
      <c r="Q277" s="36"/>
      <c r="R277" s="36"/>
    </row>
    <row r="278">
      <c r="A278" s="122"/>
      <c r="E278" s="36"/>
      <c r="F278" s="36"/>
      <c r="G278" s="36"/>
      <c r="H278" s="35"/>
      <c r="I278" s="35"/>
      <c r="J278" s="36"/>
      <c r="K278" s="36"/>
      <c r="L278" s="36"/>
      <c r="M278" s="36"/>
      <c r="N278" s="36"/>
      <c r="O278" s="36"/>
      <c r="P278" s="36"/>
      <c r="Q278" s="36"/>
      <c r="R278" s="36"/>
    </row>
    <row r="279">
      <c r="A279" s="122"/>
      <c r="E279" s="36"/>
      <c r="F279" s="36"/>
      <c r="G279" s="36"/>
      <c r="H279" s="35"/>
      <c r="I279" s="35"/>
      <c r="J279" s="36"/>
      <c r="K279" s="36"/>
      <c r="L279" s="36"/>
      <c r="M279" s="36"/>
      <c r="N279" s="36"/>
      <c r="O279" s="36"/>
      <c r="P279" s="36"/>
      <c r="Q279" s="36"/>
      <c r="R279" s="36"/>
    </row>
    <row r="280">
      <c r="A280" s="122"/>
      <c r="E280" s="36"/>
      <c r="F280" s="36"/>
      <c r="G280" s="36"/>
      <c r="H280" s="35"/>
      <c r="I280" s="35"/>
      <c r="J280" s="36"/>
      <c r="K280" s="36"/>
      <c r="L280" s="36"/>
      <c r="M280" s="36"/>
      <c r="N280" s="36"/>
      <c r="O280" s="36"/>
      <c r="P280" s="36"/>
      <c r="Q280" s="36"/>
      <c r="R280" s="36"/>
    </row>
    <row r="281">
      <c r="A281" s="122"/>
      <c r="E281" s="36"/>
      <c r="F281" s="36"/>
      <c r="G281" s="36"/>
      <c r="H281" s="35"/>
      <c r="I281" s="35"/>
      <c r="J281" s="36"/>
      <c r="K281" s="36"/>
      <c r="L281" s="36"/>
      <c r="M281" s="36"/>
      <c r="N281" s="36"/>
      <c r="O281" s="36"/>
      <c r="P281" s="36"/>
      <c r="Q281" s="36"/>
      <c r="R281" s="36"/>
    </row>
    <row r="282">
      <c r="A282" s="122"/>
      <c r="E282" s="36"/>
      <c r="F282" s="36"/>
      <c r="G282" s="36"/>
      <c r="H282" s="35"/>
      <c r="I282" s="35"/>
      <c r="J282" s="36"/>
      <c r="K282" s="36"/>
      <c r="L282" s="36"/>
      <c r="M282" s="36"/>
      <c r="N282" s="36"/>
      <c r="O282" s="36"/>
      <c r="P282" s="36"/>
      <c r="Q282" s="36"/>
      <c r="R282" s="36"/>
    </row>
    <row r="283">
      <c r="A283" s="122"/>
      <c r="E283" s="36"/>
      <c r="F283" s="36"/>
      <c r="G283" s="36"/>
      <c r="H283" s="35"/>
      <c r="I283" s="35"/>
      <c r="J283" s="36"/>
      <c r="K283" s="36"/>
      <c r="L283" s="36"/>
      <c r="M283" s="36"/>
      <c r="N283" s="36"/>
      <c r="O283" s="36"/>
      <c r="P283" s="36"/>
      <c r="Q283" s="36"/>
      <c r="R283" s="36"/>
    </row>
    <row r="284">
      <c r="A284" s="122"/>
      <c r="E284" s="36"/>
      <c r="F284" s="36"/>
      <c r="G284" s="36"/>
      <c r="H284" s="35"/>
      <c r="I284" s="35"/>
      <c r="J284" s="36"/>
      <c r="K284" s="36"/>
      <c r="L284" s="36"/>
      <c r="M284" s="36"/>
      <c r="N284" s="36"/>
      <c r="O284" s="36"/>
      <c r="P284" s="36"/>
      <c r="Q284" s="36"/>
      <c r="R284" s="36"/>
    </row>
    <row r="285">
      <c r="A285" s="122"/>
      <c r="E285" s="36"/>
      <c r="F285" s="36"/>
      <c r="G285" s="36"/>
      <c r="H285" s="35"/>
      <c r="I285" s="35"/>
      <c r="J285" s="36"/>
      <c r="K285" s="36"/>
      <c r="L285" s="36"/>
      <c r="M285" s="36"/>
      <c r="N285" s="36"/>
      <c r="O285" s="36"/>
      <c r="P285" s="36"/>
      <c r="Q285" s="36"/>
      <c r="R285" s="36"/>
    </row>
    <row r="286">
      <c r="A286" s="122"/>
      <c r="E286" s="36"/>
      <c r="F286" s="36"/>
      <c r="G286" s="36"/>
      <c r="H286" s="35"/>
      <c r="I286" s="35"/>
      <c r="J286" s="36"/>
      <c r="K286" s="36"/>
      <c r="L286" s="36"/>
      <c r="M286" s="36"/>
      <c r="N286" s="36"/>
      <c r="O286" s="36"/>
      <c r="P286" s="36"/>
      <c r="Q286" s="36"/>
      <c r="R286" s="36"/>
    </row>
    <row r="287">
      <c r="A287" s="122"/>
      <c r="E287" s="36"/>
      <c r="F287" s="36"/>
      <c r="G287" s="36"/>
      <c r="H287" s="35"/>
      <c r="I287" s="35"/>
      <c r="J287" s="36"/>
      <c r="K287" s="36"/>
      <c r="L287" s="36"/>
      <c r="M287" s="36"/>
      <c r="N287" s="36"/>
      <c r="O287" s="36"/>
      <c r="P287" s="36"/>
      <c r="Q287" s="36"/>
      <c r="R287" s="36"/>
    </row>
    <row r="288">
      <c r="A288" s="122"/>
      <c r="E288" s="36"/>
      <c r="F288" s="36"/>
      <c r="G288" s="36"/>
      <c r="H288" s="35"/>
      <c r="I288" s="35"/>
      <c r="J288" s="36"/>
      <c r="K288" s="36"/>
      <c r="L288" s="36"/>
      <c r="M288" s="36"/>
      <c r="N288" s="36"/>
      <c r="O288" s="36"/>
      <c r="P288" s="36"/>
      <c r="Q288" s="36"/>
      <c r="R288" s="36"/>
    </row>
    <row r="289">
      <c r="A289" s="122"/>
      <c r="E289" s="36"/>
      <c r="F289" s="36"/>
      <c r="G289" s="36"/>
      <c r="H289" s="35"/>
      <c r="I289" s="35"/>
      <c r="J289" s="36"/>
      <c r="K289" s="36"/>
      <c r="L289" s="36"/>
      <c r="M289" s="36"/>
      <c r="N289" s="36"/>
      <c r="O289" s="36"/>
      <c r="P289" s="36"/>
      <c r="Q289" s="36"/>
      <c r="R289" s="36"/>
    </row>
    <row r="290">
      <c r="A290" s="122"/>
      <c r="E290" s="36"/>
      <c r="F290" s="36"/>
      <c r="G290" s="36"/>
      <c r="H290" s="35"/>
      <c r="I290" s="35"/>
      <c r="J290" s="36"/>
      <c r="K290" s="36"/>
      <c r="L290" s="36"/>
      <c r="M290" s="36"/>
      <c r="N290" s="36"/>
      <c r="O290" s="36"/>
      <c r="P290" s="36"/>
      <c r="Q290" s="36"/>
      <c r="R290" s="36"/>
    </row>
    <row r="291">
      <c r="A291" s="122"/>
      <c r="E291" s="36"/>
      <c r="F291" s="36"/>
      <c r="G291" s="36"/>
      <c r="H291" s="35"/>
      <c r="I291" s="35"/>
      <c r="J291" s="36"/>
      <c r="K291" s="36"/>
      <c r="L291" s="36"/>
      <c r="M291" s="36"/>
      <c r="N291" s="36"/>
      <c r="O291" s="36"/>
      <c r="P291" s="36"/>
      <c r="Q291" s="36"/>
      <c r="R291" s="36"/>
    </row>
    <row r="292">
      <c r="A292" s="122"/>
      <c r="E292" s="36"/>
      <c r="F292" s="36"/>
      <c r="G292" s="36"/>
      <c r="H292" s="35"/>
      <c r="I292" s="35"/>
      <c r="J292" s="36"/>
      <c r="K292" s="36"/>
      <c r="L292" s="36"/>
      <c r="M292" s="36"/>
      <c r="N292" s="36"/>
      <c r="O292" s="36"/>
      <c r="P292" s="36"/>
      <c r="Q292" s="36"/>
      <c r="R292" s="36"/>
    </row>
    <row r="293">
      <c r="A293" s="122"/>
      <c r="E293" s="36"/>
      <c r="F293" s="36"/>
      <c r="G293" s="36"/>
      <c r="H293" s="35"/>
      <c r="I293" s="35"/>
      <c r="J293" s="36"/>
      <c r="K293" s="36"/>
      <c r="L293" s="36"/>
      <c r="M293" s="36"/>
      <c r="N293" s="36"/>
      <c r="O293" s="36"/>
      <c r="P293" s="36"/>
      <c r="Q293" s="36"/>
      <c r="R293" s="36"/>
    </row>
    <row r="294">
      <c r="A294" s="122"/>
      <c r="E294" s="36"/>
      <c r="F294" s="36"/>
      <c r="G294" s="36"/>
      <c r="H294" s="35"/>
      <c r="I294" s="35"/>
      <c r="J294" s="36"/>
      <c r="K294" s="36"/>
      <c r="L294" s="36"/>
      <c r="M294" s="36"/>
      <c r="N294" s="36"/>
      <c r="O294" s="36"/>
      <c r="P294" s="36"/>
      <c r="Q294" s="36"/>
      <c r="R294" s="36"/>
    </row>
    <row r="295">
      <c r="A295" s="122"/>
      <c r="E295" s="36"/>
      <c r="F295" s="36"/>
      <c r="G295" s="36"/>
      <c r="H295" s="35"/>
      <c r="I295" s="35"/>
      <c r="J295" s="36"/>
      <c r="K295" s="36"/>
      <c r="L295" s="36"/>
      <c r="M295" s="36"/>
      <c r="N295" s="36"/>
      <c r="O295" s="36"/>
      <c r="P295" s="36"/>
      <c r="Q295" s="36"/>
      <c r="R295" s="36"/>
    </row>
    <row r="296">
      <c r="A296" s="122"/>
      <c r="E296" s="36"/>
      <c r="F296" s="36"/>
      <c r="G296" s="36"/>
      <c r="H296" s="35"/>
      <c r="I296" s="35"/>
      <c r="J296" s="36"/>
      <c r="K296" s="36"/>
      <c r="L296" s="36"/>
      <c r="M296" s="36"/>
      <c r="N296" s="36"/>
      <c r="O296" s="36"/>
      <c r="P296" s="36"/>
      <c r="Q296" s="36"/>
      <c r="R296" s="36"/>
    </row>
    <row r="297">
      <c r="A297" s="122"/>
      <c r="E297" s="36"/>
      <c r="F297" s="36"/>
      <c r="G297" s="36"/>
      <c r="H297" s="35"/>
      <c r="I297" s="35"/>
      <c r="J297" s="36"/>
      <c r="K297" s="36"/>
      <c r="L297" s="36"/>
      <c r="M297" s="36"/>
      <c r="N297" s="36"/>
      <c r="O297" s="36"/>
      <c r="P297" s="36"/>
      <c r="Q297" s="36"/>
      <c r="R297" s="36"/>
    </row>
    <row r="298">
      <c r="A298" s="122"/>
      <c r="E298" s="36"/>
      <c r="F298" s="36"/>
      <c r="G298" s="36"/>
      <c r="H298" s="35"/>
      <c r="I298" s="35"/>
      <c r="J298" s="36"/>
      <c r="K298" s="36"/>
      <c r="L298" s="36"/>
      <c r="M298" s="36"/>
      <c r="N298" s="36"/>
      <c r="O298" s="36"/>
      <c r="P298" s="36"/>
      <c r="Q298" s="36"/>
      <c r="R298" s="36"/>
    </row>
    <row r="299">
      <c r="A299" s="122"/>
      <c r="E299" s="36"/>
      <c r="F299" s="36"/>
      <c r="G299" s="36"/>
      <c r="H299" s="35"/>
      <c r="I299" s="35"/>
      <c r="J299" s="36"/>
      <c r="K299" s="36"/>
      <c r="L299" s="36"/>
      <c r="M299" s="36"/>
      <c r="N299" s="36"/>
      <c r="O299" s="36"/>
      <c r="P299" s="36"/>
      <c r="Q299" s="36"/>
      <c r="R299" s="36"/>
    </row>
    <row r="300">
      <c r="A300" s="122"/>
      <c r="E300" s="36"/>
      <c r="F300" s="36"/>
      <c r="G300" s="36"/>
      <c r="H300" s="35"/>
      <c r="I300" s="35"/>
      <c r="J300" s="36"/>
      <c r="K300" s="36"/>
      <c r="L300" s="36"/>
      <c r="M300" s="36"/>
      <c r="N300" s="36"/>
      <c r="O300" s="36"/>
      <c r="P300" s="36"/>
      <c r="Q300" s="36"/>
      <c r="R300" s="36"/>
    </row>
    <row r="301">
      <c r="A301" s="122"/>
      <c r="E301" s="36"/>
      <c r="F301" s="36"/>
      <c r="G301" s="36"/>
      <c r="H301" s="35"/>
      <c r="I301" s="35"/>
      <c r="J301" s="36"/>
      <c r="K301" s="36"/>
      <c r="L301" s="36"/>
      <c r="M301" s="36"/>
      <c r="N301" s="36"/>
      <c r="O301" s="36"/>
      <c r="P301" s="36"/>
      <c r="Q301" s="36"/>
      <c r="R301" s="36"/>
    </row>
    <row r="302">
      <c r="A302" s="122"/>
      <c r="E302" s="36"/>
      <c r="F302" s="36"/>
      <c r="G302" s="36"/>
      <c r="H302" s="35"/>
      <c r="I302" s="35"/>
      <c r="J302" s="36"/>
      <c r="K302" s="36"/>
      <c r="L302" s="36"/>
      <c r="M302" s="36"/>
      <c r="N302" s="36"/>
      <c r="O302" s="36"/>
      <c r="P302" s="36"/>
      <c r="Q302" s="36"/>
      <c r="R302" s="36"/>
    </row>
    <row r="303">
      <c r="A303" s="122"/>
      <c r="E303" s="36"/>
      <c r="F303" s="36"/>
      <c r="G303" s="36"/>
      <c r="H303" s="35"/>
      <c r="I303" s="35"/>
      <c r="J303" s="36"/>
      <c r="K303" s="36"/>
      <c r="L303" s="36"/>
      <c r="M303" s="36"/>
      <c r="N303" s="36"/>
      <c r="O303" s="36"/>
      <c r="P303" s="36"/>
      <c r="Q303" s="36"/>
      <c r="R303" s="36"/>
    </row>
    <row r="304">
      <c r="A304" s="122"/>
      <c r="E304" s="36"/>
      <c r="F304" s="36"/>
      <c r="G304" s="36"/>
      <c r="H304" s="35"/>
      <c r="I304" s="35"/>
      <c r="J304" s="36"/>
      <c r="K304" s="36"/>
      <c r="L304" s="36"/>
      <c r="M304" s="36"/>
      <c r="N304" s="36"/>
      <c r="O304" s="36"/>
      <c r="P304" s="36"/>
      <c r="Q304" s="36"/>
      <c r="R304" s="36"/>
    </row>
    <row r="305">
      <c r="A305" s="122"/>
      <c r="E305" s="36"/>
      <c r="F305" s="36"/>
      <c r="G305" s="36"/>
      <c r="H305" s="35"/>
      <c r="I305" s="35"/>
      <c r="J305" s="36"/>
      <c r="K305" s="36"/>
      <c r="L305" s="36"/>
      <c r="M305" s="36"/>
      <c r="N305" s="36"/>
      <c r="O305" s="36"/>
      <c r="P305" s="36"/>
      <c r="Q305" s="36"/>
      <c r="R305" s="36"/>
    </row>
    <row r="306">
      <c r="A306" s="122"/>
      <c r="E306" s="36"/>
      <c r="F306" s="36"/>
      <c r="G306" s="36"/>
      <c r="H306" s="35"/>
      <c r="I306" s="35"/>
      <c r="J306" s="36"/>
      <c r="K306" s="36"/>
      <c r="L306" s="36"/>
      <c r="M306" s="36"/>
      <c r="N306" s="36"/>
      <c r="O306" s="36"/>
      <c r="P306" s="36"/>
      <c r="Q306" s="36"/>
      <c r="R306" s="36"/>
    </row>
    <row r="307">
      <c r="A307" s="122"/>
      <c r="E307" s="36"/>
      <c r="F307" s="36"/>
      <c r="G307" s="36"/>
      <c r="H307" s="35"/>
      <c r="I307" s="35"/>
      <c r="J307" s="36"/>
      <c r="K307" s="36"/>
      <c r="L307" s="36"/>
      <c r="M307" s="36"/>
      <c r="N307" s="36"/>
      <c r="O307" s="36"/>
      <c r="P307" s="36"/>
      <c r="Q307" s="36"/>
      <c r="R307" s="36"/>
    </row>
    <row r="308">
      <c r="A308" s="122"/>
      <c r="E308" s="36"/>
      <c r="F308" s="36"/>
      <c r="G308" s="36"/>
      <c r="H308" s="35"/>
      <c r="I308" s="35"/>
      <c r="J308" s="36"/>
      <c r="K308" s="36"/>
      <c r="L308" s="36"/>
      <c r="M308" s="36"/>
      <c r="N308" s="36"/>
      <c r="O308" s="36"/>
      <c r="P308" s="36"/>
      <c r="Q308" s="36"/>
      <c r="R308" s="36"/>
    </row>
    <row r="309">
      <c r="A309" s="122"/>
      <c r="E309" s="36"/>
      <c r="F309" s="36"/>
      <c r="G309" s="36"/>
      <c r="H309" s="35"/>
      <c r="I309" s="35"/>
      <c r="J309" s="36"/>
      <c r="K309" s="36"/>
      <c r="L309" s="36"/>
      <c r="M309" s="36"/>
      <c r="N309" s="36"/>
      <c r="O309" s="36"/>
      <c r="P309" s="36"/>
      <c r="Q309" s="36"/>
      <c r="R309" s="36"/>
    </row>
    <row r="310">
      <c r="A310" s="122"/>
      <c r="E310" s="36"/>
      <c r="F310" s="36"/>
      <c r="G310" s="36"/>
      <c r="H310" s="35"/>
      <c r="I310" s="35"/>
      <c r="J310" s="36"/>
      <c r="K310" s="36"/>
      <c r="L310" s="36"/>
      <c r="M310" s="36"/>
      <c r="N310" s="36"/>
      <c r="O310" s="36"/>
      <c r="P310" s="36"/>
      <c r="Q310" s="36"/>
      <c r="R310" s="36"/>
    </row>
    <row r="311">
      <c r="A311" s="122"/>
      <c r="E311" s="36"/>
      <c r="F311" s="36"/>
      <c r="G311" s="36"/>
      <c r="H311" s="35"/>
      <c r="I311" s="35"/>
      <c r="J311" s="36"/>
      <c r="K311" s="36"/>
      <c r="L311" s="36"/>
      <c r="M311" s="36"/>
      <c r="N311" s="36"/>
      <c r="O311" s="36"/>
      <c r="P311" s="36"/>
      <c r="Q311" s="36"/>
      <c r="R311" s="36"/>
    </row>
    <row r="312">
      <c r="A312" s="122"/>
      <c r="E312" s="36"/>
      <c r="F312" s="36"/>
      <c r="G312" s="36"/>
      <c r="H312" s="35"/>
      <c r="I312" s="35"/>
      <c r="J312" s="36"/>
      <c r="K312" s="36"/>
      <c r="L312" s="36"/>
      <c r="M312" s="36"/>
      <c r="N312" s="36"/>
      <c r="O312" s="36"/>
      <c r="P312" s="36"/>
      <c r="Q312" s="36"/>
      <c r="R312" s="36"/>
    </row>
    <row r="313">
      <c r="A313" s="122"/>
      <c r="E313" s="36"/>
      <c r="F313" s="36"/>
      <c r="G313" s="36"/>
      <c r="H313" s="35"/>
      <c r="I313" s="35"/>
      <c r="J313" s="36"/>
      <c r="K313" s="36"/>
      <c r="L313" s="36"/>
      <c r="M313" s="36"/>
      <c r="N313" s="36"/>
      <c r="O313" s="36"/>
      <c r="P313" s="36"/>
      <c r="Q313" s="36"/>
      <c r="R313" s="36"/>
    </row>
    <row r="314">
      <c r="A314" s="122"/>
      <c r="E314" s="36"/>
      <c r="F314" s="36"/>
      <c r="G314" s="36"/>
      <c r="H314" s="35"/>
      <c r="I314" s="35"/>
      <c r="J314" s="36"/>
      <c r="K314" s="36"/>
      <c r="L314" s="36"/>
      <c r="M314" s="36"/>
      <c r="N314" s="36"/>
      <c r="O314" s="36"/>
      <c r="P314" s="36"/>
      <c r="Q314" s="36"/>
      <c r="R314" s="36"/>
    </row>
    <row r="315">
      <c r="A315" s="122"/>
      <c r="E315" s="36"/>
      <c r="F315" s="36"/>
      <c r="G315" s="36"/>
      <c r="H315" s="35"/>
      <c r="I315" s="35"/>
      <c r="J315" s="36"/>
      <c r="K315" s="36"/>
      <c r="L315" s="36"/>
      <c r="M315" s="36"/>
      <c r="N315" s="36"/>
      <c r="O315" s="36"/>
      <c r="P315" s="36"/>
      <c r="Q315" s="36"/>
      <c r="R315" s="36"/>
    </row>
    <row r="316">
      <c r="A316" s="122"/>
      <c r="E316" s="36"/>
      <c r="F316" s="36"/>
      <c r="G316" s="36"/>
      <c r="H316" s="35"/>
      <c r="I316" s="35"/>
      <c r="J316" s="36"/>
      <c r="K316" s="36"/>
      <c r="L316" s="36"/>
      <c r="M316" s="36"/>
      <c r="N316" s="36"/>
      <c r="O316" s="36"/>
      <c r="P316" s="36"/>
      <c r="Q316" s="36"/>
      <c r="R316" s="36"/>
    </row>
    <row r="317">
      <c r="A317" s="122"/>
      <c r="E317" s="36"/>
      <c r="F317" s="36"/>
      <c r="G317" s="36"/>
      <c r="H317" s="35"/>
      <c r="I317" s="35"/>
      <c r="J317" s="36"/>
      <c r="K317" s="36"/>
      <c r="L317" s="36"/>
      <c r="M317" s="36"/>
      <c r="N317" s="36"/>
      <c r="O317" s="36"/>
      <c r="P317" s="36"/>
      <c r="Q317" s="36"/>
      <c r="R317" s="36"/>
    </row>
    <row r="318">
      <c r="A318" s="122"/>
      <c r="E318" s="36"/>
      <c r="F318" s="36"/>
      <c r="G318" s="36"/>
      <c r="H318" s="35"/>
      <c r="I318" s="35"/>
      <c r="J318" s="36"/>
      <c r="K318" s="36"/>
      <c r="L318" s="36"/>
      <c r="M318" s="36"/>
      <c r="N318" s="36"/>
      <c r="O318" s="36"/>
      <c r="P318" s="36"/>
      <c r="Q318" s="36"/>
      <c r="R318" s="36"/>
    </row>
    <row r="319">
      <c r="A319" s="122"/>
      <c r="E319" s="36"/>
      <c r="F319" s="36"/>
      <c r="G319" s="36"/>
      <c r="H319" s="35"/>
      <c r="I319" s="35"/>
      <c r="J319" s="36"/>
      <c r="K319" s="36"/>
      <c r="L319" s="36"/>
      <c r="M319" s="36"/>
      <c r="N319" s="36"/>
      <c r="O319" s="36"/>
      <c r="P319" s="36"/>
      <c r="Q319" s="36"/>
      <c r="R319" s="36"/>
    </row>
    <row r="320">
      <c r="A320" s="122"/>
      <c r="E320" s="36"/>
      <c r="F320" s="36"/>
      <c r="G320" s="36"/>
      <c r="H320" s="35"/>
      <c r="I320" s="35"/>
      <c r="J320" s="36"/>
      <c r="K320" s="36"/>
      <c r="L320" s="36"/>
      <c r="M320" s="36"/>
      <c r="N320" s="36"/>
      <c r="O320" s="36"/>
      <c r="P320" s="36"/>
      <c r="Q320" s="36"/>
      <c r="R320" s="36"/>
    </row>
    <row r="321">
      <c r="A321" s="122"/>
      <c r="E321" s="36"/>
      <c r="F321" s="36"/>
      <c r="G321" s="36"/>
      <c r="H321" s="35"/>
      <c r="I321" s="35"/>
      <c r="J321" s="36"/>
      <c r="K321" s="36"/>
      <c r="L321" s="36"/>
      <c r="M321" s="36"/>
      <c r="N321" s="36"/>
      <c r="O321" s="36"/>
      <c r="P321" s="36"/>
      <c r="Q321" s="36"/>
      <c r="R321" s="36"/>
    </row>
    <row r="322">
      <c r="A322" s="122"/>
      <c r="E322" s="36"/>
      <c r="F322" s="36"/>
      <c r="G322" s="36"/>
      <c r="H322" s="35"/>
      <c r="I322" s="35"/>
      <c r="J322" s="36"/>
      <c r="K322" s="36"/>
      <c r="L322" s="36"/>
      <c r="M322" s="36"/>
      <c r="N322" s="36"/>
      <c r="O322" s="36"/>
      <c r="P322" s="36"/>
      <c r="Q322" s="36"/>
      <c r="R322" s="36"/>
    </row>
    <row r="323">
      <c r="A323" s="122"/>
      <c r="E323" s="36"/>
      <c r="F323" s="36"/>
      <c r="G323" s="36"/>
      <c r="H323" s="35"/>
      <c r="I323" s="35"/>
      <c r="J323" s="36"/>
      <c r="K323" s="36"/>
      <c r="L323" s="36"/>
      <c r="M323" s="36"/>
      <c r="N323" s="36"/>
      <c r="O323" s="36"/>
      <c r="P323" s="36"/>
      <c r="Q323" s="36"/>
      <c r="R323" s="36"/>
    </row>
    <row r="324">
      <c r="A324" s="122"/>
      <c r="E324" s="36"/>
      <c r="F324" s="36"/>
      <c r="G324" s="36"/>
      <c r="H324" s="35"/>
      <c r="I324" s="35"/>
      <c r="J324" s="36"/>
      <c r="K324" s="36"/>
      <c r="L324" s="36"/>
      <c r="M324" s="36"/>
      <c r="N324" s="36"/>
      <c r="O324" s="36"/>
      <c r="P324" s="36"/>
      <c r="Q324" s="36"/>
      <c r="R324" s="36"/>
    </row>
    <row r="325">
      <c r="A325" s="122"/>
      <c r="E325" s="36"/>
      <c r="F325" s="36"/>
      <c r="G325" s="36"/>
      <c r="H325" s="35"/>
      <c r="I325" s="35"/>
      <c r="J325" s="36"/>
      <c r="K325" s="36"/>
      <c r="L325" s="36"/>
      <c r="M325" s="36"/>
      <c r="N325" s="36"/>
      <c r="O325" s="36"/>
      <c r="P325" s="36"/>
      <c r="Q325" s="36"/>
      <c r="R325" s="36"/>
    </row>
    <row r="326">
      <c r="A326" s="122"/>
      <c r="E326" s="36"/>
      <c r="F326" s="36"/>
      <c r="G326" s="36"/>
      <c r="H326" s="35"/>
      <c r="I326" s="35"/>
      <c r="J326" s="36"/>
      <c r="K326" s="36"/>
      <c r="L326" s="36"/>
      <c r="M326" s="36"/>
      <c r="N326" s="36"/>
      <c r="O326" s="36"/>
      <c r="P326" s="36"/>
      <c r="Q326" s="36"/>
      <c r="R326" s="36"/>
    </row>
    <row r="327">
      <c r="A327" s="122"/>
      <c r="E327" s="36"/>
      <c r="F327" s="36"/>
      <c r="G327" s="36"/>
      <c r="H327" s="35"/>
      <c r="I327" s="35"/>
      <c r="J327" s="36"/>
      <c r="K327" s="36"/>
      <c r="L327" s="36"/>
      <c r="M327" s="36"/>
      <c r="N327" s="36"/>
      <c r="O327" s="36"/>
      <c r="P327" s="36"/>
      <c r="Q327" s="36"/>
      <c r="R327" s="36"/>
    </row>
    <row r="328">
      <c r="A328" s="122"/>
      <c r="E328" s="36"/>
      <c r="F328" s="36"/>
      <c r="G328" s="36"/>
      <c r="H328" s="35"/>
      <c r="I328" s="35"/>
      <c r="J328" s="36"/>
      <c r="K328" s="36"/>
      <c r="L328" s="36"/>
      <c r="M328" s="36"/>
      <c r="N328" s="36"/>
      <c r="O328" s="36"/>
      <c r="P328" s="36"/>
      <c r="Q328" s="36"/>
      <c r="R328" s="36"/>
    </row>
    <row r="329">
      <c r="A329" s="122"/>
      <c r="E329" s="36"/>
      <c r="F329" s="36"/>
      <c r="G329" s="36"/>
      <c r="H329" s="35"/>
      <c r="I329" s="35"/>
      <c r="J329" s="36"/>
      <c r="K329" s="36"/>
      <c r="L329" s="36"/>
      <c r="M329" s="36"/>
      <c r="N329" s="36"/>
      <c r="O329" s="36"/>
      <c r="P329" s="36"/>
      <c r="Q329" s="36"/>
      <c r="R329" s="36"/>
    </row>
    <row r="330">
      <c r="A330" s="122"/>
      <c r="E330" s="36"/>
      <c r="F330" s="36"/>
      <c r="G330" s="36"/>
      <c r="H330" s="35"/>
      <c r="I330" s="35"/>
      <c r="J330" s="36"/>
      <c r="K330" s="36"/>
      <c r="L330" s="36"/>
      <c r="M330" s="36"/>
      <c r="N330" s="36"/>
      <c r="O330" s="36"/>
      <c r="P330" s="36"/>
      <c r="Q330" s="36"/>
      <c r="R330" s="36"/>
    </row>
    <row r="331">
      <c r="A331" s="122"/>
      <c r="E331" s="36"/>
      <c r="F331" s="36"/>
      <c r="G331" s="36"/>
      <c r="H331" s="35"/>
      <c r="I331" s="35"/>
      <c r="J331" s="36"/>
      <c r="K331" s="36"/>
      <c r="L331" s="36"/>
      <c r="M331" s="36"/>
      <c r="N331" s="36"/>
      <c r="O331" s="36"/>
      <c r="P331" s="36"/>
      <c r="Q331" s="36"/>
      <c r="R331" s="36"/>
    </row>
    <row r="332">
      <c r="A332" s="122"/>
      <c r="E332" s="36"/>
      <c r="F332" s="36"/>
      <c r="G332" s="36"/>
      <c r="H332" s="35"/>
      <c r="I332" s="35"/>
      <c r="J332" s="36"/>
      <c r="K332" s="36"/>
      <c r="L332" s="36"/>
      <c r="M332" s="36"/>
      <c r="N332" s="36"/>
      <c r="O332" s="36"/>
      <c r="P332" s="36"/>
      <c r="Q332" s="36"/>
      <c r="R332" s="36"/>
    </row>
    <row r="333">
      <c r="A333" s="122"/>
      <c r="E333" s="36"/>
      <c r="F333" s="36"/>
      <c r="G333" s="36"/>
      <c r="H333" s="35"/>
      <c r="I333" s="35"/>
      <c r="J333" s="36"/>
      <c r="K333" s="36"/>
      <c r="L333" s="36"/>
      <c r="M333" s="36"/>
      <c r="N333" s="36"/>
      <c r="O333" s="36"/>
      <c r="P333" s="36"/>
      <c r="Q333" s="36"/>
      <c r="R333" s="36"/>
    </row>
    <row r="334">
      <c r="A334" s="122"/>
      <c r="E334" s="36"/>
      <c r="F334" s="36"/>
      <c r="G334" s="36"/>
      <c r="H334" s="35"/>
      <c r="I334" s="35"/>
      <c r="J334" s="36"/>
      <c r="K334" s="36"/>
      <c r="L334" s="36"/>
      <c r="M334" s="36"/>
      <c r="N334" s="36"/>
      <c r="O334" s="36"/>
      <c r="P334" s="36"/>
      <c r="Q334" s="36"/>
      <c r="R334" s="36"/>
    </row>
    <row r="335">
      <c r="A335" s="122"/>
      <c r="E335" s="36"/>
      <c r="F335" s="36"/>
      <c r="G335" s="36"/>
      <c r="H335" s="35"/>
      <c r="I335" s="35"/>
      <c r="J335" s="36"/>
      <c r="K335" s="36"/>
      <c r="L335" s="36"/>
      <c r="M335" s="36"/>
      <c r="N335" s="36"/>
      <c r="O335" s="36"/>
      <c r="P335" s="36"/>
      <c r="Q335" s="36"/>
      <c r="R335" s="36"/>
    </row>
    <row r="336">
      <c r="A336" s="122"/>
      <c r="E336" s="36"/>
      <c r="F336" s="36"/>
      <c r="G336" s="36"/>
      <c r="H336" s="35"/>
      <c r="I336" s="35"/>
      <c r="J336" s="36"/>
      <c r="K336" s="36"/>
      <c r="L336" s="36"/>
      <c r="M336" s="36"/>
      <c r="N336" s="36"/>
      <c r="O336" s="36"/>
      <c r="P336" s="36"/>
      <c r="Q336" s="36"/>
      <c r="R336" s="36"/>
    </row>
    <row r="337">
      <c r="A337" s="122"/>
      <c r="E337" s="36"/>
      <c r="F337" s="36"/>
      <c r="G337" s="36"/>
      <c r="H337" s="35"/>
      <c r="I337" s="35"/>
      <c r="J337" s="36"/>
      <c r="K337" s="36"/>
      <c r="L337" s="36"/>
      <c r="M337" s="36"/>
      <c r="N337" s="36"/>
      <c r="O337" s="36"/>
      <c r="P337" s="36"/>
      <c r="Q337" s="36"/>
      <c r="R337" s="36"/>
    </row>
    <row r="338">
      <c r="A338" s="122"/>
      <c r="E338" s="36"/>
      <c r="F338" s="36"/>
      <c r="G338" s="36"/>
      <c r="H338" s="35"/>
      <c r="I338" s="35"/>
      <c r="J338" s="36"/>
      <c r="K338" s="36"/>
      <c r="L338" s="36"/>
      <c r="M338" s="36"/>
      <c r="N338" s="36"/>
      <c r="O338" s="36"/>
      <c r="P338" s="36"/>
      <c r="Q338" s="36"/>
      <c r="R338" s="36"/>
    </row>
    <row r="339">
      <c r="A339" s="122"/>
      <c r="E339" s="36"/>
      <c r="F339" s="36"/>
      <c r="G339" s="36"/>
      <c r="H339" s="35"/>
      <c r="I339" s="35"/>
      <c r="J339" s="36"/>
      <c r="K339" s="36"/>
      <c r="L339" s="36"/>
      <c r="M339" s="36"/>
      <c r="N339" s="36"/>
      <c r="O339" s="36"/>
      <c r="P339" s="36"/>
      <c r="Q339" s="36"/>
      <c r="R339" s="36"/>
    </row>
    <row r="340">
      <c r="A340" s="122"/>
      <c r="E340" s="36"/>
      <c r="F340" s="36"/>
      <c r="G340" s="36"/>
      <c r="H340" s="35"/>
      <c r="I340" s="35"/>
      <c r="J340" s="36"/>
      <c r="K340" s="36"/>
      <c r="L340" s="36"/>
      <c r="M340" s="36"/>
      <c r="N340" s="36"/>
      <c r="O340" s="36"/>
      <c r="P340" s="36"/>
      <c r="Q340" s="36"/>
      <c r="R340" s="36"/>
    </row>
    <row r="341">
      <c r="A341" s="122"/>
      <c r="E341" s="36"/>
      <c r="F341" s="36"/>
      <c r="G341" s="36"/>
      <c r="H341" s="35"/>
      <c r="I341" s="35"/>
      <c r="J341" s="36"/>
      <c r="K341" s="36"/>
      <c r="L341" s="36"/>
      <c r="M341" s="36"/>
      <c r="N341" s="36"/>
      <c r="O341" s="36"/>
      <c r="P341" s="36"/>
      <c r="Q341" s="36"/>
      <c r="R341" s="36"/>
    </row>
    <row r="342">
      <c r="A342" s="122"/>
      <c r="E342" s="36"/>
      <c r="F342" s="36"/>
      <c r="G342" s="36"/>
      <c r="H342" s="35"/>
      <c r="I342" s="35"/>
      <c r="J342" s="36"/>
      <c r="K342" s="36"/>
      <c r="L342" s="36"/>
      <c r="M342" s="36"/>
      <c r="N342" s="36"/>
      <c r="O342" s="36"/>
      <c r="P342" s="36"/>
      <c r="Q342" s="36"/>
      <c r="R342" s="36"/>
    </row>
    <row r="343">
      <c r="A343" s="122"/>
      <c r="E343" s="36"/>
      <c r="F343" s="36"/>
      <c r="G343" s="36"/>
      <c r="H343" s="35"/>
      <c r="I343" s="35"/>
      <c r="J343" s="36"/>
      <c r="K343" s="36"/>
      <c r="L343" s="36"/>
      <c r="M343" s="36"/>
      <c r="N343" s="36"/>
      <c r="O343" s="36"/>
      <c r="P343" s="36"/>
      <c r="Q343" s="36"/>
      <c r="R343" s="36"/>
    </row>
    <row r="344">
      <c r="A344" s="122"/>
      <c r="E344" s="36"/>
      <c r="F344" s="36"/>
      <c r="G344" s="36"/>
      <c r="H344" s="35"/>
      <c r="I344" s="35"/>
      <c r="J344" s="36"/>
      <c r="K344" s="36"/>
      <c r="L344" s="36"/>
      <c r="M344" s="36"/>
      <c r="N344" s="36"/>
      <c r="O344" s="36"/>
      <c r="P344" s="36"/>
      <c r="Q344" s="36"/>
      <c r="R344" s="36"/>
    </row>
    <row r="345">
      <c r="A345" s="122"/>
      <c r="E345" s="36"/>
      <c r="F345" s="36"/>
      <c r="G345" s="36"/>
      <c r="H345" s="35"/>
      <c r="I345" s="35"/>
      <c r="J345" s="36"/>
      <c r="K345" s="36"/>
      <c r="L345" s="36"/>
      <c r="M345" s="36"/>
      <c r="N345" s="36"/>
      <c r="O345" s="36"/>
      <c r="P345" s="36"/>
      <c r="Q345" s="36"/>
      <c r="R345" s="36"/>
    </row>
    <row r="346">
      <c r="A346" s="122"/>
      <c r="E346" s="36"/>
      <c r="F346" s="36"/>
      <c r="G346" s="36"/>
      <c r="H346" s="35"/>
      <c r="I346" s="35"/>
      <c r="J346" s="36"/>
      <c r="K346" s="36"/>
      <c r="L346" s="36"/>
      <c r="M346" s="36"/>
      <c r="N346" s="36"/>
      <c r="O346" s="36"/>
      <c r="P346" s="36"/>
      <c r="Q346" s="36"/>
      <c r="R346" s="36"/>
    </row>
    <row r="347">
      <c r="A347" s="122"/>
      <c r="E347" s="36"/>
      <c r="F347" s="36"/>
      <c r="G347" s="36"/>
      <c r="H347" s="35"/>
      <c r="I347" s="35"/>
      <c r="J347" s="36"/>
      <c r="K347" s="36"/>
      <c r="L347" s="36"/>
      <c r="M347" s="36"/>
      <c r="N347" s="36"/>
      <c r="O347" s="36"/>
      <c r="P347" s="36"/>
      <c r="Q347" s="36"/>
      <c r="R347" s="36"/>
    </row>
    <row r="348">
      <c r="A348" s="122"/>
      <c r="E348" s="36"/>
      <c r="F348" s="36"/>
      <c r="G348" s="36"/>
      <c r="H348" s="35"/>
      <c r="I348" s="35"/>
      <c r="J348" s="36"/>
      <c r="K348" s="36"/>
      <c r="L348" s="36"/>
      <c r="M348" s="36"/>
      <c r="N348" s="36"/>
      <c r="O348" s="36"/>
      <c r="P348" s="36"/>
      <c r="Q348" s="36"/>
      <c r="R348" s="36"/>
    </row>
    <row r="349">
      <c r="A349" s="122"/>
      <c r="E349" s="36"/>
      <c r="F349" s="36"/>
      <c r="G349" s="36"/>
      <c r="H349" s="35"/>
      <c r="I349" s="35"/>
      <c r="J349" s="36"/>
      <c r="K349" s="36"/>
      <c r="L349" s="36"/>
      <c r="M349" s="36"/>
      <c r="N349" s="36"/>
      <c r="O349" s="36"/>
      <c r="P349" s="36"/>
      <c r="Q349" s="36"/>
      <c r="R349" s="36"/>
    </row>
    <row r="350">
      <c r="A350" s="122"/>
      <c r="E350" s="36"/>
      <c r="F350" s="36"/>
      <c r="G350" s="36"/>
      <c r="H350" s="35"/>
      <c r="I350" s="35"/>
      <c r="J350" s="36"/>
      <c r="K350" s="36"/>
      <c r="L350" s="36"/>
      <c r="M350" s="36"/>
      <c r="N350" s="36"/>
      <c r="O350" s="36"/>
      <c r="P350" s="36"/>
      <c r="Q350" s="36"/>
      <c r="R350" s="36"/>
    </row>
    <row r="351">
      <c r="A351" s="122"/>
      <c r="E351" s="36"/>
      <c r="F351" s="36"/>
      <c r="G351" s="36"/>
      <c r="H351" s="35"/>
      <c r="I351" s="35"/>
      <c r="J351" s="36"/>
      <c r="K351" s="36"/>
      <c r="L351" s="36"/>
      <c r="M351" s="36"/>
      <c r="N351" s="36"/>
      <c r="O351" s="36"/>
      <c r="P351" s="36"/>
      <c r="Q351" s="36"/>
      <c r="R351" s="36"/>
    </row>
    <row r="352">
      <c r="A352" s="122"/>
      <c r="E352" s="36"/>
      <c r="F352" s="36"/>
      <c r="G352" s="36"/>
      <c r="H352" s="35"/>
      <c r="I352" s="35"/>
      <c r="J352" s="36"/>
      <c r="K352" s="36"/>
      <c r="L352" s="36"/>
      <c r="M352" s="36"/>
      <c r="N352" s="36"/>
      <c r="O352" s="36"/>
      <c r="P352" s="36"/>
      <c r="Q352" s="36"/>
      <c r="R352" s="36"/>
    </row>
    <row r="353">
      <c r="A353" s="122"/>
      <c r="E353" s="36"/>
      <c r="F353" s="36"/>
      <c r="G353" s="36"/>
      <c r="H353" s="35"/>
      <c r="I353" s="35"/>
      <c r="J353" s="36"/>
      <c r="K353" s="36"/>
      <c r="L353" s="36"/>
      <c r="M353" s="36"/>
      <c r="N353" s="36"/>
      <c r="O353" s="36"/>
      <c r="P353" s="36"/>
      <c r="Q353" s="36"/>
      <c r="R353" s="36"/>
    </row>
    <row r="354">
      <c r="A354" s="122"/>
      <c r="E354" s="36"/>
      <c r="F354" s="36"/>
      <c r="G354" s="36"/>
      <c r="H354" s="35"/>
      <c r="I354" s="35"/>
      <c r="J354" s="36"/>
      <c r="K354" s="36"/>
      <c r="L354" s="36"/>
      <c r="M354" s="36"/>
      <c r="N354" s="36"/>
      <c r="O354" s="36"/>
      <c r="P354" s="36"/>
      <c r="Q354" s="36"/>
      <c r="R354" s="36"/>
    </row>
    <row r="355">
      <c r="A355" s="122"/>
      <c r="E355" s="36"/>
      <c r="F355" s="36"/>
      <c r="G355" s="36"/>
      <c r="H355" s="35"/>
      <c r="I355" s="35"/>
      <c r="J355" s="36"/>
      <c r="K355" s="36"/>
      <c r="L355" s="36"/>
      <c r="M355" s="36"/>
      <c r="N355" s="36"/>
      <c r="O355" s="36"/>
      <c r="P355" s="36"/>
      <c r="Q355" s="36"/>
      <c r="R355" s="36"/>
    </row>
    <row r="356">
      <c r="A356" s="122"/>
      <c r="E356" s="36"/>
      <c r="F356" s="36"/>
      <c r="G356" s="36"/>
      <c r="H356" s="35"/>
      <c r="I356" s="35"/>
      <c r="J356" s="36"/>
      <c r="K356" s="36"/>
      <c r="L356" s="36"/>
      <c r="M356" s="36"/>
      <c r="N356" s="36"/>
      <c r="O356" s="36"/>
      <c r="P356" s="36"/>
      <c r="Q356" s="36"/>
      <c r="R356" s="36"/>
    </row>
    <row r="357">
      <c r="A357" s="122"/>
      <c r="E357" s="36"/>
      <c r="F357" s="36"/>
      <c r="G357" s="36"/>
      <c r="H357" s="35"/>
      <c r="I357" s="35"/>
      <c r="J357" s="36"/>
      <c r="K357" s="36"/>
      <c r="L357" s="36"/>
      <c r="M357" s="36"/>
      <c r="N357" s="36"/>
      <c r="O357" s="36"/>
      <c r="P357" s="36"/>
      <c r="Q357" s="36"/>
      <c r="R357" s="36"/>
    </row>
    <row r="358">
      <c r="A358" s="122"/>
      <c r="E358" s="36"/>
      <c r="F358" s="36"/>
      <c r="G358" s="36"/>
      <c r="H358" s="35"/>
      <c r="I358" s="35"/>
      <c r="J358" s="36"/>
      <c r="K358" s="36"/>
      <c r="L358" s="36"/>
      <c r="M358" s="36"/>
      <c r="N358" s="36"/>
      <c r="O358" s="36"/>
      <c r="P358" s="36"/>
      <c r="Q358" s="36"/>
      <c r="R358" s="36"/>
    </row>
    <row r="359">
      <c r="A359" s="122"/>
      <c r="E359" s="36"/>
      <c r="F359" s="36"/>
      <c r="G359" s="36"/>
      <c r="H359" s="35"/>
      <c r="I359" s="35"/>
      <c r="J359" s="36"/>
      <c r="K359" s="36"/>
      <c r="L359" s="36"/>
      <c r="M359" s="36"/>
      <c r="N359" s="36"/>
      <c r="O359" s="36"/>
      <c r="P359" s="36"/>
      <c r="Q359" s="36"/>
      <c r="R359" s="36"/>
    </row>
    <row r="360">
      <c r="A360" s="122"/>
      <c r="E360" s="36"/>
      <c r="F360" s="36"/>
      <c r="G360" s="36"/>
      <c r="H360" s="35"/>
      <c r="I360" s="35"/>
      <c r="J360" s="36"/>
      <c r="K360" s="36"/>
      <c r="L360" s="36"/>
      <c r="M360" s="36"/>
      <c r="N360" s="36"/>
      <c r="O360" s="36"/>
      <c r="P360" s="36"/>
      <c r="Q360" s="36"/>
      <c r="R360" s="36"/>
    </row>
    <row r="361">
      <c r="A361" s="122"/>
      <c r="E361" s="36"/>
      <c r="F361" s="36"/>
      <c r="G361" s="36"/>
      <c r="H361" s="35"/>
      <c r="I361" s="35"/>
      <c r="J361" s="36"/>
      <c r="K361" s="36"/>
      <c r="L361" s="36"/>
      <c r="M361" s="36"/>
      <c r="N361" s="36"/>
      <c r="O361" s="36"/>
      <c r="P361" s="36"/>
      <c r="Q361" s="36"/>
      <c r="R361" s="36"/>
    </row>
    <row r="362">
      <c r="A362" s="122"/>
      <c r="E362" s="36"/>
      <c r="F362" s="36"/>
      <c r="G362" s="36"/>
      <c r="H362" s="35"/>
      <c r="I362" s="35"/>
      <c r="J362" s="36"/>
      <c r="K362" s="36"/>
      <c r="L362" s="36"/>
      <c r="M362" s="36"/>
      <c r="N362" s="36"/>
      <c r="O362" s="36"/>
      <c r="P362" s="36"/>
      <c r="Q362" s="36"/>
      <c r="R362" s="36"/>
    </row>
    <row r="363">
      <c r="A363" s="122"/>
      <c r="E363" s="36"/>
      <c r="F363" s="36"/>
      <c r="G363" s="36"/>
      <c r="H363" s="35"/>
      <c r="I363" s="35"/>
      <c r="J363" s="36"/>
      <c r="K363" s="36"/>
      <c r="L363" s="36"/>
      <c r="M363" s="36"/>
      <c r="N363" s="36"/>
      <c r="O363" s="36"/>
      <c r="P363" s="36"/>
      <c r="Q363" s="36"/>
      <c r="R363" s="36"/>
    </row>
    <row r="364">
      <c r="A364" s="122"/>
      <c r="E364" s="36"/>
      <c r="F364" s="36"/>
      <c r="G364" s="36"/>
      <c r="H364" s="35"/>
      <c r="I364" s="35"/>
      <c r="J364" s="36"/>
      <c r="K364" s="36"/>
      <c r="L364" s="36"/>
      <c r="M364" s="36"/>
      <c r="N364" s="36"/>
      <c r="O364" s="36"/>
      <c r="P364" s="36"/>
      <c r="Q364" s="36"/>
      <c r="R364" s="36"/>
    </row>
    <row r="365">
      <c r="A365" s="122"/>
      <c r="E365" s="36"/>
      <c r="F365" s="36"/>
      <c r="G365" s="36"/>
      <c r="H365" s="35"/>
      <c r="I365" s="35"/>
      <c r="J365" s="36"/>
      <c r="K365" s="36"/>
      <c r="L365" s="36"/>
      <c r="M365" s="36"/>
      <c r="N365" s="36"/>
      <c r="O365" s="36"/>
      <c r="P365" s="36"/>
      <c r="Q365" s="36"/>
      <c r="R365" s="36"/>
    </row>
    <row r="366">
      <c r="A366" s="122"/>
      <c r="E366" s="36"/>
      <c r="F366" s="36"/>
      <c r="G366" s="36"/>
      <c r="H366" s="35"/>
      <c r="I366" s="35"/>
      <c r="J366" s="36"/>
      <c r="K366" s="36"/>
      <c r="L366" s="36"/>
      <c r="M366" s="36"/>
      <c r="N366" s="36"/>
      <c r="O366" s="36"/>
      <c r="P366" s="36"/>
      <c r="Q366" s="36"/>
      <c r="R366" s="36"/>
    </row>
    <row r="367">
      <c r="A367" s="122"/>
      <c r="E367" s="36"/>
      <c r="F367" s="36"/>
      <c r="G367" s="36"/>
      <c r="H367" s="35"/>
      <c r="I367" s="35"/>
      <c r="J367" s="36"/>
      <c r="K367" s="36"/>
      <c r="L367" s="36"/>
      <c r="M367" s="36"/>
      <c r="N367" s="36"/>
      <c r="O367" s="36"/>
      <c r="P367" s="36"/>
      <c r="Q367" s="36"/>
      <c r="R367" s="36"/>
    </row>
    <row r="368">
      <c r="A368" s="122"/>
      <c r="E368" s="36"/>
      <c r="F368" s="36"/>
      <c r="G368" s="36"/>
      <c r="H368" s="35"/>
      <c r="I368" s="35"/>
      <c r="J368" s="36"/>
      <c r="K368" s="36"/>
      <c r="L368" s="36"/>
      <c r="M368" s="36"/>
      <c r="N368" s="36"/>
      <c r="O368" s="36"/>
      <c r="P368" s="36"/>
      <c r="Q368" s="36"/>
      <c r="R368" s="36"/>
    </row>
    <row r="369">
      <c r="A369" s="122"/>
      <c r="E369" s="36"/>
      <c r="F369" s="36"/>
      <c r="G369" s="36"/>
      <c r="H369" s="35"/>
      <c r="I369" s="35"/>
      <c r="J369" s="36"/>
      <c r="K369" s="36"/>
      <c r="L369" s="36"/>
      <c r="M369" s="36"/>
      <c r="N369" s="36"/>
      <c r="O369" s="36"/>
      <c r="P369" s="36"/>
      <c r="Q369" s="36"/>
      <c r="R369" s="36"/>
    </row>
    <row r="370">
      <c r="A370" s="122"/>
      <c r="E370" s="36"/>
      <c r="F370" s="36"/>
      <c r="G370" s="36"/>
      <c r="H370" s="35"/>
      <c r="I370" s="35"/>
      <c r="J370" s="36"/>
      <c r="K370" s="36"/>
      <c r="L370" s="36"/>
      <c r="M370" s="36"/>
      <c r="N370" s="36"/>
      <c r="O370" s="36"/>
      <c r="P370" s="36"/>
      <c r="Q370" s="36"/>
      <c r="R370" s="36"/>
    </row>
    <row r="371">
      <c r="A371" s="122"/>
      <c r="E371" s="36"/>
      <c r="F371" s="36"/>
      <c r="G371" s="36"/>
      <c r="H371" s="35"/>
      <c r="I371" s="35"/>
      <c r="J371" s="36"/>
      <c r="K371" s="36"/>
      <c r="L371" s="36"/>
      <c r="M371" s="36"/>
      <c r="N371" s="36"/>
      <c r="O371" s="36"/>
      <c r="P371" s="36"/>
      <c r="Q371" s="36"/>
      <c r="R371" s="36"/>
    </row>
    <row r="372">
      <c r="A372" s="122"/>
      <c r="E372" s="36"/>
      <c r="F372" s="36"/>
      <c r="G372" s="36"/>
      <c r="H372" s="35"/>
      <c r="I372" s="35"/>
      <c r="J372" s="36"/>
      <c r="K372" s="36"/>
      <c r="L372" s="36"/>
      <c r="M372" s="36"/>
      <c r="N372" s="36"/>
      <c r="O372" s="36"/>
      <c r="P372" s="36"/>
      <c r="Q372" s="36"/>
      <c r="R372" s="36"/>
    </row>
    <row r="373">
      <c r="A373" s="122"/>
      <c r="E373" s="36"/>
      <c r="F373" s="36"/>
      <c r="G373" s="36"/>
      <c r="H373" s="35"/>
      <c r="I373" s="35"/>
      <c r="J373" s="36"/>
      <c r="K373" s="36"/>
      <c r="L373" s="36"/>
      <c r="M373" s="36"/>
      <c r="N373" s="36"/>
      <c r="O373" s="36"/>
      <c r="P373" s="36"/>
      <c r="Q373" s="36"/>
      <c r="R373" s="36"/>
    </row>
    <row r="374">
      <c r="A374" s="122"/>
      <c r="E374" s="36"/>
      <c r="F374" s="36"/>
      <c r="G374" s="36"/>
      <c r="H374" s="35"/>
      <c r="I374" s="35"/>
      <c r="J374" s="36"/>
      <c r="K374" s="36"/>
      <c r="L374" s="36"/>
      <c r="M374" s="36"/>
      <c r="N374" s="36"/>
      <c r="O374" s="36"/>
      <c r="P374" s="36"/>
      <c r="Q374" s="36"/>
      <c r="R374" s="36"/>
    </row>
    <row r="375">
      <c r="A375" s="122"/>
      <c r="E375" s="36"/>
      <c r="F375" s="36"/>
      <c r="G375" s="36"/>
      <c r="H375" s="35"/>
      <c r="I375" s="35"/>
      <c r="J375" s="36"/>
      <c r="K375" s="36"/>
      <c r="L375" s="36"/>
      <c r="M375" s="36"/>
      <c r="N375" s="36"/>
      <c r="O375" s="36"/>
      <c r="P375" s="36"/>
      <c r="Q375" s="36"/>
      <c r="R375" s="36"/>
    </row>
    <row r="376">
      <c r="A376" s="122"/>
      <c r="E376" s="36"/>
      <c r="F376" s="36"/>
      <c r="G376" s="36"/>
      <c r="H376" s="35"/>
      <c r="I376" s="35"/>
      <c r="J376" s="36"/>
      <c r="K376" s="36"/>
      <c r="L376" s="36"/>
      <c r="M376" s="36"/>
      <c r="N376" s="36"/>
      <c r="O376" s="36"/>
      <c r="P376" s="36"/>
      <c r="Q376" s="36"/>
      <c r="R376" s="36"/>
    </row>
    <row r="377">
      <c r="A377" s="122"/>
      <c r="E377" s="36"/>
      <c r="F377" s="36"/>
      <c r="G377" s="36"/>
      <c r="H377" s="35"/>
      <c r="I377" s="35"/>
      <c r="J377" s="36"/>
      <c r="K377" s="36"/>
      <c r="L377" s="36"/>
      <c r="M377" s="36"/>
      <c r="N377" s="36"/>
      <c r="O377" s="36"/>
      <c r="P377" s="36"/>
      <c r="Q377" s="36"/>
      <c r="R377" s="36"/>
    </row>
    <row r="378">
      <c r="A378" s="122"/>
      <c r="E378" s="36"/>
      <c r="F378" s="36"/>
      <c r="G378" s="36"/>
      <c r="H378" s="35"/>
      <c r="I378" s="35"/>
      <c r="J378" s="36"/>
      <c r="K378" s="36"/>
      <c r="L378" s="36"/>
      <c r="M378" s="36"/>
      <c r="N378" s="36"/>
      <c r="O378" s="36"/>
      <c r="P378" s="36"/>
      <c r="Q378" s="36"/>
      <c r="R378" s="36"/>
    </row>
    <row r="379">
      <c r="A379" s="122"/>
      <c r="E379" s="36"/>
      <c r="F379" s="36"/>
      <c r="G379" s="36"/>
      <c r="H379" s="35"/>
      <c r="I379" s="35"/>
      <c r="J379" s="36"/>
      <c r="K379" s="36"/>
      <c r="L379" s="36"/>
      <c r="M379" s="36"/>
      <c r="N379" s="36"/>
      <c r="O379" s="36"/>
      <c r="P379" s="36"/>
      <c r="Q379" s="36"/>
      <c r="R379" s="36"/>
    </row>
    <row r="380">
      <c r="A380" s="122"/>
      <c r="E380" s="36"/>
      <c r="F380" s="36"/>
      <c r="G380" s="36"/>
      <c r="H380" s="35"/>
      <c r="I380" s="35"/>
      <c r="J380" s="36"/>
      <c r="K380" s="36"/>
      <c r="L380" s="36"/>
      <c r="M380" s="36"/>
      <c r="N380" s="36"/>
      <c r="O380" s="36"/>
      <c r="P380" s="36"/>
      <c r="Q380" s="36"/>
      <c r="R380" s="36"/>
    </row>
    <row r="381">
      <c r="A381" s="122"/>
      <c r="E381" s="36"/>
      <c r="F381" s="36"/>
      <c r="G381" s="36"/>
      <c r="H381" s="35"/>
      <c r="I381" s="35"/>
      <c r="J381" s="36"/>
      <c r="K381" s="36"/>
      <c r="L381" s="36"/>
      <c r="M381" s="36"/>
      <c r="N381" s="36"/>
      <c r="O381" s="36"/>
      <c r="P381" s="36"/>
      <c r="Q381" s="36"/>
      <c r="R381" s="36"/>
    </row>
    <row r="382">
      <c r="A382" s="122"/>
      <c r="E382" s="36"/>
      <c r="F382" s="36"/>
      <c r="G382" s="36"/>
      <c r="H382" s="35"/>
      <c r="I382" s="35"/>
      <c r="J382" s="36"/>
      <c r="K382" s="36"/>
      <c r="L382" s="36"/>
      <c r="M382" s="36"/>
      <c r="N382" s="36"/>
      <c r="O382" s="36"/>
      <c r="P382" s="36"/>
      <c r="Q382" s="36"/>
      <c r="R382" s="36"/>
    </row>
    <row r="383">
      <c r="A383" s="122"/>
      <c r="E383" s="36"/>
      <c r="F383" s="36"/>
      <c r="G383" s="36"/>
      <c r="H383" s="35"/>
      <c r="I383" s="35"/>
      <c r="J383" s="36"/>
      <c r="K383" s="36"/>
      <c r="L383" s="36"/>
      <c r="M383" s="36"/>
      <c r="N383" s="36"/>
      <c r="O383" s="36"/>
      <c r="P383" s="36"/>
      <c r="Q383" s="36"/>
      <c r="R383" s="36"/>
    </row>
    <row r="384">
      <c r="A384" s="122"/>
      <c r="E384" s="36"/>
      <c r="F384" s="36"/>
      <c r="G384" s="36"/>
      <c r="H384" s="35"/>
      <c r="I384" s="35"/>
      <c r="J384" s="36"/>
      <c r="K384" s="36"/>
      <c r="L384" s="36"/>
      <c r="M384" s="36"/>
      <c r="N384" s="36"/>
      <c r="O384" s="36"/>
      <c r="P384" s="36"/>
      <c r="Q384" s="36"/>
      <c r="R384" s="36"/>
    </row>
    <row r="385">
      <c r="A385" s="122"/>
      <c r="E385" s="36"/>
      <c r="F385" s="36"/>
      <c r="G385" s="36"/>
      <c r="H385" s="35"/>
      <c r="I385" s="35"/>
      <c r="J385" s="36"/>
      <c r="K385" s="36"/>
      <c r="L385" s="36"/>
      <c r="M385" s="36"/>
      <c r="N385" s="36"/>
      <c r="O385" s="36"/>
      <c r="P385" s="36"/>
      <c r="Q385" s="36"/>
      <c r="R385" s="36"/>
    </row>
    <row r="386">
      <c r="A386" s="122"/>
      <c r="E386" s="36"/>
      <c r="F386" s="36"/>
      <c r="G386" s="36"/>
      <c r="H386" s="35"/>
      <c r="I386" s="35"/>
      <c r="J386" s="36"/>
      <c r="K386" s="36"/>
      <c r="L386" s="36"/>
      <c r="M386" s="36"/>
      <c r="N386" s="36"/>
      <c r="O386" s="36"/>
      <c r="P386" s="36"/>
      <c r="Q386" s="36"/>
      <c r="R386" s="36"/>
    </row>
    <row r="387">
      <c r="A387" s="122"/>
      <c r="E387" s="36"/>
      <c r="F387" s="36"/>
      <c r="G387" s="36"/>
      <c r="H387" s="35"/>
      <c r="I387" s="35"/>
      <c r="J387" s="36"/>
      <c r="K387" s="36"/>
      <c r="L387" s="36"/>
      <c r="M387" s="36"/>
      <c r="N387" s="36"/>
      <c r="O387" s="36"/>
      <c r="P387" s="36"/>
      <c r="Q387" s="36"/>
      <c r="R387" s="36"/>
    </row>
    <row r="388">
      <c r="A388" s="122"/>
      <c r="E388" s="36"/>
      <c r="F388" s="36"/>
      <c r="G388" s="36"/>
      <c r="H388" s="35"/>
      <c r="I388" s="35"/>
      <c r="J388" s="36"/>
      <c r="K388" s="36"/>
      <c r="L388" s="36"/>
      <c r="M388" s="36"/>
      <c r="N388" s="36"/>
      <c r="O388" s="36"/>
      <c r="P388" s="36"/>
      <c r="Q388" s="36"/>
      <c r="R388" s="36"/>
    </row>
    <row r="389">
      <c r="A389" s="122"/>
      <c r="E389" s="36"/>
      <c r="F389" s="36"/>
      <c r="G389" s="36"/>
      <c r="H389" s="35"/>
      <c r="I389" s="35"/>
      <c r="J389" s="36"/>
      <c r="K389" s="36"/>
      <c r="L389" s="36"/>
      <c r="M389" s="36"/>
      <c r="N389" s="36"/>
      <c r="O389" s="36"/>
      <c r="P389" s="36"/>
      <c r="Q389" s="36"/>
      <c r="R389" s="36"/>
    </row>
    <row r="390">
      <c r="A390" s="122"/>
      <c r="E390" s="36"/>
      <c r="F390" s="36"/>
      <c r="G390" s="36"/>
      <c r="H390" s="35"/>
      <c r="I390" s="35"/>
      <c r="J390" s="36"/>
      <c r="K390" s="36"/>
      <c r="L390" s="36"/>
      <c r="M390" s="36"/>
      <c r="N390" s="36"/>
      <c r="O390" s="36"/>
      <c r="P390" s="36"/>
      <c r="Q390" s="36"/>
      <c r="R390" s="36"/>
    </row>
    <row r="391">
      <c r="A391" s="122"/>
      <c r="E391" s="36"/>
      <c r="F391" s="36"/>
      <c r="G391" s="36"/>
      <c r="H391" s="35"/>
      <c r="I391" s="35"/>
      <c r="J391" s="36"/>
      <c r="K391" s="36"/>
      <c r="L391" s="36"/>
      <c r="M391" s="36"/>
      <c r="N391" s="36"/>
      <c r="O391" s="36"/>
      <c r="P391" s="36"/>
      <c r="Q391" s="36"/>
      <c r="R391" s="36"/>
    </row>
    <row r="392">
      <c r="A392" s="122"/>
      <c r="E392" s="36"/>
      <c r="F392" s="36"/>
      <c r="G392" s="36"/>
      <c r="H392" s="35"/>
      <c r="I392" s="35"/>
      <c r="J392" s="36"/>
      <c r="K392" s="36"/>
      <c r="L392" s="36"/>
      <c r="M392" s="36"/>
      <c r="N392" s="36"/>
      <c r="O392" s="36"/>
      <c r="P392" s="36"/>
      <c r="Q392" s="36"/>
      <c r="R392" s="36"/>
    </row>
    <row r="393">
      <c r="A393" s="122"/>
      <c r="E393" s="36"/>
      <c r="F393" s="36"/>
      <c r="G393" s="36"/>
      <c r="H393" s="35"/>
      <c r="I393" s="35"/>
      <c r="J393" s="36"/>
      <c r="K393" s="36"/>
      <c r="L393" s="36"/>
      <c r="M393" s="36"/>
      <c r="N393" s="36"/>
      <c r="O393" s="36"/>
      <c r="P393" s="36"/>
      <c r="Q393" s="36"/>
      <c r="R393" s="36"/>
    </row>
    <row r="394">
      <c r="A394" s="122"/>
      <c r="E394" s="36"/>
      <c r="F394" s="36"/>
      <c r="G394" s="36"/>
      <c r="H394" s="35"/>
      <c r="I394" s="35"/>
      <c r="J394" s="36"/>
      <c r="K394" s="36"/>
      <c r="L394" s="36"/>
      <c r="M394" s="36"/>
      <c r="N394" s="36"/>
      <c r="O394" s="36"/>
      <c r="P394" s="36"/>
      <c r="Q394" s="36"/>
      <c r="R394" s="36"/>
    </row>
    <row r="395">
      <c r="A395" s="122"/>
      <c r="E395" s="36"/>
      <c r="F395" s="36"/>
      <c r="G395" s="36"/>
      <c r="H395" s="35"/>
      <c r="I395" s="35"/>
      <c r="J395" s="36"/>
      <c r="K395" s="36"/>
      <c r="L395" s="36"/>
      <c r="M395" s="36"/>
      <c r="N395" s="36"/>
      <c r="O395" s="36"/>
      <c r="P395" s="36"/>
      <c r="Q395" s="36"/>
      <c r="R395" s="36"/>
    </row>
    <row r="396">
      <c r="A396" s="122"/>
      <c r="E396" s="36"/>
      <c r="F396" s="36"/>
      <c r="G396" s="36"/>
      <c r="H396" s="35"/>
      <c r="I396" s="35"/>
      <c r="J396" s="36"/>
      <c r="K396" s="36"/>
      <c r="L396" s="36"/>
      <c r="M396" s="36"/>
      <c r="N396" s="36"/>
      <c r="O396" s="36"/>
      <c r="P396" s="36"/>
      <c r="Q396" s="36"/>
      <c r="R396" s="36"/>
    </row>
    <row r="397">
      <c r="A397" s="122"/>
      <c r="E397" s="36"/>
      <c r="F397" s="36"/>
      <c r="G397" s="36"/>
      <c r="H397" s="35"/>
      <c r="I397" s="35"/>
      <c r="J397" s="36"/>
      <c r="K397" s="36"/>
      <c r="L397" s="36"/>
      <c r="M397" s="36"/>
      <c r="N397" s="36"/>
      <c r="O397" s="36"/>
      <c r="P397" s="36"/>
      <c r="Q397" s="36"/>
      <c r="R397" s="36"/>
    </row>
    <row r="398">
      <c r="A398" s="122"/>
      <c r="E398" s="36"/>
      <c r="F398" s="36"/>
      <c r="G398" s="36"/>
      <c r="H398" s="35"/>
      <c r="I398" s="35"/>
      <c r="J398" s="36"/>
      <c r="K398" s="36"/>
      <c r="L398" s="36"/>
      <c r="M398" s="36"/>
      <c r="N398" s="36"/>
      <c r="O398" s="36"/>
      <c r="P398" s="36"/>
      <c r="Q398" s="36"/>
      <c r="R398" s="36"/>
    </row>
    <row r="399">
      <c r="A399" s="122"/>
      <c r="E399" s="36"/>
      <c r="F399" s="36"/>
      <c r="G399" s="36"/>
      <c r="H399" s="35"/>
      <c r="I399" s="35"/>
      <c r="J399" s="36"/>
      <c r="K399" s="36"/>
      <c r="L399" s="36"/>
      <c r="M399" s="36"/>
      <c r="N399" s="36"/>
      <c r="O399" s="36"/>
      <c r="P399" s="36"/>
      <c r="Q399" s="36"/>
      <c r="R399" s="36"/>
    </row>
    <row r="400">
      <c r="A400" s="122"/>
      <c r="E400" s="36"/>
      <c r="F400" s="36"/>
      <c r="G400" s="36"/>
      <c r="H400" s="35"/>
      <c r="I400" s="35"/>
      <c r="J400" s="36"/>
      <c r="K400" s="36"/>
      <c r="L400" s="36"/>
      <c r="M400" s="36"/>
      <c r="N400" s="36"/>
      <c r="O400" s="36"/>
      <c r="P400" s="36"/>
      <c r="Q400" s="36"/>
      <c r="R400" s="36"/>
    </row>
    <row r="401">
      <c r="A401" s="122"/>
      <c r="E401" s="36"/>
      <c r="F401" s="36"/>
      <c r="G401" s="36"/>
      <c r="H401" s="35"/>
      <c r="I401" s="35"/>
      <c r="J401" s="36"/>
      <c r="K401" s="36"/>
      <c r="L401" s="36"/>
      <c r="M401" s="36"/>
      <c r="N401" s="36"/>
      <c r="O401" s="36"/>
      <c r="P401" s="36"/>
      <c r="Q401" s="36"/>
      <c r="R401" s="36"/>
    </row>
    <row r="402">
      <c r="A402" s="122"/>
      <c r="E402" s="36"/>
      <c r="F402" s="36"/>
      <c r="G402" s="36"/>
      <c r="H402" s="35"/>
      <c r="I402" s="35"/>
      <c r="J402" s="36"/>
      <c r="K402" s="36"/>
      <c r="L402" s="36"/>
      <c r="M402" s="36"/>
      <c r="N402" s="36"/>
      <c r="O402" s="36"/>
      <c r="P402" s="36"/>
      <c r="Q402" s="36"/>
      <c r="R402" s="36"/>
    </row>
    <row r="403">
      <c r="A403" s="122"/>
      <c r="E403" s="36"/>
      <c r="F403" s="36"/>
      <c r="G403" s="36"/>
      <c r="H403" s="35"/>
      <c r="I403" s="35"/>
      <c r="J403" s="36"/>
      <c r="K403" s="36"/>
      <c r="L403" s="36"/>
      <c r="M403" s="36"/>
      <c r="N403" s="36"/>
      <c r="O403" s="36"/>
      <c r="P403" s="36"/>
      <c r="Q403" s="36"/>
      <c r="R403" s="36"/>
    </row>
    <row r="404">
      <c r="A404" s="122"/>
      <c r="E404" s="36"/>
      <c r="F404" s="36"/>
      <c r="G404" s="36"/>
      <c r="H404" s="35"/>
      <c r="I404" s="35"/>
      <c r="J404" s="36"/>
      <c r="K404" s="36"/>
      <c r="L404" s="36"/>
      <c r="M404" s="36"/>
      <c r="N404" s="36"/>
      <c r="O404" s="36"/>
      <c r="P404" s="36"/>
      <c r="Q404" s="36"/>
      <c r="R404" s="36"/>
    </row>
    <row r="405">
      <c r="A405" s="122"/>
      <c r="E405" s="36"/>
      <c r="F405" s="36"/>
      <c r="G405" s="36"/>
      <c r="H405" s="35"/>
      <c r="I405" s="35"/>
      <c r="J405" s="36"/>
      <c r="K405" s="36"/>
      <c r="L405" s="36"/>
      <c r="M405" s="36"/>
      <c r="N405" s="36"/>
      <c r="O405" s="36"/>
      <c r="P405" s="36"/>
      <c r="Q405" s="36"/>
      <c r="R405" s="36"/>
    </row>
    <row r="406">
      <c r="A406" s="122"/>
      <c r="E406" s="36"/>
      <c r="F406" s="36"/>
      <c r="G406" s="36"/>
      <c r="H406" s="35"/>
      <c r="I406" s="35"/>
      <c r="J406" s="36"/>
      <c r="K406" s="36"/>
      <c r="L406" s="36"/>
      <c r="M406" s="36"/>
      <c r="N406" s="36"/>
      <c r="O406" s="36"/>
      <c r="P406" s="36"/>
      <c r="Q406" s="36"/>
      <c r="R406" s="36"/>
    </row>
    <row r="407">
      <c r="A407" s="122"/>
      <c r="E407" s="36"/>
      <c r="F407" s="36"/>
      <c r="G407" s="36"/>
      <c r="H407" s="35"/>
      <c r="I407" s="35"/>
      <c r="J407" s="36"/>
      <c r="K407" s="36"/>
      <c r="L407" s="36"/>
      <c r="M407" s="36"/>
      <c r="N407" s="36"/>
      <c r="O407" s="36"/>
      <c r="P407" s="36"/>
      <c r="Q407" s="36"/>
      <c r="R407" s="36"/>
    </row>
    <row r="408">
      <c r="A408" s="122"/>
      <c r="E408" s="36"/>
      <c r="F408" s="36"/>
      <c r="G408" s="36"/>
      <c r="H408" s="35"/>
      <c r="I408" s="35"/>
      <c r="J408" s="36"/>
      <c r="K408" s="36"/>
      <c r="L408" s="36"/>
      <c r="M408" s="36"/>
      <c r="N408" s="36"/>
      <c r="O408" s="36"/>
      <c r="P408" s="36"/>
      <c r="Q408" s="36"/>
      <c r="R408" s="36"/>
    </row>
    <row r="409">
      <c r="A409" s="122"/>
      <c r="E409" s="36"/>
      <c r="F409" s="36"/>
      <c r="G409" s="36"/>
      <c r="H409" s="35"/>
      <c r="I409" s="35"/>
      <c r="J409" s="36"/>
      <c r="K409" s="36"/>
      <c r="L409" s="36"/>
      <c r="M409" s="36"/>
      <c r="N409" s="36"/>
      <c r="O409" s="36"/>
      <c r="P409" s="36"/>
      <c r="Q409" s="36"/>
      <c r="R409" s="36"/>
    </row>
    <row r="410">
      <c r="A410" s="122"/>
      <c r="E410" s="36"/>
      <c r="F410" s="36"/>
      <c r="G410" s="36"/>
      <c r="H410" s="35"/>
      <c r="I410" s="35"/>
      <c r="J410" s="36"/>
      <c r="K410" s="36"/>
      <c r="L410" s="36"/>
      <c r="M410" s="36"/>
      <c r="N410" s="36"/>
      <c r="O410" s="36"/>
      <c r="P410" s="36"/>
      <c r="Q410" s="36"/>
      <c r="R410" s="36"/>
    </row>
    <row r="411">
      <c r="A411" s="122"/>
      <c r="E411" s="36"/>
      <c r="F411" s="36"/>
      <c r="G411" s="36"/>
      <c r="H411" s="35"/>
      <c r="I411" s="35"/>
      <c r="J411" s="36"/>
      <c r="K411" s="36"/>
      <c r="L411" s="36"/>
      <c r="M411" s="36"/>
      <c r="N411" s="36"/>
      <c r="O411" s="36"/>
      <c r="P411" s="36"/>
      <c r="Q411" s="36"/>
      <c r="R411" s="36"/>
    </row>
    <row r="412">
      <c r="A412" s="122"/>
      <c r="E412" s="36"/>
      <c r="F412" s="36"/>
      <c r="G412" s="36"/>
      <c r="H412" s="35"/>
      <c r="I412" s="35"/>
      <c r="J412" s="36"/>
      <c r="K412" s="36"/>
      <c r="L412" s="36"/>
      <c r="M412" s="36"/>
      <c r="N412" s="36"/>
      <c r="O412" s="36"/>
      <c r="P412" s="36"/>
      <c r="Q412" s="36"/>
      <c r="R412" s="36"/>
    </row>
    <row r="413">
      <c r="A413" s="122"/>
      <c r="E413" s="36"/>
      <c r="F413" s="36"/>
      <c r="G413" s="36"/>
      <c r="H413" s="35"/>
      <c r="I413" s="35"/>
      <c r="J413" s="36"/>
      <c r="K413" s="36"/>
      <c r="L413" s="36"/>
      <c r="M413" s="36"/>
      <c r="N413" s="36"/>
      <c r="O413" s="36"/>
      <c r="P413" s="36"/>
      <c r="Q413" s="36"/>
      <c r="R413" s="36"/>
    </row>
    <row r="414">
      <c r="A414" s="122"/>
      <c r="E414" s="36"/>
      <c r="F414" s="36"/>
      <c r="G414" s="36"/>
      <c r="H414" s="35"/>
      <c r="I414" s="35"/>
      <c r="J414" s="36"/>
      <c r="K414" s="36"/>
      <c r="L414" s="36"/>
      <c r="M414" s="36"/>
      <c r="N414" s="36"/>
      <c r="O414" s="36"/>
      <c r="P414" s="36"/>
      <c r="Q414" s="36"/>
      <c r="R414" s="36"/>
    </row>
    <row r="415">
      <c r="A415" s="122"/>
      <c r="E415" s="36"/>
      <c r="F415" s="36"/>
      <c r="G415" s="36"/>
      <c r="H415" s="35"/>
      <c r="I415" s="35"/>
      <c r="J415" s="36"/>
      <c r="K415" s="36"/>
      <c r="L415" s="36"/>
      <c r="M415" s="36"/>
      <c r="N415" s="36"/>
      <c r="O415" s="36"/>
      <c r="P415" s="36"/>
      <c r="Q415" s="36"/>
      <c r="R415" s="36"/>
    </row>
    <row r="416">
      <c r="A416" s="122"/>
      <c r="E416" s="36"/>
      <c r="F416" s="36"/>
      <c r="G416" s="36"/>
      <c r="H416" s="35"/>
      <c r="I416" s="35"/>
      <c r="J416" s="36"/>
      <c r="K416" s="36"/>
      <c r="L416" s="36"/>
      <c r="M416" s="36"/>
      <c r="N416" s="36"/>
      <c r="O416" s="36"/>
      <c r="P416" s="36"/>
      <c r="Q416" s="36"/>
      <c r="R416" s="36"/>
    </row>
    <row r="417">
      <c r="A417" s="122"/>
      <c r="E417" s="36"/>
      <c r="F417" s="36"/>
      <c r="G417" s="36"/>
      <c r="H417" s="35"/>
      <c r="I417" s="35"/>
      <c r="J417" s="36"/>
      <c r="K417" s="36"/>
      <c r="L417" s="36"/>
      <c r="M417" s="36"/>
      <c r="N417" s="36"/>
      <c r="O417" s="36"/>
      <c r="P417" s="36"/>
      <c r="Q417" s="36"/>
      <c r="R417" s="36"/>
    </row>
    <row r="418">
      <c r="A418" s="122"/>
      <c r="E418" s="36"/>
      <c r="F418" s="36"/>
      <c r="G418" s="36"/>
      <c r="H418" s="35"/>
      <c r="I418" s="35"/>
      <c r="J418" s="36"/>
      <c r="K418" s="36"/>
      <c r="L418" s="36"/>
      <c r="M418" s="36"/>
      <c r="N418" s="36"/>
      <c r="O418" s="36"/>
      <c r="P418" s="36"/>
      <c r="Q418" s="36"/>
      <c r="R418" s="36"/>
    </row>
    <row r="419">
      <c r="A419" s="122"/>
      <c r="E419" s="36"/>
      <c r="F419" s="36"/>
      <c r="G419" s="36"/>
      <c r="H419" s="35"/>
      <c r="I419" s="35"/>
      <c r="J419" s="36"/>
      <c r="K419" s="36"/>
      <c r="L419" s="36"/>
      <c r="M419" s="36"/>
      <c r="N419" s="36"/>
      <c r="O419" s="36"/>
      <c r="P419" s="36"/>
      <c r="Q419" s="36"/>
      <c r="R419" s="36"/>
    </row>
    <row r="420">
      <c r="A420" s="122"/>
      <c r="E420" s="36"/>
      <c r="F420" s="36"/>
      <c r="G420" s="36"/>
      <c r="H420" s="35"/>
      <c r="I420" s="35"/>
      <c r="J420" s="36"/>
      <c r="K420" s="36"/>
      <c r="L420" s="36"/>
      <c r="M420" s="36"/>
      <c r="N420" s="36"/>
      <c r="O420" s="36"/>
      <c r="P420" s="36"/>
      <c r="Q420" s="36"/>
      <c r="R420" s="36"/>
    </row>
    <row r="421">
      <c r="A421" s="122"/>
      <c r="E421" s="36"/>
      <c r="F421" s="36"/>
      <c r="G421" s="36"/>
      <c r="H421" s="35"/>
      <c r="I421" s="35"/>
      <c r="J421" s="36"/>
      <c r="K421" s="36"/>
      <c r="L421" s="36"/>
      <c r="M421" s="36"/>
      <c r="N421" s="36"/>
      <c r="O421" s="36"/>
      <c r="P421" s="36"/>
      <c r="Q421" s="36"/>
      <c r="R421" s="36"/>
    </row>
    <row r="422">
      <c r="A422" s="122"/>
      <c r="E422" s="36"/>
      <c r="F422" s="36"/>
      <c r="G422" s="36"/>
      <c r="H422" s="35"/>
      <c r="I422" s="35"/>
      <c r="J422" s="36"/>
      <c r="K422" s="36"/>
      <c r="L422" s="36"/>
      <c r="M422" s="36"/>
      <c r="N422" s="36"/>
      <c r="O422" s="36"/>
      <c r="P422" s="36"/>
      <c r="Q422" s="36"/>
      <c r="R422" s="36"/>
    </row>
    <row r="423">
      <c r="A423" s="122"/>
      <c r="E423" s="36"/>
      <c r="F423" s="36"/>
      <c r="G423" s="36"/>
      <c r="H423" s="35"/>
      <c r="I423" s="35"/>
      <c r="J423" s="36"/>
      <c r="K423" s="36"/>
      <c r="L423" s="36"/>
      <c r="M423" s="36"/>
      <c r="N423" s="36"/>
      <c r="O423" s="36"/>
      <c r="P423" s="36"/>
      <c r="Q423" s="36"/>
      <c r="R423" s="36"/>
    </row>
    <row r="424">
      <c r="A424" s="122"/>
      <c r="E424" s="36"/>
      <c r="F424" s="36"/>
      <c r="G424" s="36"/>
      <c r="H424" s="35"/>
      <c r="I424" s="35"/>
      <c r="J424" s="36"/>
      <c r="K424" s="36"/>
      <c r="L424" s="36"/>
      <c r="M424" s="36"/>
      <c r="N424" s="36"/>
      <c r="O424" s="36"/>
      <c r="P424" s="36"/>
      <c r="Q424" s="36"/>
      <c r="R424" s="36"/>
    </row>
    <row r="425">
      <c r="A425" s="122"/>
      <c r="E425" s="36"/>
      <c r="F425" s="36"/>
      <c r="G425" s="36"/>
      <c r="H425" s="35"/>
      <c r="I425" s="35"/>
      <c r="J425" s="36"/>
      <c r="K425" s="36"/>
      <c r="L425" s="36"/>
      <c r="M425" s="36"/>
      <c r="N425" s="36"/>
      <c r="O425" s="36"/>
      <c r="P425" s="36"/>
      <c r="Q425" s="36"/>
      <c r="R425" s="36"/>
    </row>
    <row r="426">
      <c r="A426" s="122"/>
      <c r="E426" s="36"/>
      <c r="F426" s="36"/>
      <c r="G426" s="36"/>
      <c r="H426" s="35"/>
      <c r="I426" s="35"/>
      <c r="J426" s="36"/>
      <c r="K426" s="36"/>
      <c r="L426" s="36"/>
      <c r="M426" s="36"/>
      <c r="N426" s="36"/>
      <c r="O426" s="36"/>
      <c r="P426" s="36"/>
      <c r="Q426" s="36"/>
      <c r="R426" s="36"/>
    </row>
    <row r="427">
      <c r="A427" s="122"/>
      <c r="E427" s="36"/>
      <c r="F427" s="36"/>
      <c r="G427" s="36"/>
      <c r="H427" s="35"/>
      <c r="I427" s="35"/>
      <c r="J427" s="36"/>
      <c r="K427" s="36"/>
      <c r="L427" s="36"/>
      <c r="M427" s="36"/>
      <c r="N427" s="36"/>
      <c r="O427" s="36"/>
      <c r="P427" s="36"/>
      <c r="Q427" s="36"/>
      <c r="R427" s="36"/>
    </row>
    <row r="428">
      <c r="A428" s="122"/>
      <c r="E428" s="36"/>
      <c r="F428" s="36"/>
      <c r="G428" s="36"/>
      <c r="H428" s="35"/>
      <c r="I428" s="35"/>
      <c r="J428" s="36"/>
      <c r="K428" s="36"/>
      <c r="L428" s="36"/>
      <c r="M428" s="36"/>
      <c r="N428" s="36"/>
      <c r="O428" s="36"/>
      <c r="P428" s="36"/>
      <c r="Q428" s="36"/>
      <c r="R428" s="36"/>
    </row>
    <row r="429">
      <c r="A429" s="122"/>
      <c r="E429" s="36"/>
      <c r="F429" s="36"/>
      <c r="G429" s="36"/>
      <c r="H429" s="35"/>
      <c r="I429" s="35"/>
      <c r="J429" s="36"/>
      <c r="K429" s="36"/>
      <c r="L429" s="36"/>
      <c r="M429" s="36"/>
      <c r="N429" s="36"/>
      <c r="O429" s="36"/>
      <c r="P429" s="36"/>
      <c r="Q429" s="36"/>
      <c r="R429" s="36"/>
    </row>
    <row r="430">
      <c r="A430" s="122"/>
      <c r="E430" s="36"/>
      <c r="F430" s="36"/>
      <c r="G430" s="36"/>
      <c r="H430" s="35"/>
      <c r="I430" s="35"/>
      <c r="J430" s="36"/>
      <c r="K430" s="36"/>
      <c r="L430" s="36"/>
      <c r="M430" s="36"/>
      <c r="N430" s="36"/>
      <c r="O430" s="36"/>
      <c r="P430" s="36"/>
      <c r="Q430" s="36"/>
      <c r="R430" s="36"/>
    </row>
    <row r="431">
      <c r="A431" s="122"/>
      <c r="E431" s="36"/>
      <c r="F431" s="36"/>
      <c r="G431" s="36"/>
      <c r="H431" s="35"/>
      <c r="I431" s="35"/>
      <c r="J431" s="36"/>
      <c r="K431" s="36"/>
      <c r="L431" s="36"/>
      <c r="M431" s="36"/>
      <c r="N431" s="36"/>
      <c r="O431" s="36"/>
      <c r="P431" s="36"/>
      <c r="Q431" s="36"/>
      <c r="R431" s="36"/>
    </row>
    <row r="432">
      <c r="A432" s="122"/>
      <c r="E432" s="36"/>
      <c r="F432" s="36"/>
      <c r="G432" s="36"/>
      <c r="H432" s="35"/>
      <c r="I432" s="35"/>
      <c r="J432" s="36"/>
      <c r="K432" s="36"/>
      <c r="L432" s="36"/>
      <c r="M432" s="36"/>
      <c r="N432" s="36"/>
      <c r="O432" s="36"/>
      <c r="P432" s="36"/>
      <c r="Q432" s="36"/>
      <c r="R432" s="36"/>
    </row>
    <row r="433">
      <c r="A433" s="122"/>
      <c r="E433" s="36"/>
      <c r="F433" s="36"/>
      <c r="G433" s="36"/>
      <c r="H433" s="35"/>
      <c r="I433" s="35"/>
      <c r="J433" s="36"/>
      <c r="K433" s="36"/>
      <c r="L433" s="36"/>
      <c r="M433" s="36"/>
      <c r="N433" s="36"/>
      <c r="O433" s="36"/>
      <c r="P433" s="36"/>
      <c r="Q433" s="36"/>
      <c r="R433" s="36"/>
    </row>
    <row r="434">
      <c r="A434" s="122"/>
      <c r="E434" s="36"/>
      <c r="F434" s="36"/>
      <c r="G434" s="36"/>
      <c r="H434" s="35"/>
      <c r="I434" s="35"/>
      <c r="J434" s="36"/>
      <c r="K434" s="36"/>
      <c r="L434" s="36"/>
      <c r="M434" s="36"/>
      <c r="N434" s="36"/>
      <c r="O434" s="36"/>
      <c r="P434" s="36"/>
      <c r="Q434" s="36"/>
      <c r="R434" s="36"/>
    </row>
    <row r="435">
      <c r="A435" s="122"/>
      <c r="E435" s="36"/>
      <c r="F435" s="36"/>
      <c r="G435" s="36"/>
      <c r="H435" s="35"/>
      <c r="I435" s="35"/>
      <c r="J435" s="36"/>
      <c r="K435" s="36"/>
      <c r="L435" s="36"/>
      <c r="M435" s="36"/>
      <c r="N435" s="36"/>
      <c r="O435" s="36"/>
      <c r="P435" s="36"/>
      <c r="Q435" s="36"/>
      <c r="R435" s="36"/>
    </row>
    <row r="436">
      <c r="A436" s="122"/>
      <c r="E436" s="36"/>
      <c r="F436" s="36"/>
      <c r="G436" s="36"/>
      <c r="H436" s="35"/>
      <c r="I436" s="35"/>
      <c r="J436" s="36"/>
      <c r="K436" s="36"/>
      <c r="L436" s="36"/>
      <c r="M436" s="36"/>
      <c r="N436" s="36"/>
      <c r="O436" s="36"/>
      <c r="P436" s="36"/>
      <c r="Q436" s="36"/>
      <c r="R436" s="36"/>
    </row>
    <row r="437">
      <c r="A437" s="122"/>
      <c r="E437" s="36"/>
      <c r="F437" s="36"/>
      <c r="G437" s="36"/>
      <c r="H437" s="35"/>
      <c r="I437" s="35"/>
      <c r="J437" s="36"/>
      <c r="K437" s="36"/>
      <c r="L437" s="36"/>
      <c r="M437" s="36"/>
      <c r="N437" s="36"/>
      <c r="O437" s="36"/>
      <c r="P437" s="36"/>
      <c r="Q437" s="36"/>
      <c r="R437" s="36"/>
    </row>
    <row r="438">
      <c r="A438" s="122"/>
      <c r="E438" s="36"/>
      <c r="F438" s="36"/>
      <c r="G438" s="36"/>
      <c r="H438" s="35"/>
      <c r="I438" s="35"/>
      <c r="J438" s="36"/>
      <c r="K438" s="36"/>
      <c r="L438" s="36"/>
      <c r="M438" s="36"/>
      <c r="N438" s="36"/>
      <c r="O438" s="36"/>
      <c r="P438" s="36"/>
      <c r="Q438" s="36"/>
      <c r="R438" s="36"/>
    </row>
    <row r="439">
      <c r="A439" s="122"/>
      <c r="E439" s="36"/>
      <c r="F439" s="36"/>
      <c r="G439" s="36"/>
      <c r="H439" s="35"/>
      <c r="I439" s="35"/>
      <c r="J439" s="36"/>
      <c r="K439" s="36"/>
      <c r="L439" s="36"/>
      <c r="M439" s="36"/>
      <c r="N439" s="36"/>
      <c r="O439" s="36"/>
      <c r="P439" s="36"/>
      <c r="Q439" s="36"/>
      <c r="R439" s="36"/>
    </row>
    <row r="440">
      <c r="A440" s="122"/>
      <c r="E440" s="36"/>
      <c r="F440" s="36"/>
      <c r="G440" s="36"/>
      <c r="H440" s="35"/>
      <c r="I440" s="35"/>
      <c r="J440" s="36"/>
      <c r="K440" s="36"/>
      <c r="L440" s="36"/>
      <c r="M440" s="36"/>
      <c r="N440" s="36"/>
      <c r="O440" s="36"/>
      <c r="P440" s="36"/>
      <c r="Q440" s="36"/>
      <c r="R440" s="36"/>
    </row>
    <row r="441">
      <c r="A441" s="122"/>
      <c r="E441" s="36"/>
      <c r="F441" s="36"/>
      <c r="G441" s="36"/>
      <c r="H441" s="35"/>
      <c r="I441" s="35"/>
      <c r="J441" s="36"/>
      <c r="K441" s="36"/>
      <c r="L441" s="36"/>
      <c r="M441" s="36"/>
      <c r="N441" s="36"/>
      <c r="O441" s="36"/>
      <c r="P441" s="36"/>
      <c r="Q441" s="36"/>
      <c r="R441" s="36"/>
    </row>
    <row r="442">
      <c r="A442" s="122"/>
      <c r="E442" s="36"/>
      <c r="F442" s="36"/>
      <c r="G442" s="36"/>
      <c r="H442" s="35"/>
      <c r="I442" s="35"/>
      <c r="J442" s="36"/>
      <c r="K442" s="36"/>
      <c r="L442" s="36"/>
      <c r="M442" s="36"/>
      <c r="N442" s="36"/>
      <c r="O442" s="36"/>
      <c r="P442" s="36"/>
      <c r="Q442" s="36"/>
      <c r="R442" s="36"/>
    </row>
    <row r="443">
      <c r="A443" s="122"/>
      <c r="E443" s="36"/>
      <c r="F443" s="36"/>
      <c r="G443" s="36"/>
      <c r="H443" s="35"/>
      <c r="I443" s="35"/>
      <c r="J443" s="36"/>
      <c r="K443" s="36"/>
      <c r="L443" s="36"/>
      <c r="M443" s="36"/>
      <c r="N443" s="36"/>
      <c r="O443" s="36"/>
      <c r="P443" s="36"/>
      <c r="Q443" s="36"/>
      <c r="R443" s="36"/>
    </row>
    <row r="444">
      <c r="A444" s="122"/>
      <c r="E444" s="36"/>
      <c r="F444" s="36"/>
      <c r="G444" s="36"/>
      <c r="H444" s="35"/>
      <c r="I444" s="35"/>
      <c r="J444" s="36"/>
      <c r="K444" s="36"/>
      <c r="L444" s="36"/>
      <c r="M444" s="36"/>
      <c r="N444" s="36"/>
      <c r="O444" s="36"/>
      <c r="P444" s="36"/>
      <c r="Q444" s="36"/>
      <c r="R444" s="36"/>
    </row>
    <row r="445">
      <c r="A445" s="122"/>
      <c r="E445" s="36"/>
      <c r="F445" s="36"/>
      <c r="G445" s="36"/>
      <c r="H445" s="35"/>
      <c r="I445" s="35"/>
      <c r="J445" s="36"/>
      <c r="K445" s="36"/>
      <c r="L445" s="36"/>
      <c r="M445" s="36"/>
      <c r="N445" s="36"/>
      <c r="O445" s="36"/>
      <c r="P445" s="36"/>
      <c r="Q445" s="36"/>
      <c r="R445" s="36"/>
    </row>
    <row r="446">
      <c r="A446" s="122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>
      <c r="A447" s="122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>
      <c r="A448" s="122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>
      <c r="A449" s="122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>
      <c r="A450" s="122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>
      <c r="A451" s="122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>
      <c r="A452" s="122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>
      <c r="A453" s="122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>
      <c r="A454" s="122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>
      <c r="A455" s="122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>
      <c r="A456" s="122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>
      <c r="A457" s="122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>
      <c r="A458" s="122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>
      <c r="A459" s="122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>
      <c r="A460" s="122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>
      <c r="A461" s="122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>
      <c r="A462" s="122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>
      <c r="A463" s="122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>
      <c r="A464" s="122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>
      <c r="A465" s="122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>
      <c r="A466" s="122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>
      <c r="A467" s="122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>
      <c r="A468" s="122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>
      <c r="A469" s="122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>
      <c r="A470" s="122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>
      <c r="A471" s="122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>
      <c r="A472" s="122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>
      <c r="A473" s="122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>
      <c r="A474" s="122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>
      <c r="A475" s="122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>
      <c r="A476" s="122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>
      <c r="A477" s="122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>
      <c r="A478" s="122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>
      <c r="A479" s="122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>
      <c r="A480" s="122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>
      <c r="A481" s="122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>
      <c r="A482" s="122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>
      <c r="A483" s="122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>
      <c r="A484" s="122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>
      <c r="A485" s="122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>
      <c r="A486" s="122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>
      <c r="A487" s="122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>
      <c r="A488" s="122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>
      <c r="A489" s="122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>
      <c r="A490" s="122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>
      <c r="A491" s="122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>
      <c r="A492" s="122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>
      <c r="A493" s="122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>
      <c r="A494" s="122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>
      <c r="A495" s="122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>
      <c r="A496" s="122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>
      <c r="A497" s="122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>
      <c r="A498" s="122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>
      <c r="A499" s="122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>
      <c r="A500" s="122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>
      <c r="A501" s="122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>
      <c r="A502" s="122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>
      <c r="A503" s="122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>
      <c r="A504" s="122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>
      <c r="A505" s="122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>
      <c r="A506" s="122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>
      <c r="A507" s="122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>
      <c r="A508" s="122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>
      <c r="A509" s="122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>
      <c r="A510" s="122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>
      <c r="A511" s="122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>
      <c r="A512" s="122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>
      <c r="A513" s="122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>
      <c r="A514" s="122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>
      <c r="A515" s="122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>
      <c r="A516" s="122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>
      <c r="A517" s="122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>
      <c r="A518" s="122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>
      <c r="A519" s="122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>
      <c r="A520" s="122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>
      <c r="A521" s="122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>
      <c r="A522" s="122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>
      <c r="A523" s="122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>
      <c r="A524" s="122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>
      <c r="A525" s="122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>
      <c r="A526" s="122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>
      <c r="A527" s="122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>
      <c r="A528" s="122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>
      <c r="A529" s="122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>
      <c r="A530" s="122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>
      <c r="A531" s="122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>
      <c r="A532" s="122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>
      <c r="A533" s="122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>
      <c r="A534" s="122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>
      <c r="A535" s="122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>
      <c r="A536" s="122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>
      <c r="A537" s="122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>
      <c r="A538" s="122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>
      <c r="A539" s="122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>
      <c r="A540" s="122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>
      <c r="A541" s="122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>
      <c r="A542" s="122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>
      <c r="A543" s="122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>
      <c r="A544" s="122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>
      <c r="A545" s="122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>
      <c r="A546" s="122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>
      <c r="A547" s="122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>
      <c r="A548" s="122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>
      <c r="A549" s="122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>
      <c r="A550" s="122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>
      <c r="A551" s="122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>
      <c r="A552" s="122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>
      <c r="A553" s="122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>
      <c r="A554" s="122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>
      <c r="A555" s="122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>
      <c r="A556" s="122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>
      <c r="A557" s="122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>
      <c r="A558" s="122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>
      <c r="A559" s="122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>
      <c r="A560" s="122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>
      <c r="A561" s="122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>
      <c r="A562" s="122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>
      <c r="A563" s="122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>
      <c r="A564" s="122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>
      <c r="A565" s="122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>
      <c r="A566" s="122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>
      <c r="A567" s="122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>
      <c r="A568" s="122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>
      <c r="A569" s="122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>
      <c r="A570" s="122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>
      <c r="A571" s="122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>
      <c r="A572" s="122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>
      <c r="A573" s="122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>
      <c r="A574" s="122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>
      <c r="A575" s="122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>
      <c r="A576" s="122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>
      <c r="A577" s="122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>
      <c r="A578" s="122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>
      <c r="A579" s="122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>
      <c r="A580" s="122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>
      <c r="A581" s="122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>
      <c r="A582" s="122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>
      <c r="A583" s="122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>
      <c r="A584" s="122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>
      <c r="A585" s="122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>
      <c r="A586" s="122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>
      <c r="A587" s="122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>
      <c r="A588" s="122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>
      <c r="A589" s="122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>
      <c r="A590" s="122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>
      <c r="A591" s="122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>
      <c r="A592" s="122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>
      <c r="A593" s="122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>
      <c r="A594" s="122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>
      <c r="A595" s="122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>
      <c r="A596" s="122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>
      <c r="A597" s="122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>
      <c r="A598" s="122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>
      <c r="A599" s="122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>
      <c r="A600" s="122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>
      <c r="A601" s="122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>
      <c r="A602" s="122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>
      <c r="A603" s="122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>
      <c r="A604" s="122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>
      <c r="A605" s="122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>
      <c r="A606" s="122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>
      <c r="A607" s="122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>
      <c r="A608" s="122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>
      <c r="A609" s="122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>
      <c r="A610" s="122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>
      <c r="A611" s="122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>
      <c r="A612" s="122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>
      <c r="A613" s="122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>
      <c r="A614" s="122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>
      <c r="A615" s="122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>
      <c r="A616" s="122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>
      <c r="A617" s="122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>
      <c r="A618" s="122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>
      <c r="A619" s="122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>
      <c r="A620" s="122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>
      <c r="A621" s="122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>
      <c r="A622" s="122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>
      <c r="A623" s="122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>
      <c r="A624" s="122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>
      <c r="A625" s="122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>
      <c r="A626" s="122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>
      <c r="A627" s="122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>
      <c r="A628" s="122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>
      <c r="A629" s="122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>
      <c r="A630" s="122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>
      <c r="A631" s="122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>
      <c r="A632" s="122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>
      <c r="A633" s="122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>
      <c r="A634" s="122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>
      <c r="A635" s="122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>
      <c r="A636" s="122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>
      <c r="A637" s="122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>
      <c r="A638" s="122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>
      <c r="A639" s="122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>
      <c r="A640" s="122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>
      <c r="A641" s="122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>
      <c r="A642" s="122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>
      <c r="A643" s="122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>
      <c r="A644" s="122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>
      <c r="A645" s="122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>
      <c r="A646" s="122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>
      <c r="A647" s="122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>
      <c r="A648" s="122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>
      <c r="A649" s="122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>
      <c r="A650" s="122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>
      <c r="A651" s="122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>
      <c r="A652" s="122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>
      <c r="A653" s="122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>
      <c r="A654" s="122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>
      <c r="A655" s="122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>
      <c r="A656" s="122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>
      <c r="A657" s="122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>
      <c r="A658" s="122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>
      <c r="A659" s="122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>
      <c r="A660" s="122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>
      <c r="A661" s="122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>
      <c r="A662" s="122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>
      <c r="A663" s="122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>
      <c r="A664" s="122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>
      <c r="A665" s="122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>
      <c r="A666" s="122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>
      <c r="A667" s="122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>
      <c r="A668" s="122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>
      <c r="A669" s="122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>
      <c r="A670" s="122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>
      <c r="A671" s="122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>
      <c r="A672" s="122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>
      <c r="A673" s="122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>
      <c r="A674" s="122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>
      <c r="A675" s="122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>
      <c r="A676" s="122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>
      <c r="A677" s="122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>
      <c r="A678" s="122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>
      <c r="A679" s="122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>
      <c r="A680" s="122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>
      <c r="A681" s="122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>
      <c r="A682" s="122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>
      <c r="A683" s="122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>
      <c r="A684" s="122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>
      <c r="A685" s="122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>
      <c r="A686" s="122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>
      <c r="A687" s="122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>
      <c r="A688" s="122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>
      <c r="A689" s="122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>
      <c r="A690" s="122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>
      <c r="A691" s="122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>
      <c r="A692" s="122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>
      <c r="A693" s="122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>
      <c r="A694" s="122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>
      <c r="A695" s="122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>
      <c r="A696" s="122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>
      <c r="A697" s="122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>
      <c r="A698" s="122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>
      <c r="A699" s="122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>
      <c r="A700" s="122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>
      <c r="A701" s="122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>
      <c r="A702" s="122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>
      <c r="A703" s="122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>
      <c r="A704" s="122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>
      <c r="A705" s="122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>
      <c r="A706" s="122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>
      <c r="A707" s="122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>
      <c r="A708" s="122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>
      <c r="A709" s="122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>
      <c r="A710" s="122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>
      <c r="A711" s="122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>
      <c r="A712" s="122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>
      <c r="A713" s="122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>
      <c r="A714" s="122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>
      <c r="A715" s="122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>
      <c r="A716" s="122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>
      <c r="A717" s="122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>
      <c r="A718" s="122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>
      <c r="A719" s="122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>
      <c r="A720" s="122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>
      <c r="A721" s="122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>
      <c r="A722" s="122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>
      <c r="A723" s="122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>
      <c r="A724" s="122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>
      <c r="A725" s="122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>
      <c r="A726" s="122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>
      <c r="A727" s="122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>
      <c r="A728" s="122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>
      <c r="A729" s="122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>
      <c r="A730" s="122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>
      <c r="A731" s="122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>
      <c r="A732" s="122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>
      <c r="A733" s="122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>
      <c r="A734" s="122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>
      <c r="A735" s="122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>
      <c r="A736" s="122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>
      <c r="A737" s="122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>
      <c r="A738" s="122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>
      <c r="A739" s="122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>
      <c r="A740" s="122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>
      <c r="A741" s="122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>
      <c r="A742" s="122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>
      <c r="A743" s="122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>
      <c r="A744" s="122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>
      <c r="A745" s="122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>
      <c r="A746" s="122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>
      <c r="A747" s="122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>
      <c r="A748" s="122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>
      <c r="A749" s="122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>
      <c r="A750" s="122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>
      <c r="A751" s="122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>
      <c r="A752" s="122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>
      <c r="A753" s="122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>
      <c r="A754" s="122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>
      <c r="A755" s="122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>
      <c r="A756" s="122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>
      <c r="A757" s="122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>
      <c r="A758" s="122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>
      <c r="A759" s="122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>
      <c r="A760" s="122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>
      <c r="A761" s="122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>
      <c r="A762" s="122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>
      <c r="A763" s="122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>
      <c r="A764" s="122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>
      <c r="A765" s="122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>
      <c r="A766" s="122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>
      <c r="A767" s="122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>
      <c r="A768" s="122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>
      <c r="A769" s="122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>
      <c r="A770" s="122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>
      <c r="A771" s="122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>
      <c r="A772" s="122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>
      <c r="A773" s="122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>
      <c r="A774" s="122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>
      <c r="A775" s="122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>
      <c r="A776" s="122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>
      <c r="A777" s="122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>
      <c r="A778" s="122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>
      <c r="A779" s="122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>
      <c r="A780" s="122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>
      <c r="A781" s="122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>
      <c r="A782" s="122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>
      <c r="A783" s="122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>
      <c r="A784" s="122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>
      <c r="A785" s="122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>
      <c r="A786" s="122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>
      <c r="A787" s="122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>
      <c r="A788" s="122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>
      <c r="A789" s="122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>
      <c r="A790" s="122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>
      <c r="A791" s="122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>
      <c r="A792" s="122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>
      <c r="A793" s="122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>
      <c r="A794" s="122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>
      <c r="A795" s="122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>
      <c r="A796" s="122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>
      <c r="A797" s="122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>
      <c r="A798" s="122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>
      <c r="A799" s="122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>
      <c r="A800" s="122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>
      <c r="A801" s="122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>
      <c r="A802" s="122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>
      <c r="A803" s="122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>
      <c r="A804" s="122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>
      <c r="A805" s="122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>
      <c r="A806" s="122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>
      <c r="A807" s="122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>
      <c r="A808" s="122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>
      <c r="A809" s="122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>
      <c r="A810" s="122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>
      <c r="A811" s="122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>
      <c r="A812" s="122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>
      <c r="A813" s="122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>
      <c r="A814" s="122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>
      <c r="A815" s="122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>
      <c r="A816" s="122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>
      <c r="A817" s="122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>
      <c r="A818" s="122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>
      <c r="A819" s="122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>
      <c r="A820" s="122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>
      <c r="A821" s="122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>
      <c r="A822" s="122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>
      <c r="A823" s="122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>
      <c r="A824" s="122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>
      <c r="A825" s="122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>
      <c r="A826" s="122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>
      <c r="A827" s="122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>
      <c r="A828" s="122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>
      <c r="A829" s="122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>
      <c r="A830" s="122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>
      <c r="A831" s="122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>
      <c r="A832" s="122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>
      <c r="A833" s="122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>
      <c r="A834" s="122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>
      <c r="A835" s="122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>
      <c r="A836" s="122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>
      <c r="A837" s="122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>
      <c r="A838" s="122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>
      <c r="A839" s="122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>
      <c r="A840" s="122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>
      <c r="A841" s="122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>
      <c r="A842" s="122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>
      <c r="A843" s="122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>
      <c r="A844" s="122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>
      <c r="A845" s="122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>
      <c r="A846" s="122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>
      <c r="A847" s="122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>
      <c r="A848" s="122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>
      <c r="A849" s="122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>
      <c r="A850" s="122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>
      <c r="A851" s="122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>
      <c r="A852" s="122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>
      <c r="A853" s="122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>
      <c r="A854" s="122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>
      <c r="A855" s="122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>
      <c r="A856" s="122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>
      <c r="A857" s="122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>
      <c r="A858" s="122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>
      <c r="A859" s="122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>
      <c r="A860" s="122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>
      <c r="A861" s="122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>
      <c r="A862" s="122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>
      <c r="A863" s="122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>
      <c r="A864" s="122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>
      <c r="A865" s="122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>
      <c r="A866" s="122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>
      <c r="A867" s="122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>
      <c r="A868" s="122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>
      <c r="A869" s="122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>
      <c r="A870" s="122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>
      <c r="A871" s="122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>
      <c r="A872" s="122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>
      <c r="A873" s="122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>
      <c r="A874" s="122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>
      <c r="A875" s="122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>
      <c r="A876" s="122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>
      <c r="A877" s="122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>
      <c r="A878" s="122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>
      <c r="A879" s="122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>
      <c r="A880" s="122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>
      <c r="A881" s="122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>
      <c r="A882" s="122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>
      <c r="A883" s="122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>
      <c r="A884" s="122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>
      <c r="A885" s="122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>
      <c r="A886" s="122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>
      <c r="A887" s="122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>
      <c r="A888" s="122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>
      <c r="A889" s="122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>
      <c r="A890" s="122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>
      <c r="A891" s="122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>
      <c r="A892" s="122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>
      <c r="A893" s="122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>
      <c r="A894" s="122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>
      <c r="A895" s="122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>
      <c r="A896" s="122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>
      <c r="A897" s="122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>
      <c r="A898" s="122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>
      <c r="A899" s="122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>
      <c r="A900" s="122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>
      <c r="A901" s="122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>
      <c r="A902" s="122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>
      <c r="A903" s="122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>
      <c r="A904" s="122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>
      <c r="A905" s="122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>
      <c r="A906" s="122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>
      <c r="A907" s="122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>
      <c r="A908" s="122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>
      <c r="A909" s="122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>
      <c r="A910" s="122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>
      <c r="A911" s="122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>
      <c r="A912" s="122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>
      <c r="A913" s="122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>
      <c r="A914" s="122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>
      <c r="A915" s="122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>
      <c r="A916" s="122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>
      <c r="A917" s="122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>
      <c r="A918" s="122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>
      <c r="A919" s="122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>
      <c r="A920" s="122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>
      <c r="A921" s="122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>
      <c r="A922" s="122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>
      <c r="A923" s="122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>
      <c r="A924" s="122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>
      <c r="A925" s="122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>
      <c r="A926" s="122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>
      <c r="A927" s="122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>
      <c r="A928" s="122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>
      <c r="A929" s="122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>
      <c r="A930" s="122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>
      <c r="A931" s="122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>
      <c r="A932" s="122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>
      <c r="A933" s="122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>
      <c r="A934" s="122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>
      <c r="A935" s="122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>
      <c r="A936" s="122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>
      <c r="A937" s="122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>
      <c r="A938" s="122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>
      <c r="A939" s="122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>
      <c r="A940" s="122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>
      <c r="A941" s="122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>
      <c r="A942" s="122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>
      <c r="A943" s="122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>
      <c r="A944" s="122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>
      <c r="A945" s="122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>
      <c r="A946" s="122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>
      <c r="A947" s="122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>
      <c r="A948" s="122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>
      <c r="A949" s="122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>
      <c r="A950" s="122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>
      <c r="A951" s="122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>
      <c r="A952" s="122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>
      <c r="A953" s="122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>
      <c r="A954" s="122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>
      <c r="A955" s="122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>
      <c r="A956" s="122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>
      <c r="A957" s="122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>
      <c r="A958" s="122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>
      <c r="A959" s="122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>
      <c r="A960" s="122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>
      <c r="A961" s="122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>
      <c r="A962" s="122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>
      <c r="A963" s="122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>
      <c r="A964" s="122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>
      <c r="A965" s="122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>
      <c r="A966" s="122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>
      <c r="A967" s="122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>
      <c r="A968" s="122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>
      <c r="A969" s="122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>
      <c r="A970" s="122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>
      <c r="A971" s="122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>
      <c r="A972" s="122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>
      <c r="A973" s="122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>
      <c r="A974" s="122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>
      <c r="A975" s="122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>
      <c r="A976" s="122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>
      <c r="A977" s="122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>
      <c r="A978" s="122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>
      <c r="A979" s="122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>
      <c r="A980" s="122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>
      <c r="A981" s="122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>
      <c r="A982" s="122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>
      <c r="A983" s="122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>
      <c r="A984" s="122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>
      <c r="A985" s="122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>
      <c r="A986" s="122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>
      <c r="A987" s="122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>
      <c r="A988" s="122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>
      <c r="A989" s="122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>
      <c r="A990" s="122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>
      <c r="A991" s="122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>
      <c r="A992" s="122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>
      <c r="A993" s="122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>
      <c r="A994" s="122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>
      <c r="A995" s="122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>
      <c r="A996" s="122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>
      <c r="A997" s="122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>
      <c r="A998" s="122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>
      <c r="A999" s="122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</row>
    <row r="1000">
      <c r="A1000" s="122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125" t="s">
        <v>279</v>
      </c>
      <c r="B1" s="2" t="s">
        <v>304</v>
      </c>
      <c r="C1" s="61" t="s">
        <v>305</v>
      </c>
      <c r="D1" s="126" t="s">
        <v>306</v>
      </c>
      <c r="E1" s="127" t="s">
        <v>307</v>
      </c>
      <c r="F1" s="2" t="s">
        <v>284</v>
      </c>
      <c r="G1" s="62" t="s">
        <v>308</v>
      </c>
      <c r="H1" s="62" t="s">
        <v>309</v>
      </c>
      <c r="I1" s="2" t="s">
        <v>287</v>
      </c>
      <c r="J1" s="7" t="s">
        <v>310</v>
      </c>
      <c r="K1" s="7" t="s">
        <v>311</v>
      </c>
      <c r="L1" s="56" t="s">
        <v>312</v>
      </c>
      <c r="M1" s="8" t="s">
        <v>313</v>
      </c>
      <c r="N1" s="8" t="s">
        <v>314</v>
      </c>
      <c r="O1" s="56" t="s">
        <v>315</v>
      </c>
      <c r="P1" s="106" t="s">
        <v>316</v>
      </c>
      <c r="Q1" s="106" t="s">
        <v>317</v>
      </c>
      <c r="R1" s="56" t="s">
        <v>318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128" t="s">
        <v>20</v>
      </c>
      <c r="B2" s="16">
        <f>IFERROR(__xludf.DUMMYFUNCTION("VLOOKUP(A2,IMPORTRANGE(""1aFCnJY1qhIj8-JckJhDJ18aqmVo17tofpQmOjcYa3u8/edit#gid=1878241338"",""S2 Totals!$A$2:$O$255""),2,FALSE)"),4.0)</f>
        <v>4</v>
      </c>
      <c r="C2" s="15">
        <f>IFERROR(__xludf.DUMMYFUNCTION("VLOOKUP(A2,IMPORTRANGE(""1aFCnJY1qhIj8-JckJhDJ18aqmVo17tofpQmOjcYa3u8/edit#gid=1878241338"",""S2 Totals!$A$2:$O$255""),3,FALSE)"),0.36363636363636365)</f>
        <v>0.3636363636</v>
      </c>
      <c r="D2" s="16">
        <f>IFERROR(__xludf.DUMMYFUNCTION("VLOOKUP(A2,IMPORTRANGE(""1QZ5UxyNCwadreQAXnQ7oCoH982DjIA-QnZdO7ZoqkC0/edit#gid=884617569"",""S2 Totals!$A$2:$O$255""),2,FALSE)"),4.0)</f>
        <v>4</v>
      </c>
      <c r="E2" s="15">
        <f>IFERROR(__xludf.DUMMYFUNCTION("VLOOKUP(A2,IMPORTRANGE(""1QZ5UxyNCwadreQAXnQ7oCoH982DjIA-QnZdO7ZoqkC0/edit#gid=884617569"",""S2 Totals!$A$2:$O$255""),3,FALSE)"),0.3076923076923077)</f>
        <v>0.3076923077</v>
      </c>
      <c r="F2" s="15">
        <f t="shared" ref="F2:F251" si="1">C2-E2</f>
        <v>0.05594405594</v>
      </c>
      <c r="G2" s="16">
        <f>IFERROR(__xludf.DUMMYFUNCTION("VLOOKUP(A2,IMPORTRANGE(""1QZ5UxyNCwadreQAXnQ7oCoH982DjIA-QnZdO7ZoqkC0/edit#gid=884617569"",""S2 Totals!$A$2:$O$255""),4,FALSE)"),4.0)</f>
        <v>4</v>
      </c>
      <c r="H2" s="15">
        <f>IFERROR(__xludf.DUMMYFUNCTION("VLOOKUP(A2,IMPORTRANGE(""1QZ5UxyNCwadreQAXnQ7oCoH982DjIA-QnZdO7ZoqkC0/edit#gid=884617569"",""S2 Totals!$A$2:$O$255""),5,FALSE)"),0.3333333333333333)</f>
        <v>0.3333333333</v>
      </c>
      <c r="I2" s="15">
        <f t="shared" ref="I2:I251" si="2">C2-H2</f>
        <v>0.0303030303</v>
      </c>
      <c r="J2" s="16">
        <f>IFERROR(__xludf.DUMMYFUNCTION("VLOOKUP(A2,IMPORTRANGE(""1QZ5UxyNCwadreQAXnQ7oCoH982DjIA-QnZdO7ZoqkC0/edit#gid=884617569"",""S2 Totals!$A$2:$O$255""),7,FALSE)"),2.0)</f>
        <v>2</v>
      </c>
      <c r="K2" s="15">
        <f>IFERROR(__xludf.DUMMYFUNCTION("VLOOKUP(A2,IMPORTRANGE(""1QZ5UxyNCwadreQAXnQ7oCoH982DjIA-QnZdO7ZoqkC0/edit#gid=884617569"",""S2 Totals!$A$2:$O$255""),8,FALSE)"),0.16666666666666666)</f>
        <v>0.1666666667</v>
      </c>
      <c r="L2" s="110">
        <f t="shared" ref="L2:L251" si="3">C2-K2</f>
        <v>0.196969697</v>
      </c>
      <c r="M2" s="16">
        <f>IFERROR(__xludf.DUMMYFUNCTION("VLOOKUP(A2,IMPORTRANGE(""1QZ5UxyNCwadreQAXnQ7oCoH982DjIA-QnZdO7ZoqkC0/edit#gid=884617569"",""S2 Totals!$A$2:$O$255""),10,FALSE)"),0.0)</f>
        <v>0</v>
      </c>
      <c r="N2" s="15">
        <f>IFERROR(__xludf.DUMMYFUNCTION("VLOOKUP(A2,IMPORTRANGE(""1QZ5UxyNCwadreQAXnQ7oCoH982DjIA-QnZdO7ZoqkC0/edit#gid=884617569"",""S2 Totals!$A$2:$O$255""),11,FALSE)"),0.0)</f>
        <v>0</v>
      </c>
      <c r="O2" s="110">
        <f t="shared" ref="O2:O251" si="4">C2-N2</f>
        <v>0.3636363636</v>
      </c>
      <c r="P2" s="16">
        <f>IFERROR(__xludf.DUMMYFUNCTION("VLOOKUP(A2,IMPORTRANGE(""1QZ5UxyNCwadreQAXnQ7oCoH982DjIA-QnZdO7ZoqkC0/edit#gid=884617569"",""S2 Totals!$A$2:$O$255""),13,FALSE)"),4.0)</f>
        <v>4</v>
      </c>
      <c r="Q2" s="15">
        <f>IFERROR(__xludf.DUMMYFUNCTION("VLOOKUP(A2,IMPORTRANGE(""1QZ5UxyNCwadreQAXnQ7oCoH982DjIA-QnZdO7ZoqkC0/edit#gid=884617569"",""S2 Totals!$A$2:$O$255""),14,FALSE)"),0.3333333333333333)</f>
        <v>0.3333333333</v>
      </c>
      <c r="R2" s="129">
        <f t="shared" ref="R2:R251" si="5">C2-Q2</f>
        <v>0.0303030303</v>
      </c>
    </row>
    <row r="3">
      <c r="A3" s="128" t="s">
        <v>89</v>
      </c>
      <c r="B3" s="16">
        <f>IFERROR(__xludf.DUMMYFUNCTION("VLOOKUP(A3,IMPORTRANGE(""1aFCnJY1qhIj8-JckJhDJ18aqmVo17tofpQmOjcYa3u8/edit#gid=1878241338"",""S2 Totals!$A$2:$O$255""),2,FALSE)"),11.0)</f>
        <v>11</v>
      </c>
      <c r="C3" s="15">
        <f>IFERROR(__xludf.DUMMYFUNCTION("VLOOKUP(A3,IMPORTRANGE(""1aFCnJY1qhIj8-JckJhDJ18aqmVo17tofpQmOjcYa3u8/edit#gid=1878241338"",""S2 Totals!$A$2:$O$255""),3,FALSE)"),1.0)</f>
        <v>1</v>
      </c>
      <c r="D3" s="16">
        <f>IFERROR(__xludf.DUMMYFUNCTION("VLOOKUP(A3,IMPORTRANGE(""1QZ5UxyNCwadreQAXnQ7oCoH982DjIA-QnZdO7ZoqkC0/edit#gid=884617569"",""S2 Totals!$A$2:$O$255""),2,FALSE)"),8.0)</f>
        <v>8</v>
      </c>
      <c r="E3" s="15">
        <f>IFERROR(__xludf.DUMMYFUNCTION("VLOOKUP(A3,IMPORTRANGE(""1QZ5UxyNCwadreQAXnQ7oCoH982DjIA-QnZdO7ZoqkC0/edit#gid=884617569"",""S2 Totals!$A$2:$O$255""),3,FALSE)"),0.6153846153846154)</f>
        <v>0.6153846154</v>
      </c>
      <c r="F3" s="15">
        <f t="shared" si="1"/>
        <v>0.3846153846</v>
      </c>
      <c r="G3" s="16">
        <f>IFERROR(__xludf.DUMMYFUNCTION("VLOOKUP(A3,IMPORTRANGE(""1QZ5UxyNCwadreQAXnQ7oCoH982DjIA-QnZdO7ZoqkC0/edit#gid=884617569"",""S2 Totals!$A$2:$O$255""),4,FALSE)"),12.0)</f>
        <v>12</v>
      </c>
      <c r="H3" s="15">
        <f>IFERROR(__xludf.DUMMYFUNCTION("VLOOKUP(A3,IMPORTRANGE(""1QZ5UxyNCwadreQAXnQ7oCoH982DjIA-QnZdO7ZoqkC0/edit#gid=884617569"",""S2 Totals!$A$2:$O$255""),5,FALSE)"),1.0)</f>
        <v>1</v>
      </c>
      <c r="I3" s="15">
        <f t="shared" si="2"/>
        <v>0</v>
      </c>
      <c r="J3" s="16">
        <f>IFERROR(__xludf.DUMMYFUNCTION("VLOOKUP(A3,IMPORTRANGE(""1QZ5UxyNCwadreQAXnQ7oCoH982DjIA-QnZdO7ZoqkC0/edit#gid=884617569"",""S2 Totals!$A$2:$O$255""),7,FALSE)"),8.0)</f>
        <v>8</v>
      </c>
      <c r="K3" s="15">
        <f>IFERROR(__xludf.DUMMYFUNCTION("VLOOKUP(A3,IMPORTRANGE(""1QZ5UxyNCwadreQAXnQ7oCoH982DjIA-QnZdO7ZoqkC0/edit#gid=884617569"",""S2 Totals!$A$2:$O$255""),8,FALSE)"),0.6666666666666666)</f>
        <v>0.6666666667</v>
      </c>
      <c r="L3" s="110">
        <f t="shared" si="3"/>
        <v>0.3333333333</v>
      </c>
      <c r="M3" s="16">
        <f>IFERROR(__xludf.DUMMYFUNCTION("VLOOKUP(A3,IMPORTRANGE(""1QZ5UxyNCwadreQAXnQ7oCoH982DjIA-QnZdO7ZoqkC0/edit#gid=884617569"",""S2 Totals!$A$2:$O$255""),10,FALSE)"),11.0)</f>
        <v>11</v>
      </c>
      <c r="N3" s="15">
        <f>IFERROR(__xludf.DUMMYFUNCTION("VLOOKUP(A3,IMPORTRANGE(""1QZ5UxyNCwadreQAXnQ7oCoH982DjIA-QnZdO7ZoqkC0/edit#gid=884617569"",""S2 Totals!$A$2:$O$255""),11,FALSE)"),0.8461538461538461)</f>
        <v>0.8461538462</v>
      </c>
      <c r="O3" s="110">
        <f t="shared" si="4"/>
        <v>0.1538461538</v>
      </c>
      <c r="P3" s="16">
        <f>IFERROR(__xludf.DUMMYFUNCTION("VLOOKUP(A3,IMPORTRANGE(""1QZ5UxyNCwadreQAXnQ7oCoH982DjIA-QnZdO7ZoqkC0/edit#gid=884617569"",""S2 Totals!$A$2:$O$255""),13,FALSE)"),11.0)</f>
        <v>11</v>
      </c>
      <c r="Q3" s="15">
        <f>IFERROR(__xludf.DUMMYFUNCTION("VLOOKUP(A3,IMPORTRANGE(""1QZ5UxyNCwadreQAXnQ7oCoH982DjIA-QnZdO7ZoqkC0/edit#gid=884617569"",""S2 Totals!$A$2:$O$255""),14,FALSE)"),0.9166666666666666)</f>
        <v>0.9166666667</v>
      </c>
      <c r="R3" s="129">
        <f t="shared" si="5"/>
        <v>0.08333333333</v>
      </c>
    </row>
    <row r="4">
      <c r="A4" s="128" t="s">
        <v>27</v>
      </c>
      <c r="B4" s="16">
        <f>IFERROR(__xludf.DUMMYFUNCTION("VLOOKUP(A4,IMPORTRANGE(""1aFCnJY1qhIj8-JckJhDJ18aqmVo17tofpQmOjcYa3u8/edit#gid=1878241338"",""S2 Totals!$A$2:$O$255""),2,FALSE)"),0.0)</f>
        <v>0</v>
      </c>
      <c r="C4" s="15">
        <f>IFERROR(__xludf.DUMMYFUNCTION("VLOOKUP(A4,IMPORTRANGE(""1aFCnJY1qhIj8-JckJhDJ18aqmVo17tofpQmOjcYa3u8/edit#gid=1878241338"",""S2 Totals!$A$2:$O$255""),3,FALSE)"),0.0)</f>
        <v>0</v>
      </c>
      <c r="D4" s="16">
        <f>IFERROR(__xludf.DUMMYFUNCTION("VLOOKUP(A4,IMPORTRANGE(""1QZ5UxyNCwadreQAXnQ7oCoH982DjIA-QnZdO7ZoqkC0/edit#gid=884617569"",""S2 Totals!$A$2:$O$255""),2,FALSE)"),0.0)</f>
        <v>0</v>
      </c>
      <c r="E4" s="15">
        <f>IFERROR(__xludf.DUMMYFUNCTION("VLOOKUP(A4,IMPORTRANGE(""1QZ5UxyNCwadreQAXnQ7oCoH982DjIA-QnZdO7ZoqkC0/edit#gid=884617569"",""S2 Totals!$A$2:$O$255""),3,FALSE)"),0.0)</f>
        <v>0</v>
      </c>
      <c r="F4" s="15">
        <f t="shared" si="1"/>
        <v>0</v>
      </c>
      <c r="G4" s="16">
        <f>IFERROR(__xludf.DUMMYFUNCTION("VLOOKUP(A4,IMPORTRANGE(""1QZ5UxyNCwadreQAXnQ7oCoH982DjIA-QnZdO7ZoqkC0/edit#gid=884617569"",""S2 Totals!$A$2:$O$255""),4,FALSE)"),0.0)</f>
        <v>0</v>
      </c>
      <c r="H4" s="15">
        <f>IFERROR(__xludf.DUMMYFUNCTION("VLOOKUP(A4,IMPORTRANGE(""1QZ5UxyNCwadreQAXnQ7oCoH982DjIA-QnZdO7ZoqkC0/edit#gid=884617569"",""S2 Totals!$A$2:$O$255""),5,FALSE)"),0.0)</f>
        <v>0</v>
      </c>
      <c r="I4" s="15">
        <f t="shared" si="2"/>
        <v>0</v>
      </c>
      <c r="J4" s="16">
        <f>IFERROR(__xludf.DUMMYFUNCTION("VLOOKUP(A4,IMPORTRANGE(""1QZ5UxyNCwadreQAXnQ7oCoH982DjIA-QnZdO7ZoqkC0/edit#gid=884617569"",""S2 Totals!$A$2:$O$255""),7,FALSE)"),0.0)</f>
        <v>0</v>
      </c>
      <c r="K4" s="15">
        <f>IFERROR(__xludf.DUMMYFUNCTION("VLOOKUP(A4,IMPORTRANGE(""1QZ5UxyNCwadreQAXnQ7oCoH982DjIA-QnZdO7ZoqkC0/edit#gid=884617569"",""S2 Totals!$A$2:$O$255""),8,FALSE)"),0.0)</f>
        <v>0</v>
      </c>
      <c r="L4" s="110">
        <f t="shared" si="3"/>
        <v>0</v>
      </c>
      <c r="M4" s="16">
        <f>IFERROR(__xludf.DUMMYFUNCTION("VLOOKUP(A4,IMPORTRANGE(""1QZ5UxyNCwadreQAXnQ7oCoH982DjIA-QnZdO7ZoqkC0/edit#gid=884617569"",""S2 Totals!$A$2:$O$255""),10,FALSE)"),0.0)</f>
        <v>0</v>
      </c>
      <c r="N4" s="15">
        <f>IFERROR(__xludf.DUMMYFUNCTION("VLOOKUP(A4,IMPORTRANGE(""1QZ5UxyNCwadreQAXnQ7oCoH982DjIA-QnZdO7ZoqkC0/edit#gid=884617569"",""S2 Totals!$A$2:$O$255""),11,FALSE)"),0.0)</f>
        <v>0</v>
      </c>
      <c r="O4" s="110">
        <f t="shared" si="4"/>
        <v>0</v>
      </c>
      <c r="P4" s="16">
        <f>IFERROR(__xludf.DUMMYFUNCTION("VLOOKUP(A4,IMPORTRANGE(""1QZ5UxyNCwadreQAXnQ7oCoH982DjIA-QnZdO7ZoqkC0/edit#gid=884617569"",""S2 Totals!$A$2:$O$255""),13,FALSE)"),0.0)</f>
        <v>0</v>
      </c>
      <c r="Q4" s="15">
        <f>IFERROR(__xludf.DUMMYFUNCTION("VLOOKUP(A4,IMPORTRANGE(""1QZ5UxyNCwadreQAXnQ7oCoH982DjIA-QnZdO7ZoqkC0/edit#gid=884617569"",""S2 Totals!$A$2:$O$255""),14,FALSE)"),0.0)</f>
        <v>0</v>
      </c>
      <c r="R4" s="129">
        <f t="shared" si="5"/>
        <v>0</v>
      </c>
    </row>
    <row r="5">
      <c r="A5" s="130" t="s">
        <v>262</v>
      </c>
      <c r="B5" s="16">
        <f>IFERROR(__xludf.DUMMYFUNCTION("VLOOKUP(A5,IMPORTRANGE(""1aFCnJY1qhIj8-JckJhDJ18aqmVo17tofpQmOjcYa3u8/edit#gid=1878241338"",""S2 Totals!$A$2:$O$255""),2,FALSE)"),3.0)</f>
        <v>3</v>
      </c>
      <c r="C5" s="15">
        <f>IFERROR(__xludf.DUMMYFUNCTION("VLOOKUP(A5,IMPORTRANGE(""1aFCnJY1qhIj8-JckJhDJ18aqmVo17tofpQmOjcYa3u8/edit#gid=1878241338"",""S2 Totals!$A$2:$O$255""),3,FALSE)"),0.2727272727272727)</f>
        <v>0.2727272727</v>
      </c>
      <c r="D5" s="16" t="str">
        <f>IFERROR(__xludf.DUMMYFUNCTION("VLOOKUP(A5,IMPORTRANGE(""1QZ5UxyNCwadreQAXnQ7oCoH982DjIA-QnZdO7ZoqkC0/edit#gid=884617569"",""S2 Totals!$A$2:$O$255""),2,FALSE)"),"#N/A")</f>
        <v>#N/A</v>
      </c>
      <c r="E5" s="15" t="str">
        <f>IFERROR(__xludf.DUMMYFUNCTION("VLOOKUP(A5,IMPORTRANGE(""1QZ5UxyNCwadreQAXnQ7oCoH982DjIA-QnZdO7ZoqkC0/edit#gid=884617569"",""S2 Totals!$A$2:$O$255""),3,FALSE)"),"#N/A")</f>
        <v>#N/A</v>
      </c>
      <c r="F5" s="16" t="str">
        <f t="shared" si="1"/>
        <v>#N/A</v>
      </c>
      <c r="G5" s="16" t="str">
        <f>IFERROR(__xludf.DUMMYFUNCTION("VLOOKUP(A5,IMPORTRANGE(""1QZ5UxyNCwadreQAXnQ7oCoH982DjIA-QnZdO7ZoqkC0/edit#gid=884617569"",""S2 Totals!$A$2:$O$255""),4,FALSE)"),"#N/A")</f>
        <v>#N/A</v>
      </c>
      <c r="H5" s="15" t="str">
        <f>IFERROR(__xludf.DUMMYFUNCTION("VLOOKUP(A5,IMPORTRANGE(""1QZ5UxyNCwadreQAXnQ7oCoH982DjIA-QnZdO7ZoqkC0/edit#gid=884617569"",""S2 Totals!$A$2:$O$255""),5,FALSE)"),"#N/A")</f>
        <v>#N/A</v>
      </c>
      <c r="I5" s="16" t="str">
        <f t="shared" si="2"/>
        <v>#N/A</v>
      </c>
      <c r="J5" s="16" t="str">
        <f>IFERROR(__xludf.DUMMYFUNCTION("VLOOKUP(A5,IMPORTRANGE(""1QZ5UxyNCwadreQAXnQ7oCoH982DjIA-QnZdO7ZoqkC0/edit#gid=884617569"",""S2 Totals!$A$2:$O$255""),7,FALSE)"),"#N/A")</f>
        <v>#N/A</v>
      </c>
      <c r="K5" s="15" t="str">
        <f>IFERROR(__xludf.DUMMYFUNCTION("VLOOKUP(A5,IMPORTRANGE(""1QZ5UxyNCwadreQAXnQ7oCoH982DjIA-QnZdO7ZoqkC0/edit#gid=884617569"",""S2 Totals!$A$2:$O$255""),8,FALSE)"),"#N/A")</f>
        <v>#N/A</v>
      </c>
      <c r="L5" s="110" t="str">
        <f t="shared" si="3"/>
        <v>#N/A</v>
      </c>
      <c r="M5" s="16" t="str">
        <f>IFERROR(__xludf.DUMMYFUNCTION("VLOOKUP(A5,IMPORTRANGE(""1QZ5UxyNCwadreQAXnQ7oCoH982DjIA-QnZdO7ZoqkC0/edit#gid=884617569"",""S2 Totals!$A$2:$O$255""),10,FALSE)"),"#N/A")</f>
        <v>#N/A</v>
      </c>
      <c r="N5" s="15" t="str">
        <f>IFERROR(__xludf.DUMMYFUNCTION("VLOOKUP(A5,IMPORTRANGE(""1QZ5UxyNCwadreQAXnQ7oCoH982DjIA-QnZdO7ZoqkC0/edit#gid=884617569"",""S2 Totals!$A$2:$O$255""),11,FALSE)"),"#N/A")</f>
        <v>#N/A</v>
      </c>
      <c r="O5" s="110" t="str">
        <f t="shared" si="4"/>
        <v>#N/A</v>
      </c>
      <c r="P5" s="16" t="str">
        <f>IFERROR(__xludf.DUMMYFUNCTION("VLOOKUP(A5,IMPORTRANGE(""1QZ5UxyNCwadreQAXnQ7oCoH982DjIA-QnZdO7ZoqkC0/edit#gid=884617569"",""S2 Totals!$A$2:$O$255""),13,FALSE)"),"#N/A")</f>
        <v>#N/A</v>
      </c>
      <c r="Q5" s="15" t="str">
        <f>IFERROR(__xludf.DUMMYFUNCTION("VLOOKUP(A5,IMPORTRANGE(""1QZ5UxyNCwadreQAXnQ7oCoH982DjIA-QnZdO7ZoqkC0/edit#gid=884617569"",""S2 Totals!$A$2:$O$255""),14,FALSE)"),"#N/A")</f>
        <v>#N/A</v>
      </c>
      <c r="R5" s="129" t="str">
        <f t="shared" si="5"/>
        <v>#N/A</v>
      </c>
    </row>
    <row r="6">
      <c r="A6" s="128" t="s">
        <v>161</v>
      </c>
      <c r="B6" s="16">
        <f>IFERROR(__xludf.DUMMYFUNCTION("VLOOKUP(A6,IMPORTRANGE(""1aFCnJY1qhIj8-JckJhDJ18aqmVo17tofpQmOjcYa3u8/edit#gid=1878241338"",""S2 Totals!$A$2:$O$255""),2,FALSE)"),5.0)</f>
        <v>5</v>
      </c>
      <c r="C6" s="15">
        <f>IFERROR(__xludf.DUMMYFUNCTION("VLOOKUP(A6,IMPORTRANGE(""1aFCnJY1qhIj8-JckJhDJ18aqmVo17tofpQmOjcYa3u8/edit#gid=1878241338"",""S2 Totals!$A$2:$O$255""),3,FALSE)"),0.45454545454545453)</f>
        <v>0.4545454545</v>
      </c>
      <c r="D6" s="16">
        <f>IFERROR(__xludf.DUMMYFUNCTION("VLOOKUP(A6,IMPORTRANGE(""1QZ5UxyNCwadreQAXnQ7oCoH982DjIA-QnZdO7ZoqkC0/edit#gid=884617569"",""S2 Totals!$A$2:$O$255""),2,FALSE)"),5.0)</f>
        <v>5</v>
      </c>
      <c r="E6" s="15">
        <f>IFERROR(__xludf.DUMMYFUNCTION("VLOOKUP(A6,IMPORTRANGE(""1QZ5UxyNCwadreQAXnQ7oCoH982DjIA-QnZdO7ZoqkC0/edit#gid=884617569"",""S2 Totals!$A$2:$O$255""),3,FALSE)"),0.38461538461538464)</f>
        <v>0.3846153846</v>
      </c>
      <c r="F6" s="15">
        <f t="shared" si="1"/>
        <v>0.06993006993</v>
      </c>
      <c r="G6" s="16">
        <f>IFERROR(__xludf.DUMMYFUNCTION("VLOOKUP(A6,IMPORTRANGE(""1QZ5UxyNCwadreQAXnQ7oCoH982DjIA-QnZdO7ZoqkC0/edit#gid=884617569"",""S2 Totals!$A$2:$O$255""),4,FALSE)"),4.0)</f>
        <v>4</v>
      </c>
      <c r="H6" s="15">
        <f>IFERROR(__xludf.DUMMYFUNCTION("VLOOKUP(A6,IMPORTRANGE(""1QZ5UxyNCwadreQAXnQ7oCoH982DjIA-QnZdO7ZoqkC0/edit#gid=884617569"",""S2 Totals!$A$2:$O$255""),5,FALSE)"),0.3333333333333333)</f>
        <v>0.3333333333</v>
      </c>
      <c r="I6" s="15">
        <f t="shared" si="2"/>
        <v>0.1212121212</v>
      </c>
      <c r="J6" s="16">
        <f>IFERROR(__xludf.DUMMYFUNCTION("VLOOKUP(A6,IMPORTRANGE(""1QZ5UxyNCwadreQAXnQ7oCoH982DjIA-QnZdO7ZoqkC0/edit#gid=884617569"",""S2 Totals!$A$2:$O$255""),7,FALSE)"),4.0)</f>
        <v>4</v>
      </c>
      <c r="K6" s="15">
        <f>IFERROR(__xludf.DUMMYFUNCTION("VLOOKUP(A6,IMPORTRANGE(""1QZ5UxyNCwadreQAXnQ7oCoH982DjIA-QnZdO7ZoqkC0/edit#gid=884617569"",""S2 Totals!$A$2:$O$255""),8,FALSE)"),0.3333333333333333)</f>
        <v>0.3333333333</v>
      </c>
      <c r="L6" s="110">
        <f t="shared" si="3"/>
        <v>0.1212121212</v>
      </c>
      <c r="M6" s="16" t="str">
        <f>IFERROR(__xludf.DUMMYFUNCTION("VLOOKUP(A6,IMPORTRANGE(""1QZ5UxyNCwadreQAXnQ7oCoH982DjIA-QnZdO7ZoqkC0/edit#gid=884617569"",""S2 Totals!$A$2:$O$255""),10,FALSE)"),"")</f>
        <v/>
      </c>
      <c r="N6" s="15" t="str">
        <f>IFERROR(__xludf.DUMMYFUNCTION("VLOOKUP(A6,IMPORTRANGE(""1QZ5UxyNCwadreQAXnQ7oCoH982DjIA-QnZdO7ZoqkC0/edit#gid=884617569"",""S2 Totals!$A$2:$O$255""),11,FALSE)"),"")</f>
        <v/>
      </c>
      <c r="O6" s="110">
        <f t="shared" si="4"/>
        <v>0.4545454545</v>
      </c>
      <c r="P6" s="16" t="str">
        <f>IFERROR(__xludf.DUMMYFUNCTION("VLOOKUP(A6,IMPORTRANGE(""1QZ5UxyNCwadreQAXnQ7oCoH982DjIA-QnZdO7ZoqkC0/edit#gid=884617569"",""S2 Totals!$A$2:$O$255""),13,FALSE)"),"")</f>
        <v/>
      </c>
      <c r="Q6" s="15" t="str">
        <f>IFERROR(__xludf.DUMMYFUNCTION("VLOOKUP(A6,IMPORTRANGE(""1QZ5UxyNCwadreQAXnQ7oCoH982DjIA-QnZdO7ZoqkC0/edit#gid=884617569"",""S2 Totals!$A$2:$O$255""),14,FALSE)"),"")</f>
        <v/>
      </c>
      <c r="R6" s="129">
        <f t="shared" si="5"/>
        <v>0.4545454545</v>
      </c>
    </row>
    <row r="7">
      <c r="A7" s="128" t="s">
        <v>162</v>
      </c>
      <c r="B7" s="16">
        <f>IFERROR(__xludf.DUMMYFUNCTION("VLOOKUP(A7,IMPORTRANGE(""1aFCnJY1qhIj8-JckJhDJ18aqmVo17tofpQmOjcYa3u8/edit#gid=1878241338"",""S2 Totals!$A$2:$O$255""),2,FALSE)"),5.0)</f>
        <v>5</v>
      </c>
      <c r="C7" s="15">
        <f>IFERROR(__xludf.DUMMYFUNCTION("VLOOKUP(A7,IMPORTRANGE(""1aFCnJY1qhIj8-JckJhDJ18aqmVo17tofpQmOjcYa3u8/edit#gid=1878241338"",""S2 Totals!$A$2:$O$255""),3,FALSE)"),0.45454545454545453)</f>
        <v>0.4545454545</v>
      </c>
      <c r="D7" s="16">
        <f>IFERROR(__xludf.DUMMYFUNCTION("VLOOKUP(A7,IMPORTRANGE(""1QZ5UxyNCwadreQAXnQ7oCoH982DjIA-QnZdO7ZoqkC0/edit#gid=884617569"",""S2 Totals!$A$2:$O$255""),2,FALSE)"),6.0)</f>
        <v>6</v>
      </c>
      <c r="E7" s="15">
        <f>IFERROR(__xludf.DUMMYFUNCTION("VLOOKUP(A7,IMPORTRANGE(""1QZ5UxyNCwadreQAXnQ7oCoH982DjIA-QnZdO7ZoqkC0/edit#gid=884617569"",""S2 Totals!$A$2:$O$255""),3,FALSE)"),0.46153846153846156)</f>
        <v>0.4615384615</v>
      </c>
      <c r="F7" s="15">
        <f t="shared" si="1"/>
        <v>-0.006993006993</v>
      </c>
      <c r="G7" s="16">
        <f>IFERROR(__xludf.DUMMYFUNCTION("VLOOKUP(A7,IMPORTRANGE(""1QZ5UxyNCwadreQAXnQ7oCoH982DjIA-QnZdO7ZoqkC0/edit#gid=884617569"",""S2 Totals!$A$2:$O$255""),4,FALSE)"),2.0)</f>
        <v>2</v>
      </c>
      <c r="H7" s="15">
        <f>IFERROR(__xludf.DUMMYFUNCTION("VLOOKUP(A7,IMPORTRANGE(""1QZ5UxyNCwadreQAXnQ7oCoH982DjIA-QnZdO7ZoqkC0/edit#gid=884617569"",""S2 Totals!$A$2:$O$255""),5,FALSE)"),0.16666666666666666)</f>
        <v>0.1666666667</v>
      </c>
      <c r="I7" s="15">
        <f t="shared" si="2"/>
        <v>0.2878787879</v>
      </c>
      <c r="J7" s="16">
        <f>IFERROR(__xludf.DUMMYFUNCTION("VLOOKUP(A7,IMPORTRANGE(""1QZ5UxyNCwadreQAXnQ7oCoH982DjIA-QnZdO7ZoqkC0/edit#gid=884617569"",""S2 Totals!$A$2:$O$255""),7,FALSE)"),4.0)</f>
        <v>4</v>
      </c>
      <c r="K7" s="15">
        <f>IFERROR(__xludf.DUMMYFUNCTION("VLOOKUP(A7,IMPORTRANGE(""1QZ5UxyNCwadreQAXnQ7oCoH982DjIA-QnZdO7ZoqkC0/edit#gid=884617569"",""S2 Totals!$A$2:$O$255""),8,FALSE)"),0.3333333333333333)</f>
        <v>0.3333333333</v>
      </c>
      <c r="L7" s="110">
        <f t="shared" si="3"/>
        <v>0.1212121212</v>
      </c>
      <c r="M7" s="16" t="str">
        <f>IFERROR(__xludf.DUMMYFUNCTION("VLOOKUP(A7,IMPORTRANGE(""1QZ5UxyNCwadreQAXnQ7oCoH982DjIA-QnZdO7ZoqkC0/edit#gid=884617569"",""S2 Totals!$A$2:$O$255""),10,FALSE)"),"")</f>
        <v/>
      </c>
      <c r="N7" s="15" t="str">
        <f>IFERROR(__xludf.DUMMYFUNCTION("VLOOKUP(A7,IMPORTRANGE(""1QZ5UxyNCwadreQAXnQ7oCoH982DjIA-QnZdO7ZoqkC0/edit#gid=884617569"",""S2 Totals!$A$2:$O$255""),11,FALSE)"),"")</f>
        <v/>
      </c>
      <c r="O7" s="110">
        <f t="shared" si="4"/>
        <v>0.4545454545</v>
      </c>
      <c r="P7" s="16" t="str">
        <f>IFERROR(__xludf.DUMMYFUNCTION("VLOOKUP(A7,IMPORTRANGE(""1QZ5UxyNCwadreQAXnQ7oCoH982DjIA-QnZdO7ZoqkC0/edit#gid=884617569"",""S2 Totals!$A$2:$O$255""),13,FALSE)"),"")</f>
        <v/>
      </c>
      <c r="Q7" s="15" t="str">
        <f>IFERROR(__xludf.DUMMYFUNCTION("VLOOKUP(A7,IMPORTRANGE(""1QZ5UxyNCwadreQAXnQ7oCoH982DjIA-QnZdO7ZoqkC0/edit#gid=884617569"",""S2 Totals!$A$2:$O$255""),14,FALSE)"),"")</f>
        <v/>
      </c>
      <c r="R7" s="129">
        <f t="shared" si="5"/>
        <v>0.4545454545</v>
      </c>
    </row>
    <row r="8">
      <c r="A8" s="128" t="s">
        <v>163</v>
      </c>
      <c r="B8" s="16">
        <f>IFERROR(__xludf.DUMMYFUNCTION("VLOOKUP(A8,IMPORTRANGE(""1aFCnJY1qhIj8-JckJhDJ18aqmVo17tofpQmOjcYa3u8/edit#gid=1878241338"",""S2 Totals!$A$2:$O$255""),2,FALSE)"),2.0)</f>
        <v>2</v>
      </c>
      <c r="C8" s="15">
        <f>IFERROR(__xludf.DUMMYFUNCTION("VLOOKUP(A8,IMPORTRANGE(""1aFCnJY1qhIj8-JckJhDJ18aqmVo17tofpQmOjcYa3u8/edit#gid=1878241338"",""S2 Totals!$A$2:$O$255""),3,FALSE)"),0.18181818181818182)</f>
        <v>0.1818181818</v>
      </c>
      <c r="D8" s="16">
        <f>IFERROR(__xludf.DUMMYFUNCTION("VLOOKUP(A8,IMPORTRANGE(""1QZ5UxyNCwadreQAXnQ7oCoH982DjIA-QnZdO7ZoqkC0/edit#gid=884617569"",""S2 Totals!$A$2:$O$255""),2,FALSE)"),2.0)</f>
        <v>2</v>
      </c>
      <c r="E8" s="15">
        <f>IFERROR(__xludf.DUMMYFUNCTION("VLOOKUP(A8,IMPORTRANGE(""1QZ5UxyNCwadreQAXnQ7oCoH982DjIA-QnZdO7ZoqkC0/edit#gid=884617569"",""S2 Totals!$A$2:$O$255""),3,FALSE)"),0.15384615384615385)</f>
        <v>0.1538461538</v>
      </c>
      <c r="F8" s="15">
        <f t="shared" si="1"/>
        <v>0.02797202797</v>
      </c>
      <c r="G8" s="16">
        <f>IFERROR(__xludf.DUMMYFUNCTION("VLOOKUP(A8,IMPORTRANGE(""1QZ5UxyNCwadreQAXnQ7oCoH982DjIA-QnZdO7ZoqkC0/edit#gid=884617569"",""S2 Totals!$A$2:$O$255""),4,FALSE)"),2.0)</f>
        <v>2</v>
      </c>
      <c r="H8" s="15">
        <f>IFERROR(__xludf.DUMMYFUNCTION("VLOOKUP(A8,IMPORTRANGE(""1QZ5UxyNCwadreQAXnQ7oCoH982DjIA-QnZdO7ZoqkC0/edit#gid=884617569"",""S2 Totals!$A$2:$O$255""),5,FALSE)"),0.16666666666666666)</f>
        <v>0.1666666667</v>
      </c>
      <c r="I8" s="15">
        <f t="shared" si="2"/>
        <v>0.01515151515</v>
      </c>
      <c r="J8" s="16">
        <f>IFERROR(__xludf.DUMMYFUNCTION("VLOOKUP(A8,IMPORTRANGE(""1QZ5UxyNCwadreQAXnQ7oCoH982DjIA-QnZdO7ZoqkC0/edit#gid=884617569"",""S2 Totals!$A$2:$O$255""),7,FALSE)"),2.0)</f>
        <v>2</v>
      </c>
      <c r="K8" s="15">
        <f>IFERROR(__xludf.DUMMYFUNCTION("VLOOKUP(A8,IMPORTRANGE(""1QZ5UxyNCwadreQAXnQ7oCoH982DjIA-QnZdO7ZoqkC0/edit#gid=884617569"",""S2 Totals!$A$2:$O$255""),8,FALSE)"),0.16666666666666666)</f>
        <v>0.1666666667</v>
      </c>
      <c r="L8" s="110">
        <f t="shared" si="3"/>
        <v>0.01515151515</v>
      </c>
      <c r="M8" s="16" t="str">
        <f>IFERROR(__xludf.DUMMYFUNCTION("VLOOKUP(A8,IMPORTRANGE(""1QZ5UxyNCwadreQAXnQ7oCoH982DjIA-QnZdO7ZoqkC0/edit#gid=884617569"",""S2 Totals!$A$2:$O$255""),10,FALSE)"),"")</f>
        <v/>
      </c>
      <c r="N8" s="15" t="str">
        <f>IFERROR(__xludf.DUMMYFUNCTION("VLOOKUP(A8,IMPORTRANGE(""1QZ5UxyNCwadreQAXnQ7oCoH982DjIA-QnZdO7ZoqkC0/edit#gid=884617569"",""S2 Totals!$A$2:$O$255""),11,FALSE)"),"")</f>
        <v/>
      </c>
      <c r="O8" s="110">
        <f t="shared" si="4"/>
        <v>0.1818181818</v>
      </c>
      <c r="P8" s="16" t="str">
        <f>IFERROR(__xludf.DUMMYFUNCTION("VLOOKUP(A8,IMPORTRANGE(""1QZ5UxyNCwadreQAXnQ7oCoH982DjIA-QnZdO7ZoqkC0/edit#gid=884617569"",""S2 Totals!$A$2:$O$255""),13,FALSE)"),"")</f>
        <v/>
      </c>
      <c r="Q8" s="15" t="str">
        <f>IFERROR(__xludf.DUMMYFUNCTION("VLOOKUP(A8,IMPORTRANGE(""1QZ5UxyNCwadreQAXnQ7oCoH982DjIA-QnZdO7ZoqkC0/edit#gid=884617569"",""S2 Totals!$A$2:$O$255""),14,FALSE)"),"")</f>
        <v/>
      </c>
      <c r="R8" s="129">
        <f t="shared" si="5"/>
        <v>0.1818181818</v>
      </c>
    </row>
    <row r="9">
      <c r="A9" s="128" t="s">
        <v>23</v>
      </c>
      <c r="B9" s="16">
        <f>IFERROR(__xludf.DUMMYFUNCTION("VLOOKUP(A9,IMPORTRANGE(""1aFCnJY1qhIj8-JckJhDJ18aqmVo17tofpQmOjcYa3u8/edit#gid=1878241338"",""S2 Totals!$A$2:$O$255""),2,FALSE)"),3.0)</f>
        <v>3</v>
      </c>
      <c r="C9" s="15">
        <f>IFERROR(__xludf.DUMMYFUNCTION("VLOOKUP(A9,IMPORTRANGE(""1aFCnJY1qhIj8-JckJhDJ18aqmVo17tofpQmOjcYa3u8/edit#gid=1878241338"",""S2 Totals!$A$2:$O$255""),3,FALSE)"),0.2727272727272727)</f>
        <v>0.2727272727</v>
      </c>
      <c r="D9" s="16">
        <f>IFERROR(__xludf.DUMMYFUNCTION("VLOOKUP(A9,IMPORTRANGE(""1QZ5UxyNCwadreQAXnQ7oCoH982DjIA-QnZdO7ZoqkC0/edit#gid=884617569"",""S2 Totals!$A$2:$O$255""),2,FALSE)"),4.0)</f>
        <v>4</v>
      </c>
      <c r="E9" s="15">
        <f>IFERROR(__xludf.DUMMYFUNCTION("VLOOKUP(A9,IMPORTRANGE(""1QZ5UxyNCwadreQAXnQ7oCoH982DjIA-QnZdO7ZoqkC0/edit#gid=884617569"",""S2 Totals!$A$2:$O$255""),3,FALSE)"),0.3076923076923077)</f>
        <v>0.3076923077</v>
      </c>
      <c r="F9" s="15">
        <f t="shared" si="1"/>
        <v>-0.03496503497</v>
      </c>
      <c r="G9" s="16">
        <f>IFERROR(__xludf.DUMMYFUNCTION("VLOOKUP(A9,IMPORTRANGE(""1QZ5UxyNCwadreQAXnQ7oCoH982DjIA-QnZdO7ZoqkC0/edit#gid=884617569"",""S2 Totals!$A$2:$O$255""),4,FALSE)"),2.0)</f>
        <v>2</v>
      </c>
      <c r="H9" s="15">
        <f>IFERROR(__xludf.DUMMYFUNCTION("VLOOKUP(A9,IMPORTRANGE(""1QZ5UxyNCwadreQAXnQ7oCoH982DjIA-QnZdO7ZoqkC0/edit#gid=884617569"",""S2 Totals!$A$2:$O$255""),5,FALSE)"),0.16666666666666666)</f>
        <v>0.1666666667</v>
      </c>
      <c r="I9" s="15">
        <f t="shared" si="2"/>
        <v>0.1060606061</v>
      </c>
      <c r="J9" s="16">
        <f>IFERROR(__xludf.DUMMYFUNCTION("VLOOKUP(A9,IMPORTRANGE(""1QZ5UxyNCwadreQAXnQ7oCoH982DjIA-QnZdO7ZoqkC0/edit#gid=884617569"",""S2 Totals!$A$2:$O$255""),7,FALSE)"),2.0)</f>
        <v>2</v>
      </c>
      <c r="K9" s="15">
        <f>IFERROR(__xludf.DUMMYFUNCTION("VLOOKUP(A9,IMPORTRANGE(""1QZ5UxyNCwadreQAXnQ7oCoH982DjIA-QnZdO7ZoqkC0/edit#gid=884617569"",""S2 Totals!$A$2:$O$255""),8,FALSE)"),0.16666666666666666)</f>
        <v>0.1666666667</v>
      </c>
      <c r="L9" s="110">
        <f t="shared" si="3"/>
        <v>0.1060606061</v>
      </c>
      <c r="M9" s="16">
        <f>IFERROR(__xludf.DUMMYFUNCTION("VLOOKUP(A9,IMPORTRANGE(""1QZ5UxyNCwadreQAXnQ7oCoH982DjIA-QnZdO7ZoqkC0/edit#gid=884617569"",""S2 Totals!$A$2:$O$255""),10,FALSE)"),0.0)</f>
        <v>0</v>
      </c>
      <c r="N9" s="15">
        <f>IFERROR(__xludf.DUMMYFUNCTION("VLOOKUP(A9,IMPORTRANGE(""1QZ5UxyNCwadreQAXnQ7oCoH982DjIA-QnZdO7ZoqkC0/edit#gid=884617569"",""S2 Totals!$A$2:$O$255""),11,FALSE)"),0.0)</f>
        <v>0</v>
      </c>
      <c r="O9" s="110">
        <f t="shared" si="4"/>
        <v>0.2727272727</v>
      </c>
      <c r="P9" s="16">
        <f>IFERROR(__xludf.DUMMYFUNCTION("VLOOKUP(A9,IMPORTRANGE(""1QZ5UxyNCwadreQAXnQ7oCoH982DjIA-QnZdO7ZoqkC0/edit#gid=884617569"",""S2 Totals!$A$2:$O$255""),13,FALSE)"),0.0)</f>
        <v>0</v>
      </c>
      <c r="Q9" s="15">
        <f>IFERROR(__xludf.DUMMYFUNCTION("VLOOKUP(A9,IMPORTRANGE(""1QZ5UxyNCwadreQAXnQ7oCoH982DjIA-QnZdO7ZoqkC0/edit#gid=884617569"",""S2 Totals!$A$2:$O$255""),14,FALSE)"),0.0)</f>
        <v>0</v>
      </c>
      <c r="R9" s="129">
        <f t="shared" si="5"/>
        <v>0.2727272727</v>
      </c>
    </row>
    <row r="10">
      <c r="A10" s="128" t="s">
        <v>24</v>
      </c>
      <c r="B10" s="16">
        <f>IFERROR(__xludf.DUMMYFUNCTION("VLOOKUP(A10,IMPORTRANGE(""1aFCnJY1qhIj8-JckJhDJ18aqmVo17tofpQmOjcYa3u8/edit#gid=1878241338"",""S2 Totals!$A$2:$O$255""),2,FALSE)"),5.0)</f>
        <v>5</v>
      </c>
      <c r="C10" s="15">
        <f>IFERROR(__xludf.DUMMYFUNCTION("VLOOKUP(A10,IMPORTRANGE(""1aFCnJY1qhIj8-JckJhDJ18aqmVo17tofpQmOjcYa3u8/edit#gid=1878241338"",""S2 Totals!$A$2:$O$255""),3,FALSE)"),0.45454545454545453)</f>
        <v>0.4545454545</v>
      </c>
      <c r="D10" s="16">
        <f>IFERROR(__xludf.DUMMYFUNCTION("VLOOKUP(A10,IMPORTRANGE(""1QZ5UxyNCwadreQAXnQ7oCoH982DjIA-QnZdO7ZoqkC0/edit#gid=884617569"",""S2 Totals!$A$2:$O$255""),2,FALSE)"),5.0)</f>
        <v>5</v>
      </c>
      <c r="E10" s="15">
        <f>IFERROR(__xludf.DUMMYFUNCTION("VLOOKUP(A10,IMPORTRANGE(""1QZ5UxyNCwadreQAXnQ7oCoH982DjIA-QnZdO7ZoqkC0/edit#gid=884617569"",""S2 Totals!$A$2:$O$255""),3,FALSE)"),0.38461538461538464)</f>
        <v>0.3846153846</v>
      </c>
      <c r="F10" s="15">
        <f t="shared" si="1"/>
        <v>0.06993006993</v>
      </c>
      <c r="G10" s="16">
        <f>IFERROR(__xludf.DUMMYFUNCTION("VLOOKUP(A10,IMPORTRANGE(""1QZ5UxyNCwadreQAXnQ7oCoH982DjIA-QnZdO7ZoqkC0/edit#gid=884617569"",""S2 Totals!$A$2:$O$255""),4,FALSE)"),3.0)</f>
        <v>3</v>
      </c>
      <c r="H10" s="15">
        <f>IFERROR(__xludf.DUMMYFUNCTION("VLOOKUP(A10,IMPORTRANGE(""1QZ5UxyNCwadreQAXnQ7oCoH982DjIA-QnZdO7ZoqkC0/edit#gid=884617569"",""S2 Totals!$A$2:$O$255""),5,FALSE)"),0.25)</f>
        <v>0.25</v>
      </c>
      <c r="I10" s="15">
        <f t="shared" si="2"/>
        <v>0.2045454545</v>
      </c>
      <c r="J10" s="16">
        <f>IFERROR(__xludf.DUMMYFUNCTION("VLOOKUP(A10,IMPORTRANGE(""1QZ5UxyNCwadreQAXnQ7oCoH982DjIA-QnZdO7ZoqkC0/edit#gid=884617569"",""S2 Totals!$A$2:$O$255""),7,FALSE)"),3.0)</f>
        <v>3</v>
      </c>
      <c r="K10" s="15">
        <f>IFERROR(__xludf.DUMMYFUNCTION("VLOOKUP(A10,IMPORTRANGE(""1QZ5UxyNCwadreQAXnQ7oCoH982DjIA-QnZdO7ZoqkC0/edit#gid=884617569"",""S2 Totals!$A$2:$O$255""),8,FALSE)"),0.25)</f>
        <v>0.25</v>
      </c>
      <c r="L10" s="110">
        <f t="shared" si="3"/>
        <v>0.2045454545</v>
      </c>
      <c r="M10" s="16">
        <f>IFERROR(__xludf.DUMMYFUNCTION("VLOOKUP(A10,IMPORTRANGE(""1QZ5UxyNCwadreQAXnQ7oCoH982DjIA-QnZdO7ZoqkC0/edit#gid=884617569"",""S2 Totals!$A$2:$O$255""),10,FALSE)"),3.0)</f>
        <v>3</v>
      </c>
      <c r="N10" s="15">
        <f>IFERROR(__xludf.DUMMYFUNCTION("VLOOKUP(A10,IMPORTRANGE(""1QZ5UxyNCwadreQAXnQ7oCoH982DjIA-QnZdO7ZoqkC0/edit#gid=884617569"",""S2 Totals!$A$2:$O$255""),11,FALSE)"),0.23076923076923078)</f>
        <v>0.2307692308</v>
      </c>
      <c r="O10" s="110">
        <f t="shared" si="4"/>
        <v>0.2237762238</v>
      </c>
      <c r="P10" s="16">
        <f>IFERROR(__xludf.DUMMYFUNCTION("VLOOKUP(A10,IMPORTRANGE(""1QZ5UxyNCwadreQAXnQ7oCoH982DjIA-QnZdO7ZoqkC0/edit#gid=884617569"",""S2 Totals!$A$2:$O$255""),13,FALSE)"),4.0)</f>
        <v>4</v>
      </c>
      <c r="Q10" s="15">
        <f>IFERROR(__xludf.DUMMYFUNCTION("VLOOKUP(A10,IMPORTRANGE(""1QZ5UxyNCwadreQAXnQ7oCoH982DjIA-QnZdO7ZoqkC0/edit#gid=884617569"",""S2 Totals!$A$2:$O$255""),14,FALSE)"),0.3333333333333333)</f>
        <v>0.3333333333</v>
      </c>
      <c r="R10" s="129">
        <f t="shared" si="5"/>
        <v>0.1212121212</v>
      </c>
    </row>
    <row r="11">
      <c r="A11" s="128" t="s">
        <v>113</v>
      </c>
      <c r="B11" s="16">
        <f>IFERROR(__xludf.DUMMYFUNCTION("VLOOKUP(A11,IMPORTRANGE(""1aFCnJY1qhIj8-JckJhDJ18aqmVo17tofpQmOjcYa3u8/edit#gid=1878241338"",""S2 Totals!$A$2:$O$255""),2,FALSE)"),1.0)</f>
        <v>1</v>
      </c>
      <c r="C11" s="15">
        <f>IFERROR(__xludf.DUMMYFUNCTION("VLOOKUP(A11,IMPORTRANGE(""1aFCnJY1qhIj8-JckJhDJ18aqmVo17tofpQmOjcYa3u8/edit#gid=1878241338"",""S2 Totals!$A$2:$O$255""),3,FALSE)"),0.09090909090909091)</f>
        <v>0.09090909091</v>
      </c>
      <c r="D11" s="16">
        <f>IFERROR(__xludf.DUMMYFUNCTION("VLOOKUP(A11,IMPORTRANGE(""1QZ5UxyNCwadreQAXnQ7oCoH982DjIA-QnZdO7ZoqkC0/edit#gid=884617569"",""S2 Totals!$A$2:$O$255""),2,FALSE)"),2.0)</f>
        <v>2</v>
      </c>
      <c r="E11" s="15">
        <f>IFERROR(__xludf.DUMMYFUNCTION("VLOOKUP(A11,IMPORTRANGE(""1QZ5UxyNCwadreQAXnQ7oCoH982DjIA-QnZdO7ZoqkC0/edit#gid=884617569"",""S2 Totals!$A$2:$O$255""),3,FALSE)"),0.15384615384615385)</f>
        <v>0.1538461538</v>
      </c>
      <c r="F11" s="15">
        <f t="shared" si="1"/>
        <v>-0.06293706294</v>
      </c>
      <c r="G11" s="16">
        <f>IFERROR(__xludf.DUMMYFUNCTION("VLOOKUP(A11,IMPORTRANGE(""1QZ5UxyNCwadreQAXnQ7oCoH982DjIA-QnZdO7ZoqkC0/edit#gid=884617569"",""S2 Totals!$A$2:$O$255""),4,FALSE)"),2.0)</f>
        <v>2</v>
      </c>
      <c r="H11" s="15">
        <f>IFERROR(__xludf.DUMMYFUNCTION("VLOOKUP(A11,IMPORTRANGE(""1QZ5UxyNCwadreQAXnQ7oCoH982DjIA-QnZdO7ZoqkC0/edit#gid=884617569"",""S2 Totals!$A$2:$O$255""),5,FALSE)"),0.16666666666666666)</f>
        <v>0.1666666667</v>
      </c>
      <c r="I11" s="15">
        <f t="shared" si="2"/>
        <v>-0.07575757576</v>
      </c>
      <c r="J11" s="16">
        <f>IFERROR(__xludf.DUMMYFUNCTION("VLOOKUP(A11,IMPORTRANGE(""1QZ5UxyNCwadreQAXnQ7oCoH982DjIA-QnZdO7ZoqkC0/edit#gid=884617569"",""S2 Totals!$A$2:$O$255""),7,FALSE)"),4.0)</f>
        <v>4</v>
      </c>
      <c r="K11" s="15">
        <f>IFERROR(__xludf.DUMMYFUNCTION("VLOOKUP(A11,IMPORTRANGE(""1QZ5UxyNCwadreQAXnQ7oCoH982DjIA-QnZdO7ZoqkC0/edit#gid=884617569"",""S2 Totals!$A$2:$O$255""),8,FALSE)"),0.3333333333333333)</f>
        <v>0.3333333333</v>
      </c>
      <c r="L11" s="110">
        <f t="shared" si="3"/>
        <v>-0.2424242424</v>
      </c>
      <c r="M11" s="16">
        <f>IFERROR(__xludf.DUMMYFUNCTION("VLOOKUP(A11,IMPORTRANGE(""1QZ5UxyNCwadreQAXnQ7oCoH982DjIA-QnZdO7ZoqkC0/edit#gid=884617569"",""S2 Totals!$A$2:$O$255""),10,FALSE)"),2.0)</f>
        <v>2</v>
      </c>
      <c r="N11" s="15">
        <f>IFERROR(__xludf.DUMMYFUNCTION("VLOOKUP(A11,IMPORTRANGE(""1QZ5UxyNCwadreQAXnQ7oCoH982DjIA-QnZdO7ZoqkC0/edit#gid=884617569"",""S2 Totals!$A$2:$O$255""),11,FALSE)"),0.15384615384615385)</f>
        <v>0.1538461538</v>
      </c>
      <c r="O11" s="110">
        <f t="shared" si="4"/>
        <v>-0.06293706294</v>
      </c>
      <c r="P11" s="16" t="str">
        <f>IFERROR(__xludf.DUMMYFUNCTION("VLOOKUP(A11,IMPORTRANGE(""1QZ5UxyNCwadreQAXnQ7oCoH982DjIA-QnZdO7ZoqkC0/edit#gid=884617569"",""S2 Totals!$A$2:$O$255""),13,FALSE)"),"")</f>
        <v/>
      </c>
      <c r="Q11" s="15" t="str">
        <f>IFERROR(__xludf.DUMMYFUNCTION("VLOOKUP(A11,IMPORTRANGE(""1QZ5UxyNCwadreQAXnQ7oCoH982DjIA-QnZdO7ZoqkC0/edit#gid=884617569"",""S2 Totals!$A$2:$O$255""),14,FALSE)"),"")</f>
        <v/>
      </c>
      <c r="R11" s="129">
        <f t="shared" si="5"/>
        <v>0.09090909091</v>
      </c>
    </row>
    <row r="12">
      <c r="A12" s="128" t="s">
        <v>25</v>
      </c>
      <c r="B12" s="16">
        <f>IFERROR(__xludf.DUMMYFUNCTION("VLOOKUP(A12,IMPORTRANGE(""1aFCnJY1qhIj8-JckJhDJ18aqmVo17tofpQmOjcYa3u8/edit#gid=1878241338"",""S2 Totals!$A$2:$O$255""),2,FALSE)"),5.0)</f>
        <v>5</v>
      </c>
      <c r="C12" s="15">
        <f>IFERROR(__xludf.DUMMYFUNCTION("VLOOKUP(A12,IMPORTRANGE(""1aFCnJY1qhIj8-JckJhDJ18aqmVo17tofpQmOjcYa3u8/edit#gid=1878241338"",""S2 Totals!$A$2:$O$255""),3,FALSE)"),0.45454545454545453)</f>
        <v>0.4545454545</v>
      </c>
      <c r="D12" s="16">
        <f>IFERROR(__xludf.DUMMYFUNCTION("VLOOKUP(A12,IMPORTRANGE(""1QZ5UxyNCwadreQAXnQ7oCoH982DjIA-QnZdO7ZoqkC0/edit#gid=884617569"",""S2 Totals!$A$2:$O$255""),2,FALSE)"),4.0)</f>
        <v>4</v>
      </c>
      <c r="E12" s="15">
        <f>IFERROR(__xludf.DUMMYFUNCTION("VLOOKUP(A12,IMPORTRANGE(""1QZ5UxyNCwadreQAXnQ7oCoH982DjIA-QnZdO7ZoqkC0/edit#gid=884617569"",""S2 Totals!$A$2:$O$255""),3,FALSE)"),0.3076923076923077)</f>
        <v>0.3076923077</v>
      </c>
      <c r="F12" s="15">
        <f t="shared" si="1"/>
        <v>0.1468531469</v>
      </c>
      <c r="G12" s="16">
        <f>IFERROR(__xludf.DUMMYFUNCTION("VLOOKUP(A12,IMPORTRANGE(""1QZ5UxyNCwadreQAXnQ7oCoH982DjIA-QnZdO7ZoqkC0/edit#gid=884617569"",""S2 Totals!$A$2:$O$255""),4,FALSE)"),0.0)</f>
        <v>0</v>
      </c>
      <c r="H12" s="15">
        <f>IFERROR(__xludf.DUMMYFUNCTION("VLOOKUP(A12,IMPORTRANGE(""1QZ5UxyNCwadreQAXnQ7oCoH982DjIA-QnZdO7ZoqkC0/edit#gid=884617569"",""S2 Totals!$A$2:$O$255""),5,FALSE)"),0.0)</f>
        <v>0</v>
      </c>
      <c r="I12" s="15">
        <f t="shared" si="2"/>
        <v>0.4545454545</v>
      </c>
      <c r="J12" s="16">
        <f>IFERROR(__xludf.DUMMYFUNCTION("VLOOKUP(A12,IMPORTRANGE(""1QZ5UxyNCwadreQAXnQ7oCoH982DjIA-QnZdO7ZoqkC0/edit#gid=884617569"",""S2 Totals!$A$2:$O$255""),7,FALSE)"),0.0)</f>
        <v>0</v>
      </c>
      <c r="K12" s="15">
        <f>IFERROR(__xludf.DUMMYFUNCTION("VLOOKUP(A12,IMPORTRANGE(""1QZ5UxyNCwadreQAXnQ7oCoH982DjIA-QnZdO7ZoqkC0/edit#gid=884617569"",""S2 Totals!$A$2:$O$255""),8,FALSE)"),0.0)</f>
        <v>0</v>
      </c>
      <c r="L12" s="110">
        <f t="shared" si="3"/>
        <v>0.4545454545</v>
      </c>
      <c r="M12" s="16">
        <f>IFERROR(__xludf.DUMMYFUNCTION("VLOOKUP(A12,IMPORTRANGE(""1QZ5UxyNCwadreQAXnQ7oCoH982DjIA-QnZdO7ZoqkC0/edit#gid=884617569"",""S2 Totals!$A$2:$O$255""),10,FALSE)"),0.0)</f>
        <v>0</v>
      </c>
      <c r="N12" s="15">
        <f>IFERROR(__xludf.DUMMYFUNCTION("VLOOKUP(A12,IMPORTRANGE(""1QZ5UxyNCwadreQAXnQ7oCoH982DjIA-QnZdO7ZoqkC0/edit#gid=884617569"",""S2 Totals!$A$2:$O$255""),11,FALSE)"),0.0)</f>
        <v>0</v>
      </c>
      <c r="O12" s="110">
        <f t="shared" si="4"/>
        <v>0.4545454545</v>
      </c>
      <c r="P12" s="16">
        <f>IFERROR(__xludf.DUMMYFUNCTION("VLOOKUP(A12,IMPORTRANGE(""1QZ5UxyNCwadreQAXnQ7oCoH982DjIA-QnZdO7ZoqkC0/edit#gid=884617569"",""S2 Totals!$A$2:$O$255""),13,FALSE)"),0.0)</f>
        <v>0</v>
      </c>
      <c r="Q12" s="15">
        <f>IFERROR(__xludf.DUMMYFUNCTION("VLOOKUP(A12,IMPORTRANGE(""1QZ5UxyNCwadreQAXnQ7oCoH982DjIA-QnZdO7ZoqkC0/edit#gid=884617569"",""S2 Totals!$A$2:$O$255""),14,FALSE)"),0.0)</f>
        <v>0</v>
      </c>
      <c r="R12" s="129">
        <f t="shared" si="5"/>
        <v>0.4545454545</v>
      </c>
    </row>
    <row r="13">
      <c r="A13" s="128" t="s">
        <v>210</v>
      </c>
      <c r="B13" s="16">
        <f>IFERROR(__xludf.DUMMYFUNCTION("VLOOKUP(A13,IMPORTRANGE(""1aFCnJY1qhIj8-JckJhDJ18aqmVo17tofpQmOjcYa3u8/edit#gid=1878241338"",""S2 Totals!$A$2:$O$255""),2,FALSE)"),6.0)</f>
        <v>6</v>
      </c>
      <c r="C13" s="15">
        <f>IFERROR(__xludf.DUMMYFUNCTION("VLOOKUP(A13,IMPORTRANGE(""1aFCnJY1qhIj8-JckJhDJ18aqmVo17tofpQmOjcYa3u8/edit#gid=1878241338"",""S2 Totals!$A$2:$O$255""),3,FALSE)"),0.5454545454545454)</f>
        <v>0.5454545455</v>
      </c>
      <c r="D13" s="16">
        <f>IFERROR(__xludf.DUMMYFUNCTION("VLOOKUP(A13,IMPORTRANGE(""1QZ5UxyNCwadreQAXnQ7oCoH982DjIA-QnZdO7ZoqkC0/edit#gid=884617569"",""S2 Totals!$A$2:$O$255""),2,FALSE)"),8.0)</f>
        <v>8</v>
      </c>
      <c r="E13" s="15">
        <f>IFERROR(__xludf.DUMMYFUNCTION("VLOOKUP(A13,IMPORTRANGE(""1QZ5UxyNCwadreQAXnQ7oCoH982DjIA-QnZdO7ZoqkC0/edit#gid=884617569"",""S2 Totals!$A$2:$O$255""),3,FALSE)"),0.6153846153846154)</f>
        <v>0.6153846154</v>
      </c>
      <c r="F13" s="15">
        <f t="shared" si="1"/>
        <v>-0.06993006993</v>
      </c>
      <c r="G13" s="16">
        <f>IFERROR(__xludf.DUMMYFUNCTION("VLOOKUP(A13,IMPORTRANGE(""1QZ5UxyNCwadreQAXnQ7oCoH982DjIA-QnZdO7ZoqkC0/edit#gid=884617569"",""S2 Totals!$A$2:$O$255""),4,FALSE)"),3.0)</f>
        <v>3</v>
      </c>
      <c r="H13" s="15">
        <f>IFERROR(__xludf.DUMMYFUNCTION("VLOOKUP(A13,IMPORTRANGE(""1QZ5UxyNCwadreQAXnQ7oCoH982DjIA-QnZdO7ZoqkC0/edit#gid=884617569"",""S2 Totals!$A$2:$O$255""),5,FALSE)"),0.25)</f>
        <v>0.25</v>
      </c>
      <c r="I13" s="15">
        <f t="shared" si="2"/>
        <v>0.2954545455</v>
      </c>
      <c r="J13" s="16" t="str">
        <f>IFERROR(__xludf.DUMMYFUNCTION("VLOOKUP(A13,IMPORTRANGE(""1QZ5UxyNCwadreQAXnQ7oCoH982DjIA-QnZdO7ZoqkC0/edit#gid=884617569"",""S2 Totals!$A$2:$O$255""),7,FALSE)"),"")</f>
        <v/>
      </c>
      <c r="K13" s="15" t="str">
        <f>IFERROR(__xludf.DUMMYFUNCTION("VLOOKUP(A13,IMPORTRANGE(""1QZ5UxyNCwadreQAXnQ7oCoH982DjIA-QnZdO7ZoqkC0/edit#gid=884617569"",""S2 Totals!$A$2:$O$255""),8,FALSE)"),"")</f>
        <v/>
      </c>
      <c r="L13" s="110">
        <f t="shared" si="3"/>
        <v>0.5454545455</v>
      </c>
      <c r="M13" s="16" t="str">
        <f>IFERROR(__xludf.DUMMYFUNCTION("VLOOKUP(A13,IMPORTRANGE(""1QZ5UxyNCwadreQAXnQ7oCoH982DjIA-QnZdO7ZoqkC0/edit#gid=884617569"",""S2 Totals!$A$2:$O$255""),10,FALSE)"),"")</f>
        <v/>
      </c>
      <c r="N13" s="15" t="str">
        <f>IFERROR(__xludf.DUMMYFUNCTION("VLOOKUP(A13,IMPORTRANGE(""1QZ5UxyNCwadreQAXnQ7oCoH982DjIA-QnZdO7ZoqkC0/edit#gid=884617569"",""S2 Totals!$A$2:$O$255""),11,FALSE)"),"")</f>
        <v/>
      </c>
      <c r="O13" s="110">
        <f t="shared" si="4"/>
        <v>0.5454545455</v>
      </c>
      <c r="P13" s="16" t="str">
        <f>IFERROR(__xludf.DUMMYFUNCTION("VLOOKUP(A13,IMPORTRANGE(""1QZ5UxyNCwadreQAXnQ7oCoH982DjIA-QnZdO7ZoqkC0/edit#gid=884617569"",""S2 Totals!$A$2:$O$255""),13,FALSE)"),"")</f>
        <v/>
      </c>
      <c r="Q13" s="15" t="str">
        <f>IFERROR(__xludf.DUMMYFUNCTION("VLOOKUP(A13,IMPORTRANGE(""1QZ5UxyNCwadreQAXnQ7oCoH982DjIA-QnZdO7ZoqkC0/edit#gid=884617569"",""S2 Totals!$A$2:$O$255""),14,FALSE)"),"")</f>
        <v/>
      </c>
      <c r="R13" s="129">
        <f t="shared" si="5"/>
        <v>0.5454545455</v>
      </c>
    </row>
    <row r="14">
      <c r="A14" s="128" t="s">
        <v>26</v>
      </c>
      <c r="B14" s="16">
        <f>IFERROR(__xludf.DUMMYFUNCTION("VLOOKUP(A14,IMPORTRANGE(""1aFCnJY1qhIj8-JckJhDJ18aqmVo17tofpQmOjcYa3u8/edit#gid=1878241338"",""S2 Totals!$A$2:$O$255""),2,FALSE)"),1.0)</f>
        <v>1</v>
      </c>
      <c r="C14" s="15">
        <f>IFERROR(__xludf.DUMMYFUNCTION("VLOOKUP(A14,IMPORTRANGE(""1aFCnJY1qhIj8-JckJhDJ18aqmVo17tofpQmOjcYa3u8/edit#gid=1878241338"",""S2 Totals!$A$2:$O$255""),3,FALSE)"),0.09090909090909091)</f>
        <v>0.09090909091</v>
      </c>
      <c r="D14" s="16">
        <f>IFERROR(__xludf.DUMMYFUNCTION("VLOOKUP(A14,IMPORTRANGE(""1QZ5UxyNCwadreQAXnQ7oCoH982DjIA-QnZdO7ZoqkC0/edit#gid=884617569"",""S2 Totals!$A$2:$O$255""),2,FALSE)"),2.0)</f>
        <v>2</v>
      </c>
      <c r="E14" s="15">
        <f>IFERROR(__xludf.DUMMYFUNCTION("VLOOKUP(A14,IMPORTRANGE(""1QZ5UxyNCwadreQAXnQ7oCoH982DjIA-QnZdO7ZoqkC0/edit#gid=884617569"",""S2 Totals!$A$2:$O$255""),3,FALSE)"),0.15384615384615385)</f>
        <v>0.1538461538</v>
      </c>
      <c r="F14" s="15">
        <f t="shared" si="1"/>
        <v>-0.06293706294</v>
      </c>
      <c r="G14" s="16">
        <f>IFERROR(__xludf.DUMMYFUNCTION("VLOOKUP(A14,IMPORTRANGE(""1QZ5UxyNCwadreQAXnQ7oCoH982DjIA-QnZdO7ZoqkC0/edit#gid=884617569"",""S2 Totals!$A$2:$O$255""),4,FALSE)"),2.0)</f>
        <v>2</v>
      </c>
      <c r="H14" s="15">
        <f>IFERROR(__xludf.DUMMYFUNCTION("VLOOKUP(A14,IMPORTRANGE(""1QZ5UxyNCwadreQAXnQ7oCoH982DjIA-QnZdO7ZoqkC0/edit#gid=884617569"",""S2 Totals!$A$2:$O$255""),5,FALSE)"),0.16666666666666666)</f>
        <v>0.1666666667</v>
      </c>
      <c r="I14" s="15">
        <f t="shared" si="2"/>
        <v>-0.07575757576</v>
      </c>
      <c r="J14" s="16">
        <f>IFERROR(__xludf.DUMMYFUNCTION("VLOOKUP(A14,IMPORTRANGE(""1QZ5UxyNCwadreQAXnQ7oCoH982DjIA-QnZdO7ZoqkC0/edit#gid=884617569"",""S2 Totals!$A$2:$O$255""),7,FALSE)"),2.0)</f>
        <v>2</v>
      </c>
      <c r="K14" s="15">
        <f>IFERROR(__xludf.DUMMYFUNCTION("VLOOKUP(A14,IMPORTRANGE(""1QZ5UxyNCwadreQAXnQ7oCoH982DjIA-QnZdO7ZoqkC0/edit#gid=884617569"",""S2 Totals!$A$2:$O$255""),8,FALSE)"),0.16666666666666666)</f>
        <v>0.1666666667</v>
      </c>
      <c r="L14" s="110">
        <f t="shared" si="3"/>
        <v>-0.07575757576</v>
      </c>
      <c r="M14" s="16">
        <f>IFERROR(__xludf.DUMMYFUNCTION("VLOOKUP(A14,IMPORTRANGE(""1QZ5UxyNCwadreQAXnQ7oCoH982DjIA-QnZdO7ZoqkC0/edit#gid=884617569"",""S2 Totals!$A$2:$O$255""),10,FALSE)"),2.0)</f>
        <v>2</v>
      </c>
      <c r="N14" s="15">
        <f>IFERROR(__xludf.DUMMYFUNCTION("VLOOKUP(A14,IMPORTRANGE(""1QZ5UxyNCwadreQAXnQ7oCoH982DjIA-QnZdO7ZoqkC0/edit#gid=884617569"",""S2 Totals!$A$2:$O$255""),11,FALSE)"),0.15384615384615385)</f>
        <v>0.1538461538</v>
      </c>
      <c r="O14" s="110">
        <f t="shared" si="4"/>
        <v>-0.06293706294</v>
      </c>
      <c r="P14" s="16">
        <f>IFERROR(__xludf.DUMMYFUNCTION("VLOOKUP(A14,IMPORTRANGE(""1QZ5UxyNCwadreQAXnQ7oCoH982DjIA-QnZdO7ZoqkC0/edit#gid=884617569"",""S2 Totals!$A$2:$O$255""),13,FALSE)"),1.0)</f>
        <v>1</v>
      </c>
      <c r="Q14" s="15">
        <f>IFERROR(__xludf.DUMMYFUNCTION("VLOOKUP(A14,IMPORTRANGE(""1QZ5UxyNCwadreQAXnQ7oCoH982DjIA-QnZdO7ZoqkC0/edit#gid=884617569"",""S2 Totals!$A$2:$O$255""),14,FALSE)"),0.08333333333333333)</f>
        <v>0.08333333333</v>
      </c>
      <c r="R14" s="129">
        <f t="shared" si="5"/>
        <v>0.007575757576</v>
      </c>
    </row>
    <row r="15">
      <c r="A15" s="128" t="s">
        <v>75</v>
      </c>
      <c r="B15" s="16">
        <f>IFERROR(__xludf.DUMMYFUNCTION("VLOOKUP(A15,IMPORTRANGE(""1aFCnJY1qhIj8-JckJhDJ18aqmVo17tofpQmOjcYa3u8/edit#gid=1878241338"",""S2 Totals!$A$2:$O$255""),2,FALSE)"),2.0)</f>
        <v>2</v>
      </c>
      <c r="C15" s="15">
        <f>IFERROR(__xludf.DUMMYFUNCTION("VLOOKUP(A15,IMPORTRANGE(""1aFCnJY1qhIj8-JckJhDJ18aqmVo17tofpQmOjcYa3u8/edit#gid=1878241338"",""S2 Totals!$A$2:$O$255""),3,FALSE)"),0.18181818181818182)</f>
        <v>0.1818181818</v>
      </c>
      <c r="D15" s="16">
        <f>IFERROR(__xludf.DUMMYFUNCTION("VLOOKUP(A15,IMPORTRANGE(""1QZ5UxyNCwadreQAXnQ7oCoH982DjIA-QnZdO7ZoqkC0/edit#gid=884617569"",""S2 Totals!$A$2:$O$255""),2,FALSE)"),8.0)</f>
        <v>8</v>
      </c>
      <c r="E15" s="15">
        <f>IFERROR(__xludf.DUMMYFUNCTION("VLOOKUP(A15,IMPORTRANGE(""1QZ5UxyNCwadreQAXnQ7oCoH982DjIA-QnZdO7ZoqkC0/edit#gid=884617569"",""S2 Totals!$A$2:$O$255""),3,FALSE)"),0.6153846153846154)</f>
        <v>0.6153846154</v>
      </c>
      <c r="F15" s="15">
        <f t="shared" si="1"/>
        <v>-0.4335664336</v>
      </c>
      <c r="G15" s="16">
        <f>IFERROR(__xludf.DUMMYFUNCTION("VLOOKUP(A15,IMPORTRANGE(""1QZ5UxyNCwadreQAXnQ7oCoH982DjIA-QnZdO7ZoqkC0/edit#gid=884617569"",""S2 Totals!$A$2:$O$255""),4,FALSE)"),8.0)</f>
        <v>8</v>
      </c>
      <c r="H15" s="15">
        <f>IFERROR(__xludf.DUMMYFUNCTION("VLOOKUP(A15,IMPORTRANGE(""1QZ5UxyNCwadreQAXnQ7oCoH982DjIA-QnZdO7ZoqkC0/edit#gid=884617569"",""S2 Totals!$A$2:$O$255""),5,FALSE)"),0.6666666666666666)</f>
        <v>0.6666666667</v>
      </c>
      <c r="I15" s="15">
        <f t="shared" si="2"/>
        <v>-0.4848484848</v>
      </c>
      <c r="J15" s="16">
        <f>IFERROR(__xludf.DUMMYFUNCTION("VLOOKUP(A15,IMPORTRANGE(""1QZ5UxyNCwadreQAXnQ7oCoH982DjIA-QnZdO7ZoqkC0/edit#gid=884617569"",""S2 Totals!$A$2:$O$255""),7,FALSE)"),8.0)</f>
        <v>8</v>
      </c>
      <c r="K15" s="15">
        <f>IFERROR(__xludf.DUMMYFUNCTION("VLOOKUP(A15,IMPORTRANGE(""1QZ5UxyNCwadreQAXnQ7oCoH982DjIA-QnZdO7ZoqkC0/edit#gid=884617569"",""S2 Totals!$A$2:$O$255""),8,FALSE)"),0.6666666666666666)</f>
        <v>0.6666666667</v>
      </c>
      <c r="L15" s="110">
        <f t="shared" si="3"/>
        <v>-0.4848484848</v>
      </c>
      <c r="M15" s="16">
        <f>IFERROR(__xludf.DUMMYFUNCTION("VLOOKUP(A15,IMPORTRANGE(""1QZ5UxyNCwadreQAXnQ7oCoH982DjIA-QnZdO7ZoqkC0/edit#gid=884617569"",""S2 Totals!$A$2:$O$255""),10,FALSE)"),6.0)</f>
        <v>6</v>
      </c>
      <c r="N15" s="15">
        <f>IFERROR(__xludf.DUMMYFUNCTION("VLOOKUP(A15,IMPORTRANGE(""1QZ5UxyNCwadreQAXnQ7oCoH982DjIA-QnZdO7ZoqkC0/edit#gid=884617569"",""S2 Totals!$A$2:$O$255""),11,FALSE)"),0.46153846153846156)</f>
        <v>0.4615384615</v>
      </c>
      <c r="O15" s="110">
        <f t="shared" si="4"/>
        <v>-0.2797202797</v>
      </c>
      <c r="P15" s="16">
        <f>IFERROR(__xludf.DUMMYFUNCTION("VLOOKUP(A15,IMPORTRANGE(""1QZ5UxyNCwadreQAXnQ7oCoH982DjIA-QnZdO7ZoqkC0/edit#gid=884617569"",""S2 Totals!$A$2:$O$255""),13,FALSE)"),3.0)</f>
        <v>3</v>
      </c>
      <c r="Q15" s="15">
        <f>IFERROR(__xludf.DUMMYFUNCTION("VLOOKUP(A15,IMPORTRANGE(""1QZ5UxyNCwadreQAXnQ7oCoH982DjIA-QnZdO7ZoqkC0/edit#gid=884617569"",""S2 Totals!$A$2:$O$255""),14,FALSE)"),0.25)</f>
        <v>0.25</v>
      </c>
      <c r="R15" s="129">
        <f t="shared" si="5"/>
        <v>-0.06818181818</v>
      </c>
    </row>
    <row r="16">
      <c r="A16" s="128" t="s">
        <v>28</v>
      </c>
      <c r="B16" s="16">
        <f>IFERROR(__xludf.DUMMYFUNCTION("VLOOKUP(A16,IMPORTRANGE(""1aFCnJY1qhIj8-JckJhDJ18aqmVo17tofpQmOjcYa3u8/edit#gid=1878241338"",""S2 Totals!$A$2:$O$255""),2,FALSE)"),5.0)</f>
        <v>5</v>
      </c>
      <c r="C16" s="15">
        <f>IFERROR(__xludf.DUMMYFUNCTION("VLOOKUP(A16,IMPORTRANGE(""1aFCnJY1qhIj8-JckJhDJ18aqmVo17tofpQmOjcYa3u8/edit#gid=1878241338"",""S2 Totals!$A$2:$O$255""),3,FALSE)"),0.45454545454545453)</f>
        <v>0.4545454545</v>
      </c>
      <c r="D16" s="16">
        <f>IFERROR(__xludf.DUMMYFUNCTION("VLOOKUP(A16,IMPORTRANGE(""1QZ5UxyNCwadreQAXnQ7oCoH982DjIA-QnZdO7ZoqkC0/edit#gid=884617569"",""S2 Totals!$A$2:$O$255""),2,FALSE)"),8.0)</f>
        <v>8</v>
      </c>
      <c r="E16" s="15">
        <f>IFERROR(__xludf.DUMMYFUNCTION("VLOOKUP(A16,IMPORTRANGE(""1QZ5UxyNCwadreQAXnQ7oCoH982DjIA-QnZdO7ZoqkC0/edit#gid=884617569"",""S2 Totals!$A$2:$O$255""),3,FALSE)"),0.6153846153846154)</f>
        <v>0.6153846154</v>
      </c>
      <c r="F16" s="15">
        <f t="shared" si="1"/>
        <v>-0.1608391608</v>
      </c>
      <c r="G16" s="16">
        <f>IFERROR(__xludf.DUMMYFUNCTION("VLOOKUP(A16,IMPORTRANGE(""1QZ5UxyNCwadreQAXnQ7oCoH982DjIA-QnZdO7ZoqkC0/edit#gid=884617569"",""S2 Totals!$A$2:$O$255""),4,FALSE)"),4.0)</f>
        <v>4</v>
      </c>
      <c r="H16" s="15">
        <f>IFERROR(__xludf.DUMMYFUNCTION("VLOOKUP(A16,IMPORTRANGE(""1QZ5UxyNCwadreQAXnQ7oCoH982DjIA-QnZdO7ZoqkC0/edit#gid=884617569"",""S2 Totals!$A$2:$O$255""),5,FALSE)"),0.3333333333333333)</f>
        <v>0.3333333333</v>
      </c>
      <c r="I16" s="15">
        <f t="shared" si="2"/>
        <v>0.1212121212</v>
      </c>
      <c r="J16" s="16">
        <f>IFERROR(__xludf.DUMMYFUNCTION("VLOOKUP(A16,IMPORTRANGE(""1QZ5UxyNCwadreQAXnQ7oCoH982DjIA-QnZdO7ZoqkC0/edit#gid=884617569"",""S2 Totals!$A$2:$O$255""),7,FALSE)"),3.0)</f>
        <v>3</v>
      </c>
      <c r="K16" s="15">
        <f>IFERROR(__xludf.DUMMYFUNCTION("VLOOKUP(A16,IMPORTRANGE(""1QZ5UxyNCwadreQAXnQ7oCoH982DjIA-QnZdO7ZoqkC0/edit#gid=884617569"",""S2 Totals!$A$2:$O$255""),8,FALSE)"),0.25)</f>
        <v>0.25</v>
      </c>
      <c r="L16" s="110">
        <f t="shared" si="3"/>
        <v>0.2045454545</v>
      </c>
      <c r="M16" s="16">
        <f>IFERROR(__xludf.DUMMYFUNCTION("VLOOKUP(A16,IMPORTRANGE(""1QZ5UxyNCwadreQAXnQ7oCoH982DjIA-QnZdO7ZoqkC0/edit#gid=884617569"",""S2 Totals!$A$2:$O$255""),10,FALSE)"),6.0)</f>
        <v>6</v>
      </c>
      <c r="N16" s="15">
        <f>IFERROR(__xludf.DUMMYFUNCTION("VLOOKUP(A16,IMPORTRANGE(""1QZ5UxyNCwadreQAXnQ7oCoH982DjIA-QnZdO7ZoqkC0/edit#gid=884617569"",""S2 Totals!$A$2:$O$255""),11,FALSE)"),0.46153846153846156)</f>
        <v>0.4615384615</v>
      </c>
      <c r="O16" s="110">
        <f t="shared" si="4"/>
        <v>-0.006993006993</v>
      </c>
      <c r="P16" s="16">
        <f>IFERROR(__xludf.DUMMYFUNCTION("VLOOKUP(A16,IMPORTRANGE(""1QZ5UxyNCwadreQAXnQ7oCoH982DjIA-QnZdO7ZoqkC0/edit#gid=884617569"",""S2 Totals!$A$2:$O$255""),13,FALSE)"),2.0)</f>
        <v>2</v>
      </c>
      <c r="Q16" s="15">
        <f>IFERROR(__xludf.DUMMYFUNCTION("VLOOKUP(A16,IMPORTRANGE(""1QZ5UxyNCwadreQAXnQ7oCoH982DjIA-QnZdO7ZoqkC0/edit#gid=884617569"",""S2 Totals!$A$2:$O$255""),14,FALSE)"),0.16666666666666666)</f>
        <v>0.1666666667</v>
      </c>
      <c r="R16" s="129">
        <f t="shared" si="5"/>
        <v>0.2878787879</v>
      </c>
    </row>
    <row r="17">
      <c r="A17" s="128" t="s">
        <v>29</v>
      </c>
      <c r="B17" s="16">
        <f>IFERROR(__xludf.DUMMYFUNCTION("VLOOKUP(A17,IMPORTRANGE(""1aFCnJY1qhIj8-JckJhDJ18aqmVo17tofpQmOjcYa3u8/edit#gid=1878241338"",""S2 Totals!$A$2:$O$255""),2,FALSE)"),6.0)</f>
        <v>6</v>
      </c>
      <c r="C17" s="15">
        <f>IFERROR(__xludf.DUMMYFUNCTION("VLOOKUP(A17,IMPORTRANGE(""1aFCnJY1qhIj8-JckJhDJ18aqmVo17tofpQmOjcYa3u8/edit#gid=1878241338"",""S2 Totals!$A$2:$O$255""),3,FALSE)"),0.5454545454545454)</f>
        <v>0.5454545455</v>
      </c>
      <c r="D17" s="16">
        <f>IFERROR(__xludf.DUMMYFUNCTION("VLOOKUP(A17,IMPORTRANGE(""1QZ5UxyNCwadreQAXnQ7oCoH982DjIA-QnZdO7ZoqkC0/edit#gid=884617569"",""S2 Totals!$A$2:$O$255""),2,FALSE)"),6.0)</f>
        <v>6</v>
      </c>
      <c r="E17" s="15">
        <f>IFERROR(__xludf.DUMMYFUNCTION("VLOOKUP(A17,IMPORTRANGE(""1QZ5UxyNCwadreQAXnQ7oCoH982DjIA-QnZdO7ZoqkC0/edit#gid=884617569"",""S2 Totals!$A$2:$O$255""),3,FALSE)"),0.46153846153846156)</f>
        <v>0.4615384615</v>
      </c>
      <c r="F17" s="15">
        <f t="shared" si="1"/>
        <v>0.08391608392</v>
      </c>
      <c r="G17" s="16">
        <f>IFERROR(__xludf.DUMMYFUNCTION("VLOOKUP(A17,IMPORTRANGE(""1QZ5UxyNCwadreQAXnQ7oCoH982DjIA-QnZdO7ZoqkC0/edit#gid=884617569"",""S2 Totals!$A$2:$O$255""),4,FALSE)"),4.0)</f>
        <v>4</v>
      </c>
      <c r="H17" s="15">
        <f>IFERROR(__xludf.DUMMYFUNCTION("VLOOKUP(A17,IMPORTRANGE(""1QZ5UxyNCwadreQAXnQ7oCoH982DjIA-QnZdO7ZoqkC0/edit#gid=884617569"",""S2 Totals!$A$2:$O$255""),5,FALSE)"),0.3333333333333333)</f>
        <v>0.3333333333</v>
      </c>
      <c r="I17" s="15">
        <f t="shared" si="2"/>
        <v>0.2121212121</v>
      </c>
      <c r="J17" s="16">
        <f>IFERROR(__xludf.DUMMYFUNCTION("VLOOKUP(A17,IMPORTRANGE(""1QZ5UxyNCwadreQAXnQ7oCoH982DjIA-QnZdO7ZoqkC0/edit#gid=884617569"",""S2 Totals!$A$2:$O$255""),7,FALSE)"),4.0)</f>
        <v>4</v>
      </c>
      <c r="K17" s="15">
        <f>IFERROR(__xludf.DUMMYFUNCTION("VLOOKUP(A17,IMPORTRANGE(""1QZ5UxyNCwadreQAXnQ7oCoH982DjIA-QnZdO7ZoqkC0/edit#gid=884617569"",""S2 Totals!$A$2:$O$255""),8,FALSE)"),0.3333333333333333)</f>
        <v>0.3333333333</v>
      </c>
      <c r="L17" s="110">
        <f t="shared" si="3"/>
        <v>0.2121212121</v>
      </c>
      <c r="M17" s="16">
        <f>IFERROR(__xludf.DUMMYFUNCTION("VLOOKUP(A17,IMPORTRANGE(""1QZ5UxyNCwadreQAXnQ7oCoH982DjIA-QnZdO7ZoqkC0/edit#gid=884617569"",""S2 Totals!$A$2:$O$255""),10,FALSE)"),9.0)</f>
        <v>9</v>
      </c>
      <c r="N17" s="15">
        <f>IFERROR(__xludf.DUMMYFUNCTION("VLOOKUP(A17,IMPORTRANGE(""1QZ5UxyNCwadreQAXnQ7oCoH982DjIA-QnZdO7ZoqkC0/edit#gid=884617569"",""S2 Totals!$A$2:$O$255""),11,FALSE)"),0.6923076923076923)</f>
        <v>0.6923076923</v>
      </c>
      <c r="O17" s="110">
        <f t="shared" si="4"/>
        <v>-0.1468531469</v>
      </c>
      <c r="P17" s="16">
        <f>IFERROR(__xludf.DUMMYFUNCTION("VLOOKUP(A17,IMPORTRANGE(""1QZ5UxyNCwadreQAXnQ7oCoH982DjIA-QnZdO7ZoqkC0/edit#gid=884617569"",""S2 Totals!$A$2:$O$255""),13,FALSE)"),8.0)</f>
        <v>8</v>
      </c>
      <c r="Q17" s="15">
        <f>IFERROR(__xludf.DUMMYFUNCTION("VLOOKUP(A17,IMPORTRANGE(""1QZ5UxyNCwadreQAXnQ7oCoH982DjIA-QnZdO7ZoqkC0/edit#gid=884617569"",""S2 Totals!$A$2:$O$255""),14,FALSE)"),0.6666666666666666)</f>
        <v>0.6666666667</v>
      </c>
      <c r="R17" s="129">
        <f t="shared" si="5"/>
        <v>-0.1212121212</v>
      </c>
    </row>
    <row r="18">
      <c r="A18" s="128" t="s">
        <v>211</v>
      </c>
      <c r="B18" s="16">
        <f>IFERROR(__xludf.DUMMYFUNCTION("VLOOKUP(A18,IMPORTRANGE(""1aFCnJY1qhIj8-JckJhDJ18aqmVo17tofpQmOjcYa3u8/edit#gid=1878241338"",""S2 Totals!$A$2:$O$255""),2,FALSE)"),11.0)</f>
        <v>11</v>
      </c>
      <c r="C18" s="15">
        <f>IFERROR(__xludf.DUMMYFUNCTION("VLOOKUP(A18,IMPORTRANGE(""1aFCnJY1qhIj8-JckJhDJ18aqmVo17tofpQmOjcYa3u8/edit#gid=1878241338"",""S2 Totals!$A$2:$O$255""),3,FALSE)"),1.0)</f>
        <v>1</v>
      </c>
      <c r="D18" s="16">
        <f>IFERROR(__xludf.DUMMYFUNCTION("VLOOKUP(A18,IMPORTRANGE(""1QZ5UxyNCwadreQAXnQ7oCoH982DjIA-QnZdO7ZoqkC0/edit#gid=884617569"",""S2 Totals!$A$2:$O$255""),2,FALSE)"),11.0)</f>
        <v>11</v>
      </c>
      <c r="E18" s="15">
        <f>IFERROR(__xludf.DUMMYFUNCTION("VLOOKUP(A18,IMPORTRANGE(""1QZ5UxyNCwadreQAXnQ7oCoH982DjIA-QnZdO7ZoqkC0/edit#gid=884617569"",""S2 Totals!$A$2:$O$255""),3,FALSE)"),0.8461538461538461)</f>
        <v>0.8461538462</v>
      </c>
      <c r="F18" s="15">
        <f t="shared" si="1"/>
        <v>0.1538461538</v>
      </c>
      <c r="G18" s="16">
        <f>IFERROR(__xludf.DUMMYFUNCTION("VLOOKUP(A18,IMPORTRANGE(""1QZ5UxyNCwadreQAXnQ7oCoH982DjIA-QnZdO7ZoqkC0/edit#gid=884617569"",""S2 Totals!$A$2:$O$255""),4,FALSE)"),12.0)</f>
        <v>12</v>
      </c>
      <c r="H18" s="15">
        <f>IFERROR(__xludf.DUMMYFUNCTION("VLOOKUP(A18,IMPORTRANGE(""1QZ5UxyNCwadreQAXnQ7oCoH982DjIA-QnZdO7ZoqkC0/edit#gid=884617569"",""S2 Totals!$A$2:$O$255""),5,FALSE)"),1.0)</f>
        <v>1</v>
      </c>
      <c r="I18" s="15">
        <f t="shared" si="2"/>
        <v>0</v>
      </c>
      <c r="J18" s="16" t="str">
        <f>IFERROR(__xludf.DUMMYFUNCTION("VLOOKUP(A18,IMPORTRANGE(""1QZ5UxyNCwadreQAXnQ7oCoH982DjIA-QnZdO7ZoqkC0/edit#gid=884617569"",""S2 Totals!$A$2:$O$255""),7,FALSE)"),"")</f>
        <v/>
      </c>
      <c r="K18" s="15" t="str">
        <f>IFERROR(__xludf.DUMMYFUNCTION("VLOOKUP(A18,IMPORTRANGE(""1QZ5UxyNCwadreQAXnQ7oCoH982DjIA-QnZdO7ZoqkC0/edit#gid=884617569"",""S2 Totals!$A$2:$O$255""),8,FALSE)"),"")</f>
        <v/>
      </c>
      <c r="L18" s="110">
        <f t="shared" si="3"/>
        <v>1</v>
      </c>
      <c r="M18" s="16" t="str">
        <f>IFERROR(__xludf.DUMMYFUNCTION("VLOOKUP(A18,IMPORTRANGE(""1QZ5UxyNCwadreQAXnQ7oCoH982DjIA-QnZdO7ZoqkC0/edit#gid=884617569"",""S2 Totals!$A$2:$O$255""),10,FALSE)"),"")</f>
        <v/>
      </c>
      <c r="N18" s="15" t="str">
        <f>IFERROR(__xludf.DUMMYFUNCTION("VLOOKUP(A18,IMPORTRANGE(""1QZ5UxyNCwadreQAXnQ7oCoH982DjIA-QnZdO7ZoqkC0/edit#gid=884617569"",""S2 Totals!$A$2:$O$255""),11,FALSE)"),"")</f>
        <v/>
      </c>
      <c r="O18" s="110">
        <f t="shared" si="4"/>
        <v>1</v>
      </c>
      <c r="P18" s="16" t="str">
        <f>IFERROR(__xludf.DUMMYFUNCTION("VLOOKUP(A18,IMPORTRANGE(""1QZ5UxyNCwadreQAXnQ7oCoH982DjIA-QnZdO7ZoqkC0/edit#gid=884617569"",""S2 Totals!$A$2:$O$255""),13,FALSE)"),"")</f>
        <v/>
      </c>
      <c r="Q18" s="15" t="str">
        <f>IFERROR(__xludf.DUMMYFUNCTION("VLOOKUP(A18,IMPORTRANGE(""1QZ5UxyNCwadreQAXnQ7oCoH982DjIA-QnZdO7ZoqkC0/edit#gid=884617569"",""S2 Totals!$A$2:$O$255""),14,FALSE)"),"")</f>
        <v/>
      </c>
      <c r="R18" s="129">
        <f t="shared" si="5"/>
        <v>1</v>
      </c>
    </row>
    <row r="19">
      <c r="A19" s="128" t="s">
        <v>212</v>
      </c>
      <c r="B19" s="16">
        <f>IFERROR(__xludf.DUMMYFUNCTION("VLOOKUP(A19,IMPORTRANGE(""1aFCnJY1qhIj8-JckJhDJ18aqmVo17tofpQmOjcYa3u8/edit#gid=1878241338"",""S2 Totals!$A$2:$O$255""),2,FALSE)"),3.0)</f>
        <v>3</v>
      </c>
      <c r="C19" s="15">
        <f>IFERROR(__xludf.DUMMYFUNCTION("VLOOKUP(A19,IMPORTRANGE(""1aFCnJY1qhIj8-JckJhDJ18aqmVo17tofpQmOjcYa3u8/edit#gid=1878241338"",""S2 Totals!$A$2:$O$255""),3,FALSE)"),0.2727272727272727)</f>
        <v>0.2727272727</v>
      </c>
      <c r="D19" s="16">
        <f>IFERROR(__xludf.DUMMYFUNCTION("VLOOKUP(A19,IMPORTRANGE(""1QZ5UxyNCwadreQAXnQ7oCoH982DjIA-QnZdO7ZoqkC0/edit#gid=884617569"",""S2 Totals!$A$2:$O$255""),2,FALSE)"),4.0)</f>
        <v>4</v>
      </c>
      <c r="E19" s="15">
        <f>IFERROR(__xludf.DUMMYFUNCTION("VLOOKUP(A19,IMPORTRANGE(""1QZ5UxyNCwadreQAXnQ7oCoH982DjIA-QnZdO7ZoqkC0/edit#gid=884617569"",""S2 Totals!$A$2:$O$255""),3,FALSE)"),0.3076923076923077)</f>
        <v>0.3076923077</v>
      </c>
      <c r="F19" s="15">
        <f t="shared" si="1"/>
        <v>-0.03496503497</v>
      </c>
      <c r="G19" s="16">
        <f>IFERROR(__xludf.DUMMYFUNCTION("VLOOKUP(A19,IMPORTRANGE(""1QZ5UxyNCwadreQAXnQ7oCoH982DjIA-QnZdO7ZoqkC0/edit#gid=884617569"",""S2 Totals!$A$2:$O$255""),4,FALSE)"),0.0)</f>
        <v>0</v>
      </c>
      <c r="H19" s="15">
        <f>IFERROR(__xludf.DUMMYFUNCTION("VLOOKUP(A19,IMPORTRANGE(""1QZ5UxyNCwadreQAXnQ7oCoH982DjIA-QnZdO7ZoqkC0/edit#gid=884617569"",""S2 Totals!$A$2:$O$255""),5,FALSE)"),0.0)</f>
        <v>0</v>
      </c>
      <c r="I19" s="15">
        <f t="shared" si="2"/>
        <v>0.2727272727</v>
      </c>
      <c r="J19" s="16" t="str">
        <f>IFERROR(__xludf.DUMMYFUNCTION("VLOOKUP(A19,IMPORTRANGE(""1QZ5UxyNCwadreQAXnQ7oCoH982DjIA-QnZdO7ZoqkC0/edit#gid=884617569"",""S2 Totals!$A$2:$O$255""),7,FALSE)"),"")</f>
        <v/>
      </c>
      <c r="K19" s="15" t="str">
        <f>IFERROR(__xludf.DUMMYFUNCTION("VLOOKUP(A19,IMPORTRANGE(""1QZ5UxyNCwadreQAXnQ7oCoH982DjIA-QnZdO7ZoqkC0/edit#gid=884617569"",""S2 Totals!$A$2:$O$255""),8,FALSE)"),"")</f>
        <v/>
      </c>
      <c r="L19" s="110">
        <f t="shared" si="3"/>
        <v>0.2727272727</v>
      </c>
      <c r="M19" s="16" t="str">
        <f>IFERROR(__xludf.DUMMYFUNCTION("VLOOKUP(A19,IMPORTRANGE(""1QZ5UxyNCwadreQAXnQ7oCoH982DjIA-QnZdO7ZoqkC0/edit#gid=884617569"",""S2 Totals!$A$2:$O$255""),10,FALSE)"),"")</f>
        <v/>
      </c>
      <c r="N19" s="15" t="str">
        <f>IFERROR(__xludf.DUMMYFUNCTION("VLOOKUP(A19,IMPORTRANGE(""1QZ5UxyNCwadreQAXnQ7oCoH982DjIA-QnZdO7ZoqkC0/edit#gid=884617569"",""S2 Totals!$A$2:$O$255""),11,FALSE)"),"")</f>
        <v/>
      </c>
      <c r="O19" s="110">
        <f t="shared" si="4"/>
        <v>0.2727272727</v>
      </c>
      <c r="P19" s="16" t="str">
        <f>IFERROR(__xludf.DUMMYFUNCTION("VLOOKUP(A19,IMPORTRANGE(""1QZ5UxyNCwadreQAXnQ7oCoH982DjIA-QnZdO7ZoqkC0/edit#gid=884617569"",""S2 Totals!$A$2:$O$255""),13,FALSE)"),"")</f>
        <v/>
      </c>
      <c r="Q19" s="15" t="str">
        <f>IFERROR(__xludf.DUMMYFUNCTION("VLOOKUP(A19,IMPORTRANGE(""1QZ5UxyNCwadreQAXnQ7oCoH982DjIA-QnZdO7ZoqkC0/edit#gid=884617569"",""S2 Totals!$A$2:$O$255""),14,FALSE)"),"")</f>
        <v/>
      </c>
      <c r="R19" s="129">
        <f t="shared" si="5"/>
        <v>0.2727272727</v>
      </c>
    </row>
    <row r="20">
      <c r="A20" s="128" t="s">
        <v>57</v>
      </c>
      <c r="B20" s="16">
        <f>IFERROR(__xludf.DUMMYFUNCTION("VLOOKUP(A20,IMPORTRANGE(""1aFCnJY1qhIj8-JckJhDJ18aqmVo17tofpQmOjcYa3u8/edit#gid=1878241338"",""S2 Totals!$A$2:$O$255""),2,FALSE)"),5.0)</f>
        <v>5</v>
      </c>
      <c r="C20" s="15">
        <f>IFERROR(__xludf.DUMMYFUNCTION("VLOOKUP(A20,IMPORTRANGE(""1aFCnJY1qhIj8-JckJhDJ18aqmVo17tofpQmOjcYa3u8/edit#gid=1878241338"",""S2 Totals!$A$2:$O$255""),3,FALSE)"),0.45454545454545453)</f>
        <v>0.4545454545</v>
      </c>
      <c r="D20" s="16">
        <f>IFERROR(__xludf.DUMMYFUNCTION("VLOOKUP(A20,IMPORTRANGE(""1QZ5UxyNCwadreQAXnQ7oCoH982DjIA-QnZdO7ZoqkC0/edit#gid=884617569"",""S2 Totals!$A$2:$O$255""),2,FALSE)"),6.0)</f>
        <v>6</v>
      </c>
      <c r="E20" s="15">
        <f>IFERROR(__xludf.DUMMYFUNCTION("VLOOKUP(A20,IMPORTRANGE(""1QZ5UxyNCwadreQAXnQ7oCoH982DjIA-QnZdO7ZoqkC0/edit#gid=884617569"",""S2 Totals!$A$2:$O$255""),3,FALSE)"),0.46153846153846156)</f>
        <v>0.4615384615</v>
      </c>
      <c r="F20" s="15">
        <f t="shared" si="1"/>
        <v>-0.006993006993</v>
      </c>
      <c r="G20" s="16">
        <f>IFERROR(__xludf.DUMMYFUNCTION("VLOOKUP(A20,IMPORTRANGE(""1QZ5UxyNCwadreQAXnQ7oCoH982DjIA-QnZdO7ZoqkC0/edit#gid=884617569"",""S2 Totals!$A$2:$O$255""),4,FALSE)"),6.0)</f>
        <v>6</v>
      </c>
      <c r="H20" s="15">
        <f>IFERROR(__xludf.DUMMYFUNCTION("VLOOKUP(A20,IMPORTRANGE(""1QZ5UxyNCwadreQAXnQ7oCoH982DjIA-QnZdO7ZoqkC0/edit#gid=884617569"",""S2 Totals!$A$2:$O$255""),5,FALSE)"),0.5)</f>
        <v>0.5</v>
      </c>
      <c r="I20" s="15">
        <f t="shared" si="2"/>
        <v>-0.04545454545</v>
      </c>
      <c r="J20" s="16">
        <f>IFERROR(__xludf.DUMMYFUNCTION("VLOOKUP(A20,IMPORTRANGE(""1QZ5UxyNCwadreQAXnQ7oCoH982DjIA-QnZdO7ZoqkC0/edit#gid=884617569"",""S2 Totals!$A$2:$O$255""),7,FALSE)"),6.0)</f>
        <v>6</v>
      </c>
      <c r="K20" s="15">
        <f>IFERROR(__xludf.DUMMYFUNCTION("VLOOKUP(A20,IMPORTRANGE(""1QZ5UxyNCwadreQAXnQ7oCoH982DjIA-QnZdO7ZoqkC0/edit#gid=884617569"",""S2 Totals!$A$2:$O$255""),8,FALSE)"),0.5)</f>
        <v>0.5</v>
      </c>
      <c r="L20" s="110">
        <f t="shared" si="3"/>
        <v>-0.04545454545</v>
      </c>
      <c r="M20" s="16">
        <f>IFERROR(__xludf.DUMMYFUNCTION("VLOOKUP(A20,IMPORTRANGE(""1QZ5UxyNCwadreQAXnQ7oCoH982DjIA-QnZdO7ZoqkC0/edit#gid=884617569"",""S2 Totals!$A$2:$O$255""),10,FALSE)"),6.0)</f>
        <v>6</v>
      </c>
      <c r="N20" s="15">
        <f>IFERROR(__xludf.DUMMYFUNCTION("VLOOKUP(A20,IMPORTRANGE(""1QZ5UxyNCwadreQAXnQ7oCoH982DjIA-QnZdO7ZoqkC0/edit#gid=884617569"",""S2 Totals!$A$2:$O$255""),11,FALSE)"),0.46153846153846156)</f>
        <v>0.4615384615</v>
      </c>
      <c r="O20" s="110">
        <f t="shared" si="4"/>
        <v>-0.006993006993</v>
      </c>
      <c r="P20" s="16">
        <f>IFERROR(__xludf.DUMMYFUNCTION("VLOOKUP(A20,IMPORTRANGE(""1QZ5UxyNCwadreQAXnQ7oCoH982DjIA-QnZdO7ZoqkC0/edit#gid=884617569"",""S2 Totals!$A$2:$O$255""),13,FALSE)"),8.0)</f>
        <v>8</v>
      </c>
      <c r="Q20" s="15">
        <f>IFERROR(__xludf.DUMMYFUNCTION("VLOOKUP(A20,IMPORTRANGE(""1QZ5UxyNCwadreQAXnQ7oCoH982DjIA-QnZdO7ZoqkC0/edit#gid=884617569"",""S2 Totals!$A$2:$O$255""),14,FALSE)"),0.6666666666666666)</f>
        <v>0.6666666667</v>
      </c>
      <c r="R20" s="129">
        <f t="shared" si="5"/>
        <v>-0.2121212121</v>
      </c>
    </row>
    <row r="21">
      <c r="A21" s="128" t="s">
        <v>164</v>
      </c>
      <c r="B21" s="16">
        <f>IFERROR(__xludf.DUMMYFUNCTION("VLOOKUP(A21,IMPORTRANGE(""1aFCnJY1qhIj8-JckJhDJ18aqmVo17tofpQmOjcYa3u8/edit#gid=1878241338"",""S2 Totals!$A$2:$O$255""),2,FALSE)"),0.0)</f>
        <v>0</v>
      </c>
      <c r="C21" s="15">
        <f>IFERROR(__xludf.DUMMYFUNCTION("VLOOKUP(A21,IMPORTRANGE(""1aFCnJY1qhIj8-JckJhDJ18aqmVo17tofpQmOjcYa3u8/edit#gid=1878241338"",""S2 Totals!$A$2:$O$255""),3,FALSE)"),0.0)</f>
        <v>0</v>
      </c>
      <c r="D21" s="16">
        <f>IFERROR(__xludf.DUMMYFUNCTION("VLOOKUP(A21,IMPORTRANGE(""1QZ5UxyNCwadreQAXnQ7oCoH982DjIA-QnZdO7ZoqkC0/edit#gid=884617569"",""S2 Totals!$A$2:$O$255""),2,FALSE)"),0.0)</f>
        <v>0</v>
      </c>
      <c r="E21" s="15">
        <f>IFERROR(__xludf.DUMMYFUNCTION("VLOOKUP(A21,IMPORTRANGE(""1QZ5UxyNCwadreQAXnQ7oCoH982DjIA-QnZdO7ZoqkC0/edit#gid=884617569"",""S2 Totals!$A$2:$O$255""),3,FALSE)"),0.0)</f>
        <v>0</v>
      </c>
      <c r="F21" s="15">
        <f t="shared" si="1"/>
        <v>0</v>
      </c>
      <c r="G21" s="16">
        <f>IFERROR(__xludf.DUMMYFUNCTION("VLOOKUP(A21,IMPORTRANGE(""1QZ5UxyNCwadreQAXnQ7oCoH982DjIA-QnZdO7ZoqkC0/edit#gid=884617569"",""S2 Totals!$A$2:$O$255""),4,FALSE)"),0.0)</f>
        <v>0</v>
      </c>
      <c r="H21" s="15">
        <f>IFERROR(__xludf.DUMMYFUNCTION("VLOOKUP(A21,IMPORTRANGE(""1QZ5UxyNCwadreQAXnQ7oCoH982DjIA-QnZdO7ZoqkC0/edit#gid=884617569"",""S2 Totals!$A$2:$O$255""),5,FALSE)"),0.0)</f>
        <v>0</v>
      </c>
      <c r="I21" s="15">
        <f t="shared" si="2"/>
        <v>0</v>
      </c>
      <c r="J21" s="16">
        <f>IFERROR(__xludf.DUMMYFUNCTION("VLOOKUP(A21,IMPORTRANGE(""1QZ5UxyNCwadreQAXnQ7oCoH982DjIA-QnZdO7ZoqkC0/edit#gid=884617569"",""S2 Totals!$A$2:$O$255""),7,FALSE)"),0.0)</f>
        <v>0</v>
      </c>
      <c r="K21" s="15">
        <f>IFERROR(__xludf.DUMMYFUNCTION("VLOOKUP(A21,IMPORTRANGE(""1QZ5UxyNCwadreQAXnQ7oCoH982DjIA-QnZdO7ZoqkC0/edit#gid=884617569"",""S2 Totals!$A$2:$O$255""),8,FALSE)"),0.0)</f>
        <v>0</v>
      </c>
      <c r="L21" s="110">
        <f t="shared" si="3"/>
        <v>0</v>
      </c>
      <c r="M21" s="16" t="str">
        <f>IFERROR(__xludf.DUMMYFUNCTION("VLOOKUP(A21,IMPORTRANGE(""1QZ5UxyNCwadreQAXnQ7oCoH982DjIA-QnZdO7ZoqkC0/edit#gid=884617569"",""S2 Totals!$A$2:$O$255""),10,FALSE)"),"")</f>
        <v/>
      </c>
      <c r="N21" s="15" t="str">
        <f>IFERROR(__xludf.DUMMYFUNCTION("VLOOKUP(A21,IMPORTRANGE(""1QZ5UxyNCwadreQAXnQ7oCoH982DjIA-QnZdO7ZoqkC0/edit#gid=884617569"",""S2 Totals!$A$2:$O$255""),11,FALSE)"),"")</f>
        <v/>
      </c>
      <c r="O21" s="110">
        <f t="shared" si="4"/>
        <v>0</v>
      </c>
      <c r="P21" s="16" t="str">
        <f>IFERROR(__xludf.DUMMYFUNCTION("VLOOKUP(A21,IMPORTRANGE(""1QZ5UxyNCwadreQAXnQ7oCoH982DjIA-QnZdO7ZoqkC0/edit#gid=884617569"",""S2 Totals!$A$2:$O$255""),13,FALSE)"),"")</f>
        <v/>
      </c>
      <c r="Q21" s="15" t="str">
        <f>IFERROR(__xludf.DUMMYFUNCTION("VLOOKUP(A21,IMPORTRANGE(""1QZ5UxyNCwadreQAXnQ7oCoH982DjIA-QnZdO7ZoqkC0/edit#gid=884617569"",""S2 Totals!$A$2:$O$255""),14,FALSE)"),"")</f>
        <v/>
      </c>
      <c r="R21" s="129">
        <f t="shared" si="5"/>
        <v>0</v>
      </c>
    </row>
    <row r="22">
      <c r="A22" s="128" t="s">
        <v>165</v>
      </c>
      <c r="B22" s="16">
        <f>IFERROR(__xludf.DUMMYFUNCTION("VLOOKUP(A22,IMPORTRANGE(""1aFCnJY1qhIj8-JckJhDJ18aqmVo17tofpQmOjcYa3u8/edit#gid=1878241338"",""S2 Totals!$A$2:$O$255""),2,FALSE)"),3.0)</f>
        <v>3</v>
      </c>
      <c r="C22" s="15">
        <f>IFERROR(__xludf.DUMMYFUNCTION("VLOOKUP(A22,IMPORTRANGE(""1aFCnJY1qhIj8-JckJhDJ18aqmVo17tofpQmOjcYa3u8/edit#gid=1878241338"",""S2 Totals!$A$2:$O$255""),3,FALSE)"),0.2727272727272727)</f>
        <v>0.2727272727</v>
      </c>
      <c r="D22" s="16">
        <f>IFERROR(__xludf.DUMMYFUNCTION("VLOOKUP(A22,IMPORTRANGE(""1QZ5UxyNCwadreQAXnQ7oCoH982DjIA-QnZdO7ZoqkC0/edit#gid=884617569"",""S2 Totals!$A$2:$O$255""),2,FALSE)"),6.0)</f>
        <v>6</v>
      </c>
      <c r="E22" s="15">
        <f>IFERROR(__xludf.DUMMYFUNCTION("VLOOKUP(A22,IMPORTRANGE(""1QZ5UxyNCwadreQAXnQ7oCoH982DjIA-QnZdO7ZoqkC0/edit#gid=884617569"",""S2 Totals!$A$2:$O$255""),3,FALSE)"),0.46153846153846156)</f>
        <v>0.4615384615</v>
      </c>
      <c r="F22" s="15">
        <f t="shared" si="1"/>
        <v>-0.1888111888</v>
      </c>
      <c r="G22" s="16">
        <f>IFERROR(__xludf.DUMMYFUNCTION("VLOOKUP(A22,IMPORTRANGE(""1QZ5UxyNCwadreQAXnQ7oCoH982DjIA-QnZdO7ZoqkC0/edit#gid=884617569"",""S2 Totals!$A$2:$O$255""),4,FALSE)"),4.0)</f>
        <v>4</v>
      </c>
      <c r="H22" s="15">
        <f>IFERROR(__xludf.DUMMYFUNCTION("VLOOKUP(A22,IMPORTRANGE(""1QZ5UxyNCwadreQAXnQ7oCoH982DjIA-QnZdO7ZoqkC0/edit#gid=884617569"",""S2 Totals!$A$2:$O$255""),5,FALSE)"),0.3333333333333333)</f>
        <v>0.3333333333</v>
      </c>
      <c r="I22" s="15">
        <f t="shared" si="2"/>
        <v>-0.06060606061</v>
      </c>
      <c r="J22" s="16">
        <f>IFERROR(__xludf.DUMMYFUNCTION("VLOOKUP(A22,IMPORTRANGE(""1QZ5UxyNCwadreQAXnQ7oCoH982DjIA-QnZdO7ZoqkC0/edit#gid=884617569"",""S2 Totals!$A$2:$O$255""),7,FALSE)"),0.0)</f>
        <v>0</v>
      </c>
      <c r="K22" s="15">
        <f>IFERROR(__xludf.DUMMYFUNCTION("VLOOKUP(A22,IMPORTRANGE(""1QZ5UxyNCwadreQAXnQ7oCoH982DjIA-QnZdO7ZoqkC0/edit#gid=884617569"",""S2 Totals!$A$2:$O$255""),8,FALSE)"),0.0)</f>
        <v>0</v>
      </c>
      <c r="L22" s="110">
        <f t="shared" si="3"/>
        <v>0.2727272727</v>
      </c>
      <c r="M22" s="16" t="str">
        <f>IFERROR(__xludf.DUMMYFUNCTION("VLOOKUP(A22,IMPORTRANGE(""1QZ5UxyNCwadreQAXnQ7oCoH982DjIA-QnZdO7ZoqkC0/edit#gid=884617569"",""S2 Totals!$A$2:$O$255""),10,FALSE)"),"")</f>
        <v/>
      </c>
      <c r="N22" s="15" t="str">
        <f>IFERROR(__xludf.DUMMYFUNCTION("VLOOKUP(A22,IMPORTRANGE(""1QZ5UxyNCwadreQAXnQ7oCoH982DjIA-QnZdO7ZoqkC0/edit#gid=884617569"",""S2 Totals!$A$2:$O$255""),11,FALSE)"),"")</f>
        <v/>
      </c>
      <c r="O22" s="110">
        <f t="shared" si="4"/>
        <v>0.2727272727</v>
      </c>
      <c r="P22" s="16" t="str">
        <f>IFERROR(__xludf.DUMMYFUNCTION("VLOOKUP(A22,IMPORTRANGE(""1QZ5UxyNCwadreQAXnQ7oCoH982DjIA-QnZdO7ZoqkC0/edit#gid=884617569"",""S2 Totals!$A$2:$O$255""),13,FALSE)"),"")</f>
        <v/>
      </c>
      <c r="Q22" s="15" t="str">
        <f>IFERROR(__xludf.DUMMYFUNCTION("VLOOKUP(A22,IMPORTRANGE(""1QZ5UxyNCwadreQAXnQ7oCoH982DjIA-QnZdO7ZoqkC0/edit#gid=884617569"",""S2 Totals!$A$2:$O$255""),14,FALSE)"),"")</f>
        <v/>
      </c>
      <c r="R22" s="129">
        <f t="shared" si="5"/>
        <v>0.2727272727</v>
      </c>
    </row>
    <row r="23">
      <c r="A23" s="128" t="s">
        <v>213</v>
      </c>
      <c r="B23" s="16">
        <f>IFERROR(__xludf.DUMMYFUNCTION("VLOOKUP(A23,IMPORTRANGE(""1aFCnJY1qhIj8-JckJhDJ18aqmVo17tofpQmOjcYa3u8/edit#gid=1878241338"",""S2 Totals!$A$2:$O$255""),2,FALSE)"),0.0)</f>
        <v>0</v>
      </c>
      <c r="C23" s="15">
        <f>IFERROR(__xludf.DUMMYFUNCTION("VLOOKUP(A23,IMPORTRANGE(""1aFCnJY1qhIj8-JckJhDJ18aqmVo17tofpQmOjcYa3u8/edit#gid=1878241338"",""S2 Totals!$A$2:$O$255""),3,FALSE)"),0.0)</f>
        <v>0</v>
      </c>
      <c r="D23" s="16">
        <f>IFERROR(__xludf.DUMMYFUNCTION("VLOOKUP(A23,IMPORTRANGE(""1QZ5UxyNCwadreQAXnQ7oCoH982DjIA-QnZdO7ZoqkC0/edit#gid=884617569"",""S2 Totals!$A$2:$O$255""),2,FALSE)"),0.0)</f>
        <v>0</v>
      </c>
      <c r="E23" s="15">
        <f>IFERROR(__xludf.DUMMYFUNCTION("VLOOKUP(A23,IMPORTRANGE(""1QZ5UxyNCwadreQAXnQ7oCoH982DjIA-QnZdO7ZoqkC0/edit#gid=884617569"",""S2 Totals!$A$2:$O$255""),3,FALSE)"),0.0)</f>
        <v>0</v>
      </c>
      <c r="F23" s="15">
        <f t="shared" si="1"/>
        <v>0</v>
      </c>
      <c r="G23" s="16">
        <f>IFERROR(__xludf.DUMMYFUNCTION("VLOOKUP(A23,IMPORTRANGE(""1QZ5UxyNCwadreQAXnQ7oCoH982DjIA-QnZdO7ZoqkC0/edit#gid=884617569"",""S2 Totals!$A$2:$O$255""),4,FALSE)"),0.0)</f>
        <v>0</v>
      </c>
      <c r="H23" s="15">
        <f>IFERROR(__xludf.DUMMYFUNCTION("VLOOKUP(A23,IMPORTRANGE(""1QZ5UxyNCwadreQAXnQ7oCoH982DjIA-QnZdO7ZoqkC0/edit#gid=884617569"",""S2 Totals!$A$2:$O$255""),5,FALSE)"),0.0)</f>
        <v>0</v>
      </c>
      <c r="I23" s="15">
        <f t="shared" si="2"/>
        <v>0</v>
      </c>
      <c r="J23" s="16" t="str">
        <f>IFERROR(__xludf.DUMMYFUNCTION("VLOOKUP(A23,IMPORTRANGE(""1QZ5UxyNCwadreQAXnQ7oCoH982DjIA-QnZdO7ZoqkC0/edit#gid=884617569"",""S2 Totals!$A$2:$O$255""),7,FALSE)"),"")</f>
        <v/>
      </c>
      <c r="K23" s="15" t="str">
        <f>IFERROR(__xludf.DUMMYFUNCTION("VLOOKUP(A23,IMPORTRANGE(""1QZ5UxyNCwadreQAXnQ7oCoH982DjIA-QnZdO7ZoqkC0/edit#gid=884617569"",""S2 Totals!$A$2:$O$255""),8,FALSE)"),"")</f>
        <v/>
      </c>
      <c r="L23" s="110">
        <f t="shared" si="3"/>
        <v>0</v>
      </c>
      <c r="M23" s="16" t="str">
        <f>IFERROR(__xludf.DUMMYFUNCTION("VLOOKUP(A23,IMPORTRANGE(""1QZ5UxyNCwadreQAXnQ7oCoH982DjIA-QnZdO7ZoqkC0/edit#gid=884617569"",""S2 Totals!$A$2:$O$255""),10,FALSE)"),"")</f>
        <v/>
      </c>
      <c r="N23" s="15" t="str">
        <f>IFERROR(__xludf.DUMMYFUNCTION("VLOOKUP(A23,IMPORTRANGE(""1QZ5UxyNCwadreQAXnQ7oCoH982DjIA-QnZdO7ZoqkC0/edit#gid=884617569"",""S2 Totals!$A$2:$O$255""),11,FALSE)"),"")</f>
        <v/>
      </c>
      <c r="O23" s="110">
        <f t="shared" si="4"/>
        <v>0</v>
      </c>
      <c r="P23" s="16" t="str">
        <f>IFERROR(__xludf.DUMMYFUNCTION("VLOOKUP(A23,IMPORTRANGE(""1QZ5UxyNCwadreQAXnQ7oCoH982DjIA-QnZdO7ZoqkC0/edit#gid=884617569"",""S2 Totals!$A$2:$O$255""),13,FALSE)"),"")</f>
        <v/>
      </c>
      <c r="Q23" s="15" t="str">
        <f>IFERROR(__xludf.DUMMYFUNCTION("VLOOKUP(A23,IMPORTRANGE(""1QZ5UxyNCwadreQAXnQ7oCoH982DjIA-QnZdO7ZoqkC0/edit#gid=884617569"",""S2 Totals!$A$2:$O$255""),14,FALSE)"),"")</f>
        <v/>
      </c>
      <c r="R23" s="129">
        <f t="shared" si="5"/>
        <v>0</v>
      </c>
    </row>
    <row r="24">
      <c r="A24" s="128" t="s">
        <v>31</v>
      </c>
      <c r="B24" s="16">
        <f>IFERROR(__xludf.DUMMYFUNCTION("VLOOKUP(A24,IMPORTRANGE(""1aFCnJY1qhIj8-JckJhDJ18aqmVo17tofpQmOjcYa3u8/edit#gid=1878241338"",""S2 Totals!$A$2:$O$255""),2,FALSE)"),10.0)</f>
        <v>10</v>
      </c>
      <c r="C24" s="15">
        <f>IFERROR(__xludf.DUMMYFUNCTION("VLOOKUP(A24,IMPORTRANGE(""1aFCnJY1qhIj8-JckJhDJ18aqmVo17tofpQmOjcYa3u8/edit#gid=1878241338"",""S2 Totals!$A$2:$O$255""),3,FALSE)"),0.9090909090909091)</f>
        <v>0.9090909091</v>
      </c>
      <c r="D24" s="16">
        <f>IFERROR(__xludf.DUMMYFUNCTION("VLOOKUP(A24,IMPORTRANGE(""1QZ5UxyNCwadreQAXnQ7oCoH982DjIA-QnZdO7ZoqkC0/edit#gid=884617569"",""S2 Totals!$A$2:$O$255""),2,FALSE)"),8.0)</f>
        <v>8</v>
      </c>
      <c r="E24" s="15">
        <f>IFERROR(__xludf.DUMMYFUNCTION("VLOOKUP(A24,IMPORTRANGE(""1QZ5UxyNCwadreQAXnQ7oCoH982DjIA-QnZdO7ZoqkC0/edit#gid=884617569"",""S2 Totals!$A$2:$O$255""),3,FALSE)"),0.6153846153846154)</f>
        <v>0.6153846154</v>
      </c>
      <c r="F24" s="15">
        <f t="shared" si="1"/>
        <v>0.2937062937</v>
      </c>
      <c r="G24" s="16">
        <f>IFERROR(__xludf.DUMMYFUNCTION("VLOOKUP(A24,IMPORTRANGE(""1QZ5UxyNCwadreQAXnQ7oCoH982DjIA-QnZdO7ZoqkC0/edit#gid=884617569"",""S2 Totals!$A$2:$O$255""),4,FALSE)"),8.0)</f>
        <v>8</v>
      </c>
      <c r="H24" s="15">
        <f>IFERROR(__xludf.DUMMYFUNCTION("VLOOKUP(A24,IMPORTRANGE(""1QZ5UxyNCwadreQAXnQ7oCoH982DjIA-QnZdO7ZoqkC0/edit#gid=884617569"",""S2 Totals!$A$2:$O$255""),5,FALSE)"),0.6666666666666666)</f>
        <v>0.6666666667</v>
      </c>
      <c r="I24" s="15">
        <f t="shared" si="2"/>
        <v>0.2424242424</v>
      </c>
      <c r="J24" s="16">
        <f>IFERROR(__xludf.DUMMYFUNCTION("VLOOKUP(A24,IMPORTRANGE(""1QZ5UxyNCwadreQAXnQ7oCoH982DjIA-QnZdO7ZoqkC0/edit#gid=884617569"",""S2 Totals!$A$2:$O$255""),7,FALSE)"),6.0)</f>
        <v>6</v>
      </c>
      <c r="K24" s="15">
        <f>IFERROR(__xludf.DUMMYFUNCTION("VLOOKUP(A24,IMPORTRANGE(""1QZ5UxyNCwadreQAXnQ7oCoH982DjIA-QnZdO7ZoqkC0/edit#gid=884617569"",""S2 Totals!$A$2:$O$255""),8,FALSE)"),0.5)</f>
        <v>0.5</v>
      </c>
      <c r="L24" s="110">
        <f t="shared" si="3"/>
        <v>0.4090909091</v>
      </c>
      <c r="M24" s="16">
        <f>IFERROR(__xludf.DUMMYFUNCTION("VLOOKUP(A24,IMPORTRANGE(""1QZ5UxyNCwadreQAXnQ7oCoH982DjIA-QnZdO7ZoqkC0/edit#gid=884617569"",""S2 Totals!$A$2:$O$255""),10,FALSE)"),8.0)</f>
        <v>8</v>
      </c>
      <c r="N24" s="15">
        <f>IFERROR(__xludf.DUMMYFUNCTION("VLOOKUP(A24,IMPORTRANGE(""1QZ5UxyNCwadreQAXnQ7oCoH982DjIA-QnZdO7ZoqkC0/edit#gid=884617569"",""S2 Totals!$A$2:$O$255""),11,FALSE)"),0.6153846153846154)</f>
        <v>0.6153846154</v>
      </c>
      <c r="O24" s="110">
        <f t="shared" si="4"/>
        <v>0.2937062937</v>
      </c>
      <c r="P24" s="16">
        <f>IFERROR(__xludf.DUMMYFUNCTION("VLOOKUP(A24,IMPORTRANGE(""1QZ5UxyNCwadreQAXnQ7oCoH982DjIA-QnZdO7ZoqkC0/edit#gid=884617569"",""S2 Totals!$A$2:$O$255""),13,FALSE)"),6.0)</f>
        <v>6</v>
      </c>
      <c r="Q24" s="15">
        <f>IFERROR(__xludf.DUMMYFUNCTION("VLOOKUP(A24,IMPORTRANGE(""1QZ5UxyNCwadreQAXnQ7oCoH982DjIA-QnZdO7ZoqkC0/edit#gid=884617569"",""S2 Totals!$A$2:$O$255""),14,FALSE)"),0.5)</f>
        <v>0.5</v>
      </c>
      <c r="R24" s="129">
        <f t="shared" si="5"/>
        <v>0.4090909091</v>
      </c>
    </row>
    <row r="25">
      <c r="A25" s="128" t="s">
        <v>214</v>
      </c>
      <c r="B25" s="16">
        <f>IFERROR(__xludf.DUMMYFUNCTION("VLOOKUP(A25,IMPORTRANGE(""1aFCnJY1qhIj8-JckJhDJ18aqmVo17tofpQmOjcYa3u8/edit#gid=1878241338"",""S2 Totals!$A$2:$O$255""),2,FALSE)"),0.0)</f>
        <v>0</v>
      </c>
      <c r="C25" s="15">
        <f>IFERROR(__xludf.DUMMYFUNCTION("VLOOKUP(A25,IMPORTRANGE(""1aFCnJY1qhIj8-JckJhDJ18aqmVo17tofpQmOjcYa3u8/edit#gid=1878241338"",""S2 Totals!$A$2:$O$255""),3,FALSE)"),0.0)</f>
        <v>0</v>
      </c>
      <c r="D25" s="16">
        <f>IFERROR(__xludf.DUMMYFUNCTION("VLOOKUP(A25,IMPORTRANGE(""1QZ5UxyNCwadreQAXnQ7oCoH982DjIA-QnZdO7ZoqkC0/edit#gid=884617569"",""S2 Totals!$A$2:$O$255""),2,FALSE)"),0.0)</f>
        <v>0</v>
      </c>
      <c r="E25" s="15">
        <f>IFERROR(__xludf.DUMMYFUNCTION("VLOOKUP(A25,IMPORTRANGE(""1QZ5UxyNCwadreQAXnQ7oCoH982DjIA-QnZdO7ZoqkC0/edit#gid=884617569"",""S2 Totals!$A$2:$O$255""),3,FALSE)"),0.0)</f>
        <v>0</v>
      </c>
      <c r="F25" s="15">
        <f t="shared" si="1"/>
        <v>0</v>
      </c>
      <c r="G25" s="16">
        <f>IFERROR(__xludf.DUMMYFUNCTION("VLOOKUP(A25,IMPORTRANGE(""1QZ5UxyNCwadreQAXnQ7oCoH982DjIA-QnZdO7ZoqkC0/edit#gid=884617569"",""S2 Totals!$A$2:$O$255""),4,FALSE)"),1.0)</f>
        <v>1</v>
      </c>
      <c r="H25" s="15">
        <f>IFERROR(__xludf.DUMMYFUNCTION("VLOOKUP(A25,IMPORTRANGE(""1QZ5UxyNCwadreQAXnQ7oCoH982DjIA-QnZdO7ZoqkC0/edit#gid=884617569"",""S2 Totals!$A$2:$O$255""),5,FALSE)"),0.08333333333333333)</f>
        <v>0.08333333333</v>
      </c>
      <c r="I25" s="15">
        <f t="shared" si="2"/>
        <v>-0.08333333333</v>
      </c>
      <c r="J25" s="16" t="str">
        <f>IFERROR(__xludf.DUMMYFUNCTION("VLOOKUP(A25,IMPORTRANGE(""1QZ5UxyNCwadreQAXnQ7oCoH982DjIA-QnZdO7ZoqkC0/edit#gid=884617569"",""S2 Totals!$A$2:$O$255""),7,FALSE)"),"")</f>
        <v/>
      </c>
      <c r="K25" s="15" t="str">
        <f>IFERROR(__xludf.DUMMYFUNCTION("VLOOKUP(A25,IMPORTRANGE(""1QZ5UxyNCwadreQAXnQ7oCoH982DjIA-QnZdO7ZoqkC0/edit#gid=884617569"",""S2 Totals!$A$2:$O$255""),8,FALSE)"),"")</f>
        <v/>
      </c>
      <c r="L25" s="110">
        <f t="shared" si="3"/>
        <v>0</v>
      </c>
      <c r="M25" s="16" t="str">
        <f>IFERROR(__xludf.DUMMYFUNCTION("VLOOKUP(A25,IMPORTRANGE(""1QZ5UxyNCwadreQAXnQ7oCoH982DjIA-QnZdO7ZoqkC0/edit#gid=884617569"",""S2 Totals!$A$2:$O$255""),10,FALSE)"),"")</f>
        <v/>
      </c>
      <c r="N25" s="15" t="str">
        <f>IFERROR(__xludf.DUMMYFUNCTION("VLOOKUP(A25,IMPORTRANGE(""1QZ5UxyNCwadreQAXnQ7oCoH982DjIA-QnZdO7ZoqkC0/edit#gid=884617569"",""S2 Totals!$A$2:$O$255""),11,FALSE)"),"")</f>
        <v/>
      </c>
      <c r="O25" s="110">
        <f t="shared" si="4"/>
        <v>0</v>
      </c>
      <c r="P25" s="16" t="str">
        <f>IFERROR(__xludf.DUMMYFUNCTION("VLOOKUP(A25,IMPORTRANGE(""1QZ5UxyNCwadreQAXnQ7oCoH982DjIA-QnZdO7ZoqkC0/edit#gid=884617569"",""S2 Totals!$A$2:$O$255""),13,FALSE)"),"")</f>
        <v/>
      </c>
      <c r="Q25" s="15" t="str">
        <f>IFERROR(__xludf.DUMMYFUNCTION("VLOOKUP(A25,IMPORTRANGE(""1QZ5UxyNCwadreQAXnQ7oCoH982DjIA-QnZdO7ZoqkC0/edit#gid=884617569"",""S2 Totals!$A$2:$O$255""),14,FALSE)"),"")</f>
        <v/>
      </c>
      <c r="R25" s="129">
        <f t="shared" si="5"/>
        <v>0</v>
      </c>
    </row>
    <row r="26">
      <c r="A26" s="128" t="s">
        <v>215</v>
      </c>
      <c r="B26" s="16">
        <f>IFERROR(__xludf.DUMMYFUNCTION("VLOOKUP(A26,IMPORTRANGE(""1aFCnJY1qhIj8-JckJhDJ18aqmVo17tofpQmOjcYa3u8/edit#gid=1878241338"",""S2 Totals!$A$2:$O$255""),2,FALSE)"),4.0)</f>
        <v>4</v>
      </c>
      <c r="C26" s="15">
        <f>IFERROR(__xludf.DUMMYFUNCTION("VLOOKUP(A26,IMPORTRANGE(""1aFCnJY1qhIj8-JckJhDJ18aqmVo17tofpQmOjcYa3u8/edit#gid=1878241338"",""S2 Totals!$A$2:$O$255""),3,FALSE)"),0.36363636363636365)</f>
        <v>0.3636363636</v>
      </c>
      <c r="D26" s="16">
        <f>IFERROR(__xludf.DUMMYFUNCTION("VLOOKUP(A26,IMPORTRANGE(""1QZ5UxyNCwadreQAXnQ7oCoH982DjIA-QnZdO7ZoqkC0/edit#gid=884617569"",""S2 Totals!$A$2:$O$255""),2,FALSE)"),4.0)</f>
        <v>4</v>
      </c>
      <c r="E26" s="15">
        <f>IFERROR(__xludf.DUMMYFUNCTION("VLOOKUP(A26,IMPORTRANGE(""1QZ5UxyNCwadreQAXnQ7oCoH982DjIA-QnZdO7ZoqkC0/edit#gid=884617569"",""S2 Totals!$A$2:$O$255""),3,FALSE)"),0.3076923076923077)</f>
        <v>0.3076923077</v>
      </c>
      <c r="F26" s="15">
        <f t="shared" si="1"/>
        <v>0.05594405594</v>
      </c>
      <c r="G26" s="16">
        <f>IFERROR(__xludf.DUMMYFUNCTION("VLOOKUP(A26,IMPORTRANGE(""1QZ5UxyNCwadreQAXnQ7oCoH982DjIA-QnZdO7ZoqkC0/edit#gid=884617569"",""S2 Totals!$A$2:$O$255""),4,FALSE)"),3.0)</f>
        <v>3</v>
      </c>
      <c r="H26" s="15">
        <f>IFERROR(__xludf.DUMMYFUNCTION("VLOOKUP(A26,IMPORTRANGE(""1QZ5UxyNCwadreQAXnQ7oCoH982DjIA-QnZdO7ZoqkC0/edit#gid=884617569"",""S2 Totals!$A$2:$O$255""),5,FALSE)"),0.25)</f>
        <v>0.25</v>
      </c>
      <c r="I26" s="15">
        <f t="shared" si="2"/>
        <v>0.1136363636</v>
      </c>
      <c r="J26" s="16" t="str">
        <f>IFERROR(__xludf.DUMMYFUNCTION("VLOOKUP(A26,IMPORTRANGE(""1QZ5UxyNCwadreQAXnQ7oCoH982DjIA-QnZdO7ZoqkC0/edit#gid=884617569"",""S2 Totals!$A$2:$O$255""),7,FALSE)"),"")</f>
        <v/>
      </c>
      <c r="K26" s="15" t="str">
        <f>IFERROR(__xludf.DUMMYFUNCTION("VLOOKUP(A26,IMPORTRANGE(""1QZ5UxyNCwadreQAXnQ7oCoH982DjIA-QnZdO7ZoqkC0/edit#gid=884617569"",""S2 Totals!$A$2:$O$255""),8,FALSE)"),"")</f>
        <v/>
      </c>
      <c r="L26" s="110">
        <f t="shared" si="3"/>
        <v>0.3636363636</v>
      </c>
      <c r="M26" s="16" t="str">
        <f>IFERROR(__xludf.DUMMYFUNCTION("VLOOKUP(A26,IMPORTRANGE(""1QZ5UxyNCwadreQAXnQ7oCoH982DjIA-QnZdO7ZoqkC0/edit#gid=884617569"",""S2 Totals!$A$2:$O$255""),10,FALSE)"),"")</f>
        <v/>
      </c>
      <c r="N26" s="15" t="str">
        <f>IFERROR(__xludf.DUMMYFUNCTION("VLOOKUP(A26,IMPORTRANGE(""1QZ5UxyNCwadreQAXnQ7oCoH982DjIA-QnZdO7ZoqkC0/edit#gid=884617569"",""S2 Totals!$A$2:$O$255""),11,FALSE)"),"")</f>
        <v/>
      </c>
      <c r="O26" s="110">
        <f t="shared" si="4"/>
        <v>0.3636363636</v>
      </c>
      <c r="P26" s="16" t="str">
        <f>IFERROR(__xludf.DUMMYFUNCTION("VLOOKUP(A26,IMPORTRANGE(""1QZ5UxyNCwadreQAXnQ7oCoH982DjIA-QnZdO7ZoqkC0/edit#gid=884617569"",""S2 Totals!$A$2:$O$255""),13,FALSE)"),"")</f>
        <v/>
      </c>
      <c r="Q26" s="15" t="str">
        <f>IFERROR(__xludf.DUMMYFUNCTION("VLOOKUP(A26,IMPORTRANGE(""1QZ5UxyNCwadreQAXnQ7oCoH982DjIA-QnZdO7ZoqkC0/edit#gid=884617569"",""S2 Totals!$A$2:$O$255""),14,FALSE)"),"")</f>
        <v/>
      </c>
      <c r="R26" s="129">
        <f t="shared" si="5"/>
        <v>0.3636363636</v>
      </c>
    </row>
    <row r="27">
      <c r="A27" s="128" t="s">
        <v>216</v>
      </c>
      <c r="B27" s="16">
        <f>IFERROR(__xludf.DUMMYFUNCTION("VLOOKUP(A27,IMPORTRANGE(""1aFCnJY1qhIj8-JckJhDJ18aqmVo17tofpQmOjcYa3u8/edit#gid=1878241338"",""S2 Totals!$A$2:$O$255""),2,FALSE)"),1.0)</f>
        <v>1</v>
      </c>
      <c r="C27" s="15">
        <f>IFERROR(__xludf.DUMMYFUNCTION("VLOOKUP(A27,IMPORTRANGE(""1aFCnJY1qhIj8-JckJhDJ18aqmVo17tofpQmOjcYa3u8/edit#gid=1878241338"",""S2 Totals!$A$2:$O$255""),3,FALSE)"),0.09090909090909091)</f>
        <v>0.09090909091</v>
      </c>
      <c r="D27" s="16">
        <f>IFERROR(__xludf.DUMMYFUNCTION("VLOOKUP(A27,IMPORTRANGE(""1QZ5UxyNCwadreQAXnQ7oCoH982DjIA-QnZdO7ZoqkC0/edit#gid=884617569"",""S2 Totals!$A$2:$O$255""),2,FALSE)"),0.0)</f>
        <v>0</v>
      </c>
      <c r="E27" s="15">
        <f>IFERROR(__xludf.DUMMYFUNCTION("VLOOKUP(A27,IMPORTRANGE(""1QZ5UxyNCwadreQAXnQ7oCoH982DjIA-QnZdO7ZoqkC0/edit#gid=884617569"",""S2 Totals!$A$2:$O$255""),3,FALSE)"),0.0)</f>
        <v>0</v>
      </c>
      <c r="F27" s="15">
        <f t="shared" si="1"/>
        <v>0.09090909091</v>
      </c>
      <c r="G27" s="16">
        <f>IFERROR(__xludf.DUMMYFUNCTION("VLOOKUP(A27,IMPORTRANGE(""1QZ5UxyNCwadreQAXnQ7oCoH982DjIA-QnZdO7ZoqkC0/edit#gid=884617569"",""S2 Totals!$A$2:$O$255""),4,FALSE)"),0.0)</f>
        <v>0</v>
      </c>
      <c r="H27" s="15">
        <f>IFERROR(__xludf.DUMMYFUNCTION("VLOOKUP(A27,IMPORTRANGE(""1QZ5UxyNCwadreQAXnQ7oCoH982DjIA-QnZdO7ZoqkC0/edit#gid=884617569"",""S2 Totals!$A$2:$O$255""),5,FALSE)"),0.0)</f>
        <v>0</v>
      </c>
      <c r="I27" s="15">
        <f t="shared" si="2"/>
        <v>0.09090909091</v>
      </c>
      <c r="J27" s="16" t="str">
        <f>IFERROR(__xludf.DUMMYFUNCTION("VLOOKUP(A27,IMPORTRANGE(""1QZ5UxyNCwadreQAXnQ7oCoH982DjIA-QnZdO7ZoqkC0/edit#gid=884617569"",""S2 Totals!$A$2:$O$255""),7,FALSE)"),"")</f>
        <v/>
      </c>
      <c r="K27" s="15" t="str">
        <f>IFERROR(__xludf.DUMMYFUNCTION("VLOOKUP(A27,IMPORTRANGE(""1QZ5UxyNCwadreQAXnQ7oCoH982DjIA-QnZdO7ZoqkC0/edit#gid=884617569"",""S2 Totals!$A$2:$O$255""),8,FALSE)"),"")</f>
        <v/>
      </c>
      <c r="L27" s="110">
        <f t="shared" si="3"/>
        <v>0.09090909091</v>
      </c>
      <c r="M27" s="16" t="str">
        <f>IFERROR(__xludf.DUMMYFUNCTION("VLOOKUP(A27,IMPORTRANGE(""1QZ5UxyNCwadreQAXnQ7oCoH982DjIA-QnZdO7ZoqkC0/edit#gid=884617569"",""S2 Totals!$A$2:$O$255""),10,FALSE)"),"")</f>
        <v/>
      </c>
      <c r="N27" s="15" t="str">
        <f>IFERROR(__xludf.DUMMYFUNCTION("VLOOKUP(A27,IMPORTRANGE(""1QZ5UxyNCwadreQAXnQ7oCoH982DjIA-QnZdO7ZoqkC0/edit#gid=884617569"",""S2 Totals!$A$2:$O$255""),11,FALSE)"),"")</f>
        <v/>
      </c>
      <c r="O27" s="110">
        <f t="shared" si="4"/>
        <v>0.09090909091</v>
      </c>
      <c r="P27" s="16" t="str">
        <f>IFERROR(__xludf.DUMMYFUNCTION("VLOOKUP(A27,IMPORTRANGE(""1QZ5UxyNCwadreQAXnQ7oCoH982DjIA-QnZdO7ZoqkC0/edit#gid=884617569"",""S2 Totals!$A$2:$O$255""),13,FALSE)"),"")</f>
        <v/>
      </c>
      <c r="Q27" s="15" t="str">
        <f>IFERROR(__xludf.DUMMYFUNCTION("VLOOKUP(A27,IMPORTRANGE(""1QZ5UxyNCwadreQAXnQ7oCoH982DjIA-QnZdO7ZoqkC0/edit#gid=884617569"",""S2 Totals!$A$2:$O$255""),14,FALSE)"),"")</f>
        <v/>
      </c>
      <c r="R27" s="129">
        <f t="shared" si="5"/>
        <v>0.09090909091</v>
      </c>
    </row>
    <row r="28">
      <c r="A28" s="128" t="s">
        <v>114</v>
      </c>
      <c r="B28" s="16">
        <f>IFERROR(__xludf.DUMMYFUNCTION("VLOOKUP(A28,IMPORTRANGE(""1aFCnJY1qhIj8-JckJhDJ18aqmVo17tofpQmOjcYa3u8/edit#gid=1878241338"",""S2 Totals!$A$2:$O$255""),2,FALSE)"),1.0)</f>
        <v>1</v>
      </c>
      <c r="C28" s="15">
        <f>IFERROR(__xludf.DUMMYFUNCTION("VLOOKUP(A28,IMPORTRANGE(""1aFCnJY1qhIj8-JckJhDJ18aqmVo17tofpQmOjcYa3u8/edit#gid=1878241338"",""S2 Totals!$A$2:$O$255""),3,FALSE)"),0.09090909090909091)</f>
        <v>0.09090909091</v>
      </c>
      <c r="D28" s="16">
        <f>IFERROR(__xludf.DUMMYFUNCTION("VLOOKUP(A28,IMPORTRANGE(""1QZ5UxyNCwadreQAXnQ7oCoH982DjIA-QnZdO7ZoqkC0/edit#gid=884617569"",""S2 Totals!$A$2:$O$255""),2,FALSE)"),2.0)</f>
        <v>2</v>
      </c>
      <c r="E28" s="15">
        <f>IFERROR(__xludf.DUMMYFUNCTION("VLOOKUP(A28,IMPORTRANGE(""1QZ5UxyNCwadreQAXnQ7oCoH982DjIA-QnZdO7ZoqkC0/edit#gid=884617569"",""S2 Totals!$A$2:$O$255""),3,FALSE)"),0.15384615384615385)</f>
        <v>0.1538461538</v>
      </c>
      <c r="F28" s="15">
        <f t="shared" si="1"/>
        <v>-0.06293706294</v>
      </c>
      <c r="G28" s="16">
        <f>IFERROR(__xludf.DUMMYFUNCTION("VLOOKUP(A28,IMPORTRANGE(""1QZ5UxyNCwadreQAXnQ7oCoH982DjIA-QnZdO7ZoqkC0/edit#gid=884617569"",""S2 Totals!$A$2:$O$255""),4,FALSE)"),1.0)</f>
        <v>1</v>
      </c>
      <c r="H28" s="15">
        <f>IFERROR(__xludf.DUMMYFUNCTION("VLOOKUP(A28,IMPORTRANGE(""1QZ5UxyNCwadreQAXnQ7oCoH982DjIA-QnZdO7ZoqkC0/edit#gid=884617569"",""S2 Totals!$A$2:$O$255""),5,FALSE)"),0.08333333333333333)</f>
        <v>0.08333333333</v>
      </c>
      <c r="I28" s="15">
        <f t="shared" si="2"/>
        <v>0.007575757576</v>
      </c>
      <c r="J28" s="16">
        <f>IFERROR(__xludf.DUMMYFUNCTION("VLOOKUP(A28,IMPORTRANGE(""1QZ5UxyNCwadreQAXnQ7oCoH982DjIA-QnZdO7ZoqkC0/edit#gid=884617569"",""S2 Totals!$A$2:$O$255""),7,FALSE)"),1.0)</f>
        <v>1</v>
      </c>
      <c r="K28" s="15">
        <f>IFERROR(__xludf.DUMMYFUNCTION("VLOOKUP(A28,IMPORTRANGE(""1QZ5UxyNCwadreQAXnQ7oCoH982DjIA-QnZdO7ZoqkC0/edit#gid=884617569"",""S2 Totals!$A$2:$O$255""),8,FALSE)"),0.08333333333333333)</f>
        <v>0.08333333333</v>
      </c>
      <c r="L28" s="110">
        <f t="shared" si="3"/>
        <v>0.007575757576</v>
      </c>
      <c r="M28" s="16">
        <f>IFERROR(__xludf.DUMMYFUNCTION("VLOOKUP(A28,IMPORTRANGE(""1QZ5UxyNCwadreQAXnQ7oCoH982DjIA-QnZdO7ZoqkC0/edit#gid=884617569"",""S2 Totals!$A$2:$O$255""),10,FALSE)"),4.0)</f>
        <v>4</v>
      </c>
      <c r="N28" s="15">
        <f>IFERROR(__xludf.DUMMYFUNCTION("VLOOKUP(A28,IMPORTRANGE(""1QZ5UxyNCwadreQAXnQ7oCoH982DjIA-QnZdO7ZoqkC0/edit#gid=884617569"",""S2 Totals!$A$2:$O$255""),11,FALSE)"),0.3076923076923077)</f>
        <v>0.3076923077</v>
      </c>
      <c r="O28" s="110">
        <f t="shared" si="4"/>
        <v>-0.2167832168</v>
      </c>
      <c r="P28" s="16" t="str">
        <f>IFERROR(__xludf.DUMMYFUNCTION("VLOOKUP(A28,IMPORTRANGE(""1QZ5UxyNCwadreQAXnQ7oCoH982DjIA-QnZdO7ZoqkC0/edit#gid=884617569"",""S2 Totals!$A$2:$O$255""),13,FALSE)"),"")</f>
        <v/>
      </c>
      <c r="Q28" s="15" t="str">
        <f>IFERROR(__xludf.DUMMYFUNCTION("VLOOKUP(A28,IMPORTRANGE(""1QZ5UxyNCwadreQAXnQ7oCoH982DjIA-QnZdO7ZoqkC0/edit#gid=884617569"",""S2 Totals!$A$2:$O$255""),14,FALSE)"),"")</f>
        <v/>
      </c>
      <c r="R28" s="129">
        <f t="shared" si="5"/>
        <v>0.09090909091</v>
      </c>
    </row>
    <row r="29">
      <c r="A29" s="128" t="s">
        <v>115</v>
      </c>
      <c r="B29" s="16">
        <f>IFERROR(__xludf.DUMMYFUNCTION("VLOOKUP(A29,IMPORTRANGE(""1aFCnJY1qhIj8-JckJhDJ18aqmVo17tofpQmOjcYa3u8/edit#gid=1878241338"",""S2 Totals!$A$2:$O$255""),2,FALSE)"),8.0)</f>
        <v>8</v>
      </c>
      <c r="C29" s="15">
        <f>IFERROR(__xludf.DUMMYFUNCTION("VLOOKUP(A29,IMPORTRANGE(""1aFCnJY1qhIj8-JckJhDJ18aqmVo17tofpQmOjcYa3u8/edit#gid=1878241338"",""S2 Totals!$A$2:$O$255""),3,FALSE)"),0.7272727272727273)</f>
        <v>0.7272727273</v>
      </c>
      <c r="D29" s="16">
        <f>IFERROR(__xludf.DUMMYFUNCTION("VLOOKUP(A29,IMPORTRANGE(""1QZ5UxyNCwadreQAXnQ7oCoH982DjIA-QnZdO7ZoqkC0/edit#gid=884617569"",""S2 Totals!$A$2:$O$255""),2,FALSE)"),7.0)</f>
        <v>7</v>
      </c>
      <c r="E29" s="15">
        <f>IFERROR(__xludf.DUMMYFUNCTION("VLOOKUP(A29,IMPORTRANGE(""1QZ5UxyNCwadreQAXnQ7oCoH982DjIA-QnZdO7ZoqkC0/edit#gid=884617569"",""S2 Totals!$A$2:$O$255""),3,FALSE)"),0.5384615384615384)</f>
        <v>0.5384615385</v>
      </c>
      <c r="F29" s="15">
        <f t="shared" si="1"/>
        <v>0.1888111888</v>
      </c>
      <c r="G29" s="16">
        <f>IFERROR(__xludf.DUMMYFUNCTION("VLOOKUP(A29,IMPORTRANGE(""1QZ5UxyNCwadreQAXnQ7oCoH982DjIA-QnZdO7ZoqkC0/edit#gid=884617569"",""S2 Totals!$A$2:$O$255""),4,FALSE)"),8.0)</f>
        <v>8</v>
      </c>
      <c r="H29" s="15">
        <f>IFERROR(__xludf.DUMMYFUNCTION("VLOOKUP(A29,IMPORTRANGE(""1QZ5UxyNCwadreQAXnQ7oCoH982DjIA-QnZdO7ZoqkC0/edit#gid=884617569"",""S2 Totals!$A$2:$O$255""),5,FALSE)"),0.6666666666666666)</f>
        <v>0.6666666667</v>
      </c>
      <c r="I29" s="15">
        <f t="shared" si="2"/>
        <v>0.06060606061</v>
      </c>
      <c r="J29" s="16">
        <f>IFERROR(__xludf.DUMMYFUNCTION("VLOOKUP(A29,IMPORTRANGE(""1QZ5UxyNCwadreQAXnQ7oCoH982DjIA-QnZdO7ZoqkC0/edit#gid=884617569"",""S2 Totals!$A$2:$O$255""),7,FALSE)"),8.0)</f>
        <v>8</v>
      </c>
      <c r="K29" s="15">
        <f>IFERROR(__xludf.DUMMYFUNCTION("VLOOKUP(A29,IMPORTRANGE(""1QZ5UxyNCwadreQAXnQ7oCoH982DjIA-QnZdO7ZoqkC0/edit#gid=884617569"",""S2 Totals!$A$2:$O$255""),8,FALSE)"),0.6666666666666666)</f>
        <v>0.6666666667</v>
      </c>
      <c r="L29" s="110">
        <f t="shared" si="3"/>
        <v>0.06060606061</v>
      </c>
      <c r="M29" s="16">
        <f>IFERROR(__xludf.DUMMYFUNCTION("VLOOKUP(A29,IMPORTRANGE(""1QZ5UxyNCwadreQAXnQ7oCoH982DjIA-QnZdO7ZoqkC0/edit#gid=884617569"",""S2 Totals!$A$2:$O$255""),10,FALSE)"),8.0)</f>
        <v>8</v>
      </c>
      <c r="N29" s="15">
        <f>IFERROR(__xludf.DUMMYFUNCTION("VLOOKUP(A29,IMPORTRANGE(""1QZ5UxyNCwadreQAXnQ7oCoH982DjIA-QnZdO7ZoqkC0/edit#gid=884617569"",""S2 Totals!$A$2:$O$255""),11,FALSE)"),0.6153846153846154)</f>
        <v>0.6153846154</v>
      </c>
      <c r="O29" s="110">
        <f t="shared" si="4"/>
        <v>0.1118881119</v>
      </c>
      <c r="P29" s="16" t="str">
        <f>IFERROR(__xludf.DUMMYFUNCTION("VLOOKUP(A29,IMPORTRANGE(""1QZ5UxyNCwadreQAXnQ7oCoH982DjIA-QnZdO7ZoqkC0/edit#gid=884617569"",""S2 Totals!$A$2:$O$255""),13,FALSE)"),"")</f>
        <v/>
      </c>
      <c r="Q29" s="15" t="str">
        <f>IFERROR(__xludf.DUMMYFUNCTION("VLOOKUP(A29,IMPORTRANGE(""1QZ5UxyNCwadreQAXnQ7oCoH982DjIA-QnZdO7ZoqkC0/edit#gid=884617569"",""S2 Totals!$A$2:$O$255""),14,FALSE)"),"")</f>
        <v/>
      </c>
      <c r="R29" s="129">
        <f t="shared" si="5"/>
        <v>0.7272727273</v>
      </c>
    </row>
    <row r="30">
      <c r="A30" s="128" t="s">
        <v>166</v>
      </c>
      <c r="B30" s="16">
        <f>IFERROR(__xludf.DUMMYFUNCTION("VLOOKUP(A30,IMPORTRANGE(""1aFCnJY1qhIj8-JckJhDJ18aqmVo17tofpQmOjcYa3u8/edit#gid=1878241338"",""S2 Totals!$A$2:$O$255""),2,FALSE)"),6.0)</f>
        <v>6</v>
      </c>
      <c r="C30" s="15">
        <f>IFERROR(__xludf.DUMMYFUNCTION("VLOOKUP(A30,IMPORTRANGE(""1aFCnJY1qhIj8-JckJhDJ18aqmVo17tofpQmOjcYa3u8/edit#gid=1878241338"",""S2 Totals!$A$2:$O$255""),3,FALSE)"),0.5454545454545454)</f>
        <v>0.5454545455</v>
      </c>
      <c r="D30" s="16">
        <f>IFERROR(__xludf.DUMMYFUNCTION("VLOOKUP(A30,IMPORTRANGE(""1QZ5UxyNCwadreQAXnQ7oCoH982DjIA-QnZdO7ZoqkC0/edit#gid=884617569"",""S2 Totals!$A$2:$O$255""),2,FALSE)"),6.0)</f>
        <v>6</v>
      </c>
      <c r="E30" s="15">
        <f>IFERROR(__xludf.DUMMYFUNCTION("VLOOKUP(A30,IMPORTRANGE(""1QZ5UxyNCwadreQAXnQ7oCoH982DjIA-QnZdO7ZoqkC0/edit#gid=884617569"",""S2 Totals!$A$2:$O$255""),3,FALSE)"),0.46153846153846156)</f>
        <v>0.4615384615</v>
      </c>
      <c r="F30" s="15">
        <f t="shared" si="1"/>
        <v>0.08391608392</v>
      </c>
      <c r="G30" s="16">
        <f>IFERROR(__xludf.DUMMYFUNCTION("VLOOKUP(A30,IMPORTRANGE(""1QZ5UxyNCwadreQAXnQ7oCoH982DjIA-QnZdO7ZoqkC0/edit#gid=884617569"",""S2 Totals!$A$2:$O$255""),4,FALSE)"),1.0)</f>
        <v>1</v>
      </c>
      <c r="H30" s="15">
        <f>IFERROR(__xludf.DUMMYFUNCTION("VLOOKUP(A30,IMPORTRANGE(""1QZ5UxyNCwadreQAXnQ7oCoH982DjIA-QnZdO7ZoqkC0/edit#gid=884617569"",""S2 Totals!$A$2:$O$255""),5,FALSE)"),0.08333333333333333)</f>
        <v>0.08333333333</v>
      </c>
      <c r="I30" s="15">
        <f t="shared" si="2"/>
        <v>0.4621212121</v>
      </c>
      <c r="J30" s="16">
        <f>IFERROR(__xludf.DUMMYFUNCTION("VLOOKUP(A30,IMPORTRANGE(""1QZ5UxyNCwadreQAXnQ7oCoH982DjIA-QnZdO7ZoqkC0/edit#gid=884617569"",""S2 Totals!$A$2:$O$255""),7,FALSE)"),1.0)</f>
        <v>1</v>
      </c>
      <c r="K30" s="15">
        <f>IFERROR(__xludf.DUMMYFUNCTION("VLOOKUP(A30,IMPORTRANGE(""1QZ5UxyNCwadreQAXnQ7oCoH982DjIA-QnZdO7ZoqkC0/edit#gid=884617569"",""S2 Totals!$A$2:$O$255""),8,FALSE)"),0.08333333333333333)</f>
        <v>0.08333333333</v>
      </c>
      <c r="L30" s="110">
        <f t="shared" si="3"/>
        <v>0.4621212121</v>
      </c>
      <c r="M30" s="16" t="str">
        <f>IFERROR(__xludf.DUMMYFUNCTION("VLOOKUP(A30,IMPORTRANGE(""1QZ5UxyNCwadreQAXnQ7oCoH982DjIA-QnZdO7ZoqkC0/edit#gid=884617569"",""S2 Totals!$A$2:$O$255""),10,FALSE)"),"")</f>
        <v/>
      </c>
      <c r="N30" s="15" t="str">
        <f>IFERROR(__xludf.DUMMYFUNCTION("VLOOKUP(A30,IMPORTRANGE(""1QZ5UxyNCwadreQAXnQ7oCoH982DjIA-QnZdO7ZoqkC0/edit#gid=884617569"",""S2 Totals!$A$2:$O$255""),11,FALSE)"),"")</f>
        <v/>
      </c>
      <c r="O30" s="110">
        <f t="shared" si="4"/>
        <v>0.5454545455</v>
      </c>
      <c r="P30" s="16" t="str">
        <f>IFERROR(__xludf.DUMMYFUNCTION("VLOOKUP(A30,IMPORTRANGE(""1QZ5UxyNCwadreQAXnQ7oCoH982DjIA-QnZdO7ZoqkC0/edit#gid=884617569"",""S2 Totals!$A$2:$O$255""),13,FALSE)"),"")</f>
        <v/>
      </c>
      <c r="Q30" s="15" t="str">
        <f>IFERROR(__xludf.DUMMYFUNCTION("VLOOKUP(A30,IMPORTRANGE(""1QZ5UxyNCwadreQAXnQ7oCoH982DjIA-QnZdO7ZoqkC0/edit#gid=884617569"",""S2 Totals!$A$2:$O$255""),14,FALSE)"),"")</f>
        <v/>
      </c>
      <c r="R30" s="129">
        <f t="shared" si="5"/>
        <v>0.5454545455</v>
      </c>
    </row>
    <row r="31">
      <c r="A31" s="128" t="s">
        <v>217</v>
      </c>
      <c r="B31" s="16">
        <f>IFERROR(__xludf.DUMMYFUNCTION("VLOOKUP(A31,IMPORTRANGE(""1aFCnJY1qhIj8-JckJhDJ18aqmVo17tofpQmOjcYa3u8/edit#gid=1878241338"",""S2 Totals!$A$2:$O$255""),2,FALSE)"),2.0)</f>
        <v>2</v>
      </c>
      <c r="C31" s="15">
        <f>IFERROR(__xludf.DUMMYFUNCTION("VLOOKUP(A31,IMPORTRANGE(""1aFCnJY1qhIj8-JckJhDJ18aqmVo17tofpQmOjcYa3u8/edit#gid=1878241338"",""S2 Totals!$A$2:$O$255""),3,FALSE)"),0.18181818181818182)</f>
        <v>0.1818181818</v>
      </c>
      <c r="D31" s="16">
        <f>IFERROR(__xludf.DUMMYFUNCTION("VLOOKUP(A31,IMPORTRANGE(""1QZ5UxyNCwadreQAXnQ7oCoH982DjIA-QnZdO7ZoqkC0/edit#gid=884617569"",""S2 Totals!$A$2:$O$255""),2,FALSE)"),2.0)</f>
        <v>2</v>
      </c>
      <c r="E31" s="15">
        <f>IFERROR(__xludf.DUMMYFUNCTION("VLOOKUP(A31,IMPORTRANGE(""1QZ5UxyNCwadreQAXnQ7oCoH982DjIA-QnZdO7ZoqkC0/edit#gid=884617569"",""S2 Totals!$A$2:$O$255""),3,FALSE)"),0.15384615384615385)</f>
        <v>0.1538461538</v>
      </c>
      <c r="F31" s="15">
        <f t="shared" si="1"/>
        <v>0.02797202797</v>
      </c>
      <c r="G31" s="16">
        <f>IFERROR(__xludf.DUMMYFUNCTION("VLOOKUP(A31,IMPORTRANGE(""1QZ5UxyNCwadreQAXnQ7oCoH982DjIA-QnZdO7ZoqkC0/edit#gid=884617569"",""S2 Totals!$A$2:$O$255""),4,FALSE)"),2.0)</f>
        <v>2</v>
      </c>
      <c r="H31" s="15">
        <f>IFERROR(__xludf.DUMMYFUNCTION("VLOOKUP(A31,IMPORTRANGE(""1QZ5UxyNCwadreQAXnQ7oCoH982DjIA-QnZdO7ZoqkC0/edit#gid=884617569"",""S2 Totals!$A$2:$O$255""),5,FALSE)"),0.16666666666666666)</f>
        <v>0.1666666667</v>
      </c>
      <c r="I31" s="15">
        <f t="shared" si="2"/>
        <v>0.01515151515</v>
      </c>
      <c r="J31" s="16" t="str">
        <f>IFERROR(__xludf.DUMMYFUNCTION("VLOOKUP(A31,IMPORTRANGE(""1QZ5UxyNCwadreQAXnQ7oCoH982DjIA-QnZdO7ZoqkC0/edit#gid=884617569"",""S2 Totals!$A$2:$O$255""),7,FALSE)"),"")</f>
        <v/>
      </c>
      <c r="K31" s="15" t="str">
        <f>IFERROR(__xludf.DUMMYFUNCTION("VLOOKUP(A31,IMPORTRANGE(""1QZ5UxyNCwadreQAXnQ7oCoH982DjIA-QnZdO7ZoqkC0/edit#gid=884617569"",""S2 Totals!$A$2:$O$255""),8,FALSE)"),"")</f>
        <v/>
      </c>
      <c r="L31" s="110">
        <f t="shared" si="3"/>
        <v>0.1818181818</v>
      </c>
      <c r="M31" s="16" t="str">
        <f>IFERROR(__xludf.DUMMYFUNCTION("VLOOKUP(A31,IMPORTRANGE(""1QZ5UxyNCwadreQAXnQ7oCoH982DjIA-QnZdO7ZoqkC0/edit#gid=884617569"",""S2 Totals!$A$2:$O$255""),10,FALSE)"),"")</f>
        <v/>
      </c>
      <c r="N31" s="15" t="str">
        <f>IFERROR(__xludf.DUMMYFUNCTION("VLOOKUP(A31,IMPORTRANGE(""1QZ5UxyNCwadreQAXnQ7oCoH982DjIA-QnZdO7ZoqkC0/edit#gid=884617569"",""S2 Totals!$A$2:$O$255""),11,FALSE)"),"")</f>
        <v/>
      </c>
      <c r="O31" s="110">
        <f t="shared" si="4"/>
        <v>0.1818181818</v>
      </c>
      <c r="P31" s="16" t="str">
        <f>IFERROR(__xludf.DUMMYFUNCTION("VLOOKUP(A31,IMPORTRANGE(""1QZ5UxyNCwadreQAXnQ7oCoH982DjIA-QnZdO7ZoqkC0/edit#gid=884617569"",""S2 Totals!$A$2:$O$255""),13,FALSE)"),"")</f>
        <v/>
      </c>
      <c r="Q31" s="15" t="str">
        <f>IFERROR(__xludf.DUMMYFUNCTION("VLOOKUP(A31,IMPORTRANGE(""1QZ5UxyNCwadreQAXnQ7oCoH982DjIA-QnZdO7ZoqkC0/edit#gid=884617569"",""S2 Totals!$A$2:$O$255""),14,FALSE)"),"")</f>
        <v/>
      </c>
      <c r="R31" s="129">
        <f t="shared" si="5"/>
        <v>0.1818181818</v>
      </c>
    </row>
    <row r="32">
      <c r="A32" s="128" t="s">
        <v>32</v>
      </c>
      <c r="B32" s="16">
        <f>IFERROR(__xludf.DUMMYFUNCTION("VLOOKUP(A32,IMPORTRANGE(""1aFCnJY1qhIj8-JckJhDJ18aqmVo17tofpQmOjcYa3u8/edit#gid=1878241338"",""S2 Totals!$A$2:$O$255""),2,FALSE)"),11.0)</f>
        <v>11</v>
      </c>
      <c r="C32" s="15">
        <f>IFERROR(__xludf.DUMMYFUNCTION("VLOOKUP(A32,IMPORTRANGE(""1aFCnJY1qhIj8-JckJhDJ18aqmVo17tofpQmOjcYa3u8/edit#gid=1878241338"",""S2 Totals!$A$2:$O$255""),3,FALSE)"),1.0)</f>
        <v>1</v>
      </c>
      <c r="D32" s="16">
        <f>IFERROR(__xludf.DUMMYFUNCTION("VLOOKUP(A32,IMPORTRANGE(""1QZ5UxyNCwadreQAXnQ7oCoH982DjIA-QnZdO7ZoqkC0/edit#gid=884617569"",""S2 Totals!$A$2:$O$255""),2,FALSE)"),11.0)</f>
        <v>11</v>
      </c>
      <c r="E32" s="15">
        <f>IFERROR(__xludf.DUMMYFUNCTION("VLOOKUP(A32,IMPORTRANGE(""1QZ5UxyNCwadreQAXnQ7oCoH982DjIA-QnZdO7ZoqkC0/edit#gid=884617569"",""S2 Totals!$A$2:$O$255""),3,FALSE)"),0.8461538461538461)</f>
        <v>0.8461538462</v>
      </c>
      <c r="F32" s="15">
        <f t="shared" si="1"/>
        <v>0.1538461538</v>
      </c>
      <c r="G32" s="16">
        <f>IFERROR(__xludf.DUMMYFUNCTION("VLOOKUP(A32,IMPORTRANGE(""1QZ5UxyNCwadreQAXnQ7oCoH982DjIA-QnZdO7ZoqkC0/edit#gid=884617569"",""S2 Totals!$A$2:$O$255""),4,FALSE)"),12.0)</f>
        <v>12</v>
      </c>
      <c r="H32" s="15">
        <f>IFERROR(__xludf.DUMMYFUNCTION("VLOOKUP(A32,IMPORTRANGE(""1QZ5UxyNCwadreQAXnQ7oCoH982DjIA-QnZdO7ZoqkC0/edit#gid=884617569"",""S2 Totals!$A$2:$O$255""),5,FALSE)"),1.0)</f>
        <v>1</v>
      </c>
      <c r="I32" s="15">
        <f t="shared" si="2"/>
        <v>0</v>
      </c>
      <c r="J32" s="16">
        <f>IFERROR(__xludf.DUMMYFUNCTION("VLOOKUP(A32,IMPORTRANGE(""1QZ5UxyNCwadreQAXnQ7oCoH982DjIA-QnZdO7ZoqkC0/edit#gid=884617569"",""S2 Totals!$A$2:$O$255""),7,FALSE)"),12.0)</f>
        <v>12</v>
      </c>
      <c r="K32" s="15">
        <f>IFERROR(__xludf.DUMMYFUNCTION("VLOOKUP(A32,IMPORTRANGE(""1QZ5UxyNCwadreQAXnQ7oCoH982DjIA-QnZdO7ZoqkC0/edit#gid=884617569"",""S2 Totals!$A$2:$O$255""),8,FALSE)"),1.0)</f>
        <v>1</v>
      </c>
      <c r="L32" s="110">
        <f t="shared" si="3"/>
        <v>0</v>
      </c>
      <c r="M32" s="16">
        <f>IFERROR(__xludf.DUMMYFUNCTION("VLOOKUP(A32,IMPORTRANGE(""1QZ5UxyNCwadreQAXnQ7oCoH982DjIA-QnZdO7ZoqkC0/edit#gid=884617569"",""S2 Totals!$A$2:$O$255""),10,FALSE)"),12.0)</f>
        <v>12</v>
      </c>
      <c r="N32" s="15">
        <f>IFERROR(__xludf.DUMMYFUNCTION("VLOOKUP(A32,IMPORTRANGE(""1QZ5UxyNCwadreQAXnQ7oCoH982DjIA-QnZdO7ZoqkC0/edit#gid=884617569"",""S2 Totals!$A$2:$O$255""),11,FALSE)"),0.9230769230769231)</f>
        <v>0.9230769231</v>
      </c>
      <c r="O32" s="110">
        <f t="shared" si="4"/>
        <v>0.07692307692</v>
      </c>
      <c r="P32" s="16">
        <f>IFERROR(__xludf.DUMMYFUNCTION("VLOOKUP(A32,IMPORTRANGE(""1QZ5UxyNCwadreQAXnQ7oCoH982DjIA-QnZdO7ZoqkC0/edit#gid=884617569"",""S2 Totals!$A$2:$O$255""),13,FALSE)"),9.0)</f>
        <v>9</v>
      </c>
      <c r="Q32" s="15">
        <f>IFERROR(__xludf.DUMMYFUNCTION("VLOOKUP(A32,IMPORTRANGE(""1QZ5UxyNCwadreQAXnQ7oCoH982DjIA-QnZdO7ZoqkC0/edit#gid=884617569"",""S2 Totals!$A$2:$O$255""),14,FALSE)"),0.75)</f>
        <v>0.75</v>
      </c>
      <c r="R32" s="129">
        <f t="shared" si="5"/>
        <v>0.25</v>
      </c>
    </row>
    <row r="33">
      <c r="A33" s="131" t="s">
        <v>319</v>
      </c>
      <c r="B33" s="16" t="str">
        <f>IFERROR(__xludf.DUMMYFUNCTION("VLOOKUP(A33,IMPORTRANGE(""1aFCnJY1qhIj8-JckJhDJ18aqmVo17tofpQmOjcYa3u8/edit#gid=1878241338"",""S2 Totals!$A$2:$O$255""),2,FALSE)"),"#N/A")</f>
        <v>#N/A</v>
      </c>
      <c r="C33" s="15" t="str">
        <f>IFERROR(__xludf.DUMMYFUNCTION("VLOOKUP(A33,IMPORTRANGE(""1aFCnJY1qhIj8-JckJhDJ18aqmVo17tofpQmOjcYa3u8/edit#gid=1878241338"",""S2 Totals!$A$2:$O$255""),3,FALSE)"),"#N/A")</f>
        <v>#N/A</v>
      </c>
      <c r="D33" s="16" t="str">
        <f>IFERROR(__xludf.DUMMYFUNCTION("VLOOKUP(A33,IMPORTRANGE(""1QZ5UxyNCwadreQAXnQ7oCoH982DjIA-QnZdO7ZoqkC0/edit#gid=884617569"",""S2 Totals!$A$2:$O$255""),2,FALSE)"),"#N/A")</f>
        <v>#N/A</v>
      </c>
      <c r="E33" s="15" t="str">
        <f>IFERROR(__xludf.DUMMYFUNCTION("VLOOKUP(A33,IMPORTRANGE(""1QZ5UxyNCwadreQAXnQ7oCoH982DjIA-QnZdO7ZoqkC0/edit#gid=884617569"",""S2 Totals!$A$2:$O$255""),3,FALSE)"),"#N/A")</f>
        <v>#N/A</v>
      </c>
      <c r="F33" s="16" t="str">
        <f t="shared" si="1"/>
        <v>#N/A</v>
      </c>
      <c r="G33" s="16" t="str">
        <f>IFERROR(__xludf.DUMMYFUNCTION("VLOOKUP(A33,IMPORTRANGE(""1QZ5UxyNCwadreQAXnQ7oCoH982DjIA-QnZdO7ZoqkC0/edit#gid=884617569"",""S2 Totals!$A$2:$O$255""),4,FALSE)"),"#N/A")</f>
        <v>#N/A</v>
      </c>
      <c r="H33" s="15" t="str">
        <f>IFERROR(__xludf.DUMMYFUNCTION("VLOOKUP(A33,IMPORTRANGE(""1QZ5UxyNCwadreQAXnQ7oCoH982DjIA-QnZdO7ZoqkC0/edit#gid=884617569"",""S2 Totals!$A$2:$O$255""),5,FALSE)"),"#N/A")</f>
        <v>#N/A</v>
      </c>
      <c r="I33" s="16" t="str">
        <f t="shared" si="2"/>
        <v>#N/A</v>
      </c>
      <c r="J33" s="16" t="str">
        <f>IFERROR(__xludf.DUMMYFUNCTION("VLOOKUP(A33,IMPORTRANGE(""1QZ5UxyNCwadreQAXnQ7oCoH982DjIA-QnZdO7ZoqkC0/edit#gid=884617569"",""S2 Totals!$A$2:$O$255""),7,FALSE)"),"#N/A")</f>
        <v>#N/A</v>
      </c>
      <c r="K33" s="15" t="str">
        <f>IFERROR(__xludf.DUMMYFUNCTION("VLOOKUP(A33,IMPORTRANGE(""1QZ5UxyNCwadreQAXnQ7oCoH982DjIA-QnZdO7ZoqkC0/edit#gid=884617569"",""S2 Totals!$A$2:$O$255""),8,FALSE)"),"#N/A")</f>
        <v>#N/A</v>
      </c>
      <c r="L33" s="110" t="str">
        <f t="shared" si="3"/>
        <v>#N/A</v>
      </c>
      <c r="M33" s="16" t="str">
        <f>IFERROR(__xludf.DUMMYFUNCTION("VLOOKUP(A33,IMPORTRANGE(""1QZ5UxyNCwadreQAXnQ7oCoH982DjIA-QnZdO7ZoqkC0/edit#gid=884617569"",""S2 Totals!$A$2:$O$255""),10,FALSE)"),"#N/A")</f>
        <v>#N/A</v>
      </c>
      <c r="N33" s="15" t="str">
        <f>IFERROR(__xludf.DUMMYFUNCTION("VLOOKUP(A33,IMPORTRANGE(""1QZ5UxyNCwadreQAXnQ7oCoH982DjIA-QnZdO7ZoqkC0/edit#gid=884617569"",""S2 Totals!$A$2:$O$255""),11,FALSE)"),"#N/A")</f>
        <v>#N/A</v>
      </c>
      <c r="O33" s="110" t="str">
        <f t="shared" si="4"/>
        <v>#N/A</v>
      </c>
      <c r="P33" s="16" t="str">
        <f>IFERROR(__xludf.DUMMYFUNCTION("VLOOKUP(A33,IMPORTRANGE(""1QZ5UxyNCwadreQAXnQ7oCoH982DjIA-QnZdO7ZoqkC0/edit#gid=884617569"",""S2 Totals!$A$2:$O$255""),13,FALSE)"),"#N/A")</f>
        <v>#N/A</v>
      </c>
      <c r="Q33" s="15" t="str">
        <f>IFERROR(__xludf.DUMMYFUNCTION("VLOOKUP(A33,IMPORTRANGE(""1QZ5UxyNCwadreQAXnQ7oCoH982DjIA-QnZdO7ZoqkC0/edit#gid=884617569"",""S2 Totals!$A$2:$O$255""),14,FALSE)"),"#N/A")</f>
        <v>#N/A</v>
      </c>
      <c r="R33" s="129" t="str">
        <f t="shared" si="5"/>
        <v>#N/A</v>
      </c>
    </row>
    <row r="34">
      <c r="A34" s="128" t="s">
        <v>167</v>
      </c>
      <c r="B34" s="16">
        <f>IFERROR(__xludf.DUMMYFUNCTION("VLOOKUP(A34,IMPORTRANGE(""1aFCnJY1qhIj8-JckJhDJ18aqmVo17tofpQmOjcYa3u8/edit#gid=1878241338"",""S2 Totals!$A$2:$O$255""),2,FALSE)"),4.0)</f>
        <v>4</v>
      </c>
      <c r="C34" s="15">
        <f>IFERROR(__xludf.DUMMYFUNCTION("VLOOKUP(A34,IMPORTRANGE(""1aFCnJY1qhIj8-JckJhDJ18aqmVo17tofpQmOjcYa3u8/edit#gid=1878241338"",""S2 Totals!$A$2:$O$255""),3,FALSE)"),0.36363636363636365)</f>
        <v>0.3636363636</v>
      </c>
      <c r="D34" s="16">
        <f>IFERROR(__xludf.DUMMYFUNCTION("VLOOKUP(A34,IMPORTRANGE(""1QZ5UxyNCwadreQAXnQ7oCoH982DjIA-QnZdO7ZoqkC0/edit#gid=884617569"",""S2 Totals!$A$2:$O$255""),2,FALSE)"),1.0)</f>
        <v>1</v>
      </c>
      <c r="E34" s="15">
        <f>IFERROR(__xludf.DUMMYFUNCTION("VLOOKUP(A34,IMPORTRANGE(""1QZ5UxyNCwadreQAXnQ7oCoH982DjIA-QnZdO7ZoqkC0/edit#gid=884617569"",""S2 Totals!$A$2:$O$255""),3,FALSE)"),0.07692307692307693)</f>
        <v>0.07692307692</v>
      </c>
      <c r="F34" s="15">
        <f t="shared" si="1"/>
        <v>0.2867132867</v>
      </c>
      <c r="G34" s="16">
        <f>IFERROR(__xludf.DUMMYFUNCTION("VLOOKUP(A34,IMPORTRANGE(""1QZ5UxyNCwadreQAXnQ7oCoH982DjIA-QnZdO7ZoqkC0/edit#gid=884617569"",""S2 Totals!$A$2:$O$255""),4,FALSE)"),4.0)</f>
        <v>4</v>
      </c>
      <c r="H34" s="15">
        <f>IFERROR(__xludf.DUMMYFUNCTION("VLOOKUP(A34,IMPORTRANGE(""1QZ5UxyNCwadreQAXnQ7oCoH982DjIA-QnZdO7ZoqkC0/edit#gid=884617569"",""S2 Totals!$A$2:$O$255""),5,FALSE)"),0.3333333333333333)</f>
        <v>0.3333333333</v>
      </c>
      <c r="I34" s="15">
        <f t="shared" si="2"/>
        <v>0.0303030303</v>
      </c>
      <c r="J34" s="16">
        <f>IFERROR(__xludf.DUMMYFUNCTION("VLOOKUP(A34,IMPORTRANGE(""1QZ5UxyNCwadreQAXnQ7oCoH982DjIA-QnZdO7ZoqkC0/edit#gid=884617569"",""S2 Totals!$A$2:$O$255""),7,FALSE)"),4.0)</f>
        <v>4</v>
      </c>
      <c r="K34" s="15">
        <f>IFERROR(__xludf.DUMMYFUNCTION("VLOOKUP(A34,IMPORTRANGE(""1QZ5UxyNCwadreQAXnQ7oCoH982DjIA-QnZdO7ZoqkC0/edit#gid=884617569"",""S2 Totals!$A$2:$O$255""),8,FALSE)"),0.3333333333333333)</f>
        <v>0.3333333333</v>
      </c>
      <c r="L34" s="110">
        <f t="shared" si="3"/>
        <v>0.0303030303</v>
      </c>
      <c r="M34" s="16" t="str">
        <f>IFERROR(__xludf.DUMMYFUNCTION("VLOOKUP(A34,IMPORTRANGE(""1QZ5UxyNCwadreQAXnQ7oCoH982DjIA-QnZdO7ZoqkC0/edit#gid=884617569"",""S2 Totals!$A$2:$O$255""),10,FALSE)"),"")</f>
        <v/>
      </c>
      <c r="N34" s="15" t="str">
        <f>IFERROR(__xludf.DUMMYFUNCTION("VLOOKUP(A34,IMPORTRANGE(""1QZ5UxyNCwadreQAXnQ7oCoH982DjIA-QnZdO7ZoqkC0/edit#gid=884617569"",""S2 Totals!$A$2:$O$255""),11,FALSE)"),"")</f>
        <v/>
      </c>
      <c r="O34" s="110">
        <f t="shared" si="4"/>
        <v>0.3636363636</v>
      </c>
      <c r="P34" s="16" t="str">
        <f>IFERROR(__xludf.DUMMYFUNCTION("VLOOKUP(A34,IMPORTRANGE(""1QZ5UxyNCwadreQAXnQ7oCoH982DjIA-QnZdO7ZoqkC0/edit#gid=884617569"",""S2 Totals!$A$2:$O$255""),13,FALSE)"),"")</f>
        <v/>
      </c>
      <c r="Q34" s="15" t="str">
        <f>IFERROR(__xludf.DUMMYFUNCTION("VLOOKUP(A34,IMPORTRANGE(""1QZ5UxyNCwadreQAXnQ7oCoH982DjIA-QnZdO7ZoqkC0/edit#gid=884617569"",""S2 Totals!$A$2:$O$255""),14,FALSE)"),"")</f>
        <v/>
      </c>
      <c r="R34" s="129">
        <f t="shared" si="5"/>
        <v>0.3636363636</v>
      </c>
    </row>
    <row r="35">
      <c r="A35" s="128" t="s">
        <v>116</v>
      </c>
      <c r="B35" s="16">
        <f>IFERROR(__xludf.DUMMYFUNCTION("VLOOKUP(A35,IMPORTRANGE(""1aFCnJY1qhIj8-JckJhDJ18aqmVo17tofpQmOjcYa3u8/edit#gid=1878241338"",""S2 Totals!$A$2:$O$255""),2,FALSE)"),1.0)</f>
        <v>1</v>
      </c>
      <c r="C35" s="15">
        <f>IFERROR(__xludf.DUMMYFUNCTION("VLOOKUP(A35,IMPORTRANGE(""1aFCnJY1qhIj8-JckJhDJ18aqmVo17tofpQmOjcYa3u8/edit#gid=1878241338"",""S2 Totals!$A$2:$O$255""),3,FALSE)"),0.09090909090909091)</f>
        <v>0.09090909091</v>
      </c>
      <c r="D35" s="16">
        <f>IFERROR(__xludf.DUMMYFUNCTION("VLOOKUP(A35,IMPORTRANGE(""1QZ5UxyNCwadreQAXnQ7oCoH982DjIA-QnZdO7ZoqkC0/edit#gid=884617569"",""S2 Totals!$A$2:$O$255""),2,FALSE)"),2.0)</f>
        <v>2</v>
      </c>
      <c r="E35" s="15">
        <f>IFERROR(__xludf.DUMMYFUNCTION("VLOOKUP(A35,IMPORTRANGE(""1QZ5UxyNCwadreQAXnQ7oCoH982DjIA-QnZdO7ZoqkC0/edit#gid=884617569"",""S2 Totals!$A$2:$O$255""),3,FALSE)"),0.15384615384615385)</f>
        <v>0.1538461538</v>
      </c>
      <c r="F35" s="15">
        <f t="shared" si="1"/>
        <v>-0.06293706294</v>
      </c>
      <c r="G35" s="16">
        <f>IFERROR(__xludf.DUMMYFUNCTION("VLOOKUP(A35,IMPORTRANGE(""1QZ5UxyNCwadreQAXnQ7oCoH982DjIA-QnZdO7ZoqkC0/edit#gid=884617569"",""S2 Totals!$A$2:$O$255""),4,FALSE)"),2.0)</f>
        <v>2</v>
      </c>
      <c r="H35" s="15">
        <f>IFERROR(__xludf.DUMMYFUNCTION("VLOOKUP(A35,IMPORTRANGE(""1QZ5UxyNCwadreQAXnQ7oCoH982DjIA-QnZdO7ZoqkC0/edit#gid=884617569"",""S2 Totals!$A$2:$O$255""),5,FALSE)"),0.16666666666666666)</f>
        <v>0.1666666667</v>
      </c>
      <c r="I35" s="15">
        <f t="shared" si="2"/>
        <v>-0.07575757576</v>
      </c>
      <c r="J35" s="16">
        <f>IFERROR(__xludf.DUMMYFUNCTION("VLOOKUP(A35,IMPORTRANGE(""1QZ5UxyNCwadreQAXnQ7oCoH982DjIA-QnZdO7ZoqkC0/edit#gid=884617569"",""S2 Totals!$A$2:$O$255""),7,FALSE)"),2.0)</f>
        <v>2</v>
      </c>
      <c r="K35" s="15">
        <f>IFERROR(__xludf.DUMMYFUNCTION("VLOOKUP(A35,IMPORTRANGE(""1QZ5UxyNCwadreQAXnQ7oCoH982DjIA-QnZdO7ZoqkC0/edit#gid=884617569"",""S2 Totals!$A$2:$O$255""),8,FALSE)"),0.16666666666666666)</f>
        <v>0.1666666667</v>
      </c>
      <c r="L35" s="110">
        <f t="shared" si="3"/>
        <v>-0.07575757576</v>
      </c>
      <c r="M35" s="16">
        <f>IFERROR(__xludf.DUMMYFUNCTION("VLOOKUP(A35,IMPORTRANGE(""1QZ5UxyNCwadreQAXnQ7oCoH982DjIA-QnZdO7ZoqkC0/edit#gid=884617569"",""S2 Totals!$A$2:$O$255""),10,FALSE)"),2.0)</f>
        <v>2</v>
      </c>
      <c r="N35" s="15">
        <f>IFERROR(__xludf.DUMMYFUNCTION("VLOOKUP(A35,IMPORTRANGE(""1QZ5UxyNCwadreQAXnQ7oCoH982DjIA-QnZdO7ZoqkC0/edit#gid=884617569"",""S2 Totals!$A$2:$O$255""),11,FALSE)"),0.15384615384615385)</f>
        <v>0.1538461538</v>
      </c>
      <c r="O35" s="110">
        <f t="shared" si="4"/>
        <v>-0.06293706294</v>
      </c>
      <c r="P35" s="16" t="str">
        <f>IFERROR(__xludf.DUMMYFUNCTION("VLOOKUP(A35,IMPORTRANGE(""1QZ5UxyNCwadreQAXnQ7oCoH982DjIA-QnZdO7ZoqkC0/edit#gid=884617569"",""S2 Totals!$A$2:$O$255""),13,FALSE)"),"")</f>
        <v/>
      </c>
      <c r="Q35" s="15" t="str">
        <f>IFERROR(__xludf.DUMMYFUNCTION("VLOOKUP(A35,IMPORTRANGE(""1QZ5UxyNCwadreQAXnQ7oCoH982DjIA-QnZdO7ZoqkC0/edit#gid=884617569"",""S2 Totals!$A$2:$O$255""),14,FALSE)"),"")</f>
        <v/>
      </c>
      <c r="R35" s="129">
        <f t="shared" si="5"/>
        <v>0.09090909091</v>
      </c>
    </row>
    <row r="36">
      <c r="A36" s="128" t="s">
        <v>33</v>
      </c>
      <c r="B36" s="16">
        <f>IFERROR(__xludf.DUMMYFUNCTION("VLOOKUP(A36,IMPORTRANGE(""1aFCnJY1qhIj8-JckJhDJ18aqmVo17tofpQmOjcYa3u8/edit#gid=1878241338"",""S2 Totals!$A$2:$O$255""),2,FALSE)"),9.0)</f>
        <v>9</v>
      </c>
      <c r="C36" s="15">
        <f>IFERROR(__xludf.DUMMYFUNCTION("VLOOKUP(A36,IMPORTRANGE(""1aFCnJY1qhIj8-JckJhDJ18aqmVo17tofpQmOjcYa3u8/edit#gid=1878241338"",""S2 Totals!$A$2:$O$255""),3,FALSE)"),0.8181818181818182)</f>
        <v>0.8181818182</v>
      </c>
      <c r="D36" s="16">
        <f>IFERROR(__xludf.DUMMYFUNCTION("VLOOKUP(A36,IMPORTRANGE(""1QZ5UxyNCwadreQAXnQ7oCoH982DjIA-QnZdO7ZoqkC0/edit#gid=884617569"",""S2 Totals!$A$2:$O$255""),2,FALSE)"),8.0)</f>
        <v>8</v>
      </c>
      <c r="E36" s="15">
        <f>IFERROR(__xludf.DUMMYFUNCTION("VLOOKUP(A36,IMPORTRANGE(""1QZ5UxyNCwadreQAXnQ7oCoH982DjIA-QnZdO7ZoqkC0/edit#gid=884617569"",""S2 Totals!$A$2:$O$255""),3,FALSE)"),0.6153846153846154)</f>
        <v>0.6153846154</v>
      </c>
      <c r="F36" s="15">
        <f t="shared" si="1"/>
        <v>0.2027972028</v>
      </c>
      <c r="G36" s="16">
        <f>IFERROR(__xludf.DUMMYFUNCTION("VLOOKUP(A36,IMPORTRANGE(""1QZ5UxyNCwadreQAXnQ7oCoH982DjIA-QnZdO7ZoqkC0/edit#gid=884617569"",""S2 Totals!$A$2:$O$255""),4,FALSE)"),6.0)</f>
        <v>6</v>
      </c>
      <c r="H36" s="15">
        <f>IFERROR(__xludf.DUMMYFUNCTION("VLOOKUP(A36,IMPORTRANGE(""1QZ5UxyNCwadreQAXnQ7oCoH982DjIA-QnZdO7ZoqkC0/edit#gid=884617569"",""S2 Totals!$A$2:$O$255""),5,FALSE)"),0.5)</f>
        <v>0.5</v>
      </c>
      <c r="I36" s="15">
        <f t="shared" si="2"/>
        <v>0.3181818182</v>
      </c>
      <c r="J36" s="16">
        <f>IFERROR(__xludf.DUMMYFUNCTION("VLOOKUP(A36,IMPORTRANGE(""1QZ5UxyNCwadreQAXnQ7oCoH982DjIA-QnZdO7ZoqkC0/edit#gid=884617569"",""S2 Totals!$A$2:$O$255""),7,FALSE)"),8.0)</f>
        <v>8</v>
      </c>
      <c r="K36" s="15">
        <f>IFERROR(__xludf.DUMMYFUNCTION("VLOOKUP(A36,IMPORTRANGE(""1QZ5UxyNCwadreQAXnQ7oCoH982DjIA-QnZdO7ZoqkC0/edit#gid=884617569"",""S2 Totals!$A$2:$O$255""),8,FALSE)"),0.6666666666666666)</f>
        <v>0.6666666667</v>
      </c>
      <c r="L36" s="110">
        <f t="shared" si="3"/>
        <v>0.1515151515</v>
      </c>
      <c r="M36" s="16">
        <f>IFERROR(__xludf.DUMMYFUNCTION("VLOOKUP(A36,IMPORTRANGE(""1QZ5UxyNCwadreQAXnQ7oCoH982DjIA-QnZdO7ZoqkC0/edit#gid=884617569"",""S2 Totals!$A$2:$O$255""),10,FALSE)"),10.0)</f>
        <v>10</v>
      </c>
      <c r="N36" s="15">
        <f>IFERROR(__xludf.DUMMYFUNCTION("VLOOKUP(A36,IMPORTRANGE(""1QZ5UxyNCwadreQAXnQ7oCoH982DjIA-QnZdO7ZoqkC0/edit#gid=884617569"",""S2 Totals!$A$2:$O$255""),11,FALSE)"),0.7692307692307693)</f>
        <v>0.7692307692</v>
      </c>
      <c r="O36" s="110">
        <f t="shared" si="4"/>
        <v>0.04895104895</v>
      </c>
      <c r="P36" s="16">
        <f>IFERROR(__xludf.DUMMYFUNCTION("VLOOKUP(A36,IMPORTRANGE(""1QZ5UxyNCwadreQAXnQ7oCoH982DjIA-QnZdO7ZoqkC0/edit#gid=884617569"",""S2 Totals!$A$2:$O$255""),13,FALSE)"),7.0)</f>
        <v>7</v>
      </c>
      <c r="Q36" s="15">
        <f>IFERROR(__xludf.DUMMYFUNCTION("VLOOKUP(A36,IMPORTRANGE(""1QZ5UxyNCwadreQAXnQ7oCoH982DjIA-QnZdO7ZoqkC0/edit#gid=884617569"",""S2 Totals!$A$2:$O$255""),14,FALSE)"),0.5833333333333334)</f>
        <v>0.5833333333</v>
      </c>
      <c r="R36" s="129">
        <f t="shared" si="5"/>
        <v>0.2348484848</v>
      </c>
    </row>
    <row r="37">
      <c r="A37" s="128" t="s">
        <v>106</v>
      </c>
      <c r="B37" s="16">
        <f>IFERROR(__xludf.DUMMYFUNCTION("VLOOKUP(A37,IMPORTRANGE(""1aFCnJY1qhIj8-JckJhDJ18aqmVo17tofpQmOjcYa3u8/edit#gid=1878241338"",""S2 Totals!$A$2:$O$255""),2,FALSE)"),3.0)</f>
        <v>3</v>
      </c>
      <c r="C37" s="15">
        <f>IFERROR(__xludf.DUMMYFUNCTION("VLOOKUP(A37,IMPORTRANGE(""1aFCnJY1qhIj8-JckJhDJ18aqmVo17tofpQmOjcYa3u8/edit#gid=1878241338"",""S2 Totals!$A$2:$O$255""),3,FALSE)"),0.2727272727272727)</f>
        <v>0.2727272727</v>
      </c>
      <c r="D37" s="16">
        <f>IFERROR(__xludf.DUMMYFUNCTION("VLOOKUP(A37,IMPORTRANGE(""1QZ5UxyNCwadreQAXnQ7oCoH982DjIA-QnZdO7ZoqkC0/edit#gid=884617569"",""S2 Totals!$A$2:$O$255""),2,FALSE)"),4.0)</f>
        <v>4</v>
      </c>
      <c r="E37" s="15">
        <f>IFERROR(__xludf.DUMMYFUNCTION("VLOOKUP(A37,IMPORTRANGE(""1QZ5UxyNCwadreQAXnQ7oCoH982DjIA-QnZdO7ZoqkC0/edit#gid=884617569"",""S2 Totals!$A$2:$O$255""),3,FALSE)"),0.3076923076923077)</f>
        <v>0.3076923077</v>
      </c>
      <c r="F37" s="15">
        <f t="shared" si="1"/>
        <v>-0.03496503497</v>
      </c>
      <c r="G37" s="16">
        <f>IFERROR(__xludf.DUMMYFUNCTION("VLOOKUP(A37,IMPORTRANGE(""1QZ5UxyNCwadreQAXnQ7oCoH982DjIA-QnZdO7ZoqkC0/edit#gid=884617569"",""S2 Totals!$A$2:$O$255""),4,FALSE)"),2.0)</f>
        <v>2</v>
      </c>
      <c r="H37" s="15">
        <f>IFERROR(__xludf.DUMMYFUNCTION("VLOOKUP(A37,IMPORTRANGE(""1QZ5UxyNCwadreQAXnQ7oCoH982DjIA-QnZdO7ZoqkC0/edit#gid=884617569"",""S2 Totals!$A$2:$O$255""),5,FALSE)"),0.16666666666666666)</f>
        <v>0.1666666667</v>
      </c>
      <c r="I37" s="15">
        <f t="shared" si="2"/>
        <v>0.1060606061</v>
      </c>
      <c r="J37" s="16">
        <f>IFERROR(__xludf.DUMMYFUNCTION("VLOOKUP(A37,IMPORTRANGE(""1QZ5UxyNCwadreQAXnQ7oCoH982DjIA-QnZdO7ZoqkC0/edit#gid=884617569"",""S2 Totals!$A$2:$O$255""),7,FALSE)"),2.0)</f>
        <v>2</v>
      </c>
      <c r="K37" s="15">
        <f>IFERROR(__xludf.DUMMYFUNCTION("VLOOKUP(A37,IMPORTRANGE(""1QZ5UxyNCwadreQAXnQ7oCoH982DjIA-QnZdO7ZoqkC0/edit#gid=884617569"",""S2 Totals!$A$2:$O$255""),8,FALSE)"),0.16666666666666666)</f>
        <v>0.1666666667</v>
      </c>
      <c r="L37" s="110">
        <f t="shared" si="3"/>
        <v>0.1060606061</v>
      </c>
      <c r="M37" s="16">
        <f>IFERROR(__xludf.DUMMYFUNCTION("VLOOKUP(A37,IMPORTRANGE(""1QZ5UxyNCwadreQAXnQ7oCoH982DjIA-QnZdO7ZoqkC0/edit#gid=884617569"",""S2 Totals!$A$2:$O$255""),10,FALSE)"),6.0)</f>
        <v>6</v>
      </c>
      <c r="N37" s="15">
        <f>IFERROR(__xludf.DUMMYFUNCTION("VLOOKUP(A37,IMPORTRANGE(""1QZ5UxyNCwadreQAXnQ7oCoH982DjIA-QnZdO7ZoqkC0/edit#gid=884617569"",""S2 Totals!$A$2:$O$255""),11,FALSE)"),0.46153846153846156)</f>
        <v>0.4615384615</v>
      </c>
      <c r="O37" s="110">
        <f t="shared" si="4"/>
        <v>-0.1888111888</v>
      </c>
      <c r="P37" s="16">
        <f>IFERROR(__xludf.DUMMYFUNCTION("VLOOKUP(A37,IMPORTRANGE(""1QZ5UxyNCwadreQAXnQ7oCoH982DjIA-QnZdO7ZoqkC0/edit#gid=884617569"",""S2 Totals!$A$2:$O$255""),13,FALSE)"),1.0)</f>
        <v>1</v>
      </c>
      <c r="Q37" s="15">
        <f>IFERROR(__xludf.DUMMYFUNCTION("VLOOKUP(A37,IMPORTRANGE(""1QZ5UxyNCwadreQAXnQ7oCoH982DjIA-QnZdO7ZoqkC0/edit#gid=884617569"",""S2 Totals!$A$2:$O$255""),14,FALSE)"),0.08333333333333333)</f>
        <v>0.08333333333</v>
      </c>
      <c r="R37" s="129">
        <f t="shared" si="5"/>
        <v>0.1893939394</v>
      </c>
    </row>
    <row r="38">
      <c r="A38" s="128" t="s">
        <v>35</v>
      </c>
      <c r="B38" s="16">
        <f>IFERROR(__xludf.DUMMYFUNCTION("VLOOKUP(A38,IMPORTRANGE(""1aFCnJY1qhIj8-JckJhDJ18aqmVo17tofpQmOjcYa3u8/edit#gid=1878241338"",""S2 Totals!$A$2:$O$255""),2,FALSE)"),8.0)</f>
        <v>8</v>
      </c>
      <c r="C38" s="15">
        <f>IFERROR(__xludf.DUMMYFUNCTION("VLOOKUP(A38,IMPORTRANGE(""1aFCnJY1qhIj8-JckJhDJ18aqmVo17tofpQmOjcYa3u8/edit#gid=1878241338"",""S2 Totals!$A$2:$O$255""),3,FALSE)"),0.7272727272727273)</f>
        <v>0.7272727273</v>
      </c>
      <c r="D38" s="16">
        <f>IFERROR(__xludf.DUMMYFUNCTION("VLOOKUP(A38,IMPORTRANGE(""1QZ5UxyNCwadreQAXnQ7oCoH982DjIA-QnZdO7ZoqkC0/edit#gid=884617569"",""S2 Totals!$A$2:$O$255""),2,FALSE)"),10.0)</f>
        <v>10</v>
      </c>
      <c r="E38" s="15">
        <f>IFERROR(__xludf.DUMMYFUNCTION("VLOOKUP(A38,IMPORTRANGE(""1QZ5UxyNCwadreQAXnQ7oCoH982DjIA-QnZdO7ZoqkC0/edit#gid=884617569"",""S2 Totals!$A$2:$O$255""),3,FALSE)"),0.7692307692307693)</f>
        <v>0.7692307692</v>
      </c>
      <c r="F38" s="15">
        <f t="shared" si="1"/>
        <v>-0.04195804196</v>
      </c>
      <c r="G38" s="16">
        <f>IFERROR(__xludf.DUMMYFUNCTION("VLOOKUP(A38,IMPORTRANGE(""1QZ5UxyNCwadreQAXnQ7oCoH982DjIA-QnZdO7ZoqkC0/edit#gid=884617569"",""S2 Totals!$A$2:$O$255""),4,FALSE)"),12.0)</f>
        <v>12</v>
      </c>
      <c r="H38" s="15">
        <f>IFERROR(__xludf.DUMMYFUNCTION("VLOOKUP(A38,IMPORTRANGE(""1QZ5UxyNCwadreQAXnQ7oCoH982DjIA-QnZdO7ZoqkC0/edit#gid=884617569"",""S2 Totals!$A$2:$O$255""),5,FALSE)"),1.0)</f>
        <v>1</v>
      </c>
      <c r="I38" s="15">
        <f t="shared" si="2"/>
        <v>-0.2727272727</v>
      </c>
      <c r="J38" s="16">
        <f>IFERROR(__xludf.DUMMYFUNCTION("VLOOKUP(A38,IMPORTRANGE(""1QZ5UxyNCwadreQAXnQ7oCoH982DjIA-QnZdO7ZoqkC0/edit#gid=884617569"",""S2 Totals!$A$2:$O$255""),7,FALSE)"),10.0)</f>
        <v>10</v>
      </c>
      <c r="K38" s="15">
        <f>IFERROR(__xludf.DUMMYFUNCTION("VLOOKUP(A38,IMPORTRANGE(""1QZ5UxyNCwadreQAXnQ7oCoH982DjIA-QnZdO7ZoqkC0/edit#gid=884617569"",""S2 Totals!$A$2:$O$255""),8,FALSE)"),0.8333333333333334)</f>
        <v>0.8333333333</v>
      </c>
      <c r="L38" s="110">
        <f t="shared" si="3"/>
        <v>-0.1060606061</v>
      </c>
      <c r="M38" s="16">
        <f>IFERROR(__xludf.DUMMYFUNCTION("VLOOKUP(A38,IMPORTRANGE(""1QZ5UxyNCwadreQAXnQ7oCoH982DjIA-QnZdO7ZoqkC0/edit#gid=884617569"",""S2 Totals!$A$2:$O$255""),10,FALSE)"),13.0)</f>
        <v>13</v>
      </c>
      <c r="N38" s="15">
        <f>IFERROR(__xludf.DUMMYFUNCTION("VLOOKUP(A38,IMPORTRANGE(""1QZ5UxyNCwadreQAXnQ7oCoH982DjIA-QnZdO7ZoqkC0/edit#gid=884617569"",""S2 Totals!$A$2:$O$255""),11,FALSE)"),1.0)</f>
        <v>1</v>
      </c>
      <c r="O38" s="110">
        <f t="shared" si="4"/>
        <v>-0.2727272727</v>
      </c>
      <c r="P38" s="16">
        <f>IFERROR(__xludf.DUMMYFUNCTION("VLOOKUP(A38,IMPORTRANGE(""1QZ5UxyNCwadreQAXnQ7oCoH982DjIA-QnZdO7ZoqkC0/edit#gid=884617569"",""S2 Totals!$A$2:$O$255""),13,FALSE)"),9.0)</f>
        <v>9</v>
      </c>
      <c r="Q38" s="15">
        <f>IFERROR(__xludf.DUMMYFUNCTION("VLOOKUP(A38,IMPORTRANGE(""1QZ5UxyNCwadreQAXnQ7oCoH982DjIA-QnZdO7ZoqkC0/edit#gid=884617569"",""S2 Totals!$A$2:$O$255""),14,FALSE)"),0.75)</f>
        <v>0.75</v>
      </c>
      <c r="R38" s="129">
        <f t="shared" si="5"/>
        <v>-0.02272727273</v>
      </c>
    </row>
    <row r="39">
      <c r="A39" s="128" t="s">
        <v>36</v>
      </c>
      <c r="B39" s="16">
        <f>IFERROR(__xludf.DUMMYFUNCTION("VLOOKUP(A39,IMPORTRANGE(""1aFCnJY1qhIj8-JckJhDJ18aqmVo17tofpQmOjcYa3u8/edit#gid=1878241338"",""S2 Totals!$A$2:$O$255""),2,FALSE)"),6.0)</f>
        <v>6</v>
      </c>
      <c r="C39" s="15">
        <f>IFERROR(__xludf.DUMMYFUNCTION("VLOOKUP(A39,IMPORTRANGE(""1aFCnJY1qhIj8-JckJhDJ18aqmVo17tofpQmOjcYa3u8/edit#gid=1878241338"",""S2 Totals!$A$2:$O$255""),3,FALSE)"),0.5454545454545454)</f>
        <v>0.5454545455</v>
      </c>
      <c r="D39" s="16">
        <f>IFERROR(__xludf.DUMMYFUNCTION("VLOOKUP(A39,IMPORTRANGE(""1QZ5UxyNCwadreQAXnQ7oCoH982DjIA-QnZdO7ZoqkC0/edit#gid=884617569"",""S2 Totals!$A$2:$O$255""),2,FALSE)"),6.0)</f>
        <v>6</v>
      </c>
      <c r="E39" s="15">
        <f>IFERROR(__xludf.DUMMYFUNCTION("VLOOKUP(A39,IMPORTRANGE(""1QZ5UxyNCwadreQAXnQ7oCoH982DjIA-QnZdO7ZoqkC0/edit#gid=884617569"",""S2 Totals!$A$2:$O$255""),3,FALSE)"),0.46153846153846156)</f>
        <v>0.4615384615</v>
      </c>
      <c r="F39" s="15">
        <f t="shared" si="1"/>
        <v>0.08391608392</v>
      </c>
      <c r="G39" s="16">
        <f>IFERROR(__xludf.DUMMYFUNCTION("VLOOKUP(A39,IMPORTRANGE(""1QZ5UxyNCwadreQAXnQ7oCoH982DjIA-QnZdO7ZoqkC0/edit#gid=884617569"",""S2 Totals!$A$2:$O$255""),4,FALSE)"),6.0)</f>
        <v>6</v>
      </c>
      <c r="H39" s="15">
        <f>IFERROR(__xludf.DUMMYFUNCTION("VLOOKUP(A39,IMPORTRANGE(""1QZ5UxyNCwadreQAXnQ7oCoH982DjIA-QnZdO7ZoqkC0/edit#gid=884617569"",""S2 Totals!$A$2:$O$255""),5,FALSE)"),0.5)</f>
        <v>0.5</v>
      </c>
      <c r="I39" s="15">
        <f t="shared" si="2"/>
        <v>0.04545454545</v>
      </c>
      <c r="J39" s="16">
        <f>IFERROR(__xludf.DUMMYFUNCTION("VLOOKUP(A39,IMPORTRANGE(""1QZ5UxyNCwadreQAXnQ7oCoH982DjIA-QnZdO7ZoqkC0/edit#gid=884617569"",""S2 Totals!$A$2:$O$255""),7,FALSE)"),6.0)</f>
        <v>6</v>
      </c>
      <c r="K39" s="15">
        <f>IFERROR(__xludf.DUMMYFUNCTION("VLOOKUP(A39,IMPORTRANGE(""1QZ5UxyNCwadreQAXnQ7oCoH982DjIA-QnZdO7ZoqkC0/edit#gid=884617569"",""S2 Totals!$A$2:$O$255""),8,FALSE)"),0.5)</f>
        <v>0.5</v>
      </c>
      <c r="L39" s="110">
        <f t="shared" si="3"/>
        <v>0.04545454545</v>
      </c>
      <c r="M39" s="16">
        <f>IFERROR(__xludf.DUMMYFUNCTION("VLOOKUP(A39,IMPORTRANGE(""1QZ5UxyNCwadreQAXnQ7oCoH982DjIA-QnZdO7ZoqkC0/edit#gid=884617569"",""S2 Totals!$A$2:$O$255""),10,FALSE)"),8.0)</f>
        <v>8</v>
      </c>
      <c r="N39" s="15">
        <f>IFERROR(__xludf.DUMMYFUNCTION("VLOOKUP(A39,IMPORTRANGE(""1QZ5UxyNCwadreQAXnQ7oCoH982DjIA-QnZdO7ZoqkC0/edit#gid=884617569"",""S2 Totals!$A$2:$O$255""),11,FALSE)"),0.6153846153846154)</f>
        <v>0.6153846154</v>
      </c>
      <c r="O39" s="110">
        <f t="shared" si="4"/>
        <v>-0.06993006993</v>
      </c>
      <c r="P39" s="16">
        <f>IFERROR(__xludf.DUMMYFUNCTION("VLOOKUP(A39,IMPORTRANGE(""1QZ5UxyNCwadreQAXnQ7oCoH982DjIA-QnZdO7ZoqkC0/edit#gid=884617569"",""S2 Totals!$A$2:$O$255""),13,FALSE)"),8.0)</f>
        <v>8</v>
      </c>
      <c r="Q39" s="15">
        <f>IFERROR(__xludf.DUMMYFUNCTION("VLOOKUP(A39,IMPORTRANGE(""1QZ5UxyNCwadreQAXnQ7oCoH982DjIA-QnZdO7ZoqkC0/edit#gid=884617569"",""S2 Totals!$A$2:$O$255""),14,FALSE)"),0.6666666666666666)</f>
        <v>0.6666666667</v>
      </c>
      <c r="R39" s="129">
        <f t="shared" si="5"/>
        <v>-0.1212121212</v>
      </c>
    </row>
    <row r="40">
      <c r="A40" s="128" t="s">
        <v>37</v>
      </c>
      <c r="B40" s="16">
        <f>IFERROR(__xludf.DUMMYFUNCTION("VLOOKUP(A40,IMPORTRANGE(""1aFCnJY1qhIj8-JckJhDJ18aqmVo17tofpQmOjcYa3u8/edit#gid=1878241338"",""S2 Totals!$A$2:$O$255""),2,FALSE)"),7.0)</f>
        <v>7</v>
      </c>
      <c r="C40" s="15">
        <f>IFERROR(__xludf.DUMMYFUNCTION("VLOOKUP(A40,IMPORTRANGE(""1aFCnJY1qhIj8-JckJhDJ18aqmVo17tofpQmOjcYa3u8/edit#gid=1878241338"",""S2 Totals!$A$2:$O$255""),3,FALSE)"),0.6363636363636364)</f>
        <v>0.6363636364</v>
      </c>
      <c r="D40" s="16">
        <f>IFERROR(__xludf.DUMMYFUNCTION("VLOOKUP(A40,IMPORTRANGE(""1QZ5UxyNCwadreQAXnQ7oCoH982DjIA-QnZdO7ZoqkC0/edit#gid=884617569"",""S2 Totals!$A$2:$O$255""),2,FALSE)"),4.0)</f>
        <v>4</v>
      </c>
      <c r="E40" s="15">
        <f>IFERROR(__xludf.DUMMYFUNCTION("VLOOKUP(A40,IMPORTRANGE(""1QZ5UxyNCwadreQAXnQ7oCoH982DjIA-QnZdO7ZoqkC0/edit#gid=884617569"",""S2 Totals!$A$2:$O$255""),3,FALSE)"),0.3076923076923077)</f>
        <v>0.3076923077</v>
      </c>
      <c r="F40" s="15">
        <f t="shared" si="1"/>
        <v>0.3286713287</v>
      </c>
      <c r="G40" s="16">
        <f>IFERROR(__xludf.DUMMYFUNCTION("VLOOKUP(A40,IMPORTRANGE(""1QZ5UxyNCwadreQAXnQ7oCoH982DjIA-QnZdO7ZoqkC0/edit#gid=884617569"",""S2 Totals!$A$2:$O$255""),4,FALSE)"),2.0)</f>
        <v>2</v>
      </c>
      <c r="H40" s="15">
        <f>IFERROR(__xludf.DUMMYFUNCTION("VLOOKUP(A40,IMPORTRANGE(""1QZ5UxyNCwadreQAXnQ7oCoH982DjIA-QnZdO7ZoqkC0/edit#gid=884617569"",""S2 Totals!$A$2:$O$255""),5,FALSE)"),0.16666666666666666)</f>
        <v>0.1666666667</v>
      </c>
      <c r="I40" s="15">
        <f t="shared" si="2"/>
        <v>0.4696969697</v>
      </c>
      <c r="J40" s="16">
        <f>IFERROR(__xludf.DUMMYFUNCTION("VLOOKUP(A40,IMPORTRANGE(""1QZ5UxyNCwadreQAXnQ7oCoH982DjIA-QnZdO7ZoqkC0/edit#gid=884617569"",""S2 Totals!$A$2:$O$255""),7,FALSE)"),2.0)</f>
        <v>2</v>
      </c>
      <c r="K40" s="15">
        <f>IFERROR(__xludf.DUMMYFUNCTION("VLOOKUP(A40,IMPORTRANGE(""1QZ5UxyNCwadreQAXnQ7oCoH982DjIA-QnZdO7ZoqkC0/edit#gid=884617569"",""S2 Totals!$A$2:$O$255""),8,FALSE)"),0.16666666666666666)</f>
        <v>0.1666666667</v>
      </c>
      <c r="L40" s="110">
        <f t="shared" si="3"/>
        <v>0.4696969697</v>
      </c>
      <c r="M40" s="16">
        <f>IFERROR(__xludf.DUMMYFUNCTION("VLOOKUP(A40,IMPORTRANGE(""1QZ5UxyNCwadreQAXnQ7oCoH982DjIA-QnZdO7ZoqkC0/edit#gid=884617569"",""S2 Totals!$A$2:$O$255""),10,FALSE)"),2.0)</f>
        <v>2</v>
      </c>
      <c r="N40" s="15">
        <f>IFERROR(__xludf.DUMMYFUNCTION("VLOOKUP(A40,IMPORTRANGE(""1QZ5UxyNCwadreQAXnQ7oCoH982DjIA-QnZdO7ZoqkC0/edit#gid=884617569"",""S2 Totals!$A$2:$O$255""),11,FALSE)"),0.15384615384615385)</f>
        <v>0.1538461538</v>
      </c>
      <c r="O40" s="110">
        <f t="shared" si="4"/>
        <v>0.4825174825</v>
      </c>
      <c r="P40" s="16">
        <f>IFERROR(__xludf.DUMMYFUNCTION("VLOOKUP(A40,IMPORTRANGE(""1QZ5UxyNCwadreQAXnQ7oCoH982DjIA-QnZdO7ZoqkC0/edit#gid=884617569"",""S2 Totals!$A$2:$O$255""),13,FALSE)"),4.0)</f>
        <v>4</v>
      </c>
      <c r="Q40" s="15">
        <f>IFERROR(__xludf.DUMMYFUNCTION("VLOOKUP(A40,IMPORTRANGE(""1QZ5UxyNCwadreQAXnQ7oCoH982DjIA-QnZdO7ZoqkC0/edit#gid=884617569"",""S2 Totals!$A$2:$O$255""),14,FALSE)"),0.3333333333333333)</f>
        <v>0.3333333333</v>
      </c>
      <c r="R40" s="129">
        <f t="shared" si="5"/>
        <v>0.303030303</v>
      </c>
    </row>
    <row r="41">
      <c r="A41" s="128" t="s">
        <v>219</v>
      </c>
      <c r="B41" s="16">
        <f>IFERROR(__xludf.DUMMYFUNCTION("VLOOKUP(A41,IMPORTRANGE(""1aFCnJY1qhIj8-JckJhDJ18aqmVo17tofpQmOjcYa3u8/edit#gid=1878241338"",""S2 Totals!$A$2:$O$255""),2,FALSE)"),1.0)</f>
        <v>1</v>
      </c>
      <c r="C41" s="15">
        <f>IFERROR(__xludf.DUMMYFUNCTION("VLOOKUP(A41,IMPORTRANGE(""1aFCnJY1qhIj8-JckJhDJ18aqmVo17tofpQmOjcYa3u8/edit#gid=1878241338"",""S2 Totals!$A$2:$O$255""),3,FALSE)"),0.09090909090909091)</f>
        <v>0.09090909091</v>
      </c>
      <c r="D41" s="16">
        <f>IFERROR(__xludf.DUMMYFUNCTION("VLOOKUP(A41,IMPORTRANGE(""1QZ5UxyNCwadreQAXnQ7oCoH982DjIA-QnZdO7ZoqkC0/edit#gid=884617569"",""S2 Totals!$A$2:$O$255""),2,FALSE)"),0.0)</f>
        <v>0</v>
      </c>
      <c r="E41" s="15">
        <f>IFERROR(__xludf.DUMMYFUNCTION("VLOOKUP(A41,IMPORTRANGE(""1QZ5UxyNCwadreQAXnQ7oCoH982DjIA-QnZdO7ZoqkC0/edit#gid=884617569"",""S2 Totals!$A$2:$O$255""),3,FALSE)"),0.0)</f>
        <v>0</v>
      </c>
      <c r="F41" s="15">
        <f t="shared" si="1"/>
        <v>0.09090909091</v>
      </c>
      <c r="G41" s="16">
        <f>IFERROR(__xludf.DUMMYFUNCTION("VLOOKUP(A41,IMPORTRANGE(""1QZ5UxyNCwadreQAXnQ7oCoH982DjIA-QnZdO7ZoqkC0/edit#gid=884617569"",""S2 Totals!$A$2:$O$255""),4,FALSE)"),0.0)</f>
        <v>0</v>
      </c>
      <c r="H41" s="15">
        <f>IFERROR(__xludf.DUMMYFUNCTION("VLOOKUP(A41,IMPORTRANGE(""1QZ5UxyNCwadreQAXnQ7oCoH982DjIA-QnZdO7ZoqkC0/edit#gid=884617569"",""S2 Totals!$A$2:$O$255""),5,FALSE)"),0.0)</f>
        <v>0</v>
      </c>
      <c r="I41" s="15">
        <f t="shared" si="2"/>
        <v>0.09090909091</v>
      </c>
      <c r="J41" s="16" t="str">
        <f>IFERROR(__xludf.DUMMYFUNCTION("VLOOKUP(A41,IMPORTRANGE(""1QZ5UxyNCwadreQAXnQ7oCoH982DjIA-QnZdO7ZoqkC0/edit#gid=884617569"",""S2 Totals!$A$2:$O$255""),7,FALSE)"),"")</f>
        <v/>
      </c>
      <c r="K41" s="15" t="str">
        <f>IFERROR(__xludf.DUMMYFUNCTION("VLOOKUP(A41,IMPORTRANGE(""1QZ5UxyNCwadreQAXnQ7oCoH982DjIA-QnZdO7ZoqkC0/edit#gid=884617569"",""S2 Totals!$A$2:$O$255""),8,FALSE)"),"")</f>
        <v/>
      </c>
      <c r="L41" s="110">
        <f t="shared" si="3"/>
        <v>0.09090909091</v>
      </c>
      <c r="M41" s="16" t="str">
        <f>IFERROR(__xludf.DUMMYFUNCTION("VLOOKUP(A41,IMPORTRANGE(""1QZ5UxyNCwadreQAXnQ7oCoH982DjIA-QnZdO7ZoqkC0/edit#gid=884617569"",""S2 Totals!$A$2:$O$255""),10,FALSE)"),"")</f>
        <v/>
      </c>
      <c r="N41" s="15" t="str">
        <f>IFERROR(__xludf.DUMMYFUNCTION("VLOOKUP(A41,IMPORTRANGE(""1QZ5UxyNCwadreQAXnQ7oCoH982DjIA-QnZdO7ZoqkC0/edit#gid=884617569"",""S2 Totals!$A$2:$O$255""),11,FALSE)"),"")</f>
        <v/>
      </c>
      <c r="O41" s="110">
        <f t="shared" si="4"/>
        <v>0.09090909091</v>
      </c>
      <c r="P41" s="16" t="str">
        <f>IFERROR(__xludf.DUMMYFUNCTION("VLOOKUP(A41,IMPORTRANGE(""1QZ5UxyNCwadreQAXnQ7oCoH982DjIA-QnZdO7ZoqkC0/edit#gid=884617569"",""S2 Totals!$A$2:$O$255""),13,FALSE)"),"")</f>
        <v/>
      </c>
      <c r="Q41" s="15" t="str">
        <f>IFERROR(__xludf.DUMMYFUNCTION("VLOOKUP(A41,IMPORTRANGE(""1QZ5UxyNCwadreQAXnQ7oCoH982DjIA-QnZdO7ZoqkC0/edit#gid=884617569"",""S2 Totals!$A$2:$O$255""),14,FALSE)"),"")</f>
        <v/>
      </c>
      <c r="R41" s="129">
        <f t="shared" si="5"/>
        <v>0.09090909091</v>
      </c>
    </row>
    <row r="42">
      <c r="A42" s="128" t="s">
        <v>220</v>
      </c>
      <c r="B42" s="16">
        <f>IFERROR(__xludf.DUMMYFUNCTION("VLOOKUP(A42,IMPORTRANGE(""1aFCnJY1qhIj8-JckJhDJ18aqmVo17tofpQmOjcYa3u8/edit#gid=1878241338"",""S2 Totals!$A$2:$O$255""),2,FALSE)"),1.0)</f>
        <v>1</v>
      </c>
      <c r="C42" s="15">
        <f>IFERROR(__xludf.DUMMYFUNCTION("VLOOKUP(A42,IMPORTRANGE(""1aFCnJY1qhIj8-JckJhDJ18aqmVo17tofpQmOjcYa3u8/edit#gid=1878241338"",""S2 Totals!$A$2:$O$255""),3,FALSE)"),0.09090909090909091)</f>
        <v>0.09090909091</v>
      </c>
      <c r="D42" s="16">
        <f>IFERROR(__xludf.DUMMYFUNCTION("VLOOKUP(A42,IMPORTRANGE(""1QZ5UxyNCwadreQAXnQ7oCoH982DjIA-QnZdO7ZoqkC0/edit#gid=884617569"",""S2 Totals!$A$2:$O$255""),2,FALSE)"),2.0)</f>
        <v>2</v>
      </c>
      <c r="E42" s="15">
        <f>IFERROR(__xludf.DUMMYFUNCTION("VLOOKUP(A42,IMPORTRANGE(""1QZ5UxyNCwadreQAXnQ7oCoH982DjIA-QnZdO7ZoqkC0/edit#gid=884617569"",""S2 Totals!$A$2:$O$255""),3,FALSE)"),0.15384615384615385)</f>
        <v>0.1538461538</v>
      </c>
      <c r="F42" s="15">
        <f t="shared" si="1"/>
        <v>-0.06293706294</v>
      </c>
      <c r="G42" s="16">
        <f>IFERROR(__xludf.DUMMYFUNCTION("VLOOKUP(A42,IMPORTRANGE(""1QZ5UxyNCwadreQAXnQ7oCoH982DjIA-QnZdO7ZoqkC0/edit#gid=884617569"",""S2 Totals!$A$2:$O$255""),4,FALSE)"),2.0)</f>
        <v>2</v>
      </c>
      <c r="H42" s="15">
        <f>IFERROR(__xludf.DUMMYFUNCTION("VLOOKUP(A42,IMPORTRANGE(""1QZ5UxyNCwadreQAXnQ7oCoH982DjIA-QnZdO7ZoqkC0/edit#gid=884617569"",""S2 Totals!$A$2:$O$255""),5,FALSE)"),0.16666666666666666)</f>
        <v>0.1666666667</v>
      </c>
      <c r="I42" s="15">
        <f t="shared" si="2"/>
        <v>-0.07575757576</v>
      </c>
      <c r="J42" s="16" t="str">
        <f>IFERROR(__xludf.DUMMYFUNCTION("VLOOKUP(A42,IMPORTRANGE(""1QZ5UxyNCwadreQAXnQ7oCoH982DjIA-QnZdO7ZoqkC0/edit#gid=884617569"",""S2 Totals!$A$2:$O$255""),7,FALSE)"),"")</f>
        <v/>
      </c>
      <c r="K42" s="15" t="str">
        <f>IFERROR(__xludf.DUMMYFUNCTION("VLOOKUP(A42,IMPORTRANGE(""1QZ5UxyNCwadreQAXnQ7oCoH982DjIA-QnZdO7ZoqkC0/edit#gid=884617569"",""S2 Totals!$A$2:$O$255""),8,FALSE)"),"")</f>
        <v/>
      </c>
      <c r="L42" s="110">
        <f t="shared" si="3"/>
        <v>0.09090909091</v>
      </c>
      <c r="M42" s="16" t="str">
        <f>IFERROR(__xludf.DUMMYFUNCTION("VLOOKUP(A42,IMPORTRANGE(""1QZ5UxyNCwadreQAXnQ7oCoH982DjIA-QnZdO7ZoqkC0/edit#gid=884617569"",""S2 Totals!$A$2:$O$255""),10,FALSE)"),"")</f>
        <v/>
      </c>
      <c r="N42" s="15" t="str">
        <f>IFERROR(__xludf.DUMMYFUNCTION("VLOOKUP(A42,IMPORTRANGE(""1QZ5UxyNCwadreQAXnQ7oCoH982DjIA-QnZdO7ZoqkC0/edit#gid=884617569"",""S2 Totals!$A$2:$O$255""),11,FALSE)"),"")</f>
        <v/>
      </c>
      <c r="O42" s="110">
        <f t="shared" si="4"/>
        <v>0.09090909091</v>
      </c>
      <c r="P42" s="16" t="str">
        <f>IFERROR(__xludf.DUMMYFUNCTION("VLOOKUP(A42,IMPORTRANGE(""1QZ5UxyNCwadreQAXnQ7oCoH982DjIA-QnZdO7ZoqkC0/edit#gid=884617569"",""S2 Totals!$A$2:$O$255""),13,FALSE)"),"")</f>
        <v/>
      </c>
      <c r="Q42" s="15" t="str">
        <f>IFERROR(__xludf.DUMMYFUNCTION("VLOOKUP(A42,IMPORTRANGE(""1QZ5UxyNCwadreQAXnQ7oCoH982DjIA-QnZdO7ZoqkC0/edit#gid=884617569"",""S2 Totals!$A$2:$O$255""),14,FALSE)"),"")</f>
        <v/>
      </c>
      <c r="R42" s="129">
        <f t="shared" si="5"/>
        <v>0.09090909091</v>
      </c>
    </row>
    <row r="43">
      <c r="A43" s="128" t="s">
        <v>117</v>
      </c>
      <c r="B43" s="16">
        <f>IFERROR(__xludf.DUMMYFUNCTION("VLOOKUP(A43,IMPORTRANGE(""1aFCnJY1qhIj8-JckJhDJ18aqmVo17tofpQmOjcYa3u8/edit#gid=1878241338"",""S2 Totals!$A$2:$O$255""),2,FALSE)"),2.0)</f>
        <v>2</v>
      </c>
      <c r="C43" s="15">
        <f>IFERROR(__xludf.DUMMYFUNCTION("VLOOKUP(A43,IMPORTRANGE(""1aFCnJY1qhIj8-JckJhDJ18aqmVo17tofpQmOjcYa3u8/edit#gid=1878241338"",""S2 Totals!$A$2:$O$255""),3,FALSE)"),0.18181818181818182)</f>
        <v>0.1818181818</v>
      </c>
      <c r="D43" s="16">
        <f>IFERROR(__xludf.DUMMYFUNCTION("VLOOKUP(A43,IMPORTRANGE(""1QZ5UxyNCwadreQAXnQ7oCoH982DjIA-QnZdO7ZoqkC0/edit#gid=884617569"",""S2 Totals!$A$2:$O$255""),2,FALSE)"),2.0)</f>
        <v>2</v>
      </c>
      <c r="E43" s="15">
        <f>IFERROR(__xludf.DUMMYFUNCTION("VLOOKUP(A43,IMPORTRANGE(""1QZ5UxyNCwadreQAXnQ7oCoH982DjIA-QnZdO7ZoqkC0/edit#gid=884617569"",""S2 Totals!$A$2:$O$255""),3,FALSE)"),0.15384615384615385)</f>
        <v>0.1538461538</v>
      </c>
      <c r="F43" s="15">
        <f t="shared" si="1"/>
        <v>0.02797202797</v>
      </c>
      <c r="G43" s="16">
        <f>IFERROR(__xludf.DUMMYFUNCTION("VLOOKUP(A43,IMPORTRANGE(""1QZ5UxyNCwadreQAXnQ7oCoH982DjIA-QnZdO7ZoqkC0/edit#gid=884617569"",""S2 Totals!$A$2:$O$255""),4,FALSE)"),2.0)</f>
        <v>2</v>
      </c>
      <c r="H43" s="15">
        <f>IFERROR(__xludf.DUMMYFUNCTION("VLOOKUP(A43,IMPORTRANGE(""1QZ5UxyNCwadreQAXnQ7oCoH982DjIA-QnZdO7ZoqkC0/edit#gid=884617569"",""S2 Totals!$A$2:$O$255""),5,FALSE)"),0.16666666666666666)</f>
        <v>0.1666666667</v>
      </c>
      <c r="I43" s="15">
        <f t="shared" si="2"/>
        <v>0.01515151515</v>
      </c>
      <c r="J43" s="16">
        <f>IFERROR(__xludf.DUMMYFUNCTION("VLOOKUP(A43,IMPORTRANGE(""1QZ5UxyNCwadreQAXnQ7oCoH982DjIA-QnZdO7ZoqkC0/edit#gid=884617569"",""S2 Totals!$A$2:$O$255""),7,FALSE)"),2.0)</f>
        <v>2</v>
      </c>
      <c r="K43" s="15">
        <f>IFERROR(__xludf.DUMMYFUNCTION("VLOOKUP(A43,IMPORTRANGE(""1QZ5UxyNCwadreQAXnQ7oCoH982DjIA-QnZdO7ZoqkC0/edit#gid=884617569"",""S2 Totals!$A$2:$O$255""),8,FALSE)"),0.16666666666666666)</f>
        <v>0.1666666667</v>
      </c>
      <c r="L43" s="110">
        <f t="shared" si="3"/>
        <v>0.01515151515</v>
      </c>
      <c r="M43" s="16">
        <f>IFERROR(__xludf.DUMMYFUNCTION("VLOOKUP(A43,IMPORTRANGE(""1QZ5UxyNCwadreQAXnQ7oCoH982DjIA-QnZdO7ZoqkC0/edit#gid=884617569"",""S2 Totals!$A$2:$O$255""),10,FALSE)"),2.0)</f>
        <v>2</v>
      </c>
      <c r="N43" s="15">
        <f>IFERROR(__xludf.DUMMYFUNCTION("VLOOKUP(A43,IMPORTRANGE(""1QZ5UxyNCwadreQAXnQ7oCoH982DjIA-QnZdO7ZoqkC0/edit#gid=884617569"",""S2 Totals!$A$2:$O$255""),11,FALSE)"),0.15384615384615385)</f>
        <v>0.1538461538</v>
      </c>
      <c r="O43" s="110">
        <f t="shared" si="4"/>
        <v>0.02797202797</v>
      </c>
      <c r="P43" s="16" t="str">
        <f>IFERROR(__xludf.DUMMYFUNCTION("VLOOKUP(A43,IMPORTRANGE(""1QZ5UxyNCwadreQAXnQ7oCoH982DjIA-QnZdO7ZoqkC0/edit#gid=884617569"",""S2 Totals!$A$2:$O$255""),13,FALSE)"),"")</f>
        <v/>
      </c>
      <c r="Q43" s="15" t="str">
        <f>IFERROR(__xludf.DUMMYFUNCTION("VLOOKUP(A43,IMPORTRANGE(""1QZ5UxyNCwadreQAXnQ7oCoH982DjIA-QnZdO7ZoqkC0/edit#gid=884617569"",""S2 Totals!$A$2:$O$255""),14,FALSE)"),"")</f>
        <v/>
      </c>
      <c r="R43" s="129">
        <f t="shared" si="5"/>
        <v>0.1818181818</v>
      </c>
    </row>
    <row r="44">
      <c r="A44" s="132" t="s">
        <v>168</v>
      </c>
      <c r="B44" s="16">
        <f>IFERROR(__xludf.DUMMYFUNCTION("VLOOKUP(A44,IMPORTRANGE(""1aFCnJY1qhIj8-JckJhDJ18aqmVo17tofpQmOjcYa3u8/edit#gid=1878241338"",""S2 Totals!$A$2:$O$255""),2,FALSE)"),0.0)</f>
        <v>0</v>
      </c>
      <c r="C44" s="15">
        <f>IFERROR(__xludf.DUMMYFUNCTION("VLOOKUP(A44,IMPORTRANGE(""1aFCnJY1qhIj8-JckJhDJ18aqmVo17tofpQmOjcYa3u8/edit#gid=1878241338"",""S2 Totals!$A$2:$O$255""),3,FALSE)"),0.0)</f>
        <v>0</v>
      </c>
      <c r="D44" s="16">
        <f>IFERROR(__xludf.DUMMYFUNCTION("VLOOKUP(A44,IMPORTRANGE(""1QZ5UxyNCwadreQAXnQ7oCoH982DjIA-QnZdO7ZoqkC0/edit#gid=884617569"",""S2 Totals!$A$2:$O$255""),2,FALSE)"),1.0)</f>
        <v>1</v>
      </c>
      <c r="E44" s="15">
        <f>IFERROR(__xludf.DUMMYFUNCTION("VLOOKUP(A44,IMPORTRANGE(""1QZ5UxyNCwadreQAXnQ7oCoH982DjIA-QnZdO7ZoqkC0/edit#gid=884617569"",""S2 Totals!$A$2:$O$255""),3,FALSE)"),0.07692307692307693)</f>
        <v>0.07692307692</v>
      </c>
      <c r="F44" s="15">
        <f t="shared" si="1"/>
        <v>-0.07692307692</v>
      </c>
      <c r="G44" s="16">
        <f>IFERROR(__xludf.DUMMYFUNCTION("VLOOKUP(A44,IMPORTRANGE(""1QZ5UxyNCwadreQAXnQ7oCoH982DjIA-QnZdO7ZoqkC0/edit#gid=884617569"",""S2 Totals!$A$2:$O$255""),4,FALSE)"),1.0)</f>
        <v>1</v>
      </c>
      <c r="H44" s="15">
        <f>IFERROR(__xludf.DUMMYFUNCTION("VLOOKUP(A44,IMPORTRANGE(""1QZ5UxyNCwadreQAXnQ7oCoH982DjIA-QnZdO7ZoqkC0/edit#gid=884617569"",""S2 Totals!$A$2:$O$255""),5,FALSE)"),0.08333333333333333)</f>
        <v>0.08333333333</v>
      </c>
      <c r="I44" s="15">
        <f t="shared" si="2"/>
        <v>-0.08333333333</v>
      </c>
      <c r="J44" s="16">
        <f>IFERROR(__xludf.DUMMYFUNCTION("VLOOKUP(A44,IMPORTRANGE(""1QZ5UxyNCwadreQAXnQ7oCoH982DjIA-QnZdO7ZoqkC0/edit#gid=884617569"",""S2 Totals!$A$2:$O$255""),7,FALSE)"),1.0)</f>
        <v>1</v>
      </c>
      <c r="K44" s="15">
        <f>IFERROR(__xludf.DUMMYFUNCTION("VLOOKUP(A44,IMPORTRANGE(""1QZ5UxyNCwadreQAXnQ7oCoH982DjIA-QnZdO7ZoqkC0/edit#gid=884617569"",""S2 Totals!$A$2:$O$255""),8,FALSE)"),0.08333333333333333)</f>
        <v>0.08333333333</v>
      </c>
      <c r="L44" s="110">
        <f t="shared" si="3"/>
        <v>-0.08333333333</v>
      </c>
      <c r="M44" s="16" t="str">
        <f>IFERROR(__xludf.DUMMYFUNCTION("VLOOKUP(A44,IMPORTRANGE(""1QZ5UxyNCwadreQAXnQ7oCoH982DjIA-QnZdO7ZoqkC0/edit#gid=884617569"",""S2 Totals!$A$2:$O$255""),10,FALSE)"),"")</f>
        <v/>
      </c>
      <c r="N44" s="15" t="str">
        <f>IFERROR(__xludf.DUMMYFUNCTION("VLOOKUP(A44,IMPORTRANGE(""1QZ5UxyNCwadreQAXnQ7oCoH982DjIA-QnZdO7ZoqkC0/edit#gid=884617569"",""S2 Totals!$A$2:$O$255""),11,FALSE)"),"")</f>
        <v/>
      </c>
      <c r="O44" s="110">
        <f t="shared" si="4"/>
        <v>0</v>
      </c>
      <c r="P44" s="16" t="str">
        <f>IFERROR(__xludf.DUMMYFUNCTION("VLOOKUP(A44,IMPORTRANGE(""1QZ5UxyNCwadreQAXnQ7oCoH982DjIA-QnZdO7ZoqkC0/edit#gid=884617569"",""S2 Totals!$A$2:$O$255""),13,FALSE)"),"")</f>
        <v/>
      </c>
      <c r="Q44" s="15" t="str">
        <f>IFERROR(__xludf.DUMMYFUNCTION("VLOOKUP(A44,IMPORTRANGE(""1QZ5UxyNCwadreQAXnQ7oCoH982DjIA-QnZdO7ZoqkC0/edit#gid=884617569"",""S2 Totals!$A$2:$O$255""),14,FALSE)"),"")</f>
        <v/>
      </c>
      <c r="R44" s="129">
        <f t="shared" si="5"/>
        <v>0</v>
      </c>
    </row>
    <row r="45">
      <c r="A45" s="128" t="s">
        <v>169</v>
      </c>
      <c r="B45" s="16">
        <f>IFERROR(__xludf.DUMMYFUNCTION("VLOOKUP(A45,IMPORTRANGE(""1aFCnJY1qhIj8-JckJhDJ18aqmVo17tofpQmOjcYa3u8/edit#gid=1878241338"",""S2 Totals!$A$2:$O$255""),2,FALSE)"),8.0)</f>
        <v>8</v>
      </c>
      <c r="C45" s="15">
        <f>IFERROR(__xludf.DUMMYFUNCTION("VLOOKUP(A45,IMPORTRANGE(""1aFCnJY1qhIj8-JckJhDJ18aqmVo17tofpQmOjcYa3u8/edit#gid=1878241338"",""S2 Totals!$A$2:$O$255""),3,FALSE)"),0.7272727272727273)</f>
        <v>0.7272727273</v>
      </c>
      <c r="D45" s="16">
        <f>IFERROR(__xludf.DUMMYFUNCTION("VLOOKUP(A45,IMPORTRANGE(""1QZ5UxyNCwadreQAXnQ7oCoH982DjIA-QnZdO7ZoqkC0/edit#gid=884617569"",""S2 Totals!$A$2:$O$255""),2,FALSE)"),6.0)</f>
        <v>6</v>
      </c>
      <c r="E45" s="15">
        <f>IFERROR(__xludf.DUMMYFUNCTION("VLOOKUP(A45,IMPORTRANGE(""1QZ5UxyNCwadreQAXnQ7oCoH982DjIA-QnZdO7ZoqkC0/edit#gid=884617569"",""S2 Totals!$A$2:$O$255""),3,FALSE)"),0.46153846153846156)</f>
        <v>0.4615384615</v>
      </c>
      <c r="F45" s="15">
        <f t="shared" si="1"/>
        <v>0.2657342657</v>
      </c>
      <c r="G45" s="16">
        <f>IFERROR(__xludf.DUMMYFUNCTION("VLOOKUP(A45,IMPORTRANGE(""1QZ5UxyNCwadreQAXnQ7oCoH982DjIA-QnZdO7ZoqkC0/edit#gid=884617569"",""S2 Totals!$A$2:$O$255""),4,FALSE)"),2.0)</f>
        <v>2</v>
      </c>
      <c r="H45" s="15">
        <f>IFERROR(__xludf.DUMMYFUNCTION("VLOOKUP(A45,IMPORTRANGE(""1QZ5UxyNCwadreQAXnQ7oCoH982DjIA-QnZdO7ZoqkC0/edit#gid=884617569"",""S2 Totals!$A$2:$O$255""),5,FALSE)"),0.16666666666666666)</f>
        <v>0.1666666667</v>
      </c>
      <c r="I45" s="15">
        <f t="shared" si="2"/>
        <v>0.5606060606</v>
      </c>
      <c r="J45" s="16">
        <f>IFERROR(__xludf.DUMMYFUNCTION("VLOOKUP(A45,IMPORTRANGE(""1QZ5UxyNCwadreQAXnQ7oCoH982DjIA-QnZdO7ZoqkC0/edit#gid=884617569"",""S2 Totals!$A$2:$O$255""),7,FALSE)"),2.0)</f>
        <v>2</v>
      </c>
      <c r="K45" s="15">
        <f>IFERROR(__xludf.DUMMYFUNCTION("VLOOKUP(A45,IMPORTRANGE(""1QZ5UxyNCwadreQAXnQ7oCoH982DjIA-QnZdO7ZoqkC0/edit#gid=884617569"",""S2 Totals!$A$2:$O$255""),8,FALSE)"),0.16666666666666666)</f>
        <v>0.1666666667</v>
      </c>
      <c r="L45" s="110">
        <f t="shared" si="3"/>
        <v>0.5606060606</v>
      </c>
      <c r="M45" s="16" t="str">
        <f>IFERROR(__xludf.DUMMYFUNCTION("VLOOKUP(A45,IMPORTRANGE(""1QZ5UxyNCwadreQAXnQ7oCoH982DjIA-QnZdO7ZoqkC0/edit#gid=884617569"",""S2 Totals!$A$2:$O$255""),10,FALSE)"),"")</f>
        <v/>
      </c>
      <c r="N45" s="15" t="str">
        <f>IFERROR(__xludf.DUMMYFUNCTION("VLOOKUP(A45,IMPORTRANGE(""1QZ5UxyNCwadreQAXnQ7oCoH982DjIA-QnZdO7ZoqkC0/edit#gid=884617569"",""S2 Totals!$A$2:$O$255""),11,FALSE)"),"")</f>
        <v/>
      </c>
      <c r="O45" s="110">
        <f t="shared" si="4"/>
        <v>0.7272727273</v>
      </c>
      <c r="P45" s="16" t="str">
        <f>IFERROR(__xludf.DUMMYFUNCTION("VLOOKUP(A45,IMPORTRANGE(""1QZ5UxyNCwadreQAXnQ7oCoH982DjIA-QnZdO7ZoqkC0/edit#gid=884617569"",""S2 Totals!$A$2:$O$255""),13,FALSE)"),"")</f>
        <v/>
      </c>
      <c r="Q45" s="15" t="str">
        <f>IFERROR(__xludf.DUMMYFUNCTION("VLOOKUP(A45,IMPORTRANGE(""1QZ5UxyNCwadreQAXnQ7oCoH982DjIA-QnZdO7ZoqkC0/edit#gid=884617569"",""S2 Totals!$A$2:$O$255""),14,FALSE)"),"")</f>
        <v/>
      </c>
      <c r="R45" s="129">
        <f t="shared" si="5"/>
        <v>0.7272727273</v>
      </c>
    </row>
    <row r="46">
      <c r="A46" s="128" t="s">
        <v>263</v>
      </c>
      <c r="B46" s="16">
        <f>IFERROR(__xludf.DUMMYFUNCTION("VLOOKUP(A46,IMPORTRANGE(""1aFCnJY1qhIj8-JckJhDJ18aqmVo17tofpQmOjcYa3u8/edit#gid=1878241338"",""S2 Totals!$A$2:$O$255""),2,FALSE)"),2.0)</f>
        <v>2</v>
      </c>
      <c r="C46" s="15">
        <f>IFERROR(__xludf.DUMMYFUNCTION("VLOOKUP(A46,IMPORTRANGE(""1aFCnJY1qhIj8-JckJhDJ18aqmVo17tofpQmOjcYa3u8/edit#gid=1878241338"",""S2 Totals!$A$2:$O$255""),3,FALSE)"),0.18181818181818182)</f>
        <v>0.1818181818</v>
      </c>
      <c r="D46" s="16" t="str">
        <f>IFERROR(__xludf.DUMMYFUNCTION("VLOOKUP(A46,IMPORTRANGE(""1QZ5UxyNCwadreQAXnQ7oCoH982DjIA-QnZdO7ZoqkC0/edit#gid=884617569"",""S2 Totals!$A$2:$O$255""),2,FALSE)"),"#N/A")</f>
        <v>#N/A</v>
      </c>
      <c r="E46" s="15" t="str">
        <f>IFERROR(__xludf.DUMMYFUNCTION("VLOOKUP(A46,IMPORTRANGE(""1QZ5UxyNCwadreQAXnQ7oCoH982DjIA-QnZdO7ZoqkC0/edit#gid=884617569"",""S2 Totals!$A$2:$O$255""),3,FALSE)"),"#N/A")</f>
        <v>#N/A</v>
      </c>
      <c r="F46" s="16" t="str">
        <f t="shared" si="1"/>
        <v>#N/A</v>
      </c>
      <c r="G46" s="16" t="str">
        <f>IFERROR(__xludf.DUMMYFUNCTION("VLOOKUP(A46,IMPORTRANGE(""1QZ5UxyNCwadreQAXnQ7oCoH982DjIA-QnZdO7ZoqkC0/edit#gid=884617569"",""S2 Totals!$A$2:$O$255""),4,FALSE)"),"#N/A")</f>
        <v>#N/A</v>
      </c>
      <c r="H46" s="15" t="str">
        <f>IFERROR(__xludf.DUMMYFUNCTION("VLOOKUP(A46,IMPORTRANGE(""1QZ5UxyNCwadreQAXnQ7oCoH982DjIA-QnZdO7ZoqkC0/edit#gid=884617569"",""S2 Totals!$A$2:$O$255""),5,FALSE)"),"#N/A")</f>
        <v>#N/A</v>
      </c>
      <c r="I46" s="16" t="str">
        <f t="shared" si="2"/>
        <v>#N/A</v>
      </c>
      <c r="J46" s="16" t="str">
        <f>IFERROR(__xludf.DUMMYFUNCTION("VLOOKUP(A46,IMPORTRANGE(""1QZ5UxyNCwadreQAXnQ7oCoH982DjIA-QnZdO7ZoqkC0/edit#gid=884617569"",""S2 Totals!$A$2:$O$255""),7,FALSE)"),"#N/A")</f>
        <v>#N/A</v>
      </c>
      <c r="K46" s="15" t="str">
        <f>IFERROR(__xludf.DUMMYFUNCTION("VLOOKUP(A46,IMPORTRANGE(""1QZ5UxyNCwadreQAXnQ7oCoH982DjIA-QnZdO7ZoqkC0/edit#gid=884617569"",""S2 Totals!$A$2:$O$255""),8,FALSE)"),"#N/A")</f>
        <v>#N/A</v>
      </c>
      <c r="L46" s="110" t="str">
        <f t="shared" si="3"/>
        <v>#N/A</v>
      </c>
      <c r="M46" s="16" t="str">
        <f>IFERROR(__xludf.DUMMYFUNCTION("VLOOKUP(A46,IMPORTRANGE(""1QZ5UxyNCwadreQAXnQ7oCoH982DjIA-QnZdO7ZoqkC0/edit#gid=884617569"",""S2 Totals!$A$2:$O$255""),10,FALSE)"),"#N/A")</f>
        <v>#N/A</v>
      </c>
      <c r="N46" s="15" t="str">
        <f>IFERROR(__xludf.DUMMYFUNCTION("VLOOKUP(A46,IMPORTRANGE(""1QZ5UxyNCwadreQAXnQ7oCoH982DjIA-QnZdO7ZoqkC0/edit#gid=884617569"",""S2 Totals!$A$2:$O$255""),11,FALSE)"),"#N/A")</f>
        <v>#N/A</v>
      </c>
      <c r="O46" s="110" t="str">
        <f t="shared" si="4"/>
        <v>#N/A</v>
      </c>
      <c r="P46" s="16" t="str">
        <f>IFERROR(__xludf.DUMMYFUNCTION("VLOOKUP(A46,IMPORTRANGE(""1QZ5UxyNCwadreQAXnQ7oCoH982DjIA-QnZdO7ZoqkC0/edit#gid=884617569"",""S2 Totals!$A$2:$O$255""),13,FALSE)"),"#N/A")</f>
        <v>#N/A</v>
      </c>
      <c r="Q46" s="15" t="str">
        <f>IFERROR(__xludf.DUMMYFUNCTION("VLOOKUP(A46,IMPORTRANGE(""1QZ5UxyNCwadreQAXnQ7oCoH982DjIA-QnZdO7ZoqkC0/edit#gid=884617569"",""S2 Totals!$A$2:$O$255""),14,FALSE)"),"#N/A")</f>
        <v>#N/A</v>
      </c>
      <c r="R46" s="129" t="str">
        <f t="shared" si="5"/>
        <v>#N/A</v>
      </c>
    </row>
    <row r="47">
      <c r="A47" s="128" t="s">
        <v>170</v>
      </c>
      <c r="B47" s="16">
        <f>IFERROR(__xludf.DUMMYFUNCTION("VLOOKUP(A47,IMPORTRANGE(""1aFCnJY1qhIj8-JckJhDJ18aqmVo17tofpQmOjcYa3u8/edit#gid=1878241338"",""S2 Totals!$A$2:$O$255""),2,FALSE)"),7.0)</f>
        <v>7</v>
      </c>
      <c r="C47" s="15">
        <f>IFERROR(__xludf.DUMMYFUNCTION("VLOOKUP(A47,IMPORTRANGE(""1aFCnJY1qhIj8-JckJhDJ18aqmVo17tofpQmOjcYa3u8/edit#gid=1878241338"",""S2 Totals!$A$2:$O$255""),3,FALSE)"),0.6363636363636364)</f>
        <v>0.6363636364</v>
      </c>
      <c r="D47" s="16">
        <f>IFERROR(__xludf.DUMMYFUNCTION("VLOOKUP(A47,IMPORTRANGE(""1QZ5UxyNCwadreQAXnQ7oCoH982DjIA-QnZdO7ZoqkC0/edit#gid=884617569"",""S2 Totals!$A$2:$O$255""),2,FALSE)"),10.0)</f>
        <v>10</v>
      </c>
      <c r="E47" s="15">
        <f>IFERROR(__xludf.DUMMYFUNCTION("VLOOKUP(A47,IMPORTRANGE(""1QZ5UxyNCwadreQAXnQ7oCoH982DjIA-QnZdO7ZoqkC0/edit#gid=884617569"",""S2 Totals!$A$2:$O$255""),3,FALSE)"),0.7692307692307693)</f>
        <v>0.7692307692</v>
      </c>
      <c r="F47" s="15">
        <f t="shared" si="1"/>
        <v>-0.1328671329</v>
      </c>
      <c r="G47" s="16">
        <f>IFERROR(__xludf.DUMMYFUNCTION("VLOOKUP(A47,IMPORTRANGE(""1QZ5UxyNCwadreQAXnQ7oCoH982DjIA-QnZdO7ZoqkC0/edit#gid=884617569"",""S2 Totals!$A$2:$O$255""),4,FALSE)"),8.0)</f>
        <v>8</v>
      </c>
      <c r="H47" s="15">
        <f>IFERROR(__xludf.DUMMYFUNCTION("VLOOKUP(A47,IMPORTRANGE(""1QZ5UxyNCwadreQAXnQ7oCoH982DjIA-QnZdO7ZoqkC0/edit#gid=884617569"",""S2 Totals!$A$2:$O$255""),5,FALSE)"),0.6666666666666666)</f>
        <v>0.6666666667</v>
      </c>
      <c r="I47" s="15">
        <f t="shared" si="2"/>
        <v>-0.0303030303</v>
      </c>
      <c r="J47" s="16">
        <f>IFERROR(__xludf.DUMMYFUNCTION("VLOOKUP(A47,IMPORTRANGE(""1QZ5UxyNCwadreQAXnQ7oCoH982DjIA-QnZdO7ZoqkC0/edit#gid=884617569"",""S2 Totals!$A$2:$O$255""),7,FALSE)"),2.0)</f>
        <v>2</v>
      </c>
      <c r="K47" s="15">
        <f>IFERROR(__xludf.DUMMYFUNCTION("VLOOKUP(A47,IMPORTRANGE(""1QZ5UxyNCwadreQAXnQ7oCoH982DjIA-QnZdO7ZoqkC0/edit#gid=884617569"",""S2 Totals!$A$2:$O$255""),8,FALSE)"),0.16666666666666666)</f>
        <v>0.1666666667</v>
      </c>
      <c r="L47" s="110">
        <f t="shared" si="3"/>
        <v>0.4696969697</v>
      </c>
      <c r="M47" s="16" t="str">
        <f>IFERROR(__xludf.DUMMYFUNCTION("VLOOKUP(A47,IMPORTRANGE(""1QZ5UxyNCwadreQAXnQ7oCoH982DjIA-QnZdO7ZoqkC0/edit#gid=884617569"",""S2 Totals!$A$2:$O$255""),10,FALSE)"),"")</f>
        <v/>
      </c>
      <c r="N47" s="15" t="str">
        <f>IFERROR(__xludf.DUMMYFUNCTION("VLOOKUP(A47,IMPORTRANGE(""1QZ5UxyNCwadreQAXnQ7oCoH982DjIA-QnZdO7ZoqkC0/edit#gid=884617569"",""S2 Totals!$A$2:$O$255""),11,FALSE)"),"")</f>
        <v/>
      </c>
      <c r="O47" s="110">
        <f t="shared" si="4"/>
        <v>0.6363636364</v>
      </c>
      <c r="P47" s="16" t="str">
        <f>IFERROR(__xludf.DUMMYFUNCTION("VLOOKUP(A47,IMPORTRANGE(""1QZ5UxyNCwadreQAXnQ7oCoH982DjIA-QnZdO7ZoqkC0/edit#gid=884617569"",""S2 Totals!$A$2:$O$255""),13,FALSE)"),"")</f>
        <v/>
      </c>
      <c r="Q47" s="15" t="str">
        <f>IFERROR(__xludf.DUMMYFUNCTION("VLOOKUP(A47,IMPORTRANGE(""1QZ5UxyNCwadreQAXnQ7oCoH982DjIA-QnZdO7ZoqkC0/edit#gid=884617569"",""S2 Totals!$A$2:$O$255""),14,FALSE)"),"")</f>
        <v/>
      </c>
      <c r="R47" s="129">
        <f t="shared" si="5"/>
        <v>0.6363636364</v>
      </c>
    </row>
    <row r="48">
      <c r="A48" s="128" t="s">
        <v>221</v>
      </c>
      <c r="B48" s="16">
        <f>IFERROR(__xludf.DUMMYFUNCTION("VLOOKUP(A48,IMPORTRANGE(""1aFCnJY1qhIj8-JckJhDJ18aqmVo17tofpQmOjcYa3u8/edit#gid=1878241338"",""S2 Totals!$A$2:$O$255""),2,FALSE)"),0.0)</f>
        <v>0</v>
      </c>
      <c r="C48" s="15">
        <f>IFERROR(__xludf.DUMMYFUNCTION("VLOOKUP(A48,IMPORTRANGE(""1aFCnJY1qhIj8-JckJhDJ18aqmVo17tofpQmOjcYa3u8/edit#gid=1878241338"",""S2 Totals!$A$2:$O$255""),3,FALSE)"),0.0)</f>
        <v>0</v>
      </c>
      <c r="D48" s="16">
        <f>IFERROR(__xludf.DUMMYFUNCTION("VLOOKUP(A48,IMPORTRANGE(""1QZ5UxyNCwadreQAXnQ7oCoH982DjIA-QnZdO7ZoqkC0/edit#gid=884617569"",""S2 Totals!$A$2:$O$255""),2,FALSE)"),0.0)</f>
        <v>0</v>
      </c>
      <c r="E48" s="15">
        <f>IFERROR(__xludf.DUMMYFUNCTION("VLOOKUP(A48,IMPORTRANGE(""1QZ5UxyNCwadreQAXnQ7oCoH982DjIA-QnZdO7ZoqkC0/edit#gid=884617569"",""S2 Totals!$A$2:$O$255""),3,FALSE)"),0.0)</f>
        <v>0</v>
      </c>
      <c r="F48" s="15">
        <f t="shared" si="1"/>
        <v>0</v>
      </c>
      <c r="G48" s="16">
        <f>IFERROR(__xludf.DUMMYFUNCTION("VLOOKUP(A48,IMPORTRANGE(""1QZ5UxyNCwadreQAXnQ7oCoH982DjIA-QnZdO7ZoqkC0/edit#gid=884617569"",""S2 Totals!$A$2:$O$255""),4,FALSE)"),0.0)</f>
        <v>0</v>
      </c>
      <c r="H48" s="15">
        <f>IFERROR(__xludf.DUMMYFUNCTION("VLOOKUP(A48,IMPORTRANGE(""1QZ5UxyNCwadreQAXnQ7oCoH982DjIA-QnZdO7ZoqkC0/edit#gid=884617569"",""S2 Totals!$A$2:$O$255""),5,FALSE)"),0.0)</f>
        <v>0</v>
      </c>
      <c r="I48" s="15">
        <f t="shared" si="2"/>
        <v>0</v>
      </c>
      <c r="J48" s="16" t="str">
        <f>IFERROR(__xludf.DUMMYFUNCTION("VLOOKUP(A48,IMPORTRANGE(""1QZ5UxyNCwadreQAXnQ7oCoH982DjIA-QnZdO7ZoqkC0/edit#gid=884617569"",""S2 Totals!$A$2:$O$255""),7,FALSE)"),"")</f>
        <v/>
      </c>
      <c r="K48" s="15" t="str">
        <f>IFERROR(__xludf.DUMMYFUNCTION("VLOOKUP(A48,IMPORTRANGE(""1QZ5UxyNCwadreQAXnQ7oCoH982DjIA-QnZdO7ZoqkC0/edit#gid=884617569"",""S2 Totals!$A$2:$O$255""),8,FALSE)"),"")</f>
        <v/>
      </c>
      <c r="L48" s="110">
        <f t="shared" si="3"/>
        <v>0</v>
      </c>
      <c r="M48" s="16" t="str">
        <f>IFERROR(__xludf.DUMMYFUNCTION("VLOOKUP(A48,IMPORTRANGE(""1QZ5UxyNCwadreQAXnQ7oCoH982DjIA-QnZdO7ZoqkC0/edit#gid=884617569"",""S2 Totals!$A$2:$O$255""),10,FALSE)"),"")</f>
        <v/>
      </c>
      <c r="N48" s="15" t="str">
        <f>IFERROR(__xludf.DUMMYFUNCTION("VLOOKUP(A48,IMPORTRANGE(""1QZ5UxyNCwadreQAXnQ7oCoH982DjIA-QnZdO7ZoqkC0/edit#gid=884617569"",""S2 Totals!$A$2:$O$255""),11,FALSE)"),"")</f>
        <v/>
      </c>
      <c r="O48" s="110">
        <f t="shared" si="4"/>
        <v>0</v>
      </c>
      <c r="P48" s="16" t="str">
        <f>IFERROR(__xludf.DUMMYFUNCTION("VLOOKUP(A48,IMPORTRANGE(""1QZ5UxyNCwadreQAXnQ7oCoH982DjIA-QnZdO7ZoqkC0/edit#gid=884617569"",""S2 Totals!$A$2:$O$255""),13,FALSE)"),"")</f>
        <v/>
      </c>
      <c r="Q48" s="15" t="str">
        <f>IFERROR(__xludf.DUMMYFUNCTION("VLOOKUP(A48,IMPORTRANGE(""1QZ5UxyNCwadreQAXnQ7oCoH982DjIA-QnZdO7ZoqkC0/edit#gid=884617569"",""S2 Totals!$A$2:$O$255""),14,FALSE)"),"")</f>
        <v/>
      </c>
      <c r="R48" s="129">
        <f t="shared" si="5"/>
        <v>0</v>
      </c>
    </row>
    <row r="49">
      <c r="A49" s="128" t="s">
        <v>38</v>
      </c>
      <c r="B49" s="16">
        <f>IFERROR(__xludf.DUMMYFUNCTION("VLOOKUP(A49,IMPORTRANGE(""1aFCnJY1qhIj8-JckJhDJ18aqmVo17tofpQmOjcYa3u8/edit#gid=1878241338"",""S2 Totals!$A$2:$O$255""),2,FALSE)"),0.0)</f>
        <v>0</v>
      </c>
      <c r="C49" s="15">
        <f>IFERROR(__xludf.DUMMYFUNCTION("VLOOKUP(A49,IMPORTRANGE(""1aFCnJY1qhIj8-JckJhDJ18aqmVo17tofpQmOjcYa3u8/edit#gid=1878241338"",""S2 Totals!$A$2:$O$255""),3,FALSE)"),0.0)</f>
        <v>0</v>
      </c>
      <c r="D49" s="16">
        <f>IFERROR(__xludf.DUMMYFUNCTION("VLOOKUP(A49,IMPORTRANGE(""1QZ5UxyNCwadreQAXnQ7oCoH982DjIA-QnZdO7ZoqkC0/edit#gid=884617569"",""S2 Totals!$A$2:$O$255""),2,FALSE)"),10.0)</f>
        <v>10</v>
      </c>
      <c r="E49" s="15">
        <f>IFERROR(__xludf.DUMMYFUNCTION("VLOOKUP(A49,IMPORTRANGE(""1QZ5UxyNCwadreQAXnQ7oCoH982DjIA-QnZdO7ZoqkC0/edit#gid=884617569"",""S2 Totals!$A$2:$O$255""),3,FALSE)"),0.7692307692307693)</f>
        <v>0.7692307692</v>
      </c>
      <c r="F49" s="15">
        <f t="shared" si="1"/>
        <v>-0.7692307692</v>
      </c>
      <c r="G49" s="16">
        <f>IFERROR(__xludf.DUMMYFUNCTION("VLOOKUP(A49,IMPORTRANGE(""1QZ5UxyNCwadreQAXnQ7oCoH982DjIA-QnZdO7ZoqkC0/edit#gid=884617569"",""S2 Totals!$A$2:$O$255""),4,FALSE)"),6.0)</f>
        <v>6</v>
      </c>
      <c r="H49" s="15">
        <f>IFERROR(__xludf.DUMMYFUNCTION("VLOOKUP(A49,IMPORTRANGE(""1QZ5UxyNCwadreQAXnQ7oCoH982DjIA-QnZdO7ZoqkC0/edit#gid=884617569"",""S2 Totals!$A$2:$O$255""),5,FALSE)"),0.5)</f>
        <v>0.5</v>
      </c>
      <c r="I49" s="15">
        <f t="shared" si="2"/>
        <v>-0.5</v>
      </c>
      <c r="J49" s="16">
        <f>IFERROR(__xludf.DUMMYFUNCTION("VLOOKUP(A49,IMPORTRANGE(""1QZ5UxyNCwadreQAXnQ7oCoH982DjIA-QnZdO7ZoqkC0/edit#gid=884617569"",""S2 Totals!$A$2:$O$255""),7,FALSE)"),2.0)</f>
        <v>2</v>
      </c>
      <c r="K49" s="15">
        <f>IFERROR(__xludf.DUMMYFUNCTION("VLOOKUP(A49,IMPORTRANGE(""1QZ5UxyNCwadreQAXnQ7oCoH982DjIA-QnZdO7ZoqkC0/edit#gid=884617569"",""S2 Totals!$A$2:$O$255""),8,FALSE)"),0.16666666666666666)</f>
        <v>0.1666666667</v>
      </c>
      <c r="L49" s="110">
        <f t="shared" si="3"/>
        <v>-0.1666666667</v>
      </c>
      <c r="M49" s="16">
        <f>IFERROR(__xludf.DUMMYFUNCTION("VLOOKUP(A49,IMPORTRANGE(""1QZ5UxyNCwadreQAXnQ7oCoH982DjIA-QnZdO7ZoqkC0/edit#gid=884617569"",""S2 Totals!$A$2:$O$255""),10,FALSE)"),4.0)</f>
        <v>4</v>
      </c>
      <c r="N49" s="15">
        <f>IFERROR(__xludf.DUMMYFUNCTION("VLOOKUP(A49,IMPORTRANGE(""1QZ5UxyNCwadreQAXnQ7oCoH982DjIA-QnZdO7ZoqkC0/edit#gid=884617569"",""S2 Totals!$A$2:$O$255""),11,FALSE)"),0.3076923076923077)</f>
        <v>0.3076923077</v>
      </c>
      <c r="O49" s="110">
        <f t="shared" si="4"/>
        <v>-0.3076923077</v>
      </c>
      <c r="P49" s="16">
        <f>IFERROR(__xludf.DUMMYFUNCTION("VLOOKUP(A49,IMPORTRANGE(""1QZ5UxyNCwadreQAXnQ7oCoH982DjIA-QnZdO7ZoqkC0/edit#gid=884617569"",""S2 Totals!$A$2:$O$255""),13,FALSE)"),5.0)</f>
        <v>5</v>
      </c>
      <c r="Q49" s="15">
        <f>IFERROR(__xludf.DUMMYFUNCTION("VLOOKUP(A49,IMPORTRANGE(""1QZ5UxyNCwadreQAXnQ7oCoH982DjIA-QnZdO7ZoqkC0/edit#gid=884617569"",""S2 Totals!$A$2:$O$255""),14,FALSE)"),0.4166666666666667)</f>
        <v>0.4166666667</v>
      </c>
      <c r="R49" s="129">
        <f t="shared" si="5"/>
        <v>-0.4166666667</v>
      </c>
    </row>
    <row r="50">
      <c r="A50" s="128" t="s">
        <v>39</v>
      </c>
      <c r="B50" s="16">
        <f>IFERROR(__xludf.DUMMYFUNCTION("VLOOKUP(A50,IMPORTRANGE(""1aFCnJY1qhIj8-JckJhDJ18aqmVo17tofpQmOjcYa3u8/edit#gid=1878241338"",""S2 Totals!$A$2:$O$255""),2,FALSE)"),2.0)</f>
        <v>2</v>
      </c>
      <c r="C50" s="15">
        <f>IFERROR(__xludf.DUMMYFUNCTION("VLOOKUP(A50,IMPORTRANGE(""1aFCnJY1qhIj8-JckJhDJ18aqmVo17tofpQmOjcYa3u8/edit#gid=1878241338"",""S2 Totals!$A$2:$O$255""),3,FALSE)"),0.18181818181818182)</f>
        <v>0.1818181818</v>
      </c>
      <c r="D50" s="16">
        <f>IFERROR(__xludf.DUMMYFUNCTION("VLOOKUP(A50,IMPORTRANGE(""1QZ5UxyNCwadreQAXnQ7oCoH982DjIA-QnZdO7ZoqkC0/edit#gid=884617569"",""S2 Totals!$A$2:$O$255""),2,FALSE)"),2.0)</f>
        <v>2</v>
      </c>
      <c r="E50" s="15">
        <f>IFERROR(__xludf.DUMMYFUNCTION("VLOOKUP(A50,IMPORTRANGE(""1QZ5UxyNCwadreQAXnQ7oCoH982DjIA-QnZdO7ZoqkC0/edit#gid=884617569"",""S2 Totals!$A$2:$O$255""),3,FALSE)"),0.15384615384615385)</f>
        <v>0.1538461538</v>
      </c>
      <c r="F50" s="15">
        <f t="shared" si="1"/>
        <v>0.02797202797</v>
      </c>
      <c r="G50" s="16">
        <f>IFERROR(__xludf.DUMMYFUNCTION("VLOOKUP(A50,IMPORTRANGE(""1QZ5UxyNCwadreQAXnQ7oCoH982DjIA-QnZdO7ZoqkC0/edit#gid=884617569"",""S2 Totals!$A$2:$O$255""),4,FALSE)"),0.0)</f>
        <v>0</v>
      </c>
      <c r="H50" s="15">
        <f>IFERROR(__xludf.DUMMYFUNCTION("VLOOKUP(A50,IMPORTRANGE(""1QZ5UxyNCwadreQAXnQ7oCoH982DjIA-QnZdO7ZoqkC0/edit#gid=884617569"",""S2 Totals!$A$2:$O$255""),5,FALSE)"),0.0)</f>
        <v>0</v>
      </c>
      <c r="I50" s="15">
        <f t="shared" si="2"/>
        <v>0.1818181818</v>
      </c>
      <c r="J50" s="16">
        <f>IFERROR(__xludf.DUMMYFUNCTION("VLOOKUP(A50,IMPORTRANGE(""1QZ5UxyNCwadreQAXnQ7oCoH982DjIA-QnZdO7ZoqkC0/edit#gid=884617569"",""S2 Totals!$A$2:$O$255""),7,FALSE)"),0.0)</f>
        <v>0</v>
      </c>
      <c r="K50" s="15">
        <f>IFERROR(__xludf.DUMMYFUNCTION("VLOOKUP(A50,IMPORTRANGE(""1QZ5UxyNCwadreQAXnQ7oCoH982DjIA-QnZdO7ZoqkC0/edit#gid=884617569"",""S2 Totals!$A$2:$O$255""),8,FALSE)"),0.0)</f>
        <v>0</v>
      </c>
      <c r="L50" s="110">
        <f t="shared" si="3"/>
        <v>0.1818181818</v>
      </c>
      <c r="M50" s="16">
        <f>IFERROR(__xludf.DUMMYFUNCTION("VLOOKUP(A50,IMPORTRANGE(""1QZ5UxyNCwadreQAXnQ7oCoH982DjIA-QnZdO7ZoqkC0/edit#gid=884617569"",""S2 Totals!$A$2:$O$255""),10,FALSE)"),2.0)</f>
        <v>2</v>
      </c>
      <c r="N50" s="15">
        <f>IFERROR(__xludf.DUMMYFUNCTION("VLOOKUP(A50,IMPORTRANGE(""1QZ5UxyNCwadreQAXnQ7oCoH982DjIA-QnZdO7ZoqkC0/edit#gid=884617569"",""S2 Totals!$A$2:$O$255""),11,FALSE)"),0.15384615384615385)</f>
        <v>0.1538461538</v>
      </c>
      <c r="O50" s="110">
        <f t="shared" si="4"/>
        <v>0.02797202797</v>
      </c>
      <c r="P50" s="16">
        <f>IFERROR(__xludf.DUMMYFUNCTION("VLOOKUP(A50,IMPORTRANGE(""1QZ5UxyNCwadreQAXnQ7oCoH982DjIA-QnZdO7ZoqkC0/edit#gid=884617569"",""S2 Totals!$A$2:$O$255""),13,FALSE)"),2.0)</f>
        <v>2</v>
      </c>
      <c r="Q50" s="15">
        <f>IFERROR(__xludf.DUMMYFUNCTION("VLOOKUP(A50,IMPORTRANGE(""1QZ5UxyNCwadreQAXnQ7oCoH982DjIA-QnZdO7ZoqkC0/edit#gid=884617569"",""S2 Totals!$A$2:$O$255""),14,FALSE)"),0.16666666666666666)</f>
        <v>0.1666666667</v>
      </c>
      <c r="R50" s="129">
        <f t="shared" si="5"/>
        <v>0.01515151515</v>
      </c>
    </row>
    <row r="51">
      <c r="A51" s="128" t="s">
        <v>94</v>
      </c>
      <c r="B51" s="16">
        <f>IFERROR(__xludf.DUMMYFUNCTION("VLOOKUP(A51,IMPORTRANGE(""1aFCnJY1qhIj8-JckJhDJ18aqmVo17tofpQmOjcYa3u8/edit#gid=1878241338"",""S2 Totals!$A$2:$O$255""),2,FALSE)"),2.0)</f>
        <v>2</v>
      </c>
      <c r="C51" s="15">
        <f>IFERROR(__xludf.DUMMYFUNCTION("VLOOKUP(A51,IMPORTRANGE(""1aFCnJY1qhIj8-JckJhDJ18aqmVo17tofpQmOjcYa3u8/edit#gid=1878241338"",""S2 Totals!$A$2:$O$255""),3,FALSE)"),0.18181818181818182)</f>
        <v>0.1818181818</v>
      </c>
      <c r="D51" s="16">
        <f>IFERROR(__xludf.DUMMYFUNCTION("VLOOKUP(A51,IMPORTRANGE(""1QZ5UxyNCwadreQAXnQ7oCoH982DjIA-QnZdO7ZoqkC0/edit#gid=884617569"",""S2 Totals!$A$2:$O$255""),2,FALSE)"),2.0)</f>
        <v>2</v>
      </c>
      <c r="E51" s="15">
        <f>IFERROR(__xludf.DUMMYFUNCTION("VLOOKUP(A51,IMPORTRANGE(""1QZ5UxyNCwadreQAXnQ7oCoH982DjIA-QnZdO7ZoqkC0/edit#gid=884617569"",""S2 Totals!$A$2:$O$255""),3,FALSE)"),0.15384615384615385)</f>
        <v>0.1538461538</v>
      </c>
      <c r="F51" s="15">
        <f t="shared" si="1"/>
        <v>0.02797202797</v>
      </c>
      <c r="G51" s="16">
        <f>IFERROR(__xludf.DUMMYFUNCTION("VLOOKUP(A51,IMPORTRANGE(""1QZ5UxyNCwadreQAXnQ7oCoH982DjIA-QnZdO7ZoqkC0/edit#gid=884617569"",""S2 Totals!$A$2:$O$255""),4,FALSE)"),4.0)</f>
        <v>4</v>
      </c>
      <c r="H51" s="15">
        <f>IFERROR(__xludf.DUMMYFUNCTION("VLOOKUP(A51,IMPORTRANGE(""1QZ5UxyNCwadreQAXnQ7oCoH982DjIA-QnZdO7ZoqkC0/edit#gid=884617569"",""S2 Totals!$A$2:$O$255""),5,FALSE)"),0.3333333333333333)</f>
        <v>0.3333333333</v>
      </c>
      <c r="I51" s="15">
        <f t="shared" si="2"/>
        <v>-0.1515151515</v>
      </c>
      <c r="J51" s="16">
        <f>IFERROR(__xludf.DUMMYFUNCTION("VLOOKUP(A51,IMPORTRANGE(""1QZ5UxyNCwadreQAXnQ7oCoH982DjIA-QnZdO7ZoqkC0/edit#gid=884617569"",""S2 Totals!$A$2:$O$255""),7,FALSE)"),1.0)</f>
        <v>1</v>
      </c>
      <c r="K51" s="15">
        <f>IFERROR(__xludf.DUMMYFUNCTION("VLOOKUP(A51,IMPORTRANGE(""1QZ5UxyNCwadreQAXnQ7oCoH982DjIA-QnZdO7ZoqkC0/edit#gid=884617569"",""S2 Totals!$A$2:$O$255""),8,FALSE)"),0.08333333333333333)</f>
        <v>0.08333333333</v>
      </c>
      <c r="L51" s="110">
        <f t="shared" si="3"/>
        <v>0.09848484848</v>
      </c>
      <c r="M51" s="16">
        <f>IFERROR(__xludf.DUMMYFUNCTION("VLOOKUP(A51,IMPORTRANGE(""1QZ5UxyNCwadreQAXnQ7oCoH982DjIA-QnZdO7ZoqkC0/edit#gid=884617569"",""S2 Totals!$A$2:$O$255""),10,FALSE)"),3.0)</f>
        <v>3</v>
      </c>
      <c r="N51" s="15">
        <f>IFERROR(__xludf.DUMMYFUNCTION("VLOOKUP(A51,IMPORTRANGE(""1QZ5UxyNCwadreQAXnQ7oCoH982DjIA-QnZdO7ZoqkC0/edit#gid=884617569"",""S2 Totals!$A$2:$O$255""),11,FALSE)"),0.23076923076923078)</f>
        <v>0.2307692308</v>
      </c>
      <c r="O51" s="110">
        <f t="shared" si="4"/>
        <v>-0.04895104895</v>
      </c>
      <c r="P51" s="16">
        <f>IFERROR(__xludf.DUMMYFUNCTION("VLOOKUP(A51,IMPORTRANGE(""1QZ5UxyNCwadreQAXnQ7oCoH982DjIA-QnZdO7ZoqkC0/edit#gid=884617569"",""S2 Totals!$A$2:$O$255""),13,FALSE)"),4.0)</f>
        <v>4</v>
      </c>
      <c r="Q51" s="15">
        <f>IFERROR(__xludf.DUMMYFUNCTION("VLOOKUP(A51,IMPORTRANGE(""1QZ5UxyNCwadreQAXnQ7oCoH982DjIA-QnZdO7ZoqkC0/edit#gid=884617569"",""S2 Totals!$A$2:$O$255""),14,FALSE)"),0.3333333333333333)</f>
        <v>0.3333333333</v>
      </c>
      <c r="R51" s="129">
        <f t="shared" si="5"/>
        <v>-0.1515151515</v>
      </c>
    </row>
    <row r="52">
      <c r="A52" s="128" t="s">
        <v>222</v>
      </c>
      <c r="B52" s="16">
        <f>IFERROR(__xludf.DUMMYFUNCTION("VLOOKUP(A52,IMPORTRANGE(""1aFCnJY1qhIj8-JckJhDJ18aqmVo17tofpQmOjcYa3u8/edit#gid=1878241338"",""S2 Totals!$A$2:$O$255""),2,FALSE)"),5.0)</f>
        <v>5</v>
      </c>
      <c r="C52" s="15">
        <f>IFERROR(__xludf.DUMMYFUNCTION("VLOOKUP(A52,IMPORTRANGE(""1aFCnJY1qhIj8-JckJhDJ18aqmVo17tofpQmOjcYa3u8/edit#gid=1878241338"",""S2 Totals!$A$2:$O$255""),3,FALSE)"),0.45454545454545453)</f>
        <v>0.4545454545</v>
      </c>
      <c r="D52" s="16">
        <f>IFERROR(__xludf.DUMMYFUNCTION("VLOOKUP(A52,IMPORTRANGE(""1QZ5UxyNCwadreQAXnQ7oCoH982DjIA-QnZdO7ZoqkC0/edit#gid=884617569"",""S2 Totals!$A$2:$O$255""),2,FALSE)"),8.0)</f>
        <v>8</v>
      </c>
      <c r="E52" s="15">
        <f>IFERROR(__xludf.DUMMYFUNCTION("VLOOKUP(A52,IMPORTRANGE(""1QZ5UxyNCwadreQAXnQ7oCoH982DjIA-QnZdO7ZoqkC0/edit#gid=884617569"",""S2 Totals!$A$2:$O$255""),3,FALSE)"),0.6153846153846154)</f>
        <v>0.6153846154</v>
      </c>
      <c r="F52" s="15">
        <f t="shared" si="1"/>
        <v>-0.1608391608</v>
      </c>
      <c r="G52" s="16">
        <f>IFERROR(__xludf.DUMMYFUNCTION("VLOOKUP(A52,IMPORTRANGE(""1QZ5UxyNCwadreQAXnQ7oCoH982DjIA-QnZdO7ZoqkC0/edit#gid=884617569"",""S2 Totals!$A$2:$O$255""),4,FALSE)"),4.0)</f>
        <v>4</v>
      </c>
      <c r="H52" s="15">
        <f>IFERROR(__xludf.DUMMYFUNCTION("VLOOKUP(A52,IMPORTRANGE(""1QZ5UxyNCwadreQAXnQ7oCoH982DjIA-QnZdO7ZoqkC0/edit#gid=884617569"",""S2 Totals!$A$2:$O$255""),5,FALSE)"),0.3333333333333333)</f>
        <v>0.3333333333</v>
      </c>
      <c r="I52" s="15">
        <f t="shared" si="2"/>
        <v>0.1212121212</v>
      </c>
      <c r="J52" s="16" t="str">
        <f>IFERROR(__xludf.DUMMYFUNCTION("VLOOKUP(A52,IMPORTRANGE(""1QZ5UxyNCwadreQAXnQ7oCoH982DjIA-QnZdO7ZoqkC0/edit#gid=884617569"",""S2 Totals!$A$2:$O$255""),7,FALSE)"),"")</f>
        <v/>
      </c>
      <c r="K52" s="15" t="str">
        <f>IFERROR(__xludf.DUMMYFUNCTION("VLOOKUP(A52,IMPORTRANGE(""1QZ5UxyNCwadreQAXnQ7oCoH982DjIA-QnZdO7ZoqkC0/edit#gid=884617569"",""S2 Totals!$A$2:$O$255""),8,FALSE)"),"")</f>
        <v/>
      </c>
      <c r="L52" s="110">
        <f t="shared" si="3"/>
        <v>0.4545454545</v>
      </c>
      <c r="M52" s="16" t="str">
        <f>IFERROR(__xludf.DUMMYFUNCTION("VLOOKUP(A52,IMPORTRANGE(""1QZ5UxyNCwadreQAXnQ7oCoH982DjIA-QnZdO7ZoqkC0/edit#gid=884617569"",""S2 Totals!$A$2:$O$255""),10,FALSE)"),"")</f>
        <v/>
      </c>
      <c r="N52" s="15" t="str">
        <f>IFERROR(__xludf.DUMMYFUNCTION("VLOOKUP(A52,IMPORTRANGE(""1QZ5UxyNCwadreQAXnQ7oCoH982DjIA-QnZdO7ZoqkC0/edit#gid=884617569"",""S2 Totals!$A$2:$O$255""),11,FALSE)"),"")</f>
        <v/>
      </c>
      <c r="O52" s="110">
        <f t="shared" si="4"/>
        <v>0.4545454545</v>
      </c>
      <c r="P52" s="16" t="str">
        <f>IFERROR(__xludf.DUMMYFUNCTION("VLOOKUP(A52,IMPORTRANGE(""1QZ5UxyNCwadreQAXnQ7oCoH982DjIA-QnZdO7ZoqkC0/edit#gid=884617569"",""S2 Totals!$A$2:$O$255""),13,FALSE)"),"")</f>
        <v/>
      </c>
      <c r="Q52" s="15" t="str">
        <f>IFERROR(__xludf.DUMMYFUNCTION("VLOOKUP(A52,IMPORTRANGE(""1QZ5UxyNCwadreQAXnQ7oCoH982DjIA-QnZdO7ZoqkC0/edit#gid=884617569"",""S2 Totals!$A$2:$O$255""),14,FALSE)"),"")</f>
        <v/>
      </c>
      <c r="R52" s="129">
        <f t="shared" si="5"/>
        <v>0.4545454545</v>
      </c>
    </row>
    <row r="53">
      <c r="A53" s="128" t="s">
        <v>171</v>
      </c>
      <c r="B53" s="16">
        <f>IFERROR(__xludf.DUMMYFUNCTION("VLOOKUP(A53,IMPORTRANGE(""1aFCnJY1qhIj8-JckJhDJ18aqmVo17tofpQmOjcYa3u8/edit#gid=1878241338"",""S2 Totals!$A$2:$O$255""),2,FALSE)"),3.0)</f>
        <v>3</v>
      </c>
      <c r="C53" s="15">
        <f>IFERROR(__xludf.DUMMYFUNCTION("VLOOKUP(A53,IMPORTRANGE(""1aFCnJY1qhIj8-JckJhDJ18aqmVo17tofpQmOjcYa3u8/edit#gid=1878241338"",""S2 Totals!$A$2:$O$255""),3,FALSE)"),0.2727272727272727)</f>
        <v>0.2727272727</v>
      </c>
      <c r="D53" s="16">
        <f>IFERROR(__xludf.DUMMYFUNCTION("VLOOKUP(A53,IMPORTRANGE(""1QZ5UxyNCwadreQAXnQ7oCoH982DjIA-QnZdO7ZoqkC0/edit#gid=884617569"",""S2 Totals!$A$2:$O$255""),2,FALSE)"),5.0)</f>
        <v>5</v>
      </c>
      <c r="E53" s="15">
        <f>IFERROR(__xludf.DUMMYFUNCTION("VLOOKUP(A53,IMPORTRANGE(""1QZ5UxyNCwadreQAXnQ7oCoH982DjIA-QnZdO7ZoqkC0/edit#gid=884617569"",""S2 Totals!$A$2:$O$255""),3,FALSE)"),0.38461538461538464)</f>
        <v>0.3846153846</v>
      </c>
      <c r="F53" s="15">
        <f t="shared" si="1"/>
        <v>-0.1118881119</v>
      </c>
      <c r="G53" s="16">
        <f>IFERROR(__xludf.DUMMYFUNCTION("VLOOKUP(A53,IMPORTRANGE(""1QZ5UxyNCwadreQAXnQ7oCoH982DjIA-QnZdO7ZoqkC0/edit#gid=884617569"",""S2 Totals!$A$2:$O$255""),4,FALSE)"),4.0)</f>
        <v>4</v>
      </c>
      <c r="H53" s="15">
        <f>IFERROR(__xludf.DUMMYFUNCTION("VLOOKUP(A53,IMPORTRANGE(""1QZ5UxyNCwadreQAXnQ7oCoH982DjIA-QnZdO7ZoqkC0/edit#gid=884617569"",""S2 Totals!$A$2:$O$255""),5,FALSE)"),0.3333333333333333)</f>
        <v>0.3333333333</v>
      </c>
      <c r="I53" s="15">
        <f t="shared" si="2"/>
        <v>-0.06060606061</v>
      </c>
      <c r="J53" s="16">
        <f>IFERROR(__xludf.DUMMYFUNCTION("VLOOKUP(A53,IMPORTRANGE(""1QZ5UxyNCwadreQAXnQ7oCoH982DjIA-QnZdO7ZoqkC0/edit#gid=884617569"",""S2 Totals!$A$2:$O$255""),7,FALSE)"),2.0)</f>
        <v>2</v>
      </c>
      <c r="K53" s="15">
        <f>IFERROR(__xludf.DUMMYFUNCTION("VLOOKUP(A53,IMPORTRANGE(""1QZ5UxyNCwadreQAXnQ7oCoH982DjIA-QnZdO7ZoqkC0/edit#gid=884617569"",""S2 Totals!$A$2:$O$255""),8,FALSE)"),0.16666666666666666)</f>
        <v>0.1666666667</v>
      </c>
      <c r="L53" s="110">
        <f t="shared" si="3"/>
        <v>0.1060606061</v>
      </c>
      <c r="M53" s="16" t="str">
        <f>IFERROR(__xludf.DUMMYFUNCTION("VLOOKUP(A53,IMPORTRANGE(""1QZ5UxyNCwadreQAXnQ7oCoH982DjIA-QnZdO7ZoqkC0/edit#gid=884617569"",""S2 Totals!$A$2:$O$255""),10,FALSE)"),"")</f>
        <v/>
      </c>
      <c r="N53" s="15" t="str">
        <f>IFERROR(__xludf.DUMMYFUNCTION("VLOOKUP(A53,IMPORTRANGE(""1QZ5UxyNCwadreQAXnQ7oCoH982DjIA-QnZdO7ZoqkC0/edit#gid=884617569"",""S2 Totals!$A$2:$O$255""),11,FALSE)"),"")</f>
        <v/>
      </c>
      <c r="O53" s="110">
        <f t="shared" si="4"/>
        <v>0.2727272727</v>
      </c>
      <c r="P53" s="16" t="str">
        <f>IFERROR(__xludf.DUMMYFUNCTION("VLOOKUP(A53,IMPORTRANGE(""1QZ5UxyNCwadreQAXnQ7oCoH982DjIA-QnZdO7ZoqkC0/edit#gid=884617569"",""S2 Totals!$A$2:$O$255""),13,FALSE)"),"")</f>
        <v/>
      </c>
      <c r="Q53" s="15" t="str">
        <f>IFERROR(__xludf.DUMMYFUNCTION("VLOOKUP(A53,IMPORTRANGE(""1QZ5UxyNCwadreQAXnQ7oCoH982DjIA-QnZdO7ZoqkC0/edit#gid=884617569"",""S2 Totals!$A$2:$O$255""),14,FALSE)"),"")</f>
        <v/>
      </c>
      <c r="R53" s="129">
        <f t="shared" si="5"/>
        <v>0.2727272727</v>
      </c>
    </row>
    <row r="54">
      <c r="A54" s="128" t="s">
        <v>41</v>
      </c>
      <c r="B54" s="16">
        <f>IFERROR(__xludf.DUMMYFUNCTION("VLOOKUP(A54,IMPORTRANGE(""1aFCnJY1qhIj8-JckJhDJ18aqmVo17tofpQmOjcYa3u8/edit#gid=1878241338"",""S2 Totals!$A$2:$O$255""),2,FALSE)"),9.0)</f>
        <v>9</v>
      </c>
      <c r="C54" s="15">
        <f>IFERROR(__xludf.DUMMYFUNCTION("VLOOKUP(A54,IMPORTRANGE(""1aFCnJY1qhIj8-JckJhDJ18aqmVo17tofpQmOjcYa3u8/edit#gid=1878241338"",""S2 Totals!$A$2:$O$255""),3,FALSE)"),0.8181818181818182)</f>
        <v>0.8181818182</v>
      </c>
      <c r="D54" s="16">
        <f>IFERROR(__xludf.DUMMYFUNCTION("VLOOKUP(A54,IMPORTRANGE(""1QZ5UxyNCwadreQAXnQ7oCoH982DjIA-QnZdO7ZoqkC0/edit#gid=884617569"",""S2 Totals!$A$2:$O$255""),2,FALSE)"),4.0)</f>
        <v>4</v>
      </c>
      <c r="E54" s="15">
        <f>IFERROR(__xludf.DUMMYFUNCTION("VLOOKUP(A54,IMPORTRANGE(""1QZ5UxyNCwadreQAXnQ7oCoH982DjIA-QnZdO7ZoqkC0/edit#gid=884617569"",""S2 Totals!$A$2:$O$255""),3,FALSE)"),0.3076923076923077)</f>
        <v>0.3076923077</v>
      </c>
      <c r="F54" s="15">
        <f t="shared" si="1"/>
        <v>0.5104895105</v>
      </c>
      <c r="G54" s="16">
        <f>IFERROR(__xludf.DUMMYFUNCTION("VLOOKUP(A54,IMPORTRANGE(""1QZ5UxyNCwadreQAXnQ7oCoH982DjIA-QnZdO7ZoqkC0/edit#gid=884617569"",""S2 Totals!$A$2:$O$255""),4,FALSE)"),2.0)</f>
        <v>2</v>
      </c>
      <c r="H54" s="15">
        <f>IFERROR(__xludf.DUMMYFUNCTION("VLOOKUP(A54,IMPORTRANGE(""1QZ5UxyNCwadreQAXnQ7oCoH982DjIA-QnZdO7ZoqkC0/edit#gid=884617569"",""S2 Totals!$A$2:$O$255""),5,FALSE)"),0.16666666666666666)</f>
        <v>0.1666666667</v>
      </c>
      <c r="I54" s="15">
        <f t="shared" si="2"/>
        <v>0.6515151515</v>
      </c>
      <c r="J54" s="16">
        <f>IFERROR(__xludf.DUMMYFUNCTION("VLOOKUP(A54,IMPORTRANGE(""1QZ5UxyNCwadreQAXnQ7oCoH982DjIA-QnZdO7ZoqkC0/edit#gid=884617569"",""S2 Totals!$A$2:$O$255""),7,FALSE)"),4.0)</f>
        <v>4</v>
      </c>
      <c r="K54" s="15">
        <f>IFERROR(__xludf.DUMMYFUNCTION("VLOOKUP(A54,IMPORTRANGE(""1QZ5UxyNCwadreQAXnQ7oCoH982DjIA-QnZdO7ZoqkC0/edit#gid=884617569"",""S2 Totals!$A$2:$O$255""),8,FALSE)"),0.3333333333333333)</f>
        <v>0.3333333333</v>
      </c>
      <c r="L54" s="110">
        <f t="shared" si="3"/>
        <v>0.4848484848</v>
      </c>
      <c r="M54" s="16">
        <f>IFERROR(__xludf.DUMMYFUNCTION("VLOOKUP(A54,IMPORTRANGE(""1QZ5UxyNCwadreQAXnQ7oCoH982DjIA-QnZdO7ZoqkC0/edit#gid=884617569"",""S2 Totals!$A$2:$O$255""),10,FALSE)"),8.0)</f>
        <v>8</v>
      </c>
      <c r="N54" s="15">
        <f>IFERROR(__xludf.DUMMYFUNCTION("VLOOKUP(A54,IMPORTRANGE(""1QZ5UxyNCwadreQAXnQ7oCoH982DjIA-QnZdO7ZoqkC0/edit#gid=884617569"",""S2 Totals!$A$2:$O$255""),11,FALSE)"),0.6153846153846154)</f>
        <v>0.6153846154</v>
      </c>
      <c r="O54" s="110">
        <f t="shared" si="4"/>
        <v>0.2027972028</v>
      </c>
      <c r="P54" s="16">
        <f>IFERROR(__xludf.DUMMYFUNCTION("VLOOKUP(A54,IMPORTRANGE(""1QZ5UxyNCwadreQAXnQ7oCoH982DjIA-QnZdO7ZoqkC0/edit#gid=884617569"",""S2 Totals!$A$2:$O$255""),13,FALSE)"),5.0)</f>
        <v>5</v>
      </c>
      <c r="Q54" s="15">
        <f>IFERROR(__xludf.DUMMYFUNCTION("VLOOKUP(A54,IMPORTRANGE(""1QZ5UxyNCwadreQAXnQ7oCoH982DjIA-QnZdO7ZoqkC0/edit#gid=884617569"",""S2 Totals!$A$2:$O$255""),14,FALSE)"),0.4166666666666667)</f>
        <v>0.4166666667</v>
      </c>
      <c r="R54" s="129">
        <f t="shared" si="5"/>
        <v>0.4015151515</v>
      </c>
    </row>
    <row r="55">
      <c r="A55" s="128" t="s">
        <v>298</v>
      </c>
      <c r="B55" s="16">
        <f>IFERROR(__xludf.DUMMYFUNCTION("VLOOKUP(A55,IMPORTRANGE(""1aFCnJY1qhIj8-JckJhDJ18aqmVo17tofpQmOjcYa3u8/edit#gid=1878241338"",""S2 Totals!$A$2:$O$255""),2,FALSE)"),1.0)</f>
        <v>1</v>
      </c>
      <c r="C55" s="15">
        <f>IFERROR(__xludf.DUMMYFUNCTION("VLOOKUP(A55,IMPORTRANGE(""1aFCnJY1qhIj8-JckJhDJ18aqmVo17tofpQmOjcYa3u8/edit#gid=1878241338"",""S2 Totals!$A$2:$O$255""),3,FALSE)"),0.09090909090909091)</f>
        <v>0.09090909091</v>
      </c>
      <c r="D55" s="16">
        <f>IFERROR(__xludf.DUMMYFUNCTION("VLOOKUP(A55,IMPORTRANGE(""1QZ5UxyNCwadreQAXnQ7oCoH982DjIA-QnZdO7ZoqkC0/edit#gid=884617569"",""S2 Totals!$A$2:$O$255""),2,FALSE)"),2.0)</f>
        <v>2</v>
      </c>
      <c r="E55" s="15">
        <f>IFERROR(__xludf.DUMMYFUNCTION("VLOOKUP(A55,IMPORTRANGE(""1QZ5UxyNCwadreQAXnQ7oCoH982DjIA-QnZdO7ZoqkC0/edit#gid=884617569"",""S2 Totals!$A$2:$O$255""),3,FALSE)"),0.15384615384615385)</f>
        <v>0.1538461538</v>
      </c>
      <c r="F55" s="15">
        <f t="shared" si="1"/>
        <v>-0.06293706294</v>
      </c>
      <c r="G55" s="16">
        <f>IFERROR(__xludf.DUMMYFUNCTION("VLOOKUP(A55,IMPORTRANGE(""1QZ5UxyNCwadreQAXnQ7oCoH982DjIA-QnZdO7ZoqkC0/edit#gid=884617569"",""S2 Totals!$A$2:$O$255""),4,FALSE)"),2.0)</f>
        <v>2</v>
      </c>
      <c r="H55" s="15">
        <f>IFERROR(__xludf.DUMMYFUNCTION("VLOOKUP(A55,IMPORTRANGE(""1QZ5UxyNCwadreQAXnQ7oCoH982DjIA-QnZdO7ZoqkC0/edit#gid=884617569"",""S2 Totals!$A$2:$O$255""),5,FALSE)"),0.16666666666666666)</f>
        <v>0.1666666667</v>
      </c>
      <c r="I55" s="15">
        <f t="shared" si="2"/>
        <v>-0.07575757576</v>
      </c>
      <c r="J55" s="16">
        <f>IFERROR(__xludf.DUMMYFUNCTION("VLOOKUP(A55,IMPORTRANGE(""1QZ5UxyNCwadreQAXnQ7oCoH982DjIA-QnZdO7ZoqkC0/edit#gid=884617569"",""S2 Totals!$A$2:$O$255""),7,FALSE)"),2.0)</f>
        <v>2</v>
      </c>
      <c r="K55" s="15">
        <f>IFERROR(__xludf.DUMMYFUNCTION("VLOOKUP(A55,IMPORTRANGE(""1QZ5UxyNCwadreQAXnQ7oCoH982DjIA-QnZdO7ZoqkC0/edit#gid=884617569"",""S2 Totals!$A$2:$O$255""),8,FALSE)"),0.16666666666666666)</f>
        <v>0.1666666667</v>
      </c>
      <c r="L55" s="110">
        <f t="shared" si="3"/>
        <v>-0.07575757576</v>
      </c>
      <c r="M55" s="16" t="str">
        <f>IFERROR(__xludf.DUMMYFUNCTION("VLOOKUP(A55,IMPORTRANGE(""1QZ5UxyNCwadreQAXnQ7oCoH982DjIA-QnZdO7ZoqkC0/edit#gid=884617569"",""S2 Totals!$A$2:$O$255""),10,FALSE)"),"")</f>
        <v/>
      </c>
      <c r="N55" s="15" t="str">
        <f>IFERROR(__xludf.DUMMYFUNCTION("VLOOKUP(A55,IMPORTRANGE(""1QZ5UxyNCwadreQAXnQ7oCoH982DjIA-QnZdO7ZoqkC0/edit#gid=884617569"",""S2 Totals!$A$2:$O$255""),11,FALSE)"),"")</f>
        <v/>
      </c>
      <c r="O55" s="110">
        <f t="shared" si="4"/>
        <v>0.09090909091</v>
      </c>
      <c r="P55" s="16" t="str">
        <f>IFERROR(__xludf.DUMMYFUNCTION("VLOOKUP(A55,IMPORTRANGE(""1QZ5UxyNCwadreQAXnQ7oCoH982DjIA-QnZdO7ZoqkC0/edit#gid=884617569"",""S2 Totals!$A$2:$O$255""),13,FALSE)"),"")</f>
        <v/>
      </c>
      <c r="Q55" s="15" t="str">
        <f>IFERROR(__xludf.DUMMYFUNCTION("VLOOKUP(A55,IMPORTRANGE(""1QZ5UxyNCwadreQAXnQ7oCoH982DjIA-QnZdO7ZoqkC0/edit#gid=884617569"",""S2 Totals!$A$2:$O$255""),14,FALSE)"),"")</f>
        <v/>
      </c>
      <c r="R55" s="129">
        <f t="shared" si="5"/>
        <v>0.09090909091</v>
      </c>
    </row>
    <row r="56">
      <c r="A56" s="128" t="s">
        <v>42</v>
      </c>
      <c r="B56" s="16">
        <f>IFERROR(__xludf.DUMMYFUNCTION("VLOOKUP(A56,IMPORTRANGE(""1aFCnJY1qhIj8-JckJhDJ18aqmVo17tofpQmOjcYa3u8/edit#gid=1878241338"",""S2 Totals!$A$2:$O$255""),2,FALSE)"),5.0)</f>
        <v>5</v>
      </c>
      <c r="C56" s="15">
        <f>IFERROR(__xludf.DUMMYFUNCTION("VLOOKUP(A56,IMPORTRANGE(""1aFCnJY1qhIj8-JckJhDJ18aqmVo17tofpQmOjcYa3u8/edit#gid=1878241338"",""S2 Totals!$A$2:$O$255""),3,FALSE)"),0.45454545454545453)</f>
        <v>0.4545454545</v>
      </c>
      <c r="D56" s="16">
        <f>IFERROR(__xludf.DUMMYFUNCTION("VLOOKUP(A56,IMPORTRANGE(""1QZ5UxyNCwadreQAXnQ7oCoH982DjIA-QnZdO7ZoqkC0/edit#gid=884617569"",""S2 Totals!$A$2:$O$255""),2,FALSE)"),6.0)</f>
        <v>6</v>
      </c>
      <c r="E56" s="15">
        <f>IFERROR(__xludf.DUMMYFUNCTION("VLOOKUP(A56,IMPORTRANGE(""1QZ5UxyNCwadreQAXnQ7oCoH982DjIA-QnZdO7ZoqkC0/edit#gid=884617569"",""S2 Totals!$A$2:$O$255""),3,FALSE)"),0.46153846153846156)</f>
        <v>0.4615384615</v>
      </c>
      <c r="F56" s="15">
        <f t="shared" si="1"/>
        <v>-0.006993006993</v>
      </c>
      <c r="G56" s="16">
        <f>IFERROR(__xludf.DUMMYFUNCTION("VLOOKUP(A56,IMPORTRANGE(""1QZ5UxyNCwadreQAXnQ7oCoH982DjIA-QnZdO7ZoqkC0/edit#gid=884617569"",""S2 Totals!$A$2:$O$255""),4,FALSE)"),4.0)</f>
        <v>4</v>
      </c>
      <c r="H56" s="15">
        <f>IFERROR(__xludf.DUMMYFUNCTION("VLOOKUP(A56,IMPORTRANGE(""1QZ5UxyNCwadreQAXnQ7oCoH982DjIA-QnZdO7ZoqkC0/edit#gid=884617569"",""S2 Totals!$A$2:$O$255""),5,FALSE)"),0.3333333333333333)</f>
        <v>0.3333333333</v>
      </c>
      <c r="I56" s="15">
        <f t="shared" si="2"/>
        <v>0.1212121212</v>
      </c>
      <c r="J56" s="16">
        <f>IFERROR(__xludf.DUMMYFUNCTION("VLOOKUP(A56,IMPORTRANGE(""1QZ5UxyNCwadreQAXnQ7oCoH982DjIA-QnZdO7ZoqkC0/edit#gid=884617569"",""S2 Totals!$A$2:$O$255""),7,FALSE)"),4.0)</f>
        <v>4</v>
      </c>
      <c r="K56" s="15">
        <f>IFERROR(__xludf.DUMMYFUNCTION("VLOOKUP(A56,IMPORTRANGE(""1QZ5UxyNCwadreQAXnQ7oCoH982DjIA-QnZdO7ZoqkC0/edit#gid=884617569"",""S2 Totals!$A$2:$O$255""),8,FALSE)"),0.3333333333333333)</f>
        <v>0.3333333333</v>
      </c>
      <c r="L56" s="110">
        <f t="shared" si="3"/>
        <v>0.1212121212</v>
      </c>
      <c r="M56" s="16">
        <f>IFERROR(__xludf.DUMMYFUNCTION("VLOOKUP(A56,IMPORTRANGE(""1QZ5UxyNCwadreQAXnQ7oCoH982DjIA-QnZdO7ZoqkC0/edit#gid=884617569"",""S2 Totals!$A$2:$O$255""),10,FALSE)"),7.0)</f>
        <v>7</v>
      </c>
      <c r="N56" s="15">
        <f>IFERROR(__xludf.DUMMYFUNCTION("VLOOKUP(A56,IMPORTRANGE(""1QZ5UxyNCwadreQAXnQ7oCoH982DjIA-QnZdO7ZoqkC0/edit#gid=884617569"",""S2 Totals!$A$2:$O$255""),11,FALSE)"),0.5384615384615384)</f>
        <v>0.5384615385</v>
      </c>
      <c r="O56" s="110">
        <f t="shared" si="4"/>
        <v>-0.08391608392</v>
      </c>
      <c r="P56" s="16">
        <f>IFERROR(__xludf.DUMMYFUNCTION("VLOOKUP(A56,IMPORTRANGE(""1QZ5UxyNCwadreQAXnQ7oCoH982DjIA-QnZdO7ZoqkC0/edit#gid=884617569"",""S2 Totals!$A$2:$O$255""),13,FALSE)"),1.0)</f>
        <v>1</v>
      </c>
      <c r="Q56" s="15">
        <f>IFERROR(__xludf.DUMMYFUNCTION("VLOOKUP(A56,IMPORTRANGE(""1QZ5UxyNCwadreQAXnQ7oCoH982DjIA-QnZdO7ZoqkC0/edit#gid=884617569"",""S2 Totals!$A$2:$O$255""),14,FALSE)"),0.08333333333333333)</f>
        <v>0.08333333333</v>
      </c>
      <c r="R56" s="129">
        <f t="shared" si="5"/>
        <v>0.3712121212</v>
      </c>
    </row>
    <row r="57">
      <c r="A57" s="128" t="s">
        <v>43</v>
      </c>
      <c r="B57" s="16">
        <f>IFERROR(__xludf.DUMMYFUNCTION("VLOOKUP(A57,IMPORTRANGE(""1aFCnJY1qhIj8-JckJhDJ18aqmVo17tofpQmOjcYa3u8/edit#gid=1878241338"",""S2 Totals!$A$2:$O$255""),2,FALSE)"),7.0)</f>
        <v>7</v>
      </c>
      <c r="C57" s="15">
        <f>IFERROR(__xludf.DUMMYFUNCTION("VLOOKUP(A57,IMPORTRANGE(""1aFCnJY1qhIj8-JckJhDJ18aqmVo17tofpQmOjcYa3u8/edit#gid=1878241338"",""S2 Totals!$A$2:$O$255""),3,FALSE)"),0.6363636363636364)</f>
        <v>0.6363636364</v>
      </c>
      <c r="D57" s="16">
        <f>IFERROR(__xludf.DUMMYFUNCTION("VLOOKUP(A57,IMPORTRANGE(""1QZ5UxyNCwadreQAXnQ7oCoH982DjIA-QnZdO7ZoqkC0/edit#gid=884617569"",""S2 Totals!$A$2:$O$255""),2,FALSE)"),8.0)</f>
        <v>8</v>
      </c>
      <c r="E57" s="15">
        <f>IFERROR(__xludf.DUMMYFUNCTION("VLOOKUP(A57,IMPORTRANGE(""1QZ5UxyNCwadreQAXnQ7oCoH982DjIA-QnZdO7ZoqkC0/edit#gid=884617569"",""S2 Totals!$A$2:$O$255""),3,FALSE)"),0.6153846153846154)</f>
        <v>0.6153846154</v>
      </c>
      <c r="F57" s="15">
        <f t="shared" si="1"/>
        <v>0.02097902098</v>
      </c>
      <c r="G57" s="16">
        <f>IFERROR(__xludf.DUMMYFUNCTION("VLOOKUP(A57,IMPORTRANGE(""1QZ5UxyNCwadreQAXnQ7oCoH982DjIA-QnZdO7ZoqkC0/edit#gid=884617569"",""S2 Totals!$A$2:$O$255""),4,FALSE)"),6.0)</f>
        <v>6</v>
      </c>
      <c r="H57" s="15">
        <f>IFERROR(__xludf.DUMMYFUNCTION("VLOOKUP(A57,IMPORTRANGE(""1QZ5UxyNCwadreQAXnQ7oCoH982DjIA-QnZdO7ZoqkC0/edit#gid=884617569"",""S2 Totals!$A$2:$O$255""),5,FALSE)"),0.5)</f>
        <v>0.5</v>
      </c>
      <c r="I57" s="15">
        <f t="shared" si="2"/>
        <v>0.1363636364</v>
      </c>
      <c r="J57" s="16">
        <f>IFERROR(__xludf.DUMMYFUNCTION("VLOOKUP(A57,IMPORTRANGE(""1QZ5UxyNCwadreQAXnQ7oCoH982DjIA-QnZdO7ZoqkC0/edit#gid=884617569"",""S2 Totals!$A$2:$O$255""),7,FALSE)"),8.0)</f>
        <v>8</v>
      </c>
      <c r="K57" s="15">
        <f>IFERROR(__xludf.DUMMYFUNCTION("VLOOKUP(A57,IMPORTRANGE(""1QZ5UxyNCwadreQAXnQ7oCoH982DjIA-QnZdO7ZoqkC0/edit#gid=884617569"",""S2 Totals!$A$2:$O$255""),8,FALSE)"),0.6666666666666666)</f>
        <v>0.6666666667</v>
      </c>
      <c r="L57" s="110">
        <f t="shared" si="3"/>
        <v>-0.0303030303</v>
      </c>
      <c r="M57" s="16">
        <f>IFERROR(__xludf.DUMMYFUNCTION("VLOOKUP(A57,IMPORTRANGE(""1QZ5UxyNCwadreQAXnQ7oCoH982DjIA-QnZdO7ZoqkC0/edit#gid=884617569"",""S2 Totals!$A$2:$O$255""),10,FALSE)"),6.0)</f>
        <v>6</v>
      </c>
      <c r="N57" s="15">
        <f>IFERROR(__xludf.DUMMYFUNCTION("VLOOKUP(A57,IMPORTRANGE(""1QZ5UxyNCwadreQAXnQ7oCoH982DjIA-QnZdO7ZoqkC0/edit#gid=884617569"",""S2 Totals!$A$2:$O$255""),11,FALSE)"),0.46153846153846156)</f>
        <v>0.4615384615</v>
      </c>
      <c r="O57" s="110">
        <f t="shared" si="4"/>
        <v>0.1748251748</v>
      </c>
      <c r="P57" s="16">
        <f>IFERROR(__xludf.DUMMYFUNCTION("VLOOKUP(A57,IMPORTRANGE(""1QZ5UxyNCwadreQAXnQ7oCoH982DjIA-QnZdO7ZoqkC0/edit#gid=884617569"",""S2 Totals!$A$2:$O$255""),13,FALSE)"),7.0)</f>
        <v>7</v>
      </c>
      <c r="Q57" s="15">
        <f>IFERROR(__xludf.DUMMYFUNCTION("VLOOKUP(A57,IMPORTRANGE(""1QZ5UxyNCwadreQAXnQ7oCoH982DjIA-QnZdO7ZoqkC0/edit#gid=884617569"",""S2 Totals!$A$2:$O$255""),14,FALSE)"),0.5833333333333334)</f>
        <v>0.5833333333</v>
      </c>
      <c r="R57" s="129">
        <f t="shared" si="5"/>
        <v>0.05303030303</v>
      </c>
    </row>
    <row r="58">
      <c r="A58" s="128" t="s">
        <v>118</v>
      </c>
      <c r="B58" s="16">
        <f>IFERROR(__xludf.DUMMYFUNCTION("VLOOKUP(A58,IMPORTRANGE(""1aFCnJY1qhIj8-JckJhDJ18aqmVo17tofpQmOjcYa3u8/edit#gid=1878241338"",""S2 Totals!$A$2:$O$255""),2,FALSE)"),2.0)</f>
        <v>2</v>
      </c>
      <c r="C58" s="15">
        <f>IFERROR(__xludf.DUMMYFUNCTION("VLOOKUP(A58,IMPORTRANGE(""1aFCnJY1qhIj8-JckJhDJ18aqmVo17tofpQmOjcYa3u8/edit#gid=1878241338"",""S2 Totals!$A$2:$O$255""),3,FALSE)"),0.18181818181818182)</f>
        <v>0.1818181818</v>
      </c>
      <c r="D58" s="16">
        <f>IFERROR(__xludf.DUMMYFUNCTION("VLOOKUP(A58,IMPORTRANGE(""1QZ5UxyNCwadreQAXnQ7oCoH982DjIA-QnZdO7ZoqkC0/edit#gid=884617569"",""S2 Totals!$A$2:$O$255""),2,FALSE)"),2.0)</f>
        <v>2</v>
      </c>
      <c r="E58" s="15">
        <f>IFERROR(__xludf.DUMMYFUNCTION("VLOOKUP(A58,IMPORTRANGE(""1QZ5UxyNCwadreQAXnQ7oCoH982DjIA-QnZdO7ZoqkC0/edit#gid=884617569"",""S2 Totals!$A$2:$O$255""),3,FALSE)"),0.15384615384615385)</f>
        <v>0.1538461538</v>
      </c>
      <c r="F58" s="15">
        <f t="shared" si="1"/>
        <v>0.02797202797</v>
      </c>
      <c r="G58" s="16">
        <f>IFERROR(__xludf.DUMMYFUNCTION("VLOOKUP(A58,IMPORTRANGE(""1QZ5UxyNCwadreQAXnQ7oCoH982DjIA-QnZdO7ZoqkC0/edit#gid=884617569"",""S2 Totals!$A$2:$O$255""),4,FALSE)"),2.0)</f>
        <v>2</v>
      </c>
      <c r="H58" s="15">
        <f>IFERROR(__xludf.DUMMYFUNCTION("VLOOKUP(A58,IMPORTRANGE(""1QZ5UxyNCwadreQAXnQ7oCoH982DjIA-QnZdO7ZoqkC0/edit#gid=884617569"",""S2 Totals!$A$2:$O$255""),5,FALSE)"),0.16666666666666666)</f>
        <v>0.1666666667</v>
      </c>
      <c r="I58" s="15">
        <f t="shared" si="2"/>
        <v>0.01515151515</v>
      </c>
      <c r="J58" s="16">
        <f>IFERROR(__xludf.DUMMYFUNCTION("VLOOKUP(A58,IMPORTRANGE(""1QZ5UxyNCwadreQAXnQ7oCoH982DjIA-QnZdO7ZoqkC0/edit#gid=884617569"",""S2 Totals!$A$2:$O$255""),7,FALSE)"),0.0)</f>
        <v>0</v>
      </c>
      <c r="K58" s="15">
        <f>IFERROR(__xludf.DUMMYFUNCTION("VLOOKUP(A58,IMPORTRANGE(""1QZ5UxyNCwadreQAXnQ7oCoH982DjIA-QnZdO7ZoqkC0/edit#gid=884617569"",""S2 Totals!$A$2:$O$255""),8,FALSE)"),0.0)</f>
        <v>0</v>
      </c>
      <c r="L58" s="110">
        <f t="shared" si="3"/>
        <v>0.1818181818</v>
      </c>
      <c r="M58" s="16">
        <f>IFERROR(__xludf.DUMMYFUNCTION("VLOOKUP(A58,IMPORTRANGE(""1QZ5UxyNCwadreQAXnQ7oCoH982DjIA-QnZdO7ZoqkC0/edit#gid=884617569"",""S2 Totals!$A$2:$O$255""),10,FALSE)"),4.0)</f>
        <v>4</v>
      </c>
      <c r="N58" s="15">
        <f>IFERROR(__xludf.DUMMYFUNCTION("VLOOKUP(A58,IMPORTRANGE(""1QZ5UxyNCwadreQAXnQ7oCoH982DjIA-QnZdO7ZoqkC0/edit#gid=884617569"",""S2 Totals!$A$2:$O$255""),11,FALSE)"),0.3076923076923077)</f>
        <v>0.3076923077</v>
      </c>
      <c r="O58" s="110">
        <f t="shared" si="4"/>
        <v>-0.1258741259</v>
      </c>
      <c r="P58" s="16" t="str">
        <f>IFERROR(__xludf.DUMMYFUNCTION("VLOOKUP(A58,IMPORTRANGE(""1QZ5UxyNCwadreQAXnQ7oCoH982DjIA-QnZdO7ZoqkC0/edit#gid=884617569"",""S2 Totals!$A$2:$O$255""),13,FALSE)"),"")</f>
        <v/>
      </c>
      <c r="Q58" s="15" t="str">
        <f>IFERROR(__xludf.DUMMYFUNCTION("VLOOKUP(A58,IMPORTRANGE(""1QZ5UxyNCwadreQAXnQ7oCoH982DjIA-QnZdO7ZoqkC0/edit#gid=884617569"",""S2 Totals!$A$2:$O$255""),14,FALSE)"),"")</f>
        <v/>
      </c>
      <c r="R58" s="129">
        <f t="shared" si="5"/>
        <v>0.1818181818</v>
      </c>
    </row>
    <row r="59">
      <c r="A59" s="128" t="s">
        <v>40</v>
      </c>
      <c r="B59" s="16">
        <f>IFERROR(__xludf.DUMMYFUNCTION("VLOOKUP(A59,IMPORTRANGE(""1aFCnJY1qhIj8-JckJhDJ18aqmVo17tofpQmOjcYa3u8/edit#gid=1878241338"",""S2 Totals!$A$2:$O$255""),2,FALSE)"),3.0)</f>
        <v>3</v>
      </c>
      <c r="C59" s="15">
        <f>IFERROR(__xludf.DUMMYFUNCTION("VLOOKUP(A59,IMPORTRANGE(""1aFCnJY1qhIj8-JckJhDJ18aqmVo17tofpQmOjcYa3u8/edit#gid=1878241338"",""S2 Totals!$A$2:$O$255""),3,FALSE)"),0.2727272727272727)</f>
        <v>0.2727272727</v>
      </c>
      <c r="D59" s="16">
        <f>IFERROR(__xludf.DUMMYFUNCTION("VLOOKUP(A59,IMPORTRANGE(""1QZ5UxyNCwadreQAXnQ7oCoH982DjIA-QnZdO7ZoqkC0/edit#gid=884617569"",""S2 Totals!$A$2:$O$255""),2,FALSE)"),3.0)</f>
        <v>3</v>
      </c>
      <c r="E59" s="15">
        <f>IFERROR(__xludf.DUMMYFUNCTION("VLOOKUP(A59,IMPORTRANGE(""1QZ5UxyNCwadreQAXnQ7oCoH982DjIA-QnZdO7ZoqkC0/edit#gid=884617569"",""S2 Totals!$A$2:$O$255""),3,FALSE)"),0.23076923076923078)</f>
        <v>0.2307692308</v>
      </c>
      <c r="F59" s="15">
        <f t="shared" si="1"/>
        <v>0.04195804196</v>
      </c>
      <c r="G59" s="16">
        <f>IFERROR(__xludf.DUMMYFUNCTION("VLOOKUP(A59,IMPORTRANGE(""1QZ5UxyNCwadreQAXnQ7oCoH982DjIA-QnZdO7ZoqkC0/edit#gid=884617569"",""S2 Totals!$A$2:$O$255""),4,FALSE)"),0.0)</f>
        <v>0</v>
      </c>
      <c r="H59" s="15">
        <f>IFERROR(__xludf.DUMMYFUNCTION("VLOOKUP(A59,IMPORTRANGE(""1QZ5UxyNCwadreQAXnQ7oCoH982DjIA-QnZdO7ZoqkC0/edit#gid=884617569"",""S2 Totals!$A$2:$O$255""),5,FALSE)"),0.0)</f>
        <v>0</v>
      </c>
      <c r="I59" s="15">
        <f t="shared" si="2"/>
        <v>0.2727272727</v>
      </c>
      <c r="J59" s="16">
        <f>IFERROR(__xludf.DUMMYFUNCTION("VLOOKUP(A59,IMPORTRANGE(""1QZ5UxyNCwadreQAXnQ7oCoH982DjIA-QnZdO7ZoqkC0/edit#gid=884617569"",""S2 Totals!$A$2:$O$255""),7,FALSE)"),0.0)</f>
        <v>0</v>
      </c>
      <c r="K59" s="15">
        <f>IFERROR(__xludf.DUMMYFUNCTION("VLOOKUP(A59,IMPORTRANGE(""1QZ5UxyNCwadreQAXnQ7oCoH982DjIA-QnZdO7ZoqkC0/edit#gid=884617569"",""S2 Totals!$A$2:$O$255""),8,FALSE)"),0.0)</f>
        <v>0</v>
      </c>
      <c r="L59" s="110">
        <f t="shared" si="3"/>
        <v>0.2727272727</v>
      </c>
      <c r="M59" s="16">
        <f>IFERROR(__xludf.DUMMYFUNCTION("VLOOKUP(A59,IMPORTRANGE(""1QZ5UxyNCwadreQAXnQ7oCoH982DjIA-QnZdO7ZoqkC0/edit#gid=884617569"",""S2 Totals!$A$2:$O$255""),10,FALSE)"),2.0)</f>
        <v>2</v>
      </c>
      <c r="N59" s="15">
        <f>IFERROR(__xludf.DUMMYFUNCTION("VLOOKUP(A59,IMPORTRANGE(""1QZ5UxyNCwadreQAXnQ7oCoH982DjIA-QnZdO7ZoqkC0/edit#gid=884617569"",""S2 Totals!$A$2:$O$255""),11,FALSE)"),0.15384615384615385)</f>
        <v>0.1538461538</v>
      </c>
      <c r="O59" s="110">
        <f t="shared" si="4"/>
        <v>0.1188811189</v>
      </c>
      <c r="P59" s="16">
        <f>IFERROR(__xludf.DUMMYFUNCTION("VLOOKUP(A59,IMPORTRANGE(""1QZ5UxyNCwadreQAXnQ7oCoH982DjIA-QnZdO7ZoqkC0/edit#gid=884617569"",""S2 Totals!$A$2:$O$255""),13,FALSE)"),1.0)</f>
        <v>1</v>
      </c>
      <c r="Q59" s="15">
        <f>IFERROR(__xludf.DUMMYFUNCTION("VLOOKUP(A59,IMPORTRANGE(""1QZ5UxyNCwadreQAXnQ7oCoH982DjIA-QnZdO7ZoqkC0/edit#gid=884617569"",""S2 Totals!$A$2:$O$255""),14,FALSE)"),0.08333333333333333)</f>
        <v>0.08333333333</v>
      </c>
      <c r="R59" s="129">
        <f t="shared" si="5"/>
        <v>0.1893939394</v>
      </c>
    </row>
    <row r="60">
      <c r="A60" s="128" t="s">
        <v>223</v>
      </c>
      <c r="B60" s="16">
        <f>IFERROR(__xludf.DUMMYFUNCTION("VLOOKUP(A60,IMPORTRANGE(""1aFCnJY1qhIj8-JckJhDJ18aqmVo17tofpQmOjcYa3u8/edit#gid=1878241338"",""S2 Totals!$A$2:$O$255""),2,FALSE)"),2.0)</f>
        <v>2</v>
      </c>
      <c r="C60" s="15">
        <f>IFERROR(__xludf.DUMMYFUNCTION("VLOOKUP(A60,IMPORTRANGE(""1aFCnJY1qhIj8-JckJhDJ18aqmVo17tofpQmOjcYa3u8/edit#gid=1878241338"",""S2 Totals!$A$2:$O$255""),3,FALSE)"),0.18181818181818182)</f>
        <v>0.1818181818</v>
      </c>
      <c r="D60" s="16">
        <f>IFERROR(__xludf.DUMMYFUNCTION("VLOOKUP(A60,IMPORTRANGE(""1QZ5UxyNCwadreQAXnQ7oCoH982DjIA-QnZdO7ZoqkC0/edit#gid=884617569"",""S2 Totals!$A$2:$O$255""),2,FALSE)"),1.0)</f>
        <v>1</v>
      </c>
      <c r="E60" s="15">
        <f>IFERROR(__xludf.DUMMYFUNCTION("VLOOKUP(A60,IMPORTRANGE(""1QZ5UxyNCwadreQAXnQ7oCoH982DjIA-QnZdO7ZoqkC0/edit#gid=884617569"",""S2 Totals!$A$2:$O$255""),3,FALSE)"),0.07692307692307693)</f>
        <v>0.07692307692</v>
      </c>
      <c r="F60" s="15">
        <f t="shared" si="1"/>
        <v>0.1048951049</v>
      </c>
      <c r="G60" s="16">
        <f>IFERROR(__xludf.DUMMYFUNCTION("VLOOKUP(A60,IMPORTRANGE(""1QZ5UxyNCwadreQAXnQ7oCoH982DjIA-QnZdO7ZoqkC0/edit#gid=884617569"",""S2 Totals!$A$2:$O$255""),4,FALSE)"),1.0)</f>
        <v>1</v>
      </c>
      <c r="H60" s="15">
        <f>IFERROR(__xludf.DUMMYFUNCTION("VLOOKUP(A60,IMPORTRANGE(""1QZ5UxyNCwadreQAXnQ7oCoH982DjIA-QnZdO7ZoqkC0/edit#gid=884617569"",""S2 Totals!$A$2:$O$255""),5,FALSE)"),0.08333333333333333)</f>
        <v>0.08333333333</v>
      </c>
      <c r="I60" s="15">
        <f t="shared" si="2"/>
        <v>0.09848484848</v>
      </c>
      <c r="J60" s="16" t="str">
        <f>IFERROR(__xludf.DUMMYFUNCTION("VLOOKUP(A60,IMPORTRANGE(""1QZ5UxyNCwadreQAXnQ7oCoH982DjIA-QnZdO7ZoqkC0/edit#gid=884617569"",""S2 Totals!$A$2:$O$255""),7,FALSE)"),"")</f>
        <v/>
      </c>
      <c r="K60" s="15" t="str">
        <f>IFERROR(__xludf.DUMMYFUNCTION("VLOOKUP(A60,IMPORTRANGE(""1QZ5UxyNCwadreQAXnQ7oCoH982DjIA-QnZdO7ZoqkC0/edit#gid=884617569"",""S2 Totals!$A$2:$O$255""),8,FALSE)"),"")</f>
        <v/>
      </c>
      <c r="L60" s="110">
        <f t="shared" si="3"/>
        <v>0.1818181818</v>
      </c>
      <c r="M60" s="16" t="str">
        <f>IFERROR(__xludf.DUMMYFUNCTION("VLOOKUP(A60,IMPORTRANGE(""1QZ5UxyNCwadreQAXnQ7oCoH982DjIA-QnZdO7ZoqkC0/edit#gid=884617569"",""S2 Totals!$A$2:$O$255""),10,FALSE)"),"")</f>
        <v/>
      </c>
      <c r="N60" s="15" t="str">
        <f>IFERROR(__xludf.DUMMYFUNCTION("VLOOKUP(A60,IMPORTRANGE(""1QZ5UxyNCwadreQAXnQ7oCoH982DjIA-QnZdO7ZoqkC0/edit#gid=884617569"",""S2 Totals!$A$2:$O$255""),11,FALSE)"),"")</f>
        <v/>
      </c>
      <c r="O60" s="110">
        <f t="shared" si="4"/>
        <v>0.1818181818</v>
      </c>
      <c r="P60" s="16" t="str">
        <f>IFERROR(__xludf.DUMMYFUNCTION("VLOOKUP(A60,IMPORTRANGE(""1QZ5UxyNCwadreQAXnQ7oCoH982DjIA-QnZdO7ZoqkC0/edit#gid=884617569"",""S2 Totals!$A$2:$O$255""),13,FALSE)"),"")</f>
        <v/>
      </c>
      <c r="Q60" s="15" t="str">
        <f>IFERROR(__xludf.DUMMYFUNCTION("VLOOKUP(A60,IMPORTRANGE(""1QZ5UxyNCwadreQAXnQ7oCoH982DjIA-QnZdO7ZoqkC0/edit#gid=884617569"",""S2 Totals!$A$2:$O$255""),14,FALSE)"),"")</f>
        <v/>
      </c>
      <c r="R60" s="129">
        <f t="shared" si="5"/>
        <v>0.1818181818</v>
      </c>
    </row>
    <row r="61">
      <c r="A61" s="128" t="s">
        <v>119</v>
      </c>
      <c r="B61" s="16">
        <f>IFERROR(__xludf.DUMMYFUNCTION("VLOOKUP(A61,IMPORTRANGE(""1aFCnJY1qhIj8-JckJhDJ18aqmVo17tofpQmOjcYa3u8/edit#gid=1878241338"",""S2 Totals!$A$2:$O$255""),2,FALSE)"),1.0)</f>
        <v>1</v>
      </c>
      <c r="C61" s="15">
        <f>IFERROR(__xludf.DUMMYFUNCTION("VLOOKUP(A61,IMPORTRANGE(""1aFCnJY1qhIj8-JckJhDJ18aqmVo17tofpQmOjcYa3u8/edit#gid=1878241338"",""S2 Totals!$A$2:$O$255""),3,FALSE)"),0.09090909090909091)</f>
        <v>0.09090909091</v>
      </c>
      <c r="D61" s="16">
        <f>IFERROR(__xludf.DUMMYFUNCTION("VLOOKUP(A61,IMPORTRANGE(""1QZ5UxyNCwadreQAXnQ7oCoH982DjIA-QnZdO7ZoqkC0/edit#gid=884617569"",""S2 Totals!$A$2:$O$255""),2,FALSE)"),2.0)</f>
        <v>2</v>
      </c>
      <c r="E61" s="15">
        <f>IFERROR(__xludf.DUMMYFUNCTION("VLOOKUP(A61,IMPORTRANGE(""1QZ5UxyNCwadreQAXnQ7oCoH982DjIA-QnZdO7ZoqkC0/edit#gid=884617569"",""S2 Totals!$A$2:$O$255""),3,FALSE)"),0.15384615384615385)</f>
        <v>0.1538461538</v>
      </c>
      <c r="F61" s="15">
        <f t="shared" si="1"/>
        <v>-0.06293706294</v>
      </c>
      <c r="G61" s="16">
        <f>IFERROR(__xludf.DUMMYFUNCTION("VLOOKUP(A61,IMPORTRANGE(""1QZ5UxyNCwadreQAXnQ7oCoH982DjIA-QnZdO7ZoqkC0/edit#gid=884617569"",""S2 Totals!$A$2:$O$255""),4,FALSE)"),2.0)</f>
        <v>2</v>
      </c>
      <c r="H61" s="15">
        <f>IFERROR(__xludf.DUMMYFUNCTION("VLOOKUP(A61,IMPORTRANGE(""1QZ5UxyNCwadreQAXnQ7oCoH982DjIA-QnZdO7ZoqkC0/edit#gid=884617569"",""S2 Totals!$A$2:$O$255""),5,FALSE)"),0.16666666666666666)</f>
        <v>0.1666666667</v>
      </c>
      <c r="I61" s="15">
        <f t="shared" si="2"/>
        <v>-0.07575757576</v>
      </c>
      <c r="J61" s="16">
        <f>IFERROR(__xludf.DUMMYFUNCTION("VLOOKUP(A61,IMPORTRANGE(""1QZ5UxyNCwadreQAXnQ7oCoH982DjIA-QnZdO7ZoqkC0/edit#gid=884617569"",""S2 Totals!$A$2:$O$255""),7,FALSE)"),1.0)</f>
        <v>1</v>
      </c>
      <c r="K61" s="15">
        <f>IFERROR(__xludf.DUMMYFUNCTION("VLOOKUP(A61,IMPORTRANGE(""1QZ5UxyNCwadreQAXnQ7oCoH982DjIA-QnZdO7ZoqkC0/edit#gid=884617569"",""S2 Totals!$A$2:$O$255""),8,FALSE)"),0.08333333333333333)</f>
        <v>0.08333333333</v>
      </c>
      <c r="L61" s="110">
        <f t="shared" si="3"/>
        <v>0.007575757576</v>
      </c>
      <c r="M61" s="16">
        <f>IFERROR(__xludf.DUMMYFUNCTION("VLOOKUP(A61,IMPORTRANGE(""1QZ5UxyNCwadreQAXnQ7oCoH982DjIA-QnZdO7ZoqkC0/edit#gid=884617569"",""S2 Totals!$A$2:$O$255""),10,FALSE)"),4.0)</f>
        <v>4</v>
      </c>
      <c r="N61" s="15">
        <f>IFERROR(__xludf.DUMMYFUNCTION("VLOOKUP(A61,IMPORTRANGE(""1QZ5UxyNCwadreQAXnQ7oCoH982DjIA-QnZdO7ZoqkC0/edit#gid=884617569"",""S2 Totals!$A$2:$O$255""),11,FALSE)"),0.3076923076923077)</f>
        <v>0.3076923077</v>
      </c>
      <c r="O61" s="110">
        <f t="shared" si="4"/>
        <v>-0.2167832168</v>
      </c>
      <c r="P61" s="16" t="str">
        <f>IFERROR(__xludf.DUMMYFUNCTION("VLOOKUP(A61,IMPORTRANGE(""1QZ5UxyNCwadreQAXnQ7oCoH982DjIA-QnZdO7ZoqkC0/edit#gid=884617569"",""S2 Totals!$A$2:$O$255""),13,FALSE)"),"")</f>
        <v/>
      </c>
      <c r="Q61" s="15" t="str">
        <f>IFERROR(__xludf.DUMMYFUNCTION("VLOOKUP(A61,IMPORTRANGE(""1QZ5UxyNCwadreQAXnQ7oCoH982DjIA-QnZdO7ZoqkC0/edit#gid=884617569"",""S2 Totals!$A$2:$O$255""),14,FALSE)"),"")</f>
        <v/>
      </c>
      <c r="R61" s="129">
        <f t="shared" si="5"/>
        <v>0.09090909091</v>
      </c>
    </row>
    <row r="62">
      <c r="A62" s="128" t="s">
        <v>264</v>
      </c>
      <c r="B62" s="16">
        <f>IFERROR(__xludf.DUMMYFUNCTION("VLOOKUP(A62,IMPORTRANGE(""1aFCnJY1qhIj8-JckJhDJ18aqmVo17tofpQmOjcYa3u8/edit#gid=1878241338"",""S2 Totals!$A$2:$O$255""),2,FALSE)"),0.0)</f>
        <v>0</v>
      </c>
      <c r="C62" s="15">
        <f>IFERROR(__xludf.DUMMYFUNCTION("VLOOKUP(A62,IMPORTRANGE(""1aFCnJY1qhIj8-JckJhDJ18aqmVo17tofpQmOjcYa3u8/edit#gid=1878241338"",""S2 Totals!$A$2:$O$255""),3,FALSE)"),0.0)</f>
        <v>0</v>
      </c>
      <c r="D62" s="16" t="str">
        <f>IFERROR(__xludf.DUMMYFUNCTION("VLOOKUP(A62,IMPORTRANGE(""1QZ5UxyNCwadreQAXnQ7oCoH982DjIA-QnZdO7ZoqkC0/edit#gid=884617569"",""S2 Totals!$A$2:$O$255""),2,FALSE)"),"#N/A")</f>
        <v>#N/A</v>
      </c>
      <c r="E62" s="15" t="str">
        <f>IFERROR(__xludf.DUMMYFUNCTION("VLOOKUP(A62,IMPORTRANGE(""1QZ5UxyNCwadreQAXnQ7oCoH982DjIA-QnZdO7ZoqkC0/edit#gid=884617569"",""S2 Totals!$A$2:$O$255""),3,FALSE)"),"#N/A")</f>
        <v>#N/A</v>
      </c>
      <c r="F62" s="16" t="str">
        <f t="shared" si="1"/>
        <v>#N/A</v>
      </c>
      <c r="G62" s="16" t="str">
        <f>IFERROR(__xludf.DUMMYFUNCTION("VLOOKUP(A62,IMPORTRANGE(""1QZ5UxyNCwadreQAXnQ7oCoH982DjIA-QnZdO7ZoqkC0/edit#gid=884617569"",""S2 Totals!$A$2:$O$255""),4,FALSE)"),"#N/A")</f>
        <v>#N/A</v>
      </c>
      <c r="H62" s="15" t="str">
        <f>IFERROR(__xludf.DUMMYFUNCTION("VLOOKUP(A62,IMPORTRANGE(""1QZ5UxyNCwadreQAXnQ7oCoH982DjIA-QnZdO7ZoqkC0/edit#gid=884617569"",""S2 Totals!$A$2:$O$255""),5,FALSE)"),"#N/A")</f>
        <v>#N/A</v>
      </c>
      <c r="I62" s="16" t="str">
        <f t="shared" si="2"/>
        <v>#N/A</v>
      </c>
      <c r="J62" s="16" t="str">
        <f>IFERROR(__xludf.DUMMYFUNCTION("VLOOKUP(A62,IMPORTRANGE(""1QZ5UxyNCwadreQAXnQ7oCoH982DjIA-QnZdO7ZoqkC0/edit#gid=884617569"",""S2 Totals!$A$2:$O$255""),7,FALSE)"),"#N/A")</f>
        <v>#N/A</v>
      </c>
      <c r="K62" s="15" t="str">
        <f>IFERROR(__xludf.DUMMYFUNCTION("VLOOKUP(A62,IMPORTRANGE(""1QZ5UxyNCwadreQAXnQ7oCoH982DjIA-QnZdO7ZoqkC0/edit#gid=884617569"",""S2 Totals!$A$2:$O$255""),8,FALSE)"),"#N/A")</f>
        <v>#N/A</v>
      </c>
      <c r="L62" s="110" t="str">
        <f t="shared" si="3"/>
        <v>#N/A</v>
      </c>
      <c r="M62" s="16" t="str">
        <f>IFERROR(__xludf.DUMMYFUNCTION("VLOOKUP(A62,IMPORTRANGE(""1QZ5UxyNCwadreQAXnQ7oCoH982DjIA-QnZdO7ZoqkC0/edit#gid=884617569"",""S2 Totals!$A$2:$O$255""),10,FALSE)"),"#N/A")</f>
        <v>#N/A</v>
      </c>
      <c r="N62" s="15" t="str">
        <f>IFERROR(__xludf.DUMMYFUNCTION("VLOOKUP(A62,IMPORTRANGE(""1QZ5UxyNCwadreQAXnQ7oCoH982DjIA-QnZdO7ZoqkC0/edit#gid=884617569"",""S2 Totals!$A$2:$O$255""),11,FALSE)"),"#N/A")</f>
        <v>#N/A</v>
      </c>
      <c r="O62" s="110" t="str">
        <f t="shared" si="4"/>
        <v>#N/A</v>
      </c>
      <c r="P62" s="16" t="str">
        <f>IFERROR(__xludf.DUMMYFUNCTION("VLOOKUP(A62,IMPORTRANGE(""1QZ5UxyNCwadreQAXnQ7oCoH982DjIA-QnZdO7ZoqkC0/edit#gid=884617569"",""S2 Totals!$A$2:$O$255""),13,FALSE)"),"#N/A")</f>
        <v>#N/A</v>
      </c>
      <c r="Q62" s="15" t="str">
        <f>IFERROR(__xludf.DUMMYFUNCTION("VLOOKUP(A62,IMPORTRANGE(""1QZ5UxyNCwadreQAXnQ7oCoH982DjIA-QnZdO7ZoqkC0/edit#gid=884617569"",""S2 Totals!$A$2:$O$255""),14,FALSE)"),"#N/A")</f>
        <v>#N/A</v>
      </c>
      <c r="R62" s="129" t="str">
        <f t="shared" si="5"/>
        <v>#N/A</v>
      </c>
    </row>
    <row r="63">
      <c r="A63" s="128" t="s">
        <v>120</v>
      </c>
      <c r="B63" s="16">
        <f>IFERROR(__xludf.DUMMYFUNCTION("VLOOKUP(A63,IMPORTRANGE(""1aFCnJY1qhIj8-JckJhDJ18aqmVo17tofpQmOjcYa3u8/edit#gid=1878241338"",""S2 Totals!$A$2:$O$255""),2,FALSE)"),0.0)</f>
        <v>0</v>
      </c>
      <c r="C63" s="15">
        <f>IFERROR(__xludf.DUMMYFUNCTION("VLOOKUP(A63,IMPORTRANGE(""1aFCnJY1qhIj8-JckJhDJ18aqmVo17tofpQmOjcYa3u8/edit#gid=1878241338"",""S2 Totals!$A$2:$O$255""),3,FALSE)"),0.0)</f>
        <v>0</v>
      </c>
      <c r="D63" s="16">
        <f>IFERROR(__xludf.DUMMYFUNCTION("VLOOKUP(A63,IMPORTRANGE(""1QZ5UxyNCwadreQAXnQ7oCoH982DjIA-QnZdO7ZoqkC0/edit#gid=884617569"",""S2 Totals!$A$2:$O$255""),2,FALSE)"),0.0)</f>
        <v>0</v>
      </c>
      <c r="E63" s="15">
        <f>IFERROR(__xludf.DUMMYFUNCTION("VLOOKUP(A63,IMPORTRANGE(""1QZ5UxyNCwadreQAXnQ7oCoH982DjIA-QnZdO7ZoqkC0/edit#gid=884617569"",""S2 Totals!$A$2:$O$255""),3,FALSE)"),0.0)</f>
        <v>0</v>
      </c>
      <c r="F63" s="15">
        <f t="shared" si="1"/>
        <v>0</v>
      </c>
      <c r="G63" s="16">
        <f>IFERROR(__xludf.DUMMYFUNCTION("VLOOKUP(A63,IMPORTRANGE(""1QZ5UxyNCwadreQAXnQ7oCoH982DjIA-QnZdO7ZoqkC0/edit#gid=884617569"",""S2 Totals!$A$2:$O$255""),4,FALSE)"),0.0)</f>
        <v>0</v>
      </c>
      <c r="H63" s="15">
        <f>IFERROR(__xludf.DUMMYFUNCTION("VLOOKUP(A63,IMPORTRANGE(""1QZ5UxyNCwadreQAXnQ7oCoH982DjIA-QnZdO7ZoqkC0/edit#gid=884617569"",""S2 Totals!$A$2:$O$255""),5,FALSE)"),0.0)</f>
        <v>0</v>
      </c>
      <c r="I63" s="15">
        <f t="shared" si="2"/>
        <v>0</v>
      </c>
      <c r="J63" s="16">
        <f>IFERROR(__xludf.DUMMYFUNCTION("VLOOKUP(A63,IMPORTRANGE(""1QZ5UxyNCwadreQAXnQ7oCoH982DjIA-QnZdO7ZoqkC0/edit#gid=884617569"",""S2 Totals!$A$2:$O$255""),7,FALSE)"),2.0)</f>
        <v>2</v>
      </c>
      <c r="K63" s="15">
        <f>IFERROR(__xludf.DUMMYFUNCTION("VLOOKUP(A63,IMPORTRANGE(""1QZ5UxyNCwadreQAXnQ7oCoH982DjIA-QnZdO7ZoqkC0/edit#gid=884617569"",""S2 Totals!$A$2:$O$255""),8,FALSE)"),0.16666666666666666)</f>
        <v>0.1666666667</v>
      </c>
      <c r="L63" s="110">
        <f t="shared" si="3"/>
        <v>-0.1666666667</v>
      </c>
      <c r="M63" s="16">
        <f>IFERROR(__xludf.DUMMYFUNCTION("VLOOKUP(A63,IMPORTRANGE(""1QZ5UxyNCwadreQAXnQ7oCoH982DjIA-QnZdO7ZoqkC0/edit#gid=884617569"",""S2 Totals!$A$2:$O$255""),10,FALSE)"),0.0)</f>
        <v>0</v>
      </c>
      <c r="N63" s="15">
        <f>IFERROR(__xludf.DUMMYFUNCTION("VLOOKUP(A63,IMPORTRANGE(""1QZ5UxyNCwadreQAXnQ7oCoH982DjIA-QnZdO7ZoqkC0/edit#gid=884617569"",""S2 Totals!$A$2:$O$255""),11,FALSE)"),0.0)</f>
        <v>0</v>
      </c>
      <c r="O63" s="110">
        <f t="shared" si="4"/>
        <v>0</v>
      </c>
      <c r="P63" s="16" t="str">
        <f>IFERROR(__xludf.DUMMYFUNCTION("VLOOKUP(A63,IMPORTRANGE(""1QZ5UxyNCwadreQAXnQ7oCoH982DjIA-QnZdO7ZoqkC0/edit#gid=884617569"",""S2 Totals!$A$2:$O$255""),13,FALSE)"),"")</f>
        <v/>
      </c>
      <c r="Q63" s="15" t="str">
        <f>IFERROR(__xludf.DUMMYFUNCTION("VLOOKUP(A63,IMPORTRANGE(""1QZ5UxyNCwadreQAXnQ7oCoH982DjIA-QnZdO7ZoqkC0/edit#gid=884617569"",""S2 Totals!$A$2:$O$255""),14,FALSE)"),"")</f>
        <v/>
      </c>
      <c r="R63" s="129">
        <f t="shared" si="5"/>
        <v>0</v>
      </c>
    </row>
    <row r="64">
      <c r="A64" s="128" t="s">
        <v>121</v>
      </c>
      <c r="B64" s="16">
        <f>IFERROR(__xludf.DUMMYFUNCTION("VLOOKUP(A64,IMPORTRANGE(""1aFCnJY1qhIj8-JckJhDJ18aqmVo17tofpQmOjcYa3u8/edit#gid=1878241338"",""S2 Totals!$A$2:$O$255""),2,FALSE)"),4.0)</f>
        <v>4</v>
      </c>
      <c r="C64" s="15">
        <f>IFERROR(__xludf.DUMMYFUNCTION("VLOOKUP(A64,IMPORTRANGE(""1aFCnJY1qhIj8-JckJhDJ18aqmVo17tofpQmOjcYa3u8/edit#gid=1878241338"",""S2 Totals!$A$2:$O$255""),3,FALSE)"),0.36363636363636365)</f>
        <v>0.3636363636</v>
      </c>
      <c r="D64" s="16">
        <f>IFERROR(__xludf.DUMMYFUNCTION("VLOOKUP(A64,IMPORTRANGE(""1QZ5UxyNCwadreQAXnQ7oCoH982DjIA-QnZdO7ZoqkC0/edit#gid=884617569"",""S2 Totals!$A$2:$O$255""),2,FALSE)"),4.0)</f>
        <v>4</v>
      </c>
      <c r="E64" s="15">
        <f>IFERROR(__xludf.DUMMYFUNCTION("VLOOKUP(A64,IMPORTRANGE(""1QZ5UxyNCwadreQAXnQ7oCoH982DjIA-QnZdO7ZoqkC0/edit#gid=884617569"",""S2 Totals!$A$2:$O$255""),3,FALSE)"),0.3076923076923077)</f>
        <v>0.3076923077</v>
      </c>
      <c r="F64" s="15">
        <f t="shared" si="1"/>
        <v>0.05594405594</v>
      </c>
      <c r="G64" s="16">
        <f>IFERROR(__xludf.DUMMYFUNCTION("VLOOKUP(A64,IMPORTRANGE(""1QZ5UxyNCwadreQAXnQ7oCoH982DjIA-QnZdO7ZoqkC0/edit#gid=884617569"",""S2 Totals!$A$2:$O$255""),4,FALSE)"),4.0)</f>
        <v>4</v>
      </c>
      <c r="H64" s="15">
        <f>IFERROR(__xludf.DUMMYFUNCTION("VLOOKUP(A64,IMPORTRANGE(""1QZ5UxyNCwadreQAXnQ7oCoH982DjIA-QnZdO7ZoqkC0/edit#gid=884617569"",""S2 Totals!$A$2:$O$255""),5,FALSE)"),0.3333333333333333)</f>
        <v>0.3333333333</v>
      </c>
      <c r="I64" s="15">
        <f t="shared" si="2"/>
        <v>0.0303030303</v>
      </c>
      <c r="J64" s="16">
        <f>IFERROR(__xludf.DUMMYFUNCTION("VLOOKUP(A64,IMPORTRANGE(""1QZ5UxyNCwadreQAXnQ7oCoH982DjIA-QnZdO7ZoqkC0/edit#gid=884617569"",""S2 Totals!$A$2:$O$255""),7,FALSE)"),0.0)</f>
        <v>0</v>
      </c>
      <c r="K64" s="15">
        <f>IFERROR(__xludf.DUMMYFUNCTION("VLOOKUP(A64,IMPORTRANGE(""1QZ5UxyNCwadreQAXnQ7oCoH982DjIA-QnZdO7ZoqkC0/edit#gid=884617569"",""S2 Totals!$A$2:$O$255""),8,FALSE)"),0.0)</f>
        <v>0</v>
      </c>
      <c r="L64" s="110">
        <f t="shared" si="3"/>
        <v>0.3636363636</v>
      </c>
      <c r="M64" s="16">
        <f>IFERROR(__xludf.DUMMYFUNCTION("VLOOKUP(A64,IMPORTRANGE(""1QZ5UxyNCwadreQAXnQ7oCoH982DjIA-QnZdO7ZoqkC0/edit#gid=884617569"",""S2 Totals!$A$2:$O$255""),10,FALSE)"),2.0)</f>
        <v>2</v>
      </c>
      <c r="N64" s="15">
        <f>IFERROR(__xludf.DUMMYFUNCTION("VLOOKUP(A64,IMPORTRANGE(""1QZ5UxyNCwadreQAXnQ7oCoH982DjIA-QnZdO7ZoqkC0/edit#gid=884617569"",""S2 Totals!$A$2:$O$255""),11,FALSE)"),0.15384615384615385)</f>
        <v>0.1538461538</v>
      </c>
      <c r="O64" s="110">
        <f t="shared" si="4"/>
        <v>0.2097902098</v>
      </c>
      <c r="P64" s="16" t="str">
        <f>IFERROR(__xludf.DUMMYFUNCTION("VLOOKUP(A64,IMPORTRANGE(""1QZ5UxyNCwadreQAXnQ7oCoH982DjIA-QnZdO7ZoqkC0/edit#gid=884617569"",""S2 Totals!$A$2:$O$255""),13,FALSE)"),"")</f>
        <v/>
      </c>
      <c r="Q64" s="15" t="str">
        <f>IFERROR(__xludf.DUMMYFUNCTION("VLOOKUP(A64,IMPORTRANGE(""1QZ5UxyNCwadreQAXnQ7oCoH982DjIA-QnZdO7ZoqkC0/edit#gid=884617569"",""S2 Totals!$A$2:$O$255""),14,FALSE)"),"")</f>
        <v/>
      </c>
      <c r="R64" s="129">
        <f t="shared" si="5"/>
        <v>0.3636363636</v>
      </c>
    </row>
    <row r="65">
      <c r="A65" s="128" t="s">
        <v>122</v>
      </c>
      <c r="B65" s="16">
        <f>IFERROR(__xludf.DUMMYFUNCTION("VLOOKUP(A65,IMPORTRANGE(""1aFCnJY1qhIj8-JckJhDJ18aqmVo17tofpQmOjcYa3u8/edit#gid=1878241338"",""S2 Totals!$A$2:$O$255""),2,FALSE)"),0.0)</f>
        <v>0</v>
      </c>
      <c r="C65" s="15">
        <f>IFERROR(__xludf.DUMMYFUNCTION("VLOOKUP(A65,IMPORTRANGE(""1aFCnJY1qhIj8-JckJhDJ18aqmVo17tofpQmOjcYa3u8/edit#gid=1878241338"",""S2 Totals!$A$2:$O$255""),3,FALSE)"),0.0)</f>
        <v>0</v>
      </c>
      <c r="D65" s="16">
        <f>IFERROR(__xludf.DUMMYFUNCTION("VLOOKUP(A65,IMPORTRANGE(""1QZ5UxyNCwadreQAXnQ7oCoH982DjIA-QnZdO7ZoqkC0/edit#gid=884617569"",""S2 Totals!$A$2:$O$255""),2,FALSE)"),0.0)</f>
        <v>0</v>
      </c>
      <c r="E65" s="15">
        <f>IFERROR(__xludf.DUMMYFUNCTION("VLOOKUP(A65,IMPORTRANGE(""1QZ5UxyNCwadreQAXnQ7oCoH982DjIA-QnZdO7ZoqkC0/edit#gid=884617569"",""S2 Totals!$A$2:$O$255""),3,FALSE)"),0.0)</f>
        <v>0</v>
      </c>
      <c r="F65" s="15">
        <f t="shared" si="1"/>
        <v>0</v>
      </c>
      <c r="G65" s="16">
        <f>IFERROR(__xludf.DUMMYFUNCTION("VLOOKUP(A65,IMPORTRANGE(""1QZ5UxyNCwadreQAXnQ7oCoH982DjIA-QnZdO7ZoqkC0/edit#gid=884617569"",""S2 Totals!$A$2:$O$255""),4,FALSE)"),2.0)</f>
        <v>2</v>
      </c>
      <c r="H65" s="15">
        <f>IFERROR(__xludf.DUMMYFUNCTION("VLOOKUP(A65,IMPORTRANGE(""1QZ5UxyNCwadreQAXnQ7oCoH982DjIA-QnZdO7ZoqkC0/edit#gid=884617569"",""S2 Totals!$A$2:$O$255""),5,FALSE)"),0.16666666666666666)</f>
        <v>0.1666666667</v>
      </c>
      <c r="I65" s="15">
        <f t="shared" si="2"/>
        <v>-0.1666666667</v>
      </c>
      <c r="J65" s="16">
        <f>IFERROR(__xludf.DUMMYFUNCTION("VLOOKUP(A65,IMPORTRANGE(""1QZ5UxyNCwadreQAXnQ7oCoH982DjIA-QnZdO7ZoqkC0/edit#gid=884617569"",""S2 Totals!$A$2:$O$255""),7,FALSE)"),2.0)</f>
        <v>2</v>
      </c>
      <c r="K65" s="15">
        <f>IFERROR(__xludf.DUMMYFUNCTION("VLOOKUP(A65,IMPORTRANGE(""1QZ5UxyNCwadreQAXnQ7oCoH982DjIA-QnZdO7ZoqkC0/edit#gid=884617569"",""S2 Totals!$A$2:$O$255""),8,FALSE)"),0.16666666666666666)</f>
        <v>0.1666666667</v>
      </c>
      <c r="L65" s="110">
        <f t="shared" si="3"/>
        <v>-0.1666666667</v>
      </c>
      <c r="M65" s="16">
        <f>IFERROR(__xludf.DUMMYFUNCTION("VLOOKUP(A65,IMPORTRANGE(""1QZ5UxyNCwadreQAXnQ7oCoH982DjIA-QnZdO7ZoqkC0/edit#gid=884617569"",""S2 Totals!$A$2:$O$255""),10,FALSE)"),0.0)</f>
        <v>0</v>
      </c>
      <c r="N65" s="15">
        <f>IFERROR(__xludf.DUMMYFUNCTION("VLOOKUP(A65,IMPORTRANGE(""1QZ5UxyNCwadreQAXnQ7oCoH982DjIA-QnZdO7ZoqkC0/edit#gid=884617569"",""S2 Totals!$A$2:$O$255""),11,FALSE)"),0.0)</f>
        <v>0</v>
      </c>
      <c r="O65" s="110">
        <f t="shared" si="4"/>
        <v>0</v>
      </c>
      <c r="P65" s="16" t="str">
        <f>IFERROR(__xludf.DUMMYFUNCTION("VLOOKUP(A65,IMPORTRANGE(""1QZ5UxyNCwadreQAXnQ7oCoH982DjIA-QnZdO7ZoqkC0/edit#gid=884617569"",""S2 Totals!$A$2:$O$255""),13,FALSE)"),"")</f>
        <v/>
      </c>
      <c r="Q65" s="15" t="str">
        <f>IFERROR(__xludf.DUMMYFUNCTION("VLOOKUP(A65,IMPORTRANGE(""1QZ5UxyNCwadreQAXnQ7oCoH982DjIA-QnZdO7ZoqkC0/edit#gid=884617569"",""S2 Totals!$A$2:$O$255""),14,FALSE)"),"")</f>
        <v/>
      </c>
      <c r="R65" s="129">
        <f t="shared" si="5"/>
        <v>0</v>
      </c>
    </row>
    <row r="66">
      <c r="A66" s="133" t="s">
        <v>45</v>
      </c>
      <c r="B66" s="16">
        <f>IFERROR(__xludf.DUMMYFUNCTION("VLOOKUP(A66,IMPORTRANGE(""1aFCnJY1qhIj8-JckJhDJ18aqmVo17tofpQmOjcYa3u8/edit#gid=1878241338"",""S2 Totals!$A$2:$O$255""),2,FALSE)"),1.0)</f>
        <v>1</v>
      </c>
      <c r="C66" s="15">
        <f>IFERROR(__xludf.DUMMYFUNCTION("VLOOKUP(A66,IMPORTRANGE(""1aFCnJY1qhIj8-JckJhDJ18aqmVo17tofpQmOjcYa3u8/edit#gid=1878241338"",""S2 Totals!$A$2:$O$255""),3,FALSE)"),0.09090909090909091)</f>
        <v>0.09090909091</v>
      </c>
      <c r="D66" s="16">
        <f>IFERROR(__xludf.DUMMYFUNCTION("VLOOKUP(A66,IMPORTRANGE(""1QZ5UxyNCwadreQAXnQ7oCoH982DjIA-QnZdO7ZoqkC0/edit#gid=884617569"",""S2 Totals!$A$2:$O$255""),2,FALSE)"),2.0)</f>
        <v>2</v>
      </c>
      <c r="E66" s="15">
        <f>IFERROR(__xludf.DUMMYFUNCTION("VLOOKUP(A66,IMPORTRANGE(""1QZ5UxyNCwadreQAXnQ7oCoH982DjIA-QnZdO7ZoqkC0/edit#gid=884617569"",""S2 Totals!$A$2:$O$255""),3,FALSE)"),0.15384615384615385)</f>
        <v>0.1538461538</v>
      </c>
      <c r="F66" s="15">
        <f t="shared" si="1"/>
        <v>-0.06293706294</v>
      </c>
      <c r="G66" s="16">
        <f>IFERROR(__xludf.DUMMYFUNCTION("VLOOKUP(A66,IMPORTRANGE(""1QZ5UxyNCwadreQAXnQ7oCoH982DjIA-QnZdO7ZoqkC0/edit#gid=884617569"",""S2 Totals!$A$2:$O$255""),4,FALSE)"),4.0)</f>
        <v>4</v>
      </c>
      <c r="H66" s="15">
        <f>IFERROR(__xludf.DUMMYFUNCTION("VLOOKUP(A66,IMPORTRANGE(""1QZ5UxyNCwadreQAXnQ7oCoH982DjIA-QnZdO7ZoqkC0/edit#gid=884617569"",""S2 Totals!$A$2:$O$255""),5,FALSE)"),0.3333333333333333)</f>
        <v>0.3333333333</v>
      </c>
      <c r="I66" s="15">
        <f t="shared" si="2"/>
        <v>-0.2424242424</v>
      </c>
      <c r="J66" s="16">
        <f>IFERROR(__xludf.DUMMYFUNCTION("VLOOKUP(A66,IMPORTRANGE(""1QZ5UxyNCwadreQAXnQ7oCoH982DjIA-QnZdO7ZoqkC0/edit#gid=884617569"",""S2 Totals!$A$2:$O$255""),7,FALSE)"),2.0)</f>
        <v>2</v>
      </c>
      <c r="K66" s="15">
        <f>IFERROR(__xludf.DUMMYFUNCTION("VLOOKUP(A66,IMPORTRANGE(""1QZ5UxyNCwadreQAXnQ7oCoH982DjIA-QnZdO7ZoqkC0/edit#gid=884617569"",""S2 Totals!$A$2:$O$255""),8,FALSE)"),0.16666666666666666)</f>
        <v>0.1666666667</v>
      </c>
      <c r="L66" s="110">
        <f t="shared" si="3"/>
        <v>-0.07575757576</v>
      </c>
      <c r="M66" s="16">
        <f>IFERROR(__xludf.DUMMYFUNCTION("VLOOKUP(A66,IMPORTRANGE(""1QZ5UxyNCwadreQAXnQ7oCoH982DjIA-QnZdO7ZoqkC0/edit#gid=884617569"",""S2 Totals!$A$2:$O$255""),10,FALSE)"),7.0)</f>
        <v>7</v>
      </c>
      <c r="N66" s="15">
        <f>IFERROR(__xludf.DUMMYFUNCTION("VLOOKUP(A66,IMPORTRANGE(""1QZ5UxyNCwadreQAXnQ7oCoH982DjIA-QnZdO7ZoqkC0/edit#gid=884617569"",""S2 Totals!$A$2:$O$255""),11,FALSE)"),0.5384615384615384)</f>
        <v>0.5384615385</v>
      </c>
      <c r="O66" s="110">
        <f t="shared" si="4"/>
        <v>-0.4475524476</v>
      </c>
      <c r="P66" s="16">
        <f>IFERROR(__xludf.DUMMYFUNCTION("VLOOKUP(A66,IMPORTRANGE(""1QZ5UxyNCwadreQAXnQ7oCoH982DjIA-QnZdO7ZoqkC0/edit#gid=884617569"",""S2 Totals!$A$2:$O$255""),13,FALSE)"),7.0)</f>
        <v>7</v>
      </c>
      <c r="Q66" s="15">
        <f>IFERROR(__xludf.DUMMYFUNCTION("VLOOKUP(A66,IMPORTRANGE(""1QZ5UxyNCwadreQAXnQ7oCoH982DjIA-QnZdO7ZoqkC0/edit#gid=884617569"",""S2 Totals!$A$2:$O$255""),14,FALSE)"),0.5833333333333334)</f>
        <v>0.5833333333</v>
      </c>
      <c r="R66" s="129">
        <f t="shared" si="5"/>
        <v>-0.4924242424</v>
      </c>
    </row>
    <row r="67">
      <c r="A67" s="128" t="s">
        <v>46</v>
      </c>
      <c r="B67" s="16">
        <f>IFERROR(__xludf.DUMMYFUNCTION("VLOOKUP(A67,IMPORTRANGE(""1aFCnJY1qhIj8-JckJhDJ18aqmVo17tofpQmOjcYa3u8/edit#gid=1878241338"",""S2 Totals!$A$2:$O$255""),2,FALSE)"),7.0)</f>
        <v>7</v>
      </c>
      <c r="C67" s="15">
        <f>IFERROR(__xludf.DUMMYFUNCTION("VLOOKUP(A67,IMPORTRANGE(""1aFCnJY1qhIj8-JckJhDJ18aqmVo17tofpQmOjcYa3u8/edit#gid=1878241338"",""S2 Totals!$A$2:$O$255""),3,FALSE)"),0.6363636363636364)</f>
        <v>0.6363636364</v>
      </c>
      <c r="D67" s="16">
        <f>IFERROR(__xludf.DUMMYFUNCTION("VLOOKUP(A67,IMPORTRANGE(""1QZ5UxyNCwadreQAXnQ7oCoH982DjIA-QnZdO7ZoqkC0/edit#gid=884617569"",""S2 Totals!$A$2:$O$255""),2,FALSE)"),10.0)</f>
        <v>10</v>
      </c>
      <c r="E67" s="15">
        <f>IFERROR(__xludf.DUMMYFUNCTION("VLOOKUP(A67,IMPORTRANGE(""1QZ5UxyNCwadreQAXnQ7oCoH982DjIA-QnZdO7ZoqkC0/edit#gid=884617569"",""S2 Totals!$A$2:$O$255""),3,FALSE)"),0.7692307692307693)</f>
        <v>0.7692307692</v>
      </c>
      <c r="F67" s="15">
        <f t="shared" si="1"/>
        <v>-0.1328671329</v>
      </c>
      <c r="G67" s="16">
        <f>IFERROR(__xludf.DUMMYFUNCTION("VLOOKUP(A67,IMPORTRANGE(""1QZ5UxyNCwadreQAXnQ7oCoH982DjIA-QnZdO7ZoqkC0/edit#gid=884617569"",""S2 Totals!$A$2:$O$255""),4,FALSE)"),8.0)</f>
        <v>8</v>
      </c>
      <c r="H67" s="15">
        <f>IFERROR(__xludf.DUMMYFUNCTION("VLOOKUP(A67,IMPORTRANGE(""1QZ5UxyNCwadreQAXnQ7oCoH982DjIA-QnZdO7ZoqkC0/edit#gid=884617569"",""S2 Totals!$A$2:$O$255""),5,FALSE)"),0.6666666666666666)</f>
        <v>0.6666666667</v>
      </c>
      <c r="I67" s="15">
        <f t="shared" si="2"/>
        <v>-0.0303030303</v>
      </c>
      <c r="J67" s="16">
        <f>IFERROR(__xludf.DUMMYFUNCTION("VLOOKUP(A67,IMPORTRANGE(""1QZ5UxyNCwadreQAXnQ7oCoH982DjIA-QnZdO7ZoqkC0/edit#gid=884617569"",""S2 Totals!$A$2:$O$255""),7,FALSE)"),4.0)</f>
        <v>4</v>
      </c>
      <c r="K67" s="15">
        <f>IFERROR(__xludf.DUMMYFUNCTION("VLOOKUP(A67,IMPORTRANGE(""1QZ5UxyNCwadreQAXnQ7oCoH982DjIA-QnZdO7ZoqkC0/edit#gid=884617569"",""S2 Totals!$A$2:$O$255""),8,FALSE)"),0.3333333333333333)</f>
        <v>0.3333333333</v>
      </c>
      <c r="L67" s="110">
        <f t="shared" si="3"/>
        <v>0.303030303</v>
      </c>
      <c r="M67" s="16">
        <f>IFERROR(__xludf.DUMMYFUNCTION("VLOOKUP(A67,IMPORTRANGE(""1QZ5UxyNCwadreQAXnQ7oCoH982DjIA-QnZdO7ZoqkC0/edit#gid=884617569"",""S2 Totals!$A$2:$O$255""),10,FALSE)"),0.0)</f>
        <v>0</v>
      </c>
      <c r="N67" s="15">
        <f>IFERROR(__xludf.DUMMYFUNCTION("VLOOKUP(A67,IMPORTRANGE(""1QZ5UxyNCwadreQAXnQ7oCoH982DjIA-QnZdO7ZoqkC0/edit#gid=884617569"",""S2 Totals!$A$2:$O$255""),11,FALSE)"),0.0)</f>
        <v>0</v>
      </c>
      <c r="O67" s="110">
        <f t="shared" si="4"/>
        <v>0.6363636364</v>
      </c>
      <c r="P67" s="16">
        <f>IFERROR(__xludf.DUMMYFUNCTION("VLOOKUP(A67,IMPORTRANGE(""1QZ5UxyNCwadreQAXnQ7oCoH982DjIA-QnZdO7ZoqkC0/edit#gid=884617569"",""S2 Totals!$A$2:$O$255""),13,FALSE)"),0.0)</f>
        <v>0</v>
      </c>
      <c r="Q67" s="15">
        <f>IFERROR(__xludf.DUMMYFUNCTION("VLOOKUP(A67,IMPORTRANGE(""1QZ5UxyNCwadreQAXnQ7oCoH982DjIA-QnZdO7ZoqkC0/edit#gid=884617569"",""S2 Totals!$A$2:$O$255""),14,FALSE)"),0.0)</f>
        <v>0</v>
      </c>
      <c r="R67" s="129">
        <f t="shared" si="5"/>
        <v>0.6363636364</v>
      </c>
    </row>
    <row r="68">
      <c r="A68" s="128" t="s">
        <v>224</v>
      </c>
      <c r="B68" s="16">
        <f>IFERROR(__xludf.DUMMYFUNCTION("VLOOKUP(A68,IMPORTRANGE(""1aFCnJY1qhIj8-JckJhDJ18aqmVo17tofpQmOjcYa3u8/edit#gid=1878241338"",""S2 Totals!$A$2:$O$255""),2,FALSE)"),3.0)</f>
        <v>3</v>
      </c>
      <c r="C68" s="15">
        <f>IFERROR(__xludf.DUMMYFUNCTION("VLOOKUP(A68,IMPORTRANGE(""1aFCnJY1qhIj8-JckJhDJ18aqmVo17tofpQmOjcYa3u8/edit#gid=1878241338"",""S2 Totals!$A$2:$O$255""),3,FALSE)"),0.2727272727272727)</f>
        <v>0.2727272727</v>
      </c>
      <c r="D68" s="16">
        <f>IFERROR(__xludf.DUMMYFUNCTION("VLOOKUP(A68,IMPORTRANGE(""1QZ5UxyNCwadreQAXnQ7oCoH982DjIA-QnZdO7ZoqkC0/edit#gid=884617569"",""S2 Totals!$A$2:$O$255""),2,FALSE)"),4.0)</f>
        <v>4</v>
      </c>
      <c r="E68" s="15">
        <f>IFERROR(__xludf.DUMMYFUNCTION("VLOOKUP(A68,IMPORTRANGE(""1QZ5UxyNCwadreQAXnQ7oCoH982DjIA-QnZdO7ZoqkC0/edit#gid=884617569"",""S2 Totals!$A$2:$O$255""),3,FALSE)"),0.3076923076923077)</f>
        <v>0.3076923077</v>
      </c>
      <c r="F68" s="15">
        <f t="shared" si="1"/>
        <v>-0.03496503497</v>
      </c>
      <c r="G68" s="16">
        <f>IFERROR(__xludf.DUMMYFUNCTION("VLOOKUP(A68,IMPORTRANGE(""1QZ5UxyNCwadreQAXnQ7oCoH982DjIA-QnZdO7ZoqkC0/edit#gid=884617569"",""S2 Totals!$A$2:$O$255""),4,FALSE)"),2.0)</f>
        <v>2</v>
      </c>
      <c r="H68" s="15">
        <f>IFERROR(__xludf.DUMMYFUNCTION("VLOOKUP(A68,IMPORTRANGE(""1QZ5UxyNCwadreQAXnQ7oCoH982DjIA-QnZdO7ZoqkC0/edit#gid=884617569"",""S2 Totals!$A$2:$O$255""),5,FALSE)"),0.16666666666666666)</f>
        <v>0.1666666667</v>
      </c>
      <c r="I68" s="15">
        <f t="shared" si="2"/>
        <v>0.1060606061</v>
      </c>
      <c r="J68" s="16" t="str">
        <f>IFERROR(__xludf.DUMMYFUNCTION("VLOOKUP(A68,IMPORTRANGE(""1QZ5UxyNCwadreQAXnQ7oCoH982DjIA-QnZdO7ZoqkC0/edit#gid=884617569"",""S2 Totals!$A$2:$O$255""),7,FALSE)"),"")</f>
        <v/>
      </c>
      <c r="K68" s="15" t="str">
        <f>IFERROR(__xludf.DUMMYFUNCTION("VLOOKUP(A68,IMPORTRANGE(""1QZ5UxyNCwadreQAXnQ7oCoH982DjIA-QnZdO7ZoqkC0/edit#gid=884617569"",""S2 Totals!$A$2:$O$255""),8,FALSE)"),"")</f>
        <v/>
      </c>
      <c r="L68" s="110">
        <f t="shared" si="3"/>
        <v>0.2727272727</v>
      </c>
      <c r="M68" s="16" t="str">
        <f>IFERROR(__xludf.DUMMYFUNCTION("VLOOKUP(A68,IMPORTRANGE(""1QZ5UxyNCwadreQAXnQ7oCoH982DjIA-QnZdO7ZoqkC0/edit#gid=884617569"",""S2 Totals!$A$2:$O$255""),10,FALSE)"),"")</f>
        <v/>
      </c>
      <c r="N68" s="15" t="str">
        <f>IFERROR(__xludf.DUMMYFUNCTION("VLOOKUP(A68,IMPORTRANGE(""1QZ5UxyNCwadreQAXnQ7oCoH982DjIA-QnZdO7ZoqkC0/edit#gid=884617569"",""S2 Totals!$A$2:$O$255""),11,FALSE)"),"")</f>
        <v/>
      </c>
      <c r="O68" s="110">
        <f t="shared" si="4"/>
        <v>0.2727272727</v>
      </c>
      <c r="P68" s="16" t="str">
        <f>IFERROR(__xludf.DUMMYFUNCTION("VLOOKUP(A68,IMPORTRANGE(""1QZ5UxyNCwadreQAXnQ7oCoH982DjIA-QnZdO7ZoqkC0/edit#gid=884617569"",""S2 Totals!$A$2:$O$255""),13,FALSE)"),"")</f>
        <v/>
      </c>
      <c r="Q68" s="15" t="str">
        <f>IFERROR(__xludf.DUMMYFUNCTION("VLOOKUP(A68,IMPORTRANGE(""1QZ5UxyNCwadreQAXnQ7oCoH982DjIA-QnZdO7ZoqkC0/edit#gid=884617569"",""S2 Totals!$A$2:$O$255""),14,FALSE)"),"")</f>
        <v/>
      </c>
      <c r="R68" s="129">
        <f t="shared" si="5"/>
        <v>0.2727272727</v>
      </c>
    </row>
    <row r="69">
      <c r="A69" s="128" t="s">
        <v>225</v>
      </c>
      <c r="B69" s="16">
        <f>IFERROR(__xludf.DUMMYFUNCTION("VLOOKUP(A69,IMPORTRANGE(""1aFCnJY1qhIj8-JckJhDJ18aqmVo17tofpQmOjcYa3u8/edit#gid=1878241338"",""S2 Totals!$A$2:$O$255""),2,FALSE)"),0.0)</f>
        <v>0</v>
      </c>
      <c r="C69" s="15">
        <f>IFERROR(__xludf.DUMMYFUNCTION("VLOOKUP(A69,IMPORTRANGE(""1aFCnJY1qhIj8-JckJhDJ18aqmVo17tofpQmOjcYa3u8/edit#gid=1878241338"",""S2 Totals!$A$2:$O$255""),3,FALSE)"),0.0)</f>
        <v>0</v>
      </c>
      <c r="D69" s="16">
        <f>IFERROR(__xludf.DUMMYFUNCTION("VLOOKUP(A69,IMPORTRANGE(""1QZ5UxyNCwadreQAXnQ7oCoH982DjIA-QnZdO7ZoqkC0/edit#gid=884617569"",""S2 Totals!$A$2:$O$255""),2,FALSE)"),0.0)</f>
        <v>0</v>
      </c>
      <c r="E69" s="15">
        <f>IFERROR(__xludf.DUMMYFUNCTION("VLOOKUP(A69,IMPORTRANGE(""1QZ5UxyNCwadreQAXnQ7oCoH982DjIA-QnZdO7ZoqkC0/edit#gid=884617569"",""S2 Totals!$A$2:$O$255""),3,FALSE)"),0.0)</f>
        <v>0</v>
      </c>
      <c r="F69" s="15">
        <f t="shared" si="1"/>
        <v>0</v>
      </c>
      <c r="G69" s="16">
        <f>IFERROR(__xludf.DUMMYFUNCTION("VLOOKUP(A69,IMPORTRANGE(""1QZ5UxyNCwadreQAXnQ7oCoH982DjIA-QnZdO7ZoqkC0/edit#gid=884617569"",""S2 Totals!$A$2:$O$255""),4,FALSE)"),0.0)</f>
        <v>0</v>
      </c>
      <c r="H69" s="15">
        <f>IFERROR(__xludf.DUMMYFUNCTION("VLOOKUP(A69,IMPORTRANGE(""1QZ5UxyNCwadreQAXnQ7oCoH982DjIA-QnZdO7ZoqkC0/edit#gid=884617569"",""S2 Totals!$A$2:$O$255""),5,FALSE)"),0.0)</f>
        <v>0</v>
      </c>
      <c r="I69" s="15">
        <f t="shared" si="2"/>
        <v>0</v>
      </c>
      <c r="J69" s="16" t="str">
        <f>IFERROR(__xludf.DUMMYFUNCTION("VLOOKUP(A69,IMPORTRANGE(""1QZ5UxyNCwadreQAXnQ7oCoH982DjIA-QnZdO7ZoqkC0/edit#gid=884617569"",""S2 Totals!$A$2:$O$255""),7,FALSE)"),"")</f>
        <v/>
      </c>
      <c r="K69" s="15" t="str">
        <f>IFERROR(__xludf.DUMMYFUNCTION("VLOOKUP(A69,IMPORTRANGE(""1QZ5UxyNCwadreQAXnQ7oCoH982DjIA-QnZdO7ZoqkC0/edit#gid=884617569"",""S2 Totals!$A$2:$O$255""),8,FALSE)"),"")</f>
        <v/>
      </c>
      <c r="L69" s="110">
        <f t="shared" si="3"/>
        <v>0</v>
      </c>
      <c r="M69" s="16" t="str">
        <f>IFERROR(__xludf.DUMMYFUNCTION("VLOOKUP(A69,IMPORTRANGE(""1QZ5UxyNCwadreQAXnQ7oCoH982DjIA-QnZdO7ZoqkC0/edit#gid=884617569"",""S2 Totals!$A$2:$O$255""),10,FALSE)"),"")</f>
        <v/>
      </c>
      <c r="N69" s="15" t="str">
        <f>IFERROR(__xludf.DUMMYFUNCTION("VLOOKUP(A69,IMPORTRANGE(""1QZ5UxyNCwadreQAXnQ7oCoH982DjIA-QnZdO7ZoqkC0/edit#gid=884617569"",""S2 Totals!$A$2:$O$255""),11,FALSE)"),"")</f>
        <v/>
      </c>
      <c r="O69" s="110">
        <f t="shared" si="4"/>
        <v>0</v>
      </c>
      <c r="P69" s="16" t="str">
        <f>IFERROR(__xludf.DUMMYFUNCTION("VLOOKUP(A69,IMPORTRANGE(""1QZ5UxyNCwadreQAXnQ7oCoH982DjIA-QnZdO7ZoqkC0/edit#gid=884617569"",""S2 Totals!$A$2:$O$255""),13,FALSE)"),"")</f>
        <v/>
      </c>
      <c r="Q69" s="15" t="str">
        <f>IFERROR(__xludf.DUMMYFUNCTION("VLOOKUP(A69,IMPORTRANGE(""1QZ5UxyNCwadreQAXnQ7oCoH982DjIA-QnZdO7ZoqkC0/edit#gid=884617569"",""S2 Totals!$A$2:$O$255""),14,FALSE)"),"")</f>
        <v/>
      </c>
      <c r="R69" s="129">
        <f t="shared" si="5"/>
        <v>0</v>
      </c>
    </row>
    <row r="70">
      <c r="A70" s="128" t="s">
        <v>123</v>
      </c>
      <c r="B70" s="16">
        <f>IFERROR(__xludf.DUMMYFUNCTION("VLOOKUP(A70,IMPORTRANGE(""1aFCnJY1qhIj8-JckJhDJ18aqmVo17tofpQmOjcYa3u8/edit#gid=1878241338"",""S2 Totals!$A$2:$O$255""),2,FALSE)"),2.0)</f>
        <v>2</v>
      </c>
      <c r="C70" s="15">
        <f>IFERROR(__xludf.DUMMYFUNCTION("VLOOKUP(A70,IMPORTRANGE(""1aFCnJY1qhIj8-JckJhDJ18aqmVo17tofpQmOjcYa3u8/edit#gid=1878241338"",""S2 Totals!$A$2:$O$255""),3,FALSE)"),0.18181818181818182)</f>
        <v>0.1818181818</v>
      </c>
      <c r="D70" s="16">
        <f>IFERROR(__xludf.DUMMYFUNCTION("VLOOKUP(A70,IMPORTRANGE(""1QZ5UxyNCwadreQAXnQ7oCoH982DjIA-QnZdO7ZoqkC0/edit#gid=884617569"",""S2 Totals!$A$2:$O$255""),2,FALSE)"),0.0)</f>
        <v>0</v>
      </c>
      <c r="E70" s="15">
        <f>IFERROR(__xludf.DUMMYFUNCTION("VLOOKUP(A70,IMPORTRANGE(""1QZ5UxyNCwadreQAXnQ7oCoH982DjIA-QnZdO7ZoqkC0/edit#gid=884617569"",""S2 Totals!$A$2:$O$255""),3,FALSE)"),0.0)</f>
        <v>0</v>
      </c>
      <c r="F70" s="15">
        <f t="shared" si="1"/>
        <v>0.1818181818</v>
      </c>
      <c r="G70" s="16">
        <f>IFERROR(__xludf.DUMMYFUNCTION("VLOOKUP(A70,IMPORTRANGE(""1QZ5UxyNCwadreQAXnQ7oCoH982DjIA-QnZdO7ZoqkC0/edit#gid=884617569"",""S2 Totals!$A$2:$O$255""),4,FALSE)"),0.0)</f>
        <v>0</v>
      </c>
      <c r="H70" s="15">
        <f>IFERROR(__xludf.DUMMYFUNCTION("VLOOKUP(A70,IMPORTRANGE(""1QZ5UxyNCwadreQAXnQ7oCoH982DjIA-QnZdO7ZoqkC0/edit#gid=884617569"",""S2 Totals!$A$2:$O$255""),5,FALSE)"),0.0)</f>
        <v>0</v>
      </c>
      <c r="I70" s="15">
        <f t="shared" si="2"/>
        <v>0.1818181818</v>
      </c>
      <c r="J70" s="16">
        <f>IFERROR(__xludf.DUMMYFUNCTION("VLOOKUP(A70,IMPORTRANGE(""1QZ5UxyNCwadreQAXnQ7oCoH982DjIA-QnZdO7ZoqkC0/edit#gid=884617569"",""S2 Totals!$A$2:$O$255""),7,FALSE)"),0.0)</f>
        <v>0</v>
      </c>
      <c r="K70" s="15">
        <f>IFERROR(__xludf.DUMMYFUNCTION("VLOOKUP(A70,IMPORTRANGE(""1QZ5UxyNCwadreQAXnQ7oCoH982DjIA-QnZdO7ZoqkC0/edit#gid=884617569"",""S2 Totals!$A$2:$O$255""),8,FALSE)"),0.0)</f>
        <v>0</v>
      </c>
      <c r="L70" s="110">
        <f t="shared" si="3"/>
        <v>0.1818181818</v>
      </c>
      <c r="M70" s="16">
        <f>IFERROR(__xludf.DUMMYFUNCTION("VLOOKUP(A70,IMPORTRANGE(""1QZ5UxyNCwadreQAXnQ7oCoH982DjIA-QnZdO7ZoqkC0/edit#gid=884617569"",""S2 Totals!$A$2:$O$255""),10,FALSE)"),0.0)</f>
        <v>0</v>
      </c>
      <c r="N70" s="15">
        <f>IFERROR(__xludf.DUMMYFUNCTION("VLOOKUP(A70,IMPORTRANGE(""1QZ5UxyNCwadreQAXnQ7oCoH982DjIA-QnZdO7ZoqkC0/edit#gid=884617569"",""S2 Totals!$A$2:$O$255""),11,FALSE)"),0.0)</f>
        <v>0</v>
      </c>
      <c r="O70" s="110">
        <f t="shared" si="4"/>
        <v>0.1818181818</v>
      </c>
      <c r="P70" s="16" t="str">
        <f>IFERROR(__xludf.DUMMYFUNCTION("VLOOKUP(A70,IMPORTRANGE(""1QZ5UxyNCwadreQAXnQ7oCoH982DjIA-QnZdO7ZoqkC0/edit#gid=884617569"",""S2 Totals!$A$2:$O$255""),13,FALSE)"),"")</f>
        <v/>
      </c>
      <c r="Q70" s="15" t="str">
        <f>IFERROR(__xludf.DUMMYFUNCTION("VLOOKUP(A70,IMPORTRANGE(""1QZ5UxyNCwadreQAXnQ7oCoH982DjIA-QnZdO7ZoqkC0/edit#gid=884617569"",""S2 Totals!$A$2:$O$255""),14,FALSE)"),"")</f>
        <v/>
      </c>
      <c r="R70" s="129">
        <f t="shared" si="5"/>
        <v>0.1818181818</v>
      </c>
    </row>
    <row r="71">
      <c r="A71" s="128" t="s">
        <v>226</v>
      </c>
      <c r="B71" s="16">
        <f>IFERROR(__xludf.DUMMYFUNCTION("VLOOKUP(A71,IMPORTRANGE(""1aFCnJY1qhIj8-JckJhDJ18aqmVo17tofpQmOjcYa3u8/edit#gid=1878241338"",""S2 Totals!$A$2:$O$255""),2,FALSE)"),9.0)</f>
        <v>9</v>
      </c>
      <c r="C71" s="15">
        <f>IFERROR(__xludf.DUMMYFUNCTION("VLOOKUP(A71,IMPORTRANGE(""1aFCnJY1qhIj8-JckJhDJ18aqmVo17tofpQmOjcYa3u8/edit#gid=1878241338"",""S2 Totals!$A$2:$O$255""),3,FALSE)"),0.8181818181818182)</f>
        <v>0.8181818182</v>
      </c>
      <c r="D71" s="16">
        <f>IFERROR(__xludf.DUMMYFUNCTION("VLOOKUP(A71,IMPORTRANGE(""1QZ5UxyNCwadreQAXnQ7oCoH982DjIA-QnZdO7ZoqkC0/edit#gid=884617569"",""S2 Totals!$A$2:$O$255""),2,FALSE)"),4.0)</f>
        <v>4</v>
      </c>
      <c r="E71" s="15">
        <f>IFERROR(__xludf.DUMMYFUNCTION("VLOOKUP(A71,IMPORTRANGE(""1QZ5UxyNCwadreQAXnQ7oCoH982DjIA-QnZdO7ZoqkC0/edit#gid=884617569"",""S2 Totals!$A$2:$O$255""),3,FALSE)"),0.3076923076923077)</f>
        <v>0.3076923077</v>
      </c>
      <c r="F71" s="15">
        <f t="shared" si="1"/>
        <v>0.5104895105</v>
      </c>
      <c r="G71" s="16">
        <f>IFERROR(__xludf.DUMMYFUNCTION("VLOOKUP(A71,IMPORTRANGE(""1QZ5UxyNCwadreQAXnQ7oCoH982DjIA-QnZdO7ZoqkC0/edit#gid=884617569"",""S2 Totals!$A$2:$O$255""),4,FALSE)"),2.0)</f>
        <v>2</v>
      </c>
      <c r="H71" s="15">
        <f>IFERROR(__xludf.DUMMYFUNCTION("VLOOKUP(A71,IMPORTRANGE(""1QZ5UxyNCwadreQAXnQ7oCoH982DjIA-QnZdO7ZoqkC0/edit#gid=884617569"",""S2 Totals!$A$2:$O$255""),5,FALSE)"),0.16666666666666666)</f>
        <v>0.1666666667</v>
      </c>
      <c r="I71" s="15">
        <f t="shared" si="2"/>
        <v>0.6515151515</v>
      </c>
      <c r="J71" s="16" t="str">
        <f>IFERROR(__xludf.DUMMYFUNCTION("VLOOKUP(A71,IMPORTRANGE(""1QZ5UxyNCwadreQAXnQ7oCoH982DjIA-QnZdO7ZoqkC0/edit#gid=884617569"",""S2 Totals!$A$2:$O$255""),7,FALSE)"),"")</f>
        <v/>
      </c>
      <c r="K71" s="15" t="str">
        <f>IFERROR(__xludf.DUMMYFUNCTION("VLOOKUP(A71,IMPORTRANGE(""1QZ5UxyNCwadreQAXnQ7oCoH982DjIA-QnZdO7ZoqkC0/edit#gid=884617569"",""S2 Totals!$A$2:$O$255""),8,FALSE)"),"")</f>
        <v/>
      </c>
      <c r="L71" s="110">
        <f t="shared" si="3"/>
        <v>0.8181818182</v>
      </c>
      <c r="M71" s="16" t="str">
        <f>IFERROR(__xludf.DUMMYFUNCTION("VLOOKUP(A71,IMPORTRANGE(""1QZ5UxyNCwadreQAXnQ7oCoH982DjIA-QnZdO7ZoqkC0/edit#gid=884617569"",""S2 Totals!$A$2:$O$255""),10,FALSE)"),"")</f>
        <v/>
      </c>
      <c r="N71" s="15" t="str">
        <f>IFERROR(__xludf.DUMMYFUNCTION("VLOOKUP(A71,IMPORTRANGE(""1QZ5UxyNCwadreQAXnQ7oCoH982DjIA-QnZdO7ZoqkC0/edit#gid=884617569"",""S2 Totals!$A$2:$O$255""),11,FALSE)"),"")</f>
        <v/>
      </c>
      <c r="O71" s="110">
        <f t="shared" si="4"/>
        <v>0.8181818182</v>
      </c>
      <c r="P71" s="16" t="str">
        <f>IFERROR(__xludf.DUMMYFUNCTION("VLOOKUP(A71,IMPORTRANGE(""1QZ5UxyNCwadreQAXnQ7oCoH982DjIA-QnZdO7ZoqkC0/edit#gid=884617569"",""S2 Totals!$A$2:$O$255""),13,FALSE)"),"")</f>
        <v/>
      </c>
      <c r="Q71" s="15" t="str">
        <f>IFERROR(__xludf.DUMMYFUNCTION("VLOOKUP(A71,IMPORTRANGE(""1QZ5UxyNCwadreQAXnQ7oCoH982DjIA-QnZdO7ZoqkC0/edit#gid=884617569"",""S2 Totals!$A$2:$O$255""),14,FALSE)"),"")</f>
        <v/>
      </c>
      <c r="R71" s="129">
        <f t="shared" si="5"/>
        <v>0.8181818182</v>
      </c>
    </row>
    <row r="72">
      <c r="A72" s="128" t="s">
        <v>124</v>
      </c>
      <c r="B72" s="16">
        <f>IFERROR(__xludf.DUMMYFUNCTION("VLOOKUP(A72,IMPORTRANGE(""1aFCnJY1qhIj8-JckJhDJ18aqmVo17tofpQmOjcYa3u8/edit#gid=1878241338"",""S2 Totals!$A$2:$O$255""),2,FALSE)"),7.0)</f>
        <v>7</v>
      </c>
      <c r="C72" s="15">
        <f>IFERROR(__xludf.DUMMYFUNCTION("VLOOKUP(A72,IMPORTRANGE(""1aFCnJY1qhIj8-JckJhDJ18aqmVo17tofpQmOjcYa3u8/edit#gid=1878241338"",""S2 Totals!$A$2:$O$255""),3,FALSE)"),0.6363636363636364)</f>
        <v>0.6363636364</v>
      </c>
      <c r="D72" s="16">
        <f>IFERROR(__xludf.DUMMYFUNCTION("VLOOKUP(A72,IMPORTRANGE(""1QZ5UxyNCwadreQAXnQ7oCoH982DjIA-QnZdO7ZoqkC0/edit#gid=884617569"",""S2 Totals!$A$2:$O$255""),2,FALSE)"),8.0)</f>
        <v>8</v>
      </c>
      <c r="E72" s="15">
        <f>IFERROR(__xludf.DUMMYFUNCTION("VLOOKUP(A72,IMPORTRANGE(""1QZ5UxyNCwadreQAXnQ7oCoH982DjIA-QnZdO7ZoqkC0/edit#gid=884617569"",""S2 Totals!$A$2:$O$255""),3,FALSE)"),0.6153846153846154)</f>
        <v>0.6153846154</v>
      </c>
      <c r="F72" s="15">
        <f t="shared" si="1"/>
        <v>0.02097902098</v>
      </c>
      <c r="G72" s="16">
        <f>IFERROR(__xludf.DUMMYFUNCTION("VLOOKUP(A72,IMPORTRANGE(""1QZ5UxyNCwadreQAXnQ7oCoH982DjIA-QnZdO7ZoqkC0/edit#gid=884617569"",""S2 Totals!$A$2:$O$255""),4,FALSE)"),10.0)</f>
        <v>10</v>
      </c>
      <c r="H72" s="15">
        <f>IFERROR(__xludf.DUMMYFUNCTION("VLOOKUP(A72,IMPORTRANGE(""1QZ5UxyNCwadreQAXnQ7oCoH982DjIA-QnZdO7ZoqkC0/edit#gid=884617569"",""S2 Totals!$A$2:$O$255""),5,FALSE)"),0.8333333333333334)</f>
        <v>0.8333333333</v>
      </c>
      <c r="I72" s="15">
        <f t="shared" si="2"/>
        <v>-0.196969697</v>
      </c>
      <c r="J72" s="16">
        <f>IFERROR(__xludf.DUMMYFUNCTION("VLOOKUP(A72,IMPORTRANGE(""1QZ5UxyNCwadreQAXnQ7oCoH982DjIA-QnZdO7ZoqkC0/edit#gid=884617569"",""S2 Totals!$A$2:$O$255""),7,FALSE)"),8.0)</f>
        <v>8</v>
      </c>
      <c r="K72" s="15">
        <f>IFERROR(__xludf.DUMMYFUNCTION("VLOOKUP(A72,IMPORTRANGE(""1QZ5UxyNCwadreQAXnQ7oCoH982DjIA-QnZdO7ZoqkC0/edit#gid=884617569"",""S2 Totals!$A$2:$O$255""),8,FALSE)"),0.6666666666666666)</f>
        <v>0.6666666667</v>
      </c>
      <c r="L72" s="110">
        <f t="shared" si="3"/>
        <v>-0.0303030303</v>
      </c>
      <c r="M72" s="16">
        <f>IFERROR(__xludf.DUMMYFUNCTION("VLOOKUP(A72,IMPORTRANGE(""1QZ5UxyNCwadreQAXnQ7oCoH982DjIA-QnZdO7ZoqkC0/edit#gid=884617569"",""S2 Totals!$A$2:$O$255""),10,FALSE)"),10.0)</f>
        <v>10</v>
      </c>
      <c r="N72" s="15">
        <f>IFERROR(__xludf.DUMMYFUNCTION("VLOOKUP(A72,IMPORTRANGE(""1QZ5UxyNCwadreQAXnQ7oCoH982DjIA-QnZdO7ZoqkC0/edit#gid=884617569"",""S2 Totals!$A$2:$O$255""),11,FALSE)"),0.7692307692307693)</f>
        <v>0.7692307692</v>
      </c>
      <c r="O72" s="110">
        <f t="shared" si="4"/>
        <v>-0.1328671329</v>
      </c>
      <c r="P72" s="16" t="str">
        <f>IFERROR(__xludf.DUMMYFUNCTION("VLOOKUP(A72,IMPORTRANGE(""1QZ5UxyNCwadreQAXnQ7oCoH982DjIA-QnZdO7ZoqkC0/edit#gid=884617569"",""S2 Totals!$A$2:$O$255""),13,FALSE)"),"")</f>
        <v/>
      </c>
      <c r="Q72" s="15" t="str">
        <f>IFERROR(__xludf.DUMMYFUNCTION("VLOOKUP(A72,IMPORTRANGE(""1QZ5UxyNCwadreQAXnQ7oCoH982DjIA-QnZdO7ZoqkC0/edit#gid=884617569"",""S2 Totals!$A$2:$O$255""),14,FALSE)"),"")</f>
        <v/>
      </c>
      <c r="R72" s="129">
        <f t="shared" si="5"/>
        <v>0.6363636364</v>
      </c>
    </row>
    <row r="73">
      <c r="A73" s="128" t="s">
        <v>172</v>
      </c>
      <c r="B73" s="16">
        <f>IFERROR(__xludf.DUMMYFUNCTION("VLOOKUP(A73,IMPORTRANGE(""1aFCnJY1qhIj8-JckJhDJ18aqmVo17tofpQmOjcYa3u8/edit#gid=1878241338"",""S2 Totals!$A$2:$O$255""),2,FALSE)"),1.0)</f>
        <v>1</v>
      </c>
      <c r="C73" s="15">
        <f>IFERROR(__xludf.DUMMYFUNCTION("VLOOKUP(A73,IMPORTRANGE(""1aFCnJY1qhIj8-JckJhDJ18aqmVo17tofpQmOjcYa3u8/edit#gid=1878241338"",""S2 Totals!$A$2:$O$255""),3,FALSE)"),0.09090909090909091)</f>
        <v>0.09090909091</v>
      </c>
      <c r="D73" s="16">
        <f>IFERROR(__xludf.DUMMYFUNCTION("VLOOKUP(A73,IMPORTRANGE(""1QZ5UxyNCwadreQAXnQ7oCoH982DjIA-QnZdO7ZoqkC0/edit#gid=884617569"",""S2 Totals!$A$2:$O$255""),2,FALSE)"),2.0)</f>
        <v>2</v>
      </c>
      <c r="E73" s="15">
        <f>IFERROR(__xludf.DUMMYFUNCTION("VLOOKUP(A73,IMPORTRANGE(""1QZ5UxyNCwadreQAXnQ7oCoH982DjIA-QnZdO7ZoqkC0/edit#gid=884617569"",""S2 Totals!$A$2:$O$255""),3,FALSE)"),0.15384615384615385)</f>
        <v>0.1538461538</v>
      </c>
      <c r="F73" s="15">
        <f t="shared" si="1"/>
        <v>-0.06293706294</v>
      </c>
      <c r="G73" s="16">
        <f>IFERROR(__xludf.DUMMYFUNCTION("VLOOKUP(A73,IMPORTRANGE(""1QZ5UxyNCwadreQAXnQ7oCoH982DjIA-QnZdO7ZoqkC0/edit#gid=884617569"",""S2 Totals!$A$2:$O$255""),4,FALSE)"),2.0)</f>
        <v>2</v>
      </c>
      <c r="H73" s="15">
        <f>IFERROR(__xludf.DUMMYFUNCTION("VLOOKUP(A73,IMPORTRANGE(""1QZ5UxyNCwadreQAXnQ7oCoH982DjIA-QnZdO7ZoqkC0/edit#gid=884617569"",""S2 Totals!$A$2:$O$255""),5,FALSE)"),0.16666666666666666)</f>
        <v>0.1666666667</v>
      </c>
      <c r="I73" s="15">
        <f t="shared" si="2"/>
        <v>-0.07575757576</v>
      </c>
      <c r="J73" s="16">
        <f>IFERROR(__xludf.DUMMYFUNCTION("VLOOKUP(A73,IMPORTRANGE(""1QZ5UxyNCwadreQAXnQ7oCoH982DjIA-QnZdO7ZoqkC0/edit#gid=884617569"",""S2 Totals!$A$2:$O$255""),7,FALSE)"),3.0)</f>
        <v>3</v>
      </c>
      <c r="K73" s="15">
        <f>IFERROR(__xludf.DUMMYFUNCTION("VLOOKUP(A73,IMPORTRANGE(""1QZ5UxyNCwadreQAXnQ7oCoH982DjIA-QnZdO7ZoqkC0/edit#gid=884617569"",""S2 Totals!$A$2:$O$255""),8,FALSE)"),0.25)</f>
        <v>0.25</v>
      </c>
      <c r="L73" s="110">
        <f t="shared" si="3"/>
        <v>-0.1590909091</v>
      </c>
      <c r="M73" s="16" t="str">
        <f>IFERROR(__xludf.DUMMYFUNCTION("VLOOKUP(A73,IMPORTRANGE(""1QZ5UxyNCwadreQAXnQ7oCoH982DjIA-QnZdO7ZoqkC0/edit#gid=884617569"",""S2 Totals!$A$2:$O$255""),10,FALSE)"),"")</f>
        <v/>
      </c>
      <c r="N73" s="15" t="str">
        <f>IFERROR(__xludf.DUMMYFUNCTION("VLOOKUP(A73,IMPORTRANGE(""1QZ5UxyNCwadreQAXnQ7oCoH982DjIA-QnZdO7ZoqkC0/edit#gid=884617569"",""S2 Totals!$A$2:$O$255""),11,FALSE)"),"")</f>
        <v/>
      </c>
      <c r="O73" s="110">
        <f t="shared" si="4"/>
        <v>0.09090909091</v>
      </c>
      <c r="P73" s="16" t="str">
        <f>IFERROR(__xludf.DUMMYFUNCTION("VLOOKUP(A73,IMPORTRANGE(""1QZ5UxyNCwadreQAXnQ7oCoH982DjIA-QnZdO7ZoqkC0/edit#gid=884617569"",""S2 Totals!$A$2:$O$255""),13,FALSE)"),"")</f>
        <v/>
      </c>
      <c r="Q73" s="15" t="str">
        <f>IFERROR(__xludf.DUMMYFUNCTION("VLOOKUP(A73,IMPORTRANGE(""1QZ5UxyNCwadreQAXnQ7oCoH982DjIA-QnZdO7ZoqkC0/edit#gid=884617569"",""S2 Totals!$A$2:$O$255""),14,FALSE)"),"")</f>
        <v/>
      </c>
      <c r="R73" s="129">
        <f t="shared" si="5"/>
        <v>0.09090909091</v>
      </c>
    </row>
    <row r="74">
      <c r="A74" s="128" t="s">
        <v>173</v>
      </c>
      <c r="B74" s="16">
        <f>IFERROR(__xludf.DUMMYFUNCTION("VLOOKUP(A74,IMPORTRANGE(""1aFCnJY1qhIj8-JckJhDJ18aqmVo17tofpQmOjcYa3u8/edit#gid=1878241338"",""S2 Totals!$A$2:$O$255""),2,FALSE)"),0.0)</f>
        <v>0</v>
      </c>
      <c r="C74" s="15">
        <f>IFERROR(__xludf.DUMMYFUNCTION("VLOOKUP(A74,IMPORTRANGE(""1aFCnJY1qhIj8-JckJhDJ18aqmVo17tofpQmOjcYa3u8/edit#gid=1878241338"",""S2 Totals!$A$2:$O$255""),3,FALSE)"),0.0)</f>
        <v>0</v>
      </c>
      <c r="D74" s="16">
        <f>IFERROR(__xludf.DUMMYFUNCTION("VLOOKUP(A74,IMPORTRANGE(""1QZ5UxyNCwadreQAXnQ7oCoH982DjIA-QnZdO7ZoqkC0/edit#gid=884617569"",""S2 Totals!$A$2:$O$255""),2,FALSE)"),0.0)</f>
        <v>0</v>
      </c>
      <c r="E74" s="15">
        <f>IFERROR(__xludf.DUMMYFUNCTION("VLOOKUP(A74,IMPORTRANGE(""1QZ5UxyNCwadreQAXnQ7oCoH982DjIA-QnZdO7ZoqkC0/edit#gid=884617569"",""S2 Totals!$A$2:$O$255""),3,FALSE)"),0.0)</f>
        <v>0</v>
      </c>
      <c r="F74" s="15">
        <f t="shared" si="1"/>
        <v>0</v>
      </c>
      <c r="G74" s="16">
        <f>IFERROR(__xludf.DUMMYFUNCTION("VLOOKUP(A74,IMPORTRANGE(""1QZ5UxyNCwadreQAXnQ7oCoH982DjIA-QnZdO7ZoqkC0/edit#gid=884617569"",""S2 Totals!$A$2:$O$255""),4,FALSE)"),0.0)</f>
        <v>0</v>
      </c>
      <c r="H74" s="15">
        <f>IFERROR(__xludf.DUMMYFUNCTION("VLOOKUP(A74,IMPORTRANGE(""1QZ5UxyNCwadreQAXnQ7oCoH982DjIA-QnZdO7ZoqkC0/edit#gid=884617569"",""S2 Totals!$A$2:$O$255""),5,FALSE)"),0.0)</f>
        <v>0</v>
      </c>
      <c r="I74" s="15">
        <f t="shared" si="2"/>
        <v>0</v>
      </c>
      <c r="J74" s="16">
        <f>IFERROR(__xludf.DUMMYFUNCTION("VLOOKUP(A74,IMPORTRANGE(""1QZ5UxyNCwadreQAXnQ7oCoH982DjIA-QnZdO7ZoqkC0/edit#gid=884617569"",""S2 Totals!$A$2:$O$255""),7,FALSE)"),0.0)</f>
        <v>0</v>
      </c>
      <c r="K74" s="15">
        <f>IFERROR(__xludf.DUMMYFUNCTION("VLOOKUP(A74,IMPORTRANGE(""1QZ5UxyNCwadreQAXnQ7oCoH982DjIA-QnZdO7ZoqkC0/edit#gid=884617569"",""S2 Totals!$A$2:$O$255""),8,FALSE)"),0.0)</f>
        <v>0</v>
      </c>
      <c r="L74" s="110">
        <f t="shared" si="3"/>
        <v>0</v>
      </c>
      <c r="M74" s="16" t="str">
        <f>IFERROR(__xludf.DUMMYFUNCTION("VLOOKUP(A74,IMPORTRANGE(""1QZ5UxyNCwadreQAXnQ7oCoH982DjIA-QnZdO7ZoqkC0/edit#gid=884617569"",""S2 Totals!$A$2:$O$255""),10,FALSE)"),"")</f>
        <v/>
      </c>
      <c r="N74" s="15" t="str">
        <f>IFERROR(__xludf.DUMMYFUNCTION("VLOOKUP(A74,IMPORTRANGE(""1QZ5UxyNCwadreQAXnQ7oCoH982DjIA-QnZdO7ZoqkC0/edit#gid=884617569"",""S2 Totals!$A$2:$O$255""),11,FALSE)"),"")</f>
        <v/>
      </c>
      <c r="O74" s="110">
        <f t="shared" si="4"/>
        <v>0</v>
      </c>
      <c r="P74" s="16" t="str">
        <f>IFERROR(__xludf.DUMMYFUNCTION("VLOOKUP(A74,IMPORTRANGE(""1QZ5UxyNCwadreQAXnQ7oCoH982DjIA-QnZdO7ZoqkC0/edit#gid=884617569"",""S2 Totals!$A$2:$O$255""),13,FALSE)"),"")</f>
        <v/>
      </c>
      <c r="Q74" s="15" t="str">
        <f>IFERROR(__xludf.DUMMYFUNCTION("VLOOKUP(A74,IMPORTRANGE(""1QZ5UxyNCwadreQAXnQ7oCoH982DjIA-QnZdO7ZoqkC0/edit#gid=884617569"",""S2 Totals!$A$2:$O$255""),14,FALSE)"),"")</f>
        <v/>
      </c>
      <c r="R74" s="129">
        <f t="shared" si="5"/>
        <v>0</v>
      </c>
    </row>
    <row r="75">
      <c r="A75" s="128" t="s">
        <v>125</v>
      </c>
      <c r="B75" s="16">
        <f>IFERROR(__xludf.DUMMYFUNCTION("VLOOKUP(A75,IMPORTRANGE(""1aFCnJY1qhIj8-JckJhDJ18aqmVo17tofpQmOjcYa3u8/edit#gid=1878241338"",""S2 Totals!$A$2:$O$255""),2,FALSE)"),4.0)</f>
        <v>4</v>
      </c>
      <c r="C75" s="15">
        <f>IFERROR(__xludf.DUMMYFUNCTION("VLOOKUP(A75,IMPORTRANGE(""1aFCnJY1qhIj8-JckJhDJ18aqmVo17tofpQmOjcYa3u8/edit#gid=1878241338"",""S2 Totals!$A$2:$O$255""),3,FALSE)"),0.36363636363636365)</f>
        <v>0.3636363636</v>
      </c>
      <c r="D75" s="16">
        <f>IFERROR(__xludf.DUMMYFUNCTION("VLOOKUP(A75,IMPORTRANGE(""1QZ5UxyNCwadreQAXnQ7oCoH982DjIA-QnZdO7ZoqkC0/edit#gid=884617569"",""S2 Totals!$A$2:$O$255""),2,FALSE)"),4.0)</f>
        <v>4</v>
      </c>
      <c r="E75" s="15">
        <f>IFERROR(__xludf.DUMMYFUNCTION("VLOOKUP(A75,IMPORTRANGE(""1QZ5UxyNCwadreQAXnQ7oCoH982DjIA-QnZdO7ZoqkC0/edit#gid=884617569"",""S2 Totals!$A$2:$O$255""),3,FALSE)"),0.3076923076923077)</f>
        <v>0.3076923077</v>
      </c>
      <c r="F75" s="15">
        <f t="shared" si="1"/>
        <v>0.05594405594</v>
      </c>
      <c r="G75" s="16">
        <f>IFERROR(__xludf.DUMMYFUNCTION("VLOOKUP(A75,IMPORTRANGE(""1QZ5UxyNCwadreQAXnQ7oCoH982DjIA-QnZdO7ZoqkC0/edit#gid=884617569"",""S2 Totals!$A$2:$O$255""),4,FALSE)"),4.0)</f>
        <v>4</v>
      </c>
      <c r="H75" s="15">
        <f>IFERROR(__xludf.DUMMYFUNCTION("VLOOKUP(A75,IMPORTRANGE(""1QZ5UxyNCwadreQAXnQ7oCoH982DjIA-QnZdO7ZoqkC0/edit#gid=884617569"",""S2 Totals!$A$2:$O$255""),5,FALSE)"),0.3333333333333333)</f>
        <v>0.3333333333</v>
      </c>
      <c r="I75" s="15">
        <f t="shared" si="2"/>
        <v>0.0303030303</v>
      </c>
      <c r="J75" s="16">
        <f>IFERROR(__xludf.DUMMYFUNCTION("VLOOKUP(A75,IMPORTRANGE(""1QZ5UxyNCwadreQAXnQ7oCoH982DjIA-QnZdO7ZoqkC0/edit#gid=884617569"",""S2 Totals!$A$2:$O$255""),7,FALSE)"),2.0)</f>
        <v>2</v>
      </c>
      <c r="K75" s="15">
        <f>IFERROR(__xludf.DUMMYFUNCTION("VLOOKUP(A75,IMPORTRANGE(""1QZ5UxyNCwadreQAXnQ7oCoH982DjIA-QnZdO7ZoqkC0/edit#gid=884617569"",""S2 Totals!$A$2:$O$255""),8,FALSE)"),0.16666666666666666)</f>
        <v>0.1666666667</v>
      </c>
      <c r="L75" s="110">
        <f t="shared" si="3"/>
        <v>0.196969697</v>
      </c>
      <c r="M75" s="16">
        <f>IFERROR(__xludf.DUMMYFUNCTION("VLOOKUP(A75,IMPORTRANGE(""1QZ5UxyNCwadreQAXnQ7oCoH982DjIA-QnZdO7ZoqkC0/edit#gid=884617569"",""S2 Totals!$A$2:$O$255""),10,FALSE)"),2.0)</f>
        <v>2</v>
      </c>
      <c r="N75" s="15">
        <f>IFERROR(__xludf.DUMMYFUNCTION("VLOOKUP(A75,IMPORTRANGE(""1QZ5UxyNCwadreQAXnQ7oCoH982DjIA-QnZdO7ZoqkC0/edit#gid=884617569"",""S2 Totals!$A$2:$O$255""),11,FALSE)"),0.15384615384615385)</f>
        <v>0.1538461538</v>
      </c>
      <c r="O75" s="110">
        <f t="shared" si="4"/>
        <v>0.2097902098</v>
      </c>
      <c r="P75" s="16" t="str">
        <f>IFERROR(__xludf.DUMMYFUNCTION("VLOOKUP(A75,IMPORTRANGE(""1QZ5UxyNCwadreQAXnQ7oCoH982DjIA-QnZdO7ZoqkC0/edit#gid=884617569"",""S2 Totals!$A$2:$O$255""),13,FALSE)"),"")</f>
        <v/>
      </c>
      <c r="Q75" s="15" t="str">
        <f>IFERROR(__xludf.DUMMYFUNCTION("VLOOKUP(A75,IMPORTRANGE(""1QZ5UxyNCwadreQAXnQ7oCoH982DjIA-QnZdO7ZoqkC0/edit#gid=884617569"",""S2 Totals!$A$2:$O$255""),14,FALSE)"),"")</f>
        <v/>
      </c>
      <c r="R75" s="129">
        <f t="shared" si="5"/>
        <v>0.3636363636</v>
      </c>
    </row>
    <row r="76">
      <c r="A76" s="128" t="s">
        <v>299</v>
      </c>
      <c r="B76" s="16">
        <f>IFERROR(__xludf.DUMMYFUNCTION("VLOOKUP(A76,IMPORTRANGE(""1aFCnJY1qhIj8-JckJhDJ18aqmVo17tofpQmOjcYa3u8/edit#gid=1878241338"",""S2 Totals!$A$2:$O$255""),2,FALSE)"),0.0)</f>
        <v>0</v>
      </c>
      <c r="C76" s="15">
        <f>IFERROR(__xludf.DUMMYFUNCTION("VLOOKUP(A76,IMPORTRANGE(""1aFCnJY1qhIj8-JckJhDJ18aqmVo17tofpQmOjcYa3u8/edit#gid=1878241338"",""S2 Totals!$A$2:$O$255""),3,FALSE)"),0.0)</f>
        <v>0</v>
      </c>
      <c r="D76" s="16">
        <f>IFERROR(__xludf.DUMMYFUNCTION("VLOOKUP(A76,IMPORTRANGE(""1QZ5UxyNCwadreQAXnQ7oCoH982DjIA-QnZdO7ZoqkC0/edit#gid=884617569"",""S2 Totals!$A$2:$O$255""),2,FALSE)"),0.0)</f>
        <v>0</v>
      </c>
      <c r="E76" s="15">
        <f>IFERROR(__xludf.DUMMYFUNCTION("VLOOKUP(A76,IMPORTRANGE(""1QZ5UxyNCwadreQAXnQ7oCoH982DjIA-QnZdO7ZoqkC0/edit#gid=884617569"",""S2 Totals!$A$2:$O$255""),3,FALSE)"),0.0)</f>
        <v>0</v>
      </c>
      <c r="F76" s="15">
        <f t="shared" si="1"/>
        <v>0</v>
      </c>
      <c r="G76" s="16">
        <f>IFERROR(__xludf.DUMMYFUNCTION("VLOOKUP(A76,IMPORTRANGE(""1QZ5UxyNCwadreQAXnQ7oCoH982DjIA-QnZdO7ZoqkC0/edit#gid=884617569"",""S2 Totals!$A$2:$O$255""),4,FALSE)"),0.0)</f>
        <v>0</v>
      </c>
      <c r="H76" s="15">
        <f>IFERROR(__xludf.DUMMYFUNCTION("VLOOKUP(A76,IMPORTRANGE(""1QZ5UxyNCwadreQAXnQ7oCoH982DjIA-QnZdO7ZoqkC0/edit#gid=884617569"",""S2 Totals!$A$2:$O$255""),5,FALSE)"),0.0)</f>
        <v>0</v>
      </c>
      <c r="I76" s="15">
        <f t="shared" si="2"/>
        <v>0</v>
      </c>
      <c r="J76" s="16">
        <f>IFERROR(__xludf.DUMMYFUNCTION("VLOOKUP(A76,IMPORTRANGE(""1QZ5UxyNCwadreQAXnQ7oCoH982DjIA-QnZdO7ZoqkC0/edit#gid=884617569"",""S2 Totals!$A$2:$O$255""),7,FALSE)"),0.0)</f>
        <v>0</v>
      </c>
      <c r="K76" s="15">
        <f>IFERROR(__xludf.DUMMYFUNCTION("VLOOKUP(A76,IMPORTRANGE(""1QZ5UxyNCwadreQAXnQ7oCoH982DjIA-QnZdO7ZoqkC0/edit#gid=884617569"",""S2 Totals!$A$2:$O$255""),8,FALSE)"),0.0)</f>
        <v>0</v>
      </c>
      <c r="L76" s="110">
        <f t="shared" si="3"/>
        <v>0</v>
      </c>
      <c r="M76" s="16" t="str">
        <f>IFERROR(__xludf.DUMMYFUNCTION("VLOOKUP(A76,IMPORTRANGE(""1QZ5UxyNCwadreQAXnQ7oCoH982DjIA-QnZdO7ZoqkC0/edit#gid=884617569"",""S2 Totals!$A$2:$O$255""),10,FALSE)"),"")</f>
        <v/>
      </c>
      <c r="N76" s="15" t="str">
        <f>IFERROR(__xludf.DUMMYFUNCTION("VLOOKUP(A76,IMPORTRANGE(""1QZ5UxyNCwadreQAXnQ7oCoH982DjIA-QnZdO7ZoqkC0/edit#gid=884617569"",""S2 Totals!$A$2:$O$255""),11,FALSE)"),"")</f>
        <v/>
      </c>
      <c r="O76" s="110">
        <f t="shared" si="4"/>
        <v>0</v>
      </c>
      <c r="P76" s="16" t="str">
        <f>IFERROR(__xludf.DUMMYFUNCTION("VLOOKUP(A76,IMPORTRANGE(""1QZ5UxyNCwadreQAXnQ7oCoH982DjIA-QnZdO7ZoqkC0/edit#gid=884617569"",""S2 Totals!$A$2:$O$255""),13,FALSE)"),"")</f>
        <v/>
      </c>
      <c r="Q76" s="15" t="str">
        <f>IFERROR(__xludf.DUMMYFUNCTION("VLOOKUP(A76,IMPORTRANGE(""1QZ5UxyNCwadreQAXnQ7oCoH982DjIA-QnZdO7ZoqkC0/edit#gid=884617569"",""S2 Totals!$A$2:$O$255""),14,FALSE)"),"")</f>
        <v/>
      </c>
      <c r="R76" s="129">
        <f t="shared" si="5"/>
        <v>0</v>
      </c>
    </row>
    <row r="77">
      <c r="A77" s="128" t="s">
        <v>47</v>
      </c>
      <c r="B77" s="16">
        <f>IFERROR(__xludf.DUMMYFUNCTION("VLOOKUP(A77,IMPORTRANGE(""1aFCnJY1qhIj8-JckJhDJ18aqmVo17tofpQmOjcYa3u8/edit#gid=1878241338"",""S2 Totals!$A$2:$O$255""),2,FALSE)"),3.0)</f>
        <v>3</v>
      </c>
      <c r="C77" s="15">
        <f>IFERROR(__xludf.DUMMYFUNCTION("VLOOKUP(A77,IMPORTRANGE(""1aFCnJY1qhIj8-JckJhDJ18aqmVo17tofpQmOjcYa3u8/edit#gid=1878241338"",""S2 Totals!$A$2:$O$255""),3,FALSE)"),0.2727272727272727)</f>
        <v>0.2727272727</v>
      </c>
      <c r="D77" s="16">
        <f>IFERROR(__xludf.DUMMYFUNCTION("VLOOKUP(A77,IMPORTRANGE(""1QZ5UxyNCwadreQAXnQ7oCoH982DjIA-QnZdO7ZoqkC0/edit#gid=884617569"",""S2 Totals!$A$2:$O$255""),2,FALSE)"),2.0)</f>
        <v>2</v>
      </c>
      <c r="E77" s="15">
        <f>IFERROR(__xludf.DUMMYFUNCTION("VLOOKUP(A77,IMPORTRANGE(""1QZ5UxyNCwadreQAXnQ7oCoH982DjIA-QnZdO7ZoqkC0/edit#gid=884617569"",""S2 Totals!$A$2:$O$255""),3,FALSE)"),0.15384615384615385)</f>
        <v>0.1538461538</v>
      </c>
      <c r="F77" s="15">
        <f t="shared" si="1"/>
        <v>0.1188811189</v>
      </c>
      <c r="G77" s="16">
        <f>IFERROR(__xludf.DUMMYFUNCTION("VLOOKUP(A77,IMPORTRANGE(""1QZ5UxyNCwadreQAXnQ7oCoH982DjIA-QnZdO7ZoqkC0/edit#gid=884617569"",""S2 Totals!$A$2:$O$255""),4,FALSE)"),0.0)</f>
        <v>0</v>
      </c>
      <c r="H77" s="15">
        <f>IFERROR(__xludf.DUMMYFUNCTION("VLOOKUP(A77,IMPORTRANGE(""1QZ5UxyNCwadreQAXnQ7oCoH982DjIA-QnZdO7ZoqkC0/edit#gid=884617569"",""S2 Totals!$A$2:$O$255""),5,FALSE)"),0.0)</f>
        <v>0</v>
      </c>
      <c r="I77" s="15">
        <f t="shared" si="2"/>
        <v>0.2727272727</v>
      </c>
      <c r="J77" s="16">
        <f>IFERROR(__xludf.DUMMYFUNCTION("VLOOKUP(A77,IMPORTRANGE(""1QZ5UxyNCwadreQAXnQ7oCoH982DjIA-QnZdO7ZoqkC0/edit#gid=884617569"",""S2 Totals!$A$2:$O$255""),7,FALSE)"),2.0)</f>
        <v>2</v>
      </c>
      <c r="K77" s="15">
        <f>IFERROR(__xludf.DUMMYFUNCTION("VLOOKUP(A77,IMPORTRANGE(""1QZ5UxyNCwadreQAXnQ7oCoH982DjIA-QnZdO7ZoqkC0/edit#gid=884617569"",""S2 Totals!$A$2:$O$255""),8,FALSE)"),0.16666666666666666)</f>
        <v>0.1666666667</v>
      </c>
      <c r="L77" s="110">
        <f t="shared" si="3"/>
        <v>0.1060606061</v>
      </c>
      <c r="M77" s="16">
        <f>IFERROR(__xludf.DUMMYFUNCTION("VLOOKUP(A77,IMPORTRANGE(""1QZ5UxyNCwadreQAXnQ7oCoH982DjIA-QnZdO7ZoqkC0/edit#gid=884617569"",""S2 Totals!$A$2:$O$255""),10,FALSE)"),0.0)</f>
        <v>0</v>
      </c>
      <c r="N77" s="15">
        <f>IFERROR(__xludf.DUMMYFUNCTION("VLOOKUP(A77,IMPORTRANGE(""1QZ5UxyNCwadreQAXnQ7oCoH982DjIA-QnZdO7ZoqkC0/edit#gid=884617569"",""S2 Totals!$A$2:$O$255""),11,FALSE)"),0.0)</f>
        <v>0</v>
      </c>
      <c r="O77" s="110">
        <f t="shared" si="4"/>
        <v>0.2727272727</v>
      </c>
      <c r="P77" s="16">
        <f>IFERROR(__xludf.DUMMYFUNCTION("VLOOKUP(A77,IMPORTRANGE(""1QZ5UxyNCwadreQAXnQ7oCoH982DjIA-QnZdO7ZoqkC0/edit#gid=884617569"",""S2 Totals!$A$2:$O$255""),13,FALSE)"),5.0)</f>
        <v>5</v>
      </c>
      <c r="Q77" s="15">
        <f>IFERROR(__xludf.DUMMYFUNCTION("VLOOKUP(A77,IMPORTRANGE(""1QZ5UxyNCwadreQAXnQ7oCoH982DjIA-QnZdO7ZoqkC0/edit#gid=884617569"",""S2 Totals!$A$2:$O$255""),14,FALSE)"),0.4166666666666667)</f>
        <v>0.4166666667</v>
      </c>
      <c r="R77" s="129">
        <f t="shared" si="5"/>
        <v>-0.1439393939</v>
      </c>
    </row>
    <row r="78">
      <c r="A78" s="128" t="s">
        <v>48</v>
      </c>
      <c r="B78" s="16">
        <f>IFERROR(__xludf.DUMMYFUNCTION("VLOOKUP(A78,IMPORTRANGE(""1aFCnJY1qhIj8-JckJhDJ18aqmVo17tofpQmOjcYa3u8/edit#gid=1878241338"",""S2 Totals!$A$2:$O$255""),2,FALSE)"),5.0)</f>
        <v>5</v>
      </c>
      <c r="C78" s="15">
        <f>IFERROR(__xludf.DUMMYFUNCTION("VLOOKUP(A78,IMPORTRANGE(""1aFCnJY1qhIj8-JckJhDJ18aqmVo17tofpQmOjcYa3u8/edit#gid=1878241338"",""S2 Totals!$A$2:$O$255""),3,FALSE)"),0.45454545454545453)</f>
        <v>0.4545454545</v>
      </c>
      <c r="D78" s="16">
        <f>IFERROR(__xludf.DUMMYFUNCTION("VLOOKUP(A78,IMPORTRANGE(""1QZ5UxyNCwadreQAXnQ7oCoH982DjIA-QnZdO7ZoqkC0/edit#gid=884617569"",""S2 Totals!$A$2:$O$255""),2,FALSE)"),8.0)</f>
        <v>8</v>
      </c>
      <c r="E78" s="15">
        <f>IFERROR(__xludf.DUMMYFUNCTION("VLOOKUP(A78,IMPORTRANGE(""1QZ5UxyNCwadreQAXnQ7oCoH982DjIA-QnZdO7ZoqkC0/edit#gid=884617569"",""S2 Totals!$A$2:$O$255""),3,FALSE)"),0.6153846153846154)</f>
        <v>0.6153846154</v>
      </c>
      <c r="F78" s="15">
        <f t="shared" si="1"/>
        <v>-0.1608391608</v>
      </c>
      <c r="G78" s="16">
        <f>IFERROR(__xludf.DUMMYFUNCTION("VLOOKUP(A78,IMPORTRANGE(""1QZ5UxyNCwadreQAXnQ7oCoH982DjIA-QnZdO7ZoqkC0/edit#gid=884617569"",""S2 Totals!$A$2:$O$255""),4,FALSE)"),8.0)</f>
        <v>8</v>
      </c>
      <c r="H78" s="15">
        <f>IFERROR(__xludf.DUMMYFUNCTION("VLOOKUP(A78,IMPORTRANGE(""1QZ5UxyNCwadreQAXnQ7oCoH982DjIA-QnZdO7ZoqkC0/edit#gid=884617569"",""S2 Totals!$A$2:$O$255""),5,FALSE)"),0.6666666666666666)</f>
        <v>0.6666666667</v>
      </c>
      <c r="I78" s="15">
        <f t="shared" si="2"/>
        <v>-0.2121212121</v>
      </c>
      <c r="J78" s="16">
        <f>IFERROR(__xludf.DUMMYFUNCTION("VLOOKUP(A78,IMPORTRANGE(""1QZ5UxyNCwadreQAXnQ7oCoH982DjIA-QnZdO7ZoqkC0/edit#gid=884617569"",""S2 Totals!$A$2:$O$255""),7,FALSE)"),6.0)</f>
        <v>6</v>
      </c>
      <c r="K78" s="15">
        <f>IFERROR(__xludf.DUMMYFUNCTION("VLOOKUP(A78,IMPORTRANGE(""1QZ5UxyNCwadreQAXnQ7oCoH982DjIA-QnZdO7ZoqkC0/edit#gid=884617569"",""S2 Totals!$A$2:$O$255""),8,FALSE)"),0.5)</f>
        <v>0.5</v>
      </c>
      <c r="L78" s="110">
        <f t="shared" si="3"/>
        <v>-0.04545454545</v>
      </c>
      <c r="M78" s="16">
        <f>IFERROR(__xludf.DUMMYFUNCTION("VLOOKUP(A78,IMPORTRANGE(""1QZ5UxyNCwadreQAXnQ7oCoH982DjIA-QnZdO7ZoqkC0/edit#gid=884617569"",""S2 Totals!$A$2:$O$255""),10,FALSE)"),13.0)</f>
        <v>13</v>
      </c>
      <c r="N78" s="15">
        <f>IFERROR(__xludf.DUMMYFUNCTION("VLOOKUP(A78,IMPORTRANGE(""1QZ5UxyNCwadreQAXnQ7oCoH982DjIA-QnZdO7ZoqkC0/edit#gid=884617569"",""S2 Totals!$A$2:$O$255""),11,FALSE)"),1.0)</f>
        <v>1</v>
      </c>
      <c r="O78" s="110">
        <f t="shared" si="4"/>
        <v>-0.5454545455</v>
      </c>
      <c r="P78" s="16">
        <f>IFERROR(__xludf.DUMMYFUNCTION("VLOOKUP(A78,IMPORTRANGE(""1QZ5UxyNCwadreQAXnQ7oCoH982DjIA-QnZdO7ZoqkC0/edit#gid=884617569"",""S2 Totals!$A$2:$O$255""),13,FALSE)"),10.0)</f>
        <v>10</v>
      </c>
      <c r="Q78" s="15">
        <f>IFERROR(__xludf.DUMMYFUNCTION("VLOOKUP(A78,IMPORTRANGE(""1QZ5UxyNCwadreQAXnQ7oCoH982DjIA-QnZdO7ZoqkC0/edit#gid=884617569"",""S2 Totals!$A$2:$O$255""),14,FALSE)"),0.8333333333333334)</f>
        <v>0.8333333333</v>
      </c>
      <c r="R78" s="129">
        <f t="shared" si="5"/>
        <v>-0.3787878788</v>
      </c>
    </row>
    <row r="79">
      <c r="A79" s="128" t="s">
        <v>71</v>
      </c>
      <c r="B79" s="16">
        <f>IFERROR(__xludf.DUMMYFUNCTION("VLOOKUP(A79,IMPORTRANGE(""1aFCnJY1qhIj8-JckJhDJ18aqmVo17tofpQmOjcYa3u8/edit#gid=1878241338"",""S2 Totals!$A$2:$O$255""),2,FALSE)"),2.0)</f>
        <v>2</v>
      </c>
      <c r="C79" s="15">
        <f>IFERROR(__xludf.DUMMYFUNCTION("VLOOKUP(A79,IMPORTRANGE(""1aFCnJY1qhIj8-JckJhDJ18aqmVo17tofpQmOjcYa3u8/edit#gid=1878241338"",""S2 Totals!$A$2:$O$255""),3,FALSE)"),0.18181818181818182)</f>
        <v>0.1818181818</v>
      </c>
      <c r="D79" s="16">
        <f>IFERROR(__xludf.DUMMYFUNCTION("VLOOKUP(A79,IMPORTRANGE(""1QZ5UxyNCwadreQAXnQ7oCoH982DjIA-QnZdO7ZoqkC0/edit#gid=884617569"",""S2 Totals!$A$2:$O$255""),2,FALSE)"),2.0)</f>
        <v>2</v>
      </c>
      <c r="E79" s="15">
        <f>IFERROR(__xludf.DUMMYFUNCTION("VLOOKUP(A79,IMPORTRANGE(""1QZ5UxyNCwadreQAXnQ7oCoH982DjIA-QnZdO7ZoqkC0/edit#gid=884617569"",""S2 Totals!$A$2:$O$255""),3,FALSE)"),0.15384615384615385)</f>
        <v>0.1538461538</v>
      </c>
      <c r="F79" s="15">
        <f t="shared" si="1"/>
        <v>0.02797202797</v>
      </c>
      <c r="G79" s="16">
        <f>IFERROR(__xludf.DUMMYFUNCTION("VLOOKUP(A79,IMPORTRANGE(""1QZ5UxyNCwadreQAXnQ7oCoH982DjIA-QnZdO7ZoqkC0/edit#gid=884617569"",""S2 Totals!$A$2:$O$255""),4,FALSE)"),2.0)</f>
        <v>2</v>
      </c>
      <c r="H79" s="15">
        <f>IFERROR(__xludf.DUMMYFUNCTION("VLOOKUP(A79,IMPORTRANGE(""1QZ5UxyNCwadreQAXnQ7oCoH982DjIA-QnZdO7ZoqkC0/edit#gid=884617569"",""S2 Totals!$A$2:$O$255""),5,FALSE)"),0.16666666666666666)</f>
        <v>0.1666666667</v>
      </c>
      <c r="I79" s="15">
        <f t="shared" si="2"/>
        <v>0.01515151515</v>
      </c>
      <c r="J79" s="16">
        <f>IFERROR(__xludf.DUMMYFUNCTION("VLOOKUP(A79,IMPORTRANGE(""1QZ5UxyNCwadreQAXnQ7oCoH982DjIA-QnZdO7ZoqkC0/edit#gid=884617569"",""S2 Totals!$A$2:$O$255""),7,FALSE)"),0.0)</f>
        <v>0</v>
      </c>
      <c r="K79" s="15">
        <f>IFERROR(__xludf.DUMMYFUNCTION("VLOOKUP(A79,IMPORTRANGE(""1QZ5UxyNCwadreQAXnQ7oCoH982DjIA-QnZdO7ZoqkC0/edit#gid=884617569"",""S2 Totals!$A$2:$O$255""),8,FALSE)"),0.0)</f>
        <v>0</v>
      </c>
      <c r="L79" s="110">
        <f t="shared" si="3"/>
        <v>0.1818181818</v>
      </c>
      <c r="M79" s="16">
        <f>IFERROR(__xludf.DUMMYFUNCTION("VLOOKUP(A79,IMPORTRANGE(""1QZ5UxyNCwadreQAXnQ7oCoH982DjIA-QnZdO7ZoqkC0/edit#gid=884617569"",""S2 Totals!$A$2:$O$255""),10,FALSE)"),0.0)</f>
        <v>0</v>
      </c>
      <c r="N79" s="15">
        <f>IFERROR(__xludf.DUMMYFUNCTION("VLOOKUP(A79,IMPORTRANGE(""1QZ5UxyNCwadreQAXnQ7oCoH982DjIA-QnZdO7ZoqkC0/edit#gid=884617569"",""S2 Totals!$A$2:$O$255""),11,FALSE)"),0.0)</f>
        <v>0</v>
      </c>
      <c r="O79" s="110">
        <f t="shared" si="4"/>
        <v>0.1818181818</v>
      </c>
      <c r="P79" s="16">
        <f>IFERROR(__xludf.DUMMYFUNCTION("VLOOKUP(A79,IMPORTRANGE(""1QZ5UxyNCwadreQAXnQ7oCoH982DjIA-QnZdO7ZoqkC0/edit#gid=884617569"",""S2 Totals!$A$2:$O$255""),13,FALSE)"),0.0)</f>
        <v>0</v>
      </c>
      <c r="Q79" s="15">
        <f>IFERROR(__xludf.DUMMYFUNCTION("VLOOKUP(A79,IMPORTRANGE(""1QZ5UxyNCwadreQAXnQ7oCoH982DjIA-QnZdO7ZoqkC0/edit#gid=884617569"",""S2 Totals!$A$2:$O$255""),14,FALSE)"),0.0)</f>
        <v>0</v>
      </c>
      <c r="R79" s="129">
        <f t="shared" si="5"/>
        <v>0.1818181818</v>
      </c>
    </row>
    <row r="80">
      <c r="A80" s="128" t="s">
        <v>126</v>
      </c>
      <c r="B80" s="16">
        <f>IFERROR(__xludf.DUMMYFUNCTION("VLOOKUP(A80,IMPORTRANGE(""1aFCnJY1qhIj8-JckJhDJ18aqmVo17tofpQmOjcYa3u8/edit#gid=1878241338"",""S2 Totals!$A$2:$O$255""),2,FALSE)"),4.0)</f>
        <v>4</v>
      </c>
      <c r="C80" s="15">
        <f>IFERROR(__xludf.DUMMYFUNCTION("VLOOKUP(A80,IMPORTRANGE(""1aFCnJY1qhIj8-JckJhDJ18aqmVo17tofpQmOjcYa3u8/edit#gid=1878241338"",""S2 Totals!$A$2:$O$255""),3,FALSE)"),0.36363636363636365)</f>
        <v>0.3636363636</v>
      </c>
      <c r="D80" s="16">
        <f>IFERROR(__xludf.DUMMYFUNCTION("VLOOKUP(A80,IMPORTRANGE(""1QZ5UxyNCwadreQAXnQ7oCoH982DjIA-QnZdO7ZoqkC0/edit#gid=884617569"",""S2 Totals!$A$2:$O$255""),2,FALSE)"),6.0)</f>
        <v>6</v>
      </c>
      <c r="E80" s="15">
        <f>IFERROR(__xludf.DUMMYFUNCTION("VLOOKUP(A80,IMPORTRANGE(""1QZ5UxyNCwadreQAXnQ7oCoH982DjIA-QnZdO7ZoqkC0/edit#gid=884617569"",""S2 Totals!$A$2:$O$255""),3,FALSE)"),0.46153846153846156)</f>
        <v>0.4615384615</v>
      </c>
      <c r="F80" s="15">
        <f t="shared" si="1"/>
        <v>-0.0979020979</v>
      </c>
      <c r="G80" s="16">
        <f>IFERROR(__xludf.DUMMYFUNCTION("VLOOKUP(A80,IMPORTRANGE(""1QZ5UxyNCwadreQAXnQ7oCoH982DjIA-QnZdO7ZoqkC0/edit#gid=884617569"",""S2 Totals!$A$2:$O$255""),4,FALSE)"),5.0)</f>
        <v>5</v>
      </c>
      <c r="H80" s="15">
        <f>IFERROR(__xludf.DUMMYFUNCTION("VLOOKUP(A80,IMPORTRANGE(""1QZ5UxyNCwadreQAXnQ7oCoH982DjIA-QnZdO7ZoqkC0/edit#gid=884617569"",""S2 Totals!$A$2:$O$255""),5,FALSE)"),0.4166666666666667)</f>
        <v>0.4166666667</v>
      </c>
      <c r="I80" s="15">
        <f t="shared" si="2"/>
        <v>-0.05303030303</v>
      </c>
      <c r="J80" s="16">
        <f>IFERROR(__xludf.DUMMYFUNCTION("VLOOKUP(A80,IMPORTRANGE(""1QZ5UxyNCwadreQAXnQ7oCoH982DjIA-QnZdO7ZoqkC0/edit#gid=884617569"",""S2 Totals!$A$2:$O$255""),7,FALSE)"),6.0)</f>
        <v>6</v>
      </c>
      <c r="K80" s="15">
        <f>IFERROR(__xludf.DUMMYFUNCTION("VLOOKUP(A80,IMPORTRANGE(""1QZ5UxyNCwadreQAXnQ7oCoH982DjIA-QnZdO7ZoqkC0/edit#gid=884617569"",""S2 Totals!$A$2:$O$255""),8,FALSE)"),0.5)</f>
        <v>0.5</v>
      </c>
      <c r="L80" s="110">
        <f t="shared" si="3"/>
        <v>-0.1363636364</v>
      </c>
      <c r="M80" s="16">
        <f>IFERROR(__xludf.DUMMYFUNCTION("VLOOKUP(A80,IMPORTRANGE(""1QZ5UxyNCwadreQAXnQ7oCoH982DjIA-QnZdO7ZoqkC0/edit#gid=884617569"",""S2 Totals!$A$2:$O$255""),10,FALSE)"),10.0)</f>
        <v>10</v>
      </c>
      <c r="N80" s="15">
        <f>IFERROR(__xludf.DUMMYFUNCTION("VLOOKUP(A80,IMPORTRANGE(""1QZ5UxyNCwadreQAXnQ7oCoH982DjIA-QnZdO7ZoqkC0/edit#gid=884617569"",""S2 Totals!$A$2:$O$255""),11,FALSE)"),0.7692307692307693)</f>
        <v>0.7692307692</v>
      </c>
      <c r="O80" s="110">
        <f t="shared" si="4"/>
        <v>-0.4055944056</v>
      </c>
      <c r="P80" s="16" t="str">
        <f>IFERROR(__xludf.DUMMYFUNCTION("VLOOKUP(A80,IMPORTRANGE(""1QZ5UxyNCwadreQAXnQ7oCoH982DjIA-QnZdO7ZoqkC0/edit#gid=884617569"",""S2 Totals!$A$2:$O$255""),13,FALSE)"),"")</f>
        <v/>
      </c>
      <c r="Q80" s="15" t="str">
        <f>IFERROR(__xludf.DUMMYFUNCTION("VLOOKUP(A80,IMPORTRANGE(""1QZ5UxyNCwadreQAXnQ7oCoH982DjIA-QnZdO7ZoqkC0/edit#gid=884617569"",""S2 Totals!$A$2:$O$255""),14,FALSE)"),"")</f>
        <v/>
      </c>
      <c r="R80" s="129">
        <f t="shared" si="5"/>
        <v>0.3636363636</v>
      </c>
    </row>
    <row r="81">
      <c r="A81" s="128" t="s">
        <v>174</v>
      </c>
      <c r="B81" s="16">
        <f>IFERROR(__xludf.DUMMYFUNCTION("VLOOKUP(A81,IMPORTRANGE(""1aFCnJY1qhIj8-JckJhDJ18aqmVo17tofpQmOjcYa3u8/edit#gid=1878241338"",""S2 Totals!$A$2:$O$255""),2,FALSE)"),1.0)</f>
        <v>1</v>
      </c>
      <c r="C81" s="15">
        <f>IFERROR(__xludf.DUMMYFUNCTION("VLOOKUP(A81,IMPORTRANGE(""1aFCnJY1qhIj8-JckJhDJ18aqmVo17tofpQmOjcYa3u8/edit#gid=1878241338"",""S2 Totals!$A$2:$O$255""),3,FALSE)"),0.09090909090909091)</f>
        <v>0.09090909091</v>
      </c>
      <c r="D81" s="16">
        <f>IFERROR(__xludf.DUMMYFUNCTION("VLOOKUP(A81,IMPORTRANGE(""1QZ5UxyNCwadreQAXnQ7oCoH982DjIA-QnZdO7ZoqkC0/edit#gid=884617569"",""S2 Totals!$A$2:$O$255""),2,FALSE)"),2.0)</f>
        <v>2</v>
      </c>
      <c r="E81" s="15">
        <f>IFERROR(__xludf.DUMMYFUNCTION("VLOOKUP(A81,IMPORTRANGE(""1QZ5UxyNCwadreQAXnQ7oCoH982DjIA-QnZdO7ZoqkC0/edit#gid=884617569"",""S2 Totals!$A$2:$O$255""),3,FALSE)"),0.15384615384615385)</f>
        <v>0.1538461538</v>
      </c>
      <c r="F81" s="15">
        <f t="shared" si="1"/>
        <v>-0.06293706294</v>
      </c>
      <c r="G81" s="16">
        <f>IFERROR(__xludf.DUMMYFUNCTION("VLOOKUP(A81,IMPORTRANGE(""1QZ5UxyNCwadreQAXnQ7oCoH982DjIA-QnZdO7ZoqkC0/edit#gid=884617569"",""S2 Totals!$A$2:$O$255""),4,FALSE)"),2.0)</f>
        <v>2</v>
      </c>
      <c r="H81" s="15">
        <f>IFERROR(__xludf.DUMMYFUNCTION("VLOOKUP(A81,IMPORTRANGE(""1QZ5UxyNCwadreQAXnQ7oCoH982DjIA-QnZdO7ZoqkC0/edit#gid=884617569"",""S2 Totals!$A$2:$O$255""),5,FALSE)"),0.16666666666666666)</f>
        <v>0.1666666667</v>
      </c>
      <c r="I81" s="15">
        <f t="shared" si="2"/>
        <v>-0.07575757576</v>
      </c>
      <c r="J81" s="16">
        <f>IFERROR(__xludf.DUMMYFUNCTION("VLOOKUP(A81,IMPORTRANGE(""1QZ5UxyNCwadreQAXnQ7oCoH982DjIA-QnZdO7ZoqkC0/edit#gid=884617569"",""S2 Totals!$A$2:$O$255""),7,FALSE)"),2.0)</f>
        <v>2</v>
      </c>
      <c r="K81" s="15">
        <f>IFERROR(__xludf.DUMMYFUNCTION("VLOOKUP(A81,IMPORTRANGE(""1QZ5UxyNCwadreQAXnQ7oCoH982DjIA-QnZdO7ZoqkC0/edit#gid=884617569"",""S2 Totals!$A$2:$O$255""),8,FALSE)"),0.16666666666666666)</f>
        <v>0.1666666667</v>
      </c>
      <c r="L81" s="110">
        <f t="shared" si="3"/>
        <v>-0.07575757576</v>
      </c>
      <c r="M81" s="16" t="str">
        <f>IFERROR(__xludf.DUMMYFUNCTION("VLOOKUP(A81,IMPORTRANGE(""1QZ5UxyNCwadreQAXnQ7oCoH982DjIA-QnZdO7ZoqkC0/edit#gid=884617569"",""S2 Totals!$A$2:$O$255""),10,FALSE)"),"")</f>
        <v/>
      </c>
      <c r="N81" s="15" t="str">
        <f>IFERROR(__xludf.DUMMYFUNCTION("VLOOKUP(A81,IMPORTRANGE(""1QZ5UxyNCwadreQAXnQ7oCoH982DjIA-QnZdO7ZoqkC0/edit#gid=884617569"",""S2 Totals!$A$2:$O$255""),11,FALSE)"),"")</f>
        <v/>
      </c>
      <c r="O81" s="110">
        <f t="shared" si="4"/>
        <v>0.09090909091</v>
      </c>
      <c r="P81" s="16" t="str">
        <f>IFERROR(__xludf.DUMMYFUNCTION("VLOOKUP(A81,IMPORTRANGE(""1QZ5UxyNCwadreQAXnQ7oCoH982DjIA-QnZdO7ZoqkC0/edit#gid=884617569"",""S2 Totals!$A$2:$O$255""),13,FALSE)"),"")</f>
        <v/>
      </c>
      <c r="Q81" s="15" t="str">
        <f>IFERROR(__xludf.DUMMYFUNCTION("VLOOKUP(A81,IMPORTRANGE(""1QZ5UxyNCwadreQAXnQ7oCoH982DjIA-QnZdO7ZoqkC0/edit#gid=884617569"",""S2 Totals!$A$2:$O$255""),14,FALSE)"),"")</f>
        <v/>
      </c>
      <c r="R81" s="129">
        <f t="shared" si="5"/>
        <v>0.09090909091</v>
      </c>
    </row>
    <row r="82">
      <c r="A82" s="128" t="s">
        <v>175</v>
      </c>
      <c r="B82" s="16">
        <f>IFERROR(__xludf.DUMMYFUNCTION("VLOOKUP(A82,IMPORTRANGE(""1aFCnJY1qhIj8-JckJhDJ18aqmVo17tofpQmOjcYa3u8/edit#gid=1878241338"",""S2 Totals!$A$2:$O$255""),2,FALSE)"),0.0)</f>
        <v>0</v>
      </c>
      <c r="C82" s="15">
        <f>IFERROR(__xludf.DUMMYFUNCTION("VLOOKUP(A82,IMPORTRANGE(""1aFCnJY1qhIj8-JckJhDJ18aqmVo17tofpQmOjcYa3u8/edit#gid=1878241338"",""S2 Totals!$A$2:$O$255""),3,FALSE)"),0.0)</f>
        <v>0</v>
      </c>
      <c r="D82" s="16">
        <f>IFERROR(__xludf.DUMMYFUNCTION("VLOOKUP(A82,IMPORTRANGE(""1QZ5UxyNCwadreQAXnQ7oCoH982DjIA-QnZdO7ZoqkC0/edit#gid=884617569"",""S2 Totals!$A$2:$O$255""),2,FALSE)"),0.0)</f>
        <v>0</v>
      </c>
      <c r="E82" s="15">
        <f>IFERROR(__xludf.DUMMYFUNCTION("VLOOKUP(A82,IMPORTRANGE(""1QZ5UxyNCwadreQAXnQ7oCoH982DjIA-QnZdO7ZoqkC0/edit#gid=884617569"",""S2 Totals!$A$2:$O$255""),3,FALSE)"),0.0)</f>
        <v>0</v>
      </c>
      <c r="F82" s="15">
        <f t="shared" si="1"/>
        <v>0</v>
      </c>
      <c r="G82" s="16">
        <f>IFERROR(__xludf.DUMMYFUNCTION("VLOOKUP(A82,IMPORTRANGE(""1QZ5UxyNCwadreQAXnQ7oCoH982DjIA-QnZdO7ZoqkC0/edit#gid=884617569"",""S2 Totals!$A$2:$O$255""),4,FALSE)"),0.0)</f>
        <v>0</v>
      </c>
      <c r="H82" s="15">
        <f>IFERROR(__xludf.DUMMYFUNCTION("VLOOKUP(A82,IMPORTRANGE(""1QZ5UxyNCwadreQAXnQ7oCoH982DjIA-QnZdO7ZoqkC0/edit#gid=884617569"",""S2 Totals!$A$2:$O$255""),5,FALSE)"),0.0)</f>
        <v>0</v>
      </c>
      <c r="I82" s="15">
        <f t="shared" si="2"/>
        <v>0</v>
      </c>
      <c r="J82" s="16">
        <f>IFERROR(__xludf.DUMMYFUNCTION("VLOOKUP(A82,IMPORTRANGE(""1QZ5UxyNCwadreQAXnQ7oCoH982DjIA-QnZdO7ZoqkC0/edit#gid=884617569"",""S2 Totals!$A$2:$O$255""),7,FALSE)"),0.0)</f>
        <v>0</v>
      </c>
      <c r="K82" s="15">
        <f>IFERROR(__xludf.DUMMYFUNCTION("VLOOKUP(A82,IMPORTRANGE(""1QZ5UxyNCwadreQAXnQ7oCoH982DjIA-QnZdO7ZoqkC0/edit#gid=884617569"",""S2 Totals!$A$2:$O$255""),8,FALSE)"),0.0)</f>
        <v>0</v>
      </c>
      <c r="L82" s="110">
        <f t="shared" si="3"/>
        <v>0</v>
      </c>
      <c r="M82" s="16" t="str">
        <f>IFERROR(__xludf.DUMMYFUNCTION("VLOOKUP(A82,IMPORTRANGE(""1QZ5UxyNCwadreQAXnQ7oCoH982DjIA-QnZdO7ZoqkC0/edit#gid=884617569"",""S2 Totals!$A$2:$O$255""),10,FALSE)"),"")</f>
        <v/>
      </c>
      <c r="N82" s="15" t="str">
        <f>IFERROR(__xludf.DUMMYFUNCTION("VLOOKUP(A82,IMPORTRANGE(""1QZ5UxyNCwadreQAXnQ7oCoH982DjIA-QnZdO7ZoqkC0/edit#gid=884617569"",""S2 Totals!$A$2:$O$255""),11,FALSE)"),"")</f>
        <v/>
      </c>
      <c r="O82" s="110">
        <f t="shared" si="4"/>
        <v>0</v>
      </c>
      <c r="P82" s="16" t="str">
        <f>IFERROR(__xludf.DUMMYFUNCTION("VLOOKUP(A82,IMPORTRANGE(""1QZ5UxyNCwadreQAXnQ7oCoH982DjIA-QnZdO7ZoqkC0/edit#gid=884617569"",""S2 Totals!$A$2:$O$255""),13,FALSE)"),"")</f>
        <v/>
      </c>
      <c r="Q82" s="15" t="str">
        <f>IFERROR(__xludf.DUMMYFUNCTION("VLOOKUP(A82,IMPORTRANGE(""1QZ5UxyNCwadreQAXnQ7oCoH982DjIA-QnZdO7ZoqkC0/edit#gid=884617569"",""S2 Totals!$A$2:$O$255""),14,FALSE)"),"")</f>
        <v/>
      </c>
      <c r="R82" s="129">
        <f t="shared" si="5"/>
        <v>0</v>
      </c>
    </row>
    <row r="83">
      <c r="A83" s="128" t="s">
        <v>227</v>
      </c>
      <c r="B83" s="16">
        <f>IFERROR(__xludf.DUMMYFUNCTION("VLOOKUP(A83,IMPORTRANGE(""1aFCnJY1qhIj8-JckJhDJ18aqmVo17tofpQmOjcYa3u8/edit#gid=1878241338"",""S2 Totals!$A$2:$O$255""),2,FALSE)"),0.0)</f>
        <v>0</v>
      </c>
      <c r="C83" s="15">
        <f>IFERROR(__xludf.DUMMYFUNCTION("VLOOKUP(A83,IMPORTRANGE(""1aFCnJY1qhIj8-JckJhDJ18aqmVo17tofpQmOjcYa3u8/edit#gid=1878241338"",""S2 Totals!$A$2:$O$255""),3,FALSE)"),0.0)</f>
        <v>0</v>
      </c>
      <c r="D83" s="16">
        <f>IFERROR(__xludf.DUMMYFUNCTION("VLOOKUP(A83,IMPORTRANGE(""1QZ5UxyNCwadreQAXnQ7oCoH982DjIA-QnZdO7ZoqkC0/edit#gid=884617569"",""S2 Totals!$A$2:$O$255""),2,FALSE)"),0.0)</f>
        <v>0</v>
      </c>
      <c r="E83" s="15">
        <f>IFERROR(__xludf.DUMMYFUNCTION("VLOOKUP(A83,IMPORTRANGE(""1QZ5UxyNCwadreQAXnQ7oCoH982DjIA-QnZdO7ZoqkC0/edit#gid=884617569"",""S2 Totals!$A$2:$O$255""),3,FALSE)"),0.0)</f>
        <v>0</v>
      </c>
      <c r="F83" s="15">
        <f t="shared" si="1"/>
        <v>0</v>
      </c>
      <c r="G83" s="16">
        <f>IFERROR(__xludf.DUMMYFUNCTION("VLOOKUP(A83,IMPORTRANGE(""1QZ5UxyNCwadreQAXnQ7oCoH982DjIA-QnZdO7ZoqkC0/edit#gid=884617569"",""S2 Totals!$A$2:$O$255""),4,FALSE)"),0.0)</f>
        <v>0</v>
      </c>
      <c r="H83" s="15">
        <f>IFERROR(__xludf.DUMMYFUNCTION("VLOOKUP(A83,IMPORTRANGE(""1QZ5UxyNCwadreQAXnQ7oCoH982DjIA-QnZdO7ZoqkC0/edit#gid=884617569"",""S2 Totals!$A$2:$O$255""),5,FALSE)"),0.0)</f>
        <v>0</v>
      </c>
      <c r="I83" s="15">
        <f t="shared" si="2"/>
        <v>0</v>
      </c>
      <c r="J83" s="16" t="str">
        <f>IFERROR(__xludf.DUMMYFUNCTION("VLOOKUP(A83,IMPORTRANGE(""1QZ5UxyNCwadreQAXnQ7oCoH982DjIA-QnZdO7ZoqkC0/edit#gid=884617569"",""S2 Totals!$A$2:$O$255""),7,FALSE)"),"")</f>
        <v/>
      </c>
      <c r="K83" s="15" t="str">
        <f>IFERROR(__xludf.DUMMYFUNCTION("VLOOKUP(A83,IMPORTRANGE(""1QZ5UxyNCwadreQAXnQ7oCoH982DjIA-QnZdO7ZoqkC0/edit#gid=884617569"",""S2 Totals!$A$2:$O$255""),8,FALSE)"),"")</f>
        <v/>
      </c>
      <c r="L83" s="110">
        <f t="shared" si="3"/>
        <v>0</v>
      </c>
      <c r="M83" s="16" t="str">
        <f>IFERROR(__xludf.DUMMYFUNCTION("VLOOKUP(A83,IMPORTRANGE(""1QZ5UxyNCwadreQAXnQ7oCoH982DjIA-QnZdO7ZoqkC0/edit#gid=884617569"",""S2 Totals!$A$2:$O$255""),10,FALSE)"),"")</f>
        <v/>
      </c>
      <c r="N83" s="15" t="str">
        <f>IFERROR(__xludf.DUMMYFUNCTION("VLOOKUP(A83,IMPORTRANGE(""1QZ5UxyNCwadreQAXnQ7oCoH982DjIA-QnZdO7ZoqkC0/edit#gid=884617569"",""S2 Totals!$A$2:$O$255""),11,FALSE)"),"")</f>
        <v/>
      </c>
      <c r="O83" s="110">
        <f t="shared" si="4"/>
        <v>0</v>
      </c>
      <c r="P83" s="16" t="str">
        <f>IFERROR(__xludf.DUMMYFUNCTION("VLOOKUP(A83,IMPORTRANGE(""1QZ5UxyNCwadreQAXnQ7oCoH982DjIA-QnZdO7ZoqkC0/edit#gid=884617569"",""S2 Totals!$A$2:$O$255""),13,FALSE)"),"")</f>
        <v/>
      </c>
      <c r="Q83" s="15" t="str">
        <f>IFERROR(__xludf.DUMMYFUNCTION("VLOOKUP(A83,IMPORTRANGE(""1QZ5UxyNCwadreQAXnQ7oCoH982DjIA-QnZdO7ZoqkC0/edit#gid=884617569"",""S2 Totals!$A$2:$O$255""),14,FALSE)"),"")</f>
        <v/>
      </c>
      <c r="R83" s="129">
        <f t="shared" si="5"/>
        <v>0</v>
      </c>
    </row>
    <row r="84">
      <c r="A84" s="128" t="s">
        <v>127</v>
      </c>
      <c r="B84" s="16">
        <f>IFERROR(__xludf.DUMMYFUNCTION("VLOOKUP(A84,IMPORTRANGE(""1aFCnJY1qhIj8-JckJhDJ18aqmVo17tofpQmOjcYa3u8/edit#gid=1878241338"",""S2 Totals!$A$2:$O$255""),2,FALSE)"),9.0)</f>
        <v>9</v>
      </c>
      <c r="C84" s="15">
        <f>IFERROR(__xludf.DUMMYFUNCTION("VLOOKUP(A84,IMPORTRANGE(""1aFCnJY1qhIj8-JckJhDJ18aqmVo17tofpQmOjcYa3u8/edit#gid=1878241338"",""S2 Totals!$A$2:$O$255""),3,FALSE)"),0.8181818181818182)</f>
        <v>0.8181818182</v>
      </c>
      <c r="D84" s="16">
        <f>IFERROR(__xludf.DUMMYFUNCTION("VLOOKUP(A84,IMPORTRANGE(""1QZ5UxyNCwadreQAXnQ7oCoH982DjIA-QnZdO7ZoqkC0/edit#gid=884617569"",""S2 Totals!$A$2:$O$255""),2,FALSE)"),10.0)</f>
        <v>10</v>
      </c>
      <c r="E84" s="15">
        <f>IFERROR(__xludf.DUMMYFUNCTION("VLOOKUP(A84,IMPORTRANGE(""1QZ5UxyNCwadreQAXnQ7oCoH982DjIA-QnZdO7ZoqkC0/edit#gid=884617569"",""S2 Totals!$A$2:$O$255""),3,FALSE)"),0.7692307692307693)</f>
        <v>0.7692307692</v>
      </c>
      <c r="F84" s="15">
        <f t="shared" si="1"/>
        <v>0.04895104895</v>
      </c>
      <c r="G84" s="16">
        <f>IFERROR(__xludf.DUMMYFUNCTION("VLOOKUP(A84,IMPORTRANGE(""1QZ5UxyNCwadreQAXnQ7oCoH982DjIA-QnZdO7ZoqkC0/edit#gid=884617569"",""S2 Totals!$A$2:$O$255""),4,FALSE)"),8.0)</f>
        <v>8</v>
      </c>
      <c r="H84" s="15">
        <f>IFERROR(__xludf.DUMMYFUNCTION("VLOOKUP(A84,IMPORTRANGE(""1QZ5UxyNCwadreQAXnQ7oCoH982DjIA-QnZdO7ZoqkC0/edit#gid=884617569"",""S2 Totals!$A$2:$O$255""),5,FALSE)"),0.6666666666666666)</f>
        <v>0.6666666667</v>
      </c>
      <c r="I84" s="15">
        <f t="shared" si="2"/>
        <v>0.1515151515</v>
      </c>
      <c r="J84" s="16">
        <f>IFERROR(__xludf.DUMMYFUNCTION("VLOOKUP(A84,IMPORTRANGE(""1QZ5UxyNCwadreQAXnQ7oCoH982DjIA-QnZdO7ZoqkC0/edit#gid=884617569"",""S2 Totals!$A$2:$O$255""),7,FALSE)"),2.0)</f>
        <v>2</v>
      </c>
      <c r="K84" s="15">
        <f>IFERROR(__xludf.DUMMYFUNCTION("VLOOKUP(A84,IMPORTRANGE(""1QZ5UxyNCwadreQAXnQ7oCoH982DjIA-QnZdO7ZoqkC0/edit#gid=884617569"",""S2 Totals!$A$2:$O$255""),8,FALSE)"),0.16666666666666666)</f>
        <v>0.1666666667</v>
      </c>
      <c r="L84" s="110">
        <f t="shared" si="3"/>
        <v>0.6515151515</v>
      </c>
      <c r="M84" s="16">
        <f>IFERROR(__xludf.DUMMYFUNCTION("VLOOKUP(A84,IMPORTRANGE(""1QZ5UxyNCwadreQAXnQ7oCoH982DjIA-QnZdO7ZoqkC0/edit#gid=884617569"",""S2 Totals!$A$2:$O$255""),10,FALSE)"),4.0)</f>
        <v>4</v>
      </c>
      <c r="N84" s="15">
        <f>IFERROR(__xludf.DUMMYFUNCTION("VLOOKUP(A84,IMPORTRANGE(""1QZ5UxyNCwadreQAXnQ7oCoH982DjIA-QnZdO7ZoqkC0/edit#gid=884617569"",""S2 Totals!$A$2:$O$255""),11,FALSE)"),0.3076923076923077)</f>
        <v>0.3076923077</v>
      </c>
      <c r="O84" s="110">
        <f t="shared" si="4"/>
        <v>0.5104895105</v>
      </c>
      <c r="P84" s="16" t="str">
        <f>IFERROR(__xludf.DUMMYFUNCTION("VLOOKUP(A84,IMPORTRANGE(""1QZ5UxyNCwadreQAXnQ7oCoH982DjIA-QnZdO7ZoqkC0/edit#gid=884617569"",""S2 Totals!$A$2:$O$255""),13,FALSE)"),"")</f>
        <v/>
      </c>
      <c r="Q84" s="15" t="str">
        <f>IFERROR(__xludf.DUMMYFUNCTION("VLOOKUP(A84,IMPORTRANGE(""1QZ5UxyNCwadreQAXnQ7oCoH982DjIA-QnZdO7ZoqkC0/edit#gid=884617569"",""S2 Totals!$A$2:$O$255""),14,FALSE)"),"")</f>
        <v/>
      </c>
      <c r="R84" s="129">
        <f t="shared" si="5"/>
        <v>0.8181818182</v>
      </c>
    </row>
    <row r="85">
      <c r="A85" s="128" t="s">
        <v>228</v>
      </c>
      <c r="B85" s="16">
        <f>IFERROR(__xludf.DUMMYFUNCTION("VLOOKUP(A85,IMPORTRANGE(""1aFCnJY1qhIj8-JckJhDJ18aqmVo17tofpQmOjcYa3u8/edit#gid=1878241338"",""S2 Totals!$A$2:$O$255""),2,FALSE)"),2.0)</f>
        <v>2</v>
      </c>
      <c r="C85" s="15">
        <f>IFERROR(__xludf.DUMMYFUNCTION("VLOOKUP(A85,IMPORTRANGE(""1aFCnJY1qhIj8-JckJhDJ18aqmVo17tofpQmOjcYa3u8/edit#gid=1878241338"",""S2 Totals!$A$2:$O$255""),3,FALSE)"),0.18181818181818182)</f>
        <v>0.1818181818</v>
      </c>
      <c r="D85" s="16">
        <f>IFERROR(__xludf.DUMMYFUNCTION("VLOOKUP(A85,IMPORTRANGE(""1QZ5UxyNCwadreQAXnQ7oCoH982DjIA-QnZdO7ZoqkC0/edit#gid=884617569"",""S2 Totals!$A$2:$O$255""),2,FALSE)"),1.0)</f>
        <v>1</v>
      </c>
      <c r="E85" s="15">
        <f>IFERROR(__xludf.DUMMYFUNCTION("VLOOKUP(A85,IMPORTRANGE(""1QZ5UxyNCwadreQAXnQ7oCoH982DjIA-QnZdO7ZoqkC0/edit#gid=884617569"",""S2 Totals!$A$2:$O$255""),3,FALSE)"),0.07692307692307693)</f>
        <v>0.07692307692</v>
      </c>
      <c r="F85" s="15">
        <f t="shared" si="1"/>
        <v>0.1048951049</v>
      </c>
      <c r="G85" s="16">
        <f>IFERROR(__xludf.DUMMYFUNCTION("VLOOKUP(A85,IMPORTRANGE(""1QZ5UxyNCwadreQAXnQ7oCoH982DjIA-QnZdO7ZoqkC0/edit#gid=884617569"",""S2 Totals!$A$2:$O$255""),4,FALSE)"),1.0)</f>
        <v>1</v>
      </c>
      <c r="H85" s="15">
        <f>IFERROR(__xludf.DUMMYFUNCTION("VLOOKUP(A85,IMPORTRANGE(""1QZ5UxyNCwadreQAXnQ7oCoH982DjIA-QnZdO7ZoqkC0/edit#gid=884617569"",""S2 Totals!$A$2:$O$255""),5,FALSE)"),0.08333333333333333)</f>
        <v>0.08333333333</v>
      </c>
      <c r="I85" s="15">
        <f t="shared" si="2"/>
        <v>0.09848484848</v>
      </c>
      <c r="J85" s="16" t="str">
        <f>IFERROR(__xludf.DUMMYFUNCTION("VLOOKUP(A85,IMPORTRANGE(""1QZ5UxyNCwadreQAXnQ7oCoH982DjIA-QnZdO7ZoqkC0/edit#gid=884617569"",""S2 Totals!$A$2:$O$255""),7,FALSE)"),"")</f>
        <v/>
      </c>
      <c r="K85" s="15" t="str">
        <f>IFERROR(__xludf.DUMMYFUNCTION("VLOOKUP(A85,IMPORTRANGE(""1QZ5UxyNCwadreQAXnQ7oCoH982DjIA-QnZdO7ZoqkC0/edit#gid=884617569"",""S2 Totals!$A$2:$O$255""),8,FALSE)"),"")</f>
        <v/>
      </c>
      <c r="L85" s="110">
        <f t="shared" si="3"/>
        <v>0.1818181818</v>
      </c>
      <c r="M85" s="16" t="str">
        <f>IFERROR(__xludf.DUMMYFUNCTION("VLOOKUP(A85,IMPORTRANGE(""1QZ5UxyNCwadreQAXnQ7oCoH982DjIA-QnZdO7ZoqkC0/edit#gid=884617569"",""S2 Totals!$A$2:$O$255""),10,FALSE)"),"")</f>
        <v/>
      </c>
      <c r="N85" s="15" t="str">
        <f>IFERROR(__xludf.DUMMYFUNCTION("VLOOKUP(A85,IMPORTRANGE(""1QZ5UxyNCwadreQAXnQ7oCoH982DjIA-QnZdO7ZoqkC0/edit#gid=884617569"",""S2 Totals!$A$2:$O$255""),11,FALSE)"),"")</f>
        <v/>
      </c>
      <c r="O85" s="110">
        <f t="shared" si="4"/>
        <v>0.1818181818</v>
      </c>
      <c r="P85" s="16" t="str">
        <f>IFERROR(__xludf.DUMMYFUNCTION("VLOOKUP(A85,IMPORTRANGE(""1QZ5UxyNCwadreQAXnQ7oCoH982DjIA-QnZdO7ZoqkC0/edit#gid=884617569"",""S2 Totals!$A$2:$O$255""),13,FALSE)"),"")</f>
        <v/>
      </c>
      <c r="Q85" s="15" t="str">
        <f>IFERROR(__xludf.DUMMYFUNCTION("VLOOKUP(A85,IMPORTRANGE(""1QZ5UxyNCwadreQAXnQ7oCoH982DjIA-QnZdO7ZoqkC0/edit#gid=884617569"",""S2 Totals!$A$2:$O$255""),14,FALSE)"),"")</f>
        <v/>
      </c>
      <c r="R85" s="129">
        <f t="shared" si="5"/>
        <v>0.1818181818</v>
      </c>
    </row>
    <row r="86">
      <c r="A86" s="128" t="s">
        <v>229</v>
      </c>
      <c r="B86" s="16">
        <f>IFERROR(__xludf.DUMMYFUNCTION("VLOOKUP(A86,IMPORTRANGE(""1aFCnJY1qhIj8-JckJhDJ18aqmVo17tofpQmOjcYa3u8/edit#gid=1878241338"",""S2 Totals!$A$2:$O$255""),2,FALSE)"),3.0)</f>
        <v>3</v>
      </c>
      <c r="C86" s="15">
        <f>IFERROR(__xludf.DUMMYFUNCTION("VLOOKUP(A86,IMPORTRANGE(""1aFCnJY1qhIj8-JckJhDJ18aqmVo17tofpQmOjcYa3u8/edit#gid=1878241338"",""S2 Totals!$A$2:$O$255""),3,FALSE)"),0.2727272727272727)</f>
        <v>0.2727272727</v>
      </c>
      <c r="D86" s="16">
        <f>IFERROR(__xludf.DUMMYFUNCTION("VLOOKUP(A86,IMPORTRANGE(""1QZ5UxyNCwadreQAXnQ7oCoH982DjIA-QnZdO7ZoqkC0/edit#gid=884617569"",""S2 Totals!$A$2:$O$255""),2,FALSE)"),8.0)</f>
        <v>8</v>
      </c>
      <c r="E86" s="15">
        <f>IFERROR(__xludf.DUMMYFUNCTION("VLOOKUP(A86,IMPORTRANGE(""1QZ5UxyNCwadreQAXnQ7oCoH982DjIA-QnZdO7ZoqkC0/edit#gid=884617569"",""S2 Totals!$A$2:$O$255""),3,FALSE)"),0.6153846153846154)</f>
        <v>0.6153846154</v>
      </c>
      <c r="F86" s="15">
        <f t="shared" si="1"/>
        <v>-0.3426573427</v>
      </c>
      <c r="G86" s="16">
        <f>IFERROR(__xludf.DUMMYFUNCTION("VLOOKUP(A86,IMPORTRANGE(""1QZ5UxyNCwadreQAXnQ7oCoH982DjIA-QnZdO7ZoqkC0/edit#gid=884617569"",""S2 Totals!$A$2:$O$255""),4,FALSE)"),9.0)</f>
        <v>9</v>
      </c>
      <c r="H86" s="15">
        <f>IFERROR(__xludf.DUMMYFUNCTION("VLOOKUP(A86,IMPORTRANGE(""1QZ5UxyNCwadreQAXnQ7oCoH982DjIA-QnZdO7ZoqkC0/edit#gid=884617569"",""S2 Totals!$A$2:$O$255""),5,FALSE)"),0.75)</f>
        <v>0.75</v>
      </c>
      <c r="I86" s="15">
        <f t="shared" si="2"/>
        <v>-0.4772727273</v>
      </c>
      <c r="J86" s="16" t="str">
        <f>IFERROR(__xludf.DUMMYFUNCTION("VLOOKUP(A86,IMPORTRANGE(""1QZ5UxyNCwadreQAXnQ7oCoH982DjIA-QnZdO7ZoqkC0/edit#gid=884617569"",""S2 Totals!$A$2:$O$255""),7,FALSE)"),"")</f>
        <v/>
      </c>
      <c r="K86" s="15" t="str">
        <f>IFERROR(__xludf.DUMMYFUNCTION("VLOOKUP(A86,IMPORTRANGE(""1QZ5UxyNCwadreQAXnQ7oCoH982DjIA-QnZdO7ZoqkC0/edit#gid=884617569"",""S2 Totals!$A$2:$O$255""),8,FALSE)"),"")</f>
        <v/>
      </c>
      <c r="L86" s="110">
        <f t="shared" si="3"/>
        <v>0.2727272727</v>
      </c>
      <c r="M86" s="16" t="str">
        <f>IFERROR(__xludf.DUMMYFUNCTION("VLOOKUP(A86,IMPORTRANGE(""1QZ5UxyNCwadreQAXnQ7oCoH982DjIA-QnZdO7ZoqkC0/edit#gid=884617569"",""S2 Totals!$A$2:$O$255""),10,FALSE)"),"")</f>
        <v/>
      </c>
      <c r="N86" s="15" t="str">
        <f>IFERROR(__xludf.DUMMYFUNCTION("VLOOKUP(A86,IMPORTRANGE(""1QZ5UxyNCwadreQAXnQ7oCoH982DjIA-QnZdO7ZoqkC0/edit#gid=884617569"",""S2 Totals!$A$2:$O$255""),11,FALSE)"),"")</f>
        <v/>
      </c>
      <c r="O86" s="110">
        <f t="shared" si="4"/>
        <v>0.2727272727</v>
      </c>
      <c r="P86" s="16" t="str">
        <f>IFERROR(__xludf.DUMMYFUNCTION("VLOOKUP(A86,IMPORTRANGE(""1QZ5UxyNCwadreQAXnQ7oCoH982DjIA-QnZdO7ZoqkC0/edit#gid=884617569"",""S2 Totals!$A$2:$O$255""),13,FALSE)"),"")</f>
        <v/>
      </c>
      <c r="Q86" s="15" t="str">
        <f>IFERROR(__xludf.DUMMYFUNCTION("VLOOKUP(A86,IMPORTRANGE(""1QZ5UxyNCwadreQAXnQ7oCoH982DjIA-QnZdO7ZoqkC0/edit#gid=884617569"",""S2 Totals!$A$2:$O$255""),14,FALSE)"),"")</f>
        <v/>
      </c>
      <c r="R86" s="129">
        <f t="shared" si="5"/>
        <v>0.2727272727</v>
      </c>
    </row>
    <row r="87">
      <c r="A87" s="128" t="s">
        <v>128</v>
      </c>
      <c r="B87" s="16">
        <f>IFERROR(__xludf.DUMMYFUNCTION("VLOOKUP(A87,IMPORTRANGE(""1aFCnJY1qhIj8-JckJhDJ18aqmVo17tofpQmOjcYa3u8/edit#gid=1878241338"",""S2 Totals!$A$2:$O$255""),2,FALSE)"),3.0)</f>
        <v>3</v>
      </c>
      <c r="C87" s="15">
        <f>IFERROR(__xludf.DUMMYFUNCTION("VLOOKUP(A87,IMPORTRANGE(""1aFCnJY1qhIj8-JckJhDJ18aqmVo17tofpQmOjcYa3u8/edit#gid=1878241338"",""S2 Totals!$A$2:$O$255""),3,FALSE)"),0.2727272727272727)</f>
        <v>0.2727272727</v>
      </c>
      <c r="D87" s="16">
        <f>IFERROR(__xludf.DUMMYFUNCTION("VLOOKUP(A87,IMPORTRANGE(""1QZ5UxyNCwadreQAXnQ7oCoH982DjIA-QnZdO7ZoqkC0/edit#gid=884617569"",""S2 Totals!$A$2:$O$255""),2,FALSE)"),4.0)</f>
        <v>4</v>
      </c>
      <c r="E87" s="15">
        <f>IFERROR(__xludf.DUMMYFUNCTION("VLOOKUP(A87,IMPORTRANGE(""1QZ5UxyNCwadreQAXnQ7oCoH982DjIA-QnZdO7ZoqkC0/edit#gid=884617569"",""S2 Totals!$A$2:$O$255""),3,FALSE)"),0.3076923076923077)</f>
        <v>0.3076923077</v>
      </c>
      <c r="F87" s="15">
        <f t="shared" si="1"/>
        <v>-0.03496503497</v>
      </c>
      <c r="G87" s="16">
        <f>IFERROR(__xludf.DUMMYFUNCTION("VLOOKUP(A87,IMPORTRANGE(""1QZ5UxyNCwadreQAXnQ7oCoH982DjIA-QnZdO7ZoqkC0/edit#gid=884617569"",""S2 Totals!$A$2:$O$255""),4,FALSE)"),2.0)</f>
        <v>2</v>
      </c>
      <c r="H87" s="15">
        <f>IFERROR(__xludf.DUMMYFUNCTION("VLOOKUP(A87,IMPORTRANGE(""1QZ5UxyNCwadreQAXnQ7oCoH982DjIA-QnZdO7ZoqkC0/edit#gid=884617569"",""S2 Totals!$A$2:$O$255""),5,FALSE)"),0.16666666666666666)</f>
        <v>0.1666666667</v>
      </c>
      <c r="I87" s="15">
        <f t="shared" si="2"/>
        <v>0.1060606061</v>
      </c>
      <c r="J87" s="16">
        <f>IFERROR(__xludf.DUMMYFUNCTION("VLOOKUP(A87,IMPORTRANGE(""1QZ5UxyNCwadreQAXnQ7oCoH982DjIA-QnZdO7ZoqkC0/edit#gid=884617569"",""S2 Totals!$A$2:$O$255""),7,FALSE)"),2.0)</f>
        <v>2</v>
      </c>
      <c r="K87" s="15">
        <f>IFERROR(__xludf.DUMMYFUNCTION("VLOOKUP(A87,IMPORTRANGE(""1QZ5UxyNCwadreQAXnQ7oCoH982DjIA-QnZdO7ZoqkC0/edit#gid=884617569"",""S2 Totals!$A$2:$O$255""),8,FALSE)"),0.16666666666666666)</f>
        <v>0.1666666667</v>
      </c>
      <c r="L87" s="110">
        <f t="shared" si="3"/>
        <v>0.1060606061</v>
      </c>
      <c r="M87" s="16">
        <f>IFERROR(__xludf.DUMMYFUNCTION("VLOOKUP(A87,IMPORTRANGE(""1QZ5UxyNCwadreQAXnQ7oCoH982DjIA-QnZdO7ZoqkC0/edit#gid=884617569"",""S2 Totals!$A$2:$O$255""),10,FALSE)"),0.0)</f>
        <v>0</v>
      </c>
      <c r="N87" s="15">
        <f>IFERROR(__xludf.DUMMYFUNCTION("VLOOKUP(A87,IMPORTRANGE(""1QZ5UxyNCwadreQAXnQ7oCoH982DjIA-QnZdO7ZoqkC0/edit#gid=884617569"",""S2 Totals!$A$2:$O$255""),11,FALSE)"),0.0)</f>
        <v>0</v>
      </c>
      <c r="O87" s="110">
        <f t="shared" si="4"/>
        <v>0.2727272727</v>
      </c>
      <c r="P87" s="16" t="str">
        <f>IFERROR(__xludf.DUMMYFUNCTION("VLOOKUP(A87,IMPORTRANGE(""1QZ5UxyNCwadreQAXnQ7oCoH982DjIA-QnZdO7ZoqkC0/edit#gid=884617569"",""S2 Totals!$A$2:$O$255""),13,FALSE)"),"")</f>
        <v/>
      </c>
      <c r="Q87" s="15" t="str">
        <f>IFERROR(__xludf.DUMMYFUNCTION("VLOOKUP(A87,IMPORTRANGE(""1QZ5UxyNCwadreQAXnQ7oCoH982DjIA-QnZdO7ZoqkC0/edit#gid=884617569"",""S2 Totals!$A$2:$O$255""),14,FALSE)"),"")</f>
        <v/>
      </c>
      <c r="R87" s="129">
        <f t="shared" si="5"/>
        <v>0.2727272727</v>
      </c>
    </row>
    <row r="88">
      <c r="A88" s="128" t="s">
        <v>230</v>
      </c>
      <c r="B88" s="16">
        <f>IFERROR(__xludf.DUMMYFUNCTION("VLOOKUP(A88,IMPORTRANGE(""1aFCnJY1qhIj8-JckJhDJ18aqmVo17tofpQmOjcYa3u8/edit#gid=1878241338"",""S2 Totals!$A$2:$O$255""),2,FALSE)"),6.0)</f>
        <v>6</v>
      </c>
      <c r="C88" s="15">
        <f>IFERROR(__xludf.DUMMYFUNCTION("VLOOKUP(A88,IMPORTRANGE(""1aFCnJY1qhIj8-JckJhDJ18aqmVo17tofpQmOjcYa3u8/edit#gid=1878241338"",""S2 Totals!$A$2:$O$255""),3,FALSE)"),0.5454545454545454)</f>
        <v>0.5454545455</v>
      </c>
      <c r="D88" s="16">
        <f>IFERROR(__xludf.DUMMYFUNCTION("VLOOKUP(A88,IMPORTRANGE(""1QZ5UxyNCwadreQAXnQ7oCoH982DjIA-QnZdO7ZoqkC0/edit#gid=884617569"",""S2 Totals!$A$2:$O$255""),2,FALSE)"),4.0)</f>
        <v>4</v>
      </c>
      <c r="E88" s="15">
        <f>IFERROR(__xludf.DUMMYFUNCTION("VLOOKUP(A88,IMPORTRANGE(""1QZ5UxyNCwadreQAXnQ7oCoH982DjIA-QnZdO7ZoqkC0/edit#gid=884617569"",""S2 Totals!$A$2:$O$255""),3,FALSE)"),0.3076923076923077)</f>
        <v>0.3076923077</v>
      </c>
      <c r="F88" s="15">
        <f t="shared" si="1"/>
        <v>0.2377622378</v>
      </c>
      <c r="G88" s="16">
        <f>IFERROR(__xludf.DUMMYFUNCTION("VLOOKUP(A88,IMPORTRANGE(""1QZ5UxyNCwadreQAXnQ7oCoH982DjIA-QnZdO7ZoqkC0/edit#gid=884617569"",""S2 Totals!$A$2:$O$255""),4,FALSE)"),6.0)</f>
        <v>6</v>
      </c>
      <c r="H88" s="15">
        <f>IFERROR(__xludf.DUMMYFUNCTION("VLOOKUP(A88,IMPORTRANGE(""1QZ5UxyNCwadreQAXnQ7oCoH982DjIA-QnZdO7ZoqkC0/edit#gid=884617569"",""S2 Totals!$A$2:$O$255""),5,FALSE)"),0.5)</f>
        <v>0.5</v>
      </c>
      <c r="I88" s="15">
        <f t="shared" si="2"/>
        <v>0.04545454545</v>
      </c>
      <c r="J88" s="16" t="str">
        <f>IFERROR(__xludf.DUMMYFUNCTION("VLOOKUP(A88,IMPORTRANGE(""1QZ5UxyNCwadreQAXnQ7oCoH982DjIA-QnZdO7ZoqkC0/edit#gid=884617569"",""S2 Totals!$A$2:$O$255""),7,FALSE)"),"")</f>
        <v/>
      </c>
      <c r="K88" s="15" t="str">
        <f>IFERROR(__xludf.DUMMYFUNCTION("VLOOKUP(A88,IMPORTRANGE(""1QZ5UxyNCwadreQAXnQ7oCoH982DjIA-QnZdO7ZoqkC0/edit#gid=884617569"",""S2 Totals!$A$2:$O$255""),8,FALSE)"),"")</f>
        <v/>
      </c>
      <c r="L88" s="110">
        <f t="shared" si="3"/>
        <v>0.5454545455</v>
      </c>
      <c r="M88" s="16" t="str">
        <f>IFERROR(__xludf.DUMMYFUNCTION("VLOOKUP(A88,IMPORTRANGE(""1QZ5UxyNCwadreQAXnQ7oCoH982DjIA-QnZdO7ZoqkC0/edit#gid=884617569"",""S2 Totals!$A$2:$O$255""),10,FALSE)"),"")</f>
        <v/>
      </c>
      <c r="N88" s="15" t="str">
        <f>IFERROR(__xludf.DUMMYFUNCTION("VLOOKUP(A88,IMPORTRANGE(""1QZ5UxyNCwadreQAXnQ7oCoH982DjIA-QnZdO7ZoqkC0/edit#gid=884617569"",""S2 Totals!$A$2:$O$255""),11,FALSE)"),"")</f>
        <v/>
      </c>
      <c r="O88" s="110">
        <f t="shared" si="4"/>
        <v>0.5454545455</v>
      </c>
      <c r="P88" s="16" t="str">
        <f>IFERROR(__xludf.DUMMYFUNCTION("VLOOKUP(A88,IMPORTRANGE(""1QZ5UxyNCwadreQAXnQ7oCoH982DjIA-QnZdO7ZoqkC0/edit#gid=884617569"",""S2 Totals!$A$2:$O$255""),13,FALSE)"),"")</f>
        <v/>
      </c>
      <c r="Q88" s="15" t="str">
        <f>IFERROR(__xludf.DUMMYFUNCTION("VLOOKUP(A88,IMPORTRANGE(""1QZ5UxyNCwadreQAXnQ7oCoH982DjIA-QnZdO7ZoqkC0/edit#gid=884617569"",""S2 Totals!$A$2:$O$255""),14,FALSE)"),"")</f>
        <v/>
      </c>
      <c r="R88" s="129">
        <f t="shared" si="5"/>
        <v>0.5454545455</v>
      </c>
    </row>
    <row r="89">
      <c r="A89" s="128" t="s">
        <v>176</v>
      </c>
      <c r="B89" s="16">
        <f>IFERROR(__xludf.DUMMYFUNCTION("VLOOKUP(A89,IMPORTRANGE(""1aFCnJY1qhIj8-JckJhDJ18aqmVo17tofpQmOjcYa3u8/edit#gid=1878241338"",""S2 Totals!$A$2:$O$255""),2,FALSE)"),1.0)</f>
        <v>1</v>
      </c>
      <c r="C89" s="15">
        <f>IFERROR(__xludf.DUMMYFUNCTION("VLOOKUP(A89,IMPORTRANGE(""1aFCnJY1qhIj8-JckJhDJ18aqmVo17tofpQmOjcYa3u8/edit#gid=1878241338"",""S2 Totals!$A$2:$O$255""),3,FALSE)"),0.09090909090909091)</f>
        <v>0.09090909091</v>
      </c>
      <c r="D89" s="16">
        <f>IFERROR(__xludf.DUMMYFUNCTION("VLOOKUP(A89,IMPORTRANGE(""1QZ5UxyNCwadreQAXnQ7oCoH982DjIA-QnZdO7ZoqkC0/edit#gid=884617569"",""S2 Totals!$A$2:$O$255""),2,FALSE)"),0.0)</f>
        <v>0</v>
      </c>
      <c r="E89" s="15">
        <f>IFERROR(__xludf.DUMMYFUNCTION("VLOOKUP(A89,IMPORTRANGE(""1QZ5UxyNCwadreQAXnQ7oCoH982DjIA-QnZdO7ZoqkC0/edit#gid=884617569"",""S2 Totals!$A$2:$O$255""),3,FALSE)"),0.0)</f>
        <v>0</v>
      </c>
      <c r="F89" s="15">
        <f t="shared" si="1"/>
        <v>0.09090909091</v>
      </c>
      <c r="G89" s="16">
        <f>IFERROR(__xludf.DUMMYFUNCTION("VLOOKUP(A89,IMPORTRANGE(""1QZ5UxyNCwadreQAXnQ7oCoH982DjIA-QnZdO7ZoqkC0/edit#gid=884617569"",""S2 Totals!$A$2:$O$255""),4,FALSE)"),0.0)</f>
        <v>0</v>
      </c>
      <c r="H89" s="15">
        <f>IFERROR(__xludf.DUMMYFUNCTION("VLOOKUP(A89,IMPORTRANGE(""1QZ5UxyNCwadreQAXnQ7oCoH982DjIA-QnZdO7ZoqkC0/edit#gid=884617569"",""S2 Totals!$A$2:$O$255""),5,FALSE)"),0.0)</f>
        <v>0</v>
      </c>
      <c r="I89" s="15">
        <f t="shared" si="2"/>
        <v>0.09090909091</v>
      </c>
      <c r="J89" s="16">
        <f>IFERROR(__xludf.DUMMYFUNCTION("VLOOKUP(A89,IMPORTRANGE(""1QZ5UxyNCwadreQAXnQ7oCoH982DjIA-QnZdO7ZoqkC0/edit#gid=884617569"",""S2 Totals!$A$2:$O$255""),7,FALSE)"),0.0)</f>
        <v>0</v>
      </c>
      <c r="K89" s="15">
        <f>IFERROR(__xludf.DUMMYFUNCTION("VLOOKUP(A89,IMPORTRANGE(""1QZ5UxyNCwadreQAXnQ7oCoH982DjIA-QnZdO7ZoqkC0/edit#gid=884617569"",""S2 Totals!$A$2:$O$255""),8,FALSE)"),0.0)</f>
        <v>0</v>
      </c>
      <c r="L89" s="110">
        <f t="shared" si="3"/>
        <v>0.09090909091</v>
      </c>
      <c r="M89" s="16" t="str">
        <f>IFERROR(__xludf.DUMMYFUNCTION("VLOOKUP(A89,IMPORTRANGE(""1QZ5UxyNCwadreQAXnQ7oCoH982DjIA-QnZdO7ZoqkC0/edit#gid=884617569"",""S2 Totals!$A$2:$O$255""),10,FALSE)"),"")</f>
        <v/>
      </c>
      <c r="N89" s="15" t="str">
        <f>IFERROR(__xludf.DUMMYFUNCTION("VLOOKUP(A89,IMPORTRANGE(""1QZ5UxyNCwadreQAXnQ7oCoH982DjIA-QnZdO7ZoqkC0/edit#gid=884617569"",""S2 Totals!$A$2:$O$255""),11,FALSE)"),"")</f>
        <v/>
      </c>
      <c r="O89" s="110">
        <f t="shared" si="4"/>
        <v>0.09090909091</v>
      </c>
      <c r="P89" s="16" t="str">
        <f>IFERROR(__xludf.DUMMYFUNCTION("VLOOKUP(A89,IMPORTRANGE(""1QZ5UxyNCwadreQAXnQ7oCoH982DjIA-QnZdO7ZoqkC0/edit#gid=884617569"",""S2 Totals!$A$2:$O$255""),13,FALSE)"),"")</f>
        <v/>
      </c>
      <c r="Q89" s="15" t="str">
        <f>IFERROR(__xludf.DUMMYFUNCTION("VLOOKUP(A89,IMPORTRANGE(""1QZ5UxyNCwadreQAXnQ7oCoH982DjIA-QnZdO7ZoqkC0/edit#gid=884617569"",""S2 Totals!$A$2:$O$255""),14,FALSE)"),"")</f>
        <v/>
      </c>
      <c r="R89" s="129">
        <f t="shared" si="5"/>
        <v>0.09090909091</v>
      </c>
    </row>
    <row r="90">
      <c r="A90" s="128" t="s">
        <v>231</v>
      </c>
      <c r="B90" s="16">
        <f>IFERROR(__xludf.DUMMYFUNCTION("VLOOKUP(A90,IMPORTRANGE(""1aFCnJY1qhIj8-JckJhDJ18aqmVo17tofpQmOjcYa3u8/edit#gid=1878241338"",""S2 Totals!$A$2:$O$255""),2,FALSE)"),5.0)</f>
        <v>5</v>
      </c>
      <c r="C90" s="15">
        <f>IFERROR(__xludf.DUMMYFUNCTION("VLOOKUP(A90,IMPORTRANGE(""1aFCnJY1qhIj8-JckJhDJ18aqmVo17tofpQmOjcYa3u8/edit#gid=1878241338"",""S2 Totals!$A$2:$O$255""),3,FALSE)"),0.45454545454545453)</f>
        <v>0.4545454545</v>
      </c>
      <c r="D90" s="16">
        <f>IFERROR(__xludf.DUMMYFUNCTION("VLOOKUP(A90,IMPORTRANGE(""1QZ5UxyNCwadreQAXnQ7oCoH982DjIA-QnZdO7ZoqkC0/edit#gid=884617569"",""S2 Totals!$A$2:$O$255""),2,FALSE)"),4.0)</f>
        <v>4</v>
      </c>
      <c r="E90" s="15">
        <f>IFERROR(__xludf.DUMMYFUNCTION("VLOOKUP(A90,IMPORTRANGE(""1QZ5UxyNCwadreQAXnQ7oCoH982DjIA-QnZdO7ZoqkC0/edit#gid=884617569"",""S2 Totals!$A$2:$O$255""),3,FALSE)"),0.3076923076923077)</f>
        <v>0.3076923077</v>
      </c>
      <c r="F90" s="15">
        <f t="shared" si="1"/>
        <v>0.1468531469</v>
      </c>
      <c r="G90" s="16">
        <f>IFERROR(__xludf.DUMMYFUNCTION("VLOOKUP(A90,IMPORTRANGE(""1QZ5UxyNCwadreQAXnQ7oCoH982DjIA-QnZdO7ZoqkC0/edit#gid=884617569"",""S2 Totals!$A$2:$O$255""),4,FALSE)"),0.0)</f>
        <v>0</v>
      </c>
      <c r="H90" s="15">
        <f>IFERROR(__xludf.DUMMYFUNCTION("VLOOKUP(A90,IMPORTRANGE(""1QZ5UxyNCwadreQAXnQ7oCoH982DjIA-QnZdO7ZoqkC0/edit#gid=884617569"",""S2 Totals!$A$2:$O$255""),5,FALSE)"),0.0)</f>
        <v>0</v>
      </c>
      <c r="I90" s="15">
        <f t="shared" si="2"/>
        <v>0.4545454545</v>
      </c>
      <c r="J90" s="16" t="str">
        <f>IFERROR(__xludf.DUMMYFUNCTION("VLOOKUP(A90,IMPORTRANGE(""1QZ5UxyNCwadreQAXnQ7oCoH982DjIA-QnZdO7ZoqkC0/edit#gid=884617569"",""S2 Totals!$A$2:$O$255""),7,FALSE)"),"")</f>
        <v/>
      </c>
      <c r="K90" s="15" t="str">
        <f>IFERROR(__xludf.DUMMYFUNCTION("VLOOKUP(A90,IMPORTRANGE(""1QZ5UxyNCwadreQAXnQ7oCoH982DjIA-QnZdO7ZoqkC0/edit#gid=884617569"",""S2 Totals!$A$2:$O$255""),8,FALSE)"),"")</f>
        <v/>
      </c>
      <c r="L90" s="110">
        <f t="shared" si="3"/>
        <v>0.4545454545</v>
      </c>
      <c r="M90" s="16" t="str">
        <f>IFERROR(__xludf.DUMMYFUNCTION("VLOOKUP(A90,IMPORTRANGE(""1QZ5UxyNCwadreQAXnQ7oCoH982DjIA-QnZdO7ZoqkC0/edit#gid=884617569"",""S2 Totals!$A$2:$O$255""),10,FALSE)"),"")</f>
        <v/>
      </c>
      <c r="N90" s="15" t="str">
        <f>IFERROR(__xludf.DUMMYFUNCTION("VLOOKUP(A90,IMPORTRANGE(""1QZ5UxyNCwadreQAXnQ7oCoH982DjIA-QnZdO7ZoqkC0/edit#gid=884617569"",""S2 Totals!$A$2:$O$255""),11,FALSE)"),"")</f>
        <v/>
      </c>
      <c r="O90" s="110">
        <f t="shared" si="4"/>
        <v>0.4545454545</v>
      </c>
      <c r="P90" s="16" t="str">
        <f>IFERROR(__xludf.DUMMYFUNCTION("VLOOKUP(A90,IMPORTRANGE(""1QZ5UxyNCwadreQAXnQ7oCoH982DjIA-QnZdO7ZoqkC0/edit#gid=884617569"",""S2 Totals!$A$2:$O$255""),13,FALSE)"),"")</f>
        <v/>
      </c>
      <c r="Q90" s="15" t="str">
        <f>IFERROR(__xludf.DUMMYFUNCTION("VLOOKUP(A90,IMPORTRANGE(""1QZ5UxyNCwadreQAXnQ7oCoH982DjIA-QnZdO7ZoqkC0/edit#gid=884617569"",""S2 Totals!$A$2:$O$255""),14,FALSE)"),"")</f>
        <v/>
      </c>
      <c r="R90" s="129">
        <f t="shared" si="5"/>
        <v>0.4545454545</v>
      </c>
    </row>
    <row r="91">
      <c r="A91" s="128" t="s">
        <v>265</v>
      </c>
      <c r="B91" s="16">
        <f>IFERROR(__xludf.DUMMYFUNCTION("VLOOKUP(A91,IMPORTRANGE(""1aFCnJY1qhIj8-JckJhDJ18aqmVo17tofpQmOjcYa3u8/edit#gid=1878241338"",""S2 Totals!$A$2:$O$255""),2,FALSE)"),6.0)</f>
        <v>6</v>
      </c>
      <c r="C91" s="15">
        <f>IFERROR(__xludf.DUMMYFUNCTION("VLOOKUP(A91,IMPORTRANGE(""1aFCnJY1qhIj8-JckJhDJ18aqmVo17tofpQmOjcYa3u8/edit#gid=1878241338"",""S2 Totals!$A$2:$O$255""),3,FALSE)"),0.5454545454545454)</f>
        <v>0.5454545455</v>
      </c>
      <c r="D91" s="16" t="str">
        <f>IFERROR(__xludf.DUMMYFUNCTION("VLOOKUP(A91,IMPORTRANGE(""1QZ5UxyNCwadreQAXnQ7oCoH982DjIA-QnZdO7ZoqkC0/edit#gid=884617569"",""S2 Totals!$A$2:$O$255""),2,FALSE)"),"#N/A")</f>
        <v>#N/A</v>
      </c>
      <c r="E91" s="15" t="str">
        <f>IFERROR(__xludf.DUMMYFUNCTION("VLOOKUP(A91,IMPORTRANGE(""1QZ5UxyNCwadreQAXnQ7oCoH982DjIA-QnZdO7ZoqkC0/edit#gid=884617569"",""S2 Totals!$A$2:$O$255""),3,FALSE)"),"#N/A")</f>
        <v>#N/A</v>
      </c>
      <c r="F91" s="16" t="str">
        <f t="shared" si="1"/>
        <v>#N/A</v>
      </c>
      <c r="G91" s="16" t="str">
        <f>IFERROR(__xludf.DUMMYFUNCTION("VLOOKUP(A91,IMPORTRANGE(""1QZ5UxyNCwadreQAXnQ7oCoH982DjIA-QnZdO7ZoqkC0/edit#gid=884617569"",""S2 Totals!$A$2:$O$255""),4,FALSE)"),"#N/A")</f>
        <v>#N/A</v>
      </c>
      <c r="H91" s="15" t="str">
        <f>IFERROR(__xludf.DUMMYFUNCTION("VLOOKUP(A91,IMPORTRANGE(""1QZ5UxyNCwadreQAXnQ7oCoH982DjIA-QnZdO7ZoqkC0/edit#gid=884617569"",""S2 Totals!$A$2:$O$255""),5,FALSE)"),"#N/A")</f>
        <v>#N/A</v>
      </c>
      <c r="I91" s="16" t="str">
        <f t="shared" si="2"/>
        <v>#N/A</v>
      </c>
      <c r="J91" s="16" t="str">
        <f>IFERROR(__xludf.DUMMYFUNCTION("VLOOKUP(A91,IMPORTRANGE(""1QZ5UxyNCwadreQAXnQ7oCoH982DjIA-QnZdO7ZoqkC0/edit#gid=884617569"",""S2 Totals!$A$2:$O$255""),7,FALSE)"),"#N/A")</f>
        <v>#N/A</v>
      </c>
      <c r="K91" s="15" t="str">
        <f>IFERROR(__xludf.DUMMYFUNCTION("VLOOKUP(A91,IMPORTRANGE(""1QZ5UxyNCwadreQAXnQ7oCoH982DjIA-QnZdO7ZoqkC0/edit#gid=884617569"",""S2 Totals!$A$2:$O$255""),8,FALSE)"),"#N/A")</f>
        <v>#N/A</v>
      </c>
      <c r="L91" s="110" t="str">
        <f t="shared" si="3"/>
        <v>#N/A</v>
      </c>
      <c r="M91" s="16" t="str">
        <f>IFERROR(__xludf.DUMMYFUNCTION("VLOOKUP(A91,IMPORTRANGE(""1QZ5UxyNCwadreQAXnQ7oCoH982DjIA-QnZdO7ZoqkC0/edit#gid=884617569"",""S2 Totals!$A$2:$O$255""),10,FALSE)"),"#N/A")</f>
        <v>#N/A</v>
      </c>
      <c r="N91" s="15" t="str">
        <f>IFERROR(__xludf.DUMMYFUNCTION("VLOOKUP(A91,IMPORTRANGE(""1QZ5UxyNCwadreQAXnQ7oCoH982DjIA-QnZdO7ZoqkC0/edit#gid=884617569"",""S2 Totals!$A$2:$O$255""),11,FALSE)"),"#N/A")</f>
        <v>#N/A</v>
      </c>
      <c r="O91" s="110" t="str">
        <f t="shared" si="4"/>
        <v>#N/A</v>
      </c>
      <c r="P91" s="16" t="str">
        <f>IFERROR(__xludf.DUMMYFUNCTION("VLOOKUP(A91,IMPORTRANGE(""1QZ5UxyNCwadreQAXnQ7oCoH982DjIA-QnZdO7ZoqkC0/edit#gid=884617569"",""S2 Totals!$A$2:$O$255""),13,FALSE)"),"#N/A")</f>
        <v>#N/A</v>
      </c>
      <c r="Q91" s="15" t="str">
        <f>IFERROR(__xludf.DUMMYFUNCTION("VLOOKUP(A91,IMPORTRANGE(""1QZ5UxyNCwadreQAXnQ7oCoH982DjIA-QnZdO7ZoqkC0/edit#gid=884617569"",""S2 Totals!$A$2:$O$255""),14,FALSE)"),"#N/A")</f>
        <v>#N/A</v>
      </c>
      <c r="R91" s="129" t="str">
        <f t="shared" si="5"/>
        <v>#N/A</v>
      </c>
    </row>
    <row r="92">
      <c r="A92" s="128" t="s">
        <v>177</v>
      </c>
      <c r="B92" s="16">
        <f>IFERROR(__xludf.DUMMYFUNCTION("VLOOKUP(A92,IMPORTRANGE(""1aFCnJY1qhIj8-JckJhDJ18aqmVo17tofpQmOjcYa3u8/edit#gid=1878241338"",""S2 Totals!$A$2:$O$255""),2,FALSE)"),1.0)</f>
        <v>1</v>
      </c>
      <c r="C92" s="15">
        <f>IFERROR(__xludf.DUMMYFUNCTION("VLOOKUP(A92,IMPORTRANGE(""1aFCnJY1qhIj8-JckJhDJ18aqmVo17tofpQmOjcYa3u8/edit#gid=1878241338"",""S2 Totals!$A$2:$O$255""),3,FALSE)"),0.09090909090909091)</f>
        <v>0.09090909091</v>
      </c>
      <c r="D92" s="16">
        <f>IFERROR(__xludf.DUMMYFUNCTION("VLOOKUP(A92,IMPORTRANGE(""1QZ5UxyNCwadreQAXnQ7oCoH982DjIA-QnZdO7ZoqkC0/edit#gid=884617569"",""S2 Totals!$A$2:$O$255""),2,FALSE)"),2.0)</f>
        <v>2</v>
      </c>
      <c r="E92" s="15">
        <f>IFERROR(__xludf.DUMMYFUNCTION("VLOOKUP(A92,IMPORTRANGE(""1QZ5UxyNCwadreQAXnQ7oCoH982DjIA-QnZdO7ZoqkC0/edit#gid=884617569"",""S2 Totals!$A$2:$O$255""),3,FALSE)"),0.15384615384615385)</f>
        <v>0.1538461538</v>
      </c>
      <c r="F92" s="15">
        <f t="shared" si="1"/>
        <v>-0.06293706294</v>
      </c>
      <c r="G92" s="16">
        <f>IFERROR(__xludf.DUMMYFUNCTION("VLOOKUP(A92,IMPORTRANGE(""1QZ5UxyNCwadreQAXnQ7oCoH982DjIA-QnZdO7ZoqkC0/edit#gid=884617569"",""S2 Totals!$A$2:$O$255""),4,FALSE)"),0.0)</f>
        <v>0</v>
      </c>
      <c r="H92" s="15">
        <f>IFERROR(__xludf.DUMMYFUNCTION("VLOOKUP(A92,IMPORTRANGE(""1QZ5UxyNCwadreQAXnQ7oCoH982DjIA-QnZdO7ZoqkC0/edit#gid=884617569"",""S2 Totals!$A$2:$O$255""),5,FALSE)"),0.0)</f>
        <v>0</v>
      </c>
      <c r="I92" s="15">
        <f t="shared" si="2"/>
        <v>0.09090909091</v>
      </c>
      <c r="J92" s="16">
        <f>IFERROR(__xludf.DUMMYFUNCTION("VLOOKUP(A92,IMPORTRANGE(""1QZ5UxyNCwadreQAXnQ7oCoH982DjIA-QnZdO7ZoqkC0/edit#gid=884617569"",""S2 Totals!$A$2:$O$255""),7,FALSE)"),0.0)</f>
        <v>0</v>
      </c>
      <c r="K92" s="15">
        <f>IFERROR(__xludf.DUMMYFUNCTION("VLOOKUP(A92,IMPORTRANGE(""1QZ5UxyNCwadreQAXnQ7oCoH982DjIA-QnZdO7ZoqkC0/edit#gid=884617569"",""S2 Totals!$A$2:$O$255""),8,FALSE)"),0.0)</f>
        <v>0</v>
      </c>
      <c r="L92" s="110">
        <f t="shared" si="3"/>
        <v>0.09090909091</v>
      </c>
      <c r="M92" s="16" t="str">
        <f>IFERROR(__xludf.DUMMYFUNCTION("VLOOKUP(A92,IMPORTRANGE(""1QZ5UxyNCwadreQAXnQ7oCoH982DjIA-QnZdO7ZoqkC0/edit#gid=884617569"",""S2 Totals!$A$2:$O$255""),10,FALSE)"),"")</f>
        <v/>
      </c>
      <c r="N92" s="15" t="str">
        <f>IFERROR(__xludf.DUMMYFUNCTION("VLOOKUP(A92,IMPORTRANGE(""1QZ5UxyNCwadreQAXnQ7oCoH982DjIA-QnZdO7ZoqkC0/edit#gid=884617569"",""S2 Totals!$A$2:$O$255""),11,FALSE)"),"")</f>
        <v/>
      </c>
      <c r="O92" s="110">
        <f t="shared" si="4"/>
        <v>0.09090909091</v>
      </c>
      <c r="P92" s="16" t="str">
        <f>IFERROR(__xludf.DUMMYFUNCTION("VLOOKUP(A92,IMPORTRANGE(""1QZ5UxyNCwadreQAXnQ7oCoH982DjIA-QnZdO7ZoqkC0/edit#gid=884617569"",""S2 Totals!$A$2:$O$255""),13,FALSE)"),"")</f>
        <v/>
      </c>
      <c r="Q92" s="15" t="str">
        <f>IFERROR(__xludf.DUMMYFUNCTION("VLOOKUP(A92,IMPORTRANGE(""1QZ5UxyNCwadreQAXnQ7oCoH982DjIA-QnZdO7ZoqkC0/edit#gid=884617569"",""S2 Totals!$A$2:$O$255""),14,FALSE)"),"")</f>
        <v/>
      </c>
      <c r="R92" s="129">
        <f t="shared" si="5"/>
        <v>0.09090909091</v>
      </c>
    </row>
    <row r="93">
      <c r="A93" s="128" t="s">
        <v>129</v>
      </c>
      <c r="B93" s="16">
        <f>IFERROR(__xludf.DUMMYFUNCTION("VLOOKUP(A93,IMPORTRANGE(""1aFCnJY1qhIj8-JckJhDJ18aqmVo17tofpQmOjcYa3u8/edit#gid=1878241338"",""S2 Totals!$A$2:$O$255""),2,FALSE)"),3.0)</f>
        <v>3</v>
      </c>
      <c r="C93" s="15">
        <f>IFERROR(__xludf.DUMMYFUNCTION("VLOOKUP(A93,IMPORTRANGE(""1aFCnJY1qhIj8-JckJhDJ18aqmVo17tofpQmOjcYa3u8/edit#gid=1878241338"",""S2 Totals!$A$2:$O$255""),3,FALSE)"),0.2727272727272727)</f>
        <v>0.2727272727</v>
      </c>
      <c r="D93" s="16">
        <f>IFERROR(__xludf.DUMMYFUNCTION("VLOOKUP(A93,IMPORTRANGE(""1QZ5UxyNCwadreQAXnQ7oCoH982DjIA-QnZdO7ZoqkC0/edit#gid=884617569"",""S2 Totals!$A$2:$O$255""),2,FALSE)"),8.0)</f>
        <v>8</v>
      </c>
      <c r="E93" s="15">
        <f>IFERROR(__xludf.DUMMYFUNCTION("VLOOKUP(A93,IMPORTRANGE(""1QZ5UxyNCwadreQAXnQ7oCoH982DjIA-QnZdO7ZoqkC0/edit#gid=884617569"",""S2 Totals!$A$2:$O$255""),3,FALSE)"),0.6153846153846154)</f>
        <v>0.6153846154</v>
      </c>
      <c r="F93" s="15">
        <f t="shared" si="1"/>
        <v>-0.3426573427</v>
      </c>
      <c r="G93" s="16">
        <f>IFERROR(__xludf.DUMMYFUNCTION("VLOOKUP(A93,IMPORTRANGE(""1QZ5UxyNCwadreQAXnQ7oCoH982DjIA-QnZdO7ZoqkC0/edit#gid=884617569"",""S2 Totals!$A$2:$O$255""),4,FALSE)"),7.0)</f>
        <v>7</v>
      </c>
      <c r="H93" s="15">
        <f>IFERROR(__xludf.DUMMYFUNCTION("VLOOKUP(A93,IMPORTRANGE(""1QZ5UxyNCwadreQAXnQ7oCoH982DjIA-QnZdO7ZoqkC0/edit#gid=884617569"",""S2 Totals!$A$2:$O$255""),5,FALSE)"),0.5833333333333334)</f>
        <v>0.5833333333</v>
      </c>
      <c r="I93" s="15">
        <f t="shared" si="2"/>
        <v>-0.3106060606</v>
      </c>
      <c r="J93" s="16">
        <f>IFERROR(__xludf.DUMMYFUNCTION("VLOOKUP(A93,IMPORTRANGE(""1QZ5UxyNCwadreQAXnQ7oCoH982DjIA-QnZdO7ZoqkC0/edit#gid=884617569"",""S2 Totals!$A$2:$O$255""),7,FALSE)"),4.0)</f>
        <v>4</v>
      </c>
      <c r="K93" s="15">
        <f>IFERROR(__xludf.DUMMYFUNCTION("VLOOKUP(A93,IMPORTRANGE(""1QZ5UxyNCwadreQAXnQ7oCoH982DjIA-QnZdO7ZoqkC0/edit#gid=884617569"",""S2 Totals!$A$2:$O$255""),8,FALSE)"),0.3333333333333333)</f>
        <v>0.3333333333</v>
      </c>
      <c r="L93" s="110">
        <f t="shared" si="3"/>
        <v>-0.06060606061</v>
      </c>
      <c r="M93" s="16">
        <f>IFERROR(__xludf.DUMMYFUNCTION("VLOOKUP(A93,IMPORTRANGE(""1QZ5UxyNCwadreQAXnQ7oCoH982DjIA-QnZdO7ZoqkC0/edit#gid=884617569"",""S2 Totals!$A$2:$O$255""),10,FALSE)"),9.0)</f>
        <v>9</v>
      </c>
      <c r="N93" s="15">
        <f>IFERROR(__xludf.DUMMYFUNCTION("VLOOKUP(A93,IMPORTRANGE(""1QZ5UxyNCwadreQAXnQ7oCoH982DjIA-QnZdO7ZoqkC0/edit#gid=884617569"",""S2 Totals!$A$2:$O$255""),11,FALSE)"),0.6923076923076923)</f>
        <v>0.6923076923</v>
      </c>
      <c r="O93" s="110">
        <f t="shared" si="4"/>
        <v>-0.4195804196</v>
      </c>
      <c r="P93" s="16" t="str">
        <f>IFERROR(__xludf.DUMMYFUNCTION("VLOOKUP(A93,IMPORTRANGE(""1QZ5UxyNCwadreQAXnQ7oCoH982DjIA-QnZdO7ZoqkC0/edit#gid=884617569"",""S2 Totals!$A$2:$O$255""),13,FALSE)"),"")</f>
        <v/>
      </c>
      <c r="Q93" s="15" t="str">
        <f>IFERROR(__xludf.DUMMYFUNCTION("VLOOKUP(A93,IMPORTRANGE(""1QZ5UxyNCwadreQAXnQ7oCoH982DjIA-QnZdO7ZoqkC0/edit#gid=884617569"",""S2 Totals!$A$2:$O$255""),14,FALSE)"),"")</f>
        <v/>
      </c>
      <c r="R93" s="129">
        <f t="shared" si="5"/>
        <v>0.2727272727</v>
      </c>
    </row>
    <row r="94">
      <c r="A94" s="128" t="s">
        <v>64</v>
      </c>
      <c r="B94" s="16">
        <f>IFERROR(__xludf.DUMMYFUNCTION("VLOOKUP(A94,IMPORTRANGE(""1aFCnJY1qhIj8-JckJhDJ18aqmVo17tofpQmOjcYa3u8/edit#gid=1878241338"",""S2 Totals!$A$2:$O$255""),2,FALSE)"),5.0)</f>
        <v>5</v>
      </c>
      <c r="C94" s="15">
        <f>IFERROR(__xludf.DUMMYFUNCTION("VLOOKUP(A94,IMPORTRANGE(""1aFCnJY1qhIj8-JckJhDJ18aqmVo17tofpQmOjcYa3u8/edit#gid=1878241338"",""S2 Totals!$A$2:$O$255""),3,FALSE)"),0.45454545454545453)</f>
        <v>0.4545454545</v>
      </c>
      <c r="D94" s="16">
        <f>IFERROR(__xludf.DUMMYFUNCTION("VLOOKUP(A94,IMPORTRANGE(""1QZ5UxyNCwadreQAXnQ7oCoH982DjIA-QnZdO7ZoqkC0/edit#gid=884617569"",""S2 Totals!$A$2:$O$255""),2,FALSE)"),6.0)</f>
        <v>6</v>
      </c>
      <c r="E94" s="15">
        <f>IFERROR(__xludf.DUMMYFUNCTION("VLOOKUP(A94,IMPORTRANGE(""1QZ5UxyNCwadreQAXnQ7oCoH982DjIA-QnZdO7ZoqkC0/edit#gid=884617569"",""S2 Totals!$A$2:$O$255""),3,FALSE)"),0.46153846153846156)</f>
        <v>0.4615384615</v>
      </c>
      <c r="F94" s="15">
        <f t="shared" si="1"/>
        <v>-0.006993006993</v>
      </c>
      <c r="G94" s="16">
        <f>IFERROR(__xludf.DUMMYFUNCTION("VLOOKUP(A94,IMPORTRANGE(""1QZ5UxyNCwadreQAXnQ7oCoH982DjIA-QnZdO7ZoqkC0/edit#gid=884617569"",""S2 Totals!$A$2:$O$255""),4,FALSE)"),6.0)</f>
        <v>6</v>
      </c>
      <c r="H94" s="15">
        <f>IFERROR(__xludf.DUMMYFUNCTION("VLOOKUP(A94,IMPORTRANGE(""1QZ5UxyNCwadreQAXnQ7oCoH982DjIA-QnZdO7ZoqkC0/edit#gid=884617569"",""S2 Totals!$A$2:$O$255""),5,FALSE)"),0.5)</f>
        <v>0.5</v>
      </c>
      <c r="I94" s="15">
        <f t="shared" si="2"/>
        <v>-0.04545454545</v>
      </c>
      <c r="J94" s="16">
        <f>IFERROR(__xludf.DUMMYFUNCTION("VLOOKUP(A94,IMPORTRANGE(""1QZ5UxyNCwadreQAXnQ7oCoH982DjIA-QnZdO7ZoqkC0/edit#gid=884617569"",""S2 Totals!$A$2:$O$255""),7,FALSE)"),6.0)</f>
        <v>6</v>
      </c>
      <c r="K94" s="15">
        <f>IFERROR(__xludf.DUMMYFUNCTION("VLOOKUP(A94,IMPORTRANGE(""1QZ5UxyNCwadreQAXnQ7oCoH982DjIA-QnZdO7ZoqkC0/edit#gid=884617569"",""S2 Totals!$A$2:$O$255""),8,FALSE)"),0.5)</f>
        <v>0.5</v>
      </c>
      <c r="L94" s="110">
        <f t="shared" si="3"/>
        <v>-0.04545454545</v>
      </c>
      <c r="M94" s="16">
        <f>IFERROR(__xludf.DUMMYFUNCTION("VLOOKUP(A94,IMPORTRANGE(""1QZ5UxyNCwadreQAXnQ7oCoH982DjIA-QnZdO7ZoqkC0/edit#gid=884617569"",""S2 Totals!$A$2:$O$255""),10,FALSE)"),6.0)</f>
        <v>6</v>
      </c>
      <c r="N94" s="15">
        <f>IFERROR(__xludf.DUMMYFUNCTION("VLOOKUP(A94,IMPORTRANGE(""1QZ5UxyNCwadreQAXnQ7oCoH982DjIA-QnZdO7ZoqkC0/edit#gid=884617569"",""S2 Totals!$A$2:$O$255""),11,FALSE)"),0.46153846153846156)</f>
        <v>0.4615384615</v>
      </c>
      <c r="O94" s="110">
        <f t="shared" si="4"/>
        <v>-0.006993006993</v>
      </c>
      <c r="P94" s="16">
        <f>IFERROR(__xludf.DUMMYFUNCTION("VLOOKUP(A94,IMPORTRANGE(""1QZ5UxyNCwadreQAXnQ7oCoH982DjIA-QnZdO7ZoqkC0/edit#gid=884617569"",""S2 Totals!$A$2:$O$255""),13,FALSE)"),8.0)</f>
        <v>8</v>
      </c>
      <c r="Q94" s="15">
        <f>IFERROR(__xludf.DUMMYFUNCTION("VLOOKUP(A94,IMPORTRANGE(""1QZ5UxyNCwadreQAXnQ7oCoH982DjIA-QnZdO7ZoqkC0/edit#gid=884617569"",""S2 Totals!$A$2:$O$255""),14,FALSE)"),0.6666666666666666)</f>
        <v>0.6666666667</v>
      </c>
      <c r="R94" s="129">
        <f t="shared" si="5"/>
        <v>-0.2121212121</v>
      </c>
    </row>
    <row r="95">
      <c r="A95" s="128" t="s">
        <v>232</v>
      </c>
      <c r="B95" s="16">
        <f>IFERROR(__xludf.DUMMYFUNCTION("VLOOKUP(A95,IMPORTRANGE(""1aFCnJY1qhIj8-JckJhDJ18aqmVo17tofpQmOjcYa3u8/edit#gid=1878241338"",""S2 Totals!$A$2:$O$255""),2,FALSE)"),0.0)</f>
        <v>0</v>
      </c>
      <c r="C95" s="15">
        <f>IFERROR(__xludf.DUMMYFUNCTION("VLOOKUP(A95,IMPORTRANGE(""1aFCnJY1qhIj8-JckJhDJ18aqmVo17tofpQmOjcYa3u8/edit#gid=1878241338"",""S2 Totals!$A$2:$O$255""),3,FALSE)"),0.0)</f>
        <v>0</v>
      </c>
      <c r="D95" s="16">
        <f>IFERROR(__xludf.DUMMYFUNCTION("VLOOKUP(A95,IMPORTRANGE(""1QZ5UxyNCwadreQAXnQ7oCoH982DjIA-QnZdO7ZoqkC0/edit#gid=884617569"",""S2 Totals!$A$2:$O$255""),2,FALSE)"),2.0)</f>
        <v>2</v>
      </c>
      <c r="E95" s="15">
        <f>IFERROR(__xludf.DUMMYFUNCTION("VLOOKUP(A95,IMPORTRANGE(""1QZ5UxyNCwadreQAXnQ7oCoH982DjIA-QnZdO7ZoqkC0/edit#gid=884617569"",""S2 Totals!$A$2:$O$255""),3,FALSE)"),0.15384615384615385)</f>
        <v>0.1538461538</v>
      </c>
      <c r="F95" s="15">
        <f t="shared" si="1"/>
        <v>-0.1538461538</v>
      </c>
      <c r="G95" s="16">
        <f>IFERROR(__xludf.DUMMYFUNCTION("VLOOKUP(A95,IMPORTRANGE(""1QZ5UxyNCwadreQAXnQ7oCoH982DjIA-QnZdO7ZoqkC0/edit#gid=884617569"",""S2 Totals!$A$2:$O$255""),4,FALSE)"),4.0)</f>
        <v>4</v>
      </c>
      <c r="H95" s="15">
        <f>IFERROR(__xludf.DUMMYFUNCTION("VLOOKUP(A95,IMPORTRANGE(""1QZ5UxyNCwadreQAXnQ7oCoH982DjIA-QnZdO7ZoqkC0/edit#gid=884617569"",""S2 Totals!$A$2:$O$255""),5,FALSE)"),0.3333333333333333)</f>
        <v>0.3333333333</v>
      </c>
      <c r="I95" s="15">
        <f t="shared" si="2"/>
        <v>-0.3333333333</v>
      </c>
      <c r="J95" s="16" t="str">
        <f>IFERROR(__xludf.DUMMYFUNCTION("VLOOKUP(A95,IMPORTRANGE(""1QZ5UxyNCwadreQAXnQ7oCoH982DjIA-QnZdO7ZoqkC0/edit#gid=884617569"",""S2 Totals!$A$2:$O$255""),7,FALSE)"),"")</f>
        <v/>
      </c>
      <c r="K95" s="15" t="str">
        <f>IFERROR(__xludf.DUMMYFUNCTION("VLOOKUP(A95,IMPORTRANGE(""1QZ5UxyNCwadreQAXnQ7oCoH982DjIA-QnZdO7ZoqkC0/edit#gid=884617569"",""S2 Totals!$A$2:$O$255""),8,FALSE)"),"")</f>
        <v/>
      </c>
      <c r="L95" s="110">
        <f t="shared" si="3"/>
        <v>0</v>
      </c>
      <c r="M95" s="16" t="str">
        <f>IFERROR(__xludf.DUMMYFUNCTION("VLOOKUP(A95,IMPORTRANGE(""1QZ5UxyNCwadreQAXnQ7oCoH982DjIA-QnZdO7ZoqkC0/edit#gid=884617569"",""S2 Totals!$A$2:$O$255""),10,FALSE)"),"")</f>
        <v/>
      </c>
      <c r="N95" s="15" t="str">
        <f>IFERROR(__xludf.DUMMYFUNCTION("VLOOKUP(A95,IMPORTRANGE(""1QZ5UxyNCwadreQAXnQ7oCoH982DjIA-QnZdO7ZoqkC0/edit#gid=884617569"",""S2 Totals!$A$2:$O$255""),11,FALSE)"),"")</f>
        <v/>
      </c>
      <c r="O95" s="110">
        <f t="shared" si="4"/>
        <v>0</v>
      </c>
      <c r="P95" s="16" t="str">
        <f>IFERROR(__xludf.DUMMYFUNCTION("VLOOKUP(A95,IMPORTRANGE(""1QZ5UxyNCwadreQAXnQ7oCoH982DjIA-QnZdO7ZoqkC0/edit#gid=884617569"",""S2 Totals!$A$2:$O$255""),13,FALSE)"),"")</f>
        <v/>
      </c>
      <c r="Q95" s="15" t="str">
        <f>IFERROR(__xludf.DUMMYFUNCTION("VLOOKUP(A95,IMPORTRANGE(""1QZ5UxyNCwadreQAXnQ7oCoH982DjIA-QnZdO7ZoqkC0/edit#gid=884617569"",""S2 Totals!$A$2:$O$255""),14,FALSE)"),"")</f>
        <v/>
      </c>
      <c r="R95" s="129">
        <f t="shared" si="5"/>
        <v>0</v>
      </c>
    </row>
    <row r="96">
      <c r="A96" s="128" t="s">
        <v>51</v>
      </c>
      <c r="B96" s="16">
        <f>IFERROR(__xludf.DUMMYFUNCTION("VLOOKUP(A96,IMPORTRANGE(""1aFCnJY1qhIj8-JckJhDJ18aqmVo17tofpQmOjcYa3u8/edit#gid=1878241338"",""S2 Totals!$A$2:$O$255""),2,FALSE)"),10.0)</f>
        <v>10</v>
      </c>
      <c r="C96" s="15">
        <f>IFERROR(__xludf.DUMMYFUNCTION("VLOOKUP(A96,IMPORTRANGE(""1aFCnJY1qhIj8-JckJhDJ18aqmVo17tofpQmOjcYa3u8/edit#gid=1878241338"",""S2 Totals!$A$2:$O$255""),3,FALSE)"),0.9090909090909091)</f>
        <v>0.9090909091</v>
      </c>
      <c r="D96" s="16">
        <f>IFERROR(__xludf.DUMMYFUNCTION("VLOOKUP(A96,IMPORTRANGE(""1QZ5UxyNCwadreQAXnQ7oCoH982DjIA-QnZdO7ZoqkC0/edit#gid=884617569"",""S2 Totals!$A$2:$O$255""),2,FALSE)"),8.0)</f>
        <v>8</v>
      </c>
      <c r="E96" s="15">
        <f>IFERROR(__xludf.DUMMYFUNCTION("VLOOKUP(A96,IMPORTRANGE(""1QZ5UxyNCwadreQAXnQ7oCoH982DjIA-QnZdO7ZoqkC0/edit#gid=884617569"",""S2 Totals!$A$2:$O$255""),3,FALSE)"),0.6153846153846154)</f>
        <v>0.6153846154</v>
      </c>
      <c r="F96" s="15">
        <f t="shared" si="1"/>
        <v>0.2937062937</v>
      </c>
      <c r="G96" s="16">
        <f>IFERROR(__xludf.DUMMYFUNCTION("VLOOKUP(A96,IMPORTRANGE(""1QZ5UxyNCwadreQAXnQ7oCoH982DjIA-QnZdO7ZoqkC0/edit#gid=884617569"",""S2 Totals!$A$2:$O$255""),4,FALSE)"),6.0)</f>
        <v>6</v>
      </c>
      <c r="H96" s="15">
        <f>IFERROR(__xludf.DUMMYFUNCTION("VLOOKUP(A96,IMPORTRANGE(""1QZ5UxyNCwadreQAXnQ7oCoH982DjIA-QnZdO7ZoqkC0/edit#gid=884617569"",""S2 Totals!$A$2:$O$255""),5,FALSE)"),0.5)</f>
        <v>0.5</v>
      </c>
      <c r="I96" s="15">
        <f t="shared" si="2"/>
        <v>0.4090909091</v>
      </c>
      <c r="J96" s="16">
        <f>IFERROR(__xludf.DUMMYFUNCTION("VLOOKUP(A96,IMPORTRANGE(""1QZ5UxyNCwadreQAXnQ7oCoH982DjIA-QnZdO7ZoqkC0/edit#gid=884617569"",""S2 Totals!$A$2:$O$255""),7,FALSE)"),6.0)</f>
        <v>6</v>
      </c>
      <c r="K96" s="15">
        <f>IFERROR(__xludf.DUMMYFUNCTION("VLOOKUP(A96,IMPORTRANGE(""1QZ5UxyNCwadreQAXnQ7oCoH982DjIA-QnZdO7ZoqkC0/edit#gid=884617569"",""S2 Totals!$A$2:$O$255""),8,FALSE)"),0.5)</f>
        <v>0.5</v>
      </c>
      <c r="L96" s="110">
        <f t="shared" si="3"/>
        <v>0.4090909091</v>
      </c>
      <c r="M96" s="16">
        <f>IFERROR(__xludf.DUMMYFUNCTION("VLOOKUP(A96,IMPORTRANGE(""1QZ5UxyNCwadreQAXnQ7oCoH982DjIA-QnZdO7ZoqkC0/edit#gid=884617569"",""S2 Totals!$A$2:$O$255""),10,FALSE)"),8.0)</f>
        <v>8</v>
      </c>
      <c r="N96" s="15">
        <f>IFERROR(__xludf.DUMMYFUNCTION("VLOOKUP(A96,IMPORTRANGE(""1QZ5UxyNCwadreQAXnQ7oCoH982DjIA-QnZdO7ZoqkC0/edit#gid=884617569"",""S2 Totals!$A$2:$O$255""),11,FALSE)"),0.6153846153846154)</f>
        <v>0.6153846154</v>
      </c>
      <c r="O96" s="110">
        <f t="shared" si="4"/>
        <v>0.2937062937</v>
      </c>
      <c r="P96" s="16">
        <f>IFERROR(__xludf.DUMMYFUNCTION("VLOOKUP(A96,IMPORTRANGE(""1QZ5UxyNCwadreQAXnQ7oCoH982DjIA-QnZdO7ZoqkC0/edit#gid=884617569"",""S2 Totals!$A$2:$O$255""),13,FALSE)"),9.0)</f>
        <v>9</v>
      </c>
      <c r="Q96" s="15">
        <f>IFERROR(__xludf.DUMMYFUNCTION("VLOOKUP(A96,IMPORTRANGE(""1QZ5UxyNCwadreQAXnQ7oCoH982DjIA-QnZdO7ZoqkC0/edit#gid=884617569"",""S2 Totals!$A$2:$O$255""),14,FALSE)"),0.75)</f>
        <v>0.75</v>
      </c>
      <c r="R96" s="129">
        <f t="shared" si="5"/>
        <v>0.1590909091</v>
      </c>
    </row>
    <row r="97">
      <c r="A97" s="128" t="s">
        <v>266</v>
      </c>
      <c r="B97" s="16">
        <f>IFERROR(__xludf.DUMMYFUNCTION("VLOOKUP(A97,IMPORTRANGE(""1aFCnJY1qhIj8-JckJhDJ18aqmVo17tofpQmOjcYa3u8/edit#gid=1878241338"",""S2 Totals!$A$2:$O$255""),2,FALSE)"),5.0)</f>
        <v>5</v>
      </c>
      <c r="C97" s="15">
        <f>IFERROR(__xludf.DUMMYFUNCTION("VLOOKUP(A97,IMPORTRANGE(""1aFCnJY1qhIj8-JckJhDJ18aqmVo17tofpQmOjcYa3u8/edit#gid=1878241338"",""S2 Totals!$A$2:$O$255""),3,FALSE)"),0.45454545454545453)</f>
        <v>0.4545454545</v>
      </c>
      <c r="D97" s="16" t="str">
        <f>IFERROR(__xludf.DUMMYFUNCTION("VLOOKUP(A97,IMPORTRANGE(""1QZ5UxyNCwadreQAXnQ7oCoH982DjIA-QnZdO7ZoqkC0/edit#gid=884617569"",""S2 Totals!$A$2:$O$255""),2,FALSE)"),"#N/A")</f>
        <v>#N/A</v>
      </c>
      <c r="E97" s="15" t="str">
        <f>IFERROR(__xludf.DUMMYFUNCTION("VLOOKUP(A97,IMPORTRANGE(""1QZ5UxyNCwadreQAXnQ7oCoH982DjIA-QnZdO7ZoqkC0/edit#gid=884617569"",""S2 Totals!$A$2:$O$255""),3,FALSE)"),"#N/A")</f>
        <v>#N/A</v>
      </c>
      <c r="F97" s="16" t="str">
        <f t="shared" si="1"/>
        <v>#N/A</v>
      </c>
      <c r="G97" s="16" t="str">
        <f>IFERROR(__xludf.DUMMYFUNCTION("VLOOKUP(A97,IMPORTRANGE(""1QZ5UxyNCwadreQAXnQ7oCoH982DjIA-QnZdO7ZoqkC0/edit#gid=884617569"",""S2 Totals!$A$2:$O$255""),4,FALSE)"),"#N/A")</f>
        <v>#N/A</v>
      </c>
      <c r="H97" s="15" t="str">
        <f>IFERROR(__xludf.DUMMYFUNCTION("VLOOKUP(A97,IMPORTRANGE(""1QZ5UxyNCwadreQAXnQ7oCoH982DjIA-QnZdO7ZoqkC0/edit#gid=884617569"",""S2 Totals!$A$2:$O$255""),5,FALSE)"),"#N/A")</f>
        <v>#N/A</v>
      </c>
      <c r="I97" s="16" t="str">
        <f t="shared" si="2"/>
        <v>#N/A</v>
      </c>
      <c r="J97" s="16" t="str">
        <f>IFERROR(__xludf.DUMMYFUNCTION("VLOOKUP(A97,IMPORTRANGE(""1QZ5UxyNCwadreQAXnQ7oCoH982DjIA-QnZdO7ZoqkC0/edit#gid=884617569"",""S2 Totals!$A$2:$O$255""),7,FALSE)"),"#N/A")</f>
        <v>#N/A</v>
      </c>
      <c r="K97" s="15" t="str">
        <f>IFERROR(__xludf.DUMMYFUNCTION("VLOOKUP(A97,IMPORTRANGE(""1QZ5UxyNCwadreQAXnQ7oCoH982DjIA-QnZdO7ZoqkC0/edit#gid=884617569"",""S2 Totals!$A$2:$O$255""),8,FALSE)"),"#N/A")</f>
        <v>#N/A</v>
      </c>
      <c r="L97" s="110" t="str">
        <f t="shared" si="3"/>
        <v>#N/A</v>
      </c>
      <c r="M97" s="16" t="str">
        <f>IFERROR(__xludf.DUMMYFUNCTION("VLOOKUP(A97,IMPORTRANGE(""1QZ5UxyNCwadreQAXnQ7oCoH982DjIA-QnZdO7ZoqkC0/edit#gid=884617569"",""S2 Totals!$A$2:$O$255""),10,FALSE)"),"#N/A")</f>
        <v>#N/A</v>
      </c>
      <c r="N97" s="15" t="str">
        <f>IFERROR(__xludf.DUMMYFUNCTION("VLOOKUP(A97,IMPORTRANGE(""1QZ5UxyNCwadreQAXnQ7oCoH982DjIA-QnZdO7ZoqkC0/edit#gid=884617569"",""S2 Totals!$A$2:$O$255""),11,FALSE)"),"#N/A")</f>
        <v>#N/A</v>
      </c>
      <c r="O97" s="110" t="str">
        <f t="shared" si="4"/>
        <v>#N/A</v>
      </c>
      <c r="P97" s="16" t="str">
        <f>IFERROR(__xludf.DUMMYFUNCTION("VLOOKUP(A97,IMPORTRANGE(""1QZ5UxyNCwadreQAXnQ7oCoH982DjIA-QnZdO7ZoqkC0/edit#gid=884617569"",""S2 Totals!$A$2:$O$255""),13,FALSE)"),"#N/A")</f>
        <v>#N/A</v>
      </c>
      <c r="Q97" s="15" t="str">
        <f>IFERROR(__xludf.DUMMYFUNCTION("VLOOKUP(A97,IMPORTRANGE(""1QZ5UxyNCwadreQAXnQ7oCoH982DjIA-QnZdO7ZoqkC0/edit#gid=884617569"",""S2 Totals!$A$2:$O$255""),14,FALSE)"),"#N/A")</f>
        <v>#N/A</v>
      </c>
      <c r="R97" s="129" t="str">
        <f t="shared" si="5"/>
        <v>#N/A</v>
      </c>
    </row>
    <row r="98">
      <c r="A98" s="128" t="s">
        <v>52</v>
      </c>
      <c r="B98" s="16">
        <f>IFERROR(__xludf.DUMMYFUNCTION("VLOOKUP(A98,IMPORTRANGE(""1aFCnJY1qhIj8-JckJhDJ18aqmVo17tofpQmOjcYa3u8/edit#gid=1878241338"",""S2 Totals!$A$2:$O$255""),2,FALSE)"),11.0)</f>
        <v>11</v>
      </c>
      <c r="C98" s="15">
        <f>IFERROR(__xludf.DUMMYFUNCTION("VLOOKUP(A98,IMPORTRANGE(""1aFCnJY1qhIj8-JckJhDJ18aqmVo17tofpQmOjcYa3u8/edit#gid=1878241338"",""S2 Totals!$A$2:$O$255""),3,FALSE)"),1.0)</f>
        <v>1</v>
      </c>
      <c r="D98" s="16">
        <f>IFERROR(__xludf.DUMMYFUNCTION("VLOOKUP(A98,IMPORTRANGE(""1QZ5UxyNCwadreQAXnQ7oCoH982DjIA-QnZdO7ZoqkC0/edit#gid=884617569"",""S2 Totals!$A$2:$O$255""),2,FALSE)"),11.0)</f>
        <v>11</v>
      </c>
      <c r="E98" s="15">
        <f>IFERROR(__xludf.DUMMYFUNCTION("VLOOKUP(A98,IMPORTRANGE(""1QZ5UxyNCwadreQAXnQ7oCoH982DjIA-QnZdO7ZoqkC0/edit#gid=884617569"",""S2 Totals!$A$2:$O$255""),3,FALSE)"),0.8461538461538461)</f>
        <v>0.8461538462</v>
      </c>
      <c r="F98" s="15">
        <f t="shared" si="1"/>
        <v>0.1538461538</v>
      </c>
      <c r="G98" s="16">
        <f>IFERROR(__xludf.DUMMYFUNCTION("VLOOKUP(A98,IMPORTRANGE(""1QZ5UxyNCwadreQAXnQ7oCoH982DjIA-QnZdO7ZoqkC0/edit#gid=884617569"",""S2 Totals!$A$2:$O$255""),4,FALSE)"),12.0)</f>
        <v>12</v>
      </c>
      <c r="H98" s="15">
        <f>IFERROR(__xludf.DUMMYFUNCTION("VLOOKUP(A98,IMPORTRANGE(""1QZ5UxyNCwadreQAXnQ7oCoH982DjIA-QnZdO7ZoqkC0/edit#gid=884617569"",""S2 Totals!$A$2:$O$255""),5,FALSE)"),1.0)</f>
        <v>1</v>
      </c>
      <c r="I98" s="15">
        <f t="shared" si="2"/>
        <v>0</v>
      </c>
      <c r="J98" s="16">
        <f>IFERROR(__xludf.DUMMYFUNCTION("VLOOKUP(A98,IMPORTRANGE(""1QZ5UxyNCwadreQAXnQ7oCoH982DjIA-QnZdO7ZoqkC0/edit#gid=884617569"",""S2 Totals!$A$2:$O$255""),7,FALSE)"),12.0)</f>
        <v>12</v>
      </c>
      <c r="K98" s="15">
        <f>IFERROR(__xludf.DUMMYFUNCTION("VLOOKUP(A98,IMPORTRANGE(""1QZ5UxyNCwadreQAXnQ7oCoH982DjIA-QnZdO7ZoqkC0/edit#gid=884617569"",""S2 Totals!$A$2:$O$255""),8,FALSE)"),1.0)</f>
        <v>1</v>
      </c>
      <c r="L98" s="110">
        <f t="shared" si="3"/>
        <v>0</v>
      </c>
      <c r="M98" s="16">
        <f>IFERROR(__xludf.DUMMYFUNCTION("VLOOKUP(A98,IMPORTRANGE(""1QZ5UxyNCwadreQAXnQ7oCoH982DjIA-QnZdO7ZoqkC0/edit#gid=884617569"",""S2 Totals!$A$2:$O$255""),10,FALSE)"),12.0)</f>
        <v>12</v>
      </c>
      <c r="N98" s="15">
        <f>IFERROR(__xludf.DUMMYFUNCTION("VLOOKUP(A98,IMPORTRANGE(""1QZ5UxyNCwadreQAXnQ7oCoH982DjIA-QnZdO7ZoqkC0/edit#gid=884617569"",""S2 Totals!$A$2:$O$255""),11,FALSE)"),0.9230769230769231)</f>
        <v>0.9230769231</v>
      </c>
      <c r="O98" s="110">
        <f t="shared" si="4"/>
        <v>0.07692307692</v>
      </c>
      <c r="P98" s="16">
        <f>IFERROR(__xludf.DUMMYFUNCTION("VLOOKUP(A98,IMPORTRANGE(""1QZ5UxyNCwadreQAXnQ7oCoH982DjIA-QnZdO7ZoqkC0/edit#gid=884617569"",""S2 Totals!$A$2:$O$255""),13,FALSE)"),9.0)</f>
        <v>9</v>
      </c>
      <c r="Q98" s="15">
        <f>IFERROR(__xludf.DUMMYFUNCTION("VLOOKUP(A98,IMPORTRANGE(""1QZ5UxyNCwadreQAXnQ7oCoH982DjIA-QnZdO7ZoqkC0/edit#gid=884617569"",""S2 Totals!$A$2:$O$255""),14,FALSE)"),0.75)</f>
        <v>0.75</v>
      </c>
      <c r="R98" s="129">
        <f t="shared" si="5"/>
        <v>0.25</v>
      </c>
    </row>
    <row r="99">
      <c r="A99" s="128" t="s">
        <v>53</v>
      </c>
      <c r="B99" s="16">
        <f>IFERROR(__xludf.DUMMYFUNCTION("VLOOKUP(A99,IMPORTRANGE(""1aFCnJY1qhIj8-JckJhDJ18aqmVo17tofpQmOjcYa3u8/edit#gid=1878241338"",""S2 Totals!$A$2:$O$255""),2,FALSE)"),2.0)</f>
        <v>2</v>
      </c>
      <c r="C99" s="15">
        <f>IFERROR(__xludf.DUMMYFUNCTION("VLOOKUP(A99,IMPORTRANGE(""1aFCnJY1qhIj8-JckJhDJ18aqmVo17tofpQmOjcYa3u8/edit#gid=1878241338"",""S2 Totals!$A$2:$O$255""),3,FALSE)"),0.18181818181818182)</f>
        <v>0.1818181818</v>
      </c>
      <c r="D99" s="16">
        <f>IFERROR(__xludf.DUMMYFUNCTION("VLOOKUP(A99,IMPORTRANGE(""1QZ5UxyNCwadreQAXnQ7oCoH982DjIA-QnZdO7ZoqkC0/edit#gid=884617569"",""S2 Totals!$A$2:$O$255""),2,FALSE)"),3.0)</f>
        <v>3</v>
      </c>
      <c r="E99" s="15">
        <f>IFERROR(__xludf.DUMMYFUNCTION("VLOOKUP(A99,IMPORTRANGE(""1QZ5UxyNCwadreQAXnQ7oCoH982DjIA-QnZdO7ZoqkC0/edit#gid=884617569"",""S2 Totals!$A$2:$O$255""),3,FALSE)"),0.23076923076923078)</f>
        <v>0.2307692308</v>
      </c>
      <c r="F99" s="15">
        <f t="shared" si="1"/>
        <v>-0.04895104895</v>
      </c>
      <c r="G99" s="16">
        <f>IFERROR(__xludf.DUMMYFUNCTION("VLOOKUP(A99,IMPORTRANGE(""1QZ5UxyNCwadreQAXnQ7oCoH982DjIA-QnZdO7ZoqkC0/edit#gid=884617569"",""S2 Totals!$A$2:$O$255""),4,FALSE)"),4.0)</f>
        <v>4</v>
      </c>
      <c r="H99" s="15">
        <f>IFERROR(__xludf.DUMMYFUNCTION("VLOOKUP(A99,IMPORTRANGE(""1QZ5UxyNCwadreQAXnQ7oCoH982DjIA-QnZdO7ZoqkC0/edit#gid=884617569"",""S2 Totals!$A$2:$O$255""),5,FALSE)"),0.3333333333333333)</f>
        <v>0.3333333333</v>
      </c>
      <c r="I99" s="15">
        <f t="shared" si="2"/>
        <v>-0.1515151515</v>
      </c>
      <c r="J99" s="16">
        <f>IFERROR(__xludf.DUMMYFUNCTION("VLOOKUP(A99,IMPORTRANGE(""1QZ5UxyNCwadreQAXnQ7oCoH982DjIA-QnZdO7ZoqkC0/edit#gid=884617569"",""S2 Totals!$A$2:$O$255""),7,FALSE)"),4.0)</f>
        <v>4</v>
      </c>
      <c r="K99" s="15">
        <f>IFERROR(__xludf.DUMMYFUNCTION("VLOOKUP(A99,IMPORTRANGE(""1QZ5UxyNCwadreQAXnQ7oCoH982DjIA-QnZdO7ZoqkC0/edit#gid=884617569"",""S2 Totals!$A$2:$O$255""),8,FALSE)"),0.3333333333333333)</f>
        <v>0.3333333333</v>
      </c>
      <c r="L99" s="110">
        <f t="shared" si="3"/>
        <v>-0.1515151515</v>
      </c>
      <c r="M99" s="16">
        <f>IFERROR(__xludf.DUMMYFUNCTION("VLOOKUP(A99,IMPORTRANGE(""1QZ5UxyNCwadreQAXnQ7oCoH982DjIA-QnZdO7ZoqkC0/edit#gid=884617569"",""S2 Totals!$A$2:$O$255""),10,FALSE)"),6.0)</f>
        <v>6</v>
      </c>
      <c r="N99" s="15">
        <f>IFERROR(__xludf.DUMMYFUNCTION("VLOOKUP(A99,IMPORTRANGE(""1QZ5UxyNCwadreQAXnQ7oCoH982DjIA-QnZdO7ZoqkC0/edit#gid=884617569"",""S2 Totals!$A$2:$O$255""),11,FALSE)"),0.46153846153846156)</f>
        <v>0.4615384615</v>
      </c>
      <c r="O99" s="110">
        <f t="shared" si="4"/>
        <v>-0.2797202797</v>
      </c>
      <c r="P99" s="16">
        <f>IFERROR(__xludf.DUMMYFUNCTION("VLOOKUP(A99,IMPORTRANGE(""1QZ5UxyNCwadreQAXnQ7oCoH982DjIA-QnZdO7ZoqkC0/edit#gid=884617569"",""S2 Totals!$A$2:$O$255""),13,FALSE)"),1.0)</f>
        <v>1</v>
      </c>
      <c r="Q99" s="15">
        <f>IFERROR(__xludf.DUMMYFUNCTION("VLOOKUP(A99,IMPORTRANGE(""1QZ5UxyNCwadreQAXnQ7oCoH982DjIA-QnZdO7ZoqkC0/edit#gid=884617569"",""S2 Totals!$A$2:$O$255""),14,FALSE)"),0.08333333333333333)</f>
        <v>0.08333333333</v>
      </c>
      <c r="R99" s="129">
        <f t="shared" si="5"/>
        <v>0.09848484848</v>
      </c>
    </row>
    <row r="100">
      <c r="A100" s="128" t="s">
        <v>54</v>
      </c>
      <c r="B100" s="16">
        <f>IFERROR(__xludf.DUMMYFUNCTION("VLOOKUP(A100,IMPORTRANGE(""1aFCnJY1qhIj8-JckJhDJ18aqmVo17tofpQmOjcYa3u8/edit#gid=1878241338"",""S2 Totals!$A$2:$O$255""),2,FALSE)"),9.0)</f>
        <v>9</v>
      </c>
      <c r="C100" s="15">
        <f>IFERROR(__xludf.DUMMYFUNCTION("VLOOKUP(A100,IMPORTRANGE(""1aFCnJY1qhIj8-JckJhDJ18aqmVo17tofpQmOjcYa3u8/edit#gid=1878241338"",""S2 Totals!$A$2:$O$255""),3,FALSE)"),0.8181818181818182)</f>
        <v>0.8181818182</v>
      </c>
      <c r="D100" s="16">
        <f>IFERROR(__xludf.DUMMYFUNCTION("VLOOKUP(A100,IMPORTRANGE(""1QZ5UxyNCwadreQAXnQ7oCoH982DjIA-QnZdO7ZoqkC0/edit#gid=884617569"",""S2 Totals!$A$2:$O$255""),2,FALSE)"),11.0)</f>
        <v>11</v>
      </c>
      <c r="E100" s="15">
        <f>IFERROR(__xludf.DUMMYFUNCTION("VLOOKUP(A100,IMPORTRANGE(""1QZ5UxyNCwadreQAXnQ7oCoH982DjIA-QnZdO7ZoqkC0/edit#gid=884617569"",""S2 Totals!$A$2:$O$255""),3,FALSE)"),0.8461538461538461)</f>
        <v>0.8461538462</v>
      </c>
      <c r="F100" s="15">
        <f t="shared" si="1"/>
        <v>-0.02797202797</v>
      </c>
      <c r="G100" s="16">
        <f>IFERROR(__xludf.DUMMYFUNCTION("VLOOKUP(A100,IMPORTRANGE(""1QZ5UxyNCwadreQAXnQ7oCoH982DjIA-QnZdO7ZoqkC0/edit#gid=884617569"",""S2 Totals!$A$2:$O$255""),4,FALSE)"),12.0)</f>
        <v>12</v>
      </c>
      <c r="H100" s="15">
        <f>IFERROR(__xludf.DUMMYFUNCTION("VLOOKUP(A100,IMPORTRANGE(""1QZ5UxyNCwadreQAXnQ7oCoH982DjIA-QnZdO7ZoqkC0/edit#gid=884617569"",""S2 Totals!$A$2:$O$255""),5,FALSE)"),1.0)</f>
        <v>1</v>
      </c>
      <c r="I100" s="15">
        <f t="shared" si="2"/>
        <v>-0.1818181818</v>
      </c>
      <c r="J100" s="16">
        <f>IFERROR(__xludf.DUMMYFUNCTION("VLOOKUP(A100,IMPORTRANGE(""1QZ5UxyNCwadreQAXnQ7oCoH982DjIA-QnZdO7ZoqkC0/edit#gid=884617569"",""S2 Totals!$A$2:$O$255""),7,FALSE)"),10.0)</f>
        <v>10</v>
      </c>
      <c r="K100" s="15">
        <f>IFERROR(__xludf.DUMMYFUNCTION("VLOOKUP(A100,IMPORTRANGE(""1QZ5UxyNCwadreQAXnQ7oCoH982DjIA-QnZdO7ZoqkC0/edit#gid=884617569"",""S2 Totals!$A$2:$O$255""),8,FALSE)"),0.8333333333333334)</f>
        <v>0.8333333333</v>
      </c>
      <c r="L100" s="110">
        <f t="shared" si="3"/>
        <v>-0.01515151515</v>
      </c>
      <c r="M100" s="16">
        <f>IFERROR(__xludf.DUMMYFUNCTION("VLOOKUP(A100,IMPORTRANGE(""1QZ5UxyNCwadreQAXnQ7oCoH982DjIA-QnZdO7ZoqkC0/edit#gid=884617569"",""S2 Totals!$A$2:$O$255""),10,FALSE)"),10.0)</f>
        <v>10</v>
      </c>
      <c r="N100" s="15">
        <f>IFERROR(__xludf.DUMMYFUNCTION("VLOOKUP(A100,IMPORTRANGE(""1QZ5UxyNCwadreQAXnQ7oCoH982DjIA-QnZdO7ZoqkC0/edit#gid=884617569"",""S2 Totals!$A$2:$O$255""),11,FALSE)"),0.7692307692307693)</f>
        <v>0.7692307692</v>
      </c>
      <c r="O100" s="110">
        <f t="shared" si="4"/>
        <v>0.04895104895</v>
      </c>
      <c r="P100" s="16">
        <f>IFERROR(__xludf.DUMMYFUNCTION("VLOOKUP(A100,IMPORTRANGE(""1QZ5UxyNCwadreQAXnQ7oCoH982DjIA-QnZdO7ZoqkC0/edit#gid=884617569"",""S2 Totals!$A$2:$O$255""),13,FALSE)"),8.0)</f>
        <v>8</v>
      </c>
      <c r="Q100" s="15">
        <f>IFERROR(__xludf.DUMMYFUNCTION("VLOOKUP(A100,IMPORTRANGE(""1QZ5UxyNCwadreQAXnQ7oCoH982DjIA-QnZdO7ZoqkC0/edit#gid=884617569"",""S2 Totals!$A$2:$O$255""),14,FALSE)"),0.6666666666666666)</f>
        <v>0.6666666667</v>
      </c>
      <c r="R100" s="129">
        <f t="shared" si="5"/>
        <v>0.1515151515</v>
      </c>
    </row>
    <row r="101">
      <c r="A101" s="128" t="s">
        <v>55</v>
      </c>
      <c r="B101" s="16">
        <f>IFERROR(__xludf.DUMMYFUNCTION("VLOOKUP(A101,IMPORTRANGE(""1aFCnJY1qhIj8-JckJhDJ18aqmVo17tofpQmOjcYa3u8/edit#gid=1878241338"",""S2 Totals!$A$2:$O$255""),2,FALSE)"),0.0)</f>
        <v>0</v>
      </c>
      <c r="C101" s="15">
        <f>IFERROR(__xludf.DUMMYFUNCTION("VLOOKUP(A101,IMPORTRANGE(""1aFCnJY1qhIj8-JckJhDJ18aqmVo17tofpQmOjcYa3u8/edit#gid=1878241338"",""S2 Totals!$A$2:$O$255""),3,FALSE)"),0.0)</f>
        <v>0</v>
      </c>
      <c r="D101" s="16">
        <f>IFERROR(__xludf.DUMMYFUNCTION("VLOOKUP(A101,IMPORTRANGE(""1QZ5UxyNCwadreQAXnQ7oCoH982DjIA-QnZdO7ZoqkC0/edit#gid=884617569"",""S2 Totals!$A$2:$O$255""),2,FALSE)"),10.0)</f>
        <v>10</v>
      </c>
      <c r="E101" s="15">
        <f>IFERROR(__xludf.DUMMYFUNCTION("VLOOKUP(A101,IMPORTRANGE(""1QZ5UxyNCwadreQAXnQ7oCoH982DjIA-QnZdO7ZoqkC0/edit#gid=884617569"",""S2 Totals!$A$2:$O$255""),3,FALSE)"),0.7692307692307693)</f>
        <v>0.7692307692</v>
      </c>
      <c r="F101" s="15">
        <f t="shared" si="1"/>
        <v>-0.7692307692</v>
      </c>
      <c r="G101" s="16">
        <f>IFERROR(__xludf.DUMMYFUNCTION("VLOOKUP(A101,IMPORTRANGE(""1QZ5UxyNCwadreQAXnQ7oCoH982DjIA-QnZdO7ZoqkC0/edit#gid=884617569"",""S2 Totals!$A$2:$O$255""),4,FALSE)"),6.0)</f>
        <v>6</v>
      </c>
      <c r="H101" s="15">
        <f>IFERROR(__xludf.DUMMYFUNCTION("VLOOKUP(A101,IMPORTRANGE(""1QZ5UxyNCwadreQAXnQ7oCoH982DjIA-QnZdO7ZoqkC0/edit#gid=884617569"",""S2 Totals!$A$2:$O$255""),5,FALSE)"),0.5)</f>
        <v>0.5</v>
      </c>
      <c r="I101" s="15">
        <f t="shared" si="2"/>
        <v>-0.5</v>
      </c>
      <c r="J101" s="16">
        <f>IFERROR(__xludf.DUMMYFUNCTION("VLOOKUP(A101,IMPORTRANGE(""1QZ5UxyNCwadreQAXnQ7oCoH982DjIA-QnZdO7ZoqkC0/edit#gid=884617569"",""S2 Totals!$A$2:$O$255""),7,FALSE)"),2.0)</f>
        <v>2</v>
      </c>
      <c r="K101" s="15">
        <f>IFERROR(__xludf.DUMMYFUNCTION("VLOOKUP(A101,IMPORTRANGE(""1QZ5UxyNCwadreQAXnQ7oCoH982DjIA-QnZdO7ZoqkC0/edit#gid=884617569"",""S2 Totals!$A$2:$O$255""),8,FALSE)"),0.16666666666666666)</f>
        <v>0.1666666667</v>
      </c>
      <c r="L101" s="110">
        <f t="shared" si="3"/>
        <v>-0.1666666667</v>
      </c>
      <c r="M101" s="16">
        <f>IFERROR(__xludf.DUMMYFUNCTION("VLOOKUP(A101,IMPORTRANGE(""1QZ5UxyNCwadreQAXnQ7oCoH982DjIA-QnZdO7ZoqkC0/edit#gid=884617569"",""S2 Totals!$A$2:$O$255""),10,FALSE)"),4.0)</f>
        <v>4</v>
      </c>
      <c r="N101" s="15">
        <f>IFERROR(__xludf.DUMMYFUNCTION("VLOOKUP(A101,IMPORTRANGE(""1QZ5UxyNCwadreQAXnQ7oCoH982DjIA-QnZdO7ZoqkC0/edit#gid=884617569"",""S2 Totals!$A$2:$O$255""),11,FALSE)"),0.3076923076923077)</f>
        <v>0.3076923077</v>
      </c>
      <c r="O101" s="110">
        <f t="shared" si="4"/>
        <v>-0.3076923077</v>
      </c>
      <c r="P101" s="16">
        <f>IFERROR(__xludf.DUMMYFUNCTION("VLOOKUP(A101,IMPORTRANGE(""1QZ5UxyNCwadreQAXnQ7oCoH982DjIA-QnZdO7ZoqkC0/edit#gid=884617569"",""S2 Totals!$A$2:$O$255""),13,FALSE)"),5.0)</f>
        <v>5</v>
      </c>
      <c r="Q101" s="15">
        <f>IFERROR(__xludf.DUMMYFUNCTION("VLOOKUP(A101,IMPORTRANGE(""1QZ5UxyNCwadreQAXnQ7oCoH982DjIA-QnZdO7ZoqkC0/edit#gid=884617569"",""S2 Totals!$A$2:$O$255""),14,FALSE)"),0.4166666666666667)</f>
        <v>0.4166666667</v>
      </c>
      <c r="R101" s="129">
        <f t="shared" si="5"/>
        <v>-0.4166666667</v>
      </c>
    </row>
    <row r="102">
      <c r="A102" s="128" t="s">
        <v>50</v>
      </c>
      <c r="B102" s="16">
        <f>IFERROR(__xludf.DUMMYFUNCTION("VLOOKUP(A102,IMPORTRANGE(""1aFCnJY1qhIj8-JckJhDJ18aqmVo17tofpQmOjcYa3u8/edit#gid=1878241338"",""S2 Totals!$A$2:$O$255""),2,FALSE)"),0.0)</f>
        <v>0</v>
      </c>
      <c r="C102" s="15">
        <f>IFERROR(__xludf.DUMMYFUNCTION("VLOOKUP(A102,IMPORTRANGE(""1aFCnJY1qhIj8-JckJhDJ18aqmVo17tofpQmOjcYa3u8/edit#gid=1878241338"",""S2 Totals!$A$2:$O$255""),3,FALSE)"),0.0)</f>
        <v>0</v>
      </c>
      <c r="D102" s="16">
        <f>IFERROR(__xludf.DUMMYFUNCTION("VLOOKUP(A102,IMPORTRANGE(""1QZ5UxyNCwadreQAXnQ7oCoH982DjIA-QnZdO7ZoqkC0/edit#gid=884617569"",""S2 Totals!$A$2:$O$255""),2,FALSE)"),0.0)</f>
        <v>0</v>
      </c>
      <c r="E102" s="15">
        <f>IFERROR(__xludf.DUMMYFUNCTION("VLOOKUP(A102,IMPORTRANGE(""1QZ5UxyNCwadreQAXnQ7oCoH982DjIA-QnZdO7ZoqkC0/edit#gid=884617569"",""S2 Totals!$A$2:$O$255""),3,FALSE)"),0.0)</f>
        <v>0</v>
      </c>
      <c r="F102" s="15">
        <f t="shared" si="1"/>
        <v>0</v>
      </c>
      <c r="G102" s="16">
        <f>IFERROR(__xludf.DUMMYFUNCTION("VLOOKUP(A102,IMPORTRANGE(""1QZ5UxyNCwadreQAXnQ7oCoH982DjIA-QnZdO7ZoqkC0/edit#gid=884617569"",""S2 Totals!$A$2:$O$255""),4,FALSE)"),0.0)</f>
        <v>0</v>
      </c>
      <c r="H102" s="15">
        <f>IFERROR(__xludf.DUMMYFUNCTION("VLOOKUP(A102,IMPORTRANGE(""1QZ5UxyNCwadreQAXnQ7oCoH982DjIA-QnZdO7ZoqkC0/edit#gid=884617569"",""S2 Totals!$A$2:$O$255""),5,FALSE)"),0.0)</f>
        <v>0</v>
      </c>
      <c r="I102" s="15">
        <f t="shared" si="2"/>
        <v>0</v>
      </c>
      <c r="J102" s="16">
        <f>IFERROR(__xludf.DUMMYFUNCTION("VLOOKUP(A102,IMPORTRANGE(""1QZ5UxyNCwadreQAXnQ7oCoH982DjIA-QnZdO7ZoqkC0/edit#gid=884617569"",""S2 Totals!$A$2:$O$255""),7,FALSE)"),0.0)</f>
        <v>0</v>
      </c>
      <c r="K102" s="15">
        <f>IFERROR(__xludf.DUMMYFUNCTION("VLOOKUP(A102,IMPORTRANGE(""1QZ5UxyNCwadreQAXnQ7oCoH982DjIA-QnZdO7ZoqkC0/edit#gid=884617569"",""S2 Totals!$A$2:$O$255""),8,FALSE)"),0.0)</f>
        <v>0</v>
      </c>
      <c r="L102" s="110">
        <f t="shared" si="3"/>
        <v>0</v>
      </c>
      <c r="M102" s="16">
        <f>IFERROR(__xludf.DUMMYFUNCTION("VLOOKUP(A102,IMPORTRANGE(""1QZ5UxyNCwadreQAXnQ7oCoH982DjIA-QnZdO7ZoqkC0/edit#gid=884617569"",""S2 Totals!$A$2:$O$255""),10,FALSE)"),0.0)</f>
        <v>0</v>
      </c>
      <c r="N102" s="15">
        <f>IFERROR(__xludf.DUMMYFUNCTION("VLOOKUP(A102,IMPORTRANGE(""1QZ5UxyNCwadreQAXnQ7oCoH982DjIA-QnZdO7ZoqkC0/edit#gid=884617569"",""S2 Totals!$A$2:$O$255""),11,FALSE)"),0.0)</f>
        <v>0</v>
      </c>
      <c r="O102" s="110">
        <f t="shared" si="4"/>
        <v>0</v>
      </c>
      <c r="P102" s="16">
        <f>IFERROR(__xludf.DUMMYFUNCTION("VLOOKUP(A102,IMPORTRANGE(""1QZ5UxyNCwadreQAXnQ7oCoH982DjIA-QnZdO7ZoqkC0/edit#gid=884617569"",""S2 Totals!$A$2:$O$255""),13,FALSE)"),0.0)</f>
        <v>0</v>
      </c>
      <c r="Q102" s="15">
        <f>IFERROR(__xludf.DUMMYFUNCTION("VLOOKUP(A102,IMPORTRANGE(""1QZ5UxyNCwadreQAXnQ7oCoH982DjIA-QnZdO7ZoqkC0/edit#gid=884617569"",""S2 Totals!$A$2:$O$255""),14,FALSE)"),0.0)</f>
        <v>0</v>
      </c>
      <c r="R102" s="129">
        <f t="shared" si="5"/>
        <v>0</v>
      </c>
    </row>
    <row r="103">
      <c r="A103" s="128" t="s">
        <v>233</v>
      </c>
      <c r="B103" s="16">
        <f>IFERROR(__xludf.DUMMYFUNCTION("VLOOKUP(A103,IMPORTRANGE(""1aFCnJY1qhIj8-JckJhDJ18aqmVo17tofpQmOjcYa3u8/edit#gid=1878241338"",""S2 Totals!$A$2:$O$255""),2,FALSE)"),1.0)</f>
        <v>1</v>
      </c>
      <c r="C103" s="15">
        <f>IFERROR(__xludf.DUMMYFUNCTION("VLOOKUP(A103,IMPORTRANGE(""1aFCnJY1qhIj8-JckJhDJ18aqmVo17tofpQmOjcYa3u8/edit#gid=1878241338"",""S2 Totals!$A$2:$O$255""),3,FALSE)"),0.09090909090909091)</f>
        <v>0.09090909091</v>
      </c>
      <c r="D103" s="16">
        <f>IFERROR(__xludf.DUMMYFUNCTION("VLOOKUP(A103,IMPORTRANGE(""1QZ5UxyNCwadreQAXnQ7oCoH982DjIA-QnZdO7ZoqkC0/edit#gid=884617569"",""S2 Totals!$A$2:$O$255""),2,FALSE)"),2.0)</f>
        <v>2</v>
      </c>
      <c r="E103" s="15">
        <f>IFERROR(__xludf.DUMMYFUNCTION("VLOOKUP(A103,IMPORTRANGE(""1QZ5UxyNCwadreQAXnQ7oCoH982DjIA-QnZdO7ZoqkC0/edit#gid=884617569"",""S2 Totals!$A$2:$O$255""),3,FALSE)"),0.15384615384615385)</f>
        <v>0.1538461538</v>
      </c>
      <c r="F103" s="15">
        <f t="shared" si="1"/>
        <v>-0.06293706294</v>
      </c>
      <c r="G103" s="16">
        <f>IFERROR(__xludf.DUMMYFUNCTION("VLOOKUP(A103,IMPORTRANGE(""1QZ5UxyNCwadreQAXnQ7oCoH982DjIA-QnZdO7ZoqkC0/edit#gid=884617569"",""S2 Totals!$A$2:$O$255""),4,FALSE)"),4.0)</f>
        <v>4</v>
      </c>
      <c r="H103" s="15">
        <f>IFERROR(__xludf.DUMMYFUNCTION("VLOOKUP(A103,IMPORTRANGE(""1QZ5UxyNCwadreQAXnQ7oCoH982DjIA-QnZdO7ZoqkC0/edit#gid=884617569"",""S2 Totals!$A$2:$O$255""),5,FALSE)"),0.3333333333333333)</f>
        <v>0.3333333333</v>
      </c>
      <c r="I103" s="15">
        <f t="shared" si="2"/>
        <v>-0.2424242424</v>
      </c>
      <c r="J103" s="16" t="str">
        <f>IFERROR(__xludf.DUMMYFUNCTION("VLOOKUP(A103,IMPORTRANGE(""1QZ5UxyNCwadreQAXnQ7oCoH982DjIA-QnZdO7ZoqkC0/edit#gid=884617569"",""S2 Totals!$A$2:$O$255""),7,FALSE)"),"")</f>
        <v/>
      </c>
      <c r="K103" s="15" t="str">
        <f>IFERROR(__xludf.DUMMYFUNCTION("VLOOKUP(A103,IMPORTRANGE(""1QZ5UxyNCwadreQAXnQ7oCoH982DjIA-QnZdO7ZoqkC0/edit#gid=884617569"",""S2 Totals!$A$2:$O$255""),8,FALSE)"),"")</f>
        <v/>
      </c>
      <c r="L103" s="110">
        <f t="shared" si="3"/>
        <v>0.09090909091</v>
      </c>
      <c r="M103" s="16" t="str">
        <f>IFERROR(__xludf.DUMMYFUNCTION("VLOOKUP(A103,IMPORTRANGE(""1QZ5UxyNCwadreQAXnQ7oCoH982DjIA-QnZdO7ZoqkC0/edit#gid=884617569"",""S2 Totals!$A$2:$O$255""),10,FALSE)"),"")</f>
        <v/>
      </c>
      <c r="N103" s="15" t="str">
        <f>IFERROR(__xludf.DUMMYFUNCTION("VLOOKUP(A103,IMPORTRANGE(""1QZ5UxyNCwadreQAXnQ7oCoH982DjIA-QnZdO7ZoqkC0/edit#gid=884617569"",""S2 Totals!$A$2:$O$255""),11,FALSE)"),"")</f>
        <v/>
      </c>
      <c r="O103" s="110">
        <f t="shared" si="4"/>
        <v>0.09090909091</v>
      </c>
      <c r="P103" s="16" t="str">
        <f>IFERROR(__xludf.DUMMYFUNCTION("VLOOKUP(A103,IMPORTRANGE(""1QZ5UxyNCwadreQAXnQ7oCoH982DjIA-QnZdO7ZoqkC0/edit#gid=884617569"",""S2 Totals!$A$2:$O$255""),13,FALSE)"),"")</f>
        <v/>
      </c>
      <c r="Q103" s="15" t="str">
        <f>IFERROR(__xludf.DUMMYFUNCTION("VLOOKUP(A103,IMPORTRANGE(""1QZ5UxyNCwadreQAXnQ7oCoH982DjIA-QnZdO7ZoqkC0/edit#gid=884617569"",""S2 Totals!$A$2:$O$255""),14,FALSE)"),"")</f>
        <v/>
      </c>
      <c r="R103" s="129">
        <f t="shared" si="5"/>
        <v>0.09090909091</v>
      </c>
    </row>
    <row r="104">
      <c r="A104" s="128" t="s">
        <v>234</v>
      </c>
      <c r="B104" s="16">
        <f>IFERROR(__xludf.DUMMYFUNCTION("VLOOKUP(A104,IMPORTRANGE(""1aFCnJY1qhIj8-JckJhDJ18aqmVo17tofpQmOjcYa3u8/edit#gid=1878241338"",""S2 Totals!$A$2:$O$255""),2,FALSE)"),1.0)</f>
        <v>1</v>
      </c>
      <c r="C104" s="15">
        <f>IFERROR(__xludf.DUMMYFUNCTION("VLOOKUP(A104,IMPORTRANGE(""1aFCnJY1qhIj8-JckJhDJ18aqmVo17tofpQmOjcYa3u8/edit#gid=1878241338"",""S2 Totals!$A$2:$O$255""),3,FALSE)"),0.09090909090909091)</f>
        <v>0.09090909091</v>
      </c>
      <c r="D104" s="16">
        <f>IFERROR(__xludf.DUMMYFUNCTION("VLOOKUP(A104,IMPORTRANGE(""1QZ5UxyNCwadreQAXnQ7oCoH982DjIA-QnZdO7ZoqkC0/edit#gid=884617569"",""S2 Totals!$A$2:$O$255""),2,FALSE)"),3.0)</f>
        <v>3</v>
      </c>
      <c r="E104" s="15">
        <f>IFERROR(__xludf.DUMMYFUNCTION("VLOOKUP(A104,IMPORTRANGE(""1QZ5UxyNCwadreQAXnQ7oCoH982DjIA-QnZdO7ZoqkC0/edit#gid=884617569"",""S2 Totals!$A$2:$O$255""),3,FALSE)"),0.23076923076923078)</f>
        <v>0.2307692308</v>
      </c>
      <c r="F104" s="15">
        <f t="shared" si="1"/>
        <v>-0.1398601399</v>
      </c>
      <c r="G104" s="16">
        <f>IFERROR(__xludf.DUMMYFUNCTION("VLOOKUP(A104,IMPORTRANGE(""1QZ5UxyNCwadreQAXnQ7oCoH982DjIA-QnZdO7ZoqkC0/edit#gid=884617569"",""S2 Totals!$A$2:$O$255""),4,FALSE)"),3.0)</f>
        <v>3</v>
      </c>
      <c r="H104" s="15">
        <f>IFERROR(__xludf.DUMMYFUNCTION("VLOOKUP(A104,IMPORTRANGE(""1QZ5UxyNCwadreQAXnQ7oCoH982DjIA-QnZdO7ZoqkC0/edit#gid=884617569"",""S2 Totals!$A$2:$O$255""),5,FALSE)"),0.25)</f>
        <v>0.25</v>
      </c>
      <c r="I104" s="15">
        <f t="shared" si="2"/>
        <v>-0.1590909091</v>
      </c>
      <c r="J104" s="16" t="str">
        <f>IFERROR(__xludf.DUMMYFUNCTION("VLOOKUP(A104,IMPORTRANGE(""1QZ5UxyNCwadreQAXnQ7oCoH982DjIA-QnZdO7ZoqkC0/edit#gid=884617569"",""S2 Totals!$A$2:$O$255""),7,FALSE)"),"")</f>
        <v/>
      </c>
      <c r="K104" s="15" t="str">
        <f>IFERROR(__xludf.DUMMYFUNCTION("VLOOKUP(A104,IMPORTRANGE(""1QZ5UxyNCwadreQAXnQ7oCoH982DjIA-QnZdO7ZoqkC0/edit#gid=884617569"",""S2 Totals!$A$2:$O$255""),8,FALSE)"),"")</f>
        <v/>
      </c>
      <c r="L104" s="110">
        <f t="shared" si="3"/>
        <v>0.09090909091</v>
      </c>
      <c r="M104" s="16" t="str">
        <f>IFERROR(__xludf.DUMMYFUNCTION("VLOOKUP(A104,IMPORTRANGE(""1QZ5UxyNCwadreQAXnQ7oCoH982DjIA-QnZdO7ZoqkC0/edit#gid=884617569"",""S2 Totals!$A$2:$O$255""),10,FALSE)"),"")</f>
        <v/>
      </c>
      <c r="N104" s="15" t="str">
        <f>IFERROR(__xludf.DUMMYFUNCTION("VLOOKUP(A104,IMPORTRANGE(""1QZ5UxyNCwadreQAXnQ7oCoH982DjIA-QnZdO7ZoqkC0/edit#gid=884617569"",""S2 Totals!$A$2:$O$255""),11,FALSE)"),"")</f>
        <v/>
      </c>
      <c r="O104" s="110">
        <f t="shared" si="4"/>
        <v>0.09090909091</v>
      </c>
      <c r="P104" s="16" t="str">
        <f>IFERROR(__xludf.DUMMYFUNCTION("VLOOKUP(A104,IMPORTRANGE(""1QZ5UxyNCwadreQAXnQ7oCoH982DjIA-QnZdO7ZoqkC0/edit#gid=884617569"",""S2 Totals!$A$2:$O$255""),13,FALSE)"),"")</f>
        <v/>
      </c>
      <c r="Q104" s="15" t="str">
        <f>IFERROR(__xludf.DUMMYFUNCTION("VLOOKUP(A104,IMPORTRANGE(""1QZ5UxyNCwadreQAXnQ7oCoH982DjIA-QnZdO7ZoqkC0/edit#gid=884617569"",""S2 Totals!$A$2:$O$255""),14,FALSE)"),"")</f>
        <v/>
      </c>
      <c r="R104" s="129">
        <f t="shared" si="5"/>
        <v>0.09090909091</v>
      </c>
    </row>
    <row r="105">
      <c r="A105" s="128" t="s">
        <v>98</v>
      </c>
      <c r="B105" s="16">
        <f>IFERROR(__xludf.DUMMYFUNCTION("VLOOKUP(A105,IMPORTRANGE(""1aFCnJY1qhIj8-JckJhDJ18aqmVo17tofpQmOjcYa3u8/edit#gid=1878241338"",""S2 Totals!$A$2:$O$255""),2,FALSE)"),10.0)</f>
        <v>10</v>
      </c>
      <c r="C105" s="15">
        <f>IFERROR(__xludf.DUMMYFUNCTION("VLOOKUP(A105,IMPORTRANGE(""1aFCnJY1qhIj8-JckJhDJ18aqmVo17tofpQmOjcYa3u8/edit#gid=1878241338"",""S2 Totals!$A$2:$O$255""),3,FALSE)"),0.9090909090909091)</f>
        <v>0.9090909091</v>
      </c>
      <c r="D105" s="16">
        <f>IFERROR(__xludf.DUMMYFUNCTION("VLOOKUP(A105,IMPORTRANGE(""1QZ5UxyNCwadreQAXnQ7oCoH982DjIA-QnZdO7ZoqkC0/edit#gid=884617569"",""S2 Totals!$A$2:$O$255""),2,FALSE)"),9.0)</f>
        <v>9</v>
      </c>
      <c r="E105" s="15">
        <f>IFERROR(__xludf.DUMMYFUNCTION("VLOOKUP(A105,IMPORTRANGE(""1QZ5UxyNCwadreQAXnQ7oCoH982DjIA-QnZdO7ZoqkC0/edit#gid=884617569"",""S2 Totals!$A$2:$O$255""),3,FALSE)"),0.6923076923076923)</f>
        <v>0.6923076923</v>
      </c>
      <c r="F105" s="15">
        <f t="shared" si="1"/>
        <v>0.2167832168</v>
      </c>
      <c r="G105" s="16">
        <f>IFERROR(__xludf.DUMMYFUNCTION("VLOOKUP(A105,IMPORTRANGE(""1QZ5UxyNCwadreQAXnQ7oCoH982DjIA-QnZdO7ZoqkC0/edit#gid=884617569"",""S2 Totals!$A$2:$O$255""),4,FALSE)"),2.0)</f>
        <v>2</v>
      </c>
      <c r="H105" s="15">
        <f>IFERROR(__xludf.DUMMYFUNCTION("VLOOKUP(A105,IMPORTRANGE(""1QZ5UxyNCwadreQAXnQ7oCoH982DjIA-QnZdO7ZoqkC0/edit#gid=884617569"",""S2 Totals!$A$2:$O$255""),5,FALSE)"),0.16666666666666666)</f>
        <v>0.1666666667</v>
      </c>
      <c r="I105" s="15">
        <f t="shared" si="2"/>
        <v>0.7424242424</v>
      </c>
      <c r="J105" s="16">
        <f>IFERROR(__xludf.DUMMYFUNCTION("VLOOKUP(A105,IMPORTRANGE(""1QZ5UxyNCwadreQAXnQ7oCoH982DjIA-QnZdO7ZoqkC0/edit#gid=884617569"",""S2 Totals!$A$2:$O$255""),7,FALSE)"),2.0)</f>
        <v>2</v>
      </c>
      <c r="K105" s="15">
        <f>IFERROR(__xludf.DUMMYFUNCTION("VLOOKUP(A105,IMPORTRANGE(""1QZ5UxyNCwadreQAXnQ7oCoH982DjIA-QnZdO7ZoqkC0/edit#gid=884617569"",""S2 Totals!$A$2:$O$255""),8,FALSE)"),0.16666666666666666)</f>
        <v>0.1666666667</v>
      </c>
      <c r="L105" s="110">
        <f t="shared" si="3"/>
        <v>0.7424242424</v>
      </c>
      <c r="M105" s="16">
        <f>IFERROR(__xludf.DUMMYFUNCTION("VLOOKUP(A105,IMPORTRANGE(""1QZ5UxyNCwadreQAXnQ7oCoH982DjIA-QnZdO7ZoqkC0/edit#gid=884617569"",""S2 Totals!$A$2:$O$255""),10,FALSE)"),2.0)</f>
        <v>2</v>
      </c>
      <c r="N105" s="15">
        <f>IFERROR(__xludf.DUMMYFUNCTION("VLOOKUP(A105,IMPORTRANGE(""1QZ5UxyNCwadreQAXnQ7oCoH982DjIA-QnZdO7ZoqkC0/edit#gid=884617569"",""S2 Totals!$A$2:$O$255""),11,FALSE)"),0.15384615384615385)</f>
        <v>0.1538461538</v>
      </c>
      <c r="O105" s="110">
        <f t="shared" si="4"/>
        <v>0.7552447552</v>
      </c>
      <c r="P105" s="16">
        <f>IFERROR(__xludf.DUMMYFUNCTION("VLOOKUP(A105,IMPORTRANGE(""1QZ5UxyNCwadreQAXnQ7oCoH982DjIA-QnZdO7ZoqkC0/edit#gid=884617569"",""S2 Totals!$A$2:$O$255""),13,FALSE)"),0.0)</f>
        <v>0</v>
      </c>
      <c r="Q105" s="15">
        <f>IFERROR(__xludf.DUMMYFUNCTION("VLOOKUP(A105,IMPORTRANGE(""1QZ5UxyNCwadreQAXnQ7oCoH982DjIA-QnZdO7ZoqkC0/edit#gid=884617569"",""S2 Totals!$A$2:$O$255""),14,FALSE)"),0.0)</f>
        <v>0</v>
      </c>
      <c r="R105" s="129">
        <f t="shared" si="5"/>
        <v>0.9090909091</v>
      </c>
    </row>
    <row r="106">
      <c r="A106" s="128" t="s">
        <v>235</v>
      </c>
      <c r="B106" s="16">
        <f>IFERROR(__xludf.DUMMYFUNCTION("VLOOKUP(A106,IMPORTRANGE(""1aFCnJY1qhIj8-JckJhDJ18aqmVo17tofpQmOjcYa3u8/edit#gid=1878241338"",""S2 Totals!$A$2:$O$255""),2,FALSE)"),4.0)</f>
        <v>4</v>
      </c>
      <c r="C106" s="15">
        <f>IFERROR(__xludf.DUMMYFUNCTION("VLOOKUP(A106,IMPORTRANGE(""1aFCnJY1qhIj8-JckJhDJ18aqmVo17tofpQmOjcYa3u8/edit#gid=1878241338"",""S2 Totals!$A$2:$O$255""),3,FALSE)"),0.36363636363636365)</f>
        <v>0.3636363636</v>
      </c>
      <c r="D106" s="16">
        <f>IFERROR(__xludf.DUMMYFUNCTION("VLOOKUP(A106,IMPORTRANGE(""1QZ5UxyNCwadreQAXnQ7oCoH982DjIA-QnZdO7ZoqkC0/edit#gid=884617569"",""S2 Totals!$A$2:$O$255""),2,FALSE)"),4.0)</f>
        <v>4</v>
      </c>
      <c r="E106" s="15">
        <f>IFERROR(__xludf.DUMMYFUNCTION("VLOOKUP(A106,IMPORTRANGE(""1QZ5UxyNCwadreQAXnQ7oCoH982DjIA-QnZdO7ZoqkC0/edit#gid=884617569"",""S2 Totals!$A$2:$O$255""),3,FALSE)"),0.3076923076923077)</f>
        <v>0.3076923077</v>
      </c>
      <c r="F106" s="15">
        <f t="shared" si="1"/>
        <v>0.05594405594</v>
      </c>
      <c r="G106" s="16">
        <f>IFERROR(__xludf.DUMMYFUNCTION("VLOOKUP(A106,IMPORTRANGE(""1QZ5UxyNCwadreQAXnQ7oCoH982DjIA-QnZdO7ZoqkC0/edit#gid=884617569"",""S2 Totals!$A$2:$O$255""),4,FALSE)"),4.0)</f>
        <v>4</v>
      </c>
      <c r="H106" s="15">
        <f>IFERROR(__xludf.DUMMYFUNCTION("VLOOKUP(A106,IMPORTRANGE(""1QZ5UxyNCwadreQAXnQ7oCoH982DjIA-QnZdO7ZoqkC0/edit#gid=884617569"",""S2 Totals!$A$2:$O$255""),5,FALSE)"),0.3333333333333333)</f>
        <v>0.3333333333</v>
      </c>
      <c r="I106" s="15">
        <f t="shared" si="2"/>
        <v>0.0303030303</v>
      </c>
      <c r="J106" s="16" t="str">
        <f>IFERROR(__xludf.DUMMYFUNCTION("VLOOKUP(A106,IMPORTRANGE(""1QZ5UxyNCwadreQAXnQ7oCoH982DjIA-QnZdO7ZoqkC0/edit#gid=884617569"",""S2 Totals!$A$2:$O$255""),7,FALSE)"),"")</f>
        <v/>
      </c>
      <c r="K106" s="15" t="str">
        <f>IFERROR(__xludf.DUMMYFUNCTION("VLOOKUP(A106,IMPORTRANGE(""1QZ5UxyNCwadreQAXnQ7oCoH982DjIA-QnZdO7ZoqkC0/edit#gid=884617569"",""S2 Totals!$A$2:$O$255""),8,FALSE)"),"")</f>
        <v/>
      </c>
      <c r="L106" s="110">
        <f t="shared" si="3"/>
        <v>0.3636363636</v>
      </c>
      <c r="M106" s="16" t="str">
        <f>IFERROR(__xludf.DUMMYFUNCTION("VLOOKUP(A106,IMPORTRANGE(""1QZ5UxyNCwadreQAXnQ7oCoH982DjIA-QnZdO7ZoqkC0/edit#gid=884617569"",""S2 Totals!$A$2:$O$255""),10,FALSE)"),"")</f>
        <v/>
      </c>
      <c r="N106" s="15" t="str">
        <f>IFERROR(__xludf.DUMMYFUNCTION("VLOOKUP(A106,IMPORTRANGE(""1QZ5UxyNCwadreQAXnQ7oCoH982DjIA-QnZdO7ZoqkC0/edit#gid=884617569"",""S2 Totals!$A$2:$O$255""),11,FALSE)"),"")</f>
        <v/>
      </c>
      <c r="O106" s="110">
        <f t="shared" si="4"/>
        <v>0.3636363636</v>
      </c>
      <c r="P106" s="16" t="str">
        <f>IFERROR(__xludf.DUMMYFUNCTION("VLOOKUP(A106,IMPORTRANGE(""1QZ5UxyNCwadreQAXnQ7oCoH982DjIA-QnZdO7ZoqkC0/edit#gid=884617569"",""S2 Totals!$A$2:$O$255""),13,FALSE)"),"")</f>
        <v/>
      </c>
      <c r="Q106" s="15" t="str">
        <f>IFERROR(__xludf.DUMMYFUNCTION("VLOOKUP(A106,IMPORTRANGE(""1QZ5UxyNCwadreQAXnQ7oCoH982DjIA-QnZdO7ZoqkC0/edit#gid=884617569"",""S2 Totals!$A$2:$O$255""),14,FALSE)"),"")</f>
        <v/>
      </c>
      <c r="R106" s="129">
        <f t="shared" si="5"/>
        <v>0.3636363636</v>
      </c>
    </row>
    <row r="107">
      <c r="A107" s="128" t="s">
        <v>58</v>
      </c>
      <c r="B107" s="16">
        <f>IFERROR(__xludf.DUMMYFUNCTION("VLOOKUP(A107,IMPORTRANGE(""1aFCnJY1qhIj8-JckJhDJ18aqmVo17tofpQmOjcYa3u8/edit#gid=1878241338"",""S2 Totals!$A$2:$O$255""),2,FALSE)"),0.0)</f>
        <v>0</v>
      </c>
      <c r="C107" s="15">
        <f>IFERROR(__xludf.DUMMYFUNCTION("VLOOKUP(A107,IMPORTRANGE(""1aFCnJY1qhIj8-JckJhDJ18aqmVo17tofpQmOjcYa3u8/edit#gid=1878241338"",""S2 Totals!$A$2:$O$255""),3,FALSE)"),0.0)</f>
        <v>0</v>
      </c>
      <c r="D107" s="16">
        <f>IFERROR(__xludf.DUMMYFUNCTION("VLOOKUP(A107,IMPORTRANGE(""1QZ5UxyNCwadreQAXnQ7oCoH982DjIA-QnZdO7ZoqkC0/edit#gid=884617569"",""S2 Totals!$A$2:$O$255""),2,FALSE)"),2.0)</f>
        <v>2</v>
      </c>
      <c r="E107" s="15">
        <f>IFERROR(__xludf.DUMMYFUNCTION("VLOOKUP(A107,IMPORTRANGE(""1QZ5UxyNCwadreQAXnQ7oCoH982DjIA-QnZdO7ZoqkC0/edit#gid=884617569"",""S2 Totals!$A$2:$O$255""),3,FALSE)"),0.15384615384615385)</f>
        <v>0.1538461538</v>
      </c>
      <c r="F107" s="15">
        <f t="shared" si="1"/>
        <v>-0.1538461538</v>
      </c>
      <c r="G107" s="16">
        <f>IFERROR(__xludf.DUMMYFUNCTION("VLOOKUP(A107,IMPORTRANGE(""1QZ5UxyNCwadreQAXnQ7oCoH982DjIA-QnZdO7ZoqkC0/edit#gid=884617569"",""S2 Totals!$A$2:$O$255""),4,FALSE)"),2.0)</f>
        <v>2</v>
      </c>
      <c r="H107" s="15">
        <f>IFERROR(__xludf.DUMMYFUNCTION("VLOOKUP(A107,IMPORTRANGE(""1QZ5UxyNCwadreQAXnQ7oCoH982DjIA-QnZdO7ZoqkC0/edit#gid=884617569"",""S2 Totals!$A$2:$O$255""),5,FALSE)"),0.16666666666666666)</f>
        <v>0.1666666667</v>
      </c>
      <c r="I107" s="15">
        <f t="shared" si="2"/>
        <v>-0.1666666667</v>
      </c>
      <c r="J107" s="16">
        <f>IFERROR(__xludf.DUMMYFUNCTION("VLOOKUP(A107,IMPORTRANGE(""1QZ5UxyNCwadreQAXnQ7oCoH982DjIA-QnZdO7ZoqkC0/edit#gid=884617569"",""S2 Totals!$A$2:$O$255""),7,FALSE)"),4.0)</f>
        <v>4</v>
      </c>
      <c r="K107" s="15">
        <f>IFERROR(__xludf.DUMMYFUNCTION("VLOOKUP(A107,IMPORTRANGE(""1QZ5UxyNCwadreQAXnQ7oCoH982DjIA-QnZdO7ZoqkC0/edit#gid=884617569"",""S2 Totals!$A$2:$O$255""),8,FALSE)"),0.3333333333333333)</f>
        <v>0.3333333333</v>
      </c>
      <c r="L107" s="110">
        <f t="shared" si="3"/>
        <v>-0.3333333333</v>
      </c>
      <c r="M107" s="16">
        <f>IFERROR(__xludf.DUMMYFUNCTION("VLOOKUP(A107,IMPORTRANGE(""1QZ5UxyNCwadreQAXnQ7oCoH982DjIA-QnZdO7ZoqkC0/edit#gid=884617569"",""S2 Totals!$A$2:$O$255""),10,FALSE)"),6.0)</f>
        <v>6</v>
      </c>
      <c r="N107" s="15">
        <f>IFERROR(__xludf.DUMMYFUNCTION("VLOOKUP(A107,IMPORTRANGE(""1QZ5UxyNCwadreQAXnQ7oCoH982DjIA-QnZdO7ZoqkC0/edit#gid=884617569"",""S2 Totals!$A$2:$O$255""),11,FALSE)"),0.46153846153846156)</f>
        <v>0.4615384615</v>
      </c>
      <c r="O107" s="110">
        <f t="shared" si="4"/>
        <v>-0.4615384615</v>
      </c>
      <c r="P107" s="16">
        <f>IFERROR(__xludf.DUMMYFUNCTION("VLOOKUP(A107,IMPORTRANGE(""1QZ5UxyNCwadreQAXnQ7oCoH982DjIA-QnZdO7ZoqkC0/edit#gid=884617569"",""S2 Totals!$A$2:$O$255""),13,FALSE)"),5.0)</f>
        <v>5</v>
      </c>
      <c r="Q107" s="15">
        <f>IFERROR(__xludf.DUMMYFUNCTION("VLOOKUP(A107,IMPORTRANGE(""1QZ5UxyNCwadreQAXnQ7oCoH982DjIA-QnZdO7ZoqkC0/edit#gid=884617569"",""S2 Totals!$A$2:$O$255""),14,FALSE)"),0.4166666666666667)</f>
        <v>0.4166666667</v>
      </c>
      <c r="R107" s="129">
        <f t="shared" si="5"/>
        <v>-0.4166666667</v>
      </c>
    </row>
    <row r="108">
      <c r="A108" s="128" t="s">
        <v>59</v>
      </c>
      <c r="B108" s="16">
        <f>IFERROR(__xludf.DUMMYFUNCTION("VLOOKUP(A108,IMPORTRANGE(""1aFCnJY1qhIj8-JckJhDJ18aqmVo17tofpQmOjcYa3u8/edit#gid=1878241338"",""S2 Totals!$A$2:$O$255""),2,FALSE)"),11.0)</f>
        <v>11</v>
      </c>
      <c r="C108" s="15">
        <f>IFERROR(__xludf.DUMMYFUNCTION("VLOOKUP(A108,IMPORTRANGE(""1aFCnJY1qhIj8-JckJhDJ18aqmVo17tofpQmOjcYa3u8/edit#gid=1878241338"",""S2 Totals!$A$2:$O$255""),3,FALSE)"),1.0)</f>
        <v>1</v>
      </c>
      <c r="D108" s="16">
        <f>IFERROR(__xludf.DUMMYFUNCTION("VLOOKUP(A108,IMPORTRANGE(""1QZ5UxyNCwadreQAXnQ7oCoH982DjIA-QnZdO7ZoqkC0/edit#gid=884617569"",""S2 Totals!$A$2:$O$255""),2,FALSE)"),11.0)</f>
        <v>11</v>
      </c>
      <c r="E108" s="15">
        <f>IFERROR(__xludf.DUMMYFUNCTION("VLOOKUP(A108,IMPORTRANGE(""1QZ5UxyNCwadreQAXnQ7oCoH982DjIA-QnZdO7ZoqkC0/edit#gid=884617569"",""S2 Totals!$A$2:$O$255""),3,FALSE)"),0.8461538461538461)</f>
        <v>0.8461538462</v>
      </c>
      <c r="F108" s="15">
        <f t="shared" si="1"/>
        <v>0.1538461538</v>
      </c>
      <c r="G108" s="16">
        <f>IFERROR(__xludf.DUMMYFUNCTION("VLOOKUP(A108,IMPORTRANGE(""1QZ5UxyNCwadreQAXnQ7oCoH982DjIA-QnZdO7ZoqkC0/edit#gid=884617569"",""S2 Totals!$A$2:$O$255""),4,FALSE)"),10.0)</f>
        <v>10</v>
      </c>
      <c r="H108" s="15">
        <f>IFERROR(__xludf.DUMMYFUNCTION("VLOOKUP(A108,IMPORTRANGE(""1QZ5UxyNCwadreQAXnQ7oCoH982DjIA-QnZdO7ZoqkC0/edit#gid=884617569"",""S2 Totals!$A$2:$O$255""),5,FALSE)"),0.8333333333333334)</f>
        <v>0.8333333333</v>
      </c>
      <c r="I108" s="15">
        <f t="shared" si="2"/>
        <v>0.1666666667</v>
      </c>
      <c r="J108" s="16">
        <f>IFERROR(__xludf.DUMMYFUNCTION("VLOOKUP(A108,IMPORTRANGE(""1QZ5UxyNCwadreQAXnQ7oCoH982DjIA-QnZdO7ZoqkC0/edit#gid=884617569"",""S2 Totals!$A$2:$O$255""),7,FALSE)"),12.0)</f>
        <v>12</v>
      </c>
      <c r="K108" s="15">
        <f>IFERROR(__xludf.DUMMYFUNCTION("VLOOKUP(A108,IMPORTRANGE(""1QZ5UxyNCwadreQAXnQ7oCoH982DjIA-QnZdO7ZoqkC0/edit#gid=884617569"",""S2 Totals!$A$2:$O$255""),8,FALSE)"),1.0)</f>
        <v>1</v>
      </c>
      <c r="L108" s="110">
        <f t="shared" si="3"/>
        <v>0</v>
      </c>
      <c r="M108" s="16">
        <f>IFERROR(__xludf.DUMMYFUNCTION("VLOOKUP(A108,IMPORTRANGE(""1QZ5UxyNCwadreQAXnQ7oCoH982DjIA-QnZdO7ZoqkC0/edit#gid=884617569"",""S2 Totals!$A$2:$O$255""),10,FALSE)"),10.0)</f>
        <v>10</v>
      </c>
      <c r="N108" s="15">
        <f>IFERROR(__xludf.DUMMYFUNCTION("VLOOKUP(A108,IMPORTRANGE(""1QZ5UxyNCwadreQAXnQ7oCoH982DjIA-QnZdO7ZoqkC0/edit#gid=884617569"",""S2 Totals!$A$2:$O$255""),11,FALSE)"),0.7692307692307693)</f>
        <v>0.7692307692</v>
      </c>
      <c r="O108" s="110">
        <f t="shared" si="4"/>
        <v>0.2307692308</v>
      </c>
      <c r="P108" s="16">
        <f>IFERROR(__xludf.DUMMYFUNCTION("VLOOKUP(A108,IMPORTRANGE(""1QZ5UxyNCwadreQAXnQ7oCoH982DjIA-QnZdO7ZoqkC0/edit#gid=884617569"",""S2 Totals!$A$2:$O$255""),13,FALSE)"),10.0)</f>
        <v>10</v>
      </c>
      <c r="Q108" s="15">
        <f>IFERROR(__xludf.DUMMYFUNCTION("VLOOKUP(A108,IMPORTRANGE(""1QZ5UxyNCwadreQAXnQ7oCoH982DjIA-QnZdO7ZoqkC0/edit#gid=884617569"",""S2 Totals!$A$2:$O$255""),14,FALSE)"),0.8333333333333334)</f>
        <v>0.8333333333</v>
      </c>
      <c r="R108" s="129">
        <f t="shared" si="5"/>
        <v>0.1666666667</v>
      </c>
    </row>
    <row r="109">
      <c r="A109" s="128" t="s">
        <v>178</v>
      </c>
      <c r="B109" s="16">
        <f>IFERROR(__xludf.DUMMYFUNCTION("VLOOKUP(A109,IMPORTRANGE(""1aFCnJY1qhIj8-JckJhDJ18aqmVo17tofpQmOjcYa3u8/edit#gid=1878241338"",""S2 Totals!$A$2:$O$255""),2,FALSE)"),7.0)</f>
        <v>7</v>
      </c>
      <c r="C109" s="15">
        <f>IFERROR(__xludf.DUMMYFUNCTION("VLOOKUP(A109,IMPORTRANGE(""1aFCnJY1qhIj8-JckJhDJ18aqmVo17tofpQmOjcYa3u8/edit#gid=1878241338"",""S2 Totals!$A$2:$O$255""),3,FALSE)"),0.6363636363636364)</f>
        <v>0.6363636364</v>
      </c>
      <c r="D109" s="16">
        <f>IFERROR(__xludf.DUMMYFUNCTION("VLOOKUP(A109,IMPORTRANGE(""1QZ5UxyNCwadreQAXnQ7oCoH982DjIA-QnZdO7ZoqkC0/edit#gid=884617569"",""S2 Totals!$A$2:$O$255""),2,FALSE)"),4.0)</f>
        <v>4</v>
      </c>
      <c r="E109" s="15">
        <f>IFERROR(__xludf.DUMMYFUNCTION("VLOOKUP(A109,IMPORTRANGE(""1QZ5UxyNCwadreQAXnQ7oCoH982DjIA-QnZdO7ZoqkC0/edit#gid=884617569"",""S2 Totals!$A$2:$O$255""),3,FALSE)"),0.3076923076923077)</f>
        <v>0.3076923077</v>
      </c>
      <c r="F109" s="15">
        <f t="shared" si="1"/>
        <v>0.3286713287</v>
      </c>
      <c r="G109" s="16">
        <f>IFERROR(__xludf.DUMMYFUNCTION("VLOOKUP(A109,IMPORTRANGE(""1QZ5UxyNCwadreQAXnQ7oCoH982DjIA-QnZdO7ZoqkC0/edit#gid=884617569"",""S2 Totals!$A$2:$O$255""),4,FALSE)"),2.0)</f>
        <v>2</v>
      </c>
      <c r="H109" s="15">
        <f>IFERROR(__xludf.DUMMYFUNCTION("VLOOKUP(A109,IMPORTRANGE(""1QZ5UxyNCwadreQAXnQ7oCoH982DjIA-QnZdO7ZoqkC0/edit#gid=884617569"",""S2 Totals!$A$2:$O$255""),5,FALSE)"),0.16666666666666666)</f>
        <v>0.1666666667</v>
      </c>
      <c r="I109" s="15">
        <f t="shared" si="2"/>
        <v>0.4696969697</v>
      </c>
      <c r="J109" s="16">
        <f>IFERROR(__xludf.DUMMYFUNCTION("VLOOKUP(A109,IMPORTRANGE(""1QZ5UxyNCwadreQAXnQ7oCoH982DjIA-QnZdO7ZoqkC0/edit#gid=884617569"",""S2 Totals!$A$2:$O$255""),7,FALSE)"),2.0)</f>
        <v>2</v>
      </c>
      <c r="K109" s="15">
        <f>IFERROR(__xludf.DUMMYFUNCTION("VLOOKUP(A109,IMPORTRANGE(""1QZ5UxyNCwadreQAXnQ7oCoH982DjIA-QnZdO7ZoqkC0/edit#gid=884617569"",""S2 Totals!$A$2:$O$255""),8,FALSE)"),0.16666666666666666)</f>
        <v>0.1666666667</v>
      </c>
      <c r="L109" s="110">
        <f t="shared" si="3"/>
        <v>0.4696969697</v>
      </c>
      <c r="M109" s="16" t="str">
        <f>IFERROR(__xludf.DUMMYFUNCTION("VLOOKUP(A109,IMPORTRANGE(""1QZ5UxyNCwadreQAXnQ7oCoH982DjIA-QnZdO7ZoqkC0/edit#gid=884617569"",""S2 Totals!$A$2:$O$255""),10,FALSE)"),"")</f>
        <v/>
      </c>
      <c r="N109" s="15" t="str">
        <f>IFERROR(__xludf.DUMMYFUNCTION("VLOOKUP(A109,IMPORTRANGE(""1QZ5UxyNCwadreQAXnQ7oCoH982DjIA-QnZdO7ZoqkC0/edit#gid=884617569"",""S2 Totals!$A$2:$O$255""),11,FALSE)"),"")</f>
        <v/>
      </c>
      <c r="O109" s="110">
        <f t="shared" si="4"/>
        <v>0.6363636364</v>
      </c>
      <c r="P109" s="16" t="str">
        <f>IFERROR(__xludf.DUMMYFUNCTION("VLOOKUP(A109,IMPORTRANGE(""1QZ5UxyNCwadreQAXnQ7oCoH982DjIA-QnZdO7ZoqkC0/edit#gid=884617569"",""S2 Totals!$A$2:$O$255""),13,FALSE)"),"")</f>
        <v/>
      </c>
      <c r="Q109" s="15" t="str">
        <f>IFERROR(__xludf.DUMMYFUNCTION("VLOOKUP(A109,IMPORTRANGE(""1QZ5UxyNCwadreQAXnQ7oCoH982DjIA-QnZdO7ZoqkC0/edit#gid=884617569"",""S2 Totals!$A$2:$O$255""),14,FALSE)"),"")</f>
        <v/>
      </c>
      <c r="R109" s="129">
        <f t="shared" si="5"/>
        <v>0.6363636364</v>
      </c>
    </row>
    <row r="110">
      <c r="A110" s="128" t="s">
        <v>179</v>
      </c>
      <c r="B110" s="16">
        <f>IFERROR(__xludf.DUMMYFUNCTION("VLOOKUP(A110,IMPORTRANGE(""1aFCnJY1qhIj8-JckJhDJ18aqmVo17tofpQmOjcYa3u8/edit#gid=1878241338"",""S2 Totals!$A$2:$O$255""),2,FALSE)"),2.0)</f>
        <v>2</v>
      </c>
      <c r="C110" s="15">
        <f>IFERROR(__xludf.DUMMYFUNCTION("VLOOKUP(A110,IMPORTRANGE(""1aFCnJY1qhIj8-JckJhDJ18aqmVo17tofpQmOjcYa3u8/edit#gid=1878241338"",""S2 Totals!$A$2:$O$255""),3,FALSE)"),0.18181818181818182)</f>
        <v>0.1818181818</v>
      </c>
      <c r="D110" s="16">
        <f>IFERROR(__xludf.DUMMYFUNCTION("VLOOKUP(A110,IMPORTRANGE(""1QZ5UxyNCwadreQAXnQ7oCoH982DjIA-QnZdO7ZoqkC0/edit#gid=884617569"",""S2 Totals!$A$2:$O$255""),2,FALSE)"),2.0)</f>
        <v>2</v>
      </c>
      <c r="E110" s="15">
        <f>IFERROR(__xludf.DUMMYFUNCTION("VLOOKUP(A110,IMPORTRANGE(""1QZ5UxyNCwadreQAXnQ7oCoH982DjIA-QnZdO7ZoqkC0/edit#gid=884617569"",""S2 Totals!$A$2:$O$255""),3,FALSE)"),0.15384615384615385)</f>
        <v>0.1538461538</v>
      </c>
      <c r="F110" s="15">
        <f t="shared" si="1"/>
        <v>0.02797202797</v>
      </c>
      <c r="G110" s="16">
        <f>IFERROR(__xludf.DUMMYFUNCTION("VLOOKUP(A110,IMPORTRANGE(""1QZ5UxyNCwadreQAXnQ7oCoH982DjIA-QnZdO7ZoqkC0/edit#gid=884617569"",""S2 Totals!$A$2:$O$255""),4,FALSE)"),2.0)</f>
        <v>2</v>
      </c>
      <c r="H110" s="15">
        <f>IFERROR(__xludf.DUMMYFUNCTION("VLOOKUP(A110,IMPORTRANGE(""1QZ5UxyNCwadreQAXnQ7oCoH982DjIA-QnZdO7ZoqkC0/edit#gid=884617569"",""S2 Totals!$A$2:$O$255""),5,FALSE)"),0.16666666666666666)</f>
        <v>0.1666666667</v>
      </c>
      <c r="I110" s="15">
        <f t="shared" si="2"/>
        <v>0.01515151515</v>
      </c>
      <c r="J110" s="16">
        <f>IFERROR(__xludf.DUMMYFUNCTION("VLOOKUP(A110,IMPORTRANGE(""1QZ5UxyNCwadreQAXnQ7oCoH982DjIA-QnZdO7ZoqkC0/edit#gid=884617569"",""S2 Totals!$A$2:$O$255""),7,FALSE)"),0.0)</f>
        <v>0</v>
      </c>
      <c r="K110" s="15">
        <f>IFERROR(__xludf.DUMMYFUNCTION("VLOOKUP(A110,IMPORTRANGE(""1QZ5UxyNCwadreQAXnQ7oCoH982DjIA-QnZdO7ZoqkC0/edit#gid=884617569"",""S2 Totals!$A$2:$O$255""),8,FALSE)"),0.0)</f>
        <v>0</v>
      </c>
      <c r="L110" s="110">
        <f t="shared" si="3"/>
        <v>0.1818181818</v>
      </c>
      <c r="M110" s="16" t="str">
        <f>IFERROR(__xludf.DUMMYFUNCTION("VLOOKUP(A110,IMPORTRANGE(""1QZ5UxyNCwadreQAXnQ7oCoH982DjIA-QnZdO7ZoqkC0/edit#gid=884617569"",""S2 Totals!$A$2:$O$255""),10,FALSE)"),"")</f>
        <v/>
      </c>
      <c r="N110" s="15" t="str">
        <f>IFERROR(__xludf.DUMMYFUNCTION("VLOOKUP(A110,IMPORTRANGE(""1QZ5UxyNCwadreQAXnQ7oCoH982DjIA-QnZdO7ZoqkC0/edit#gid=884617569"",""S2 Totals!$A$2:$O$255""),11,FALSE)"),"")</f>
        <v/>
      </c>
      <c r="O110" s="110">
        <f t="shared" si="4"/>
        <v>0.1818181818</v>
      </c>
      <c r="P110" s="16" t="str">
        <f>IFERROR(__xludf.DUMMYFUNCTION("VLOOKUP(A110,IMPORTRANGE(""1QZ5UxyNCwadreQAXnQ7oCoH982DjIA-QnZdO7ZoqkC0/edit#gid=884617569"",""S2 Totals!$A$2:$O$255""),13,FALSE)"),"")</f>
        <v/>
      </c>
      <c r="Q110" s="15" t="str">
        <f>IFERROR(__xludf.DUMMYFUNCTION("VLOOKUP(A110,IMPORTRANGE(""1QZ5UxyNCwadreQAXnQ7oCoH982DjIA-QnZdO7ZoqkC0/edit#gid=884617569"",""S2 Totals!$A$2:$O$255""),14,FALSE)"),"")</f>
        <v/>
      </c>
      <c r="R110" s="129">
        <f t="shared" si="5"/>
        <v>0.1818181818</v>
      </c>
    </row>
    <row r="111">
      <c r="A111" s="128" t="s">
        <v>60</v>
      </c>
      <c r="B111" s="16">
        <f>IFERROR(__xludf.DUMMYFUNCTION("VLOOKUP(A111,IMPORTRANGE(""1aFCnJY1qhIj8-JckJhDJ18aqmVo17tofpQmOjcYa3u8/edit#gid=1878241338"",""S2 Totals!$A$2:$O$255""),2,FALSE)"),4.0)</f>
        <v>4</v>
      </c>
      <c r="C111" s="15">
        <f>IFERROR(__xludf.DUMMYFUNCTION("VLOOKUP(A111,IMPORTRANGE(""1aFCnJY1qhIj8-JckJhDJ18aqmVo17tofpQmOjcYa3u8/edit#gid=1878241338"",""S2 Totals!$A$2:$O$255""),3,FALSE)"),0.36363636363636365)</f>
        <v>0.3636363636</v>
      </c>
      <c r="D111" s="16">
        <f>IFERROR(__xludf.DUMMYFUNCTION("VLOOKUP(A111,IMPORTRANGE(""1QZ5UxyNCwadreQAXnQ7oCoH982DjIA-QnZdO7ZoqkC0/edit#gid=884617569"",""S2 Totals!$A$2:$O$255""),2,FALSE)"),4.0)</f>
        <v>4</v>
      </c>
      <c r="E111" s="15">
        <f>IFERROR(__xludf.DUMMYFUNCTION("VLOOKUP(A111,IMPORTRANGE(""1QZ5UxyNCwadreQAXnQ7oCoH982DjIA-QnZdO7ZoqkC0/edit#gid=884617569"",""S2 Totals!$A$2:$O$255""),3,FALSE)"),0.3076923076923077)</f>
        <v>0.3076923077</v>
      </c>
      <c r="F111" s="15">
        <f t="shared" si="1"/>
        <v>0.05594405594</v>
      </c>
      <c r="G111" s="16">
        <f>IFERROR(__xludf.DUMMYFUNCTION("VLOOKUP(A111,IMPORTRANGE(""1QZ5UxyNCwadreQAXnQ7oCoH982DjIA-QnZdO7ZoqkC0/edit#gid=884617569"",""S2 Totals!$A$2:$O$255""),4,FALSE)"),4.0)</f>
        <v>4</v>
      </c>
      <c r="H111" s="15">
        <f>IFERROR(__xludf.DUMMYFUNCTION("VLOOKUP(A111,IMPORTRANGE(""1QZ5UxyNCwadreQAXnQ7oCoH982DjIA-QnZdO7ZoqkC0/edit#gid=884617569"",""S2 Totals!$A$2:$O$255""),5,FALSE)"),0.3333333333333333)</f>
        <v>0.3333333333</v>
      </c>
      <c r="I111" s="15">
        <f t="shared" si="2"/>
        <v>0.0303030303</v>
      </c>
      <c r="J111" s="16">
        <f>IFERROR(__xludf.DUMMYFUNCTION("VLOOKUP(A111,IMPORTRANGE(""1QZ5UxyNCwadreQAXnQ7oCoH982DjIA-QnZdO7ZoqkC0/edit#gid=884617569"",""S2 Totals!$A$2:$O$255""),7,FALSE)"),4.0)</f>
        <v>4</v>
      </c>
      <c r="K111" s="15">
        <f>IFERROR(__xludf.DUMMYFUNCTION("VLOOKUP(A111,IMPORTRANGE(""1QZ5UxyNCwadreQAXnQ7oCoH982DjIA-QnZdO7ZoqkC0/edit#gid=884617569"",""S2 Totals!$A$2:$O$255""),8,FALSE)"),0.3333333333333333)</f>
        <v>0.3333333333</v>
      </c>
      <c r="L111" s="110">
        <f t="shared" si="3"/>
        <v>0.0303030303</v>
      </c>
      <c r="M111" s="16">
        <f>IFERROR(__xludf.DUMMYFUNCTION("VLOOKUP(A111,IMPORTRANGE(""1QZ5UxyNCwadreQAXnQ7oCoH982DjIA-QnZdO7ZoqkC0/edit#gid=884617569"",""S2 Totals!$A$2:$O$255""),10,FALSE)"),2.0)</f>
        <v>2</v>
      </c>
      <c r="N111" s="15">
        <f>IFERROR(__xludf.DUMMYFUNCTION("VLOOKUP(A111,IMPORTRANGE(""1QZ5UxyNCwadreQAXnQ7oCoH982DjIA-QnZdO7ZoqkC0/edit#gid=884617569"",""S2 Totals!$A$2:$O$255""),11,FALSE)"),0.15384615384615385)</f>
        <v>0.1538461538</v>
      </c>
      <c r="O111" s="110">
        <f t="shared" si="4"/>
        <v>0.2097902098</v>
      </c>
      <c r="P111" s="16">
        <f>IFERROR(__xludf.DUMMYFUNCTION("VLOOKUP(A111,IMPORTRANGE(""1QZ5UxyNCwadreQAXnQ7oCoH982DjIA-QnZdO7ZoqkC0/edit#gid=884617569"",""S2 Totals!$A$2:$O$255""),13,FALSE)"),5.0)</f>
        <v>5</v>
      </c>
      <c r="Q111" s="15">
        <f>IFERROR(__xludf.DUMMYFUNCTION("VLOOKUP(A111,IMPORTRANGE(""1QZ5UxyNCwadreQAXnQ7oCoH982DjIA-QnZdO7ZoqkC0/edit#gid=884617569"",""S2 Totals!$A$2:$O$255""),14,FALSE)"),0.4166666666666667)</f>
        <v>0.4166666667</v>
      </c>
      <c r="R111" s="129">
        <f t="shared" si="5"/>
        <v>-0.05303030303</v>
      </c>
    </row>
    <row r="112">
      <c r="A112" s="134" t="s">
        <v>275</v>
      </c>
      <c r="B112" s="16">
        <f>IFERROR(__xludf.DUMMYFUNCTION("VLOOKUP(A112,IMPORTRANGE(""1aFCnJY1qhIj8-JckJhDJ18aqmVo17tofpQmOjcYa3u8/edit#gid=1878241338"",""S2 Totals!$A$2:$O$255""),2,FALSE)"),5.0)</f>
        <v>5</v>
      </c>
      <c r="C112" s="15">
        <f>IFERROR(__xludf.DUMMYFUNCTION("VLOOKUP(A112,IMPORTRANGE(""1aFCnJY1qhIj8-JckJhDJ18aqmVo17tofpQmOjcYa3u8/edit#gid=1878241338"",""S2 Totals!$A$2:$O$255""),3,FALSE)"),0.45454545454545453)</f>
        <v>0.4545454545</v>
      </c>
      <c r="D112" s="16" t="str">
        <f>IFERROR(__xludf.DUMMYFUNCTION("VLOOKUP(A112,IMPORTRANGE(""1QZ5UxyNCwadreQAXnQ7oCoH982DjIA-QnZdO7ZoqkC0/edit#gid=884617569"",""S2 Totals!$A$2:$O$255""),2,FALSE)"),"#N/A")</f>
        <v>#N/A</v>
      </c>
      <c r="E112" s="15" t="str">
        <f>IFERROR(__xludf.DUMMYFUNCTION("VLOOKUP(A112,IMPORTRANGE(""1QZ5UxyNCwadreQAXnQ7oCoH982DjIA-QnZdO7ZoqkC0/edit#gid=884617569"",""S2 Totals!$A$2:$O$255""),3,FALSE)"),"#N/A")</f>
        <v>#N/A</v>
      </c>
      <c r="F112" s="16" t="str">
        <f t="shared" si="1"/>
        <v>#N/A</v>
      </c>
      <c r="G112" s="16" t="str">
        <f>IFERROR(__xludf.DUMMYFUNCTION("VLOOKUP(A112,IMPORTRANGE(""1QZ5UxyNCwadreQAXnQ7oCoH982DjIA-QnZdO7ZoqkC0/edit#gid=884617569"",""S2 Totals!$A$2:$O$255""),4,FALSE)"),"#N/A")</f>
        <v>#N/A</v>
      </c>
      <c r="H112" s="15" t="str">
        <f>IFERROR(__xludf.DUMMYFUNCTION("VLOOKUP(A112,IMPORTRANGE(""1QZ5UxyNCwadreQAXnQ7oCoH982DjIA-QnZdO7ZoqkC0/edit#gid=884617569"",""S2 Totals!$A$2:$O$255""),5,FALSE)"),"#N/A")</f>
        <v>#N/A</v>
      </c>
      <c r="I112" s="16" t="str">
        <f t="shared" si="2"/>
        <v>#N/A</v>
      </c>
      <c r="J112" s="16" t="str">
        <f>IFERROR(__xludf.DUMMYFUNCTION("VLOOKUP(A112,IMPORTRANGE(""1QZ5UxyNCwadreQAXnQ7oCoH982DjIA-QnZdO7ZoqkC0/edit#gid=884617569"",""S2 Totals!$A$2:$O$255""),7,FALSE)"),"#N/A")</f>
        <v>#N/A</v>
      </c>
      <c r="K112" s="15" t="str">
        <f>IFERROR(__xludf.DUMMYFUNCTION("VLOOKUP(A112,IMPORTRANGE(""1QZ5UxyNCwadreQAXnQ7oCoH982DjIA-QnZdO7ZoqkC0/edit#gid=884617569"",""S2 Totals!$A$2:$O$255""),8,FALSE)"),"#N/A")</f>
        <v>#N/A</v>
      </c>
      <c r="L112" s="110" t="str">
        <f t="shared" si="3"/>
        <v>#N/A</v>
      </c>
      <c r="M112" s="16" t="str">
        <f>IFERROR(__xludf.DUMMYFUNCTION("VLOOKUP(A112,IMPORTRANGE(""1QZ5UxyNCwadreQAXnQ7oCoH982DjIA-QnZdO7ZoqkC0/edit#gid=884617569"",""S2 Totals!$A$2:$O$255""),10,FALSE)"),"#N/A")</f>
        <v>#N/A</v>
      </c>
      <c r="N112" s="15" t="str">
        <f>IFERROR(__xludf.DUMMYFUNCTION("VLOOKUP(A112,IMPORTRANGE(""1QZ5UxyNCwadreQAXnQ7oCoH982DjIA-QnZdO7ZoqkC0/edit#gid=884617569"",""S2 Totals!$A$2:$O$255""),11,FALSE)"),"#N/A")</f>
        <v>#N/A</v>
      </c>
      <c r="O112" s="110" t="str">
        <f t="shared" si="4"/>
        <v>#N/A</v>
      </c>
      <c r="P112" s="16" t="str">
        <f>IFERROR(__xludf.DUMMYFUNCTION("VLOOKUP(A112,IMPORTRANGE(""1QZ5UxyNCwadreQAXnQ7oCoH982DjIA-QnZdO7ZoqkC0/edit#gid=884617569"",""S2 Totals!$A$2:$O$255""),13,FALSE)"),"#N/A")</f>
        <v>#N/A</v>
      </c>
      <c r="Q112" s="15" t="str">
        <f>IFERROR(__xludf.DUMMYFUNCTION("VLOOKUP(A112,IMPORTRANGE(""1QZ5UxyNCwadreQAXnQ7oCoH982DjIA-QnZdO7ZoqkC0/edit#gid=884617569"",""S2 Totals!$A$2:$O$255""),14,FALSE)"),"#N/A")</f>
        <v>#N/A</v>
      </c>
      <c r="R112" s="129" t="str">
        <f t="shared" si="5"/>
        <v>#N/A</v>
      </c>
    </row>
    <row r="113">
      <c r="A113" s="128" t="s">
        <v>130</v>
      </c>
      <c r="B113" s="16">
        <f>IFERROR(__xludf.DUMMYFUNCTION("VLOOKUP(A113,IMPORTRANGE(""1aFCnJY1qhIj8-JckJhDJ18aqmVo17tofpQmOjcYa3u8/edit#gid=1878241338"",""S2 Totals!$A$2:$O$255""),2,FALSE)"),6.0)</f>
        <v>6</v>
      </c>
      <c r="C113" s="15">
        <f>IFERROR(__xludf.DUMMYFUNCTION("VLOOKUP(A113,IMPORTRANGE(""1aFCnJY1qhIj8-JckJhDJ18aqmVo17tofpQmOjcYa3u8/edit#gid=1878241338"",""S2 Totals!$A$2:$O$255""),3,FALSE)"),0.5454545454545454)</f>
        <v>0.5454545455</v>
      </c>
      <c r="D113" s="16">
        <f>IFERROR(__xludf.DUMMYFUNCTION("VLOOKUP(A113,IMPORTRANGE(""1QZ5UxyNCwadreQAXnQ7oCoH982DjIA-QnZdO7ZoqkC0/edit#gid=884617569"",""S2 Totals!$A$2:$O$255""),2,FALSE)"),5.0)</f>
        <v>5</v>
      </c>
      <c r="E113" s="15">
        <f>IFERROR(__xludf.DUMMYFUNCTION("VLOOKUP(A113,IMPORTRANGE(""1QZ5UxyNCwadreQAXnQ7oCoH982DjIA-QnZdO7ZoqkC0/edit#gid=884617569"",""S2 Totals!$A$2:$O$255""),3,FALSE)"),0.38461538461538464)</f>
        <v>0.3846153846</v>
      </c>
      <c r="F113" s="15">
        <f t="shared" si="1"/>
        <v>0.1608391608</v>
      </c>
      <c r="G113" s="16">
        <f>IFERROR(__xludf.DUMMYFUNCTION("VLOOKUP(A113,IMPORTRANGE(""1QZ5UxyNCwadreQAXnQ7oCoH982DjIA-QnZdO7ZoqkC0/edit#gid=884617569"",""S2 Totals!$A$2:$O$255""),4,FALSE)"),4.0)</f>
        <v>4</v>
      </c>
      <c r="H113" s="15">
        <f>IFERROR(__xludf.DUMMYFUNCTION("VLOOKUP(A113,IMPORTRANGE(""1QZ5UxyNCwadreQAXnQ7oCoH982DjIA-QnZdO7ZoqkC0/edit#gid=884617569"",""S2 Totals!$A$2:$O$255""),5,FALSE)"),0.3333333333333333)</f>
        <v>0.3333333333</v>
      </c>
      <c r="I113" s="15">
        <f t="shared" si="2"/>
        <v>0.2121212121</v>
      </c>
      <c r="J113" s="16">
        <f>IFERROR(__xludf.DUMMYFUNCTION("VLOOKUP(A113,IMPORTRANGE(""1QZ5UxyNCwadreQAXnQ7oCoH982DjIA-QnZdO7ZoqkC0/edit#gid=884617569"",""S2 Totals!$A$2:$O$255""),7,FALSE)"),2.0)</f>
        <v>2</v>
      </c>
      <c r="K113" s="15">
        <f>IFERROR(__xludf.DUMMYFUNCTION("VLOOKUP(A113,IMPORTRANGE(""1QZ5UxyNCwadreQAXnQ7oCoH982DjIA-QnZdO7ZoqkC0/edit#gid=884617569"",""S2 Totals!$A$2:$O$255""),8,FALSE)"),0.16666666666666666)</f>
        <v>0.1666666667</v>
      </c>
      <c r="L113" s="110">
        <f t="shared" si="3"/>
        <v>0.3787878788</v>
      </c>
      <c r="M113" s="16">
        <f>IFERROR(__xludf.DUMMYFUNCTION("VLOOKUP(A113,IMPORTRANGE(""1QZ5UxyNCwadreQAXnQ7oCoH982DjIA-QnZdO7ZoqkC0/edit#gid=884617569"",""S2 Totals!$A$2:$O$255""),10,FALSE)"),6.0)</f>
        <v>6</v>
      </c>
      <c r="N113" s="15">
        <f>IFERROR(__xludf.DUMMYFUNCTION("VLOOKUP(A113,IMPORTRANGE(""1QZ5UxyNCwadreQAXnQ7oCoH982DjIA-QnZdO7ZoqkC0/edit#gid=884617569"",""S2 Totals!$A$2:$O$255""),11,FALSE)"),0.46153846153846156)</f>
        <v>0.4615384615</v>
      </c>
      <c r="O113" s="110">
        <f t="shared" si="4"/>
        <v>0.08391608392</v>
      </c>
      <c r="P113" s="16" t="str">
        <f>IFERROR(__xludf.DUMMYFUNCTION("VLOOKUP(A113,IMPORTRANGE(""1QZ5UxyNCwadreQAXnQ7oCoH982DjIA-QnZdO7ZoqkC0/edit#gid=884617569"",""S2 Totals!$A$2:$O$255""),13,FALSE)"),"")</f>
        <v/>
      </c>
      <c r="Q113" s="15" t="str">
        <f>IFERROR(__xludf.DUMMYFUNCTION("VLOOKUP(A113,IMPORTRANGE(""1QZ5UxyNCwadreQAXnQ7oCoH982DjIA-QnZdO7ZoqkC0/edit#gid=884617569"",""S2 Totals!$A$2:$O$255""),14,FALSE)"),"")</f>
        <v/>
      </c>
      <c r="R113" s="129">
        <f t="shared" si="5"/>
        <v>0.5454545455</v>
      </c>
    </row>
    <row r="114">
      <c r="A114" s="128" t="s">
        <v>236</v>
      </c>
      <c r="B114" s="16">
        <f>IFERROR(__xludf.DUMMYFUNCTION("VLOOKUP(A114,IMPORTRANGE(""1aFCnJY1qhIj8-JckJhDJ18aqmVo17tofpQmOjcYa3u8/edit#gid=1878241338"",""S2 Totals!$A$2:$O$255""),2,FALSE)"),0.0)</f>
        <v>0</v>
      </c>
      <c r="C114" s="15">
        <f>IFERROR(__xludf.DUMMYFUNCTION("VLOOKUP(A114,IMPORTRANGE(""1aFCnJY1qhIj8-JckJhDJ18aqmVo17tofpQmOjcYa3u8/edit#gid=1878241338"",""S2 Totals!$A$2:$O$255""),3,FALSE)"),0.0)</f>
        <v>0</v>
      </c>
      <c r="D114" s="16">
        <f>IFERROR(__xludf.DUMMYFUNCTION("VLOOKUP(A114,IMPORTRANGE(""1QZ5UxyNCwadreQAXnQ7oCoH982DjIA-QnZdO7ZoqkC0/edit#gid=884617569"",""S2 Totals!$A$2:$O$255""),2,FALSE)"),0.0)</f>
        <v>0</v>
      </c>
      <c r="E114" s="15">
        <f>IFERROR(__xludf.DUMMYFUNCTION("VLOOKUP(A114,IMPORTRANGE(""1QZ5UxyNCwadreQAXnQ7oCoH982DjIA-QnZdO7ZoqkC0/edit#gid=884617569"",""S2 Totals!$A$2:$O$255""),3,FALSE)"),0.0)</f>
        <v>0</v>
      </c>
      <c r="F114" s="15">
        <f t="shared" si="1"/>
        <v>0</v>
      </c>
      <c r="G114" s="16">
        <f>IFERROR(__xludf.DUMMYFUNCTION("VLOOKUP(A114,IMPORTRANGE(""1QZ5UxyNCwadreQAXnQ7oCoH982DjIA-QnZdO7ZoqkC0/edit#gid=884617569"",""S2 Totals!$A$2:$O$255""),4,FALSE)"),0.0)</f>
        <v>0</v>
      </c>
      <c r="H114" s="15">
        <f>IFERROR(__xludf.DUMMYFUNCTION("VLOOKUP(A114,IMPORTRANGE(""1QZ5UxyNCwadreQAXnQ7oCoH982DjIA-QnZdO7ZoqkC0/edit#gid=884617569"",""S2 Totals!$A$2:$O$255""),5,FALSE)"),0.0)</f>
        <v>0</v>
      </c>
      <c r="I114" s="15">
        <f t="shared" si="2"/>
        <v>0</v>
      </c>
      <c r="J114" s="16" t="str">
        <f>IFERROR(__xludf.DUMMYFUNCTION("VLOOKUP(A114,IMPORTRANGE(""1QZ5UxyNCwadreQAXnQ7oCoH982DjIA-QnZdO7ZoqkC0/edit#gid=884617569"",""S2 Totals!$A$2:$O$255""),7,FALSE)"),"")</f>
        <v/>
      </c>
      <c r="K114" s="15" t="str">
        <f>IFERROR(__xludf.DUMMYFUNCTION("VLOOKUP(A114,IMPORTRANGE(""1QZ5UxyNCwadreQAXnQ7oCoH982DjIA-QnZdO7ZoqkC0/edit#gid=884617569"",""S2 Totals!$A$2:$O$255""),8,FALSE)"),"")</f>
        <v/>
      </c>
      <c r="L114" s="110">
        <f t="shared" si="3"/>
        <v>0</v>
      </c>
      <c r="M114" s="16" t="str">
        <f>IFERROR(__xludf.DUMMYFUNCTION("VLOOKUP(A114,IMPORTRANGE(""1QZ5UxyNCwadreQAXnQ7oCoH982DjIA-QnZdO7ZoqkC0/edit#gid=884617569"",""S2 Totals!$A$2:$O$255""),10,FALSE)"),"")</f>
        <v/>
      </c>
      <c r="N114" s="15" t="str">
        <f>IFERROR(__xludf.DUMMYFUNCTION("VLOOKUP(A114,IMPORTRANGE(""1QZ5UxyNCwadreQAXnQ7oCoH982DjIA-QnZdO7ZoqkC0/edit#gid=884617569"",""S2 Totals!$A$2:$O$255""),11,FALSE)"),"")</f>
        <v/>
      </c>
      <c r="O114" s="110">
        <f t="shared" si="4"/>
        <v>0</v>
      </c>
      <c r="P114" s="16" t="str">
        <f>IFERROR(__xludf.DUMMYFUNCTION("VLOOKUP(A114,IMPORTRANGE(""1QZ5UxyNCwadreQAXnQ7oCoH982DjIA-QnZdO7ZoqkC0/edit#gid=884617569"",""S2 Totals!$A$2:$O$255""),13,FALSE)"),"")</f>
        <v/>
      </c>
      <c r="Q114" s="15" t="str">
        <f>IFERROR(__xludf.DUMMYFUNCTION("VLOOKUP(A114,IMPORTRANGE(""1QZ5UxyNCwadreQAXnQ7oCoH982DjIA-QnZdO7ZoqkC0/edit#gid=884617569"",""S2 Totals!$A$2:$O$255""),14,FALSE)"),"")</f>
        <v/>
      </c>
      <c r="R114" s="129">
        <f t="shared" si="5"/>
        <v>0</v>
      </c>
    </row>
    <row r="115">
      <c r="A115" s="128" t="s">
        <v>237</v>
      </c>
      <c r="B115" s="16">
        <f>IFERROR(__xludf.DUMMYFUNCTION("VLOOKUP(A115,IMPORTRANGE(""1aFCnJY1qhIj8-JckJhDJ18aqmVo17tofpQmOjcYa3u8/edit#gid=1878241338"",""S2 Totals!$A$2:$O$255""),2,FALSE)"),0.0)</f>
        <v>0</v>
      </c>
      <c r="C115" s="15">
        <f>IFERROR(__xludf.DUMMYFUNCTION("VLOOKUP(A115,IMPORTRANGE(""1aFCnJY1qhIj8-JckJhDJ18aqmVo17tofpQmOjcYa3u8/edit#gid=1878241338"",""S2 Totals!$A$2:$O$255""),3,FALSE)"),0.0)</f>
        <v>0</v>
      </c>
      <c r="D115" s="16">
        <f>IFERROR(__xludf.DUMMYFUNCTION("VLOOKUP(A115,IMPORTRANGE(""1QZ5UxyNCwadreQAXnQ7oCoH982DjIA-QnZdO7ZoqkC0/edit#gid=884617569"",""S2 Totals!$A$2:$O$255""),2,FALSE)"),0.0)</f>
        <v>0</v>
      </c>
      <c r="E115" s="15">
        <f>IFERROR(__xludf.DUMMYFUNCTION("VLOOKUP(A115,IMPORTRANGE(""1QZ5UxyNCwadreQAXnQ7oCoH982DjIA-QnZdO7ZoqkC0/edit#gid=884617569"",""S2 Totals!$A$2:$O$255""),3,FALSE)"),0.0)</f>
        <v>0</v>
      </c>
      <c r="F115" s="15">
        <f t="shared" si="1"/>
        <v>0</v>
      </c>
      <c r="G115" s="16">
        <f>IFERROR(__xludf.DUMMYFUNCTION("VLOOKUP(A115,IMPORTRANGE(""1QZ5UxyNCwadreQAXnQ7oCoH982DjIA-QnZdO7ZoqkC0/edit#gid=884617569"",""S2 Totals!$A$2:$O$255""),4,FALSE)"),0.0)</f>
        <v>0</v>
      </c>
      <c r="H115" s="15">
        <f>IFERROR(__xludf.DUMMYFUNCTION("VLOOKUP(A115,IMPORTRANGE(""1QZ5UxyNCwadreQAXnQ7oCoH982DjIA-QnZdO7ZoqkC0/edit#gid=884617569"",""S2 Totals!$A$2:$O$255""),5,FALSE)"),0.0)</f>
        <v>0</v>
      </c>
      <c r="I115" s="15">
        <f t="shared" si="2"/>
        <v>0</v>
      </c>
      <c r="J115" s="16" t="str">
        <f>IFERROR(__xludf.DUMMYFUNCTION("VLOOKUP(A115,IMPORTRANGE(""1QZ5UxyNCwadreQAXnQ7oCoH982DjIA-QnZdO7ZoqkC0/edit#gid=884617569"",""S2 Totals!$A$2:$O$255""),7,FALSE)"),"")</f>
        <v/>
      </c>
      <c r="K115" s="15" t="str">
        <f>IFERROR(__xludf.DUMMYFUNCTION("VLOOKUP(A115,IMPORTRANGE(""1QZ5UxyNCwadreQAXnQ7oCoH982DjIA-QnZdO7ZoqkC0/edit#gid=884617569"",""S2 Totals!$A$2:$O$255""),8,FALSE)"),"")</f>
        <v/>
      </c>
      <c r="L115" s="110">
        <f t="shared" si="3"/>
        <v>0</v>
      </c>
      <c r="M115" s="16" t="str">
        <f>IFERROR(__xludf.DUMMYFUNCTION("VLOOKUP(A115,IMPORTRANGE(""1QZ5UxyNCwadreQAXnQ7oCoH982DjIA-QnZdO7ZoqkC0/edit#gid=884617569"",""S2 Totals!$A$2:$O$255""),10,FALSE)"),"")</f>
        <v/>
      </c>
      <c r="N115" s="15" t="str">
        <f>IFERROR(__xludf.DUMMYFUNCTION("VLOOKUP(A115,IMPORTRANGE(""1QZ5UxyNCwadreQAXnQ7oCoH982DjIA-QnZdO7ZoqkC0/edit#gid=884617569"",""S2 Totals!$A$2:$O$255""),11,FALSE)"),"")</f>
        <v/>
      </c>
      <c r="O115" s="110">
        <f t="shared" si="4"/>
        <v>0</v>
      </c>
      <c r="P115" s="16" t="str">
        <f>IFERROR(__xludf.DUMMYFUNCTION("VLOOKUP(A115,IMPORTRANGE(""1QZ5UxyNCwadreQAXnQ7oCoH982DjIA-QnZdO7ZoqkC0/edit#gid=884617569"",""S2 Totals!$A$2:$O$255""),13,FALSE)"),"")</f>
        <v/>
      </c>
      <c r="Q115" s="15" t="str">
        <f>IFERROR(__xludf.DUMMYFUNCTION("VLOOKUP(A115,IMPORTRANGE(""1QZ5UxyNCwadreQAXnQ7oCoH982DjIA-QnZdO7ZoqkC0/edit#gid=884617569"",""S2 Totals!$A$2:$O$255""),14,FALSE)"),"")</f>
        <v/>
      </c>
      <c r="R115" s="129">
        <f t="shared" si="5"/>
        <v>0</v>
      </c>
    </row>
    <row r="116">
      <c r="A116" s="135" t="s">
        <v>131</v>
      </c>
      <c r="B116" s="16">
        <f>IFERROR(__xludf.DUMMYFUNCTION("VLOOKUP(A116,IMPORTRANGE(""1aFCnJY1qhIj8-JckJhDJ18aqmVo17tofpQmOjcYa3u8/edit#gid=1878241338"",""S2 Totals!$A$2:$O$255""),2,FALSE)"),3.0)</f>
        <v>3</v>
      </c>
      <c r="C116" s="15">
        <f>IFERROR(__xludf.DUMMYFUNCTION("VLOOKUP(A116,IMPORTRANGE(""1aFCnJY1qhIj8-JckJhDJ18aqmVo17tofpQmOjcYa3u8/edit#gid=1878241338"",""S2 Totals!$A$2:$O$255""),3,FALSE)"),0.2727272727272727)</f>
        <v>0.2727272727</v>
      </c>
      <c r="D116" s="16">
        <f>IFERROR(__xludf.DUMMYFUNCTION("VLOOKUP(A116,IMPORTRANGE(""1QZ5UxyNCwadreQAXnQ7oCoH982DjIA-QnZdO7ZoqkC0/edit#gid=884617569"",""S2 Totals!$A$2:$O$255""),2,FALSE)"),2.0)</f>
        <v>2</v>
      </c>
      <c r="E116" s="15">
        <f>IFERROR(__xludf.DUMMYFUNCTION("VLOOKUP(A116,IMPORTRANGE(""1QZ5UxyNCwadreQAXnQ7oCoH982DjIA-QnZdO7ZoqkC0/edit#gid=884617569"",""S2 Totals!$A$2:$O$255""),3,FALSE)"),0.15384615384615385)</f>
        <v>0.1538461538</v>
      </c>
      <c r="F116" s="15">
        <f t="shared" si="1"/>
        <v>0.1188811189</v>
      </c>
      <c r="G116" s="16">
        <f>IFERROR(__xludf.DUMMYFUNCTION("VLOOKUP(A116,IMPORTRANGE(""1QZ5UxyNCwadreQAXnQ7oCoH982DjIA-QnZdO7ZoqkC0/edit#gid=884617569"",""S2 Totals!$A$2:$O$255""),4,FALSE)"),2.0)</f>
        <v>2</v>
      </c>
      <c r="H116" s="15">
        <f>IFERROR(__xludf.DUMMYFUNCTION("VLOOKUP(A116,IMPORTRANGE(""1QZ5UxyNCwadreQAXnQ7oCoH982DjIA-QnZdO7ZoqkC0/edit#gid=884617569"",""S2 Totals!$A$2:$O$255""),5,FALSE)"),0.16666666666666666)</f>
        <v>0.1666666667</v>
      </c>
      <c r="I116" s="15">
        <f t="shared" si="2"/>
        <v>0.1060606061</v>
      </c>
      <c r="J116" s="16">
        <f>IFERROR(__xludf.DUMMYFUNCTION("VLOOKUP(A116,IMPORTRANGE(""1QZ5UxyNCwadreQAXnQ7oCoH982DjIA-QnZdO7ZoqkC0/edit#gid=884617569"",""S2 Totals!$A$2:$O$255""),7,FALSE)"),4.0)</f>
        <v>4</v>
      </c>
      <c r="K116" s="15">
        <f>IFERROR(__xludf.DUMMYFUNCTION("VLOOKUP(A116,IMPORTRANGE(""1QZ5UxyNCwadreQAXnQ7oCoH982DjIA-QnZdO7ZoqkC0/edit#gid=884617569"",""S2 Totals!$A$2:$O$255""),8,FALSE)"),0.3333333333333333)</f>
        <v>0.3333333333</v>
      </c>
      <c r="L116" s="110">
        <f t="shared" si="3"/>
        <v>-0.06060606061</v>
      </c>
      <c r="M116" s="16">
        <f>IFERROR(__xludf.DUMMYFUNCTION("VLOOKUP(A116,IMPORTRANGE(""1QZ5UxyNCwadreQAXnQ7oCoH982DjIA-QnZdO7ZoqkC0/edit#gid=884617569"",""S2 Totals!$A$2:$O$255""),10,FALSE)"),5.0)</f>
        <v>5</v>
      </c>
      <c r="N116" s="15">
        <f>IFERROR(__xludf.DUMMYFUNCTION("VLOOKUP(A116,IMPORTRANGE(""1QZ5UxyNCwadreQAXnQ7oCoH982DjIA-QnZdO7ZoqkC0/edit#gid=884617569"",""S2 Totals!$A$2:$O$255""),11,FALSE)"),0.38461538461538464)</f>
        <v>0.3846153846</v>
      </c>
      <c r="O116" s="110">
        <f t="shared" si="4"/>
        <v>-0.1118881119</v>
      </c>
      <c r="P116" s="16" t="str">
        <f>IFERROR(__xludf.DUMMYFUNCTION("VLOOKUP(A116,IMPORTRANGE(""1QZ5UxyNCwadreQAXnQ7oCoH982DjIA-QnZdO7ZoqkC0/edit#gid=884617569"",""S2 Totals!$A$2:$O$255""),13,FALSE)"),"")</f>
        <v/>
      </c>
      <c r="Q116" s="15" t="str">
        <f>IFERROR(__xludf.DUMMYFUNCTION("VLOOKUP(A116,IMPORTRANGE(""1QZ5UxyNCwadreQAXnQ7oCoH982DjIA-QnZdO7ZoqkC0/edit#gid=884617569"",""S2 Totals!$A$2:$O$255""),14,FALSE)"),"")</f>
        <v/>
      </c>
      <c r="R116" s="129">
        <f t="shared" si="5"/>
        <v>0.2727272727</v>
      </c>
    </row>
    <row r="117">
      <c r="A117" s="128" t="s">
        <v>132</v>
      </c>
      <c r="B117" s="16">
        <f>IFERROR(__xludf.DUMMYFUNCTION("VLOOKUP(A117,IMPORTRANGE(""1aFCnJY1qhIj8-JckJhDJ18aqmVo17tofpQmOjcYa3u8/edit#gid=1878241338"",""S2 Totals!$A$2:$O$255""),2,FALSE)"),7.0)</f>
        <v>7</v>
      </c>
      <c r="C117" s="15">
        <f>IFERROR(__xludf.DUMMYFUNCTION("VLOOKUP(A117,IMPORTRANGE(""1aFCnJY1qhIj8-JckJhDJ18aqmVo17tofpQmOjcYa3u8/edit#gid=1878241338"",""S2 Totals!$A$2:$O$255""),3,FALSE)"),0.6363636363636364)</f>
        <v>0.6363636364</v>
      </c>
      <c r="D117" s="16">
        <f>IFERROR(__xludf.DUMMYFUNCTION("VLOOKUP(A117,IMPORTRANGE(""1QZ5UxyNCwadreQAXnQ7oCoH982DjIA-QnZdO7ZoqkC0/edit#gid=884617569"",""S2 Totals!$A$2:$O$255""),2,FALSE)"),2.0)</f>
        <v>2</v>
      </c>
      <c r="E117" s="15">
        <f>IFERROR(__xludf.DUMMYFUNCTION("VLOOKUP(A117,IMPORTRANGE(""1QZ5UxyNCwadreQAXnQ7oCoH982DjIA-QnZdO7ZoqkC0/edit#gid=884617569"",""S2 Totals!$A$2:$O$255""),3,FALSE)"),0.15384615384615385)</f>
        <v>0.1538461538</v>
      </c>
      <c r="F117" s="15">
        <f t="shared" si="1"/>
        <v>0.4825174825</v>
      </c>
      <c r="G117" s="16">
        <f>IFERROR(__xludf.DUMMYFUNCTION("VLOOKUP(A117,IMPORTRANGE(""1QZ5UxyNCwadreQAXnQ7oCoH982DjIA-QnZdO7ZoqkC0/edit#gid=884617569"",""S2 Totals!$A$2:$O$255""),4,FALSE)"),2.0)</f>
        <v>2</v>
      </c>
      <c r="H117" s="15">
        <f>IFERROR(__xludf.DUMMYFUNCTION("VLOOKUP(A117,IMPORTRANGE(""1QZ5UxyNCwadreQAXnQ7oCoH982DjIA-QnZdO7ZoqkC0/edit#gid=884617569"",""S2 Totals!$A$2:$O$255""),5,FALSE)"),0.16666666666666666)</f>
        <v>0.1666666667</v>
      </c>
      <c r="I117" s="15">
        <f t="shared" si="2"/>
        <v>0.4696969697</v>
      </c>
      <c r="J117" s="16">
        <f>IFERROR(__xludf.DUMMYFUNCTION("VLOOKUP(A117,IMPORTRANGE(""1QZ5UxyNCwadreQAXnQ7oCoH982DjIA-QnZdO7ZoqkC0/edit#gid=884617569"",""S2 Totals!$A$2:$O$255""),7,FALSE)"),2.0)</f>
        <v>2</v>
      </c>
      <c r="K117" s="15">
        <f>IFERROR(__xludf.DUMMYFUNCTION("VLOOKUP(A117,IMPORTRANGE(""1QZ5UxyNCwadreQAXnQ7oCoH982DjIA-QnZdO7ZoqkC0/edit#gid=884617569"",""S2 Totals!$A$2:$O$255""),8,FALSE)"),0.16666666666666666)</f>
        <v>0.1666666667</v>
      </c>
      <c r="L117" s="110">
        <f t="shared" si="3"/>
        <v>0.4696969697</v>
      </c>
      <c r="M117" s="16">
        <f>IFERROR(__xludf.DUMMYFUNCTION("VLOOKUP(A117,IMPORTRANGE(""1QZ5UxyNCwadreQAXnQ7oCoH982DjIA-QnZdO7ZoqkC0/edit#gid=884617569"",""S2 Totals!$A$2:$O$255""),10,FALSE)"),4.0)</f>
        <v>4</v>
      </c>
      <c r="N117" s="15">
        <f>IFERROR(__xludf.DUMMYFUNCTION("VLOOKUP(A117,IMPORTRANGE(""1QZ5UxyNCwadreQAXnQ7oCoH982DjIA-QnZdO7ZoqkC0/edit#gid=884617569"",""S2 Totals!$A$2:$O$255""),11,FALSE)"),0.3076923076923077)</f>
        <v>0.3076923077</v>
      </c>
      <c r="O117" s="110">
        <f t="shared" si="4"/>
        <v>0.3286713287</v>
      </c>
      <c r="P117" s="16" t="str">
        <f>IFERROR(__xludf.DUMMYFUNCTION("VLOOKUP(A117,IMPORTRANGE(""1QZ5UxyNCwadreQAXnQ7oCoH982DjIA-QnZdO7ZoqkC0/edit#gid=884617569"",""S2 Totals!$A$2:$O$255""),13,FALSE)"),"")</f>
        <v/>
      </c>
      <c r="Q117" s="15" t="str">
        <f>IFERROR(__xludf.DUMMYFUNCTION("VLOOKUP(A117,IMPORTRANGE(""1QZ5UxyNCwadreQAXnQ7oCoH982DjIA-QnZdO7ZoqkC0/edit#gid=884617569"",""S2 Totals!$A$2:$O$255""),14,FALSE)"),"")</f>
        <v/>
      </c>
      <c r="R117" s="129">
        <f t="shared" si="5"/>
        <v>0.6363636364</v>
      </c>
    </row>
    <row r="118">
      <c r="A118" s="128" t="s">
        <v>61</v>
      </c>
      <c r="B118" s="16">
        <f>IFERROR(__xludf.DUMMYFUNCTION("VLOOKUP(A118,IMPORTRANGE(""1aFCnJY1qhIj8-JckJhDJ18aqmVo17tofpQmOjcYa3u8/edit#gid=1878241338"",""S2 Totals!$A$2:$O$255""),2,FALSE)"),7.0)</f>
        <v>7</v>
      </c>
      <c r="C118" s="15">
        <f>IFERROR(__xludf.DUMMYFUNCTION("VLOOKUP(A118,IMPORTRANGE(""1aFCnJY1qhIj8-JckJhDJ18aqmVo17tofpQmOjcYa3u8/edit#gid=1878241338"",""S2 Totals!$A$2:$O$255""),3,FALSE)"),0.6363636363636364)</f>
        <v>0.6363636364</v>
      </c>
      <c r="D118" s="16">
        <f>IFERROR(__xludf.DUMMYFUNCTION("VLOOKUP(A118,IMPORTRANGE(""1QZ5UxyNCwadreQAXnQ7oCoH982DjIA-QnZdO7ZoqkC0/edit#gid=884617569"",""S2 Totals!$A$2:$O$255""),2,FALSE)"),8.0)</f>
        <v>8</v>
      </c>
      <c r="E118" s="15">
        <f>IFERROR(__xludf.DUMMYFUNCTION("VLOOKUP(A118,IMPORTRANGE(""1QZ5UxyNCwadreQAXnQ7oCoH982DjIA-QnZdO7ZoqkC0/edit#gid=884617569"",""S2 Totals!$A$2:$O$255""),3,FALSE)"),0.6153846153846154)</f>
        <v>0.6153846154</v>
      </c>
      <c r="F118" s="15">
        <f t="shared" si="1"/>
        <v>0.02097902098</v>
      </c>
      <c r="G118" s="16">
        <f>IFERROR(__xludf.DUMMYFUNCTION("VLOOKUP(A118,IMPORTRANGE(""1QZ5UxyNCwadreQAXnQ7oCoH982DjIA-QnZdO7ZoqkC0/edit#gid=884617569"",""S2 Totals!$A$2:$O$255""),4,FALSE)"),6.0)</f>
        <v>6</v>
      </c>
      <c r="H118" s="15">
        <f>IFERROR(__xludf.DUMMYFUNCTION("VLOOKUP(A118,IMPORTRANGE(""1QZ5UxyNCwadreQAXnQ7oCoH982DjIA-QnZdO7ZoqkC0/edit#gid=884617569"",""S2 Totals!$A$2:$O$255""),5,FALSE)"),0.5)</f>
        <v>0.5</v>
      </c>
      <c r="I118" s="15">
        <f t="shared" si="2"/>
        <v>0.1363636364</v>
      </c>
      <c r="J118" s="16">
        <f>IFERROR(__xludf.DUMMYFUNCTION("VLOOKUP(A118,IMPORTRANGE(""1QZ5UxyNCwadreQAXnQ7oCoH982DjIA-QnZdO7ZoqkC0/edit#gid=884617569"",""S2 Totals!$A$2:$O$255""),7,FALSE)"),8.0)</f>
        <v>8</v>
      </c>
      <c r="K118" s="15">
        <f>IFERROR(__xludf.DUMMYFUNCTION("VLOOKUP(A118,IMPORTRANGE(""1QZ5UxyNCwadreQAXnQ7oCoH982DjIA-QnZdO7ZoqkC0/edit#gid=884617569"",""S2 Totals!$A$2:$O$255""),8,FALSE)"),0.6666666666666666)</f>
        <v>0.6666666667</v>
      </c>
      <c r="L118" s="110">
        <f t="shared" si="3"/>
        <v>-0.0303030303</v>
      </c>
      <c r="M118" s="16">
        <f>IFERROR(__xludf.DUMMYFUNCTION("VLOOKUP(A118,IMPORTRANGE(""1QZ5UxyNCwadreQAXnQ7oCoH982DjIA-QnZdO7ZoqkC0/edit#gid=884617569"",""S2 Totals!$A$2:$O$255""),10,FALSE)"),6.0)</f>
        <v>6</v>
      </c>
      <c r="N118" s="15">
        <f>IFERROR(__xludf.DUMMYFUNCTION("VLOOKUP(A118,IMPORTRANGE(""1QZ5UxyNCwadreQAXnQ7oCoH982DjIA-QnZdO7ZoqkC0/edit#gid=884617569"",""S2 Totals!$A$2:$O$255""),11,FALSE)"),0.46153846153846156)</f>
        <v>0.4615384615</v>
      </c>
      <c r="O118" s="110">
        <f t="shared" si="4"/>
        <v>0.1748251748</v>
      </c>
      <c r="P118" s="16">
        <f>IFERROR(__xludf.DUMMYFUNCTION("VLOOKUP(A118,IMPORTRANGE(""1QZ5UxyNCwadreQAXnQ7oCoH982DjIA-QnZdO7ZoqkC0/edit#gid=884617569"",""S2 Totals!$A$2:$O$255""),13,FALSE)"),7.0)</f>
        <v>7</v>
      </c>
      <c r="Q118" s="15">
        <f>IFERROR(__xludf.DUMMYFUNCTION("VLOOKUP(A118,IMPORTRANGE(""1QZ5UxyNCwadreQAXnQ7oCoH982DjIA-QnZdO7ZoqkC0/edit#gid=884617569"",""S2 Totals!$A$2:$O$255""),14,FALSE)"),0.5833333333333334)</f>
        <v>0.5833333333</v>
      </c>
      <c r="R118" s="129">
        <f t="shared" si="5"/>
        <v>0.05303030303</v>
      </c>
    </row>
    <row r="119">
      <c r="A119" s="128" t="s">
        <v>300</v>
      </c>
      <c r="B119" s="16">
        <f>IFERROR(__xludf.DUMMYFUNCTION("VLOOKUP(A119,IMPORTRANGE(""1aFCnJY1qhIj8-JckJhDJ18aqmVo17tofpQmOjcYa3u8/edit#gid=1878241338"",""S2 Totals!$A$2:$O$255""),2,FALSE)"),0.0)</f>
        <v>0</v>
      </c>
      <c r="C119" s="15">
        <f>IFERROR(__xludf.DUMMYFUNCTION("VLOOKUP(A119,IMPORTRANGE(""1aFCnJY1qhIj8-JckJhDJ18aqmVo17tofpQmOjcYa3u8/edit#gid=1878241338"",""S2 Totals!$A$2:$O$255""),3,FALSE)"),0.0)</f>
        <v>0</v>
      </c>
      <c r="D119" s="16">
        <f>IFERROR(__xludf.DUMMYFUNCTION("VLOOKUP(A119,IMPORTRANGE(""1QZ5UxyNCwadreQAXnQ7oCoH982DjIA-QnZdO7ZoqkC0/edit#gid=884617569"",""S2 Totals!$A$2:$O$255""),2,FALSE)"),0.0)</f>
        <v>0</v>
      </c>
      <c r="E119" s="15">
        <f>IFERROR(__xludf.DUMMYFUNCTION("VLOOKUP(A119,IMPORTRANGE(""1QZ5UxyNCwadreQAXnQ7oCoH982DjIA-QnZdO7ZoqkC0/edit#gid=884617569"",""S2 Totals!$A$2:$O$255""),3,FALSE)"),0.0)</f>
        <v>0</v>
      </c>
      <c r="F119" s="15">
        <f t="shared" si="1"/>
        <v>0</v>
      </c>
      <c r="G119" s="16">
        <f>IFERROR(__xludf.DUMMYFUNCTION("VLOOKUP(A119,IMPORTRANGE(""1QZ5UxyNCwadreQAXnQ7oCoH982DjIA-QnZdO7ZoqkC0/edit#gid=884617569"",""S2 Totals!$A$2:$O$255""),4,FALSE)"),0.0)</f>
        <v>0</v>
      </c>
      <c r="H119" s="15">
        <f>IFERROR(__xludf.DUMMYFUNCTION("VLOOKUP(A119,IMPORTRANGE(""1QZ5UxyNCwadreQAXnQ7oCoH982DjIA-QnZdO7ZoqkC0/edit#gid=884617569"",""S2 Totals!$A$2:$O$255""),5,FALSE)"),0.0)</f>
        <v>0</v>
      </c>
      <c r="I119" s="15">
        <f t="shared" si="2"/>
        <v>0</v>
      </c>
      <c r="J119" s="16" t="str">
        <f>IFERROR(__xludf.DUMMYFUNCTION("VLOOKUP(A119,IMPORTRANGE(""1QZ5UxyNCwadreQAXnQ7oCoH982DjIA-QnZdO7ZoqkC0/edit#gid=884617569"",""S2 Totals!$A$2:$O$255""),7,FALSE)"),"")</f>
        <v/>
      </c>
      <c r="K119" s="15" t="str">
        <f>IFERROR(__xludf.DUMMYFUNCTION("VLOOKUP(A119,IMPORTRANGE(""1QZ5UxyNCwadreQAXnQ7oCoH982DjIA-QnZdO7ZoqkC0/edit#gid=884617569"",""S2 Totals!$A$2:$O$255""),8,FALSE)"),"")</f>
        <v/>
      </c>
      <c r="L119" s="110">
        <f t="shared" si="3"/>
        <v>0</v>
      </c>
      <c r="M119" s="16" t="str">
        <f>IFERROR(__xludf.DUMMYFUNCTION("VLOOKUP(A119,IMPORTRANGE(""1QZ5UxyNCwadreQAXnQ7oCoH982DjIA-QnZdO7ZoqkC0/edit#gid=884617569"",""S2 Totals!$A$2:$O$255""),10,FALSE)"),"")</f>
        <v/>
      </c>
      <c r="N119" s="15" t="str">
        <f>IFERROR(__xludf.DUMMYFUNCTION("VLOOKUP(A119,IMPORTRANGE(""1QZ5UxyNCwadreQAXnQ7oCoH982DjIA-QnZdO7ZoqkC0/edit#gid=884617569"",""S2 Totals!$A$2:$O$255""),11,FALSE)"),"")</f>
        <v/>
      </c>
      <c r="O119" s="110">
        <f t="shared" si="4"/>
        <v>0</v>
      </c>
      <c r="P119" s="16" t="str">
        <f>IFERROR(__xludf.DUMMYFUNCTION("VLOOKUP(A119,IMPORTRANGE(""1QZ5UxyNCwadreQAXnQ7oCoH982DjIA-QnZdO7ZoqkC0/edit#gid=884617569"",""S2 Totals!$A$2:$O$255""),13,FALSE)"),"")</f>
        <v/>
      </c>
      <c r="Q119" s="15" t="str">
        <f>IFERROR(__xludf.DUMMYFUNCTION("VLOOKUP(A119,IMPORTRANGE(""1QZ5UxyNCwadreQAXnQ7oCoH982DjIA-QnZdO7ZoqkC0/edit#gid=884617569"",""S2 Totals!$A$2:$O$255""),14,FALSE)"),"")</f>
        <v/>
      </c>
      <c r="R119" s="129">
        <f t="shared" si="5"/>
        <v>0</v>
      </c>
    </row>
    <row r="120">
      <c r="A120" s="132" t="s">
        <v>180</v>
      </c>
      <c r="B120" s="16">
        <f>IFERROR(__xludf.DUMMYFUNCTION("VLOOKUP(A120,IMPORTRANGE(""1aFCnJY1qhIj8-JckJhDJ18aqmVo17tofpQmOjcYa3u8/edit#gid=1878241338"",""S2 Totals!$A$2:$O$255""),2,FALSE)"),0.0)</f>
        <v>0</v>
      </c>
      <c r="C120" s="15">
        <f>IFERROR(__xludf.DUMMYFUNCTION("VLOOKUP(A120,IMPORTRANGE(""1aFCnJY1qhIj8-JckJhDJ18aqmVo17tofpQmOjcYa3u8/edit#gid=1878241338"",""S2 Totals!$A$2:$O$255""),3,FALSE)"),0.0)</f>
        <v>0</v>
      </c>
      <c r="D120" s="16">
        <f>IFERROR(__xludf.DUMMYFUNCTION("VLOOKUP(A120,IMPORTRANGE(""1QZ5UxyNCwadreQAXnQ7oCoH982DjIA-QnZdO7ZoqkC0/edit#gid=884617569"",""S2 Totals!$A$2:$O$255""),2,FALSE)"),2.0)</f>
        <v>2</v>
      </c>
      <c r="E120" s="15">
        <f>IFERROR(__xludf.DUMMYFUNCTION("VLOOKUP(A120,IMPORTRANGE(""1QZ5UxyNCwadreQAXnQ7oCoH982DjIA-QnZdO7ZoqkC0/edit#gid=884617569"",""S2 Totals!$A$2:$O$255""),3,FALSE)"),0.15384615384615385)</f>
        <v>0.1538461538</v>
      </c>
      <c r="F120" s="15">
        <f t="shared" si="1"/>
        <v>-0.1538461538</v>
      </c>
      <c r="G120" s="16">
        <f>IFERROR(__xludf.DUMMYFUNCTION("VLOOKUP(A120,IMPORTRANGE(""1QZ5UxyNCwadreQAXnQ7oCoH982DjIA-QnZdO7ZoqkC0/edit#gid=884617569"",""S2 Totals!$A$2:$O$255""),4,FALSE)"),2.0)</f>
        <v>2</v>
      </c>
      <c r="H120" s="15">
        <f>IFERROR(__xludf.DUMMYFUNCTION("VLOOKUP(A120,IMPORTRANGE(""1QZ5UxyNCwadreQAXnQ7oCoH982DjIA-QnZdO7ZoqkC0/edit#gid=884617569"",""S2 Totals!$A$2:$O$255""),5,FALSE)"),0.16666666666666666)</f>
        <v>0.1666666667</v>
      </c>
      <c r="I120" s="15">
        <f t="shared" si="2"/>
        <v>-0.1666666667</v>
      </c>
      <c r="J120" s="16">
        <f>IFERROR(__xludf.DUMMYFUNCTION("VLOOKUP(A120,IMPORTRANGE(""1QZ5UxyNCwadreQAXnQ7oCoH982DjIA-QnZdO7ZoqkC0/edit#gid=884617569"",""S2 Totals!$A$2:$O$255""),7,FALSE)"),2.0)</f>
        <v>2</v>
      </c>
      <c r="K120" s="15">
        <f>IFERROR(__xludf.DUMMYFUNCTION("VLOOKUP(A120,IMPORTRANGE(""1QZ5UxyNCwadreQAXnQ7oCoH982DjIA-QnZdO7ZoqkC0/edit#gid=884617569"",""S2 Totals!$A$2:$O$255""),8,FALSE)"),0.16666666666666666)</f>
        <v>0.1666666667</v>
      </c>
      <c r="L120" s="110">
        <f t="shared" si="3"/>
        <v>-0.1666666667</v>
      </c>
      <c r="M120" s="16" t="str">
        <f>IFERROR(__xludf.DUMMYFUNCTION("VLOOKUP(A120,IMPORTRANGE(""1QZ5UxyNCwadreQAXnQ7oCoH982DjIA-QnZdO7ZoqkC0/edit#gid=884617569"",""S2 Totals!$A$2:$O$255""),10,FALSE)"),"")</f>
        <v/>
      </c>
      <c r="N120" s="15" t="str">
        <f>IFERROR(__xludf.DUMMYFUNCTION("VLOOKUP(A120,IMPORTRANGE(""1QZ5UxyNCwadreQAXnQ7oCoH982DjIA-QnZdO7ZoqkC0/edit#gid=884617569"",""S2 Totals!$A$2:$O$255""),11,FALSE)"),"")</f>
        <v/>
      </c>
      <c r="O120" s="110">
        <f t="shared" si="4"/>
        <v>0</v>
      </c>
      <c r="P120" s="16" t="str">
        <f>IFERROR(__xludf.DUMMYFUNCTION("VLOOKUP(A120,IMPORTRANGE(""1QZ5UxyNCwadreQAXnQ7oCoH982DjIA-QnZdO7ZoqkC0/edit#gid=884617569"",""S2 Totals!$A$2:$O$255""),13,FALSE)"),"")</f>
        <v/>
      </c>
      <c r="Q120" s="15" t="str">
        <f>IFERROR(__xludf.DUMMYFUNCTION("VLOOKUP(A120,IMPORTRANGE(""1QZ5UxyNCwadreQAXnQ7oCoH982DjIA-QnZdO7ZoqkC0/edit#gid=884617569"",""S2 Totals!$A$2:$O$255""),14,FALSE)"),"")</f>
        <v/>
      </c>
      <c r="R120" s="129">
        <f t="shared" si="5"/>
        <v>0</v>
      </c>
    </row>
    <row r="121">
      <c r="A121" s="128" t="s">
        <v>133</v>
      </c>
      <c r="B121" s="16">
        <f>IFERROR(__xludf.DUMMYFUNCTION("VLOOKUP(A121,IMPORTRANGE(""1aFCnJY1qhIj8-JckJhDJ18aqmVo17tofpQmOjcYa3u8/edit#gid=1878241338"",""S2 Totals!$A$2:$O$255""),2,FALSE)"),9.0)</f>
        <v>9</v>
      </c>
      <c r="C121" s="15">
        <f>IFERROR(__xludf.DUMMYFUNCTION("VLOOKUP(A121,IMPORTRANGE(""1aFCnJY1qhIj8-JckJhDJ18aqmVo17tofpQmOjcYa3u8/edit#gid=1878241338"",""S2 Totals!$A$2:$O$255""),3,FALSE)"),0.8181818181818182)</f>
        <v>0.8181818182</v>
      </c>
      <c r="D121" s="16">
        <f>IFERROR(__xludf.DUMMYFUNCTION("VLOOKUP(A121,IMPORTRANGE(""1QZ5UxyNCwadreQAXnQ7oCoH982DjIA-QnZdO7ZoqkC0/edit#gid=884617569"",""S2 Totals!$A$2:$O$255""),2,FALSE)"),4.0)</f>
        <v>4</v>
      </c>
      <c r="E121" s="15">
        <f>IFERROR(__xludf.DUMMYFUNCTION("VLOOKUP(A121,IMPORTRANGE(""1QZ5UxyNCwadreQAXnQ7oCoH982DjIA-QnZdO7ZoqkC0/edit#gid=884617569"",""S2 Totals!$A$2:$O$255""),3,FALSE)"),0.3076923076923077)</f>
        <v>0.3076923077</v>
      </c>
      <c r="F121" s="15">
        <f t="shared" si="1"/>
        <v>0.5104895105</v>
      </c>
      <c r="G121" s="16">
        <f>IFERROR(__xludf.DUMMYFUNCTION("VLOOKUP(A121,IMPORTRANGE(""1QZ5UxyNCwadreQAXnQ7oCoH982DjIA-QnZdO7ZoqkC0/edit#gid=884617569"",""S2 Totals!$A$2:$O$255""),4,FALSE)"),2.0)</f>
        <v>2</v>
      </c>
      <c r="H121" s="15">
        <f>IFERROR(__xludf.DUMMYFUNCTION("VLOOKUP(A121,IMPORTRANGE(""1QZ5UxyNCwadreQAXnQ7oCoH982DjIA-QnZdO7ZoqkC0/edit#gid=884617569"",""S2 Totals!$A$2:$O$255""),5,FALSE)"),0.16666666666666666)</f>
        <v>0.1666666667</v>
      </c>
      <c r="I121" s="15">
        <f t="shared" si="2"/>
        <v>0.6515151515</v>
      </c>
      <c r="J121" s="16">
        <f>IFERROR(__xludf.DUMMYFUNCTION("VLOOKUP(A121,IMPORTRANGE(""1QZ5UxyNCwadreQAXnQ7oCoH982DjIA-QnZdO7ZoqkC0/edit#gid=884617569"",""S2 Totals!$A$2:$O$255""),7,FALSE)"),4.0)</f>
        <v>4</v>
      </c>
      <c r="K121" s="15">
        <f>IFERROR(__xludf.DUMMYFUNCTION("VLOOKUP(A121,IMPORTRANGE(""1QZ5UxyNCwadreQAXnQ7oCoH982DjIA-QnZdO7ZoqkC0/edit#gid=884617569"",""S2 Totals!$A$2:$O$255""),8,FALSE)"),0.3333333333333333)</f>
        <v>0.3333333333</v>
      </c>
      <c r="L121" s="110">
        <f t="shared" si="3"/>
        <v>0.4848484848</v>
      </c>
      <c r="M121" s="16">
        <f>IFERROR(__xludf.DUMMYFUNCTION("VLOOKUP(A121,IMPORTRANGE(""1QZ5UxyNCwadreQAXnQ7oCoH982DjIA-QnZdO7ZoqkC0/edit#gid=884617569"",""S2 Totals!$A$2:$O$255""),10,FALSE)"),0.0)</f>
        <v>0</v>
      </c>
      <c r="N121" s="15">
        <f>IFERROR(__xludf.DUMMYFUNCTION("VLOOKUP(A121,IMPORTRANGE(""1QZ5UxyNCwadreQAXnQ7oCoH982DjIA-QnZdO7ZoqkC0/edit#gid=884617569"",""S2 Totals!$A$2:$O$255""),11,FALSE)"),0.0)</f>
        <v>0</v>
      </c>
      <c r="O121" s="110">
        <f t="shared" si="4"/>
        <v>0.8181818182</v>
      </c>
      <c r="P121" s="16" t="str">
        <f>IFERROR(__xludf.DUMMYFUNCTION("VLOOKUP(A121,IMPORTRANGE(""1QZ5UxyNCwadreQAXnQ7oCoH982DjIA-QnZdO7ZoqkC0/edit#gid=884617569"",""S2 Totals!$A$2:$O$255""),13,FALSE)"),"")</f>
        <v/>
      </c>
      <c r="Q121" s="15" t="str">
        <f>IFERROR(__xludf.DUMMYFUNCTION("VLOOKUP(A121,IMPORTRANGE(""1QZ5UxyNCwadreQAXnQ7oCoH982DjIA-QnZdO7ZoqkC0/edit#gid=884617569"",""S2 Totals!$A$2:$O$255""),14,FALSE)"),"")</f>
        <v/>
      </c>
      <c r="R121" s="129">
        <f t="shared" si="5"/>
        <v>0.8181818182</v>
      </c>
    </row>
    <row r="122">
      <c r="A122" s="128" t="s">
        <v>238</v>
      </c>
      <c r="B122" s="16">
        <f>IFERROR(__xludf.DUMMYFUNCTION("VLOOKUP(A122,IMPORTRANGE(""1aFCnJY1qhIj8-JckJhDJ18aqmVo17tofpQmOjcYa3u8/edit#gid=1878241338"",""S2 Totals!$A$2:$O$255""),2,FALSE)"),3.0)</f>
        <v>3</v>
      </c>
      <c r="C122" s="15">
        <f>IFERROR(__xludf.DUMMYFUNCTION("VLOOKUP(A122,IMPORTRANGE(""1aFCnJY1qhIj8-JckJhDJ18aqmVo17tofpQmOjcYa3u8/edit#gid=1878241338"",""S2 Totals!$A$2:$O$255""),3,FALSE)"),0.2727272727272727)</f>
        <v>0.2727272727</v>
      </c>
      <c r="D122" s="16">
        <f>IFERROR(__xludf.DUMMYFUNCTION("VLOOKUP(A122,IMPORTRANGE(""1QZ5UxyNCwadreQAXnQ7oCoH982DjIA-QnZdO7ZoqkC0/edit#gid=884617569"",""S2 Totals!$A$2:$O$255""),2,FALSE)"),2.0)</f>
        <v>2</v>
      </c>
      <c r="E122" s="15">
        <f>IFERROR(__xludf.DUMMYFUNCTION("VLOOKUP(A122,IMPORTRANGE(""1QZ5UxyNCwadreQAXnQ7oCoH982DjIA-QnZdO7ZoqkC0/edit#gid=884617569"",""S2 Totals!$A$2:$O$255""),3,FALSE)"),0.15384615384615385)</f>
        <v>0.1538461538</v>
      </c>
      <c r="F122" s="15">
        <f t="shared" si="1"/>
        <v>0.1188811189</v>
      </c>
      <c r="G122" s="16">
        <f>IFERROR(__xludf.DUMMYFUNCTION("VLOOKUP(A122,IMPORTRANGE(""1QZ5UxyNCwadreQAXnQ7oCoH982DjIA-QnZdO7ZoqkC0/edit#gid=884617569"",""S2 Totals!$A$2:$O$255""),4,FALSE)"),4.0)</f>
        <v>4</v>
      </c>
      <c r="H122" s="15">
        <f>IFERROR(__xludf.DUMMYFUNCTION("VLOOKUP(A122,IMPORTRANGE(""1QZ5UxyNCwadreQAXnQ7oCoH982DjIA-QnZdO7ZoqkC0/edit#gid=884617569"",""S2 Totals!$A$2:$O$255""),5,FALSE)"),0.3333333333333333)</f>
        <v>0.3333333333</v>
      </c>
      <c r="I122" s="15">
        <f t="shared" si="2"/>
        <v>-0.06060606061</v>
      </c>
      <c r="J122" s="16" t="str">
        <f>IFERROR(__xludf.DUMMYFUNCTION("VLOOKUP(A122,IMPORTRANGE(""1QZ5UxyNCwadreQAXnQ7oCoH982DjIA-QnZdO7ZoqkC0/edit#gid=884617569"",""S2 Totals!$A$2:$O$255""),7,FALSE)"),"")</f>
        <v/>
      </c>
      <c r="K122" s="15" t="str">
        <f>IFERROR(__xludf.DUMMYFUNCTION("VLOOKUP(A122,IMPORTRANGE(""1QZ5UxyNCwadreQAXnQ7oCoH982DjIA-QnZdO7ZoqkC0/edit#gid=884617569"",""S2 Totals!$A$2:$O$255""),8,FALSE)"),"")</f>
        <v/>
      </c>
      <c r="L122" s="110">
        <f t="shared" si="3"/>
        <v>0.2727272727</v>
      </c>
      <c r="M122" s="16" t="str">
        <f>IFERROR(__xludf.DUMMYFUNCTION("VLOOKUP(A122,IMPORTRANGE(""1QZ5UxyNCwadreQAXnQ7oCoH982DjIA-QnZdO7ZoqkC0/edit#gid=884617569"",""S2 Totals!$A$2:$O$255""),10,FALSE)"),"")</f>
        <v/>
      </c>
      <c r="N122" s="15" t="str">
        <f>IFERROR(__xludf.DUMMYFUNCTION("VLOOKUP(A122,IMPORTRANGE(""1QZ5UxyNCwadreQAXnQ7oCoH982DjIA-QnZdO7ZoqkC0/edit#gid=884617569"",""S2 Totals!$A$2:$O$255""),11,FALSE)"),"")</f>
        <v/>
      </c>
      <c r="O122" s="110">
        <f t="shared" si="4"/>
        <v>0.2727272727</v>
      </c>
      <c r="P122" s="16" t="str">
        <f>IFERROR(__xludf.DUMMYFUNCTION("VLOOKUP(A122,IMPORTRANGE(""1QZ5UxyNCwadreQAXnQ7oCoH982DjIA-QnZdO7ZoqkC0/edit#gid=884617569"",""S2 Totals!$A$2:$O$255""),13,FALSE)"),"")</f>
        <v/>
      </c>
      <c r="Q122" s="15" t="str">
        <f>IFERROR(__xludf.DUMMYFUNCTION("VLOOKUP(A122,IMPORTRANGE(""1QZ5UxyNCwadreQAXnQ7oCoH982DjIA-QnZdO7ZoqkC0/edit#gid=884617569"",""S2 Totals!$A$2:$O$255""),14,FALSE)"),"")</f>
        <v/>
      </c>
      <c r="R122" s="129">
        <f t="shared" si="5"/>
        <v>0.2727272727</v>
      </c>
    </row>
    <row r="123">
      <c r="A123" s="128" t="s">
        <v>239</v>
      </c>
      <c r="B123" s="16">
        <f>IFERROR(__xludf.DUMMYFUNCTION("VLOOKUP(A123,IMPORTRANGE(""1aFCnJY1qhIj8-JckJhDJ18aqmVo17tofpQmOjcYa3u8/edit#gid=1878241338"",""S2 Totals!$A$2:$O$255""),2,FALSE)"),1.0)</f>
        <v>1</v>
      </c>
      <c r="C123" s="15">
        <f>IFERROR(__xludf.DUMMYFUNCTION("VLOOKUP(A123,IMPORTRANGE(""1aFCnJY1qhIj8-JckJhDJ18aqmVo17tofpQmOjcYa3u8/edit#gid=1878241338"",""S2 Totals!$A$2:$O$255""),3,FALSE)"),0.09090909090909091)</f>
        <v>0.09090909091</v>
      </c>
      <c r="D123" s="16">
        <f>IFERROR(__xludf.DUMMYFUNCTION("VLOOKUP(A123,IMPORTRANGE(""1QZ5UxyNCwadreQAXnQ7oCoH982DjIA-QnZdO7ZoqkC0/edit#gid=884617569"",""S2 Totals!$A$2:$O$255""),2,FALSE)"),2.0)</f>
        <v>2</v>
      </c>
      <c r="E123" s="15">
        <f>IFERROR(__xludf.DUMMYFUNCTION("VLOOKUP(A123,IMPORTRANGE(""1QZ5UxyNCwadreQAXnQ7oCoH982DjIA-QnZdO7ZoqkC0/edit#gid=884617569"",""S2 Totals!$A$2:$O$255""),3,FALSE)"),0.15384615384615385)</f>
        <v>0.1538461538</v>
      </c>
      <c r="F123" s="15">
        <f t="shared" si="1"/>
        <v>-0.06293706294</v>
      </c>
      <c r="G123" s="16">
        <f>IFERROR(__xludf.DUMMYFUNCTION("VLOOKUP(A123,IMPORTRANGE(""1QZ5UxyNCwadreQAXnQ7oCoH982DjIA-QnZdO7ZoqkC0/edit#gid=884617569"",""S2 Totals!$A$2:$O$255""),4,FALSE)"),2.0)</f>
        <v>2</v>
      </c>
      <c r="H123" s="15">
        <f>IFERROR(__xludf.DUMMYFUNCTION("VLOOKUP(A123,IMPORTRANGE(""1QZ5UxyNCwadreQAXnQ7oCoH982DjIA-QnZdO7ZoqkC0/edit#gid=884617569"",""S2 Totals!$A$2:$O$255""),5,FALSE)"),0.16666666666666666)</f>
        <v>0.1666666667</v>
      </c>
      <c r="I123" s="15">
        <f t="shared" si="2"/>
        <v>-0.07575757576</v>
      </c>
      <c r="J123" s="16" t="str">
        <f>IFERROR(__xludf.DUMMYFUNCTION("VLOOKUP(A123,IMPORTRANGE(""1QZ5UxyNCwadreQAXnQ7oCoH982DjIA-QnZdO7ZoqkC0/edit#gid=884617569"",""S2 Totals!$A$2:$O$255""),7,FALSE)"),"")</f>
        <v/>
      </c>
      <c r="K123" s="15" t="str">
        <f>IFERROR(__xludf.DUMMYFUNCTION("VLOOKUP(A123,IMPORTRANGE(""1QZ5UxyNCwadreQAXnQ7oCoH982DjIA-QnZdO7ZoqkC0/edit#gid=884617569"",""S2 Totals!$A$2:$O$255""),8,FALSE)"),"")</f>
        <v/>
      </c>
      <c r="L123" s="110">
        <f t="shared" si="3"/>
        <v>0.09090909091</v>
      </c>
      <c r="M123" s="16" t="str">
        <f>IFERROR(__xludf.DUMMYFUNCTION("VLOOKUP(A123,IMPORTRANGE(""1QZ5UxyNCwadreQAXnQ7oCoH982DjIA-QnZdO7ZoqkC0/edit#gid=884617569"",""S2 Totals!$A$2:$O$255""),10,FALSE)"),"")</f>
        <v/>
      </c>
      <c r="N123" s="15" t="str">
        <f>IFERROR(__xludf.DUMMYFUNCTION("VLOOKUP(A123,IMPORTRANGE(""1QZ5UxyNCwadreQAXnQ7oCoH982DjIA-QnZdO7ZoqkC0/edit#gid=884617569"",""S2 Totals!$A$2:$O$255""),11,FALSE)"),"")</f>
        <v/>
      </c>
      <c r="O123" s="110">
        <f t="shared" si="4"/>
        <v>0.09090909091</v>
      </c>
      <c r="P123" s="16" t="str">
        <f>IFERROR(__xludf.DUMMYFUNCTION("VLOOKUP(A123,IMPORTRANGE(""1QZ5UxyNCwadreQAXnQ7oCoH982DjIA-QnZdO7ZoqkC0/edit#gid=884617569"",""S2 Totals!$A$2:$O$255""),13,FALSE)"),"")</f>
        <v/>
      </c>
      <c r="Q123" s="15" t="str">
        <f>IFERROR(__xludf.DUMMYFUNCTION("VLOOKUP(A123,IMPORTRANGE(""1QZ5UxyNCwadreQAXnQ7oCoH982DjIA-QnZdO7ZoqkC0/edit#gid=884617569"",""S2 Totals!$A$2:$O$255""),14,FALSE)"),"")</f>
        <v/>
      </c>
      <c r="R123" s="129">
        <f t="shared" si="5"/>
        <v>0.09090909091</v>
      </c>
    </row>
    <row r="124">
      <c r="A124" s="128" t="s">
        <v>267</v>
      </c>
      <c r="B124" s="16">
        <f>IFERROR(__xludf.DUMMYFUNCTION("VLOOKUP(A124,IMPORTRANGE(""1aFCnJY1qhIj8-JckJhDJ18aqmVo17tofpQmOjcYa3u8/edit#gid=1878241338"",""S2 Totals!$A$2:$O$255""),2,FALSE)"),5.0)</f>
        <v>5</v>
      </c>
      <c r="C124" s="15">
        <f>IFERROR(__xludf.DUMMYFUNCTION("VLOOKUP(A124,IMPORTRANGE(""1aFCnJY1qhIj8-JckJhDJ18aqmVo17tofpQmOjcYa3u8/edit#gid=1878241338"",""S2 Totals!$A$2:$O$255""),3,FALSE)"),0.45454545454545453)</f>
        <v>0.4545454545</v>
      </c>
      <c r="D124" s="16" t="str">
        <f>IFERROR(__xludf.DUMMYFUNCTION("VLOOKUP(A124,IMPORTRANGE(""1QZ5UxyNCwadreQAXnQ7oCoH982DjIA-QnZdO7ZoqkC0/edit#gid=884617569"",""S2 Totals!$A$2:$O$255""),2,FALSE)"),"#N/A")</f>
        <v>#N/A</v>
      </c>
      <c r="E124" s="15" t="str">
        <f>IFERROR(__xludf.DUMMYFUNCTION("VLOOKUP(A124,IMPORTRANGE(""1QZ5UxyNCwadreQAXnQ7oCoH982DjIA-QnZdO7ZoqkC0/edit#gid=884617569"",""S2 Totals!$A$2:$O$255""),3,FALSE)"),"#N/A")</f>
        <v>#N/A</v>
      </c>
      <c r="F124" s="16" t="str">
        <f t="shared" si="1"/>
        <v>#N/A</v>
      </c>
      <c r="G124" s="16" t="str">
        <f>IFERROR(__xludf.DUMMYFUNCTION("VLOOKUP(A124,IMPORTRANGE(""1QZ5UxyNCwadreQAXnQ7oCoH982DjIA-QnZdO7ZoqkC0/edit#gid=884617569"",""S2 Totals!$A$2:$O$255""),4,FALSE)"),"#N/A")</f>
        <v>#N/A</v>
      </c>
      <c r="H124" s="15" t="str">
        <f>IFERROR(__xludf.DUMMYFUNCTION("VLOOKUP(A124,IMPORTRANGE(""1QZ5UxyNCwadreQAXnQ7oCoH982DjIA-QnZdO7ZoqkC0/edit#gid=884617569"",""S2 Totals!$A$2:$O$255""),5,FALSE)"),"#N/A")</f>
        <v>#N/A</v>
      </c>
      <c r="I124" s="16" t="str">
        <f t="shared" si="2"/>
        <v>#N/A</v>
      </c>
      <c r="J124" s="16" t="str">
        <f>IFERROR(__xludf.DUMMYFUNCTION("VLOOKUP(A124,IMPORTRANGE(""1QZ5UxyNCwadreQAXnQ7oCoH982DjIA-QnZdO7ZoqkC0/edit#gid=884617569"",""S2 Totals!$A$2:$O$255""),7,FALSE)"),"#N/A")</f>
        <v>#N/A</v>
      </c>
      <c r="K124" s="15" t="str">
        <f>IFERROR(__xludf.DUMMYFUNCTION("VLOOKUP(A124,IMPORTRANGE(""1QZ5UxyNCwadreQAXnQ7oCoH982DjIA-QnZdO7ZoqkC0/edit#gid=884617569"",""S2 Totals!$A$2:$O$255""),8,FALSE)"),"#N/A")</f>
        <v>#N/A</v>
      </c>
      <c r="L124" s="110" t="str">
        <f t="shared" si="3"/>
        <v>#N/A</v>
      </c>
      <c r="M124" s="16" t="str">
        <f>IFERROR(__xludf.DUMMYFUNCTION("VLOOKUP(A124,IMPORTRANGE(""1QZ5UxyNCwadreQAXnQ7oCoH982DjIA-QnZdO7ZoqkC0/edit#gid=884617569"",""S2 Totals!$A$2:$O$255""),10,FALSE)"),"#N/A")</f>
        <v>#N/A</v>
      </c>
      <c r="N124" s="15" t="str">
        <f>IFERROR(__xludf.DUMMYFUNCTION("VLOOKUP(A124,IMPORTRANGE(""1QZ5UxyNCwadreQAXnQ7oCoH982DjIA-QnZdO7ZoqkC0/edit#gid=884617569"",""S2 Totals!$A$2:$O$255""),11,FALSE)"),"#N/A")</f>
        <v>#N/A</v>
      </c>
      <c r="O124" s="110" t="str">
        <f t="shared" si="4"/>
        <v>#N/A</v>
      </c>
      <c r="P124" s="16" t="str">
        <f>IFERROR(__xludf.DUMMYFUNCTION("VLOOKUP(A124,IMPORTRANGE(""1QZ5UxyNCwadreQAXnQ7oCoH982DjIA-QnZdO7ZoqkC0/edit#gid=884617569"",""S2 Totals!$A$2:$O$255""),13,FALSE)"),"#N/A")</f>
        <v>#N/A</v>
      </c>
      <c r="Q124" s="15" t="str">
        <f>IFERROR(__xludf.DUMMYFUNCTION("VLOOKUP(A124,IMPORTRANGE(""1QZ5UxyNCwadreQAXnQ7oCoH982DjIA-QnZdO7ZoqkC0/edit#gid=884617569"",""S2 Totals!$A$2:$O$255""),14,FALSE)"),"#N/A")</f>
        <v>#N/A</v>
      </c>
      <c r="R124" s="129" t="str">
        <f t="shared" si="5"/>
        <v>#N/A</v>
      </c>
    </row>
    <row r="125">
      <c r="A125" s="128" t="s">
        <v>134</v>
      </c>
      <c r="B125" s="16">
        <f>IFERROR(__xludf.DUMMYFUNCTION("VLOOKUP(A125,IMPORTRANGE(""1aFCnJY1qhIj8-JckJhDJ18aqmVo17tofpQmOjcYa3u8/edit#gid=1878241338"",""S2 Totals!$A$2:$O$255""),2,FALSE)"),3.0)</f>
        <v>3</v>
      </c>
      <c r="C125" s="15">
        <f>IFERROR(__xludf.DUMMYFUNCTION("VLOOKUP(A125,IMPORTRANGE(""1aFCnJY1qhIj8-JckJhDJ18aqmVo17tofpQmOjcYa3u8/edit#gid=1878241338"",""S2 Totals!$A$2:$O$255""),3,FALSE)"),0.2727272727272727)</f>
        <v>0.2727272727</v>
      </c>
      <c r="D125" s="16">
        <f>IFERROR(__xludf.DUMMYFUNCTION("VLOOKUP(A125,IMPORTRANGE(""1QZ5UxyNCwadreQAXnQ7oCoH982DjIA-QnZdO7ZoqkC0/edit#gid=884617569"",""S2 Totals!$A$2:$O$255""),2,FALSE)"),3.0)</f>
        <v>3</v>
      </c>
      <c r="E125" s="15">
        <f>IFERROR(__xludf.DUMMYFUNCTION("VLOOKUP(A125,IMPORTRANGE(""1QZ5UxyNCwadreQAXnQ7oCoH982DjIA-QnZdO7ZoqkC0/edit#gid=884617569"",""S2 Totals!$A$2:$O$255""),3,FALSE)"),0.23076923076923078)</f>
        <v>0.2307692308</v>
      </c>
      <c r="F125" s="15">
        <f t="shared" si="1"/>
        <v>0.04195804196</v>
      </c>
      <c r="G125" s="16">
        <f>IFERROR(__xludf.DUMMYFUNCTION("VLOOKUP(A125,IMPORTRANGE(""1QZ5UxyNCwadreQAXnQ7oCoH982DjIA-QnZdO7ZoqkC0/edit#gid=884617569"",""S2 Totals!$A$2:$O$255""),4,FALSE)"),6.0)</f>
        <v>6</v>
      </c>
      <c r="H125" s="15">
        <f>IFERROR(__xludf.DUMMYFUNCTION("VLOOKUP(A125,IMPORTRANGE(""1QZ5UxyNCwadreQAXnQ7oCoH982DjIA-QnZdO7ZoqkC0/edit#gid=884617569"",""S2 Totals!$A$2:$O$255""),5,FALSE)"),0.5)</f>
        <v>0.5</v>
      </c>
      <c r="I125" s="15">
        <f t="shared" si="2"/>
        <v>-0.2272727273</v>
      </c>
      <c r="J125" s="16">
        <f>IFERROR(__xludf.DUMMYFUNCTION("VLOOKUP(A125,IMPORTRANGE(""1QZ5UxyNCwadreQAXnQ7oCoH982DjIA-QnZdO7ZoqkC0/edit#gid=884617569"",""S2 Totals!$A$2:$O$255""),7,FALSE)"),2.0)</f>
        <v>2</v>
      </c>
      <c r="K125" s="15">
        <f>IFERROR(__xludf.DUMMYFUNCTION("VLOOKUP(A125,IMPORTRANGE(""1QZ5UxyNCwadreQAXnQ7oCoH982DjIA-QnZdO7ZoqkC0/edit#gid=884617569"",""S2 Totals!$A$2:$O$255""),8,FALSE)"),0.16666666666666666)</f>
        <v>0.1666666667</v>
      </c>
      <c r="L125" s="110">
        <f t="shared" si="3"/>
        <v>0.1060606061</v>
      </c>
      <c r="M125" s="16">
        <f>IFERROR(__xludf.DUMMYFUNCTION("VLOOKUP(A125,IMPORTRANGE(""1QZ5UxyNCwadreQAXnQ7oCoH982DjIA-QnZdO7ZoqkC0/edit#gid=884617569"",""S2 Totals!$A$2:$O$255""),10,FALSE)"),6.0)</f>
        <v>6</v>
      </c>
      <c r="N125" s="15">
        <f>IFERROR(__xludf.DUMMYFUNCTION("VLOOKUP(A125,IMPORTRANGE(""1QZ5UxyNCwadreQAXnQ7oCoH982DjIA-QnZdO7ZoqkC0/edit#gid=884617569"",""S2 Totals!$A$2:$O$255""),11,FALSE)"),0.46153846153846156)</f>
        <v>0.4615384615</v>
      </c>
      <c r="O125" s="110">
        <f t="shared" si="4"/>
        <v>-0.1888111888</v>
      </c>
      <c r="P125" s="16" t="str">
        <f>IFERROR(__xludf.DUMMYFUNCTION("VLOOKUP(A125,IMPORTRANGE(""1QZ5UxyNCwadreQAXnQ7oCoH982DjIA-QnZdO7ZoqkC0/edit#gid=884617569"",""S2 Totals!$A$2:$O$255""),13,FALSE)"),"")</f>
        <v/>
      </c>
      <c r="Q125" s="15" t="str">
        <f>IFERROR(__xludf.DUMMYFUNCTION("VLOOKUP(A125,IMPORTRANGE(""1QZ5UxyNCwadreQAXnQ7oCoH982DjIA-QnZdO7ZoqkC0/edit#gid=884617569"",""S2 Totals!$A$2:$O$255""),14,FALSE)"),"")</f>
        <v/>
      </c>
      <c r="R125" s="129">
        <f t="shared" si="5"/>
        <v>0.2727272727</v>
      </c>
    </row>
    <row r="126">
      <c r="A126" s="128" t="s">
        <v>240</v>
      </c>
      <c r="B126" s="16">
        <f>IFERROR(__xludf.DUMMYFUNCTION("VLOOKUP(A126,IMPORTRANGE(""1aFCnJY1qhIj8-JckJhDJ18aqmVo17tofpQmOjcYa3u8/edit#gid=1878241338"",""S2 Totals!$A$2:$O$255""),2,FALSE)"),3.0)</f>
        <v>3</v>
      </c>
      <c r="C126" s="15">
        <f>IFERROR(__xludf.DUMMYFUNCTION("VLOOKUP(A126,IMPORTRANGE(""1aFCnJY1qhIj8-JckJhDJ18aqmVo17tofpQmOjcYa3u8/edit#gid=1878241338"",""S2 Totals!$A$2:$O$255""),3,FALSE)"),0.2727272727272727)</f>
        <v>0.2727272727</v>
      </c>
      <c r="D126" s="16">
        <f>IFERROR(__xludf.DUMMYFUNCTION("VLOOKUP(A126,IMPORTRANGE(""1QZ5UxyNCwadreQAXnQ7oCoH982DjIA-QnZdO7ZoqkC0/edit#gid=884617569"",""S2 Totals!$A$2:$O$255""),2,FALSE)"),4.0)</f>
        <v>4</v>
      </c>
      <c r="E126" s="15">
        <f>IFERROR(__xludf.DUMMYFUNCTION("VLOOKUP(A126,IMPORTRANGE(""1QZ5UxyNCwadreQAXnQ7oCoH982DjIA-QnZdO7ZoqkC0/edit#gid=884617569"",""S2 Totals!$A$2:$O$255""),3,FALSE)"),0.3076923076923077)</f>
        <v>0.3076923077</v>
      </c>
      <c r="F126" s="15">
        <f t="shared" si="1"/>
        <v>-0.03496503497</v>
      </c>
      <c r="G126" s="16">
        <f>IFERROR(__xludf.DUMMYFUNCTION("VLOOKUP(A126,IMPORTRANGE(""1QZ5UxyNCwadreQAXnQ7oCoH982DjIA-QnZdO7ZoqkC0/edit#gid=884617569"",""S2 Totals!$A$2:$O$255""),4,FALSE)"),4.0)</f>
        <v>4</v>
      </c>
      <c r="H126" s="15">
        <f>IFERROR(__xludf.DUMMYFUNCTION("VLOOKUP(A126,IMPORTRANGE(""1QZ5UxyNCwadreQAXnQ7oCoH982DjIA-QnZdO7ZoqkC0/edit#gid=884617569"",""S2 Totals!$A$2:$O$255""),5,FALSE)"),0.3333333333333333)</f>
        <v>0.3333333333</v>
      </c>
      <c r="I126" s="15">
        <f t="shared" si="2"/>
        <v>-0.06060606061</v>
      </c>
      <c r="J126" s="16">
        <f>IFERROR(__xludf.DUMMYFUNCTION("VLOOKUP(A126,IMPORTRANGE(""1QZ5UxyNCwadreQAXnQ7oCoH982DjIA-QnZdO7ZoqkC0/edit#gid=884617569"",""S2 Totals!$A$2:$O$255""),7,FALSE)"),4.0)</f>
        <v>4</v>
      </c>
      <c r="K126" s="15">
        <f>IFERROR(__xludf.DUMMYFUNCTION("VLOOKUP(A126,IMPORTRANGE(""1QZ5UxyNCwadreQAXnQ7oCoH982DjIA-QnZdO7ZoqkC0/edit#gid=884617569"",""S2 Totals!$A$2:$O$255""),8,FALSE)"),0.3333333333333333)</f>
        <v>0.3333333333</v>
      </c>
      <c r="L126" s="110">
        <f t="shared" si="3"/>
        <v>-0.06060606061</v>
      </c>
      <c r="M126" s="16" t="str">
        <f>IFERROR(__xludf.DUMMYFUNCTION("VLOOKUP(A126,IMPORTRANGE(""1QZ5UxyNCwadreQAXnQ7oCoH982DjIA-QnZdO7ZoqkC0/edit#gid=884617569"",""S2 Totals!$A$2:$O$255""),10,FALSE)"),"")</f>
        <v/>
      </c>
      <c r="N126" s="15" t="str">
        <f>IFERROR(__xludf.DUMMYFUNCTION("VLOOKUP(A126,IMPORTRANGE(""1QZ5UxyNCwadreQAXnQ7oCoH982DjIA-QnZdO7ZoqkC0/edit#gid=884617569"",""S2 Totals!$A$2:$O$255""),11,FALSE)"),"")</f>
        <v/>
      </c>
      <c r="O126" s="110">
        <f t="shared" si="4"/>
        <v>0.2727272727</v>
      </c>
      <c r="P126" s="16" t="str">
        <f>IFERROR(__xludf.DUMMYFUNCTION("VLOOKUP(A126,IMPORTRANGE(""1QZ5UxyNCwadreQAXnQ7oCoH982DjIA-QnZdO7ZoqkC0/edit#gid=884617569"",""S2 Totals!$A$2:$O$255""),13,FALSE)"),"")</f>
        <v/>
      </c>
      <c r="Q126" s="15" t="str">
        <f>IFERROR(__xludf.DUMMYFUNCTION("VLOOKUP(A126,IMPORTRANGE(""1QZ5UxyNCwadreQAXnQ7oCoH982DjIA-QnZdO7ZoqkC0/edit#gid=884617569"",""S2 Totals!$A$2:$O$255""),14,FALSE)"),"")</f>
        <v/>
      </c>
      <c r="R126" s="129">
        <f t="shared" si="5"/>
        <v>0.2727272727</v>
      </c>
    </row>
    <row r="127">
      <c r="A127" s="128" t="s">
        <v>241</v>
      </c>
      <c r="B127" s="16">
        <f>IFERROR(__xludf.DUMMYFUNCTION("VLOOKUP(A127,IMPORTRANGE(""1aFCnJY1qhIj8-JckJhDJ18aqmVo17tofpQmOjcYa3u8/edit#gid=1878241338"",""S2 Totals!$A$2:$O$255""),2,FALSE)"),8.0)</f>
        <v>8</v>
      </c>
      <c r="C127" s="15">
        <f>IFERROR(__xludf.DUMMYFUNCTION("VLOOKUP(A127,IMPORTRANGE(""1aFCnJY1qhIj8-JckJhDJ18aqmVo17tofpQmOjcYa3u8/edit#gid=1878241338"",""S2 Totals!$A$2:$O$255""),3,FALSE)"),0.7272727272727273)</f>
        <v>0.7272727273</v>
      </c>
      <c r="D127" s="16">
        <f>IFERROR(__xludf.DUMMYFUNCTION("VLOOKUP(A127,IMPORTRANGE(""1QZ5UxyNCwadreQAXnQ7oCoH982DjIA-QnZdO7ZoqkC0/edit#gid=884617569"",""S2 Totals!$A$2:$O$255""),2,FALSE)"),8.0)</f>
        <v>8</v>
      </c>
      <c r="E127" s="15">
        <f>IFERROR(__xludf.DUMMYFUNCTION("VLOOKUP(A127,IMPORTRANGE(""1QZ5UxyNCwadreQAXnQ7oCoH982DjIA-QnZdO7ZoqkC0/edit#gid=884617569"",""S2 Totals!$A$2:$O$255""),3,FALSE)"),0.6153846153846154)</f>
        <v>0.6153846154</v>
      </c>
      <c r="F127" s="15">
        <f t="shared" si="1"/>
        <v>0.1118881119</v>
      </c>
      <c r="G127" s="16">
        <f>IFERROR(__xludf.DUMMYFUNCTION("VLOOKUP(A127,IMPORTRANGE(""1QZ5UxyNCwadreQAXnQ7oCoH982DjIA-QnZdO7ZoqkC0/edit#gid=884617569"",""S2 Totals!$A$2:$O$255""),4,FALSE)"),2.0)</f>
        <v>2</v>
      </c>
      <c r="H127" s="15">
        <f>IFERROR(__xludf.DUMMYFUNCTION("VLOOKUP(A127,IMPORTRANGE(""1QZ5UxyNCwadreQAXnQ7oCoH982DjIA-QnZdO7ZoqkC0/edit#gid=884617569"",""S2 Totals!$A$2:$O$255""),5,FALSE)"),0.16666666666666666)</f>
        <v>0.1666666667</v>
      </c>
      <c r="I127" s="15">
        <f t="shared" si="2"/>
        <v>0.5606060606</v>
      </c>
      <c r="J127" s="16" t="str">
        <f>IFERROR(__xludf.DUMMYFUNCTION("VLOOKUP(A127,IMPORTRANGE(""1QZ5UxyNCwadreQAXnQ7oCoH982DjIA-QnZdO7ZoqkC0/edit#gid=884617569"",""S2 Totals!$A$2:$O$255""),7,FALSE)"),"")</f>
        <v/>
      </c>
      <c r="K127" s="15" t="str">
        <f>IFERROR(__xludf.DUMMYFUNCTION("VLOOKUP(A127,IMPORTRANGE(""1QZ5UxyNCwadreQAXnQ7oCoH982DjIA-QnZdO7ZoqkC0/edit#gid=884617569"",""S2 Totals!$A$2:$O$255""),8,FALSE)"),"")</f>
        <v/>
      </c>
      <c r="L127" s="110">
        <f t="shared" si="3"/>
        <v>0.7272727273</v>
      </c>
      <c r="M127" s="16" t="str">
        <f>IFERROR(__xludf.DUMMYFUNCTION("VLOOKUP(A127,IMPORTRANGE(""1QZ5UxyNCwadreQAXnQ7oCoH982DjIA-QnZdO7ZoqkC0/edit#gid=884617569"",""S2 Totals!$A$2:$O$255""),10,FALSE)"),"")</f>
        <v/>
      </c>
      <c r="N127" s="15" t="str">
        <f>IFERROR(__xludf.DUMMYFUNCTION("VLOOKUP(A127,IMPORTRANGE(""1QZ5UxyNCwadreQAXnQ7oCoH982DjIA-QnZdO7ZoqkC0/edit#gid=884617569"",""S2 Totals!$A$2:$O$255""),11,FALSE)"),"")</f>
        <v/>
      </c>
      <c r="O127" s="110">
        <f t="shared" si="4"/>
        <v>0.7272727273</v>
      </c>
      <c r="P127" s="16" t="str">
        <f>IFERROR(__xludf.DUMMYFUNCTION("VLOOKUP(A127,IMPORTRANGE(""1QZ5UxyNCwadreQAXnQ7oCoH982DjIA-QnZdO7ZoqkC0/edit#gid=884617569"",""S2 Totals!$A$2:$O$255""),13,FALSE)"),"")</f>
        <v/>
      </c>
      <c r="Q127" s="15" t="str">
        <f>IFERROR(__xludf.DUMMYFUNCTION("VLOOKUP(A127,IMPORTRANGE(""1QZ5UxyNCwadreQAXnQ7oCoH982DjIA-QnZdO7ZoqkC0/edit#gid=884617569"",""S2 Totals!$A$2:$O$255""),14,FALSE)"),"")</f>
        <v/>
      </c>
      <c r="R127" s="129">
        <f t="shared" si="5"/>
        <v>0.7272727273</v>
      </c>
    </row>
    <row r="128">
      <c r="A128" s="128" t="s">
        <v>74</v>
      </c>
      <c r="B128" s="16">
        <f>IFERROR(__xludf.DUMMYFUNCTION("VLOOKUP(A128,IMPORTRANGE(""1aFCnJY1qhIj8-JckJhDJ18aqmVo17tofpQmOjcYa3u8/edit#gid=1878241338"",""S2 Totals!$A$2:$O$255""),2,FALSE)"),2.0)</f>
        <v>2</v>
      </c>
      <c r="C128" s="15">
        <f>IFERROR(__xludf.DUMMYFUNCTION("VLOOKUP(A128,IMPORTRANGE(""1aFCnJY1qhIj8-JckJhDJ18aqmVo17tofpQmOjcYa3u8/edit#gid=1878241338"",""S2 Totals!$A$2:$O$255""),3,FALSE)"),0.18181818181818182)</f>
        <v>0.1818181818</v>
      </c>
      <c r="D128" s="16">
        <f>IFERROR(__xludf.DUMMYFUNCTION("VLOOKUP(A128,IMPORTRANGE(""1QZ5UxyNCwadreQAXnQ7oCoH982DjIA-QnZdO7ZoqkC0/edit#gid=884617569"",""S2 Totals!$A$2:$O$255""),2,FALSE)"),2.0)</f>
        <v>2</v>
      </c>
      <c r="E128" s="15">
        <f>IFERROR(__xludf.DUMMYFUNCTION("VLOOKUP(A128,IMPORTRANGE(""1QZ5UxyNCwadreQAXnQ7oCoH982DjIA-QnZdO7ZoqkC0/edit#gid=884617569"",""S2 Totals!$A$2:$O$255""),3,FALSE)"),0.15384615384615385)</f>
        <v>0.1538461538</v>
      </c>
      <c r="F128" s="15">
        <f t="shared" si="1"/>
        <v>0.02797202797</v>
      </c>
      <c r="G128" s="16">
        <f>IFERROR(__xludf.DUMMYFUNCTION("VLOOKUP(A128,IMPORTRANGE(""1QZ5UxyNCwadreQAXnQ7oCoH982DjIA-QnZdO7ZoqkC0/edit#gid=884617569"",""S2 Totals!$A$2:$O$255""),4,FALSE)"),5.0)</f>
        <v>5</v>
      </c>
      <c r="H128" s="15">
        <f>IFERROR(__xludf.DUMMYFUNCTION("VLOOKUP(A128,IMPORTRANGE(""1QZ5UxyNCwadreQAXnQ7oCoH982DjIA-QnZdO7ZoqkC0/edit#gid=884617569"",""S2 Totals!$A$2:$O$255""),5,FALSE)"),0.4166666666666667)</f>
        <v>0.4166666667</v>
      </c>
      <c r="I128" s="15">
        <f t="shared" si="2"/>
        <v>-0.2348484848</v>
      </c>
      <c r="J128" s="16">
        <f>IFERROR(__xludf.DUMMYFUNCTION("VLOOKUP(A128,IMPORTRANGE(""1QZ5UxyNCwadreQAXnQ7oCoH982DjIA-QnZdO7ZoqkC0/edit#gid=884617569"",""S2 Totals!$A$2:$O$255""),7,FALSE)"),0.0)</f>
        <v>0</v>
      </c>
      <c r="K128" s="15">
        <f>IFERROR(__xludf.DUMMYFUNCTION("VLOOKUP(A128,IMPORTRANGE(""1QZ5UxyNCwadreQAXnQ7oCoH982DjIA-QnZdO7ZoqkC0/edit#gid=884617569"",""S2 Totals!$A$2:$O$255""),8,FALSE)"),0.0)</f>
        <v>0</v>
      </c>
      <c r="L128" s="110">
        <f t="shared" si="3"/>
        <v>0.1818181818</v>
      </c>
      <c r="M128" s="16">
        <f>IFERROR(__xludf.DUMMYFUNCTION("VLOOKUP(A128,IMPORTRANGE(""1QZ5UxyNCwadreQAXnQ7oCoH982DjIA-QnZdO7ZoqkC0/edit#gid=884617569"",""S2 Totals!$A$2:$O$255""),10,FALSE)"),2.0)</f>
        <v>2</v>
      </c>
      <c r="N128" s="15">
        <f>IFERROR(__xludf.DUMMYFUNCTION("VLOOKUP(A128,IMPORTRANGE(""1QZ5UxyNCwadreQAXnQ7oCoH982DjIA-QnZdO7ZoqkC0/edit#gid=884617569"",""S2 Totals!$A$2:$O$255""),11,FALSE)"),0.15384615384615385)</f>
        <v>0.1538461538</v>
      </c>
      <c r="O128" s="110">
        <f t="shared" si="4"/>
        <v>0.02797202797</v>
      </c>
      <c r="P128" s="16">
        <f>IFERROR(__xludf.DUMMYFUNCTION("VLOOKUP(A128,IMPORTRANGE(""1QZ5UxyNCwadreQAXnQ7oCoH982DjIA-QnZdO7ZoqkC0/edit#gid=884617569"",""S2 Totals!$A$2:$O$255""),13,FALSE)"),1.0)</f>
        <v>1</v>
      </c>
      <c r="Q128" s="15">
        <f>IFERROR(__xludf.DUMMYFUNCTION("VLOOKUP(A128,IMPORTRANGE(""1QZ5UxyNCwadreQAXnQ7oCoH982DjIA-QnZdO7ZoqkC0/edit#gid=884617569"",""S2 Totals!$A$2:$O$255""),14,FALSE)"),0.08333333333333333)</f>
        <v>0.08333333333</v>
      </c>
      <c r="R128" s="129">
        <f t="shared" si="5"/>
        <v>0.09848484848</v>
      </c>
    </row>
    <row r="129">
      <c r="A129" s="128" t="s">
        <v>242</v>
      </c>
      <c r="B129" s="16">
        <f>IFERROR(__xludf.DUMMYFUNCTION("VLOOKUP(A129,IMPORTRANGE(""1aFCnJY1qhIj8-JckJhDJ18aqmVo17tofpQmOjcYa3u8/edit#gid=1878241338"",""S2 Totals!$A$2:$O$255""),2,FALSE)"),0.0)</f>
        <v>0</v>
      </c>
      <c r="C129" s="15">
        <f>IFERROR(__xludf.DUMMYFUNCTION("VLOOKUP(A129,IMPORTRANGE(""1aFCnJY1qhIj8-JckJhDJ18aqmVo17tofpQmOjcYa3u8/edit#gid=1878241338"",""S2 Totals!$A$2:$O$255""),3,FALSE)"),0.0)</f>
        <v>0</v>
      </c>
      <c r="D129" s="16">
        <f>IFERROR(__xludf.DUMMYFUNCTION("VLOOKUP(A129,IMPORTRANGE(""1QZ5UxyNCwadreQAXnQ7oCoH982DjIA-QnZdO7ZoqkC0/edit#gid=884617569"",""S2 Totals!$A$2:$O$255""),2,FALSE)"),0.0)</f>
        <v>0</v>
      </c>
      <c r="E129" s="15">
        <f>IFERROR(__xludf.DUMMYFUNCTION("VLOOKUP(A129,IMPORTRANGE(""1QZ5UxyNCwadreQAXnQ7oCoH982DjIA-QnZdO7ZoqkC0/edit#gid=884617569"",""S2 Totals!$A$2:$O$255""),3,FALSE)"),0.0)</f>
        <v>0</v>
      </c>
      <c r="F129" s="15">
        <f t="shared" si="1"/>
        <v>0</v>
      </c>
      <c r="G129" s="16">
        <f>IFERROR(__xludf.DUMMYFUNCTION("VLOOKUP(A129,IMPORTRANGE(""1QZ5UxyNCwadreQAXnQ7oCoH982DjIA-QnZdO7ZoqkC0/edit#gid=884617569"",""S2 Totals!$A$2:$O$255""),4,FALSE)"),0.0)</f>
        <v>0</v>
      </c>
      <c r="H129" s="15">
        <f>IFERROR(__xludf.DUMMYFUNCTION("VLOOKUP(A129,IMPORTRANGE(""1QZ5UxyNCwadreQAXnQ7oCoH982DjIA-QnZdO7ZoqkC0/edit#gid=884617569"",""S2 Totals!$A$2:$O$255""),5,FALSE)"),0.0)</f>
        <v>0</v>
      </c>
      <c r="I129" s="15">
        <f t="shared" si="2"/>
        <v>0</v>
      </c>
      <c r="J129" s="16" t="str">
        <f>IFERROR(__xludf.DUMMYFUNCTION("VLOOKUP(A129,IMPORTRANGE(""1QZ5UxyNCwadreQAXnQ7oCoH982DjIA-QnZdO7ZoqkC0/edit#gid=884617569"",""S2 Totals!$A$2:$O$255""),7,FALSE)"),"")</f>
        <v/>
      </c>
      <c r="K129" s="15" t="str">
        <f>IFERROR(__xludf.DUMMYFUNCTION("VLOOKUP(A129,IMPORTRANGE(""1QZ5UxyNCwadreQAXnQ7oCoH982DjIA-QnZdO7ZoqkC0/edit#gid=884617569"",""S2 Totals!$A$2:$O$255""),8,FALSE)"),"")</f>
        <v/>
      </c>
      <c r="L129" s="110">
        <f t="shared" si="3"/>
        <v>0</v>
      </c>
      <c r="M129" s="16" t="str">
        <f>IFERROR(__xludf.DUMMYFUNCTION("VLOOKUP(A129,IMPORTRANGE(""1QZ5UxyNCwadreQAXnQ7oCoH982DjIA-QnZdO7ZoqkC0/edit#gid=884617569"",""S2 Totals!$A$2:$O$255""),10,FALSE)"),"")</f>
        <v/>
      </c>
      <c r="N129" s="15" t="str">
        <f>IFERROR(__xludf.DUMMYFUNCTION("VLOOKUP(A129,IMPORTRANGE(""1QZ5UxyNCwadreQAXnQ7oCoH982DjIA-QnZdO7ZoqkC0/edit#gid=884617569"",""S2 Totals!$A$2:$O$255""),11,FALSE)"),"")</f>
        <v/>
      </c>
      <c r="O129" s="110">
        <f t="shared" si="4"/>
        <v>0</v>
      </c>
      <c r="P129" s="16" t="str">
        <f>IFERROR(__xludf.DUMMYFUNCTION("VLOOKUP(A129,IMPORTRANGE(""1QZ5UxyNCwadreQAXnQ7oCoH982DjIA-QnZdO7ZoqkC0/edit#gid=884617569"",""S2 Totals!$A$2:$O$255""),13,FALSE)"),"")</f>
        <v/>
      </c>
      <c r="Q129" s="15" t="str">
        <f>IFERROR(__xludf.DUMMYFUNCTION("VLOOKUP(A129,IMPORTRANGE(""1QZ5UxyNCwadreQAXnQ7oCoH982DjIA-QnZdO7ZoqkC0/edit#gid=884617569"",""S2 Totals!$A$2:$O$255""),14,FALSE)"),"")</f>
        <v/>
      </c>
      <c r="R129" s="129">
        <f t="shared" si="5"/>
        <v>0</v>
      </c>
    </row>
    <row r="130">
      <c r="A130" s="128" t="s">
        <v>243</v>
      </c>
      <c r="B130" s="16">
        <f>IFERROR(__xludf.DUMMYFUNCTION("VLOOKUP(A130,IMPORTRANGE(""1aFCnJY1qhIj8-JckJhDJ18aqmVo17tofpQmOjcYa3u8/edit#gid=1878241338"",""S2 Totals!$A$2:$O$255""),2,FALSE)"),2.0)</f>
        <v>2</v>
      </c>
      <c r="C130" s="15">
        <f>IFERROR(__xludf.DUMMYFUNCTION("VLOOKUP(A130,IMPORTRANGE(""1aFCnJY1qhIj8-JckJhDJ18aqmVo17tofpQmOjcYa3u8/edit#gid=1878241338"",""S2 Totals!$A$2:$O$255""),3,FALSE)"),0.18181818181818182)</f>
        <v>0.1818181818</v>
      </c>
      <c r="D130" s="16">
        <f>IFERROR(__xludf.DUMMYFUNCTION("VLOOKUP(A130,IMPORTRANGE(""1QZ5UxyNCwadreQAXnQ7oCoH982DjIA-QnZdO7ZoqkC0/edit#gid=884617569"",""S2 Totals!$A$2:$O$255""),2,FALSE)"),2.0)</f>
        <v>2</v>
      </c>
      <c r="E130" s="15">
        <f>IFERROR(__xludf.DUMMYFUNCTION("VLOOKUP(A130,IMPORTRANGE(""1QZ5UxyNCwadreQAXnQ7oCoH982DjIA-QnZdO7ZoqkC0/edit#gid=884617569"",""S2 Totals!$A$2:$O$255""),3,FALSE)"),0.15384615384615385)</f>
        <v>0.1538461538</v>
      </c>
      <c r="F130" s="15">
        <f t="shared" si="1"/>
        <v>0.02797202797</v>
      </c>
      <c r="G130" s="16">
        <f>IFERROR(__xludf.DUMMYFUNCTION("VLOOKUP(A130,IMPORTRANGE(""1QZ5UxyNCwadreQAXnQ7oCoH982DjIA-QnZdO7ZoqkC0/edit#gid=884617569"",""S2 Totals!$A$2:$O$255""),4,FALSE)"),2.0)</f>
        <v>2</v>
      </c>
      <c r="H130" s="15">
        <f>IFERROR(__xludf.DUMMYFUNCTION("VLOOKUP(A130,IMPORTRANGE(""1QZ5UxyNCwadreQAXnQ7oCoH982DjIA-QnZdO7ZoqkC0/edit#gid=884617569"",""S2 Totals!$A$2:$O$255""),5,FALSE)"),0.16666666666666666)</f>
        <v>0.1666666667</v>
      </c>
      <c r="I130" s="15">
        <f t="shared" si="2"/>
        <v>0.01515151515</v>
      </c>
      <c r="J130" s="16" t="str">
        <f>IFERROR(__xludf.DUMMYFUNCTION("VLOOKUP(A130,IMPORTRANGE(""1QZ5UxyNCwadreQAXnQ7oCoH982DjIA-QnZdO7ZoqkC0/edit#gid=884617569"",""S2 Totals!$A$2:$O$255""),7,FALSE)"),"")</f>
        <v/>
      </c>
      <c r="K130" s="15" t="str">
        <f>IFERROR(__xludf.DUMMYFUNCTION("VLOOKUP(A130,IMPORTRANGE(""1QZ5UxyNCwadreQAXnQ7oCoH982DjIA-QnZdO7ZoqkC0/edit#gid=884617569"",""S2 Totals!$A$2:$O$255""),8,FALSE)"),"")</f>
        <v/>
      </c>
      <c r="L130" s="110">
        <f t="shared" si="3"/>
        <v>0.1818181818</v>
      </c>
      <c r="M130" s="16" t="str">
        <f>IFERROR(__xludf.DUMMYFUNCTION("VLOOKUP(A130,IMPORTRANGE(""1QZ5UxyNCwadreQAXnQ7oCoH982DjIA-QnZdO7ZoqkC0/edit#gid=884617569"",""S2 Totals!$A$2:$O$255""),10,FALSE)"),"")</f>
        <v/>
      </c>
      <c r="N130" s="15" t="str">
        <f>IFERROR(__xludf.DUMMYFUNCTION("VLOOKUP(A130,IMPORTRANGE(""1QZ5UxyNCwadreQAXnQ7oCoH982DjIA-QnZdO7ZoqkC0/edit#gid=884617569"",""S2 Totals!$A$2:$O$255""),11,FALSE)"),"")</f>
        <v/>
      </c>
      <c r="O130" s="110">
        <f t="shared" si="4"/>
        <v>0.1818181818</v>
      </c>
      <c r="P130" s="16" t="str">
        <f>IFERROR(__xludf.DUMMYFUNCTION("VLOOKUP(A130,IMPORTRANGE(""1QZ5UxyNCwadreQAXnQ7oCoH982DjIA-QnZdO7ZoqkC0/edit#gid=884617569"",""S2 Totals!$A$2:$O$255""),13,FALSE)"),"")</f>
        <v/>
      </c>
      <c r="Q130" s="15" t="str">
        <f>IFERROR(__xludf.DUMMYFUNCTION("VLOOKUP(A130,IMPORTRANGE(""1QZ5UxyNCwadreQAXnQ7oCoH982DjIA-QnZdO7ZoqkC0/edit#gid=884617569"",""S2 Totals!$A$2:$O$255""),14,FALSE)"),"")</f>
        <v/>
      </c>
      <c r="R130" s="129">
        <f t="shared" si="5"/>
        <v>0.1818181818</v>
      </c>
    </row>
    <row r="131">
      <c r="A131" s="128" t="s">
        <v>63</v>
      </c>
      <c r="B131" s="16">
        <f>IFERROR(__xludf.DUMMYFUNCTION("VLOOKUP(A131,IMPORTRANGE(""1aFCnJY1qhIj8-JckJhDJ18aqmVo17tofpQmOjcYa3u8/edit#gid=1878241338"",""S2 Totals!$A$2:$O$255""),2,FALSE)"),6.0)</f>
        <v>6</v>
      </c>
      <c r="C131" s="15">
        <f>IFERROR(__xludf.DUMMYFUNCTION("VLOOKUP(A131,IMPORTRANGE(""1aFCnJY1qhIj8-JckJhDJ18aqmVo17tofpQmOjcYa3u8/edit#gid=1878241338"",""S2 Totals!$A$2:$O$255""),3,FALSE)"),0.5454545454545454)</f>
        <v>0.5454545455</v>
      </c>
      <c r="D131" s="16">
        <f>IFERROR(__xludf.DUMMYFUNCTION("VLOOKUP(A131,IMPORTRANGE(""1QZ5UxyNCwadreQAXnQ7oCoH982DjIA-QnZdO7ZoqkC0/edit#gid=884617569"",""S2 Totals!$A$2:$O$255""),2,FALSE)"),4.0)</f>
        <v>4</v>
      </c>
      <c r="E131" s="15">
        <f>IFERROR(__xludf.DUMMYFUNCTION("VLOOKUP(A131,IMPORTRANGE(""1QZ5UxyNCwadreQAXnQ7oCoH982DjIA-QnZdO7ZoqkC0/edit#gid=884617569"",""S2 Totals!$A$2:$O$255""),3,FALSE)"),0.3076923076923077)</f>
        <v>0.3076923077</v>
      </c>
      <c r="F131" s="15">
        <f t="shared" si="1"/>
        <v>0.2377622378</v>
      </c>
      <c r="G131" s="16">
        <f>IFERROR(__xludf.DUMMYFUNCTION("VLOOKUP(A131,IMPORTRANGE(""1QZ5UxyNCwadreQAXnQ7oCoH982DjIA-QnZdO7ZoqkC0/edit#gid=884617569"",""S2 Totals!$A$2:$O$255""),4,FALSE)"),0.0)</f>
        <v>0</v>
      </c>
      <c r="H131" s="15">
        <f>IFERROR(__xludf.DUMMYFUNCTION("VLOOKUP(A131,IMPORTRANGE(""1QZ5UxyNCwadreQAXnQ7oCoH982DjIA-QnZdO7ZoqkC0/edit#gid=884617569"",""S2 Totals!$A$2:$O$255""),5,FALSE)"),0.0)</f>
        <v>0</v>
      </c>
      <c r="I131" s="15">
        <f t="shared" si="2"/>
        <v>0.5454545455</v>
      </c>
      <c r="J131" s="16">
        <f>IFERROR(__xludf.DUMMYFUNCTION("VLOOKUP(A131,IMPORTRANGE(""1QZ5UxyNCwadreQAXnQ7oCoH982DjIA-QnZdO7ZoqkC0/edit#gid=884617569"",""S2 Totals!$A$2:$O$255""),7,FALSE)"),0.0)</f>
        <v>0</v>
      </c>
      <c r="K131" s="15">
        <f>IFERROR(__xludf.DUMMYFUNCTION("VLOOKUP(A131,IMPORTRANGE(""1QZ5UxyNCwadreQAXnQ7oCoH982DjIA-QnZdO7ZoqkC0/edit#gid=884617569"",""S2 Totals!$A$2:$O$255""),8,FALSE)"),0.0)</f>
        <v>0</v>
      </c>
      <c r="L131" s="110">
        <f t="shared" si="3"/>
        <v>0.5454545455</v>
      </c>
      <c r="M131" s="16">
        <f>IFERROR(__xludf.DUMMYFUNCTION("VLOOKUP(A131,IMPORTRANGE(""1QZ5UxyNCwadreQAXnQ7oCoH982DjIA-QnZdO7ZoqkC0/edit#gid=884617569"",""S2 Totals!$A$2:$O$255""),10,FALSE)"),0.0)</f>
        <v>0</v>
      </c>
      <c r="N131" s="15">
        <f>IFERROR(__xludf.DUMMYFUNCTION("VLOOKUP(A131,IMPORTRANGE(""1QZ5UxyNCwadreQAXnQ7oCoH982DjIA-QnZdO7ZoqkC0/edit#gid=884617569"",""S2 Totals!$A$2:$O$255""),11,FALSE)"),0.0)</f>
        <v>0</v>
      </c>
      <c r="O131" s="110">
        <f t="shared" si="4"/>
        <v>0.5454545455</v>
      </c>
      <c r="P131" s="16">
        <f>IFERROR(__xludf.DUMMYFUNCTION("VLOOKUP(A131,IMPORTRANGE(""1QZ5UxyNCwadreQAXnQ7oCoH982DjIA-QnZdO7ZoqkC0/edit#gid=884617569"",""S2 Totals!$A$2:$O$255""),13,FALSE)"),0.0)</f>
        <v>0</v>
      </c>
      <c r="Q131" s="15">
        <f>IFERROR(__xludf.DUMMYFUNCTION("VLOOKUP(A131,IMPORTRANGE(""1QZ5UxyNCwadreQAXnQ7oCoH982DjIA-QnZdO7ZoqkC0/edit#gid=884617569"",""S2 Totals!$A$2:$O$255""),14,FALSE)"),0.0)</f>
        <v>0</v>
      </c>
      <c r="R131" s="129">
        <f t="shared" si="5"/>
        <v>0.5454545455</v>
      </c>
    </row>
    <row r="132">
      <c r="A132" s="128" t="s">
        <v>34</v>
      </c>
      <c r="B132" s="16">
        <f>IFERROR(__xludf.DUMMYFUNCTION("VLOOKUP(A132,IMPORTRANGE(""1aFCnJY1qhIj8-JckJhDJ18aqmVo17tofpQmOjcYa3u8/edit#gid=1878241338"",""S2 Totals!$A$2:$O$255""),2,FALSE)"),5.0)</f>
        <v>5</v>
      </c>
      <c r="C132" s="15">
        <f>IFERROR(__xludf.DUMMYFUNCTION("VLOOKUP(A132,IMPORTRANGE(""1aFCnJY1qhIj8-JckJhDJ18aqmVo17tofpQmOjcYa3u8/edit#gid=1878241338"",""S2 Totals!$A$2:$O$255""),3,FALSE)"),0.45454545454545453)</f>
        <v>0.4545454545</v>
      </c>
      <c r="D132" s="16">
        <f>IFERROR(__xludf.DUMMYFUNCTION("VLOOKUP(A132,IMPORTRANGE(""1QZ5UxyNCwadreQAXnQ7oCoH982DjIA-QnZdO7ZoqkC0/edit#gid=884617569"",""S2 Totals!$A$2:$O$255""),2,FALSE)"),4.0)</f>
        <v>4</v>
      </c>
      <c r="E132" s="15">
        <f>IFERROR(__xludf.DUMMYFUNCTION("VLOOKUP(A132,IMPORTRANGE(""1QZ5UxyNCwadreQAXnQ7oCoH982DjIA-QnZdO7ZoqkC0/edit#gid=884617569"",""S2 Totals!$A$2:$O$255""),3,FALSE)"),0.3076923076923077)</f>
        <v>0.3076923077</v>
      </c>
      <c r="F132" s="15">
        <f t="shared" si="1"/>
        <v>0.1468531469</v>
      </c>
      <c r="G132" s="16">
        <f>IFERROR(__xludf.DUMMYFUNCTION("VLOOKUP(A132,IMPORTRANGE(""1QZ5UxyNCwadreQAXnQ7oCoH982DjIA-QnZdO7ZoqkC0/edit#gid=884617569"",""S2 Totals!$A$2:$O$255""),4,FALSE)"),6.0)</f>
        <v>6</v>
      </c>
      <c r="H132" s="15">
        <f>IFERROR(__xludf.DUMMYFUNCTION("VLOOKUP(A132,IMPORTRANGE(""1QZ5UxyNCwadreQAXnQ7oCoH982DjIA-QnZdO7ZoqkC0/edit#gid=884617569"",""S2 Totals!$A$2:$O$255""),5,FALSE)"),0.5)</f>
        <v>0.5</v>
      </c>
      <c r="I132" s="15">
        <f t="shared" si="2"/>
        <v>-0.04545454545</v>
      </c>
      <c r="J132" s="16">
        <f>IFERROR(__xludf.DUMMYFUNCTION("VLOOKUP(A132,IMPORTRANGE(""1QZ5UxyNCwadreQAXnQ7oCoH982DjIA-QnZdO7ZoqkC0/edit#gid=884617569"",""S2 Totals!$A$2:$O$255""),7,FALSE)"),2.0)</f>
        <v>2</v>
      </c>
      <c r="K132" s="15">
        <f>IFERROR(__xludf.DUMMYFUNCTION("VLOOKUP(A132,IMPORTRANGE(""1QZ5UxyNCwadreQAXnQ7oCoH982DjIA-QnZdO7ZoqkC0/edit#gid=884617569"",""S2 Totals!$A$2:$O$255""),8,FALSE)"),0.16666666666666666)</f>
        <v>0.1666666667</v>
      </c>
      <c r="L132" s="110">
        <f t="shared" si="3"/>
        <v>0.2878787879</v>
      </c>
      <c r="M132" s="16">
        <f>IFERROR(__xludf.DUMMYFUNCTION("VLOOKUP(A132,IMPORTRANGE(""1QZ5UxyNCwadreQAXnQ7oCoH982DjIA-QnZdO7ZoqkC0/edit#gid=884617569"",""S2 Totals!$A$2:$O$255""),10,FALSE)"),2.0)</f>
        <v>2</v>
      </c>
      <c r="N132" s="15">
        <f>IFERROR(__xludf.DUMMYFUNCTION("VLOOKUP(A132,IMPORTRANGE(""1QZ5UxyNCwadreQAXnQ7oCoH982DjIA-QnZdO7ZoqkC0/edit#gid=884617569"",""S2 Totals!$A$2:$O$255""),11,FALSE)"),0.15384615384615385)</f>
        <v>0.1538461538</v>
      </c>
      <c r="O132" s="110">
        <f t="shared" si="4"/>
        <v>0.3006993007</v>
      </c>
      <c r="P132" s="16">
        <f>IFERROR(__xludf.DUMMYFUNCTION("VLOOKUP(A132,IMPORTRANGE(""1QZ5UxyNCwadreQAXnQ7oCoH982DjIA-QnZdO7ZoqkC0/edit#gid=884617569"",""S2 Totals!$A$2:$O$255""),13,FALSE)"),0.0)</f>
        <v>0</v>
      </c>
      <c r="Q132" s="15">
        <f>IFERROR(__xludf.DUMMYFUNCTION("VLOOKUP(A132,IMPORTRANGE(""1QZ5UxyNCwadreQAXnQ7oCoH982DjIA-QnZdO7ZoqkC0/edit#gid=884617569"",""S2 Totals!$A$2:$O$255""),14,FALSE)"),0.0)</f>
        <v>0</v>
      </c>
      <c r="R132" s="129">
        <f t="shared" si="5"/>
        <v>0.4545454545</v>
      </c>
    </row>
    <row r="133">
      <c r="A133" s="128" t="s">
        <v>268</v>
      </c>
      <c r="B133" s="16">
        <f>IFERROR(__xludf.DUMMYFUNCTION("VLOOKUP(A133,IMPORTRANGE(""1aFCnJY1qhIj8-JckJhDJ18aqmVo17tofpQmOjcYa3u8/edit#gid=1878241338"",""S2 Totals!$A$2:$O$255""),2,FALSE)"),0.0)</f>
        <v>0</v>
      </c>
      <c r="C133" s="15">
        <f>IFERROR(__xludf.DUMMYFUNCTION("VLOOKUP(A133,IMPORTRANGE(""1aFCnJY1qhIj8-JckJhDJ18aqmVo17tofpQmOjcYa3u8/edit#gid=1878241338"",""S2 Totals!$A$2:$O$255""),3,FALSE)"),0.0)</f>
        <v>0</v>
      </c>
      <c r="D133" s="16" t="str">
        <f>IFERROR(__xludf.DUMMYFUNCTION("VLOOKUP(A133,IMPORTRANGE(""1QZ5UxyNCwadreQAXnQ7oCoH982DjIA-QnZdO7ZoqkC0/edit#gid=884617569"",""S2 Totals!$A$2:$O$255""),2,FALSE)"),"#N/A")</f>
        <v>#N/A</v>
      </c>
      <c r="E133" s="15" t="str">
        <f>IFERROR(__xludf.DUMMYFUNCTION("VLOOKUP(A133,IMPORTRANGE(""1QZ5UxyNCwadreQAXnQ7oCoH982DjIA-QnZdO7ZoqkC0/edit#gid=884617569"",""S2 Totals!$A$2:$O$255""),3,FALSE)"),"#N/A")</f>
        <v>#N/A</v>
      </c>
      <c r="F133" s="16" t="str">
        <f t="shared" si="1"/>
        <v>#N/A</v>
      </c>
      <c r="G133" s="16" t="str">
        <f>IFERROR(__xludf.DUMMYFUNCTION("VLOOKUP(A133,IMPORTRANGE(""1QZ5UxyNCwadreQAXnQ7oCoH982DjIA-QnZdO7ZoqkC0/edit#gid=884617569"",""S2 Totals!$A$2:$O$255""),4,FALSE)"),"#N/A")</f>
        <v>#N/A</v>
      </c>
      <c r="H133" s="15" t="str">
        <f>IFERROR(__xludf.DUMMYFUNCTION("VLOOKUP(A133,IMPORTRANGE(""1QZ5UxyNCwadreQAXnQ7oCoH982DjIA-QnZdO7ZoqkC0/edit#gid=884617569"",""S2 Totals!$A$2:$O$255""),5,FALSE)"),"#N/A")</f>
        <v>#N/A</v>
      </c>
      <c r="I133" s="16" t="str">
        <f t="shared" si="2"/>
        <v>#N/A</v>
      </c>
      <c r="J133" s="16" t="str">
        <f>IFERROR(__xludf.DUMMYFUNCTION("VLOOKUP(A133,IMPORTRANGE(""1QZ5UxyNCwadreQAXnQ7oCoH982DjIA-QnZdO7ZoqkC0/edit#gid=884617569"",""S2 Totals!$A$2:$O$255""),7,FALSE)"),"#N/A")</f>
        <v>#N/A</v>
      </c>
      <c r="K133" s="15" t="str">
        <f>IFERROR(__xludf.DUMMYFUNCTION("VLOOKUP(A133,IMPORTRANGE(""1QZ5UxyNCwadreQAXnQ7oCoH982DjIA-QnZdO7ZoqkC0/edit#gid=884617569"",""S2 Totals!$A$2:$O$255""),8,FALSE)"),"#N/A")</f>
        <v>#N/A</v>
      </c>
      <c r="L133" s="110" t="str">
        <f t="shared" si="3"/>
        <v>#N/A</v>
      </c>
      <c r="M133" s="16" t="str">
        <f>IFERROR(__xludf.DUMMYFUNCTION("VLOOKUP(A133,IMPORTRANGE(""1QZ5UxyNCwadreQAXnQ7oCoH982DjIA-QnZdO7ZoqkC0/edit#gid=884617569"",""S2 Totals!$A$2:$O$255""),10,FALSE)"),"#N/A")</f>
        <v>#N/A</v>
      </c>
      <c r="N133" s="15" t="str">
        <f>IFERROR(__xludf.DUMMYFUNCTION("VLOOKUP(A133,IMPORTRANGE(""1QZ5UxyNCwadreQAXnQ7oCoH982DjIA-QnZdO7ZoqkC0/edit#gid=884617569"",""S2 Totals!$A$2:$O$255""),11,FALSE)"),"#N/A")</f>
        <v>#N/A</v>
      </c>
      <c r="O133" s="110" t="str">
        <f t="shared" si="4"/>
        <v>#N/A</v>
      </c>
      <c r="P133" s="16" t="str">
        <f>IFERROR(__xludf.DUMMYFUNCTION("VLOOKUP(A133,IMPORTRANGE(""1QZ5UxyNCwadreQAXnQ7oCoH982DjIA-QnZdO7ZoqkC0/edit#gid=884617569"",""S2 Totals!$A$2:$O$255""),13,FALSE)"),"#N/A")</f>
        <v>#N/A</v>
      </c>
      <c r="Q133" s="15" t="str">
        <f>IFERROR(__xludf.DUMMYFUNCTION("VLOOKUP(A133,IMPORTRANGE(""1QZ5UxyNCwadreQAXnQ7oCoH982DjIA-QnZdO7ZoqkC0/edit#gid=884617569"",""S2 Totals!$A$2:$O$255""),14,FALSE)"),"#N/A")</f>
        <v>#N/A</v>
      </c>
      <c r="R133" s="129" t="str">
        <f t="shared" si="5"/>
        <v>#N/A</v>
      </c>
    </row>
    <row r="134">
      <c r="A134" s="128" t="s">
        <v>65</v>
      </c>
      <c r="B134" s="16">
        <f>IFERROR(__xludf.DUMMYFUNCTION("VLOOKUP(A134,IMPORTRANGE(""1aFCnJY1qhIj8-JckJhDJ18aqmVo17tofpQmOjcYa3u8/edit#gid=1878241338"",""S2 Totals!$A$2:$O$255""),2,FALSE)"),9.0)</f>
        <v>9</v>
      </c>
      <c r="C134" s="15">
        <f>IFERROR(__xludf.DUMMYFUNCTION("VLOOKUP(A134,IMPORTRANGE(""1aFCnJY1qhIj8-JckJhDJ18aqmVo17tofpQmOjcYa3u8/edit#gid=1878241338"",""S2 Totals!$A$2:$O$255""),3,FALSE)"),0.8181818181818182)</f>
        <v>0.8181818182</v>
      </c>
      <c r="D134" s="16">
        <f>IFERROR(__xludf.DUMMYFUNCTION("VLOOKUP(A134,IMPORTRANGE(""1QZ5UxyNCwadreQAXnQ7oCoH982DjIA-QnZdO7ZoqkC0/edit#gid=884617569"",""S2 Totals!$A$2:$O$255""),2,FALSE)"),8.0)</f>
        <v>8</v>
      </c>
      <c r="E134" s="15">
        <f>IFERROR(__xludf.DUMMYFUNCTION("VLOOKUP(A134,IMPORTRANGE(""1QZ5UxyNCwadreQAXnQ7oCoH982DjIA-QnZdO7ZoqkC0/edit#gid=884617569"",""S2 Totals!$A$2:$O$255""),3,FALSE)"),0.6153846153846154)</f>
        <v>0.6153846154</v>
      </c>
      <c r="F134" s="15">
        <f t="shared" si="1"/>
        <v>0.2027972028</v>
      </c>
      <c r="G134" s="16">
        <f>IFERROR(__xludf.DUMMYFUNCTION("VLOOKUP(A134,IMPORTRANGE(""1QZ5UxyNCwadreQAXnQ7oCoH982DjIA-QnZdO7ZoqkC0/edit#gid=884617569"",""S2 Totals!$A$2:$O$255""),4,FALSE)"),6.0)</f>
        <v>6</v>
      </c>
      <c r="H134" s="15">
        <f>IFERROR(__xludf.DUMMYFUNCTION("VLOOKUP(A134,IMPORTRANGE(""1QZ5UxyNCwadreQAXnQ7oCoH982DjIA-QnZdO7ZoqkC0/edit#gid=884617569"",""S2 Totals!$A$2:$O$255""),5,FALSE)"),0.5)</f>
        <v>0.5</v>
      </c>
      <c r="I134" s="15">
        <f t="shared" si="2"/>
        <v>0.3181818182</v>
      </c>
      <c r="J134" s="16">
        <f>IFERROR(__xludf.DUMMYFUNCTION("VLOOKUP(A134,IMPORTRANGE(""1QZ5UxyNCwadreQAXnQ7oCoH982DjIA-QnZdO7ZoqkC0/edit#gid=884617569"",""S2 Totals!$A$2:$O$255""),7,FALSE)"),6.0)</f>
        <v>6</v>
      </c>
      <c r="K134" s="15">
        <f>IFERROR(__xludf.DUMMYFUNCTION("VLOOKUP(A134,IMPORTRANGE(""1QZ5UxyNCwadreQAXnQ7oCoH982DjIA-QnZdO7ZoqkC0/edit#gid=884617569"",""S2 Totals!$A$2:$O$255""),8,FALSE)"),0.5)</f>
        <v>0.5</v>
      </c>
      <c r="L134" s="110">
        <f t="shared" si="3"/>
        <v>0.3181818182</v>
      </c>
      <c r="M134" s="16">
        <f>IFERROR(__xludf.DUMMYFUNCTION("VLOOKUP(A134,IMPORTRANGE(""1QZ5UxyNCwadreQAXnQ7oCoH982DjIA-QnZdO7ZoqkC0/edit#gid=884617569"",""S2 Totals!$A$2:$O$255""),10,FALSE)"),8.0)</f>
        <v>8</v>
      </c>
      <c r="N134" s="15">
        <f>IFERROR(__xludf.DUMMYFUNCTION("VLOOKUP(A134,IMPORTRANGE(""1QZ5UxyNCwadreQAXnQ7oCoH982DjIA-QnZdO7ZoqkC0/edit#gid=884617569"",""S2 Totals!$A$2:$O$255""),11,FALSE)"),0.6153846153846154)</f>
        <v>0.6153846154</v>
      </c>
      <c r="O134" s="110">
        <f t="shared" si="4"/>
        <v>0.2027972028</v>
      </c>
      <c r="P134" s="16">
        <f>IFERROR(__xludf.DUMMYFUNCTION("VLOOKUP(A134,IMPORTRANGE(""1QZ5UxyNCwadreQAXnQ7oCoH982DjIA-QnZdO7ZoqkC0/edit#gid=884617569"",""S2 Totals!$A$2:$O$255""),13,FALSE)"),8.0)</f>
        <v>8</v>
      </c>
      <c r="Q134" s="15">
        <f>IFERROR(__xludf.DUMMYFUNCTION("VLOOKUP(A134,IMPORTRANGE(""1QZ5UxyNCwadreQAXnQ7oCoH982DjIA-QnZdO7ZoqkC0/edit#gid=884617569"",""S2 Totals!$A$2:$O$255""),14,FALSE)"),0.6666666666666666)</f>
        <v>0.6666666667</v>
      </c>
      <c r="R134" s="129">
        <f t="shared" si="5"/>
        <v>0.1515151515</v>
      </c>
    </row>
    <row r="135">
      <c r="A135" s="128" t="s">
        <v>181</v>
      </c>
      <c r="B135" s="16">
        <f>IFERROR(__xludf.DUMMYFUNCTION("VLOOKUP(A135,IMPORTRANGE(""1aFCnJY1qhIj8-JckJhDJ18aqmVo17tofpQmOjcYa3u8/edit#gid=1878241338"",""S2 Totals!$A$2:$O$255""),2,FALSE)"),2.0)</f>
        <v>2</v>
      </c>
      <c r="C135" s="15">
        <f>IFERROR(__xludf.DUMMYFUNCTION("VLOOKUP(A135,IMPORTRANGE(""1aFCnJY1qhIj8-JckJhDJ18aqmVo17tofpQmOjcYa3u8/edit#gid=1878241338"",""S2 Totals!$A$2:$O$255""),3,FALSE)"),0.18181818181818182)</f>
        <v>0.1818181818</v>
      </c>
      <c r="D135" s="16">
        <f>IFERROR(__xludf.DUMMYFUNCTION("VLOOKUP(A135,IMPORTRANGE(""1QZ5UxyNCwadreQAXnQ7oCoH982DjIA-QnZdO7ZoqkC0/edit#gid=884617569"",""S2 Totals!$A$2:$O$255""),2,FALSE)"),3.0)</f>
        <v>3</v>
      </c>
      <c r="E135" s="15">
        <f>IFERROR(__xludf.DUMMYFUNCTION("VLOOKUP(A135,IMPORTRANGE(""1QZ5UxyNCwadreQAXnQ7oCoH982DjIA-QnZdO7ZoqkC0/edit#gid=884617569"",""S2 Totals!$A$2:$O$255""),3,FALSE)"),0.23076923076923078)</f>
        <v>0.2307692308</v>
      </c>
      <c r="F135" s="15">
        <f t="shared" si="1"/>
        <v>-0.04895104895</v>
      </c>
      <c r="G135" s="16">
        <f>IFERROR(__xludf.DUMMYFUNCTION("VLOOKUP(A135,IMPORTRANGE(""1QZ5UxyNCwadreQAXnQ7oCoH982DjIA-QnZdO7ZoqkC0/edit#gid=884617569"",""S2 Totals!$A$2:$O$255""),4,FALSE)"),2.0)</f>
        <v>2</v>
      </c>
      <c r="H135" s="15">
        <f>IFERROR(__xludf.DUMMYFUNCTION("VLOOKUP(A135,IMPORTRANGE(""1QZ5UxyNCwadreQAXnQ7oCoH982DjIA-QnZdO7ZoqkC0/edit#gid=884617569"",""S2 Totals!$A$2:$O$255""),5,FALSE)"),0.16666666666666666)</f>
        <v>0.1666666667</v>
      </c>
      <c r="I135" s="15">
        <f t="shared" si="2"/>
        <v>0.01515151515</v>
      </c>
      <c r="J135" s="16">
        <f>IFERROR(__xludf.DUMMYFUNCTION("VLOOKUP(A135,IMPORTRANGE(""1QZ5UxyNCwadreQAXnQ7oCoH982DjIA-QnZdO7ZoqkC0/edit#gid=884617569"",""S2 Totals!$A$2:$O$255""),7,FALSE)"),0.0)</f>
        <v>0</v>
      </c>
      <c r="K135" s="15">
        <f>IFERROR(__xludf.DUMMYFUNCTION("VLOOKUP(A135,IMPORTRANGE(""1QZ5UxyNCwadreQAXnQ7oCoH982DjIA-QnZdO7ZoqkC0/edit#gid=884617569"",""S2 Totals!$A$2:$O$255""),8,FALSE)"),0.0)</f>
        <v>0</v>
      </c>
      <c r="L135" s="110">
        <f t="shared" si="3"/>
        <v>0.1818181818</v>
      </c>
      <c r="M135" s="16" t="str">
        <f>IFERROR(__xludf.DUMMYFUNCTION("VLOOKUP(A135,IMPORTRANGE(""1QZ5UxyNCwadreQAXnQ7oCoH982DjIA-QnZdO7ZoqkC0/edit#gid=884617569"",""S2 Totals!$A$2:$O$255""),10,FALSE)"),"")</f>
        <v/>
      </c>
      <c r="N135" s="15" t="str">
        <f>IFERROR(__xludf.DUMMYFUNCTION("VLOOKUP(A135,IMPORTRANGE(""1QZ5UxyNCwadreQAXnQ7oCoH982DjIA-QnZdO7ZoqkC0/edit#gid=884617569"",""S2 Totals!$A$2:$O$255""),11,FALSE)"),"")</f>
        <v/>
      </c>
      <c r="O135" s="110">
        <f t="shared" si="4"/>
        <v>0.1818181818</v>
      </c>
      <c r="P135" s="16" t="str">
        <f>IFERROR(__xludf.DUMMYFUNCTION("VLOOKUP(A135,IMPORTRANGE(""1QZ5UxyNCwadreQAXnQ7oCoH982DjIA-QnZdO7ZoqkC0/edit#gid=884617569"",""S2 Totals!$A$2:$O$255""),13,FALSE)"),"")</f>
        <v/>
      </c>
      <c r="Q135" s="15" t="str">
        <f>IFERROR(__xludf.DUMMYFUNCTION("VLOOKUP(A135,IMPORTRANGE(""1QZ5UxyNCwadreQAXnQ7oCoH982DjIA-QnZdO7ZoqkC0/edit#gid=884617569"",""S2 Totals!$A$2:$O$255""),14,FALSE)"),"")</f>
        <v/>
      </c>
      <c r="R135" s="129">
        <f t="shared" si="5"/>
        <v>0.1818181818</v>
      </c>
    </row>
    <row r="136">
      <c r="A136" s="128" t="s">
        <v>135</v>
      </c>
      <c r="B136" s="16">
        <f>IFERROR(__xludf.DUMMYFUNCTION("VLOOKUP(A136,IMPORTRANGE(""1aFCnJY1qhIj8-JckJhDJ18aqmVo17tofpQmOjcYa3u8/edit#gid=1878241338"",""S2 Totals!$A$2:$O$255""),2,FALSE)"),5.0)</f>
        <v>5</v>
      </c>
      <c r="C136" s="15">
        <f>IFERROR(__xludf.DUMMYFUNCTION("VLOOKUP(A136,IMPORTRANGE(""1aFCnJY1qhIj8-JckJhDJ18aqmVo17tofpQmOjcYa3u8/edit#gid=1878241338"",""S2 Totals!$A$2:$O$255""),3,FALSE)"),0.45454545454545453)</f>
        <v>0.4545454545</v>
      </c>
      <c r="D136" s="16">
        <f>IFERROR(__xludf.DUMMYFUNCTION("VLOOKUP(A136,IMPORTRANGE(""1QZ5UxyNCwadreQAXnQ7oCoH982DjIA-QnZdO7ZoqkC0/edit#gid=884617569"",""S2 Totals!$A$2:$O$255""),2,FALSE)"),4.0)</f>
        <v>4</v>
      </c>
      <c r="E136" s="15">
        <f>IFERROR(__xludf.DUMMYFUNCTION("VLOOKUP(A136,IMPORTRANGE(""1QZ5UxyNCwadreQAXnQ7oCoH982DjIA-QnZdO7ZoqkC0/edit#gid=884617569"",""S2 Totals!$A$2:$O$255""),3,FALSE)"),0.3076923076923077)</f>
        <v>0.3076923077</v>
      </c>
      <c r="F136" s="15">
        <f t="shared" si="1"/>
        <v>0.1468531469</v>
      </c>
      <c r="G136" s="16">
        <f>IFERROR(__xludf.DUMMYFUNCTION("VLOOKUP(A136,IMPORTRANGE(""1QZ5UxyNCwadreQAXnQ7oCoH982DjIA-QnZdO7ZoqkC0/edit#gid=884617569"",""S2 Totals!$A$2:$O$255""),4,FALSE)"),2.0)</f>
        <v>2</v>
      </c>
      <c r="H136" s="15">
        <f>IFERROR(__xludf.DUMMYFUNCTION("VLOOKUP(A136,IMPORTRANGE(""1QZ5UxyNCwadreQAXnQ7oCoH982DjIA-QnZdO7ZoqkC0/edit#gid=884617569"",""S2 Totals!$A$2:$O$255""),5,FALSE)"),0.16666666666666666)</f>
        <v>0.1666666667</v>
      </c>
      <c r="I136" s="15">
        <f t="shared" si="2"/>
        <v>0.2878787879</v>
      </c>
      <c r="J136" s="16">
        <f>IFERROR(__xludf.DUMMYFUNCTION("VLOOKUP(A136,IMPORTRANGE(""1QZ5UxyNCwadreQAXnQ7oCoH982DjIA-QnZdO7ZoqkC0/edit#gid=884617569"",""S2 Totals!$A$2:$O$255""),7,FALSE)"),3.0)</f>
        <v>3</v>
      </c>
      <c r="K136" s="15">
        <f>IFERROR(__xludf.DUMMYFUNCTION("VLOOKUP(A136,IMPORTRANGE(""1QZ5UxyNCwadreQAXnQ7oCoH982DjIA-QnZdO7ZoqkC0/edit#gid=884617569"",""S2 Totals!$A$2:$O$255""),8,FALSE)"),0.25)</f>
        <v>0.25</v>
      </c>
      <c r="L136" s="110">
        <f t="shared" si="3"/>
        <v>0.2045454545</v>
      </c>
      <c r="M136" s="16">
        <f>IFERROR(__xludf.DUMMYFUNCTION("VLOOKUP(A136,IMPORTRANGE(""1QZ5UxyNCwadreQAXnQ7oCoH982DjIA-QnZdO7ZoqkC0/edit#gid=884617569"",""S2 Totals!$A$2:$O$255""),10,FALSE)"),4.0)</f>
        <v>4</v>
      </c>
      <c r="N136" s="15">
        <f>IFERROR(__xludf.DUMMYFUNCTION("VLOOKUP(A136,IMPORTRANGE(""1QZ5UxyNCwadreQAXnQ7oCoH982DjIA-QnZdO7ZoqkC0/edit#gid=884617569"",""S2 Totals!$A$2:$O$255""),11,FALSE)"),0.3076923076923077)</f>
        <v>0.3076923077</v>
      </c>
      <c r="O136" s="110">
        <f t="shared" si="4"/>
        <v>0.1468531469</v>
      </c>
      <c r="P136" s="16" t="str">
        <f>IFERROR(__xludf.DUMMYFUNCTION("VLOOKUP(A136,IMPORTRANGE(""1QZ5UxyNCwadreQAXnQ7oCoH982DjIA-QnZdO7ZoqkC0/edit#gid=884617569"",""S2 Totals!$A$2:$O$255""),13,FALSE)"),"")</f>
        <v/>
      </c>
      <c r="Q136" s="15" t="str">
        <f>IFERROR(__xludf.DUMMYFUNCTION("VLOOKUP(A136,IMPORTRANGE(""1QZ5UxyNCwadreQAXnQ7oCoH982DjIA-QnZdO7ZoqkC0/edit#gid=884617569"",""S2 Totals!$A$2:$O$255""),14,FALSE)"),"")</f>
        <v/>
      </c>
      <c r="R136" s="129">
        <f t="shared" si="5"/>
        <v>0.4545454545</v>
      </c>
    </row>
    <row r="137">
      <c r="A137" s="128" t="s">
        <v>136</v>
      </c>
      <c r="B137" s="16">
        <f>IFERROR(__xludf.DUMMYFUNCTION("VLOOKUP(A137,IMPORTRANGE(""1aFCnJY1qhIj8-JckJhDJ18aqmVo17tofpQmOjcYa3u8/edit#gid=1878241338"",""S2 Totals!$A$2:$O$255""),2,FALSE)"),4.0)</f>
        <v>4</v>
      </c>
      <c r="C137" s="15">
        <f>IFERROR(__xludf.DUMMYFUNCTION("VLOOKUP(A137,IMPORTRANGE(""1aFCnJY1qhIj8-JckJhDJ18aqmVo17tofpQmOjcYa3u8/edit#gid=1878241338"",""S2 Totals!$A$2:$O$255""),3,FALSE)"),0.36363636363636365)</f>
        <v>0.3636363636</v>
      </c>
      <c r="D137" s="16">
        <f>IFERROR(__xludf.DUMMYFUNCTION("VLOOKUP(A137,IMPORTRANGE(""1QZ5UxyNCwadreQAXnQ7oCoH982DjIA-QnZdO7ZoqkC0/edit#gid=884617569"",""S2 Totals!$A$2:$O$255""),2,FALSE)"),4.0)</f>
        <v>4</v>
      </c>
      <c r="E137" s="15">
        <f>IFERROR(__xludf.DUMMYFUNCTION("VLOOKUP(A137,IMPORTRANGE(""1QZ5UxyNCwadreQAXnQ7oCoH982DjIA-QnZdO7ZoqkC0/edit#gid=884617569"",""S2 Totals!$A$2:$O$255""),3,FALSE)"),0.3076923076923077)</f>
        <v>0.3076923077</v>
      </c>
      <c r="F137" s="15">
        <f t="shared" si="1"/>
        <v>0.05594405594</v>
      </c>
      <c r="G137" s="16">
        <f>IFERROR(__xludf.DUMMYFUNCTION("VLOOKUP(A137,IMPORTRANGE(""1QZ5UxyNCwadreQAXnQ7oCoH982DjIA-QnZdO7ZoqkC0/edit#gid=884617569"",""S2 Totals!$A$2:$O$255""),4,FALSE)"),6.0)</f>
        <v>6</v>
      </c>
      <c r="H137" s="15">
        <f>IFERROR(__xludf.DUMMYFUNCTION("VLOOKUP(A137,IMPORTRANGE(""1QZ5UxyNCwadreQAXnQ7oCoH982DjIA-QnZdO7ZoqkC0/edit#gid=884617569"",""S2 Totals!$A$2:$O$255""),5,FALSE)"),0.5)</f>
        <v>0.5</v>
      </c>
      <c r="I137" s="15">
        <f t="shared" si="2"/>
        <v>-0.1363636364</v>
      </c>
      <c r="J137" s="16">
        <f>IFERROR(__xludf.DUMMYFUNCTION("VLOOKUP(A137,IMPORTRANGE(""1QZ5UxyNCwadreQAXnQ7oCoH982DjIA-QnZdO7ZoqkC0/edit#gid=884617569"",""S2 Totals!$A$2:$O$255""),7,FALSE)"),6.0)</f>
        <v>6</v>
      </c>
      <c r="K137" s="15">
        <f>IFERROR(__xludf.DUMMYFUNCTION("VLOOKUP(A137,IMPORTRANGE(""1QZ5UxyNCwadreQAXnQ7oCoH982DjIA-QnZdO7ZoqkC0/edit#gid=884617569"",""S2 Totals!$A$2:$O$255""),8,FALSE)"),0.5)</f>
        <v>0.5</v>
      </c>
      <c r="L137" s="110">
        <f t="shared" si="3"/>
        <v>-0.1363636364</v>
      </c>
      <c r="M137" s="16">
        <f>IFERROR(__xludf.DUMMYFUNCTION("VLOOKUP(A137,IMPORTRANGE(""1QZ5UxyNCwadreQAXnQ7oCoH982DjIA-QnZdO7ZoqkC0/edit#gid=884617569"",""S2 Totals!$A$2:$O$255""),10,FALSE)"),9.0)</f>
        <v>9</v>
      </c>
      <c r="N137" s="15">
        <f>IFERROR(__xludf.DUMMYFUNCTION("VLOOKUP(A137,IMPORTRANGE(""1QZ5UxyNCwadreQAXnQ7oCoH982DjIA-QnZdO7ZoqkC0/edit#gid=884617569"",""S2 Totals!$A$2:$O$255""),11,FALSE)"),0.6923076923076923)</f>
        <v>0.6923076923</v>
      </c>
      <c r="O137" s="110">
        <f t="shared" si="4"/>
        <v>-0.3286713287</v>
      </c>
      <c r="P137" s="16" t="str">
        <f>IFERROR(__xludf.DUMMYFUNCTION("VLOOKUP(A137,IMPORTRANGE(""1QZ5UxyNCwadreQAXnQ7oCoH982DjIA-QnZdO7ZoqkC0/edit#gid=884617569"",""S2 Totals!$A$2:$O$255""),13,FALSE)"),"")</f>
        <v/>
      </c>
      <c r="Q137" s="15" t="str">
        <f>IFERROR(__xludf.DUMMYFUNCTION("VLOOKUP(A137,IMPORTRANGE(""1QZ5UxyNCwadreQAXnQ7oCoH982DjIA-QnZdO7ZoqkC0/edit#gid=884617569"",""S2 Totals!$A$2:$O$255""),14,FALSE)"),"")</f>
        <v/>
      </c>
      <c r="R137" s="129">
        <f t="shared" si="5"/>
        <v>0.3636363636</v>
      </c>
    </row>
    <row r="138">
      <c r="A138" s="128" t="s">
        <v>88</v>
      </c>
      <c r="B138" s="16">
        <f>IFERROR(__xludf.DUMMYFUNCTION("VLOOKUP(A138,IMPORTRANGE(""1aFCnJY1qhIj8-JckJhDJ18aqmVo17tofpQmOjcYa3u8/edit#gid=1878241338"",""S2 Totals!$A$2:$O$255""),2,FALSE)"),0.0)</f>
        <v>0</v>
      </c>
      <c r="C138" s="15">
        <f>IFERROR(__xludf.DUMMYFUNCTION("VLOOKUP(A138,IMPORTRANGE(""1aFCnJY1qhIj8-JckJhDJ18aqmVo17tofpQmOjcYa3u8/edit#gid=1878241338"",""S2 Totals!$A$2:$O$255""),3,FALSE)"),0.0)</f>
        <v>0</v>
      </c>
      <c r="D138" s="16">
        <f>IFERROR(__xludf.DUMMYFUNCTION("VLOOKUP(A138,IMPORTRANGE(""1QZ5UxyNCwadreQAXnQ7oCoH982DjIA-QnZdO7ZoqkC0/edit#gid=884617569"",""S2 Totals!$A$2:$O$255""),2,FALSE)"),0.0)</f>
        <v>0</v>
      </c>
      <c r="E138" s="15">
        <f>IFERROR(__xludf.DUMMYFUNCTION("VLOOKUP(A138,IMPORTRANGE(""1QZ5UxyNCwadreQAXnQ7oCoH982DjIA-QnZdO7ZoqkC0/edit#gid=884617569"",""S2 Totals!$A$2:$O$255""),3,FALSE)"),0.0)</f>
        <v>0</v>
      </c>
      <c r="F138" s="15">
        <f t="shared" si="1"/>
        <v>0</v>
      </c>
      <c r="G138" s="16">
        <f>IFERROR(__xludf.DUMMYFUNCTION("VLOOKUP(A138,IMPORTRANGE(""1QZ5UxyNCwadreQAXnQ7oCoH982DjIA-QnZdO7ZoqkC0/edit#gid=884617569"",""S2 Totals!$A$2:$O$255""),4,FALSE)"),0.0)</f>
        <v>0</v>
      </c>
      <c r="H138" s="15">
        <f>IFERROR(__xludf.DUMMYFUNCTION("VLOOKUP(A138,IMPORTRANGE(""1QZ5UxyNCwadreQAXnQ7oCoH982DjIA-QnZdO7ZoqkC0/edit#gid=884617569"",""S2 Totals!$A$2:$O$255""),5,FALSE)"),0.0)</f>
        <v>0</v>
      </c>
      <c r="I138" s="15">
        <f t="shared" si="2"/>
        <v>0</v>
      </c>
      <c r="J138" s="16">
        <f>IFERROR(__xludf.DUMMYFUNCTION("VLOOKUP(A138,IMPORTRANGE(""1QZ5UxyNCwadreQAXnQ7oCoH982DjIA-QnZdO7ZoqkC0/edit#gid=884617569"",""S2 Totals!$A$2:$O$255""),7,FALSE)"),0.0)</f>
        <v>0</v>
      </c>
      <c r="K138" s="15">
        <f>IFERROR(__xludf.DUMMYFUNCTION("VLOOKUP(A138,IMPORTRANGE(""1QZ5UxyNCwadreQAXnQ7oCoH982DjIA-QnZdO7ZoqkC0/edit#gid=884617569"",""S2 Totals!$A$2:$O$255""),8,FALSE)"),0.0)</f>
        <v>0</v>
      </c>
      <c r="L138" s="110">
        <f t="shared" si="3"/>
        <v>0</v>
      </c>
      <c r="M138" s="16">
        <f>IFERROR(__xludf.DUMMYFUNCTION("VLOOKUP(A138,IMPORTRANGE(""1QZ5UxyNCwadreQAXnQ7oCoH982DjIA-QnZdO7ZoqkC0/edit#gid=884617569"",""S2 Totals!$A$2:$O$255""),10,FALSE)"),0.0)</f>
        <v>0</v>
      </c>
      <c r="N138" s="15">
        <f>IFERROR(__xludf.DUMMYFUNCTION("VLOOKUP(A138,IMPORTRANGE(""1QZ5UxyNCwadreQAXnQ7oCoH982DjIA-QnZdO7ZoqkC0/edit#gid=884617569"",""S2 Totals!$A$2:$O$255""),11,FALSE)"),0.0)</f>
        <v>0</v>
      </c>
      <c r="O138" s="110">
        <f t="shared" si="4"/>
        <v>0</v>
      </c>
      <c r="P138" s="16">
        <f>IFERROR(__xludf.DUMMYFUNCTION("VLOOKUP(A138,IMPORTRANGE(""1QZ5UxyNCwadreQAXnQ7oCoH982DjIA-QnZdO7ZoqkC0/edit#gid=884617569"",""S2 Totals!$A$2:$O$255""),13,FALSE)"),0.0)</f>
        <v>0</v>
      </c>
      <c r="Q138" s="15">
        <f>IFERROR(__xludf.DUMMYFUNCTION("VLOOKUP(A138,IMPORTRANGE(""1QZ5UxyNCwadreQAXnQ7oCoH982DjIA-QnZdO7ZoqkC0/edit#gid=884617569"",""S2 Totals!$A$2:$O$255""),14,FALSE)"),0.0)</f>
        <v>0</v>
      </c>
      <c r="R138" s="129">
        <f t="shared" si="5"/>
        <v>0</v>
      </c>
    </row>
    <row r="139">
      <c r="A139" s="128" t="s">
        <v>137</v>
      </c>
      <c r="B139" s="16">
        <f>IFERROR(__xludf.DUMMYFUNCTION("VLOOKUP(A139,IMPORTRANGE(""1aFCnJY1qhIj8-JckJhDJ18aqmVo17tofpQmOjcYa3u8/edit#gid=1878241338"",""S2 Totals!$A$2:$O$255""),2,FALSE)"),1.0)</f>
        <v>1</v>
      </c>
      <c r="C139" s="15">
        <f>IFERROR(__xludf.DUMMYFUNCTION("VLOOKUP(A139,IMPORTRANGE(""1aFCnJY1qhIj8-JckJhDJ18aqmVo17tofpQmOjcYa3u8/edit#gid=1878241338"",""S2 Totals!$A$2:$O$255""),3,FALSE)"),0.09090909090909091)</f>
        <v>0.09090909091</v>
      </c>
      <c r="D139" s="16">
        <f>IFERROR(__xludf.DUMMYFUNCTION("VLOOKUP(A139,IMPORTRANGE(""1QZ5UxyNCwadreQAXnQ7oCoH982DjIA-QnZdO7ZoqkC0/edit#gid=884617569"",""S2 Totals!$A$2:$O$255""),2,FALSE)"),2.0)</f>
        <v>2</v>
      </c>
      <c r="E139" s="15">
        <f>IFERROR(__xludf.DUMMYFUNCTION("VLOOKUP(A139,IMPORTRANGE(""1QZ5UxyNCwadreQAXnQ7oCoH982DjIA-QnZdO7ZoqkC0/edit#gid=884617569"",""S2 Totals!$A$2:$O$255""),3,FALSE)"),0.15384615384615385)</f>
        <v>0.1538461538</v>
      </c>
      <c r="F139" s="15">
        <f t="shared" si="1"/>
        <v>-0.06293706294</v>
      </c>
      <c r="G139" s="16">
        <f>IFERROR(__xludf.DUMMYFUNCTION("VLOOKUP(A139,IMPORTRANGE(""1QZ5UxyNCwadreQAXnQ7oCoH982DjIA-QnZdO7ZoqkC0/edit#gid=884617569"",""S2 Totals!$A$2:$O$255""),4,FALSE)"),2.0)</f>
        <v>2</v>
      </c>
      <c r="H139" s="15">
        <f>IFERROR(__xludf.DUMMYFUNCTION("VLOOKUP(A139,IMPORTRANGE(""1QZ5UxyNCwadreQAXnQ7oCoH982DjIA-QnZdO7ZoqkC0/edit#gid=884617569"",""S2 Totals!$A$2:$O$255""),5,FALSE)"),0.16666666666666666)</f>
        <v>0.1666666667</v>
      </c>
      <c r="I139" s="15">
        <f t="shared" si="2"/>
        <v>-0.07575757576</v>
      </c>
      <c r="J139" s="16">
        <f>IFERROR(__xludf.DUMMYFUNCTION("VLOOKUP(A139,IMPORTRANGE(""1QZ5UxyNCwadreQAXnQ7oCoH982DjIA-QnZdO7ZoqkC0/edit#gid=884617569"",""S2 Totals!$A$2:$O$255""),7,FALSE)"),0.0)</f>
        <v>0</v>
      </c>
      <c r="K139" s="15">
        <f>IFERROR(__xludf.DUMMYFUNCTION("VLOOKUP(A139,IMPORTRANGE(""1QZ5UxyNCwadreQAXnQ7oCoH982DjIA-QnZdO7ZoqkC0/edit#gid=884617569"",""S2 Totals!$A$2:$O$255""),8,FALSE)"),0.0)</f>
        <v>0</v>
      </c>
      <c r="L139" s="110">
        <f t="shared" si="3"/>
        <v>0.09090909091</v>
      </c>
      <c r="M139" s="16">
        <f>IFERROR(__xludf.DUMMYFUNCTION("VLOOKUP(A139,IMPORTRANGE(""1QZ5UxyNCwadreQAXnQ7oCoH982DjIA-QnZdO7ZoqkC0/edit#gid=884617569"",""S2 Totals!$A$2:$O$255""),10,FALSE)"),0.0)</f>
        <v>0</v>
      </c>
      <c r="N139" s="15">
        <f>IFERROR(__xludf.DUMMYFUNCTION("VLOOKUP(A139,IMPORTRANGE(""1QZ5UxyNCwadreQAXnQ7oCoH982DjIA-QnZdO7ZoqkC0/edit#gid=884617569"",""S2 Totals!$A$2:$O$255""),11,FALSE)"),0.0)</f>
        <v>0</v>
      </c>
      <c r="O139" s="110">
        <f t="shared" si="4"/>
        <v>0.09090909091</v>
      </c>
      <c r="P139" s="16" t="str">
        <f>IFERROR(__xludf.DUMMYFUNCTION("VLOOKUP(A139,IMPORTRANGE(""1QZ5UxyNCwadreQAXnQ7oCoH982DjIA-QnZdO7ZoqkC0/edit#gid=884617569"",""S2 Totals!$A$2:$O$255""),13,FALSE)"),"")</f>
        <v/>
      </c>
      <c r="Q139" s="15" t="str">
        <f>IFERROR(__xludf.DUMMYFUNCTION("VLOOKUP(A139,IMPORTRANGE(""1QZ5UxyNCwadreQAXnQ7oCoH982DjIA-QnZdO7ZoqkC0/edit#gid=884617569"",""S2 Totals!$A$2:$O$255""),14,FALSE)"),"")</f>
        <v/>
      </c>
      <c r="R139" s="129">
        <f t="shared" si="5"/>
        <v>0.09090909091</v>
      </c>
    </row>
    <row r="140">
      <c r="A140" s="128" t="s">
        <v>67</v>
      </c>
      <c r="B140" s="16">
        <f>IFERROR(__xludf.DUMMYFUNCTION("VLOOKUP(A140,IMPORTRANGE(""1aFCnJY1qhIj8-JckJhDJ18aqmVo17tofpQmOjcYa3u8/edit#gid=1878241338"",""S2 Totals!$A$2:$O$255""),2,FALSE)"),7.0)</f>
        <v>7</v>
      </c>
      <c r="C140" s="15">
        <f>IFERROR(__xludf.DUMMYFUNCTION("VLOOKUP(A140,IMPORTRANGE(""1aFCnJY1qhIj8-JckJhDJ18aqmVo17tofpQmOjcYa3u8/edit#gid=1878241338"",""S2 Totals!$A$2:$O$255""),3,FALSE)"),0.6363636363636364)</f>
        <v>0.6363636364</v>
      </c>
      <c r="D140" s="16">
        <f>IFERROR(__xludf.DUMMYFUNCTION("VLOOKUP(A140,IMPORTRANGE(""1QZ5UxyNCwadreQAXnQ7oCoH982DjIA-QnZdO7ZoqkC0/edit#gid=884617569"",""S2 Totals!$A$2:$O$255""),2,FALSE)"),10.0)</f>
        <v>10</v>
      </c>
      <c r="E140" s="15">
        <f>IFERROR(__xludf.DUMMYFUNCTION("VLOOKUP(A140,IMPORTRANGE(""1QZ5UxyNCwadreQAXnQ7oCoH982DjIA-QnZdO7ZoqkC0/edit#gid=884617569"",""S2 Totals!$A$2:$O$255""),3,FALSE)"),0.7692307692307693)</f>
        <v>0.7692307692</v>
      </c>
      <c r="F140" s="15">
        <f t="shared" si="1"/>
        <v>-0.1328671329</v>
      </c>
      <c r="G140" s="16">
        <f>IFERROR(__xludf.DUMMYFUNCTION("VLOOKUP(A140,IMPORTRANGE(""1QZ5UxyNCwadreQAXnQ7oCoH982DjIA-QnZdO7ZoqkC0/edit#gid=884617569"",""S2 Totals!$A$2:$O$255""),4,FALSE)"),8.0)</f>
        <v>8</v>
      </c>
      <c r="H140" s="15">
        <f>IFERROR(__xludf.DUMMYFUNCTION("VLOOKUP(A140,IMPORTRANGE(""1QZ5UxyNCwadreQAXnQ7oCoH982DjIA-QnZdO7ZoqkC0/edit#gid=884617569"",""S2 Totals!$A$2:$O$255""),5,FALSE)"),0.6666666666666666)</f>
        <v>0.6666666667</v>
      </c>
      <c r="I140" s="15">
        <f t="shared" si="2"/>
        <v>-0.0303030303</v>
      </c>
      <c r="J140" s="16">
        <f>IFERROR(__xludf.DUMMYFUNCTION("VLOOKUP(A140,IMPORTRANGE(""1QZ5UxyNCwadreQAXnQ7oCoH982DjIA-QnZdO7ZoqkC0/edit#gid=884617569"",""S2 Totals!$A$2:$O$255""),7,FALSE)"),4.0)</f>
        <v>4</v>
      </c>
      <c r="K140" s="15">
        <f>IFERROR(__xludf.DUMMYFUNCTION("VLOOKUP(A140,IMPORTRANGE(""1QZ5UxyNCwadreQAXnQ7oCoH982DjIA-QnZdO7ZoqkC0/edit#gid=884617569"",""S2 Totals!$A$2:$O$255""),8,FALSE)"),0.3333333333333333)</f>
        <v>0.3333333333</v>
      </c>
      <c r="L140" s="110">
        <f t="shared" si="3"/>
        <v>0.303030303</v>
      </c>
      <c r="M140" s="16">
        <f>IFERROR(__xludf.DUMMYFUNCTION("VLOOKUP(A140,IMPORTRANGE(""1QZ5UxyNCwadreQAXnQ7oCoH982DjIA-QnZdO7ZoqkC0/edit#gid=884617569"",""S2 Totals!$A$2:$O$255""),10,FALSE)"),4.0)</f>
        <v>4</v>
      </c>
      <c r="N140" s="15">
        <f>IFERROR(__xludf.DUMMYFUNCTION("VLOOKUP(A140,IMPORTRANGE(""1QZ5UxyNCwadreQAXnQ7oCoH982DjIA-QnZdO7ZoqkC0/edit#gid=884617569"",""S2 Totals!$A$2:$O$255""),11,FALSE)"),0.3076923076923077)</f>
        <v>0.3076923077</v>
      </c>
      <c r="O140" s="110">
        <f t="shared" si="4"/>
        <v>0.3286713287</v>
      </c>
      <c r="P140" s="16">
        <f>IFERROR(__xludf.DUMMYFUNCTION("VLOOKUP(A140,IMPORTRANGE(""1QZ5UxyNCwadreQAXnQ7oCoH982DjIA-QnZdO7ZoqkC0/edit#gid=884617569"",""S2 Totals!$A$2:$O$255""),13,FALSE)"),4.0)</f>
        <v>4</v>
      </c>
      <c r="Q140" s="15">
        <f>IFERROR(__xludf.DUMMYFUNCTION("VLOOKUP(A140,IMPORTRANGE(""1QZ5UxyNCwadreQAXnQ7oCoH982DjIA-QnZdO7ZoqkC0/edit#gid=884617569"",""S2 Totals!$A$2:$O$255""),14,FALSE)"),0.3333333333333333)</f>
        <v>0.3333333333</v>
      </c>
      <c r="R140" s="129">
        <f t="shared" si="5"/>
        <v>0.303030303</v>
      </c>
    </row>
    <row r="141">
      <c r="A141" s="128" t="s">
        <v>68</v>
      </c>
      <c r="B141" s="16">
        <f>IFERROR(__xludf.DUMMYFUNCTION("VLOOKUP(A141,IMPORTRANGE(""1aFCnJY1qhIj8-JckJhDJ18aqmVo17tofpQmOjcYa3u8/edit#gid=1878241338"",""S2 Totals!$A$2:$O$255""),2,FALSE)"),6.0)</f>
        <v>6</v>
      </c>
      <c r="C141" s="15">
        <f>IFERROR(__xludf.DUMMYFUNCTION("VLOOKUP(A141,IMPORTRANGE(""1aFCnJY1qhIj8-JckJhDJ18aqmVo17tofpQmOjcYa3u8/edit#gid=1878241338"",""S2 Totals!$A$2:$O$255""),3,FALSE)"),0.5454545454545454)</f>
        <v>0.5454545455</v>
      </c>
      <c r="D141" s="16">
        <f>IFERROR(__xludf.DUMMYFUNCTION("VLOOKUP(A141,IMPORTRANGE(""1QZ5UxyNCwadreQAXnQ7oCoH982DjIA-QnZdO7ZoqkC0/edit#gid=884617569"",""S2 Totals!$A$2:$O$255""),2,FALSE)"),6.0)</f>
        <v>6</v>
      </c>
      <c r="E141" s="15">
        <f>IFERROR(__xludf.DUMMYFUNCTION("VLOOKUP(A141,IMPORTRANGE(""1QZ5UxyNCwadreQAXnQ7oCoH982DjIA-QnZdO7ZoqkC0/edit#gid=884617569"",""S2 Totals!$A$2:$O$255""),3,FALSE)"),0.46153846153846156)</f>
        <v>0.4615384615</v>
      </c>
      <c r="F141" s="15">
        <f t="shared" si="1"/>
        <v>0.08391608392</v>
      </c>
      <c r="G141" s="16">
        <f>IFERROR(__xludf.DUMMYFUNCTION("VLOOKUP(A141,IMPORTRANGE(""1QZ5UxyNCwadreQAXnQ7oCoH982DjIA-QnZdO7ZoqkC0/edit#gid=884617569"",""S2 Totals!$A$2:$O$255""),4,FALSE)"),6.0)</f>
        <v>6</v>
      </c>
      <c r="H141" s="15">
        <f>IFERROR(__xludf.DUMMYFUNCTION("VLOOKUP(A141,IMPORTRANGE(""1QZ5UxyNCwadreQAXnQ7oCoH982DjIA-QnZdO7ZoqkC0/edit#gid=884617569"",""S2 Totals!$A$2:$O$255""),5,FALSE)"),0.5)</f>
        <v>0.5</v>
      </c>
      <c r="I141" s="15">
        <f t="shared" si="2"/>
        <v>0.04545454545</v>
      </c>
      <c r="J141" s="16">
        <f>IFERROR(__xludf.DUMMYFUNCTION("VLOOKUP(A141,IMPORTRANGE(""1QZ5UxyNCwadreQAXnQ7oCoH982DjIA-QnZdO7ZoqkC0/edit#gid=884617569"",""S2 Totals!$A$2:$O$255""),7,FALSE)"),8.0)</f>
        <v>8</v>
      </c>
      <c r="K141" s="15">
        <f>IFERROR(__xludf.DUMMYFUNCTION("VLOOKUP(A141,IMPORTRANGE(""1QZ5UxyNCwadreQAXnQ7oCoH982DjIA-QnZdO7ZoqkC0/edit#gid=884617569"",""S2 Totals!$A$2:$O$255""),8,FALSE)"),0.6666666666666666)</f>
        <v>0.6666666667</v>
      </c>
      <c r="L141" s="110">
        <f t="shared" si="3"/>
        <v>-0.1212121212</v>
      </c>
      <c r="M141" s="16">
        <f>IFERROR(__xludf.DUMMYFUNCTION("VLOOKUP(A141,IMPORTRANGE(""1QZ5UxyNCwadreQAXnQ7oCoH982DjIA-QnZdO7ZoqkC0/edit#gid=884617569"",""S2 Totals!$A$2:$O$255""),10,FALSE)"),11.0)</f>
        <v>11</v>
      </c>
      <c r="N141" s="15">
        <f>IFERROR(__xludf.DUMMYFUNCTION("VLOOKUP(A141,IMPORTRANGE(""1QZ5UxyNCwadreQAXnQ7oCoH982DjIA-QnZdO7ZoqkC0/edit#gid=884617569"",""S2 Totals!$A$2:$O$255""),11,FALSE)"),0.8461538461538461)</f>
        <v>0.8461538462</v>
      </c>
      <c r="O141" s="110">
        <f t="shared" si="4"/>
        <v>-0.3006993007</v>
      </c>
      <c r="P141" s="16">
        <f>IFERROR(__xludf.DUMMYFUNCTION("VLOOKUP(A141,IMPORTRANGE(""1QZ5UxyNCwadreQAXnQ7oCoH982DjIA-QnZdO7ZoqkC0/edit#gid=884617569"",""S2 Totals!$A$2:$O$255""),13,FALSE)"),6.0)</f>
        <v>6</v>
      </c>
      <c r="Q141" s="15">
        <f>IFERROR(__xludf.DUMMYFUNCTION("VLOOKUP(A141,IMPORTRANGE(""1QZ5UxyNCwadreQAXnQ7oCoH982DjIA-QnZdO7ZoqkC0/edit#gid=884617569"",""S2 Totals!$A$2:$O$255""),14,FALSE)"),0.5)</f>
        <v>0.5</v>
      </c>
      <c r="R141" s="129">
        <f t="shared" si="5"/>
        <v>0.04545454545</v>
      </c>
    </row>
    <row r="142">
      <c r="A142" s="128" t="s">
        <v>69</v>
      </c>
      <c r="B142" s="16">
        <f>IFERROR(__xludf.DUMMYFUNCTION("VLOOKUP(A142,IMPORTRANGE(""1aFCnJY1qhIj8-JckJhDJ18aqmVo17tofpQmOjcYa3u8/edit#gid=1878241338"",""S2 Totals!$A$2:$O$255""),2,FALSE)"),1.0)</f>
        <v>1</v>
      </c>
      <c r="C142" s="15">
        <f>IFERROR(__xludf.DUMMYFUNCTION("VLOOKUP(A142,IMPORTRANGE(""1aFCnJY1qhIj8-JckJhDJ18aqmVo17tofpQmOjcYa3u8/edit#gid=1878241338"",""S2 Totals!$A$2:$O$255""),3,FALSE)"),0.09090909090909091)</f>
        <v>0.09090909091</v>
      </c>
      <c r="D142" s="16">
        <f>IFERROR(__xludf.DUMMYFUNCTION("VLOOKUP(A142,IMPORTRANGE(""1QZ5UxyNCwadreQAXnQ7oCoH982DjIA-QnZdO7ZoqkC0/edit#gid=884617569"",""S2 Totals!$A$2:$O$255""),2,FALSE)"),2.0)</f>
        <v>2</v>
      </c>
      <c r="E142" s="15">
        <f>IFERROR(__xludf.DUMMYFUNCTION("VLOOKUP(A142,IMPORTRANGE(""1QZ5UxyNCwadreQAXnQ7oCoH982DjIA-QnZdO7ZoqkC0/edit#gid=884617569"",""S2 Totals!$A$2:$O$255""),3,FALSE)"),0.15384615384615385)</f>
        <v>0.1538461538</v>
      </c>
      <c r="F142" s="15">
        <f t="shared" si="1"/>
        <v>-0.06293706294</v>
      </c>
      <c r="G142" s="16">
        <f>IFERROR(__xludf.DUMMYFUNCTION("VLOOKUP(A142,IMPORTRANGE(""1QZ5UxyNCwadreQAXnQ7oCoH982DjIA-QnZdO7ZoqkC0/edit#gid=884617569"",""S2 Totals!$A$2:$O$255""),4,FALSE)"),1.0)</f>
        <v>1</v>
      </c>
      <c r="H142" s="15">
        <f>IFERROR(__xludf.DUMMYFUNCTION("VLOOKUP(A142,IMPORTRANGE(""1QZ5UxyNCwadreQAXnQ7oCoH982DjIA-QnZdO7ZoqkC0/edit#gid=884617569"",""S2 Totals!$A$2:$O$255""),5,FALSE)"),0.08333333333333333)</f>
        <v>0.08333333333</v>
      </c>
      <c r="I142" s="15">
        <f t="shared" si="2"/>
        <v>0.007575757576</v>
      </c>
      <c r="J142" s="16">
        <f>IFERROR(__xludf.DUMMYFUNCTION("VLOOKUP(A142,IMPORTRANGE(""1QZ5UxyNCwadreQAXnQ7oCoH982DjIA-QnZdO7ZoqkC0/edit#gid=884617569"",""S2 Totals!$A$2:$O$255""),7,FALSE)"),1.0)</f>
        <v>1</v>
      </c>
      <c r="K142" s="15">
        <f>IFERROR(__xludf.DUMMYFUNCTION("VLOOKUP(A142,IMPORTRANGE(""1QZ5UxyNCwadreQAXnQ7oCoH982DjIA-QnZdO7ZoqkC0/edit#gid=884617569"",""S2 Totals!$A$2:$O$255""),8,FALSE)"),0.08333333333333333)</f>
        <v>0.08333333333</v>
      </c>
      <c r="L142" s="110">
        <f t="shared" si="3"/>
        <v>0.007575757576</v>
      </c>
      <c r="M142" s="16">
        <f>IFERROR(__xludf.DUMMYFUNCTION("VLOOKUP(A142,IMPORTRANGE(""1QZ5UxyNCwadreQAXnQ7oCoH982DjIA-QnZdO7ZoqkC0/edit#gid=884617569"",""S2 Totals!$A$2:$O$255""),10,FALSE)"),4.0)</f>
        <v>4</v>
      </c>
      <c r="N142" s="15">
        <f>IFERROR(__xludf.DUMMYFUNCTION("VLOOKUP(A142,IMPORTRANGE(""1QZ5UxyNCwadreQAXnQ7oCoH982DjIA-QnZdO7ZoqkC0/edit#gid=884617569"",""S2 Totals!$A$2:$O$255""),11,FALSE)"),0.3076923076923077)</f>
        <v>0.3076923077</v>
      </c>
      <c r="O142" s="110">
        <f t="shared" si="4"/>
        <v>-0.2167832168</v>
      </c>
      <c r="P142" s="16">
        <f>IFERROR(__xludf.DUMMYFUNCTION("VLOOKUP(A142,IMPORTRANGE(""1QZ5UxyNCwadreQAXnQ7oCoH982DjIA-QnZdO7ZoqkC0/edit#gid=884617569"",""S2 Totals!$A$2:$O$255""),13,FALSE)"),0.0)</f>
        <v>0</v>
      </c>
      <c r="Q142" s="15">
        <f>IFERROR(__xludf.DUMMYFUNCTION("VLOOKUP(A142,IMPORTRANGE(""1QZ5UxyNCwadreQAXnQ7oCoH982DjIA-QnZdO7ZoqkC0/edit#gid=884617569"",""S2 Totals!$A$2:$O$255""),14,FALSE)"),0.0)</f>
        <v>0</v>
      </c>
      <c r="R142" s="129">
        <f t="shared" si="5"/>
        <v>0.09090909091</v>
      </c>
    </row>
    <row r="143">
      <c r="A143" s="128" t="s">
        <v>182</v>
      </c>
      <c r="B143" s="16">
        <f>IFERROR(__xludf.DUMMYFUNCTION("VLOOKUP(A143,IMPORTRANGE(""1aFCnJY1qhIj8-JckJhDJ18aqmVo17tofpQmOjcYa3u8/edit#gid=1878241338"",""S2 Totals!$A$2:$O$255""),2,FALSE)"),1.0)</f>
        <v>1</v>
      </c>
      <c r="C143" s="15">
        <f>IFERROR(__xludf.DUMMYFUNCTION("VLOOKUP(A143,IMPORTRANGE(""1aFCnJY1qhIj8-JckJhDJ18aqmVo17tofpQmOjcYa3u8/edit#gid=1878241338"",""S2 Totals!$A$2:$O$255""),3,FALSE)"),0.09090909090909091)</f>
        <v>0.09090909091</v>
      </c>
      <c r="D143" s="16">
        <f>IFERROR(__xludf.DUMMYFUNCTION("VLOOKUP(A143,IMPORTRANGE(""1QZ5UxyNCwadreQAXnQ7oCoH982DjIA-QnZdO7ZoqkC0/edit#gid=884617569"",""S2 Totals!$A$2:$O$255""),2,FALSE)"),2.0)</f>
        <v>2</v>
      </c>
      <c r="E143" s="15">
        <f>IFERROR(__xludf.DUMMYFUNCTION("VLOOKUP(A143,IMPORTRANGE(""1QZ5UxyNCwadreQAXnQ7oCoH982DjIA-QnZdO7ZoqkC0/edit#gid=884617569"",""S2 Totals!$A$2:$O$255""),3,FALSE)"),0.15384615384615385)</f>
        <v>0.1538461538</v>
      </c>
      <c r="F143" s="15">
        <f t="shared" si="1"/>
        <v>-0.06293706294</v>
      </c>
      <c r="G143" s="16">
        <f>IFERROR(__xludf.DUMMYFUNCTION("VLOOKUP(A143,IMPORTRANGE(""1QZ5UxyNCwadreQAXnQ7oCoH982DjIA-QnZdO7ZoqkC0/edit#gid=884617569"",""S2 Totals!$A$2:$O$255""),4,FALSE)"),2.0)</f>
        <v>2</v>
      </c>
      <c r="H143" s="15">
        <f>IFERROR(__xludf.DUMMYFUNCTION("VLOOKUP(A143,IMPORTRANGE(""1QZ5UxyNCwadreQAXnQ7oCoH982DjIA-QnZdO7ZoqkC0/edit#gid=884617569"",""S2 Totals!$A$2:$O$255""),5,FALSE)"),0.16666666666666666)</f>
        <v>0.1666666667</v>
      </c>
      <c r="I143" s="15">
        <f t="shared" si="2"/>
        <v>-0.07575757576</v>
      </c>
      <c r="J143" s="16">
        <f>IFERROR(__xludf.DUMMYFUNCTION("VLOOKUP(A143,IMPORTRANGE(""1QZ5UxyNCwadreQAXnQ7oCoH982DjIA-QnZdO7ZoqkC0/edit#gid=884617569"",""S2 Totals!$A$2:$O$255""),7,FALSE)"),4.0)</f>
        <v>4</v>
      </c>
      <c r="K143" s="15">
        <f>IFERROR(__xludf.DUMMYFUNCTION("VLOOKUP(A143,IMPORTRANGE(""1QZ5UxyNCwadreQAXnQ7oCoH982DjIA-QnZdO7ZoqkC0/edit#gid=884617569"",""S2 Totals!$A$2:$O$255""),8,FALSE)"),0.3333333333333333)</f>
        <v>0.3333333333</v>
      </c>
      <c r="L143" s="110">
        <f t="shared" si="3"/>
        <v>-0.2424242424</v>
      </c>
      <c r="M143" s="16" t="str">
        <f>IFERROR(__xludf.DUMMYFUNCTION("VLOOKUP(A143,IMPORTRANGE(""1QZ5UxyNCwadreQAXnQ7oCoH982DjIA-QnZdO7ZoqkC0/edit#gid=884617569"",""S2 Totals!$A$2:$O$255""),10,FALSE)"),"")</f>
        <v/>
      </c>
      <c r="N143" s="15" t="str">
        <f>IFERROR(__xludf.DUMMYFUNCTION("VLOOKUP(A143,IMPORTRANGE(""1QZ5UxyNCwadreQAXnQ7oCoH982DjIA-QnZdO7ZoqkC0/edit#gid=884617569"",""S2 Totals!$A$2:$O$255""),11,FALSE)"),"")</f>
        <v/>
      </c>
      <c r="O143" s="110">
        <f t="shared" si="4"/>
        <v>0.09090909091</v>
      </c>
      <c r="P143" s="16" t="str">
        <f>IFERROR(__xludf.DUMMYFUNCTION("VLOOKUP(A143,IMPORTRANGE(""1QZ5UxyNCwadreQAXnQ7oCoH982DjIA-QnZdO7ZoqkC0/edit#gid=884617569"",""S2 Totals!$A$2:$O$255""),13,FALSE)"),"")</f>
        <v/>
      </c>
      <c r="Q143" s="15" t="str">
        <f>IFERROR(__xludf.DUMMYFUNCTION("VLOOKUP(A143,IMPORTRANGE(""1QZ5UxyNCwadreQAXnQ7oCoH982DjIA-QnZdO7ZoqkC0/edit#gid=884617569"",""S2 Totals!$A$2:$O$255""),14,FALSE)"),"")</f>
        <v/>
      </c>
      <c r="R143" s="129">
        <f t="shared" si="5"/>
        <v>0.09090909091</v>
      </c>
    </row>
    <row r="144">
      <c r="A144" s="128" t="s">
        <v>70</v>
      </c>
      <c r="B144" s="16">
        <f>IFERROR(__xludf.DUMMYFUNCTION("VLOOKUP(A144,IMPORTRANGE(""1aFCnJY1qhIj8-JckJhDJ18aqmVo17tofpQmOjcYa3u8/edit#gid=1878241338"",""S2 Totals!$A$2:$O$255""),2,FALSE)"),6.0)</f>
        <v>6</v>
      </c>
      <c r="C144" s="15">
        <f>IFERROR(__xludf.DUMMYFUNCTION("VLOOKUP(A144,IMPORTRANGE(""1aFCnJY1qhIj8-JckJhDJ18aqmVo17tofpQmOjcYa3u8/edit#gid=1878241338"",""S2 Totals!$A$2:$O$255""),3,FALSE)"),0.5454545454545454)</f>
        <v>0.5454545455</v>
      </c>
      <c r="D144" s="16">
        <f>IFERROR(__xludf.DUMMYFUNCTION("VLOOKUP(A144,IMPORTRANGE(""1QZ5UxyNCwadreQAXnQ7oCoH982DjIA-QnZdO7ZoqkC0/edit#gid=884617569"",""S2 Totals!$A$2:$O$255""),2,FALSE)"),2.0)</f>
        <v>2</v>
      </c>
      <c r="E144" s="15">
        <f>IFERROR(__xludf.DUMMYFUNCTION("VLOOKUP(A144,IMPORTRANGE(""1QZ5UxyNCwadreQAXnQ7oCoH982DjIA-QnZdO7ZoqkC0/edit#gid=884617569"",""S2 Totals!$A$2:$O$255""),3,FALSE)"),0.15384615384615385)</f>
        <v>0.1538461538</v>
      </c>
      <c r="F144" s="15">
        <f t="shared" si="1"/>
        <v>0.3916083916</v>
      </c>
      <c r="G144" s="16">
        <f>IFERROR(__xludf.DUMMYFUNCTION("VLOOKUP(A144,IMPORTRANGE(""1QZ5UxyNCwadreQAXnQ7oCoH982DjIA-QnZdO7ZoqkC0/edit#gid=884617569"",""S2 Totals!$A$2:$O$255""),4,FALSE)"),2.0)</f>
        <v>2</v>
      </c>
      <c r="H144" s="15">
        <f>IFERROR(__xludf.DUMMYFUNCTION("VLOOKUP(A144,IMPORTRANGE(""1QZ5UxyNCwadreQAXnQ7oCoH982DjIA-QnZdO7ZoqkC0/edit#gid=884617569"",""S2 Totals!$A$2:$O$255""),5,FALSE)"),0.16666666666666666)</f>
        <v>0.1666666667</v>
      </c>
      <c r="I144" s="15">
        <f t="shared" si="2"/>
        <v>0.3787878788</v>
      </c>
      <c r="J144" s="16">
        <f>IFERROR(__xludf.DUMMYFUNCTION("VLOOKUP(A144,IMPORTRANGE(""1QZ5UxyNCwadreQAXnQ7oCoH982DjIA-QnZdO7ZoqkC0/edit#gid=884617569"",""S2 Totals!$A$2:$O$255""),7,FALSE)"),3.0)</f>
        <v>3</v>
      </c>
      <c r="K144" s="15">
        <f>IFERROR(__xludf.DUMMYFUNCTION("VLOOKUP(A144,IMPORTRANGE(""1QZ5UxyNCwadreQAXnQ7oCoH982DjIA-QnZdO7ZoqkC0/edit#gid=884617569"",""S2 Totals!$A$2:$O$255""),8,FALSE)"),0.25)</f>
        <v>0.25</v>
      </c>
      <c r="L144" s="110">
        <f t="shared" si="3"/>
        <v>0.2954545455</v>
      </c>
      <c r="M144" s="16">
        <f>IFERROR(__xludf.DUMMYFUNCTION("VLOOKUP(A144,IMPORTRANGE(""1QZ5UxyNCwadreQAXnQ7oCoH982DjIA-QnZdO7ZoqkC0/edit#gid=884617569"",""S2 Totals!$A$2:$O$255""),10,FALSE)"),5.0)</f>
        <v>5</v>
      </c>
      <c r="N144" s="15">
        <f>IFERROR(__xludf.DUMMYFUNCTION("VLOOKUP(A144,IMPORTRANGE(""1QZ5UxyNCwadreQAXnQ7oCoH982DjIA-QnZdO7ZoqkC0/edit#gid=884617569"",""S2 Totals!$A$2:$O$255""),11,FALSE)"),0.38461538461538464)</f>
        <v>0.3846153846</v>
      </c>
      <c r="O144" s="110">
        <f t="shared" si="4"/>
        <v>0.1608391608</v>
      </c>
      <c r="P144" s="16">
        <f>IFERROR(__xludf.DUMMYFUNCTION("VLOOKUP(A144,IMPORTRANGE(""1QZ5UxyNCwadreQAXnQ7oCoH982DjIA-QnZdO7ZoqkC0/edit#gid=884617569"",""S2 Totals!$A$2:$O$255""),13,FALSE)"),3.0)</f>
        <v>3</v>
      </c>
      <c r="Q144" s="15">
        <f>IFERROR(__xludf.DUMMYFUNCTION("VLOOKUP(A144,IMPORTRANGE(""1QZ5UxyNCwadreQAXnQ7oCoH982DjIA-QnZdO7ZoqkC0/edit#gid=884617569"",""S2 Totals!$A$2:$O$255""),14,FALSE)"),0.25)</f>
        <v>0.25</v>
      </c>
      <c r="R144" s="129">
        <f t="shared" si="5"/>
        <v>0.2954545455</v>
      </c>
    </row>
    <row r="145">
      <c r="A145" s="128" t="s">
        <v>138</v>
      </c>
      <c r="B145" s="16">
        <f>IFERROR(__xludf.DUMMYFUNCTION("VLOOKUP(A145,IMPORTRANGE(""1aFCnJY1qhIj8-JckJhDJ18aqmVo17tofpQmOjcYa3u8/edit#gid=1878241338"",""S2 Totals!$A$2:$O$255""),2,FALSE)"),7.0)</f>
        <v>7</v>
      </c>
      <c r="C145" s="15">
        <f>IFERROR(__xludf.DUMMYFUNCTION("VLOOKUP(A145,IMPORTRANGE(""1aFCnJY1qhIj8-JckJhDJ18aqmVo17tofpQmOjcYa3u8/edit#gid=1878241338"",""S2 Totals!$A$2:$O$255""),3,FALSE)"),0.6363636363636364)</f>
        <v>0.6363636364</v>
      </c>
      <c r="D145" s="16">
        <f>IFERROR(__xludf.DUMMYFUNCTION("VLOOKUP(A145,IMPORTRANGE(""1QZ5UxyNCwadreQAXnQ7oCoH982DjIA-QnZdO7ZoqkC0/edit#gid=884617569"",""S2 Totals!$A$2:$O$255""),2,FALSE)"),10.0)</f>
        <v>10</v>
      </c>
      <c r="E145" s="15">
        <f>IFERROR(__xludf.DUMMYFUNCTION("VLOOKUP(A145,IMPORTRANGE(""1QZ5UxyNCwadreQAXnQ7oCoH982DjIA-QnZdO7ZoqkC0/edit#gid=884617569"",""S2 Totals!$A$2:$O$255""),3,FALSE)"),0.7692307692307693)</f>
        <v>0.7692307692</v>
      </c>
      <c r="F145" s="15">
        <f t="shared" si="1"/>
        <v>-0.1328671329</v>
      </c>
      <c r="G145" s="16">
        <f>IFERROR(__xludf.DUMMYFUNCTION("VLOOKUP(A145,IMPORTRANGE(""1QZ5UxyNCwadreQAXnQ7oCoH982DjIA-QnZdO7ZoqkC0/edit#gid=884617569"",""S2 Totals!$A$2:$O$255""),4,FALSE)"),8.0)</f>
        <v>8</v>
      </c>
      <c r="H145" s="15">
        <f>IFERROR(__xludf.DUMMYFUNCTION("VLOOKUP(A145,IMPORTRANGE(""1QZ5UxyNCwadreQAXnQ7oCoH982DjIA-QnZdO7ZoqkC0/edit#gid=884617569"",""S2 Totals!$A$2:$O$255""),5,FALSE)"),0.6666666666666666)</f>
        <v>0.6666666667</v>
      </c>
      <c r="I145" s="15">
        <f t="shared" si="2"/>
        <v>-0.0303030303</v>
      </c>
      <c r="J145" s="16">
        <f>IFERROR(__xludf.DUMMYFUNCTION("VLOOKUP(A145,IMPORTRANGE(""1QZ5UxyNCwadreQAXnQ7oCoH982DjIA-QnZdO7ZoqkC0/edit#gid=884617569"",""S2 Totals!$A$2:$O$255""),7,FALSE)"),2.0)</f>
        <v>2</v>
      </c>
      <c r="K145" s="15">
        <f>IFERROR(__xludf.DUMMYFUNCTION("VLOOKUP(A145,IMPORTRANGE(""1QZ5UxyNCwadreQAXnQ7oCoH982DjIA-QnZdO7ZoqkC0/edit#gid=884617569"",""S2 Totals!$A$2:$O$255""),8,FALSE)"),0.16666666666666666)</f>
        <v>0.1666666667</v>
      </c>
      <c r="L145" s="110">
        <f t="shared" si="3"/>
        <v>0.4696969697</v>
      </c>
      <c r="M145" s="16">
        <f>IFERROR(__xludf.DUMMYFUNCTION("VLOOKUP(A145,IMPORTRANGE(""1QZ5UxyNCwadreQAXnQ7oCoH982DjIA-QnZdO7ZoqkC0/edit#gid=884617569"",""S2 Totals!$A$2:$O$255""),10,FALSE)"),0.0)</f>
        <v>0</v>
      </c>
      <c r="N145" s="15">
        <f>IFERROR(__xludf.DUMMYFUNCTION("VLOOKUP(A145,IMPORTRANGE(""1QZ5UxyNCwadreQAXnQ7oCoH982DjIA-QnZdO7ZoqkC0/edit#gid=884617569"",""S2 Totals!$A$2:$O$255""),11,FALSE)"),0.0)</f>
        <v>0</v>
      </c>
      <c r="O145" s="110">
        <f t="shared" si="4"/>
        <v>0.6363636364</v>
      </c>
      <c r="P145" s="16" t="str">
        <f>IFERROR(__xludf.DUMMYFUNCTION("VLOOKUP(A145,IMPORTRANGE(""1QZ5UxyNCwadreQAXnQ7oCoH982DjIA-QnZdO7ZoqkC0/edit#gid=884617569"",""S2 Totals!$A$2:$O$255""),13,FALSE)"),"")</f>
        <v/>
      </c>
      <c r="Q145" s="15" t="str">
        <f>IFERROR(__xludf.DUMMYFUNCTION("VLOOKUP(A145,IMPORTRANGE(""1QZ5UxyNCwadreQAXnQ7oCoH982DjIA-QnZdO7ZoqkC0/edit#gid=884617569"",""S2 Totals!$A$2:$O$255""),14,FALSE)"),"")</f>
        <v/>
      </c>
      <c r="R145" s="129">
        <f t="shared" si="5"/>
        <v>0.6363636364</v>
      </c>
    </row>
    <row r="146">
      <c r="A146" s="128" t="s">
        <v>21</v>
      </c>
      <c r="B146" s="16">
        <f>IFERROR(__xludf.DUMMYFUNCTION("VLOOKUP(A146,IMPORTRANGE(""1aFCnJY1qhIj8-JckJhDJ18aqmVo17tofpQmOjcYa3u8/edit#gid=1878241338"",""S2 Totals!$A$2:$O$255""),2,FALSE)"),7.0)</f>
        <v>7</v>
      </c>
      <c r="C146" s="15">
        <f>IFERROR(__xludf.DUMMYFUNCTION("VLOOKUP(A146,IMPORTRANGE(""1aFCnJY1qhIj8-JckJhDJ18aqmVo17tofpQmOjcYa3u8/edit#gid=1878241338"",""S2 Totals!$A$2:$O$255""),3,FALSE)"),0.6363636363636364)</f>
        <v>0.6363636364</v>
      </c>
      <c r="D146" s="16">
        <f>IFERROR(__xludf.DUMMYFUNCTION("VLOOKUP(A146,IMPORTRANGE(""1QZ5UxyNCwadreQAXnQ7oCoH982DjIA-QnZdO7ZoqkC0/edit#gid=884617569"",""S2 Totals!$A$2:$O$255""),2,FALSE)"),8.0)</f>
        <v>8</v>
      </c>
      <c r="E146" s="15">
        <f>IFERROR(__xludf.DUMMYFUNCTION("VLOOKUP(A146,IMPORTRANGE(""1QZ5UxyNCwadreQAXnQ7oCoH982DjIA-QnZdO7ZoqkC0/edit#gid=884617569"",""S2 Totals!$A$2:$O$255""),3,FALSE)"),0.6153846153846154)</f>
        <v>0.6153846154</v>
      </c>
      <c r="F146" s="15">
        <f t="shared" si="1"/>
        <v>0.02097902098</v>
      </c>
      <c r="G146" s="16">
        <f>IFERROR(__xludf.DUMMYFUNCTION("VLOOKUP(A146,IMPORTRANGE(""1QZ5UxyNCwadreQAXnQ7oCoH982DjIA-QnZdO7ZoqkC0/edit#gid=884617569"",""S2 Totals!$A$2:$O$255""),4,FALSE)"),10.0)</f>
        <v>10</v>
      </c>
      <c r="H146" s="15">
        <f>IFERROR(__xludf.DUMMYFUNCTION("VLOOKUP(A146,IMPORTRANGE(""1QZ5UxyNCwadreQAXnQ7oCoH982DjIA-QnZdO7ZoqkC0/edit#gid=884617569"",""S2 Totals!$A$2:$O$255""),5,FALSE)"),0.8333333333333334)</f>
        <v>0.8333333333</v>
      </c>
      <c r="I146" s="15">
        <f t="shared" si="2"/>
        <v>-0.196969697</v>
      </c>
      <c r="J146" s="16">
        <f>IFERROR(__xludf.DUMMYFUNCTION("VLOOKUP(A146,IMPORTRANGE(""1QZ5UxyNCwadreQAXnQ7oCoH982DjIA-QnZdO7ZoqkC0/edit#gid=884617569"",""S2 Totals!$A$2:$O$255""),7,FALSE)"),12.0)</f>
        <v>12</v>
      </c>
      <c r="K146" s="15">
        <f>IFERROR(__xludf.DUMMYFUNCTION("VLOOKUP(A146,IMPORTRANGE(""1QZ5UxyNCwadreQAXnQ7oCoH982DjIA-QnZdO7ZoqkC0/edit#gid=884617569"",""S2 Totals!$A$2:$O$255""),8,FALSE)"),1.0)</f>
        <v>1</v>
      </c>
      <c r="L146" s="110">
        <f t="shared" si="3"/>
        <v>-0.3636363636</v>
      </c>
      <c r="M146" s="16">
        <f>IFERROR(__xludf.DUMMYFUNCTION("VLOOKUP(A146,IMPORTRANGE(""1QZ5UxyNCwadreQAXnQ7oCoH982DjIA-QnZdO7ZoqkC0/edit#gid=884617569"",""S2 Totals!$A$2:$O$255""),10,FALSE)"),13.0)</f>
        <v>13</v>
      </c>
      <c r="N146" s="15">
        <f>IFERROR(__xludf.DUMMYFUNCTION("VLOOKUP(A146,IMPORTRANGE(""1QZ5UxyNCwadreQAXnQ7oCoH982DjIA-QnZdO7ZoqkC0/edit#gid=884617569"",""S2 Totals!$A$2:$O$255""),11,FALSE)"),1.0)</f>
        <v>1</v>
      </c>
      <c r="O146" s="110">
        <f t="shared" si="4"/>
        <v>-0.3636363636</v>
      </c>
      <c r="P146" s="16">
        <f>IFERROR(__xludf.DUMMYFUNCTION("VLOOKUP(A146,IMPORTRANGE(""1QZ5UxyNCwadreQAXnQ7oCoH982DjIA-QnZdO7ZoqkC0/edit#gid=884617569"",""S2 Totals!$A$2:$O$255""),13,FALSE)"),12.0)</f>
        <v>12</v>
      </c>
      <c r="Q146" s="15">
        <f>IFERROR(__xludf.DUMMYFUNCTION("VLOOKUP(A146,IMPORTRANGE(""1QZ5UxyNCwadreQAXnQ7oCoH982DjIA-QnZdO7ZoqkC0/edit#gid=884617569"",""S2 Totals!$A$2:$O$255""),14,FALSE)"),1.0)</f>
        <v>1</v>
      </c>
      <c r="R146" s="129">
        <f t="shared" si="5"/>
        <v>-0.3636363636</v>
      </c>
    </row>
    <row r="147">
      <c r="A147" s="128" t="s">
        <v>183</v>
      </c>
      <c r="B147" s="16">
        <f>IFERROR(__xludf.DUMMYFUNCTION("VLOOKUP(A147,IMPORTRANGE(""1aFCnJY1qhIj8-JckJhDJ18aqmVo17tofpQmOjcYa3u8/edit#gid=1878241338"",""S2 Totals!$A$2:$O$255""),2,FALSE)"),0.0)</f>
        <v>0</v>
      </c>
      <c r="C147" s="15">
        <f>IFERROR(__xludf.DUMMYFUNCTION("VLOOKUP(A147,IMPORTRANGE(""1aFCnJY1qhIj8-JckJhDJ18aqmVo17tofpQmOjcYa3u8/edit#gid=1878241338"",""S2 Totals!$A$2:$O$255""),3,FALSE)"),0.0)</f>
        <v>0</v>
      </c>
      <c r="D147" s="16">
        <f>IFERROR(__xludf.DUMMYFUNCTION("VLOOKUP(A147,IMPORTRANGE(""1QZ5UxyNCwadreQAXnQ7oCoH982DjIA-QnZdO7ZoqkC0/edit#gid=884617569"",""S2 Totals!$A$2:$O$255""),2,FALSE)"),0.0)</f>
        <v>0</v>
      </c>
      <c r="E147" s="15">
        <f>IFERROR(__xludf.DUMMYFUNCTION("VLOOKUP(A147,IMPORTRANGE(""1QZ5UxyNCwadreQAXnQ7oCoH982DjIA-QnZdO7ZoqkC0/edit#gid=884617569"",""S2 Totals!$A$2:$O$255""),3,FALSE)"),0.0)</f>
        <v>0</v>
      </c>
      <c r="F147" s="15">
        <f t="shared" si="1"/>
        <v>0</v>
      </c>
      <c r="G147" s="16">
        <f>IFERROR(__xludf.DUMMYFUNCTION("VLOOKUP(A147,IMPORTRANGE(""1QZ5UxyNCwadreQAXnQ7oCoH982DjIA-QnZdO7ZoqkC0/edit#gid=884617569"",""S2 Totals!$A$2:$O$255""),4,FALSE)"),2.0)</f>
        <v>2</v>
      </c>
      <c r="H147" s="15">
        <f>IFERROR(__xludf.DUMMYFUNCTION("VLOOKUP(A147,IMPORTRANGE(""1QZ5UxyNCwadreQAXnQ7oCoH982DjIA-QnZdO7ZoqkC0/edit#gid=884617569"",""S2 Totals!$A$2:$O$255""),5,FALSE)"),0.16666666666666666)</f>
        <v>0.1666666667</v>
      </c>
      <c r="I147" s="15">
        <f t="shared" si="2"/>
        <v>-0.1666666667</v>
      </c>
      <c r="J147" s="16">
        <f>IFERROR(__xludf.DUMMYFUNCTION("VLOOKUP(A147,IMPORTRANGE(""1QZ5UxyNCwadreQAXnQ7oCoH982DjIA-QnZdO7ZoqkC0/edit#gid=884617569"",""S2 Totals!$A$2:$O$255""),7,FALSE)"),2.0)</f>
        <v>2</v>
      </c>
      <c r="K147" s="15">
        <f>IFERROR(__xludf.DUMMYFUNCTION("VLOOKUP(A147,IMPORTRANGE(""1QZ5UxyNCwadreQAXnQ7oCoH982DjIA-QnZdO7ZoqkC0/edit#gid=884617569"",""S2 Totals!$A$2:$O$255""),8,FALSE)"),0.16666666666666666)</f>
        <v>0.1666666667</v>
      </c>
      <c r="L147" s="110">
        <f t="shared" si="3"/>
        <v>-0.1666666667</v>
      </c>
      <c r="M147" s="16" t="str">
        <f>IFERROR(__xludf.DUMMYFUNCTION("VLOOKUP(A147,IMPORTRANGE(""1QZ5UxyNCwadreQAXnQ7oCoH982DjIA-QnZdO7ZoqkC0/edit#gid=884617569"",""S2 Totals!$A$2:$O$255""),10,FALSE)"),"")</f>
        <v/>
      </c>
      <c r="N147" s="15" t="str">
        <f>IFERROR(__xludf.DUMMYFUNCTION("VLOOKUP(A147,IMPORTRANGE(""1QZ5UxyNCwadreQAXnQ7oCoH982DjIA-QnZdO7ZoqkC0/edit#gid=884617569"",""S2 Totals!$A$2:$O$255""),11,FALSE)"),"")</f>
        <v/>
      </c>
      <c r="O147" s="110">
        <f t="shared" si="4"/>
        <v>0</v>
      </c>
      <c r="P147" s="16" t="str">
        <f>IFERROR(__xludf.DUMMYFUNCTION("VLOOKUP(A147,IMPORTRANGE(""1QZ5UxyNCwadreQAXnQ7oCoH982DjIA-QnZdO7ZoqkC0/edit#gid=884617569"",""S2 Totals!$A$2:$O$255""),13,FALSE)"),"")</f>
        <v/>
      </c>
      <c r="Q147" s="15" t="str">
        <f>IFERROR(__xludf.DUMMYFUNCTION("VLOOKUP(A147,IMPORTRANGE(""1QZ5UxyNCwadreQAXnQ7oCoH982DjIA-QnZdO7ZoqkC0/edit#gid=884617569"",""S2 Totals!$A$2:$O$255""),14,FALSE)"),"")</f>
        <v/>
      </c>
      <c r="R147" s="129">
        <f t="shared" si="5"/>
        <v>0</v>
      </c>
    </row>
    <row r="148">
      <c r="A148" s="128" t="s">
        <v>72</v>
      </c>
      <c r="B148" s="16">
        <f>IFERROR(__xludf.DUMMYFUNCTION("VLOOKUP(A148,IMPORTRANGE(""1aFCnJY1qhIj8-JckJhDJ18aqmVo17tofpQmOjcYa3u8/edit#gid=1878241338"",""S2 Totals!$A$2:$O$255""),2,FALSE)"),10.0)</f>
        <v>10</v>
      </c>
      <c r="C148" s="15">
        <f>IFERROR(__xludf.DUMMYFUNCTION("VLOOKUP(A148,IMPORTRANGE(""1aFCnJY1qhIj8-JckJhDJ18aqmVo17tofpQmOjcYa3u8/edit#gid=1878241338"",""S2 Totals!$A$2:$O$255""),3,FALSE)"),0.9090909090909091)</f>
        <v>0.9090909091</v>
      </c>
      <c r="D148" s="16">
        <f>IFERROR(__xludf.DUMMYFUNCTION("VLOOKUP(A148,IMPORTRANGE(""1QZ5UxyNCwadreQAXnQ7oCoH982DjIA-QnZdO7ZoqkC0/edit#gid=884617569"",""S2 Totals!$A$2:$O$255""),2,FALSE)"),8.0)</f>
        <v>8</v>
      </c>
      <c r="E148" s="15">
        <f>IFERROR(__xludf.DUMMYFUNCTION("VLOOKUP(A148,IMPORTRANGE(""1QZ5UxyNCwadreQAXnQ7oCoH982DjIA-QnZdO7ZoqkC0/edit#gid=884617569"",""S2 Totals!$A$2:$O$255""),3,FALSE)"),0.6153846153846154)</f>
        <v>0.6153846154</v>
      </c>
      <c r="F148" s="15">
        <f t="shared" si="1"/>
        <v>0.2937062937</v>
      </c>
      <c r="G148" s="16">
        <f>IFERROR(__xludf.DUMMYFUNCTION("VLOOKUP(A148,IMPORTRANGE(""1QZ5UxyNCwadreQAXnQ7oCoH982DjIA-QnZdO7ZoqkC0/edit#gid=884617569"",""S2 Totals!$A$2:$O$255""),4,FALSE)"),8.0)</f>
        <v>8</v>
      </c>
      <c r="H148" s="15">
        <f>IFERROR(__xludf.DUMMYFUNCTION("VLOOKUP(A148,IMPORTRANGE(""1QZ5UxyNCwadreQAXnQ7oCoH982DjIA-QnZdO7ZoqkC0/edit#gid=884617569"",""S2 Totals!$A$2:$O$255""),5,FALSE)"),0.6666666666666666)</f>
        <v>0.6666666667</v>
      </c>
      <c r="I148" s="15">
        <f t="shared" si="2"/>
        <v>0.2424242424</v>
      </c>
      <c r="J148" s="16">
        <f>IFERROR(__xludf.DUMMYFUNCTION("VLOOKUP(A148,IMPORTRANGE(""1QZ5UxyNCwadreQAXnQ7oCoH982DjIA-QnZdO7ZoqkC0/edit#gid=884617569"",""S2 Totals!$A$2:$O$255""),7,FALSE)"),6.0)</f>
        <v>6</v>
      </c>
      <c r="K148" s="15">
        <f>IFERROR(__xludf.DUMMYFUNCTION("VLOOKUP(A148,IMPORTRANGE(""1QZ5UxyNCwadreQAXnQ7oCoH982DjIA-QnZdO7ZoqkC0/edit#gid=884617569"",""S2 Totals!$A$2:$O$255""),8,FALSE)"),0.5)</f>
        <v>0.5</v>
      </c>
      <c r="L148" s="110">
        <f t="shared" si="3"/>
        <v>0.4090909091</v>
      </c>
      <c r="M148" s="16">
        <f>IFERROR(__xludf.DUMMYFUNCTION("VLOOKUP(A148,IMPORTRANGE(""1QZ5UxyNCwadreQAXnQ7oCoH982DjIA-QnZdO7ZoqkC0/edit#gid=884617569"",""S2 Totals!$A$2:$O$255""),10,FALSE)"),8.0)</f>
        <v>8</v>
      </c>
      <c r="N148" s="15">
        <f>IFERROR(__xludf.DUMMYFUNCTION("VLOOKUP(A148,IMPORTRANGE(""1QZ5UxyNCwadreQAXnQ7oCoH982DjIA-QnZdO7ZoqkC0/edit#gid=884617569"",""S2 Totals!$A$2:$O$255""),11,FALSE)"),0.6153846153846154)</f>
        <v>0.6153846154</v>
      </c>
      <c r="O148" s="110">
        <f t="shared" si="4"/>
        <v>0.2937062937</v>
      </c>
      <c r="P148" s="16">
        <f>IFERROR(__xludf.DUMMYFUNCTION("VLOOKUP(A148,IMPORTRANGE(""1QZ5UxyNCwadreQAXnQ7oCoH982DjIA-QnZdO7ZoqkC0/edit#gid=884617569"",""S2 Totals!$A$2:$O$255""),13,FALSE)"),6.0)</f>
        <v>6</v>
      </c>
      <c r="Q148" s="15">
        <f>IFERROR(__xludf.DUMMYFUNCTION("VLOOKUP(A148,IMPORTRANGE(""1QZ5UxyNCwadreQAXnQ7oCoH982DjIA-QnZdO7ZoqkC0/edit#gid=884617569"",""S2 Totals!$A$2:$O$255""),14,FALSE)"),0.5)</f>
        <v>0.5</v>
      </c>
      <c r="R148" s="129">
        <f t="shared" si="5"/>
        <v>0.4090909091</v>
      </c>
    </row>
    <row r="149">
      <c r="A149" s="128" t="s">
        <v>73</v>
      </c>
      <c r="B149" s="16">
        <f>IFERROR(__xludf.DUMMYFUNCTION("VLOOKUP(A149,IMPORTRANGE(""1aFCnJY1qhIj8-JckJhDJ18aqmVo17tofpQmOjcYa3u8/edit#gid=1878241338"",""S2 Totals!$A$2:$O$255""),2,FALSE)"),2.0)</f>
        <v>2</v>
      </c>
      <c r="C149" s="15">
        <f>IFERROR(__xludf.DUMMYFUNCTION("VLOOKUP(A149,IMPORTRANGE(""1aFCnJY1qhIj8-JckJhDJ18aqmVo17tofpQmOjcYa3u8/edit#gid=1878241338"",""S2 Totals!$A$2:$O$255""),3,FALSE)"),0.18181818181818182)</f>
        <v>0.1818181818</v>
      </c>
      <c r="D149" s="16">
        <f>IFERROR(__xludf.DUMMYFUNCTION("VLOOKUP(A149,IMPORTRANGE(""1QZ5UxyNCwadreQAXnQ7oCoH982DjIA-QnZdO7ZoqkC0/edit#gid=884617569"",""S2 Totals!$A$2:$O$255""),2,FALSE)"),1.0)</f>
        <v>1</v>
      </c>
      <c r="E149" s="15">
        <f>IFERROR(__xludf.DUMMYFUNCTION("VLOOKUP(A149,IMPORTRANGE(""1QZ5UxyNCwadreQAXnQ7oCoH982DjIA-QnZdO7ZoqkC0/edit#gid=884617569"",""S2 Totals!$A$2:$O$255""),3,FALSE)"),0.07692307692307693)</f>
        <v>0.07692307692</v>
      </c>
      <c r="F149" s="15">
        <f t="shared" si="1"/>
        <v>0.1048951049</v>
      </c>
      <c r="G149" s="16">
        <f>IFERROR(__xludf.DUMMYFUNCTION("VLOOKUP(A149,IMPORTRANGE(""1QZ5UxyNCwadreQAXnQ7oCoH982DjIA-QnZdO7ZoqkC0/edit#gid=884617569"",""S2 Totals!$A$2:$O$255""),4,FALSE)"),0.0)</f>
        <v>0</v>
      </c>
      <c r="H149" s="15">
        <f>IFERROR(__xludf.DUMMYFUNCTION("VLOOKUP(A149,IMPORTRANGE(""1QZ5UxyNCwadreQAXnQ7oCoH982DjIA-QnZdO7ZoqkC0/edit#gid=884617569"",""S2 Totals!$A$2:$O$255""),5,FALSE)"),0.0)</f>
        <v>0</v>
      </c>
      <c r="I149" s="15">
        <f t="shared" si="2"/>
        <v>0.1818181818</v>
      </c>
      <c r="J149" s="16">
        <f>IFERROR(__xludf.DUMMYFUNCTION("VLOOKUP(A149,IMPORTRANGE(""1QZ5UxyNCwadreQAXnQ7oCoH982DjIA-QnZdO7ZoqkC0/edit#gid=884617569"",""S2 Totals!$A$2:$O$255""),7,FALSE)"),0.0)</f>
        <v>0</v>
      </c>
      <c r="K149" s="15">
        <f>IFERROR(__xludf.DUMMYFUNCTION("VLOOKUP(A149,IMPORTRANGE(""1QZ5UxyNCwadreQAXnQ7oCoH982DjIA-QnZdO7ZoqkC0/edit#gid=884617569"",""S2 Totals!$A$2:$O$255""),8,FALSE)"),0.0)</f>
        <v>0</v>
      </c>
      <c r="L149" s="110">
        <f t="shared" si="3"/>
        <v>0.1818181818</v>
      </c>
      <c r="M149" s="16">
        <f>IFERROR(__xludf.DUMMYFUNCTION("VLOOKUP(A149,IMPORTRANGE(""1QZ5UxyNCwadreQAXnQ7oCoH982DjIA-QnZdO7ZoqkC0/edit#gid=884617569"",""S2 Totals!$A$2:$O$255""),10,FALSE)"),4.0)</f>
        <v>4</v>
      </c>
      <c r="N149" s="15">
        <f>IFERROR(__xludf.DUMMYFUNCTION("VLOOKUP(A149,IMPORTRANGE(""1QZ5UxyNCwadreQAXnQ7oCoH982DjIA-QnZdO7ZoqkC0/edit#gid=884617569"",""S2 Totals!$A$2:$O$255""),11,FALSE)"),0.3076923076923077)</f>
        <v>0.3076923077</v>
      </c>
      <c r="O149" s="110">
        <f t="shared" si="4"/>
        <v>-0.1258741259</v>
      </c>
      <c r="P149" s="16">
        <f>IFERROR(__xludf.DUMMYFUNCTION("VLOOKUP(A149,IMPORTRANGE(""1QZ5UxyNCwadreQAXnQ7oCoH982DjIA-QnZdO7ZoqkC0/edit#gid=884617569"",""S2 Totals!$A$2:$O$255""),13,FALSE)"),2.0)</f>
        <v>2</v>
      </c>
      <c r="Q149" s="15">
        <f>IFERROR(__xludf.DUMMYFUNCTION("VLOOKUP(A149,IMPORTRANGE(""1QZ5UxyNCwadreQAXnQ7oCoH982DjIA-QnZdO7ZoqkC0/edit#gid=884617569"",""S2 Totals!$A$2:$O$255""),14,FALSE)"),0.16666666666666666)</f>
        <v>0.1666666667</v>
      </c>
      <c r="R149" s="129">
        <f t="shared" si="5"/>
        <v>0.01515151515</v>
      </c>
    </row>
    <row r="150">
      <c r="A150" s="134" t="s">
        <v>276</v>
      </c>
      <c r="B150" s="16" t="str">
        <f>IFERROR(__xludf.DUMMYFUNCTION("VLOOKUP(A150,IMPORTRANGE(""1aFCnJY1qhIj8-JckJhDJ18aqmVo17tofpQmOjcYa3u8/edit#gid=1878241338"",""S2 Totals!$A$2:$O$255""),2,FALSE)"),"#N/A")</f>
        <v>#N/A</v>
      </c>
      <c r="C150" s="15" t="str">
        <f>IFERROR(__xludf.DUMMYFUNCTION("VLOOKUP(A150,IMPORTRANGE(""1aFCnJY1qhIj8-JckJhDJ18aqmVo17tofpQmOjcYa3u8/edit#gid=1878241338"",""S2 Totals!$A$2:$O$255""),3,FALSE)"),"#N/A")</f>
        <v>#N/A</v>
      </c>
      <c r="D150" s="16" t="str">
        <f>IFERROR(__xludf.DUMMYFUNCTION("VLOOKUP(A150,IMPORTRANGE(""1QZ5UxyNCwadreQAXnQ7oCoH982DjIA-QnZdO7ZoqkC0/edit#gid=884617569"",""S2 Totals!$A$2:$O$255""),2,FALSE)"),"#N/A")</f>
        <v>#N/A</v>
      </c>
      <c r="E150" s="15" t="str">
        <f>IFERROR(__xludf.DUMMYFUNCTION("VLOOKUP(A150,IMPORTRANGE(""1QZ5UxyNCwadreQAXnQ7oCoH982DjIA-QnZdO7ZoqkC0/edit#gid=884617569"",""S2 Totals!$A$2:$O$255""),3,FALSE)"),"#N/A")</f>
        <v>#N/A</v>
      </c>
      <c r="F150" s="16" t="str">
        <f t="shared" si="1"/>
        <v>#N/A</v>
      </c>
      <c r="G150" s="16" t="str">
        <f>IFERROR(__xludf.DUMMYFUNCTION("VLOOKUP(A150,IMPORTRANGE(""1QZ5UxyNCwadreQAXnQ7oCoH982DjIA-QnZdO7ZoqkC0/edit#gid=884617569"",""S2 Totals!$A$2:$O$255""),4,FALSE)"),"#N/A")</f>
        <v>#N/A</v>
      </c>
      <c r="H150" s="15" t="str">
        <f>IFERROR(__xludf.DUMMYFUNCTION("VLOOKUP(A150,IMPORTRANGE(""1QZ5UxyNCwadreQAXnQ7oCoH982DjIA-QnZdO7ZoqkC0/edit#gid=884617569"",""S2 Totals!$A$2:$O$255""),5,FALSE)"),"#N/A")</f>
        <v>#N/A</v>
      </c>
      <c r="I150" s="16" t="str">
        <f t="shared" si="2"/>
        <v>#N/A</v>
      </c>
      <c r="J150" s="16" t="str">
        <f>IFERROR(__xludf.DUMMYFUNCTION("VLOOKUP(A150,IMPORTRANGE(""1QZ5UxyNCwadreQAXnQ7oCoH982DjIA-QnZdO7ZoqkC0/edit#gid=884617569"",""S2 Totals!$A$2:$O$255""),7,FALSE)"),"#N/A")</f>
        <v>#N/A</v>
      </c>
      <c r="K150" s="15" t="str">
        <f>IFERROR(__xludf.DUMMYFUNCTION("VLOOKUP(A150,IMPORTRANGE(""1QZ5UxyNCwadreQAXnQ7oCoH982DjIA-QnZdO7ZoqkC0/edit#gid=884617569"",""S2 Totals!$A$2:$O$255""),8,FALSE)"),"#N/A")</f>
        <v>#N/A</v>
      </c>
      <c r="L150" s="110" t="str">
        <f t="shared" si="3"/>
        <v>#N/A</v>
      </c>
      <c r="M150" s="16" t="str">
        <f>IFERROR(__xludf.DUMMYFUNCTION("VLOOKUP(A150,IMPORTRANGE(""1QZ5UxyNCwadreQAXnQ7oCoH982DjIA-QnZdO7ZoqkC0/edit#gid=884617569"",""S2 Totals!$A$2:$O$255""),10,FALSE)"),"#N/A")</f>
        <v>#N/A</v>
      </c>
      <c r="N150" s="15" t="str">
        <f>IFERROR(__xludf.DUMMYFUNCTION("VLOOKUP(A150,IMPORTRANGE(""1QZ5UxyNCwadreQAXnQ7oCoH982DjIA-QnZdO7ZoqkC0/edit#gid=884617569"",""S2 Totals!$A$2:$O$255""),11,FALSE)"),"#N/A")</f>
        <v>#N/A</v>
      </c>
      <c r="O150" s="110" t="str">
        <f t="shared" si="4"/>
        <v>#N/A</v>
      </c>
      <c r="P150" s="16" t="str">
        <f>IFERROR(__xludf.DUMMYFUNCTION("VLOOKUP(A150,IMPORTRANGE(""1QZ5UxyNCwadreQAXnQ7oCoH982DjIA-QnZdO7ZoqkC0/edit#gid=884617569"",""S2 Totals!$A$2:$O$255""),13,FALSE)"),"#N/A")</f>
        <v>#N/A</v>
      </c>
      <c r="Q150" s="15" t="str">
        <f>IFERROR(__xludf.DUMMYFUNCTION("VLOOKUP(A150,IMPORTRANGE(""1QZ5UxyNCwadreQAXnQ7oCoH982DjIA-QnZdO7ZoqkC0/edit#gid=884617569"",""S2 Totals!$A$2:$O$255""),14,FALSE)"),"#N/A")</f>
        <v>#N/A</v>
      </c>
      <c r="R150" s="129" t="str">
        <f t="shared" si="5"/>
        <v>#N/A</v>
      </c>
    </row>
    <row r="151">
      <c r="A151" s="128" t="s">
        <v>139</v>
      </c>
      <c r="B151" s="16">
        <f>IFERROR(__xludf.DUMMYFUNCTION("VLOOKUP(A151,IMPORTRANGE(""1aFCnJY1qhIj8-JckJhDJ18aqmVo17tofpQmOjcYa3u8/edit#gid=1878241338"",""S2 Totals!$A$2:$O$255""),2,FALSE)"),0.0)</f>
        <v>0</v>
      </c>
      <c r="C151" s="15">
        <f>IFERROR(__xludf.DUMMYFUNCTION("VLOOKUP(A151,IMPORTRANGE(""1aFCnJY1qhIj8-JckJhDJ18aqmVo17tofpQmOjcYa3u8/edit#gid=1878241338"",""S2 Totals!$A$2:$O$255""),3,FALSE)"),0.0)</f>
        <v>0</v>
      </c>
      <c r="D151" s="16">
        <f>IFERROR(__xludf.DUMMYFUNCTION("VLOOKUP(A151,IMPORTRANGE(""1QZ5UxyNCwadreQAXnQ7oCoH982DjIA-QnZdO7ZoqkC0/edit#gid=884617569"",""S2 Totals!$A$2:$O$255""),2,FALSE)"),0.0)</f>
        <v>0</v>
      </c>
      <c r="E151" s="15">
        <f>IFERROR(__xludf.DUMMYFUNCTION("VLOOKUP(A151,IMPORTRANGE(""1QZ5UxyNCwadreQAXnQ7oCoH982DjIA-QnZdO7ZoqkC0/edit#gid=884617569"",""S2 Totals!$A$2:$O$255""),3,FALSE)"),0.0)</f>
        <v>0</v>
      </c>
      <c r="F151" s="15">
        <f t="shared" si="1"/>
        <v>0</v>
      </c>
      <c r="G151" s="16">
        <f>IFERROR(__xludf.DUMMYFUNCTION("VLOOKUP(A151,IMPORTRANGE(""1QZ5UxyNCwadreQAXnQ7oCoH982DjIA-QnZdO7ZoqkC0/edit#gid=884617569"",""S2 Totals!$A$2:$O$255""),4,FALSE)"),0.0)</f>
        <v>0</v>
      </c>
      <c r="H151" s="15">
        <f>IFERROR(__xludf.DUMMYFUNCTION("VLOOKUP(A151,IMPORTRANGE(""1QZ5UxyNCwadreQAXnQ7oCoH982DjIA-QnZdO7ZoqkC0/edit#gid=884617569"",""S2 Totals!$A$2:$O$255""),5,FALSE)"),0.0)</f>
        <v>0</v>
      </c>
      <c r="I151" s="15">
        <f t="shared" si="2"/>
        <v>0</v>
      </c>
      <c r="J151" s="16">
        <f>IFERROR(__xludf.DUMMYFUNCTION("VLOOKUP(A151,IMPORTRANGE(""1QZ5UxyNCwadreQAXnQ7oCoH982DjIA-QnZdO7ZoqkC0/edit#gid=884617569"",""S2 Totals!$A$2:$O$255""),7,FALSE)"),0.0)</f>
        <v>0</v>
      </c>
      <c r="K151" s="15">
        <f>IFERROR(__xludf.DUMMYFUNCTION("VLOOKUP(A151,IMPORTRANGE(""1QZ5UxyNCwadreQAXnQ7oCoH982DjIA-QnZdO7ZoqkC0/edit#gid=884617569"",""S2 Totals!$A$2:$O$255""),8,FALSE)"),0.0)</f>
        <v>0</v>
      </c>
      <c r="L151" s="110">
        <f t="shared" si="3"/>
        <v>0</v>
      </c>
      <c r="M151" s="16">
        <f>IFERROR(__xludf.DUMMYFUNCTION("VLOOKUP(A151,IMPORTRANGE(""1QZ5UxyNCwadreQAXnQ7oCoH982DjIA-QnZdO7ZoqkC0/edit#gid=884617569"",""S2 Totals!$A$2:$O$255""),10,FALSE)"),0.0)</f>
        <v>0</v>
      </c>
      <c r="N151" s="15">
        <f>IFERROR(__xludf.DUMMYFUNCTION("VLOOKUP(A151,IMPORTRANGE(""1QZ5UxyNCwadreQAXnQ7oCoH982DjIA-QnZdO7ZoqkC0/edit#gid=884617569"",""S2 Totals!$A$2:$O$255""),11,FALSE)"),0.0)</f>
        <v>0</v>
      </c>
      <c r="O151" s="110">
        <f t="shared" si="4"/>
        <v>0</v>
      </c>
      <c r="P151" s="16" t="str">
        <f>IFERROR(__xludf.DUMMYFUNCTION("VLOOKUP(A151,IMPORTRANGE(""1QZ5UxyNCwadreQAXnQ7oCoH982DjIA-QnZdO7ZoqkC0/edit#gid=884617569"",""S2 Totals!$A$2:$O$255""),13,FALSE)"),"")</f>
        <v/>
      </c>
      <c r="Q151" s="15" t="str">
        <f>IFERROR(__xludf.DUMMYFUNCTION("VLOOKUP(A151,IMPORTRANGE(""1QZ5UxyNCwadreQAXnQ7oCoH982DjIA-QnZdO7ZoqkC0/edit#gid=884617569"",""S2 Totals!$A$2:$O$255""),14,FALSE)"),"")</f>
        <v/>
      </c>
      <c r="R151" s="129">
        <f t="shared" si="5"/>
        <v>0</v>
      </c>
    </row>
    <row r="152">
      <c r="A152" s="128" t="s">
        <v>184</v>
      </c>
      <c r="B152" s="16">
        <f>IFERROR(__xludf.DUMMYFUNCTION("VLOOKUP(A152,IMPORTRANGE(""1aFCnJY1qhIj8-JckJhDJ18aqmVo17tofpQmOjcYa3u8/edit#gid=1878241338"",""S2 Totals!$A$2:$O$255""),2,FALSE)"),0.0)</f>
        <v>0</v>
      </c>
      <c r="C152" s="15">
        <f>IFERROR(__xludf.DUMMYFUNCTION("VLOOKUP(A152,IMPORTRANGE(""1aFCnJY1qhIj8-JckJhDJ18aqmVo17tofpQmOjcYa3u8/edit#gid=1878241338"",""S2 Totals!$A$2:$O$255""),3,FALSE)"),0.0)</f>
        <v>0</v>
      </c>
      <c r="D152" s="16">
        <f>IFERROR(__xludf.DUMMYFUNCTION("VLOOKUP(A152,IMPORTRANGE(""1QZ5UxyNCwadreQAXnQ7oCoH982DjIA-QnZdO7ZoqkC0/edit#gid=884617569"",""S2 Totals!$A$2:$O$255""),2,FALSE)"),0.0)</f>
        <v>0</v>
      </c>
      <c r="E152" s="15">
        <f>IFERROR(__xludf.DUMMYFUNCTION("VLOOKUP(A152,IMPORTRANGE(""1QZ5UxyNCwadreQAXnQ7oCoH982DjIA-QnZdO7ZoqkC0/edit#gid=884617569"",""S2 Totals!$A$2:$O$255""),3,FALSE)"),0.0)</f>
        <v>0</v>
      </c>
      <c r="F152" s="15">
        <f t="shared" si="1"/>
        <v>0</v>
      </c>
      <c r="G152" s="16">
        <f>IFERROR(__xludf.DUMMYFUNCTION("VLOOKUP(A152,IMPORTRANGE(""1QZ5UxyNCwadreQAXnQ7oCoH982DjIA-QnZdO7ZoqkC0/edit#gid=884617569"",""S2 Totals!$A$2:$O$255""),4,FALSE)"),1.0)</f>
        <v>1</v>
      </c>
      <c r="H152" s="15">
        <f>IFERROR(__xludf.DUMMYFUNCTION("VLOOKUP(A152,IMPORTRANGE(""1QZ5UxyNCwadreQAXnQ7oCoH982DjIA-QnZdO7ZoqkC0/edit#gid=884617569"",""S2 Totals!$A$2:$O$255""),5,FALSE)"),0.08333333333333333)</f>
        <v>0.08333333333</v>
      </c>
      <c r="I152" s="15">
        <f t="shared" si="2"/>
        <v>-0.08333333333</v>
      </c>
      <c r="J152" s="16">
        <f>IFERROR(__xludf.DUMMYFUNCTION("VLOOKUP(A152,IMPORTRANGE(""1QZ5UxyNCwadreQAXnQ7oCoH982DjIA-QnZdO7ZoqkC0/edit#gid=884617569"",""S2 Totals!$A$2:$O$255""),7,FALSE)"),0.0)</f>
        <v>0</v>
      </c>
      <c r="K152" s="15">
        <f>IFERROR(__xludf.DUMMYFUNCTION("VLOOKUP(A152,IMPORTRANGE(""1QZ5UxyNCwadreQAXnQ7oCoH982DjIA-QnZdO7ZoqkC0/edit#gid=884617569"",""S2 Totals!$A$2:$O$255""),8,FALSE)"),0.0)</f>
        <v>0</v>
      </c>
      <c r="L152" s="110">
        <f t="shared" si="3"/>
        <v>0</v>
      </c>
      <c r="M152" s="16" t="str">
        <f>IFERROR(__xludf.DUMMYFUNCTION("VLOOKUP(A152,IMPORTRANGE(""1QZ5UxyNCwadreQAXnQ7oCoH982DjIA-QnZdO7ZoqkC0/edit#gid=884617569"",""S2 Totals!$A$2:$O$255""),10,FALSE)"),"")</f>
        <v/>
      </c>
      <c r="N152" s="15" t="str">
        <f>IFERROR(__xludf.DUMMYFUNCTION("VLOOKUP(A152,IMPORTRANGE(""1QZ5UxyNCwadreQAXnQ7oCoH982DjIA-QnZdO7ZoqkC0/edit#gid=884617569"",""S2 Totals!$A$2:$O$255""),11,FALSE)"),"")</f>
        <v/>
      </c>
      <c r="O152" s="110">
        <f t="shared" si="4"/>
        <v>0</v>
      </c>
      <c r="P152" s="16" t="str">
        <f>IFERROR(__xludf.DUMMYFUNCTION("VLOOKUP(A152,IMPORTRANGE(""1QZ5UxyNCwadreQAXnQ7oCoH982DjIA-QnZdO7ZoqkC0/edit#gid=884617569"",""S2 Totals!$A$2:$O$255""),13,FALSE)"),"")</f>
        <v/>
      </c>
      <c r="Q152" s="15" t="str">
        <f>IFERROR(__xludf.DUMMYFUNCTION("VLOOKUP(A152,IMPORTRANGE(""1QZ5UxyNCwadreQAXnQ7oCoH982DjIA-QnZdO7ZoqkC0/edit#gid=884617569"",""S2 Totals!$A$2:$O$255""),14,FALSE)"),"")</f>
        <v/>
      </c>
      <c r="R152" s="129">
        <f t="shared" si="5"/>
        <v>0</v>
      </c>
    </row>
    <row r="153">
      <c r="A153" s="128" t="s">
        <v>185</v>
      </c>
      <c r="B153" s="16">
        <f>IFERROR(__xludf.DUMMYFUNCTION("VLOOKUP(A153,IMPORTRANGE(""1aFCnJY1qhIj8-JckJhDJ18aqmVo17tofpQmOjcYa3u8/edit#gid=1878241338"",""S2 Totals!$A$2:$O$255""),2,FALSE)"),0.0)</f>
        <v>0</v>
      </c>
      <c r="C153" s="15">
        <f>IFERROR(__xludf.DUMMYFUNCTION("VLOOKUP(A153,IMPORTRANGE(""1aFCnJY1qhIj8-JckJhDJ18aqmVo17tofpQmOjcYa3u8/edit#gid=1878241338"",""S2 Totals!$A$2:$O$255""),3,FALSE)"),0.0)</f>
        <v>0</v>
      </c>
      <c r="D153" s="16">
        <f>IFERROR(__xludf.DUMMYFUNCTION("VLOOKUP(A153,IMPORTRANGE(""1QZ5UxyNCwadreQAXnQ7oCoH982DjIA-QnZdO7ZoqkC0/edit#gid=884617569"",""S2 Totals!$A$2:$O$255""),2,FALSE)"),0.0)</f>
        <v>0</v>
      </c>
      <c r="E153" s="15">
        <f>IFERROR(__xludf.DUMMYFUNCTION("VLOOKUP(A153,IMPORTRANGE(""1QZ5UxyNCwadreQAXnQ7oCoH982DjIA-QnZdO7ZoqkC0/edit#gid=884617569"",""S2 Totals!$A$2:$O$255""),3,FALSE)"),0.0)</f>
        <v>0</v>
      </c>
      <c r="F153" s="15">
        <f t="shared" si="1"/>
        <v>0</v>
      </c>
      <c r="G153" s="16">
        <f>IFERROR(__xludf.DUMMYFUNCTION("VLOOKUP(A153,IMPORTRANGE(""1QZ5UxyNCwadreQAXnQ7oCoH982DjIA-QnZdO7ZoqkC0/edit#gid=884617569"",""S2 Totals!$A$2:$O$255""),4,FALSE)"),2.0)</f>
        <v>2</v>
      </c>
      <c r="H153" s="15">
        <f>IFERROR(__xludf.DUMMYFUNCTION("VLOOKUP(A153,IMPORTRANGE(""1QZ5UxyNCwadreQAXnQ7oCoH982DjIA-QnZdO7ZoqkC0/edit#gid=884617569"",""S2 Totals!$A$2:$O$255""),5,FALSE)"),0.16666666666666666)</f>
        <v>0.1666666667</v>
      </c>
      <c r="I153" s="15">
        <f t="shared" si="2"/>
        <v>-0.1666666667</v>
      </c>
      <c r="J153" s="16">
        <f>IFERROR(__xludf.DUMMYFUNCTION("VLOOKUP(A153,IMPORTRANGE(""1QZ5UxyNCwadreQAXnQ7oCoH982DjIA-QnZdO7ZoqkC0/edit#gid=884617569"",""S2 Totals!$A$2:$O$255""),7,FALSE)"),0.0)</f>
        <v>0</v>
      </c>
      <c r="K153" s="15">
        <f>IFERROR(__xludf.DUMMYFUNCTION("VLOOKUP(A153,IMPORTRANGE(""1QZ5UxyNCwadreQAXnQ7oCoH982DjIA-QnZdO7ZoqkC0/edit#gid=884617569"",""S2 Totals!$A$2:$O$255""),8,FALSE)"),0.0)</f>
        <v>0</v>
      </c>
      <c r="L153" s="110">
        <f t="shared" si="3"/>
        <v>0</v>
      </c>
      <c r="M153" s="16" t="str">
        <f>IFERROR(__xludf.DUMMYFUNCTION("VLOOKUP(A153,IMPORTRANGE(""1QZ5UxyNCwadreQAXnQ7oCoH982DjIA-QnZdO7ZoqkC0/edit#gid=884617569"",""S2 Totals!$A$2:$O$255""),10,FALSE)"),"")</f>
        <v/>
      </c>
      <c r="N153" s="15" t="str">
        <f>IFERROR(__xludf.DUMMYFUNCTION("VLOOKUP(A153,IMPORTRANGE(""1QZ5UxyNCwadreQAXnQ7oCoH982DjIA-QnZdO7ZoqkC0/edit#gid=884617569"",""S2 Totals!$A$2:$O$255""),11,FALSE)"),"")</f>
        <v/>
      </c>
      <c r="O153" s="110">
        <f t="shared" si="4"/>
        <v>0</v>
      </c>
      <c r="P153" s="16" t="str">
        <f>IFERROR(__xludf.DUMMYFUNCTION("VLOOKUP(A153,IMPORTRANGE(""1QZ5UxyNCwadreQAXnQ7oCoH982DjIA-QnZdO7ZoqkC0/edit#gid=884617569"",""S2 Totals!$A$2:$O$255""),13,FALSE)"),"")</f>
        <v/>
      </c>
      <c r="Q153" s="15" t="str">
        <f>IFERROR(__xludf.DUMMYFUNCTION("VLOOKUP(A153,IMPORTRANGE(""1QZ5UxyNCwadreQAXnQ7oCoH982DjIA-QnZdO7ZoqkC0/edit#gid=884617569"",""S2 Totals!$A$2:$O$255""),14,FALSE)"),"")</f>
        <v/>
      </c>
      <c r="R153" s="129">
        <f t="shared" si="5"/>
        <v>0</v>
      </c>
    </row>
    <row r="154">
      <c r="A154" s="128" t="s">
        <v>22</v>
      </c>
      <c r="B154" s="16">
        <f>IFERROR(__xludf.DUMMYFUNCTION("VLOOKUP(A154,IMPORTRANGE(""1aFCnJY1qhIj8-JckJhDJ18aqmVo17tofpQmOjcYa3u8/edit#gid=1878241338"",""S2 Totals!$A$2:$O$255""),2,FALSE)"),0.0)</f>
        <v>0</v>
      </c>
      <c r="C154" s="15">
        <f>IFERROR(__xludf.DUMMYFUNCTION("VLOOKUP(A154,IMPORTRANGE(""1aFCnJY1qhIj8-JckJhDJ18aqmVo17tofpQmOjcYa3u8/edit#gid=1878241338"",""S2 Totals!$A$2:$O$255""),3,FALSE)"),0.0)</f>
        <v>0</v>
      </c>
      <c r="D154" s="16">
        <f>IFERROR(__xludf.DUMMYFUNCTION("VLOOKUP(A154,IMPORTRANGE(""1QZ5UxyNCwadreQAXnQ7oCoH982DjIA-QnZdO7ZoqkC0/edit#gid=884617569"",""S2 Totals!$A$2:$O$255""),2,FALSE)"),0.0)</f>
        <v>0</v>
      </c>
      <c r="E154" s="15">
        <f>IFERROR(__xludf.DUMMYFUNCTION("VLOOKUP(A154,IMPORTRANGE(""1QZ5UxyNCwadreQAXnQ7oCoH982DjIA-QnZdO7ZoqkC0/edit#gid=884617569"",""S2 Totals!$A$2:$O$255""),3,FALSE)"),0.0)</f>
        <v>0</v>
      </c>
      <c r="F154" s="15">
        <f t="shared" si="1"/>
        <v>0</v>
      </c>
      <c r="G154" s="16">
        <f>IFERROR(__xludf.DUMMYFUNCTION("VLOOKUP(A154,IMPORTRANGE(""1QZ5UxyNCwadreQAXnQ7oCoH982DjIA-QnZdO7ZoqkC0/edit#gid=884617569"",""S2 Totals!$A$2:$O$255""),4,FALSE)"),0.0)</f>
        <v>0</v>
      </c>
      <c r="H154" s="15">
        <f>IFERROR(__xludf.DUMMYFUNCTION("VLOOKUP(A154,IMPORTRANGE(""1QZ5UxyNCwadreQAXnQ7oCoH982DjIA-QnZdO7ZoqkC0/edit#gid=884617569"",""S2 Totals!$A$2:$O$255""),5,FALSE)"),0.0)</f>
        <v>0</v>
      </c>
      <c r="I154" s="15">
        <f t="shared" si="2"/>
        <v>0</v>
      </c>
      <c r="J154" s="16">
        <f>IFERROR(__xludf.DUMMYFUNCTION("VLOOKUP(A154,IMPORTRANGE(""1QZ5UxyNCwadreQAXnQ7oCoH982DjIA-QnZdO7ZoqkC0/edit#gid=884617569"",""S2 Totals!$A$2:$O$255""),7,FALSE)"),0.0)</f>
        <v>0</v>
      </c>
      <c r="K154" s="15">
        <f>IFERROR(__xludf.DUMMYFUNCTION("VLOOKUP(A154,IMPORTRANGE(""1QZ5UxyNCwadreQAXnQ7oCoH982DjIA-QnZdO7ZoqkC0/edit#gid=884617569"",""S2 Totals!$A$2:$O$255""),8,FALSE)"),0.0)</f>
        <v>0</v>
      </c>
      <c r="L154" s="110">
        <f t="shared" si="3"/>
        <v>0</v>
      </c>
      <c r="M154" s="16">
        <f>IFERROR(__xludf.DUMMYFUNCTION("VLOOKUP(A154,IMPORTRANGE(""1QZ5UxyNCwadreQAXnQ7oCoH982DjIA-QnZdO7ZoqkC0/edit#gid=884617569"",""S2 Totals!$A$2:$O$255""),10,FALSE)"),0.0)</f>
        <v>0</v>
      </c>
      <c r="N154" s="15">
        <f>IFERROR(__xludf.DUMMYFUNCTION("VLOOKUP(A154,IMPORTRANGE(""1QZ5UxyNCwadreQAXnQ7oCoH982DjIA-QnZdO7ZoqkC0/edit#gid=884617569"",""S2 Totals!$A$2:$O$255""),11,FALSE)"),0.0)</f>
        <v>0</v>
      </c>
      <c r="O154" s="110">
        <f t="shared" si="4"/>
        <v>0</v>
      </c>
      <c r="P154" s="16">
        <f>IFERROR(__xludf.DUMMYFUNCTION("VLOOKUP(A154,IMPORTRANGE(""1QZ5UxyNCwadreQAXnQ7oCoH982DjIA-QnZdO7ZoqkC0/edit#gid=884617569"",""S2 Totals!$A$2:$O$255""),13,FALSE)"),0.0)</f>
        <v>0</v>
      </c>
      <c r="Q154" s="15">
        <f>IFERROR(__xludf.DUMMYFUNCTION("VLOOKUP(A154,IMPORTRANGE(""1QZ5UxyNCwadreQAXnQ7oCoH982DjIA-QnZdO7ZoqkC0/edit#gid=884617569"",""S2 Totals!$A$2:$O$255""),14,FALSE)"),0.0)</f>
        <v>0</v>
      </c>
      <c r="R154" s="129">
        <f t="shared" si="5"/>
        <v>0</v>
      </c>
    </row>
    <row r="155">
      <c r="A155" s="128" t="s">
        <v>100</v>
      </c>
      <c r="B155" s="16">
        <f>IFERROR(__xludf.DUMMYFUNCTION("VLOOKUP(A155,IMPORTRANGE(""1aFCnJY1qhIj8-JckJhDJ18aqmVo17tofpQmOjcYa3u8/edit#gid=1878241338"",""S2 Totals!$A$2:$O$255""),2,FALSE)"),4.0)</f>
        <v>4</v>
      </c>
      <c r="C155" s="15">
        <f>IFERROR(__xludf.DUMMYFUNCTION("VLOOKUP(A155,IMPORTRANGE(""1aFCnJY1qhIj8-JckJhDJ18aqmVo17tofpQmOjcYa3u8/edit#gid=1878241338"",""S2 Totals!$A$2:$O$255""),3,FALSE)"),0.36363636363636365)</f>
        <v>0.3636363636</v>
      </c>
      <c r="D155" s="16">
        <f>IFERROR(__xludf.DUMMYFUNCTION("VLOOKUP(A155,IMPORTRANGE(""1QZ5UxyNCwadreQAXnQ7oCoH982DjIA-QnZdO7ZoqkC0/edit#gid=884617569"",""S2 Totals!$A$2:$O$255""),2,FALSE)"),4.0)</f>
        <v>4</v>
      </c>
      <c r="E155" s="15">
        <f>IFERROR(__xludf.DUMMYFUNCTION("VLOOKUP(A155,IMPORTRANGE(""1QZ5UxyNCwadreQAXnQ7oCoH982DjIA-QnZdO7ZoqkC0/edit#gid=884617569"",""S2 Totals!$A$2:$O$255""),3,FALSE)"),0.3076923076923077)</f>
        <v>0.3076923077</v>
      </c>
      <c r="F155" s="15">
        <f t="shared" si="1"/>
        <v>0.05594405594</v>
      </c>
      <c r="G155" s="16">
        <f>IFERROR(__xludf.DUMMYFUNCTION("VLOOKUP(A155,IMPORTRANGE(""1QZ5UxyNCwadreQAXnQ7oCoH982DjIA-QnZdO7ZoqkC0/edit#gid=884617569"",""S2 Totals!$A$2:$O$255""),4,FALSE)"),2.0)</f>
        <v>2</v>
      </c>
      <c r="H155" s="15">
        <f>IFERROR(__xludf.DUMMYFUNCTION("VLOOKUP(A155,IMPORTRANGE(""1QZ5UxyNCwadreQAXnQ7oCoH982DjIA-QnZdO7ZoqkC0/edit#gid=884617569"",""S2 Totals!$A$2:$O$255""),5,FALSE)"),0.16666666666666666)</f>
        <v>0.1666666667</v>
      </c>
      <c r="I155" s="15">
        <f t="shared" si="2"/>
        <v>0.196969697</v>
      </c>
      <c r="J155" s="16">
        <f>IFERROR(__xludf.DUMMYFUNCTION("VLOOKUP(A155,IMPORTRANGE(""1QZ5UxyNCwadreQAXnQ7oCoH982DjIA-QnZdO7ZoqkC0/edit#gid=884617569"",""S2 Totals!$A$2:$O$255""),7,FALSE)"),0.0)</f>
        <v>0</v>
      </c>
      <c r="K155" s="15">
        <f>IFERROR(__xludf.DUMMYFUNCTION("VLOOKUP(A155,IMPORTRANGE(""1QZ5UxyNCwadreQAXnQ7oCoH982DjIA-QnZdO7ZoqkC0/edit#gid=884617569"",""S2 Totals!$A$2:$O$255""),8,FALSE)"),0.0)</f>
        <v>0</v>
      </c>
      <c r="L155" s="110">
        <f t="shared" si="3"/>
        <v>0.3636363636</v>
      </c>
      <c r="M155" s="16">
        <f>IFERROR(__xludf.DUMMYFUNCTION("VLOOKUP(A155,IMPORTRANGE(""1QZ5UxyNCwadreQAXnQ7oCoH982DjIA-QnZdO7ZoqkC0/edit#gid=884617569"",""S2 Totals!$A$2:$O$255""),10,FALSE)"),0.0)</f>
        <v>0</v>
      </c>
      <c r="N155" s="15">
        <f>IFERROR(__xludf.DUMMYFUNCTION("VLOOKUP(A155,IMPORTRANGE(""1QZ5UxyNCwadreQAXnQ7oCoH982DjIA-QnZdO7ZoqkC0/edit#gid=884617569"",""S2 Totals!$A$2:$O$255""),11,FALSE)"),0.0)</f>
        <v>0</v>
      </c>
      <c r="O155" s="110">
        <f t="shared" si="4"/>
        <v>0.3636363636</v>
      </c>
      <c r="P155" s="16">
        <f>IFERROR(__xludf.DUMMYFUNCTION("VLOOKUP(A155,IMPORTRANGE(""1QZ5UxyNCwadreQAXnQ7oCoH982DjIA-QnZdO7ZoqkC0/edit#gid=884617569"",""S2 Totals!$A$2:$O$255""),13,FALSE)"),0.0)</f>
        <v>0</v>
      </c>
      <c r="Q155" s="15">
        <f>IFERROR(__xludf.DUMMYFUNCTION("VLOOKUP(A155,IMPORTRANGE(""1QZ5UxyNCwadreQAXnQ7oCoH982DjIA-QnZdO7ZoqkC0/edit#gid=884617569"",""S2 Totals!$A$2:$O$255""),14,FALSE)"),0.0)</f>
        <v>0</v>
      </c>
      <c r="R155" s="129">
        <f t="shared" si="5"/>
        <v>0.3636363636</v>
      </c>
    </row>
    <row r="156">
      <c r="A156" s="128" t="s">
        <v>76</v>
      </c>
      <c r="B156" s="16">
        <f>IFERROR(__xludf.DUMMYFUNCTION("VLOOKUP(A156,IMPORTRANGE(""1aFCnJY1qhIj8-JckJhDJ18aqmVo17tofpQmOjcYa3u8/edit#gid=1878241338"",""S2 Totals!$A$2:$O$255""),2,FALSE)"),3.0)</f>
        <v>3</v>
      </c>
      <c r="C156" s="15">
        <f>IFERROR(__xludf.DUMMYFUNCTION("VLOOKUP(A156,IMPORTRANGE(""1aFCnJY1qhIj8-JckJhDJ18aqmVo17tofpQmOjcYa3u8/edit#gid=1878241338"",""S2 Totals!$A$2:$O$255""),3,FALSE)"),0.2727272727272727)</f>
        <v>0.2727272727</v>
      </c>
      <c r="D156" s="16">
        <f>IFERROR(__xludf.DUMMYFUNCTION("VLOOKUP(A156,IMPORTRANGE(""1QZ5UxyNCwadreQAXnQ7oCoH982DjIA-QnZdO7ZoqkC0/edit#gid=884617569"",""S2 Totals!$A$2:$O$255""),2,FALSE)"),4.0)</f>
        <v>4</v>
      </c>
      <c r="E156" s="15">
        <f>IFERROR(__xludf.DUMMYFUNCTION("VLOOKUP(A156,IMPORTRANGE(""1QZ5UxyNCwadreQAXnQ7oCoH982DjIA-QnZdO7ZoqkC0/edit#gid=884617569"",""S2 Totals!$A$2:$O$255""),3,FALSE)"),0.3076923076923077)</f>
        <v>0.3076923077</v>
      </c>
      <c r="F156" s="15">
        <f t="shared" si="1"/>
        <v>-0.03496503497</v>
      </c>
      <c r="G156" s="16">
        <f>IFERROR(__xludf.DUMMYFUNCTION("VLOOKUP(A156,IMPORTRANGE(""1QZ5UxyNCwadreQAXnQ7oCoH982DjIA-QnZdO7ZoqkC0/edit#gid=884617569"",""S2 Totals!$A$2:$O$255""),4,FALSE)"),4.0)</f>
        <v>4</v>
      </c>
      <c r="H156" s="15">
        <f>IFERROR(__xludf.DUMMYFUNCTION("VLOOKUP(A156,IMPORTRANGE(""1QZ5UxyNCwadreQAXnQ7oCoH982DjIA-QnZdO7ZoqkC0/edit#gid=884617569"",""S2 Totals!$A$2:$O$255""),5,FALSE)"),0.3333333333333333)</f>
        <v>0.3333333333</v>
      </c>
      <c r="I156" s="15">
        <f t="shared" si="2"/>
        <v>-0.06060606061</v>
      </c>
      <c r="J156" s="16">
        <f>IFERROR(__xludf.DUMMYFUNCTION("VLOOKUP(A156,IMPORTRANGE(""1QZ5UxyNCwadreQAXnQ7oCoH982DjIA-QnZdO7ZoqkC0/edit#gid=884617569"",""S2 Totals!$A$2:$O$255""),7,FALSE)"),4.0)</f>
        <v>4</v>
      </c>
      <c r="K156" s="15">
        <f>IFERROR(__xludf.DUMMYFUNCTION("VLOOKUP(A156,IMPORTRANGE(""1QZ5UxyNCwadreQAXnQ7oCoH982DjIA-QnZdO7ZoqkC0/edit#gid=884617569"",""S2 Totals!$A$2:$O$255""),8,FALSE)"),0.3333333333333333)</f>
        <v>0.3333333333</v>
      </c>
      <c r="L156" s="110">
        <f t="shared" si="3"/>
        <v>-0.06060606061</v>
      </c>
      <c r="M156" s="16">
        <f>IFERROR(__xludf.DUMMYFUNCTION("VLOOKUP(A156,IMPORTRANGE(""1QZ5UxyNCwadreQAXnQ7oCoH982DjIA-QnZdO7ZoqkC0/edit#gid=884617569"",""S2 Totals!$A$2:$O$255""),10,FALSE)"),6.0)</f>
        <v>6</v>
      </c>
      <c r="N156" s="15">
        <f>IFERROR(__xludf.DUMMYFUNCTION("VLOOKUP(A156,IMPORTRANGE(""1QZ5UxyNCwadreQAXnQ7oCoH982DjIA-QnZdO7ZoqkC0/edit#gid=884617569"",""S2 Totals!$A$2:$O$255""),11,FALSE)"),0.46153846153846156)</f>
        <v>0.4615384615</v>
      </c>
      <c r="O156" s="110">
        <f t="shared" si="4"/>
        <v>-0.1888111888</v>
      </c>
      <c r="P156" s="16">
        <f>IFERROR(__xludf.DUMMYFUNCTION("VLOOKUP(A156,IMPORTRANGE(""1QZ5UxyNCwadreQAXnQ7oCoH982DjIA-QnZdO7ZoqkC0/edit#gid=884617569"",""S2 Totals!$A$2:$O$255""),13,FALSE)"),1.0)</f>
        <v>1</v>
      </c>
      <c r="Q156" s="15">
        <f>IFERROR(__xludf.DUMMYFUNCTION("VLOOKUP(A156,IMPORTRANGE(""1QZ5UxyNCwadreQAXnQ7oCoH982DjIA-QnZdO7ZoqkC0/edit#gid=884617569"",""S2 Totals!$A$2:$O$255""),14,FALSE)"),0.08333333333333333)</f>
        <v>0.08333333333</v>
      </c>
      <c r="R156" s="129">
        <f t="shared" si="5"/>
        <v>0.1893939394</v>
      </c>
    </row>
    <row r="157">
      <c r="A157" s="128" t="s">
        <v>186</v>
      </c>
      <c r="B157" s="16">
        <f>IFERROR(__xludf.DUMMYFUNCTION("VLOOKUP(A157,IMPORTRANGE(""1aFCnJY1qhIj8-JckJhDJ18aqmVo17tofpQmOjcYa3u8/edit#gid=1878241338"",""S2 Totals!$A$2:$O$255""),2,FALSE)"),3.0)</f>
        <v>3</v>
      </c>
      <c r="C157" s="15">
        <f>IFERROR(__xludf.DUMMYFUNCTION("VLOOKUP(A157,IMPORTRANGE(""1aFCnJY1qhIj8-JckJhDJ18aqmVo17tofpQmOjcYa3u8/edit#gid=1878241338"",""S2 Totals!$A$2:$O$255""),3,FALSE)"),0.2727272727272727)</f>
        <v>0.2727272727</v>
      </c>
      <c r="D157" s="16">
        <f>IFERROR(__xludf.DUMMYFUNCTION("VLOOKUP(A157,IMPORTRANGE(""1QZ5UxyNCwadreQAXnQ7oCoH982DjIA-QnZdO7ZoqkC0/edit#gid=884617569"",""S2 Totals!$A$2:$O$255""),2,FALSE)"),2.0)</f>
        <v>2</v>
      </c>
      <c r="E157" s="15">
        <f>IFERROR(__xludf.DUMMYFUNCTION("VLOOKUP(A157,IMPORTRANGE(""1QZ5UxyNCwadreQAXnQ7oCoH982DjIA-QnZdO7ZoqkC0/edit#gid=884617569"",""S2 Totals!$A$2:$O$255""),3,FALSE)"),0.15384615384615385)</f>
        <v>0.1538461538</v>
      </c>
      <c r="F157" s="15">
        <f t="shared" si="1"/>
        <v>0.1188811189</v>
      </c>
      <c r="G157" s="16">
        <f>IFERROR(__xludf.DUMMYFUNCTION("VLOOKUP(A157,IMPORTRANGE(""1QZ5UxyNCwadreQAXnQ7oCoH982DjIA-QnZdO7ZoqkC0/edit#gid=884617569"",""S2 Totals!$A$2:$O$255""),4,FALSE)"),4.0)</f>
        <v>4</v>
      </c>
      <c r="H157" s="15">
        <f>IFERROR(__xludf.DUMMYFUNCTION("VLOOKUP(A157,IMPORTRANGE(""1QZ5UxyNCwadreQAXnQ7oCoH982DjIA-QnZdO7ZoqkC0/edit#gid=884617569"",""S2 Totals!$A$2:$O$255""),5,FALSE)"),0.3333333333333333)</f>
        <v>0.3333333333</v>
      </c>
      <c r="I157" s="15">
        <f t="shared" si="2"/>
        <v>-0.06060606061</v>
      </c>
      <c r="J157" s="16">
        <f>IFERROR(__xludf.DUMMYFUNCTION("VLOOKUP(A157,IMPORTRANGE(""1QZ5UxyNCwadreQAXnQ7oCoH982DjIA-QnZdO7ZoqkC0/edit#gid=884617569"",""S2 Totals!$A$2:$O$255""),7,FALSE)"),4.0)</f>
        <v>4</v>
      </c>
      <c r="K157" s="15">
        <f>IFERROR(__xludf.DUMMYFUNCTION("VLOOKUP(A157,IMPORTRANGE(""1QZ5UxyNCwadreQAXnQ7oCoH982DjIA-QnZdO7ZoqkC0/edit#gid=884617569"",""S2 Totals!$A$2:$O$255""),8,FALSE)"),0.3333333333333333)</f>
        <v>0.3333333333</v>
      </c>
      <c r="L157" s="110">
        <f t="shared" si="3"/>
        <v>-0.06060606061</v>
      </c>
      <c r="M157" s="16" t="str">
        <f>IFERROR(__xludf.DUMMYFUNCTION("VLOOKUP(A157,IMPORTRANGE(""1QZ5UxyNCwadreQAXnQ7oCoH982DjIA-QnZdO7ZoqkC0/edit#gid=884617569"",""S2 Totals!$A$2:$O$255""),10,FALSE)"),"")</f>
        <v/>
      </c>
      <c r="N157" s="15" t="str">
        <f>IFERROR(__xludf.DUMMYFUNCTION("VLOOKUP(A157,IMPORTRANGE(""1QZ5UxyNCwadreQAXnQ7oCoH982DjIA-QnZdO7ZoqkC0/edit#gid=884617569"",""S2 Totals!$A$2:$O$255""),11,FALSE)"),"")</f>
        <v/>
      </c>
      <c r="O157" s="110">
        <f t="shared" si="4"/>
        <v>0.2727272727</v>
      </c>
      <c r="P157" s="16" t="str">
        <f>IFERROR(__xludf.DUMMYFUNCTION("VLOOKUP(A157,IMPORTRANGE(""1QZ5UxyNCwadreQAXnQ7oCoH982DjIA-QnZdO7ZoqkC0/edit#gid=884617569"",""S2 Totals!$A$2:$O$255""),13,FALSE)"),"")</f>
        <v/>
      </c>
      <c r="Q157" s="15" t="str">
        <f>IFERROR(__xludf.DUMMYFUNCTION("VLOOKUP(A157,IMPORTRANGE(""1QZ5UxyNCwadreQAXnQ7oCoH982DjIA-QnZdO7ZoqkC0/edit#gid=884617569"",""S2 Totals!$A$2:$O$255""),14,FALSE)"),"")</f>
        <v/>
      </c>
      <c r="R157" s="129">
        <f t="shared" si="5"/>
        <v>0.2727272727</v>
      </c>
    </row>
    <row r="158">
      <c r="A158" s="128" t="s">
        <v>187</v>
      </c>
      <c r="B158" s="16">
        <f>IFERROR(__xludf.DUMMYFUNCTION("VLOOKUP(A158,IMPORTRANGE(""1aFCnJY1qhIj8-JckJhDJ18aqmVo17tofpQmOjcYa3u8/edit#gid=1878241338"",""S2 Totals!$A$2:$O$255""),2,FALSE)"),6.0)</f>
        <v>6</v>
      </c>
      <c r="C158" s="15">
        <f>IFERROR(__xludf.DUMMYFUNCTION("VLOOKUP(A158,IMPORTRANGE(""1aFCnJY1qhIj8-JckJhDJ18aqmVo17tofpQmOjcYa3u8/edit#gid=1878241338"",""S2 Totals!$A$2:$O$255""),3,FALSE)"),0.5454545454545454)</f>
        <v>0.5454545455</v>
      </c>
      <c r="D158" s="16">
        <f>IFERROR(__xludf.DUMMYFUNCTION("VLOOKUP(A158,IMPORTRANGE(""1QZ5UxyNCwadreQAXnQ7oCoH982DjIA-QnZdO7ZoqkC0/edit#gid=884617569"",""S2 Totals!$A$2:$O$255""),2,FALSE)"),4.0)</f>
        <v>4</v>
      </c>
      <c r="E158" s="15">
        <f>IFERROR(__xludf.DUMMYFUNCTION("VLOOKUP(A158,IMPORTRANGE(""1QZ5UxyNCwadreQAXnQ7oCoH982DjIA-QnZdO7ZoqkC0/edit#gid=884617569"",""S2 Totals!$A$2:$O$255""),3,FALSE)"),0.3076923076923077)</f>
        <v>0.3076923077</v>
      </c>
      <c r="F158" s="15">
        <f t="shared" si="1"/>
        <v>0.2377622378</v>
      </c>
      <c r="G158" s="16">
        <f>IFERROR(__xludf.DUMMYFUNCTION("VLOOKUP(A158,IMPORTRANGE(""1QZ5UxyNCwadreQAXnQ7oCoH982DjIA-QnZdO7ZoqkC0/edit#gid=884617569"",""S2 Totals!$A$2:$O$255""),4,FALSE)"),4.0)</f>
        <v>4</v>
      </c>
      <c r="H158" s="15">
        <f>IFERROR(__xludf.DUMMYFUNCTION("VLOOKUP(A158,IMPORTRANGE(""1QZ5UxyNCwadreQAXnQ7oCoH982DjIA-QnZdO7ZoqkC0/edit#gid=884617569"",""S2 Totals!$A$2:$O$255""),5,FALSE)"),0.3333333333333333)</f>
        <v>0.3333333333</v>
      </c>
      <c r="I158" s="15">
        <f t="shared" si="2"/>
        <v>0.2121212121</v>
      </c>
      <c r="J158" s="16">
        <f>IFERROR(__xludf.DUMMYFUNCTION("VLOOKUP(A158,IMPORTRANGE(""1QZ5UxyNCwadreQAXnQ7oCoH982DjIA-QnZdO7ZoqkC0/edit#gid=884617569"",""S2 Totals!$A$2:$O$255""),7,FALSE)"),4.0)</f>
        <v>4</v>
      </c>
      <c r="K158" s="15">
        <f>IFERROR(__xludf.DUMMYFUNCTION("VLOOKUP(A158,IMPORTRANGE(""1QZ5UxyNCwadreQAXnQ7oCoH982DjIA-QnZdO7ZoqkC0/edit#gid=884617569"",""S2 Totals!$A$2:$O$255""),8,FALSE)"),0.3333333333333333)</f>
        <v>0.3333333333</v>
      </c>
      <c r="L158" s="110">
        <f t="shared" si="3"/>
        <v>0.2121212121</v>
      </c>
      <c r="M158" s="16" t="str">
        <f>IFERROR(__xludf.DUMMYFUNCTION("VLOOKUP(A158,IMPORTRANGE(""1QZ5UxyNCwadreQAXnQ7oCoH982DjIA-QnZdO7ZoqkC0/edit#gid=884617569"",""S2 Totals!$A$2:$O$255""),10,FALSE)"),"")</f>
        <v/>
      </c>
      <c r="N158" s="15" t="str">
        <f>IFERROR(__xludf.DUMMYFUNCTION("VLOOKUP(A158,IMPORTRANGE(""1QZ5UxyNCwadreQAXnQ7oCoH982DjIA-QnZdO7ZoqkC0/edit#gid=884617569"",""S2 Totals!$A$2:$O$255""),11,FALSE)"),"")</f>
        <v/>
      </c>
      <c r="O158" s="110">
        <f t="shared" si="4"/>
        <v>0.5454545455</v>
      </c>
      <c r="P158" s="16" t="str">
        <f>IFERROR(__xludf.DUMMYFUNCTION("VLOOKUP(A158,IMPORTRANGE(""1QZ5UxyNCwadreQAXnQ7oCoH982DjIA-QnZdO7ZoqkC0/edit#gid=884617569"",""S2 Totals!$A$2:$O$255""),13,FALSE)"),"")</f>
        <v/>
      </c>
      <c r="Q158" s="15" t="str">
        <f>IFERROR(__xludf.DUMMYFUNCTION("VLOOKUP(A158,IMPORTRANGE(""1QZ5UxyNCwadreQAXnQ7oCoH982DjIA-QnZdO7ZoqkC0/edit#gid=884617569"",""S2 Totals!$A$2:$O$255""),14,FALSE)"),"")</f>
        <v/>
      </c>
      <c r="R158" s="129">
        <f t="shared" si="5"/>
        <v>0.5454545455</v>
      </c>
    </row>
    <row r="159">
      <c r="A159" s="128" t="s">
        <v>140</v>
      </c>
      <c r="B159" s="16">
        <f>IFERROR(__xludf.DUMMYFUNCTION("VLOOKUP(A159,IMPORTRANGE(""1aFCnJY1qhIj8-JckJhDJ18aqmVo17tofpQmOjcYa3u8/edit#gid=1878241338"",""S2 Totals!$A$2:$O$255""),2,FALSE)"),6.0)</f>
        <v>6</v>
      </c>
      <c r="C159" s="15">
        <f>IFERROR(__xludf.DUMMYFUNCTION("VLOOKUP(A159,IMPORTRANGE(""1aFCnJY1qhIj8-JckJhDJ18aqmVo17tofpQmOjcYa3u8/edit#gid=1878241338"",""S2 Totals!$A$2:$O$255""),3,FALSE)"),0.5454545454545454)</f>
        <v>0.5454545455</v>
      </c>
      <c r="D159" s="16">
        <f>IFERROR(__xludf.DUMMYFUNCTION("VLOOKUP(A159,IMPORTRANGE(""1QZ5UxyNCwadreQAXnQ7oCoH982DjIA-QnZdO7ZoqkC0/edit#gid=884617569"",""S2 Totals!$A$2:$O$255""),2,FALSE)"),6.0)</f>
        <v>6</v>
      </c>
      <c r="E159" s="15">
        <f>IFERROR(__xludf.DUMMYFUNCTION("VLOOKUP(A159,IMPORTRANGE(""1QZ5UxyNCwadreQAXnQ7oCoH982DjIA-QnZdO7ZoqkC0/edit#gid=884617569"",""S2 Totals!$A$2:$O$255""),3,FALSE)"),0.46153846153846156)</f>
        <v>0.4615384615</v>
      </c>
      <c r="F159" s="15">
        <f t="shared" si="1"/>
        <v>0.08391608392</v>
      </c>
      <c r="G159" s="16">
        <f>IFERROR(__xludf.DUMMYFUNCTION("VLOOKUP(A159,IMPORTRANGE(""1QZ5UxyNCwadreQAXnQ7oCoH982DjIA-QnZdO7ZoqkC0/edit#gid=884617569"",""S2 Totals!$A$2:$O$255""),4,FALSE)"),4.0)</f>
        <v>4</v>
      </c>
      <c r="H159" s="15">
        <f>IFERROR(__xludf.DUMMYFUNCTION("VLOOKUP(A159,IMPORTRANGE(""1QZ5UxyNCwadreQAXnQ7oCoH982DjIA-QnZdO7ZoqkC0/edit#gid=884617569"",""S2 Totals!$A$2:$O$255""),5,FALSE)"),0.3333333333333333)</f>
        <v>0.3333333333</v>
      </c>
      <c r="I159" s="15">
        <f t="shared" si="2"/>
        <v>0.2121212121</v>
      </c>
      <c r="J159" s="16">
        <f>IFERROR(__xludf.DUMMYFUNCTION("VLOOKUP(A159,IMPORTRANGE(""1QZ5UxyNCwadreQAXnQ7oCoH982DjIA-QnZdO7ZoqkC0/edit#gid=884617569"",""S2 Totals!$A$2:$O$255""),7,FALSE)"),4.0)</f>
        <v>4</v>
      </c>
      <c r="K159" s="15">
        <f>IFERROR(__xludf.DUMMYFUNCTION("VLOOKUP(A159,IMPORTRANGE(""1QZ5UxyNCwadreQAXnQ7oCoH982DjIA-QnZdO7ZoqkC0/edit#gid=884617569"",""S2 Totals!$A$2:$O$255""),8,FALSE)"),0.3333333333333333)</f>
        <v>0.3333333333</v>
      </c>
      <c r="L159" s="110">
        <f t="shared" si="3"/>
        <v>0.2121212121</v>
      </c>
      <c r="M159" s="16">
        <f>IFERROR(__xludf.DUMMYFUNCTION("VLOOKUP(A159,IMPORTRANGE(""1QZ5UxyNCwadreQAXnQ7oCoH982DjIA-QnZdO7ZoqkC0/edit#gid=884617569"",""S2 Totals!$A$2:$O$255""),10,FALSE)"),2.0)</f>
        <v>2</v>
      </c>
      <c r="N159" s="15">
        <f>IFERROR(__xludf.DUMMYFUNCTION("VLOOKUP(A159,IMPORTRANGE(""1QZ5UxyNCwadreQAXnQ7oCoH982DjIA-QnZdO7ZoqkC0/edit#gid=884617569"",""S2 Totals!$A$2:$O$255""),11,FALSE)"),0.15384615384615385)</f>
        <v>0.1538461538</v>
      </c>
      <c r="O159" s="110">
        <f t="shared" si="4"/>
        <v>0.3916083916</v>
      </c>
      <c r="P159" s="16" t="str">
        <f>IFERROR(__xludf.DUMMYFUNCTION("VLOOKUP(A159,IMPORTRANGE(""1QZ5UxyNCwadreQAXnQ7oCoH982DjIA-QnZdO7ZoqkC0/edit#gid=884617569"",""S2 Totals!$A$2:$O$255""),13,FALSE)"),"")</f>
        <v/>
      </c>
      <c r="Q159" s="15" t="str">
        <f>IFERROR(__xludf.DUMMYFUNCTION("VLOOKUP(A159,IMPORTRANGE(""1QZ5UxyNCwadreQAXnQ7oCoH982DjIA-QnZdO7ZoqkC0/edit#gid=884617569"",""S2 Totals!$A$2:$O$255""),14,FALSE)"),"")</f>
        <v/>
      </c>
      <c r="R159" s="129">
        <f t="shared" si="5"/>
        <v>0.5454545455</v>
      </c>
    </row>
    <row r="160">
      <c r="A160" s="128" t="s">
        <v>244</v>
      </c>
      <c r="B160" s="16">
        <f>IFERROR(__xludf.DUMMYFUNCTION("VLOOKUP(A160,IMPORTRANGE(""1aFCnJY1qhIj8-JckJhDJ18aqmVo17tofpQmOjcYa3u8/edit#gid=1878241338"",""S2 Totals!$A$2:$O$255""),2,FALSE)"),3.0)</f>
        <v>3</v>
      </c>
      <c r="C160" s="15">
        <f>IFERROR(__xludf.DUMMYFUNCTION("VLOOKUP(A160,IMPORTRANGE(""1aFCnJY1qhIj8-JckJhDJ18aqmVo17tofpQmOjcYa3u8/edit#gid=1878241338"",""S2 Totals!$A$2:$O$255""),3,FALSE)"),0.2727272727272727)</f>
        <v>0.2727272727</v>
      </c>
      <c r="D160" s="16">
        <f>IFERROR(__xludf.DUMMYFUNCTION("VLOOKUP(A160,IMPORTRANGE(""1QZ5UxyNCwadreQAXnQ7oCoH982DjIA-QnZdO7ZoqkC0/edit#gid=884617569"",""S2 Totals!$A$2:$O$255""),2,FALSE)"),4.0)</f>
        <v>4</v>
      </c>
      <c r="E160" s="15">
        <f>IFERROR(__xludf.DUMMYFUNCTION("VLOOKUP(A160,IMPORTRANGE(""1QZ5UxyNCwadreQAXnQ7oCoH982DjIA-QnZdO7ZoqkC0/edit#gid=884617569"",""S2 Totals!$A$2:$O$255""),3,FALSE)"),0.3076923076923077)</f>
        <v>0.3076923077</v>
      </c>
      <c r="F160" s="15">
        <f t="shared" si="1"/>
        <v>-0.03496503497</v>
      </c>
      <c r="G160" s="16">
        <f>IFERROR(__xludf.DUMMYFUNCTION("VLOOKUP(A160,IMPORTRANGE(""1QZ5UxyNCwadreQAXnQ7oCoH982DjIA-QnZdO7ZoqkC0/edit#gid=884617569"",""S2 Totals!$A$2:$O$255""),4,FALSE)"),4.0)</f>
        <v>4</v>
      </c>
      <c r="H160" s="15">
        <f>IFERROR(__xludf.DUMMYFUNCTION("VLOOKUP(A160,IMPORTRANGE(""1QZ5UxyNCwadreQAXnQ7oCoH982DjIA-QnZdO7ZoqkC0/edit#gid=884617569"",""S2 Totals!$A$2:$O$255""),5,FALSE)"),0.3333333333333333)</f>
        <v>0.3333333333</v>
      </c>
      <c r="I160" s="15">
        <f t="shared" si="2"/>
        <v>-0.06060606061</v>
      </c>
      <c r="J160" s="16" t="str">
        <f>IFERROR(__xludf.DUMMYFUNCTION("VLOOKUP(A160,IMPORTRANGE(""1QZ5UxyNCwadreQAXnQ7oCoH982DjIA-QnZdO7ZoqkC0/edit#gid=884617569"",""S2 Totals!$A$2:$O$255""),7,FALSE)"),"")</f>
        <v/>
      </c>
      <c r="K160" s="15" t="str">
        <f>IFERROR(__xludf.DUMMYFUNCTION("VLOOKUP(A160,IMPORTRANGE(""1QZ5UxyNCwadreQAXnQ7oCoH982DjIA-QnZdO7ZoqkC0/edit#gid=884617569"",""S2 Totals!$A$2:$O$255""),8,FALSE)"),"")</f>
        <v/>
      </c>
      <c r="L160" s="110">
        <f t="shared" si="3"/>
        <v>0.2727272727</v>
      </c>
      <c r="M160" s="16" t="str">
        <f>IFERROR(__xludf.DUMMYFUNCTION("VLOOKUP(A160,IMPORTRANGE(""1QZ5UxyNCwadreQAXnQ7oCoH982DjIA-QnZdO7ZoqkC0/edit#gid=884617569"",""S2 Totals!$A$2:$O$255""),10,FALSE)"),"")</f>
        <v/>
      </c>
      <c r="N160" s="15" t="str">
        <f>IFERROR(__xludf.DUMMYFUNCTION("VLOOKUP(A160,IMPORTRANGE(""1QZ5UxyNCwadreQAXnQ7oCoH982DjIA-QnZdO7ZoqkC0/edit#gid=884617569"",""S2 Totals!$A$2:$O$255""),11,FALSE)"),"")</f>
        <v/>
      </c>
      <c r="O160" s="110">
        <f t="shared" si="4"/>
        <v>0.2727272727</v>
      </c>
      <c r="P160" s="16" t="str">
        <f>IFERROR(__xludf.DUMMYFUNCTION("VLOOKUP(A160,IMPORTRANGE(""1QZ5UxyNCwadreQAXnQ7oCoH982DjIA-QnZdO7ZoqkC0/edit#gid=884617569"",""S2 Totals!$A$2:$O$255""),13,FALSE)"),"")</f>
        <v/>
      </c>
      <c r="Q160" s="15" t="str">
        <f>IFERROR(__xludf.DUMMYFUNCTION("VLOOKUP(A160,IMPORTRANGE(""1QZ5UxyNCwadreQAXnQ7oCoH982DjIA-QnZdO7ZoqkC0/edit#gid=884617569"",""S2 Totals!$A$2:$O$255""),14,FALSE)"),"")</f>
        <v/>
      </c>
      <c r="R160" s="129">
        <f t="shared" si="5"/>
        <v>0.2727272727</v>
      </c>
    </row>
    <row r="161">
      <c r="A161" s="128" t="s">
        <v>188</v>
      </c>
      <c r="B161" s="16">
        <f>IFERROR(__xludf.DUMMYFUNCTION("VLOOKUP(A161,IMPORTRANGE(""1aFCnJY1qhIj8-JckJhDJ18aqmVo17tofpQmOjcYa3u8/edit#gid=1878241338"",""S2 Totals!$A$2:$O$255""),2,FALSE)"),2.0)</f>
        <v>2</v>
      </c>
      <c r="C161" s="15">
        <f>IFERROR(__xludf.DUMMYFUNCTION("VLOOKUP(A161,IMPORTRANGE(""1aFCnJY1qhIj8-JckJhDJ18aqmVo17tofpQmOjcYa3u8/edit#gid=1878241338"",""S2 Totals!$A$2:$O$255""),3,FALSE)"),0.18181818181818182)</f>
        <v>0.1818181818</v>
      </c>
      <c r="D161" s="16">
        <f>IFERROR(__xludf.DUMMYFUNCTION("VLOOKUP(A161,IMPORTRANGE(""1QZ5UxyNCwadreQAXnQ7oCoH982DjIA-QnZdO7ZoqkC0/edit#gid=884617569"",""S2 Totals!$A$2:$O$255""),2,FALSE)"),4.0)</f>
        <v>4</v>
      </c>
      <c r="E161" s="15">
        <f>IFERROR(__xludf.DUMMYFUNCTION("VLOOKUP(A161,IMPORTRANGE(""1QZ5UxyNCwadreQAXnQ7oCoH982DjIA-QnZdO7ZoqkC0/edit#gid=884617569"",""S2 Totals!$A$2:$O$255""),3,FALSE)"),0.3076923076923077)</f>
        <v>0.3076923077</v>
      </c>
      <c r="F161" s="15">
        <f t="shared" si="1"/>
        <v>-0.1258741259</v>
      </c>
      <c r="G161" s="16">
        <f>IFERROR(__xludf.DUMMYFUNCTION("VLOOKUP(A161,IMPORTRANGE(""1QZ5UxyNCwadreQAXnQ7oCoH982DjIA-QnZdO7ZoqkC0/edit#gid=884617569"",""S2 Totals!$A$2:$O$255""),4,FALSE)"),2.0)</f>
        <v>2</v>
      </c>
      <c r="H161" s="15">
        <f>IFERROR(__xludf.DUMMYFUNCTION("VLOOKUP(A161,IMPORTRANGE(""1QZ5UxyNCwadreQAXnQ7oCoH982DjIA-QnZdO7ZoqkC0/edit#gid=884617569"",""S2 Totals!$A$2:$O$255""),5,FALSE)"),0.16666666666666666)</f>
        <v>0.1666666667</v>
      </c>
      <c r="I161" s="15">
        <f t="shared" si="2"/>
        <v>0.01515151515</v>
      </c>
      <c r="J161" s="16">
        <f>IFERROR(__xludf.DUMMYFUNCTION("VLOOKUP(A161,IMPORTRANGE(""1QZ5UxyNCwadreQAXnQ7oCoH982DjIA-QnZdO7ZoqkC0/edit#gid=884617569"",""S2 Totals!$A$2:$O$255""),7,FALSE)"),2.0)</f>
        <v>2</v>
      </c>
      <c r="K161" s="15">
        <f>IFERROR(__xludf.DUMMYFUNCTION("VLOOKUP(A161,IMPORTRANGE(""1QZ5UxyNCwadreQAXnQ7oCoH982DjIA-QnZdO7ZoqkC0/edit#gid=884617569"",""S2 Totals!$A$2:$O$255""),8,FALSE)"),0.16666666666666666)</f>
        <v>0.1666666667</v>
      </c>
      <c r="L161" s="110">
        <f t="shared" si="3"/>
        <v>0.01515151515</v>
      </c>
      <c r="M161" s="16" t="str">
        <f>IFERROR(__xludf.DUMMYFUNCTION("VLOOKUP(A161,IMPORTRANGE(""1QZ5UxyNCwadreQAXnQ7oCoH982DjIA-QnZdO7ZoqkC0/edit#gid=884617569"",""S2 Totals!$A$2:$O$255""),10,FALSE)"),"")</f>
        <v/>
      </c>
      <c r="N161" s="15" t="str">
        <f>IFERROR(__xludf.DUMMYFUNCTION("VLOOKUP(A161,IMPORTRANGE(""1QZ5UxyNCwadreQAXnQ7oCoH982DjIA-QnZdO7ZoqkC0/edit#gid=884617569"",""S2 Totals!$A$2:$O$255""),11,FALSE)"),"")</f>
        <v/>
      </c>
      <c r="O161" s="110">
        <f t="shared" si="4"/>
        <v>0.1818181818</v>
      </c>
      <c r="P161" s="16" t="str">
        <f>IFERROR(__xludf.DUMMYFUNCTION("VLOOKUP(A161,IMPORTRANGE(""1QZ5UxyNCwadreQAXnQ7oCoH982DjIA-QnZdO7ZoqkC0/edit#gid=884617569"",""S2 Totals!$A$2:$O$255""),13,FALSE)"),"")</f>
        <v/>
      </c>
      <c r="Q161" s="15" t="str">
        <f>IFERROR(__xludf.DUMMYFUNCTION("VLOOKUP(A161,IMPORTRANGE(""1QZ5UxyNCwadreQAXnQ7oCoH982DjIA-QnZdO7ZoqkC0/edit#gid=884617569"",""S2 Totals!$A$2:$O$255""),14,FALSE)"),"")</f>
        <v/>
      </c>
      <c r="R161" s="129">
        <f t="shared" si="5"/>
        <v>0.1818181818</v>
      </c>
    </row>
    <row r="162">
      <c r="A162" s="128" t="s">
        <v>189</v>
      </c>
      <c r="B162" s="16">
        <f>IFERROR(__xludf.DUMMYFUNCTION("VLOOKUP(A162,IMPORTRANGE(""1aFCnJY1qhIj8-JckJhDJ18aqmVo17tofpQmOjcYa3u8/edit#gid=1878241338"",""S2 Totals!$A$2:$O$255""),2,FALSE)"),3.0)</f>
        <v>3</v>
      </c>
      <c r="C162" s="15">
        <f>IFERROR(__xludf.DUMMYFUNCTION("VLOOKUP(A162,IMPORTRANGE(""1aFCnJY1qhIj8-JckJhDJ18aqmVo17tofpQmOjcYa3u8/edit#gid=1878241338"",""S2 Totals!$A$2:$O$255""),3,FALSE)"),0.2727272727272727)</f>
        <v>0.2727272727</v>
      </c>
      <c r="D162" s="16">
        <f>IFERROR(__xludf.DUMMYFUNCTION("VLOOKUP(A162,IMPORTRANGE(""1QZ5UxyNCwadreQAXnQ7oCoH982DjIA-QnZdO7ZoqkC0/edit#gid=884617569"",""S2 Totals!$A$2:$O$255""),2,FALSE)"),4.0)</f>
        <v>4</v>
      </c>
      <c r="E162" s="15">
        <f>IFERROR(__xludf.DUMMYFUNCTION("VLOOKUP(A162,IMPORTRANGE(""1QZ5UxyNCwadreQAXnQ7oCoH982DjIA-QnZdO7ZoqkC0/edit#gid=884617569"",""S2 Totals!$A$2:$O$255""),3,FALSE)"),0.3076923076923077)</f>
        <v>0.3076923077</v>
      </c>
      <c r="F162" s="15">
        <f t="shared" si="1"/>
        <v>-0.03496503497</v>
      </c>
      <c r="G162" s="16">
        <f>IFERROR(__xludf.DUMMYFUNCTION("VLOOKUP(A162,IMPORTRANGE(""1QZ5UxyNCwadreQAXnQ7oCoH982DjIA-QnZdO7ZoqkC0/edit#gid=884617569"",""S2 Totals!$A$2:$O$255""),4,FALSE)"),1.0)</f>
        <v>1</v>
      </c>
      <c r="H162" s="15">
        <f>IFERROR(__xludf.DUMMYFUNCTION("VLOOKUP(A162,IMPORTRANGE(""1QZ5UxyNCwadreQAXnQ7oCoH982DjIA-QnZdO7ZoqkC0/edit#gid=884617569"",""S2 Totals!$A$2:$O$255""),5,FALSE)"),0.08333333333333333)</f>
        <v>0.08333333333</v>
      </c>
      <c r="I162" s="15">
        <f t="shared" si="2"/>
        <v>0.1893939394</v>
      </c>
      <c r="J162" s="16">
        <f>IFERROR(__xludf.DUMMYFUNCTION("VLOOKUP(A162,IMPORTRANGE(""1QZ5UxyNCwadreQAXnQ7oCoH982DjIA-QnZdO7ZoqkC0/edit#gid=884617569"",""S2 Totals!$A$2:$O$255""),7,FALSE)"),0.0)</f>
        <v>0</v>
      </c>
      <c r="K162" s="15">
        <f>IFERROR(__xludf.DUMMYFUNCTION("VLOOKUP(A162,IMPORTRANGE(""1QZ5UxyNCwadreQAXnQ7oCoH982DjIA-QnZdO7ZoqkC0/edit#gid=884617569"",""S2 Totals!$A$2:$O$255""),8,FALSE)"),0.0)</f>
        <v>0</v>
      </c>
      <c r="L162" s="110">
        <f t="shared" si="3"/>
        <v>0.2727272727</v>
      </c>
      <c r="M162" s="16" t="str">
        <f>IFERROR(__xludf.DUMMYFUNCTION("VLOOKUP(A162,IMPORTRANGE(""1QZ5UxyNCwadreQAXnQ7oCoH982DjIA-QnZdO7ZoqkC0/edit#gid=884617569"",""S2 Totals!$A$2:$O$255""),10,FALSE)"),"")</f>
        <v/>
      </c>
      <c r="N162" s="15" t="str">
        <f>IFERROR(__xludf.DUMMYFUNCTION("VLOOKUP(A162,IMPORTRANGE(""1QZ5UxyNCwadreQAXnQ7oCoH982DjIA-QnZdO7ZoqkC0/edit#gid=884617569"",""S2 Totals!$A$2:$O$255""),11,FALSE)"),"")</f>
        <v/>
      </c>
      <c r="O162" s="110">
        <f t="shared" si="4"/>
        <v>0.2727272727</v>
      </c>
      <c r="P162" s="16" t="str">
        <f>IFERROR(__xludf.DUMMYFUNCTION("VLOOKUP(A162,IMPORTRANGE(""1QZ5UxyNCwadreQAXnQ7oCoH982DjIA-QnZdO7ZoqkC0/edit#gid=884617569"",""S2 Totals!$A$2:$O$255""),13,FALSE)"),"")</f>
        <v/>
      </c>
      <c r="Q162" s="15" t="str">
        <f>IFERROR(__xludf.DUMMYFUNCTION("VLOOKUP(A162,IMPORTRANGE(""1QZ5UxyNCwadreQAXnQ7oCoH982DjIA-QnZdO7ZoqkC0/edit#gid=884617569"",""S2 Totals!$A$2:$O$255""),14,FALSE)"),"")</f>
        <v/>
      </c>
      <c r="R162" s="129">
        <f t="shared" si="5"/>
        <v>0.2727272727</v>
      </c>
    </row>
    <row r="163">
      <c r="A163" s="128" t="s">
        <v>77</v>
      </c>
      <c r="B163" s="16">
        <f>IFERROR(__xludf.DUMMYFUNCTION("VLOOKUP(A163,IMPORTRANGE(""1aFCnJY1qhIj8-JckJhDJ18aqmVo17tofpQmOjcYa3u8/edit#gid=1878241338"",""S2 Totals!$A$2:$O$255""),2,FALSE)"),4.0)</f>
        <v>4</v>
      </c>
      <c r="C163" s="15">
        <f>IFERROR(__xludf.DUMMYFUNCTION("VLOOKUP(A163,IMPORTRANGE(""1aFCnJY1qhIj8-JckJhDJ18aqmVo17tofpQmOjcYa3u8/edit#gid=1878241338"",""S2 Totals!$A$2:$O$255""),3,FALSE)"),0.36363636363636365)</f>
        <v>0.3636363636</v>
      </c>
      <c r="D163" s="16">
        <f>IFERROR(__xludf.DUMMYFUNCTION("VLOOKUP(A163,IMPORTRANGE(""1QZ5UxyNCwadreQAXnQ7oCoH982DjIA-QnZdO7ZoqkC0/edit#gid=884617569"",""S2 Totals!$A$2:$O$255""),2,FALSE)"),7.0)</f>
        <v>7</v>
      </c>
      <c r="E163" s="15">
        <f>IFERROR(__xludf.DUMMYFUNCTION("VLOOKUP(A163,IMPORTRANGE(""1QZ5UxyNCwadreQAXnQ7oCoH982DjIA-QnZdO7ZoqkC0/edit#gid=884617569"",""S2 Totals!$A$2:$O$255""),3,FALSE)"),0.5384615384615384)</f>
        <v>0.5384615385</v>
      </c>
      <c r="F163" s="15">
        <f t="shared" si="1"/>
        <v>-0.1748251748</v>
      </c>
      <c r="G163" s="16">
        <f>IFERROR(__xludf.DUMMYFUNCTION("VLOOKUP(A163,IMPORTRANGE(""1QZ5UxyNCwadreQAXnQ7oCoH982DjIA-QnZdO7ZoqkC0/edit#gid=884617569"",""S2 Totals!$A$2:$O$255""),4,FALSE)"),8.0)</f>
        <v>8</v>
      </c>
      <c r="H163" s="15">
        <f>IFERROR(__xludf.DUMMYFUNCTION("VLOOKUP(A163,IMPORTRANGE(""1QZ5UxyNCwadreQAXnQ7oCoH982DjIA-QnZdO7ZoqkC0/edit#gid=884617569"",""S2 Totals!$A$2:$O$255""),5,FALSE)"),0.6666666666666666)</f>
        <v>0.6666666667</v>
      </c>
      <c r="I163" s="15">
        <f t="shared" si="2"/>
        <v>-0.303030303</v>
      </c>
      <c r="J163" s="16">
        <f>IFERROR(__xludf.DUMMYFUNCTION("VLOOKUP(A163,IMPORTRANGE(""1QZ5UxyNCwadreQAXnQ7oCoH982DjIA-QnZdO7ZoqkC0/edit#gid=884617569"",""S2 Totals!$A$2:$O$255""),7,FALSE)"),6.0)</f>
        <v>6</v>
      </c>
      <c r="K163" s="15">
        <f>IFERROR(__xludf.DUMMYFUNCTION("VLOOKUP(A163,IMPORTRANGE(""1QZ5UxyNCwadreQAXnQ7oCoH982DjIA-QnZdO7ZoqkC0/edit#gid=884617569"",""S2 Totals!$A$2:$O$255""),8,FALSE)"),0.5)</f>
        <v>0.5</v>
      </c>
      <c r="L163" s="110">
        <f t="shared" si="3"/>
        <v>-0.1363636364</v>
      </c>
      <c r="M163" s="16">
        <f>IFERROR(__xludf.DUMMYFUNCTION("VLOOKUP(A163,IMPORTRANGE(""1QZ5UxyNCwadreQAXnQ7oCoH982DjIA-QnZdO7ZoqkC0/edit#gid=884617569"",""S2 Totals!$A$2:$O$255""),10,FALSE)"),3.0)</f>
        <v>3</v>
      </c>
      <c r="N163" s="15">
        <f>IFERROR(__xludf.DUMMYFUNCTION("VLOOKUP(A163,IMPORTRANGE(""1QZ5UxyNCwadreQAXnQ7oCoH982DjIA-QnZdO7ZoqkC0/edit#gid=884617569"",""S2 Totals!$A$2:$O$255""),11,FALSE)"),0.23076923076923078)</f>
        <v>0.2307692308</v>
      </c>
      <c r="O163" s="110">
        <f t="shared" si="4"/>
        <v>0.1328671329</v>
      </c>
      <c r="P163" s="16">
        <f>IFERROR(__xludf.DUMMYFUNCTION("VLOOKUP(A163,IMPORTRANGE(""1QZ5UxyNCwadreQAXnQ7oCoH982DjIA-QnZdO7ZoqkC0/edit#gid=884617569"",""S2 Totals!$A$2:$O$255""),13,FALSE)"),2.0)</f>
        <v>2</v>
      </c>
      <c r="Q163" s="15">
        <f>IFERROR(__xludf.DUMMYFUNCTION("VLOOKUP(A163,IMPORTRANGE(""1QZ5UxyNCwadreQAXnQ7oCoH982DjIA-QnZdO7ZoqkC0/edit#gid=884617569"",""S2 Totals!$A$2:$O$255""),14,FALSE)"),0.16666666666666666)</f>
        <v>0.1666666667</v>
      </c>
      <c r="R163" s="129">
        <f t="shared" si="5"/>
        <v>0.196969697</v>
      </c>
    </row>
    <row r="164">
      <c r="A164" s="128" t="s">
        <v>78</v>
      </c>
      <c r="B164" s="16">
        <f>IFERROR(__xludf.DUMMYFUNCTION("VLOOKUP(A164,IMPORTRANGE(""1aFCnJY1qhIj8-JckJhDJ18aqmVo17tofpQmOjcYa3u8/edit#gid=1878241338"",""S2 Totals!$A$2:$O$255""),2,FALSE)"),6.0)</f>
        <v>6</v>
      </c>
      <c r="C164" s="15">
        <f>IFERROR(__xludf.DUMMYFUNCTION("VLOOKUP(A164,IMPORTRANGE(""1aFCnJY1qhIj8-JckJhDJ18aqmVo17tofpQmOjcYa3u8/edit#gid=1878241338"",""S2 Totals!$A$2:$O$255""),3,FALSE)"),0.5454545454545454)</f>
        <v>0.5454545455</v>
      </c>
      <c r="D164" s="16">
        <f>IFERROR(__xludf.DUMMYFUNCTION("VLOOKUP(A164,IMPORTRANGE(""1QZ5UxyNCwadreQAXnQ7oCoH982DjIA-QnZdO7ZoqkC0/edit#gid=884617569"",""S2 Totals!$A$2:$O$255""),2,FALSE)"),6.0)</f>
        <v>6</v>
      </c>
      <c r="E164" s="15">
        <f>IFERROR(__xludf.DUMMYFUNCTION("VLOOKUP(A164,IMPORTRANGE(""1QZ5UxyNCwadreQAXnQ7oCoH982DjIA-QnZdO7ZoqkC0/edit#gid=884617569"",""S2 Totals!$A$2:$O$255""),3,FALSE)"),0.46153846153846156)</f>
        <v>0.4615384615</v>
      </c>
      <c r="F164" s="15">
        <f t="shared" si="1"/>
        <v>0.08391608392</v>
      </c>
      <c r="G164" s="16">
        <f>IFERROR(__xludf.DUMMYFUNCTION("VLOOKUP(A164,IMPORTRANGE(""1QZ5UxyNCwadreQAXnQ7oCoH982DjIA-QnZdO7ZoqkC0/edit#gid=884617569"",""S2 Totals!$A$2:$O$255""),4,FALSE)"),8.0)</f>
        <v>8</v>
      </c>
      <c r="H164" s="15">
        <f>IFERROR(__xludf.DUMMYFUNCTION("VLOOKUP(A164,IMPORTRANGE(""1QZ5UxyNCwadreQAXnQ7oCoH982DjIA-QnZdO7ZoqkC0/edit#gid=884617569"",""S2 Totals!$A$2:$O$255""),5,FALSE)"),0.6666666666666666)</f>
        <v>0.6666666667</v>
      </c>
      <c r="I164" s="15">
        <f t="shared" si="2"/>
        <v>-0.1212121212</v>
      </c>
      <c r="J164" s="16">
        <f>IFERROR(__xludf.DUMMYFUNCTION("VLOOKUP(A164,IMPORTRANGE(""1QZ5UxyNCwadreQAXnQ7oCoH982DjIA-QnZdO7ZoqkC0/edit#gid=884617569"",""S2 Totals!$A$2:$O$255""),7,FALSE)"),2.0)</f>
        <v>2</v>
      </c>
      <c r="K164" s="15">
        <f>IFERROR(__xludf.DUMMYFUNCTION("VLOOKUP(A164,IMPORTRANGE(""1QZ5UxyNCwadreQAXnQ7oCoH982DjIA-QnZdO7ZoqkC0/edit#gid=884617569"",""S2 Totals!$A$2:$O$255""),8,FALSE)"),0.16666666666666666)</f>
        <v>0.1666666667</v>
      </c>
      <c r="L164" s="110">
        <f t="shared" si="3"/>
        <v>0.3787878788</v>
      </c>
      <c r="M164" s="16">
        <f>IFERROR(__xludf.DUMMYFUNCTION("VLOOKUP(A164,IMPORTRANGE(""1QZ5UxyNCwadreQAXnQ7oCoH982DjIA-QnZdO7ZoqkC0/edit#gid=884617569"",""S2 Totals!$A$2:$O$255""),10,FALSE)"),3.0)</f>
        <v>3</v>
      </c>
      <c r="N164" s="15">
        <f>IFERROR(__xludf.DUMMYFUNCTION("VLOOKUP(A164,IMPORTRANGE(""1QZ5UxyNCwadreQAXnQ7oCoH982DjIA-QnZdO7ZoqkC0/edit#gid=884617569"",""S2 Totals!$A$2:$O$255""),11,FALSE)"),0.23076923076923078)</f>
        <v>0.2307692308</v>
      </c>
      <c r="O164" s="110">
        <f t="shared" si="4"/>
        <v>0.3146853147</v>
      </c>
      <c r="P164" s="16">
        <f>IFERROR(__xludf.DUMMYFUNCTION("VLOOKUP(A164,IMPORTRANGE(""1QZ5UxyNCwadreQAXnQ7oCoH982DjIA-QnZdO7ZoqkC0/edit#gid=884617569"",""S2 Totals!$A$2:$O$255""),13,FALSE)"),1.0)</f>
        <v>1</v>
      </c>
      <c r="Q164" s="15">
        <f>IFERROR(__xludf.DUMMYFUNCTION("VLOOKUP(A164,IMPORTRANGE(""1QZ5UxyNCwadreQAXnQ7oCoH982DjIA-QnZdO7ZoqkC0/edit#gid=884617569"",""S2 Totals!$A$2:$O$255""),14,FALSE)"),0.08333333333333333)</f>
        <v>0.08333333333</v>
      </c>
      <c r="R164" s="129">
        <f t="shared" si="5"/>
        <v>0.4621212121</v>
      </c>
    </row>
    <row r="165">
      <c r="A165" s="128" t="s">
        <v>141</v>
      </c>
      <c r="B165" s="16">
        <f>IFERROR(__xludf.DUMMYFUNCTION("VLOOKUP(A165,IMPORTRANGE(""1aFCnJY1qhIj8-JckJhDJ18aqmVo17tofpQmOjcYa3u8/edit#gid=1878241338"",""S2 Totals!$A$2:$O$255""),2,FALSE)"),0.0)</f>
        <v>0</v>
      </c>
      <c r="C165" s="15">
        <f>IFERROR(__xludf.DUMMYFUNCTION("VLOOKUP(A165,IMPORTRANGE(""1aFCnJY1qhIj8-JckJhDJ18aqmVo17tofpQmOjcYa3u8/edit#gid=1878241338"",""S2 Totals!$A$2:$O$255""),3,FALSE)"),0.0)</f>
        <v>0</v>
      </c>
      <c r="D165" s="16">
        <f>IFERROR(__xludf.DUMMYFUNCTION("VLOOKUP(A165,IMPORTRANGE(""1QZ5UxyNCwadreQAXnQ7oCoH982DjIA-QnZdO7ZoqkC0/edit#gid=884617569"",""S2 Totals!$A$2:$O$255""),2,FALSE)"),0.0)</f>
        <v>0</v>
      </c>
      <c r="E165" s="15">
        <f>IFERROR(__xludf.DUMMYFUNCTION("VLOOKUP(A165,IMPORTRANGE(""1QZ5UxyNCwadreQAXnQ7oCoH982DjIA-QnZdO7ZoqkC0/edit#gid=884617569"",""S2 Totals!$A$2:$O$255""),3,FALSE)"),0.0)</f>
        <v>0</v>
      </c>
      <c r="F165" s="15">
        <f t="shared" si="1"/>
        <v>0</v>
      </c>
      <c r="G165" s="16">
        <f>IFERROR(__xludf.DUMMYFUNCTION("VLOOKUP(A165,IMPORTRANGE(""1QZ5UxyNCwadreQAXnQ7oCoH982DjIA-QnZdO7ZoqkC0/edit#gid=884617569"",""S2 Totals!$A$2:$O$255""),4,FALSE)"),0.0)</f>
        <v>0</v>
      </c>
      <c r="H165" s="15">
        <f>IFERROR(__xludf.DUMMYFUNCTION("VLOOKUP(A165,IMPORTRANGE(""1QZ5UxyNCwadreQAXnQ7oCoH982DjIA-QnZdO7ZoqkC0/edit#gid=884617569"",""S2 Totals!$A$2:$O$255""),5,FALSE)"),0.0)</f>
        <v>0</v>
      </c>
      <c r="I165" s="15">
        <f t="shared" si="2"/>
        <v>0</v>
      </c>
      <c r="J165" s="16">
        <f>IFERROR(__xludf.DUMMYFUNCTION("VLOOKUP(A165,IMPORTRANGE(""1QZ5UxyNCwadreQAXnQ7oCoH982DjIA-QnZdO7ZoqkC0/edit#gid=884617569"",""S2 Totals!$A$2:$O$255""),7,FALSE)"),0.0)</f>
        <v>0</v>
      </c>
      <c r="K165" s="15">
        <f>IFERROR(__xludf.DUMMYFUNCTION("VLOOKUP(A165,IMPORTRANGE(""1QZ5UxyNCwadreQAXnQ7oCoH982DjIA-QnZdO7ZoqkC0/edit#gid=884617569"",""S2 Totals!$A$2:$O$255""),8,FALSE)"),0.0)</f>
        <v>0</v>
      </c>
      <c r="L165" s="110">
        <f t="shared" si="3"/>
        <v>0</v>
      </c>
      <c r="M165" s="16">
        <f>IFERROR(__xludf.DUMMYFUNCTION("VLOOKUP(A165,IMPORTRANGE(""1QZ5UxyNCwadreQAXnQ7oCoH982DjIA-QnZdO7ZoqkC0/edit#gid=884617569"",""S2 Totals!$A$2:$O$255""),10,FALSE)"),0.0)</f>
        <v>0</v>
      </c>
      <c r="N165" s="15">
        <f>IFERROR(__xludf.DUMMYFUNCTION("VLOOKUP(A165,IMPORTRANGE(""1QZ5UxyNCwadreQAXnQ7oCoH982DjIA-QnZdO7ZoqkC0/edit#gid=884617569"",""S2 Totals!$A$2:$O$255""),11,FALSE)"),0.0)</f>
        <v>0</v>
      </c>
      <c r="O165" s="110">
        <f t="shared" si="4"/>
        <v>0</v>
      </c>
      <c r="P165" s="16" t="str">
        <f>IFERROR(__xludf.DUMMYFUNCTION("VLOOKUP(A165,IMPORTRANGE(""1QZ5UxyNCwadreQAXnQ7oCoH982DjIA-QnZdO7ZoqkC0/edit#gid=884617569"",""S2 Totals!$A$2:$O$255""),13,FALSE)"),"")</f>
        <v/>
      </c>
      <c r="Q165" s="15" t="str">
        <f>IFERROR(__xludf.DUMMYFUNCTION("VLOOKUP(A165,IMPORTRANGE(""1QZ5UxyNCwadreQAXnQ7oCoH982DjIA-QnZdO7ZoqkC0/edit#gid=884617569"",""S2 Totals!$A$2:$O$255""),14,FALSE)"),"")</f>
        <v/>
      </c>
      <c r="R165" s="129">
        <f t="shared" si="5"/>
        <v>0</v>
      </c>
    </row>
    <row r="166">
      <c r="A166" s="128" t="s">
        <v>79</v>
      </c>
      <c r="B166" s="16">
        <f>IFERROR(__xludf.DUMMYFUNCTION("VLOOKUP(A166,IMPORTRANGE(""1aFCnJY1qhIj8-JckJhDJ18aqmVo17tofpQmOjcYa3u8/edit#gid=1878241338"",""S2 Totals!$A$2:$O$255""),2,FALSE)"),4.0)</f>
        <v>4</v>
      </c>
      <c r="C166" s="15">
        <f>IFERROR(__xludf.DUMMYFUNCTION("VLOOKUP(A166,IMPORTRANGE(""1aFCnJY1qhIj8-JckJhDJ18aqmVo17tofpQmOjcYa3u8/edit#gid=1878241338"",""S2 Totals!$A$2:$O$255""),3,FALSE)"),0.36363636363636365)</f>
        <v>0.3636363636</v>
      </c>
      <c r="D166" s="16">
        <f>IFERROR(__xludf.DUMMYFUNCTION("VLOOKUP(A166,IMPORTRANGE(""1QZ5UxyNCwadreQAXnQ7oCoH982DjIA-QnZdO7ZoqkC0/edit#gid=884617569"",""S2 Totals!$A$2:$O$255""),2,FALSE)"),3.0)</f>
        <v>3</v>
      </c>
      <c r="E166" s="15">
        <f>IFERROR(__xludf.DUMMYFUNCTION("VLOOKUP(A166,IMPORTRANGE(""1QZ5UxyNCwadreQAXnQ7oCoH982DjIA-QnZdO7ZoqkC0/edit#gid=884617569"",""S2 Totals!$A$2:$O$255""),3,FALSE)"),0.23076923076923078)</f>
        <v>0.2307692308</v>
      </c>
      <c r="F166" s="15">
        <f t="shared" si="1"/>
        <v>0.1328671329</v>
      </c>
      <c r="G166" s="16">
        <f>IFERROR(__xludf.DUMMYFUNCTION("VLOOKUP(A166,IMPORTRANGE(""1QZ5UxyNCwadreQAXnQ7oCoH982DjIA-QnZdO7ZoqkC0/edit#gid=884617569"",""S2 Totals!$A$2:$O$255""),4,FALSE)"),5.0)</f>
        <v>5</v>
      </c>
      <c r="H166" s="15">
        <f>IFERROR(__xludf.DUMMYFUNCTION("VLOOKUP(A166,IMPORTRANGE(""1QZ5UxyNCwadreQAXnQ7oCoH982DjIA-QnZdO7ZoqkC0/edit#gid=884617569"",""S2 Totals!$A$2:$O$255""),5,FALSE)"),0.4166666666666667)</f>
        <v>0.4166666667</v>
      </c>
      <c r="I166" s="15">
        <f t="shared" si="2"/>
        <v>-0.05303030303</v>
      </c>
      <c r="J166" s="16">
        <f>IFERROR(__xludf.DUMMYFUNCTION("VLOOKUP(A166,IMPORTRANGE(""1QZ5UxyNCwadreQAXnQ7oCoH982DjIA-QnZdO7ZoqkC0/edit#gid=884617569"",""S2 Totals!$A$2:$O$255""),7,FALSE)"),6.0)</f>
        <v>6</v>
      </c>
      <c r="K166" s="15">
        <f>IFERROR(__xludf.DUMMYFUNCTION("VLOOKUP(A166,IMPORTRANGE(""1QZ5UxyNCwadreQAXnQ7oCoH982DjIA-QnZdO7ZoqkC0/edit#gid=884617569"",""S2 Totals!$A$2:$O$255""),8,FALSE)"),0.5)</f>
        <v>0.5</v>
      </c>
      <c r="L166" s="110">
        <f t="shared" si="3"/>
        <v>-0.1363636364</v>
      </c>
      <c r="M166" s="16">
        <f>IFERROR(__xludf.DUMMYFUNCTION("VLOOKUP(A166,IMPORTRANGE(""1QZ5UxyNCwadreQAXnQ7oCoH982DjIA-QnZdO7ZoqkC0/edit#gid=884617569"",""S2 Totals!$A$2:$O$255""),10,FALSE)"),8.0)</f>
        <v>8</v>
      </c>
      <c r="N166" s="15">
        <f>IFERROR(__xludf.DUMMYFUNCTION("VLOOKUP(A166,IMPORTRANGE(""1QZ5UxyNCwadreQAXnQ7oCoH982DjIA-QnZdO7ZoqkC0/edit#gid=884617569"",""S2 Totals!$A$2:$O$255""),11,FALSE)"),0.6153846153846154)</f>
        <v>0.6153846154</v>
      </c>
      <c r="O166" s="110">
        <f t="shared" si="4"/>
        <v>-0.2517482517</v>
      </c>
      <c r="P166" s="16">
        <f>IFERROR(__xludf.DUMMYFUNCTION("VLOOKUP(A166,IMPORTRANGE(""1QZ5UxyNCwadreQAXnQ7oCoH982DjIA-QnZdO7ZoqkC0/edit#gid=884617569"",""S2 Totals!$A$2:$O$255""),13,FALSE)"),7.0)</f>
        <v>7</v>
      </c>
      <c r="Q166" s="15">
        <f>IFERROR(__xludf.DUMMYFUNCTION("VLOOKUP(A166,IMPORTRANGE(""1QZ5UxyNCwadreQAXnQ7oCoH982DjIA-QnZdO7ZoqkC0/edit#gid=884617569"",""S2 Totals!$A$2:$O$255""),14,FALSE)"),0.5833333333333334)</f>
        <v>0.5833333333</v>
      </c>
      <c r="R166" s="129">
        <f t="shared" si="5"/>
        <v>-0.2196969697</v>
      </c>
    </row>
    <row r="167">
      <c r="A167" s="128" t="s">
        <v>80</v>
      </c>
      <c r="B167" s="16">
        <f>IFERROR(__xludf.DUMMYFUNCTION("VLOOKUP(A167,IMPORTRANGE(""1aFCnJY1qhIj8-JckJhDJ18aqmVo17tofpQmOjcYa3u8/edit#gid=1878241338"",""S2 Totals!$A$2:$O$255""),2,FALSE)"),7.0)</f>
        <v>7</v>
      </c>
      <c r="C167" s="15">
        <f>IFERROR(__xludf.DUMMYFUNCTION("VLOOKUP(A167,IMPORTRANGE(""1aFCnJY1qhIj8-JckJhDJ18aqmVo17tofpQmOjcYa3u8/edit#gid=1878241338"",""S2 Totals!$A$2:$O$255""),3,FALSE)"),0.6363636363636364)</f>
        <v>0.6363636364</v>
      </c>
      <c r="D167" s="16">
        <f>IFERROR(__xludf.DUMMYFUNCTION("VLOOKUP(A167,IMPORTRANGE(""1QZ5UxyNCwadreQAXnQ7oCoH982DjIA-QnZdO7ZoqkC0/edit#gid=884617569"",""S2 Totals!$A$2:$O$255""),2,FALSE)"),8.0)</f>
        <v>8</v>
      </c>
      <c r="E167" s="15">
        <f>IFERROR(__xludf.DUMMYFUNCTION("VLOOKUP(A167,IMPORTRANGE(""1QZ5UxyNCwadreQAXnQ7oCoH982DjIA-QnZdO7ZoqkC0/edit#gid=884617569"",""S2 Totals!$A$2:$O$255""),3,FALSE)"),0.6153846153846154)</f>
        <v>0.6153846154</v>
      </c>
      <c r="F167" s="15">
        <f t="shared" si="1"/>
        <v>0.02097902098</v>
      </c>
      <c r="G167" s="16">
        <f>IFERROR(__xludf.DUMMYFUNCTION("VLOOKUP(A167,IMPORTRANGE(""1QZ5UxyNCwadreQAXnQ7oCoH982DjIA-QnZdO7ZoqkC0/edit#gid=884617569"",""S2 Totals!$A$2:$O$255""),4,FALSE)"),6.0)</f>
        <v>6</v>
      </c>
      <c r="H167" s="15">
        <f>IFERROR(__xludf.DUMMYFUNCTION("VLOOKUP(A167,IMPORTRANGE(""1QZ5UxyNCwadreQAXnQ7oCoH982DjIA-QnZdO7ZoqkC0/edit#gid=884617569"",""S2 Totals!$A$2:$O$255""),5,FALSE)"),0.5)</f>
        <v>0.5</v>
      </c>
      <c r="I167" s="15">
        <f t="shared" si="2"/>
        <v>0.1363636364</v>
      </c>
      <c r="J167" s="16">
        <f>IFERROR(__xludf.DUMMYFUNCTION("VLOOKUP(A167,IMPORTRANGE(""1QZ5UxyNCwadreQAXnQ7oCoH982DjIA-QnZdO7ZoqkC0/edit#gid=884617569"",""S2 Totals!$A$2:$O$255""),7,FALSE)"),8.0)</f>
        <v>8</v>
      </c>
      <c r="K167" s="15">
        <f>IFERROR(__xludf.DUMMYFUNCTION("VLOOKUP(A167,IMPORTRANGE(""1QZ5UxyNCwadreQAXnQ7oCoH982DjIA-QnZdO7ZoqkC0/edit#gid=884617569"",""S2 Totals!$A$2:$O$255""),8,FALSE)"),0.6666666666666666)</f>
        <v>0.6666666667</v>
      </c>
      <c r="L167" s="110">
        <f t="shared" si="3"/>
        <v>-0.0303030303</v>
      </c>
      <c r="M167" s="16">
        <f>IFERROR(__xludf.DUMMYFUNCTION("VLOOKUP(A167,IMPORTRANGE(""1QZ5UxyNCwadreQAXnQ7oCoH982DjIA-QnZdO7ZoqkC0/edit#gid=884617569"",""S2 Totals!$A$2:$O$255""),10,FALSE)"),6.0)</f>
        <v>6</v>
      </c>
      <c r="N167" s="15">
        <f>IFERROR(__xludf.DUMMYFUNCTION("VLOOKUP(A167,IMPORTRANGE(""1QZ5UxyNCwadreQAXnQ7oCoH982DjIA-QnZdO7ZoqkC0/edit#gid=884617569"",""S2 Totals!$A$2:$O$255""),11,FALSE)"),0.46153846153846156)</f>
        <v>0.4615384615</v>
      </c>
      <c r="O167" s="110">
        <f t="shared" si="4"/>
        <v>0.1748251748</v>
      </c>
      <c r="P167" s="16">
        <f>IFERROR(__xludf.DUMMYFUNCTION("VLOOKUP(A167,IMPORTRANGE(""1QZ5UxyNCwadreQAXnQ7oCoH982DjIA-QnZdO7ZoqkC0/edit#gid=884617569"",""S2 Totals!$A$2:$O$255""),13,FALSE)"),7.0)</f>
        <v>7</v>
      </c>
      <c r="Q167" s="15">
        <f>IFERROR(__xludf.DUMMYFUNCTION("VLOOKUP(A167,IMPORTRANGE(""1QZ5UxyNCwadreQAXnQ7oCoH982DjIA-QnZdO7ZoqkC0/edit#gid=884617569"",""S2 Totals!$A$2:$O$255""),14,FALSE)"),0.5833333333333334)</f>
        <v>0.5833333333</v>
      </c>
      <c r="R167" s="129">
        <f t="shared" si="5"/>
        <v>0.05303030303</v>
      </c>
    </row>
    <row r="168">
      <c r="A168" s="128" t="s">
        <v>142</v>
      </c>
      <c r="B168" s="16">
        <f>IFERROR(__xludf.DUMMYFUNCTION("VLOOKUP(A168,IMPORTRANGE(""1aFCnJY1qhIj8-JckJhDJ18aqmVo17tofpQmOjcYa3u8/edit#gid=1878241338"",""S2 Totals!$A$2:$O$255""),2,FALSE)"),0.0)</f>
        <v>0</v>
      </c>
      <c r="C168" s="15">
        <f>IFERROR(__xludf.DUMMYFUNCTION("VLOOKUP(A168,IMPORTRANGE(""1aFCnJY1qhIj8-JckJhDJ18aqmVo17tofpQmOjcYa3u8/edit#gid=1878241338"",""S2 Totals!$A$2:$O$255""),3,FALSE)"),0.0)</f>
        <v>0</v>
      </c>
      <c r="D168" s="16">
        <f>IFERROR(__xludf.DUMMYFUNCTION("VLOOKUP(A168,IMPORTRANGE(""1QZ5UxyNCwadreQAXnQ7oCoH982DjIA-QnZdO7ZoqkC0/edit#gid=884617569"",""S2 Totals!$A$2:$O$255""),2,FALSE)"),0.0)</f>
        <v>0</v>
      </c>
      <c r="E168" s="15">
        <f>IFERROR(__xludf.DUMMYFUNCTION("VLOOKUP(A168,IMPORTRANGE(""1QZ5UxyNCwadreQAXnQ7oCoH982DjIA-QnZdO7ZoqkC0/edit#gid=884617569"",""S2 Totals!$A$2:$O$255""),3,FALSE)"),0.0)</f>
        <v>0</v>
      </c>
      <c r="F168" s="15">
        <f t="shared" si="1"/>
        <v>0</v>
      </c>
      <c r="G168" s="16">
        <f>IFERROR(__xludf.DUMMYFUNCTION("VLOOKUP(A168,IMPORTRANGE(""1QZ5UxyNCwadreQAXnQ7oCoH982DjIA-QnZdO7ZoqkC0/edit#gid=884617569"",""S2 Totals!$A$2:$O$255""),4,FALSE)"),2.0)</f>
        <v>2</v>
      </c>
      <c r="H168" s="15">
        <f>IFERROR(__xludf.DUMMYFUNCTION("VLOOKUP(A168,IMPORTRANGE(""1QZ5UxyNCwadreQAXnQ7oCoH982DjIA-QnZdO7ZoqkC0/edit#gid=884617569"",""S2 Totals!$A$2:$O$255""),5,FALSE)"),0.16666666666666666)</f>
        <v>0.1666666667</v>
      </c>
      <c r="I168" s="15">
        <f t="shared" si="2"/>
        <v>-0.1666666667</v>
      </c>
      <c r="J168" s="16">
        <f>IFERROR(__xludf.DUMMYFUNCTION("VLOOKUP(A168,IMPORTRANGE(""1QZ5UxyNCwadreQAXnQ7oCoH982DjIA-QnZdO7ZoqkC0/edit#gid=884617569"",""S2 Totals!$A$2:$O$255""),7,FALSE)"),0.0)</f>
        <v>0</v>
      </c>
      <c r="K168" s="15">
        <f>IFERROR(__xludf.DUMMYFUNCTION("VLOOKUP(A168,IMPORTRANGE(""1QZ5UxyNCwadreQAXnQ7oCoH982DjIA-QnZdO7ZoqkC0/edit#gid=884617569"",""S2 Totals!$A$2:$O$255""),8,FALSE)"),0.0)</f>
        <v>0</v>
      </c>
      <c r="L168" s="110">
        <f t="shared" si="3"/>
        <v>0</v>
      </c>
      <c r="M168" s="16">
        <f>IFERROR(__xludf.DUMMYFUNCTION("VLOOKUP(A168,IMPORTRANGE(""1QZ5UxyNCwadreQAXnQ7oCoH982DjIA-QnZdO7ZoqkC0/edit#gid=884617569"",""S2 Totals!$A$2:$O$255""),10,FALSE)"),0.0)</f>
        <v>0</v>
      </c>
      <c r="N168" s="15">
        <f>IFERROR(__xludf.DUMMYFUNCTION("VLOOKUP(A168,IMPORTRANGE(""1QZ5UxyNCwadreQAXnQ7oCoH982DjIA-QnZdO7ZoqkC0/edit#gid=884617569"",""S2 Totals!$A$2:$O$255""),11,FALSE)"),0.0)</f>
        <v>0</v>
      </c>
      <c r="O168" s="110">
        <f t="shared" si="4"/>
        <v>0</v>
      </c>
      <c r="P168" s="16" t="str">
        <f>IFERROR(__xludf.DUMMYFUNCTION("VLOOKUP(A168,IMPORTRANGE(""1QZ5UxyNCwadreQAXnQ7oCoH982DjIA-QnZdO7ZoqkC0/edit#gid=884617569"",""S2 Totals!$A$2:$O$255""),13,FALSE)"),"")</f>
        <v/>
      </c>
      <c r="Q168" s="15" t="str">
        <f>IFERROR(__xludf.DUMMYFUNCTION("VLOOKUP(A168,IMPORTRANGE(""1QZ5UxyNCwadreQAXnQ7oCoH982DjIA-QnZdO7ZoqkC0/edit#gid=884617569"",""S2 Totals!$A$2:$O$255""),14,FALSE)"),"")</f>
        <v/>
      </c>
      <c r="R168" s="129">
        <f t="shared" si="5"/>
        <v>0</v>
      </c>
    </row>
    <row r="169">
      <c r="A169" s="128" t="s">
        <v>82</v>
      </c>
      <c r="B169" s="16">
        <f>IFERROR(__xludf.DUMMYFUNCTION("VLOOKUP(A169,IMPORTRANGE(""1aFCnJY1qhIj8-JckJhDJ18aqmVo17tofpQmOjcYa3u8/edit#gid=1878241338"",""S2 Totals!$A$2:$O$255""),2,FALSE)"),3.0)</f>
        <v>3</v>
      </c>
      <c r="C169" s="15">
        <f>IFERROR(__xludf.DUMMYFUNCTION("VLOOKUP(A169,IMPORTRANGE(""1aFCnJY1qhIj8-JckJhDJ18aqmVo17tofpQmOjcYa3u8/edit#gid=1878241338"",""S2 Totals!$A$2:$O$255""),3,FALSE)"),0.2727272727272727)</f>
        <v>0.2727272727</v>
      </c>
      <c r="D169" s="16">
        <f>IFERROR(__xludf.DUMMYFUNCTION("VLOOKUP(A169,IMPORTRANGE(""1QZ5UxyNCwadreQAXnQ7oCoH982DjIA-QnZdO7ZoqkC0/edit#gid=884617569"",""S2 Totals!$A$2:$O$255""),2,FALSE)"),4.0)</f>
        <v>4</v>
      </c>
      <c r="E169" s="15">
        <f>IFERROR(__xludf.DUMMYFUNCTION("VLOOKUP(A169,IMPORTRANGE(""1QZ5UxyNCwadreQAXnQ7oCoH982DjIA-QnZdO7ZoqkC0/edit#gid=884617569"",""S2 Totals!$A$2:$O$255""),3,FALSE)"),0.3076923076923077)</f>
        <v>0.3076923077</v>
      </c>
      <c r="F169" s="15">
        <f t="shared" si="1"/>
        <v>-0.03496503497</v>
      </c>
      <c r="G169" s="16">
        <f>IFERROR(__xludf.DUMMYFUNCTION("VLOOKUP(A169,IMPORTRANGE(""1QZ5UxyNCwadreQAXnQ7oCoH982DjIA-QnZdO7ZoqkC0/edit#gid=884617569"",""S2 Totals!$A$2:$O$255""),4,FALSE)"),2.0)</f>
        <v>2</v>
      </c>
      <c r="H169" s="15">
        <f>IFERROR(__xludf.DUMMYFUNCTION("VLOOKUP(A169,IMPORTRANGE(""1QZ5UxyNCwadreQAXnQ7oCoH982DjIA-QnZdO7ZoqkC0/edit#gid=884617569"",""S2 Totals!$A$2:$O$255""),5,FALSE)"),0.16666666666666666)</f>
        <v>0.1666666667</v>
      </c>
      <c r="I169" s="15">
        <f t="shared" si="2"/>
        <v>0.1060606061</v>
      </c>
      <c r="J169" s="16">
        <f>IFERROR(__xludf.DUMMYFUNCTION("VLOOKUP(A169,IMPORTRANGE(""1QZ5UxyNCwadreQAXnQ7oCoH982DjIA-QnZdO7ZoqkC0/edit#gid=884617569"",""S2 Totals!$A$2:$O$255""),7,FALSE)"),2.0)</f>
        <v>2</v>
      </c>
      <c r="K169" s="15">
        <f>IFERROR(__xludf.DUMMYFUNCTION("VLOOKUP(A169,IMPORTRANGE(""1QZ5UxyNCwadreQAXnQ7oCoH982DjIA-QnZdO7ZoqkC0/edit#gid=884617569"",""S2 Totals!$A$2:$O$255""),8,FALSE)"),0.16666666666666666)</f>
        <v>0.1666666667</v>
      </c>
      <c r="L169" s="110">
        <f t="shared" si="3"/>
        <v>0.1060606061</v>
      </c>
      <c r="M169" s="16">
        <f>IFERROR(__xludf.DUMMYFUNCTION("VLOOKUP(A169,IMPORTRANGE(""1QZ5UxyNCwadreQAXnQ7oCoH982DjIA-QnZdO7ZoqkC0/edit#gid=884617569"",""S2 Totals!$A$2:$O$255""),10,FALSE)"),2.0)</f>
        <v>2</v>
      </c>
      <c r="N169" s="15">
        <f>IFERROR(__xludf.DUMMYFUNCTION("VLOOKUP(A169,IMPORTRANGE(""1QZ5UxyNCwadreQAXnQ7oCoH982DjIA-QnZdO7ZoqkC0/edit#gid=884617569"",""S2 Totals!$A$2:$O$255""),11,FALSE)"),0.15384615384615385)</f>
        <v>0.1538461538</v>
      </c>
      <c r="O169" s="110">
        <f t="shared" si="4"/>
        <v>0.1188811189</v>
      </c>
      <c r="P169" s="16">
        <f>IFERROR(__xludf.DUMMYFUNCTION("VLOOKUP(A169,IMPORTRANGE(""1QZ5UxyNCwadreQAXnQ7oCoH982DjIA-QnZdO7ZoqkC0/edit#gid=884617569"",""S2 Totals!$A$2:$O$255""),13,FALSE)"),1.0)</f>
        <v>1</v>
      </c>
      <c r="Q169" s="15">
        <f>IFERROR(__xludf.DUMMYFUNCTION("VLOOKUP(A169,IMPORTRANGE(""1QZ5UxyNCwadreQAXnQ7oCoH982DjIA-QnZdO7ZoqkC0/edit#gid=884617569"",""S2 Totals!$A$2:$O$255""),14,FALSE)"),0.08333333333333333)</f>
        <v>0.08333333333</v>
      </c>
      <c r="R169" s="129">
        <f t="shared" si="5"/>
        <v>0.1893939394</v>
      </c>
    </row>
    <row r="170">
      <c r="A170" s="128" t="s">
        <v>66</v>
      </c>
      <c r="B170" s="16">
        <f>IFERROR(__xludf.DUMMYFUNCTION("VLOOKUP(A170,IMPORTRANGE(""1aFCnJY1qhIj8-JckJhDJ18aqmVo17tofpQmOjcYa3u8/edit#gid=1878241338"",""S2 Totals!$A$2:$O$255""),2,FALSE)"),5.0)</f>
        <v>5</v>
      </c>
      <c r="C170" s="15">
        <f>IFERROR(__xludf.DUMMYFUNCTION("VLOOKUP(A170,IMPORTRANGE(""1aFCnJY1qhIj8-JckJhDJ18aqmVo17tofpQmOjcYa3u8/edit#gid=1878241338"",""S2 Totals!$A$2:$O$255""),3,FALSE)"),0.45454545454545453)</f>
        <v>0.4545454545</v>
      </c>
      <c r="D170" s="16">
        <f>IFERROR(__xludf.DUMMYFUNCTION("VLOOKUP(A170,IMPORTRANGE(""1QZ5UxyNCwadreQAXnQ7oCoH982DjIA-QnZdO7ZoqkC0/edit#gid=884617569"",""S2 Totals!$A$2:$O$255""),2,FALSE)"),6.0)</f>
        <v>6</v>
      </c>
      <c r="E170" s="15">
        <f>IFERROR(__xludf.DUMMYFUNCTION("VLOOKUP(A170,IMPORTRANGE(""1QZ5UxyNCwadreQAXnQ7oCoH982DjIA-QnZdO7ZoqkC0/edit#gid=884617569"",""S2 Totals!$A$2:$O$255""),3,FALSE)"),0.46153846153846156)</f>
        <v>0.4615384615</v>
      </c>
      <c r="F170" s="15">
        <f t="shared" si="1"/>
        <v>-0.006993006993</v>
      </c>
      <c r="G170" s="16">
        <f>IFERROR(__xludf.DUMMYFUNCTION("VLOOKUP(A170,IMPORTRANGE(""1QZ5UxyNCwadreQAXnQ7oCoH982DjIA-QnZdO7ZoqkC0/edit#gid=884617569"",""S2 Totals!$A$2:$O$255""),4,FALSE)"),6.0)</f>
        <v>6</v>
      </c>
      <c r="H170" s="15">
        <f>IFERROR(__xludf.DUMMYFUNCTION("VLOOKUP(A170,IMPORTRANGE(""1QZ5UxyNCwadreQAXnQ7oCoH982DjIA-QnZdO7ZoqkC0/edit#gid=884617569"",""S2 Totals!$A$2:$O$255""),5,FALSE)"),0.5)</f>
        <v>0.5</v>
      </c>
      <c r="I170" s="15">
        <f t="shared" si="2"/>
        <v>-0.04545454545</v>
      </c>
      <c r="J170" s="16">
        <f>IFERROR(__xludf.DUMMYFUNCTION("VLOOKUP(A170,IMPORTRANGE(""1QZ5UxyNCwadreQAXnQ7oCoH982DjIA-QnZdO7ZoqkC0/edit#gid=884617569"",""S2 Totals!$A$2:$O$255""),7,FALSE)"),6.0)</f>
        <v>6</v>
      </c>
      <c r="K170" s="15">
        <f>IFERROR(__xludf.DUMMYFUNCTION("VLOOKUP(A170,IMPORTRANGE(""1QZ5UxyNCwadreQAXnQ7oCoH982DjIA-QnZdO7ZoqkC0/edit#gid=884617569"",""S2 Totals!$A$2:$O$255""),8,FALSE)"),0.5)</f>
        <v>0.5</v>
      </c>
      <c r="L170" s="110">
        <f t="shared" si="3"/>
        <v>-0.04545454545</v>
      </c>
      <c r="M170" s="16">
        <f>IFERROR(__xludf.DUMMYFUNCTION("VLOOKUP(A170,IMPORTRANGE(""1QZ5UxyNCwadreQAXnQ7oCoH982DjIA-QnZdO7ZoqkC0/edit#gid=884617569"",""S2 Totals!$A$2:$O$255""),10,FALSE)"),6.0)</f>
        <v>6</v>
      </c>
      <c r="N170" s="15">
        <f>IFERROR(__xludf.DUMMYFUNCTION("VLOOKUP(A170,IMPORTRANGE(""1QZ5UxyNCwadreQAXnQ7oCoH982DjIA-QnZdO7ZoqkC0/edit#gid=884617569"",""S2 Totals!$A$2:$O$255""),11,FALSE)"),0.46153846153846156)</f>
        <v>0.4615384615</v>
      </c>
      <c r="O170" s="110">
        <f t="shared" si="4"/>
        <v>-0.006993006993</v>
      </c>
      <c r="P170" s="16">
        <f>IFERROR(__xludf.DUMMYFUNCTION("VLOOKUP(A170,IMPORTRANGE(""1QZ5UxyNCwadreQAXnQ7oCoH982DjIA-QnZdO7ZoqkC0/edit#gid=884617569"",""S2 Totals!$A$2:$O$255""),13,FALSE)"),8.0)</f>
        <v>8</v>
      </c>
      <c r="Q170" s="15">
        <f>IFERROR(__xludf.DUMMYFUNCTION("VLOOKUP(A170,IMPORTRANGE(""1QZ5UxyNCwadreQAXnQ7oCoH982DjIA-QnZdO7ZoqkC0/edit#gid=884617569"",""S2 Totals!$A$2:$O$255""),14,FALSE)"),0.6666666666666666)</f>
        <v>0.6666666667</v>
      </c>
      <c r="R170" s="129">
        <f t="shared" si="5"/>
        <v>-0.2121212121</v>
      </c>
    </row>
    <row r="171">
      <c r="A171" s="128" t="s">
        <v>245</v>
      </c>
      <c r="B171" s="16">
        <f>IFERROR(__xludf.DUMMYFUNCTION("VLOOKUP(A171,IMPORTRANGE(""1aFCnJY1qhIj8-JckJhDJ18aqmVo17tofpQmOjcYa3u8/edit#gid=1878241338"",""S2 Totals!$A$2:$O$255""),2,FALSE)"),3.0)</f>
        <v>3</v>
      </c>
      <c r="C171" s="15">
        <f>IFERROR(__xludf.DUMMYFUNCTION("VLOOKUP(A171,IMPORTRANGE(""1aFCnJY1qhIj8-JckJhDJ18aqmVo17tofpQmOjcYa3u8/edit#gid=1878241338"",""S2 Totals!$A$2:$O$255""),3,FALSE)"),0.2727272727272727)</f>
        <v>0.2727272727</v>
      </c>
      <c r="D171" s="16">
        <f>IFERROR(__xludf.DUMMYFUNCTION("VLOOKUP(A171,IMPORTRANGE(""1QZ5UxyNCwadreQAXnQ7oCoH982DjIA-QnZdO7ZoqkC0/edit#gid=884617569"",""S2 Totals!$A$2:$O$255""),2,FALSE)"),6.0)</f>
        <v>6</v>
      </c>
      <c r="E171" s="15">
        <f>IFERROR(__xludf.DUMMYFUNCTION("VLOOKUP(A171,IMPORTRANGE(""1QZ5UxyNCwadreQAXnQ7oCoH982DjIA-QnZdO7ZoqkC0/edit#gid=884617569"",""S2 Totals!$A$2:$O$255""),3,FALSE)"),0.46153846153846156)</f>
        <v>0.4615384615</v>
      </c>
      <c r="F171" s="15">
        <f t="shared" si="1"/>
        <v>-0.1888111888</v>
      </c>
      <c r="G171" s="16">
        <f>IFERROR(__xludf.DUMMYFUNCTION("VLOOKUP(A171,IMPORTRANGE(""1QZ5UxyNCwadreQAXnQ7oCoH982DjIA-QnZdO7ZoqkC0/edit#gid=884617569"",""S2 Totals!$A$2:$O$255""),4,FALSE)"),8.0)</f>
        <v>8</v>
      </c>
      <c r="H171" s="15">
        <f>IFERROR(__xludf.DUMMYFUNCTION("VLOOKUP(A171,IMPORTRANGE(""1QZ5UxyNCwadreQAXnQ7oCoH982DjIA-QnZdO7ZoqkC0/edit#gid=884617569"",""S2 Totals!$A$2:$O$255""),5,FALSE)"),0.6666666666666666)</f>
        <v>0.6666666667</v>
      </c>
      <c r="I171" s="15">
        <f t="shared" si="2"/>
        <v>-0.3939393939</v>
      </c>
      <c r="J171" s="16" t="str">
        <f>IFERROR(__xludf.DUMMYFUNCTION("VLOOKUP(A171,IMPORTRANGE(""1QZ5UxyNCwadreQAXnQ7oCoH982DjIA-QnZdO7ZoqkC0/edit#gid=884617569"",""S2 Totals!$A$2:$O$255""),7,FALSE)"),"")</f>
        <v/>
      </c>
      <c r="K171" s="15" t="str">
        <f>IFERROR(__xludf.DUMMYFUNCTION("VLOOKUP(A171,IMPORTRANGE(""1QZ5UxyNCwadreQAXnQ7oCoH982DjIA-QnZdO7ZoqkC0/edit#gid=884617569"",""S2 Totals!$A$2:$O$255""),8,FALSE)"),"")</f>
        <v/>
      </c>
      <c r="L171" s="110">
        <f t="shared" si="3"/>
        <v>0.2727272727</v>
      </c>
      <c r="M171" s="16" t="str">
        <f>IFERROR(__xludf.DUMMYFUNCTION("VLOOKUP(A171,IMPORTRANGE(""1QZ5UxyNCwadreQAXnQ7oCoH982DjIA-QnZdO7ZoqkC0/edit#gid=884617569"",""S2 Totals!$A$2:$O$255""),10,FALSE)"),"")</f>
        <v/>
      </c>
      <c r="N171" s="15" t="str">
        <f>IFERROR(__xludf.DUMMYFUNCTION("VLOOKUP(A171,IMPORTRANGE(""1QZ5UxyNCwadreQAXnQ7oCoH982DjIA-QnZdO7ZoqkC0/edit#gid=884617569"",""S2 Totals!$A$2:$O$255""),11,FALSE)"),"")</f>
        <v/>
      </c>
      <c r="O171" s="110">
        <f t="shared" si="4"/>
        <v>0.2727272727</v>
      </c>
      <c r="P171" s="16" t="str">
        <f>IFERROR(__xludf.DUMMYFUNCTION("VLOOKUP(A171,IMPORTRANGE(""1QZ5UxyNCwadreQAXnQ7oCoH982DjIA-QnZdO7ZoqkC0/edit#gid=884617569"",""S2 Totals!$A$2:$O$255""),13,FALSE)"),"")</f>
        <v/>
      </c>
      <c r="Q171" s="15" t="str">
        <f>IFERROR(__xludf.DUMMYFUNCTION("VLOOKUP(A171,IMPORTRANGE(""1QZ5UxyNCwadreQAXnQ7oCoH982DjIA-QnZdO7ZoqkC0/edit#gid=884617569"",""S2 Totals!$A$2:$O$255""),14,FALSE)"),"")</f>
        <v/>
      </c>
      <c r="R171" s="129">
        <f t="shared" si="5"/>
        <v>0.2727272727</v>
      </c>
    </row>
    <row r="172">
      <c r="A172" s="128" t="s">
        <v>143</v>
      </c>
      <c r="B172" s="16">
        <f>IFERROR(__xludf.DUMMYFUNCTION("VLOOKUP(A172,IMPORTRANGE(""1aFCnJY1qhIj8-JckJhDJ18aqmVo17tofpQmOjcYa3u8/edit#gid=1878241338"",""S2 Totals!$A$2:$O$255""),2,FALSE)"),9.0)</f>
        <v>9</v>
      </c>
      <c r="C172" s="15">
        <f>IFERROR(__xludf.DUMMYFUNCTION("VLOOKUP(A172,IMPORTRANGE(""1aFCnJY1qhIj8-JckJhDJ18aqmVo17tofpQmOjcYa3u8/edit#gid=1878241338"",""S2 Totals!$A$2:$O$255""),3,FALSE)"),0.8181818181818182)</f>
        <v>0.8181818182</v>
      </c>
      <c r="D172" s="16">
        <f>IFERROR(__xludf.DUMMYFUNCTION("VLOOKUP(A172,IMPORTRANGE(""1QZ5UxyNCwadreQAXnQ7oCoH982DjIA-QnZdO7ZoqkC0/edit#gid=884617569"",""S2 Totals!$A$2:$O$255""),2,FALSE)"),10.0)</f>
        <v>10</v>
      </c>
      <c r="E172" s="15">
        <f>IFERROR(__xludf.DUMMYFUNCTION("VLOOKUP(A172,IMPORTRANGE(""1QZ5UxyNCwadreQAXnQ7oCoH982DjIA-QnZdO7ZoqkC0/edit#gid=884617569"",""S2 Totals!$A$2:$O$255""),3,FALSE)"),0.7692307692307693)</f>
        <v>0.7692307692</v>
      </c>
      <c r="F172" s="15">
        <f t="shared" si="1"/>
        <v>0.04895104895</v>
      </c>
      <c r="G172" s="16">
        <f>IFERROR(__xludf.DUMMYFUNCTION("VLOOKUP(A172,IMPORTRANGE(""1QZ5UxyNCwadreQAXnQ7oCoH982DjIA-QnZdO7ZoqkC0/edit#gid=884617569"",""S2 Totals!$A$2:$O$255""),4,FALSE)"),4.0)</f>
        <v>4</v>
      </c>
      <c r="H172" s="15">
        <f>IFERROR(__xludf.DUMMYFUNCTION("VLOOKUP(A172,IMPORTRANGE(""1QZ5UxyNCwadreQAXnQ7oCoH982DjIA-QnZdO7ZoqkC0/edit#gid=884617569"",""S2 Totals!$A$2:$O$255""),5,FALSE)"),0.3333333333333333)</f>
        <v>0.3333333333</v>
      </c>
      <c r="I172" s="15">
        <f t="shared" si="2"/>
        <v>0.4848484848</v>
      </c>
      <c r="J172" s="16">
        <f>IFERROR(__xludf.DUMMYFUNCTION("VLOOKUP(A172,IMPORTRANGE(""1QZ5UxyNCwadreQAXnQ7oCoH982DjIA-QnZdO7ZoqkC0/edit#gid=884617569"",""S2 Totals!$A$2:$O$255""),7,FALSE)"),6.0)</f>
        <v>6</v>
      </c>
      <c r="K172" s="15">
        <f>IFERROR(__xludf.DUMMYFUNCTION("VLOOKUP(A172,IMPORTRANGE(""1QZ5UxyNCwadreQAXnQ7oCoH982DjIA-QnZdO7ZoqkC0/edit#gid=884617569"",""S2 Totals!$A$2:$O$255""),8,FALSE)"),0.5)</f>
        <v>0.5</v>
      </c>
      <c r="L172" s="110">
        <f t="shared" si="3"/>
        <v>0.3181818182</v>
      </c>
      <c r="M172" s="16">
        <f>IFERROR(__xludf.DUMMYFUNCTION("VLOOKUP(A172,IMPORTRANGE(""1QZ5UxyNCwadreQAXnQ7oCoH982DjIA-QnZdO7ZoqkC0/edit#gid=884617569"",""S2 Totals!$A$2:$O$255""),10,FALSE)"),8.0)</f>
        <v>8</v>
      </c>
      <c r="N172" s="15">
        <f>IFERROR(__xludf.DUMMYFUNCTION("VLOOKUP(A172,IMPORTRANGE(""1QZ5UxyNCwadreQAXnQ7oCoH982DjIA-QnZdO7ZoqkC0/edit#gid=884617569"",""S2 Totals!$A$2:$O$255""),11,FALSE)"),0.6153846153846154)</f>
        <v>0.6153846154</v>
      </c>
      <c r="O172" s="110">
        <f t="shared" si="4"/>
        <v>0.2027972028</v>
      </c>
      <c r="P172" s="16" t="str">
        <f>IFERROR(__xludf.DUMMYFUNCTION("VLOOKUP(A172,IMPORTRANGE(""1QZ5UxyNCwadreQAXnQ7oCoH982DjIA-QnZdO7ZoqkC0/edit#gid=884617569"",""S2 Totals!$A$2:$O$255""),13,FALSE)"),"")</f>
        <v/>
      </c>
      <c r="Q172" s="15" t="str">
        <f>IFERROR(__xludf.DUMMYFUNCTION("VLOOKUP(A172,IMPORTRANGE(""1QZ5UxyNCwadreQAXnQ7oCoH982DjIA-QnZdO7ZoqkC0/edit#gid=884617569"",""S2 Totals!$A$2:$O$255""),14,FALSE)"),"")</f>
        <v/>
      </c>
      <c r="R172" s="129">
        <f t="shared" si="5"/>
        <v>0.8181818182</v>
      </c>
    </row>
    <row r="173">
      <c r="A173" s="128" t="s">
        <v>269</v>
      </c>
      <c r="B173" s="16">
        <f>IFERROR(__xludf.DUMMYFUNCTION("VLOOKUP(A173,IMPORTRANGE(""1aFCnJY1qhIj8-JckJhDJ18aqmVo17tofpQmOjcYa3u8/edit#gid=1878241338"",""S2 Totals!$A$2:$O$255""),2,FALSE)"),3.0)</f>
        <v>3</v>
      </c>
      <c r="C173" s="15">
        <f>IFERROR(__xludf.DUMMYFUNCTION("VLOOKUP(A173,IMPORTRANGE(""1aFCnJY1qhIj8-JckJhDJ18aqmVo17tofpQmOjcYa3u8/edit#gid=1878241338"",""S2 Totals!$A$2:$O$255""),3,FALSE)"),0.2727272727272727)</f>
        <v>0.2727272727</v>
      </c>
      <c r="D173" s="16" t="str">
        <f>IFERROR(__xludf.DUMMYFUNCTION("VLOOKUP(A173,IMPORTRANGE(""1QZ5UxyNCwadreQAXnQ7oCoH982DjIA-QnZdO7ZoqkC0/edit#gid=884617569"",""S2 Totals!$A$2:$O$255""),2,FALSE)"),"#N/A")</f>
        <v>#N/A</v>
      </c>
      <c r="E173" s="15" t="str">
        <f>IFERROR(__xludf.DUMMYFUNCTION("VLOOKUP(A173,IMPORTRANGE(""1QZ5UxyNCwadreQAXnQ7oCoH982DjIA-QnZdO7ZoqkC0/edit#gid=884617569"",""S2 Totals!$A$2:$O$255""),3,FALSE)"),"#N/A")</f>
        <v>#N/A</v>
      </c>
      <c r="F173" s="16" t="str">
        <f t="shared" si="1"/>
        <v>#N/A</v>
      </c>
      <c r="G173" s="16" t="str">
        <f>IFERROR(__xludf.DUMMYFUNCTION("VLOOKUP(A173,IMPORTRANGE(""1QZ5UxyNCwadreQAXnQ7oCoH982DjIA-QnZdO7ZoqkC0/edit#gid=884617569"",""S2 Totals!$A$2:$O$255""),4,FALSE)"),"#N/A")</f>
        <v>#N/A</v>
      </c>
      <c r="H173" s="15" t="str">
        <f>IFERROR(__xludf.DUMMYFUNCTION("VLOOKUP(A173,IMPORTRANGE(""1QZ5UxyNCwadreQAXnQ7oCoH982DjIA-QnZdO7ZoqkC0/edit#gid=884617569"",""S2 Totals!$A$2:$O$255""),5,FALSE)"),"#N/A")</f>
        <v>#N/A</v>
      </c>
      <c r="I173" s="16" t="str">
        <f t="shared" si="2"/>
        <v>#N/A</v>
      </c>
      <c r="J173" s="16" t="str">
        <f>IFERROR(__xludf.DUMMYFUNCTION("VLOOKUP(A173,IMPORTRANGE(""1QZ5UxyNCwadreQAXnQ7oCoH982DjIA-QnZdO7ZoqkC0/edit#gid=884617569"",""S2 Totals!$A$2:$O$255""),7,FALSE)"),"#N/A")</f>
        <v>#N/A</v>
      </c>
      <c r="K173" s="15" t="str">
        <f>IFERROR(__xludf.DUMMYFUNCTION("VLOOKUP(A173,IMPORTRANGE(""1QZ5UxyNCwadreQAXnQ7oCoH982DjIA-QnZdO7ZoqkC0/edit#gid=884617569"",""S2 Totals!$A$2:$O$255""),8,FALSE)"),"#N/A")</f>
        <v>#N/A</v>
      </c>
      <c r="L173" s="110" t="str">
        <f t="shared" si="3"/>
        <v>#N/A</v>
      </c>
      <c r="M173" s="16" t="str">
        <f>IFERROR(__xludf.DUMMYFUNCTION("VLOOKUP(A173,IMPORTRANGE(""1QZ5UxyNCwadreQAXnQ7oCoH982DjIA-QnZdO7ZoqkC0/edit#gid=884617569"",""S2 Totals!$A$2:$O$255""),10,FALSE)"),"#N/A")</f>
        <v>#N/A</v>
      </c>
      <c r="N173" s="15" t="str">
        <f>IFERROR(__xludf.DUMMYFUNCTION("VLOOKUP(A173,IMPORTRANGE(""1QZ5UxyNCwadreQAXnQ7oCoH982DjIA-QnZdO7ZoqkC0/edit#gid=884617569"",""S2 Totals!$A$2:$O$255""),11,FALSE)"),"#N/A")</f>
        <v>#N/A</v>
      </c>
      <c r="O173" s="110" t="str">
        <f t="shared" si="4"/>
        <v>#N/A</v>
      </c>
      <c r="P173" s="16" t="str">
        <f>IFERROR(__xludf.DUMMYFUNCTION("VLOOKUP(A173,IMPORTRANGE(""1QZ5UxyNCwadreQAXnQ7oCoH982DjIA-QnZdO7ZoqkC0/edit#gid=884617569"",""S2 Totals!$A$2:$O$255""),13,FALSE)"),"#N/A")</f>
        <v>#N/A</v>
      </c>
      <c r="Q173" s="15" t="str">
        <f>IFERROR(__xludf.DUMMYFUNCTION("VLOOKUP(A173,IMPORTRANGE(""1QZ5UxyNCwadreQAXnQ7oCoH982DjIA-QnZdO7ZoqkC0/edit#gid=884617569"",""S2 Totals!$A$2:$O$255""),14,FALSE)"),"#N/A")</f>
        <v>#N/A</v>
      </c>
      <c r="R173" s="129" t="str">
        <f t="shared" si="5"/>
        <v>#N/A</v>
      </c>
    </row>
    <row r="174">
      <c r="A174" s="128" t="s">
        <v>190</v>
      </c>
      <c r="B174" s="16">
        <f>IFERROR(__xludf.DUMMYFUNCTION("VLOOKUP(A174,IMPORTRANGE(""1aFCnJY1qhIj8-JckJhDJ18aqmVo17tofpQmOjcYa3u8/edit#gid=1878241338"",""S2 Totals!$A$2:$O$255""),2,FALSE)"),4.0)</f>
        <v>4</v>
      </c>
      <c r="C174" s="15">
        <f>IFERROR(__xludf.DUMMYFUNCTION("VLOOKUP(A174,IMPORTRANGE(""1aFCnJY1qhIj8-JckJhDJ18aqmVo17tofpQmOjcYa3u8/edit#gid=1878241338"",""S2 Totals!$A$2:$O$255""),3,FALSE)"),0.36363636363636365)</f>
        <v>0.3636363636</v>
      </c>
      <c r="D174" s="16">
        <f>IFERROR(__xludf.DUMMYFUNCTION("VLOOKUP(A174,IMPORTRANGE(""1QZ5UxyNCwadreQAXnQ7oCoH982DjIA-QnZdO7ZoqkC0/edit#gid=884617569"",""S2 Totals!$A$2:$O$255""),2,FALSE)"),7.0)</f>
        <v>7</v>
      </c>
      <c r="E174" s="15">
        <f>IFERROR(__xludf.DUMMYFUNCTION("VLOOKUP(A174,IMPORTRANGE(""1QZ5UxyNCwadreQAXnQ7oCoH982DjIA-QnZdO7ZoqkC0/edit#gid=884617569"",""S2 Totals!$A$2:$O$255""),3,FALSE)"),0.5384615384615384)</f>
        <v>0.5384615385</v>
      </c>
      <c r="F174" s="15">
        <f t="shared" si="1"/>
        <v>-0.1748251748</v>
      </c>
      <c r="G174" s="16">
        <f>IFERROR(__xludf.DUMMYFUNCTION("VLOOKUP(A174,IMPORTRANGE(""1QZ5UxyNCwadreQAXnQ7oCoH982DjIA-QnZdO7ZoqkC0/edit#gid=884617569"",""S2 Totals!$A$2:$O$255""),4,FALSE)"),6.0)</f>
        <v>6</v>
      </c>
      <c r="H174" s="15">
        <f>IFERROR(__xludf.DUMMYFUNCTION("VLOOKUP(A174,IMPORTRANGE(""1QZ5UxyNCwadreQAXnQ7oCoH982DjIA-QnZdO7ZoqkC0/edit#gid=884617569"",""S2 Totals!$A$2:$O$255""),5,FALSE)"),0.5)</f>
        <v>0.5</v>
      </c>
      <c r="I174" s="15">
        <f t="shared" si="2"/>
        <v>-0.1363636364</v>
      </c>
      <c r="J174" s="16">
        <f>IFERROR(__xludf.DUMMYFUNCTION("VLOOKUP(A174,IMPORTRANGE(""1QZ5UxyNCwadreQAXnQ7oCoH982DjIA-QnZdO7ZoqkC0/edit#gid=884617569"",""S2 Totals!$A$2:$O$255""),7,FALSE)"),6.0)</f>
        <v>6</v>
      </c>
      <c r="K174" s="15">
        <f>IFERROR(__xludf.DUMMYFUNCTION("VLOOKUP(A174,IMPORTRANGE(""1QZ5UxyNCwadreQAXnQ7oCoH982DjIA-QnZdO7ZoqkC0/edit#gid=884617569"",""S2 Totals!$A$2:$O$255""),8,FALSE)"),0.5)</f>
        <v>0.5</v>
      </c>
      <c r="L174" s="110">
        <f t="shared" si="3"/>
        <v>-0.1363636364</v>
      </c>
      <c r="M174" s="16" t="str">
        <f>IFERROR(__xludf.DUMMYFUNCTION("VLOOKUP(A174,IMPORTRANGE(""1QZ5UxyNCwadreQAXnQ7oCoH982DjIA-QnZdO7ZoqkC0/edit#gid=884617569"",""S2 Totals!$A$2:$O$255""),10,FALSE)"),"")</f>
        <v/>
      </c>
      <c r="N174" s="15" t="str">
        <f>IFERROR(__xludf.DUMMYFUNCTION("VLOOKUP(A174,IMPORTRANGE(""1QZ5UxyNCwadreQAXnQ7oCoH982DjIA-QnZdO7ZoqkC0/edit#gid=884617569"",""S2 Totals!$A$2:$O$255""),11,FALSE)"),"")</f>
        <v/>
      </c>
      <c r="O174" s="110">
        <f t="shared" si="4"/>
        <v>0.3636363636</v>
      </c>
      <c r="P174" s="16" t="str">
        <f>IFERROR(__xludf.DUMMYFUNCTION("VLOOKUP(A174,IMPORTRANGE(""1QZ5UxyNCwadreQAXnQ7oCoH982DjIA-QnZdO7ZoqkC0/edit#gid=884617569"",""S2 Totals!$A$2:$O$255""),13,FALSE)"),"")</f>
        <v/>
      </c>
      <c r="Q174" s="15" t="str">
        <f>IFERROR(__xludf.DUMMYFUNCTION("VLOOKUP(A174,IMPORTRANGE(""1QZ5UxyNCwadreQAXnQ7oCoH982DjIA-QnZdO7ZoqkC0/edit#gid=884617569"",""S2 Totals!$A$2:$O$255""),14,FALSE)"),"")</f>
        <v/>
      </c>
      <c r="R174" s="129">
        <f t="shared" si="5"/>
        <v>0.3636363636</v>
      </c>
    </row>
    <row r="175">
      <c r="A175" s="128" t="s">
        <v>246</v>
      </c>
      <c r="B175" s="16">
        <f>IFERROR(__xludf.DUMMYFUNCTION("VLOOKUP(A175,IMPORTRANGE(""1aFCnJY1qhIj8-JckJhDJ18aqmVo17tofpQmOjcYa3u8/edit#gid=1878241338"",""S2 Totals!$A$2:$O$255""),2,FALSE)"),0.0)</f>
        <v>0</v>
      </c>
      <c r="C175" s="15">
        <f>IFERROR(__xludf.DUMMYFUNCTION("VLOOKUP(A175,IMPORTRANGE(""1aFCnJY1qhIj8-JckJhDJ18aqmVo17tofpQmOjcYa3u8/edit#gid=1878241338"",""S2 Totals!$A$2:$O$255""),3,FALSE)"),0.0)</f>
        <v>0</v>
      </c>
      <c r="D175" s="16">
        <f>IFERROR(__xludf.DUMMYFUNCTION("VLOOKUP(A175,IMPORTRANGE(""1QZ5UxyNCwadreQAXnQ7oCoH982DjIA-QnZdO7ZoqkC0/edit#gid=884617569"",""S2 Totals!$A$2:$O$255""),2,FALSE)"),0.0)</f>
        <v>0</v>
      </c>
      <c r="E175" s="15">
        <f>IFERROR(__xludf.DUMMYFUNCTION("VLOOKUP(A175,IMPORTRANGE(""1QZ5UxyNCwadreQAXnQ7oCoH982DjIA-QnZdO7ZoqkC0/edit#gid=884617569"",""S2 Totals!$A$2:$O$255""),3,FALSE)"),0.0)</f>
        <v>0</v>
      </c>
      <c r="F175" s="15">
        <f t="shared" si="1"/>
        <v>0</v>
      </c>
      <c r="G175" s="16">
        <f>IFERROR(__xludf.DUMMYFUNCTION("VLOOKUP(A175,IMPORTRANGE(""1QZ5UxyNCwadreQAXnQ7oCoH982DjIA-QnZdO7ZoqkC0/edit#gid=884617569"",""S2 Totals!$A$2:$O$255""),4,FALSE)"),0.0)</f>
        <v>0</v>
      </c>
      <c r="H175" s="15">
        <f>IFERROR(__xludf.DUMMYFUNCTION("VLOOKUP(A175,IMPORTRANGE(""1QZ5UxyNCwadreQAXnQ7oCoH982DjIA-QnZdO7ZoqkC0/edit#gid=884617569"",""S2 Totals!$A$2:$O$255""),5,FALSE)"),0.0)</f>
        <v>0</v>
      </c>
      <c r="I175" s="15">
        <f t="shared" si="2"/>
        <v>0</v>
      </c>
      <c r="J175" s="16" t="str">
        <f>IFERROR(__xludf.DUMMYFUNCTION("VLOOKUP(A175,IMPORTRANGE(""1QZ5UxyNCwadreQAXnQ7oCoH982DjIA-QnZdO7ZoqkC0/edit#gid=884617569"",""S2 Totals!$A$2:$O$255""),7,FALSE)"),"")</f>
        <v/>
      </c>
      <c r="K175" s="15" t="str">
        <f>IFERROR(__xludf.DUMMYFUNCTION("VLOOKUP(A175,IMPORTRANGE(""1QZ5UxyNCwadreQAXnQ7oCoH982DjIA-QnZdO7ZoqkC0/edit#gid=884617569"",""S2 Totals!$A$2:$O$255""),8,FALSE)"),"")</f>
        <v/>
      </c>
      <c r="L175" s="110">
        <f t="shared" si="3"/>
        <v>0</v>
      </c>
      <c r="M175" s="16" t="str">
        <f>IFERROR(__xludf.DUMMYFUNCTION("VLOOKUP(A175,IMPORTRANGE(""1QZ5UxyNCwadreQAXnQ7oCoH982DjIA-QnZdO7ZoqkC0/edit#gid=884617569"",""S2 Totals!$A$2:$O$255""),10,FALSE)"),"")</f>
        <v/>
      </c>
      <c r="N175" s="15" t="str">
        <f>IFERROR(__xludf.DUMMYFUNCTION("VLOOKUP(A175,IMPORTRANGE(""1QZ5UxyNCwadreQAXnQ7oCoH982DjIA-QnZdO7ZoqkC0/edit#gid=884617569"",""S2 Totals!$A$2:$O$255""),11,FALSE)"),"")</f>
        <v/>
      </c>
      <c r="O175" s="110">
        <f t="shared" si="4"/>
        <v>0</v>
      </c>
      <c r="P175" s="16" t="str">
        <f>IFERROR(__xludf.DUMMYFUNCTION("VLOOKUP(A175,IMPORTRANGE(""1QZ5UxyNCwadreQAXnQ7oCoH982DjIA-QnZdO7ZoqkC0/edit#gid=884617569"",""S2 Totals!$A$2:$O$255""),13,FALSE)"),"")</f>
        <v/>
      </c>
      <c r="Q175" s="15" t="str">
        <f>IFERROR(__xludf.DUMMYFUNCTION("VLOOKUP(A175,IMPORTRANGE(""1QZ5UxyNCwadreQAXnQ7oCoH982DjIA-QnZdO7ZoqkC0/edit#gid=884617569"",""S2 Totals!$A$2:$O$255""),14,FALSE)"),"")</f>
        <v/>
      </c>
      <c r="R175" s="129">
        <f t="shared" si="5"/>
        <v>0</v>
      </c>
    </row>
    <row r="176">
      <c r="A176" s="128" t="s">
        <v>191</v>
      </c>
      <c r="B176" s="16">
        <f>IFERROR(__xludf.DUMMYFUNCTION("VLOOKUP(A176,IMPORTRANGE(""1aFCnJY1qhIj8-JckJhDJ18aqmVo17tofpQmOjcYa3u8/edit#gid=1878241338"",""S2 Totals!$A$2:$O$255""),2,FALSE)"),4.0)</f>
        <v>4</v>
      </c>
      <c r="C176" s="15">
        <f>IFERROR(__xludf.DUMMYFUNCTION("VLOOKUP(A176,IMPORTRANGE(""1aFCnJY1qhIj8-JckJhDJ18aqmVo17tofpQmOjcYa3u8/edit#gid=1878241338"",""S2 Totals!$A$2:$O$255""),3,FALSE)"),0.36363636363636365)</f>
        <v>0.3636363636</v>
      </c>
      <c r="D176" s="16">
        <f>IFERROR(__xludf.DUMMYFUNCTION("VLOOKUP(A176,IMPORTRANGE(""1QZ5UxyNCwadreQAXnQ7oCoH982DjIA-QnZdO7ZoqkC0/edit#gid=884617569"",""S2 Totals!$A$2:$O$255""),2,FALSE)"),7.0)</f>
        <v>7</v>
      </c>
      <c r="E176" s="15">
        <f>IFERROR(__xludf.DUMMYFUNCTION("VLOOKUP(A176,IMPORTRANGE(""1QZ5UxyNCwadreQAXnQ7oCoH982DjIA-QnZdO7ZoqkC0/edit#gid=884617569"",""S2 Totals!$A$2:$O$255""),3,FALSE)"),0.5384615384615384)</f>
        <v>0.5384615385</v>
      </c>
      <c r="F176" s="15">
        <f t="shared" si="1"/>
        <v>-0.1748251748</v>
      </c>
      <c r="G176" s="16">
        <f>IFERROR(__xludf.DUMMYFUNCTION("VLOOKUP(A176,IMPORTRANGE(""1QZ5UxyNCwadreQAXnQ7oCoH982DjIA-QnZdO7ZoqkC0/edit#gid=884617569"",""S2 Totals!$A$2:$O$255""),4,FALSE)"),2.0)</f>
        <v>2</v>
      </c>
      <c r="H176" s="15">
        <f>IFERROR(__xludf.DUMMYFUNCTION("VLOOKUP(A176,IMPORTRANGE(""1QZ5UxyNCwadreQAXnQ7oCoH982DjIA-QnZdO7ZoqkC0/edit#gid=884617569"",""S2 Totals!$A$2:$O$255""),5,FALSE)"),0.16666666666666666)</f>
        <v>0.1666666667</v>
      </c>
      <c r="I176" s="15">
        <f t="shared" si="2"/>
        <v>0.196969697</v>
      </c>
      <c r="J176" s="16">
        <f>IFERROR(__xludf.DUMMYFUNCTION("VLOOKUP(A176,IMPORTRANGE(""1QZ5UxyNCwadreQAXnQ7oCoH982DjIA-QnZdO7ZoqkC0/edit#gid=884617569"",""S2 Totals!$A$2:$O$255""),7,FALSE)"),2.0)</f>
        <v>2</v>
      </c>
      <c r="K176" s="15">
        <f>IFERROR(__xludf.DUMMYFUNCTION("VLOOKUP(A176,IMPORTRANGE(""1QZ5UxyNCwadreQAXnQ7oCoH982DjIA-QnZdO7ZoqkC0/edit#gid=884617569"",""S2 Totals!$A$2:$O$255""),8,FALSE)"),0.16666666666666666)</f>
        <v>0.1666666667</v>
      </c>
      <c r="L176" s="110">
        <f t="shared" si="3"/>
        <v>0.196969697</v>
      </c>
      <c r="M176" s="16" t="str">
        <f>IFERROR(__xludf.DUMMYFUNCTION("VLOOKUP(A176,IMPORTRANGE(""1QZ5UxyNCwadreQAXnQ7oCoH982DjIA-QnZdO7ZoqkC0/edit#gid=884617569"",""S2 Totals!$A$2:$O$255""),10,FALSE)"),"")</f>
        <v/>
      </c>
      <c r="N176" s="15" t="str">
        <f>IFERROR(__xludf.DUMMYFUNCTION("VLOOKUP(A176,IMPORTRANGE(""1QZ5UxyNCwadreQAXnQ7oCoH982DjIA-QnZdO7ZoqkC0/edit#gid=884617569"",""S2 Totals!$A$2:$O$255""),11,FALSE)"),"")</f>
        <v/>
      </c>
      <c r="O176" s="110">
        <f t="shared" si="4"/>
        <v>0.3636363636</v>
      </c>
      <c r="P176" s="16" t="str">
        <f>IFERROR(__xludf.DUMMYFUNCTION("VLOOKUP(A176,IMPORTRANGE(""1QZ5UxyNCwadreQAXnQ7oCoH982DjIA-QnZdO7ZoqkC0/edit#gid=884617569"",""S2 Totals!$A$2:$O$255""),13,FALSE)"),"")</f>
        <v/>
      </c>
      <c r="Q176" s="15" t="str">
        <f>IFERROR(__xludf.DUMMYFUNCTION("VLOOKUP(A176,IMPORTRANGE(""1QZ5UxyNCwadreQAXnQ7oCoH982DjIA-QnZdO7ZoqkC0/edit#gid=884617569"",""S2 Totals!$A$2:$O$255""),14,FALSE)"),"")</f>
        <v/>
      </c>
      <c r="R176" s="129">
        <f t="shared" si="5"/>
        <v>0.3636363636</v>
      </c>
    </row>
    <row r="177">
      <c r="A177" s="128" t="s">
        <v>83</v>
      </c>
      <c r="B177" s="16">
        <f>IFERROR(__xludf.DUMMYFUNCTION("VLOOKUP(A177,IMPORTRANGE(""1aFCnJY1qhIj8-JckJhDJ18aqmVo17tofpQmOjcYa3u8/edit#gid=1878241338"",""S2 Totals!$A$2:$O$255""),2,FALSE)"),3.0)</f>
        <v>3</v>
      </c>
      <c r="C177" s="15">
        <f>IFERROR(__xludf.DUMMYFUNCTION("VLOOKUP(A177,IMPORTRANGE(""1aFCnJY1qhIj8-JckJhDJ18aqmVo17tofpQmOjcYa3u8/edit#gid=1878241338"",""S2 Totals!$A$2:$O$255""),3,FALSE)"),0.2727272727272727)</f>
        <v>0.2727272727</v>
      </c>
      <c r="D177" s="16">
        <f>IFERROR(__xludf.DUMMYFUNCTION("VLOOKUP(A177,IMPORTRANGE(""1QZ5UxyNCwadreQAXnQ7oCoH982DjIA-QnZdO7ZoqkC0/edit#gid=884617569"",""S2 Totals!$A$2:$O$255""),2,FALSE)"),4.0)</f>
        <v>4</v>
      </c>
      <c r="E177" s="15">
        <f>IFERROR(__xludf.DUMMYFUNCTION("VLOOKUP(A177,IMPORTRANGE(""1QZ5UxyNCwadreQAXnQ7oCoH982DjIA-QnZdO7ZoqkC0/edit#gid=884617569"",""S2 Totals!$A$2:$O$255""),3,FALSE)"),0.3076923076923077)</f>
        <v>0.3076923077</v>
      </c>
      <c r="F177" s="15">
        <f t="shared" si="1"/>
        <v>-0.03496503497</v>
      </c>
      <c r="G177" s="16">
        <f>IFERROR(__xludf.DUMMYFUNCTION("VLOOKUP(A177,IMPORTRANGE(""1QZ5UxyNCwadreQAXnQ7oCoH982DjIA-QnZdO7ZoqkC0/edit#gid=884617569"",""S2 Totals!$A$2:$O$255""),4,FALSE)"),4.0)</f>
        <v>4</v>
      </c>
      <c r="H177" s="15">
        <f>IFERROR(__xludf.DUMMYFUNCTION("VLOOKUP(A177,IMPORTRANGE(""1QZ5UxyNCwadreQAXnQ7oCoH982DjIA-QnZdO7ZoqkC0/edit#gid=884617569"",""S2 Totals!$A$2:$O$255""),5,FALSE)"),0.3333333333333333)</f>
        <v>0.3333333333</v>
      </c>
      <c r="I177" s="15">
        <f t="shared" si="2"/>
        <v>-0.06060606061</v>
      </c>
      <c r="J177" s="16">
        <f>IFERROR(__xludf.DUMMYFUNCTION("VLOOKUP(A177,IMPORTRANGE(""1QZ5UxyNCwadreQAXnQ7oCoH982DjIA-QnZdO7ZoqkC0/edit#gid=884617569"",""S2 Totals!$A$2:$O$255""),7,FALSE)"),4.0)</f>
        <v>4</v>
      </c>
      <c r="K177" s="15">
        <f>IFERROR(__xludf.DUMMYFUNCTION("VLOOKUP(A177,IMPORTRANGE(""1QZ5UxyNCwadreQAXnQ7oCoH982DjIA-QnZdO7ZoqkC0/edit#gid=884617569"",""S2 Totals!$A$2:$O$255""),8,FALSE)"),0.3333333333333333)</f>
        <v>0.3333333333</v>
      </c>
      <c r="L177" s="110">
        <f t="shared" si="3"/>
        <v>-0.06060606061</v>
      </c>
      <c r="M177" s="16">
        <f>IFERROR(__xludf.DUMMYFUNCTION("VLOOKUP(A177,IMPORTRANGE(""1QZ5UxyNCwadreQAXnQ7oCoH982DjIA-QnZdO7ZoqkC0/edit#gid=884617569"",""S2 Totals!$A$2:$O$255""),10,FALSE)"),6.0)</f>
        <v>6</v>
      </c>
      <c r="N177" s="15">
        <f>IFERROR(__xludf.DUMMYFUNCTION("VLOOKUP(A177,IMPORTRANGE(""1QZ5UxyNCwadreQAXnQ7oCoH982DjIA-QnZdO7ZoqkC0/edit#gid=884617569"",""S2 Totals!$A$2:$O$255""),11,FALSE)"),0.46153846153846156)</f>
        <v>0.4615384615</v>
      </c>
      <c r="O177" s="110">
        <f t="shared" si="4"/>
        <v>-0.1888111888</v>
      </c>
      <c r="P177" s="16">
        <f>IFERROR(__xludf.DUMMYFUNCTION("VLOOKUP(A177,IMPORTRANGE(""1QZ5UxyNCwadreQAXnQ7oCoH982DjIA-QnZdO7ZoqkC0/edit#gid=884617569"",""S2 Totals!$A$2:$O$255""),13,FALSE)"),1.0)</f>
        <v>1</v>
      </c>
      <c r="Q177" s="15">
        <f>IFERROR(__xludf.DUMMYFUNCTION("VLOOKUP(A177,IMPORTRANGE(""1QZ5UxyNCwadreQAXnQ7oCoH982DjIA-QnZdO7ZoqkC0/edit#gid=884617569"",""S2 Totals!$A$2:$O$255""),14,FALSE)"),0.08333333333333333)</f>
        <v>0.08333333333</v>
      </c>
      <c r="R177" s="129">
        <f t="shared" si="5"/>
        <v>0.1893939394</v>
      </c>
    </row>
    <row r="178">
      <c r="A178" s="128" t="s">
        <v>247</v>
      </c>
      <c r="B178" s="16">
        <f>IFERROR(__xludf.DUMMYFUNCTION("VLOOKUP(A178,IMPORTRANGE(""1aFCnJY1qhIj8-JckJhDJ18aqmVo17tofpQmOjcYa3u8/edit#gid=1878241338"",""S2 Totals!$A$2:$O$255""),2,FALSE)"),6.0)</f>
        <v>6</v>
      </c>
      <c r="C178" s="15">
        <f>IFERROR(__xludf.DUMMYFUNCTION("VLOOKUP(A178,IMPORTRANGE(""1aFCnJY1qhIj8-JckJhDJ18aqmVo17tofpQmOjcYa3u8/edit#gid=1878241338"",""S2 Totals!$A$2:$O$255""),3,FALSE)"),0.5454545454545454)</f>
        <v>0.5454545455</v>
      </c>
      <c r="D178" s="16">
        <f>IFERROR(__xludf.DUMMYFUNCTION("VLOOKUP(A178,IMPORTRANGE(""1QZ5UxyNCwadreQAXnQ7oCoH982DjIA-QnZdO7ZoqkC0/edit#gid=884617569"",""S2 Totals!$A$2:$O$255""),2,FALSE)"),6.0)</f>
        <v>6</v>
      </c>
      <c r="E178" s="15">
        <f>IFERROR(__xludf.DUMMYFUNCTION("VLOOKUP(A178,IMPORTRANGE(""1QZ5UxyNCwadreQAXnQ7oCoH982DjIA-QnZdO7ZoqkC0/edit#gid=884617569"",""S2 Totals!$A$2:$O$255""),3,FALSE)"),0.46153846153846156)</f>
        <v>0.4615384615</v>
      </c>
      <c r="F178" s="15">
        <f t="shared" si="1"/>
        <v>0.08391608392</v>
      </c>
      <c r="G178" s="16">
        <f>IFERROR(__xludf.DUMMYFUNCTION("VLOOKUP(A178,IMPORTRANGE(""1QZ5UxyNCwadreQAXnQ7oCoH982DjIA-QnZdO7ZoqkC0/edit#gid=884617569"",""S2 Totals!$A$2:$O$255""),4,FALSE)"),1.0)</f>
        <v>1</v>
      </c>
      <c r="H178" s="15">
        <f>IFERROR(__xludf.DUMMYFUNCTION("VLOOKUP(A178,IMPORTRANGE(""1QZ5UxyNCwadreQAXnQ7oCoH982DjIA-QnZdO7ZoqkC0/edit#gid=884617569"",""S2 Totals!$A$2:$O$255""),5,FALSE)"),0.08333333333333333)</f>
        <v>0.08333333333</v>
      </c>
      <c r="I178" s="15">
        <f t="shared" si="2"/>
        <v>0.4621212121</v>
      </c>
      <c r="J178" s="16" t="str">
        <f>IFERROR(__xludf.DUMMYFUNCTION("VLOOKUP(A178,IMPORTRANGE(""1QZ5UxyNCwadreQAXnQ7oCoH982DjIA-QnZdO7ZoqkC0/edit#gid=884617569"",""S2 Totals!$A$2:$O$255""),7,FALSE)"),"")</f>
        <v/>
      </c>
      <c r="K178" s="15" t="str">
        <f>IFERROR(__xludf.DUMMYFUNCTION("VLOOKUP(A178,IMPORTRANGE(""1QZ5UxyNCwadreQAXnQ7oCoH982DjIA-QnZdO7ZoqkC0/edit#gid=884617569"",""S2 Totals!$A$2:$O$255""),8,FALSE)"),"")</f>
        <v/>
      </c>
      <c r="L178" s="110">
        <f t="shared" si="3"/>
        <v>0.5454545455</v>
      </c>
      <c r="M178" s="16" t="str">
        <f>IFERROR(__xludf.DUMMYFUNCTION("VLOOKUP(A178,IMPORTRANGE(""1QZ5UxyNCwadreQAXnQ7oCoH982DjIA-QnZdO7ZoqkC0/edit#gid=884617569"",""S2 Totals!$A$2:$O$255""),10,FALSE)"),"")</f>
        <v/>
      </c>
      <c r="N178" s="15" t="str">
        <f>IFERROR(__xludf.DUMMYFUNCTION("VLOOKUP(A178,IMPORTRANGE(""1QZ5UxyNCwadreQAXnQ7oCoH982DjIA-QnZdO7ZoqkC0/edit#gid=884617569"",""S2 Totals!$A$2:$O$255""),11,FALSE)"),"")</f>
        <v/>
      </c>
      <c r="O178" s="110">
        <f t="shared" si="4"/>
        <v>0.5454545455</v>
      </c>
      <c r="P178" s="16" t="str">
        <f>IFERROR(__xludf.DUMMYFUNCTION("VLOOKUP(A178,IMPORTRANGE(""1QZ5UxyNCwadreQAXnQ7oCoH982DjIA-QnZdO7ZoqkC0/edit#gid=884617569"",""S2 Totals!$A$2:$O$255""),13,FALSE)"),"")</f>
        <v/>
      </c>
      <c r="Q178" s="15" t="str">
        <f>IFERROR(__xludf.DUMMYFUNCTION("VLOOKUP(A178,IMPORTRANGE(""1QZ5UxyNCwadreQAXnQ7oCoH982DjIA-QnZdO7ZoqkC0/edit#gid=884617569"",""S2 Totals!$A$2:$O$255""),14,FALSE)"),"")</f>
        <v/>
      </c>
      <c r="R178" s="129">
        <f t="shared" si="5"/>
        <v>0.5454545455</v>
      </c>
    </row>
    <row r="179">
      <c r="A179" s="128" t="s">
        <v>84</v>
      </c>
      <c r="B179" s="16">
        <f>IFERROR(__xludf.DUMMYFUNCTION("VLOOKUP(A179,IMPORTRANGE(""1aFCnJY1qhIj8-JckJhDJ18aqmVo17tofpQmOjcYa3u8/edit#gid=1878241338"",""S2 Totals!$A$2:$O$255""),2,FALSE)"),6.0)</f>
        <v>6</v>
      </c>
      <c r="C179" s="15">
        <f>IFERROR(__xludf.DUMMYFUNCTION("VLOOKUP(A179,IMPORTRANGE(""1aFCnJY1qhIj8-JckJhDJ18aqmVo17tofpQmOjcYa3u8/edit#gid=1878241338"",""S2 Totals!$A$2:$O$255""),3,FALSE)"),0.5454545454545454)</f>
        <v>0.5454545455</v>
      </c>
      <c r="D179" s="16">
        <f>IFERROR(__xludf.DUMMYFUNCTION("VLOOKUP(A179,IMPORTRANGE(""1QZ5UxyNCwadreQAXnQ7oCoH982DjIA-QnZdO7ZoqkC0/edit#gid=884617569"",""S2 Totals!$A$2:$O$255""),2,FALSE)"),5.0)</f>
        <v>5</v>
      </c>
      <c r="E179" s="15">
        <f>IFERROR(__xludf.DUMMYFUNCTION("VLOOKUP(A179,IMPORTRANGE(""1QZ5UxyNCwadreQAXnQ7oCoH982DjIA-QnZdO7ZoqkC0/edit#gid=884617569"",""S2 Totals!$A$2:$O$255""),3,FALSE)"),0.38461538461538464)</f>
        <v>0.3846153846</v>
      </c>
      <c r="F179" s="15">
        <f t="shared" si="1"/>
        <v>0.1608391608</v>
      </c>
      <c r="G179" s="16">
        <f>IFERROR(__xludf.DUMMYFUNCTION("VLOOKUP(A179,IMPORTRANGE(""1QZ5UxyNCwadreQAXnQ7oCoH982DjIA-QnZdO7ZoqkC0/edit#gid=884617569"",""S2 Totals!$A$2:$O$255""),4,FALSE)"),2.0)</f>
        <v>2</v>
      </c>
      <c r="H179" s="15">
        <f>IFERROR(__xludf.DUMMYFUNCTION("VLOOKUP(A179,IMPORTRANGE(""1QZ5UxyNCwadreQAXnQ7oCoH982DjIA-QnZdO7ZoqkC0/edit#gid=884617569"",""S2 Totals!$A$2:$O$255""),5,FALSE)"),0.16666666666666666)</f>
        <v>0.1666666667</v>
      </c>
      <c r="I179" s="15">
        <f t="shared" si="2"/>
        <v>0.3787878788</v>
      </c>
      <c r="J179" s="16">
        <f>IFERROR(__xludf.DUMMYFUNCTION("VLOOKUP(A179,IMPORTRANGE(""1QZ5UxyNCwadreQAXnQ7oCoH982DjIA-QnZdO7ZoqkC0/edit#gid=884617569"",""S2 Totals!$A$2:$O$255""),7,FALSE)"),6.0)</f>
        <v>6</v>
      </c>
      <c r="K179" s="15">
        <f>IFERROR(__xludf.DUMMYFUNCTION("VLOOKUP(A179,IMPORTRANGE(""1QZ5UxyNCwadreQAXnQ7oCoH982DjIA-QnZdO7ZoqkC0/edit#gid=884617569"",""S2 Totals!$A$2:$O$255""),8,FALSE)"),0.5)</f>
        <v>0.5</v>
      </c>
      <c r="L179" s="110">
        <f t="shared" si="3"/>
        <v>0.04545454545</v>
      </c>
      <c r="M179" s="16">
        <f>IFERROR(__xludf.DUMMYFUNCTION("VLOOKUP(A179,IMPORTRANGE(""1QZ5UxyNCwadreQAXnQ7oCoH982DjIA-QnZdO7ZoqkC0/edit#gid=884617569"",""S2 Totals!$A$2:$O$255""),10,FALSE)"),8.0)</f>
        <v>8</v>
      </c>
      <c r="N179" s="15">
        <f>IFERROR(__xludf.DUMMYFUNCTION("VLOOKUP(A179,IMPORTRANGE(""1QZ5UxyNCwadreQAXnQ7oCoH982DjIA-QnZdO7ZoqkC0/edit#gid=884617569"",""S2 Totals!$A$2:$O$255""),11,FALSE)"),0.6153846153846154)</f>
        <v>0.6153846154</v>
      </c>
      <c r="O179" s="110">
        <f t="shared" si="4"/>
        <v>-0.06993006993</v>
      </c>
      <c r="P179" s="16">
        <f>IFERROR(__xludf.DUMMYFUNCTION("VLOOKUP(A179,IMPORTRANGE(""1QZ5UxyNCwadreQAXnQ7oCoH982DjIA-QnZdO7ZoqkC0/edit#gid=884617569"",""S2 Totals!$A$2:$O$255""),13,FALSE)"),0.0)</f>
        <v>0</v>
      </c>
      <c r="Q179" s="15">
        <f>IFERROR(__xludf.DUMMYFUNCTION("VLOOKUP(A179,IMPORTRANGE(""1QZ5UxyNCwadreQAXnQ7oCoH982DjIA-QnZdO7ZoqkC0/edit#gid=884617569"",""S2 Totals!$A$2:$O$255""),14,FALSE)"),0.0)</f>
        <v>0</v>
      </c>
      <c r="R179" s="129">
        <f t="shared" si="5"/>
        <v>0.5454545455</v>
      </c>
    </row>
    <row r="180">
      <c r="A180" s="128" t="s">
        <v>192</v>
      </c>
      <c r="B180" s="16">
        <f>IFERROR(__xludf.DUMMYFUNCTION("VLOOKUP(A180,IMPORTRANGE(""1aFCnJY1qhIj8-JckJhDJ18aqmVo17tofpQmOjcYa3u8/edit#gid=1878241338"",""S2 Totals!$A$2:$O$255""),2,FALSE)"),5.0)</f>
        <v>5</v>
      </c>
      <c r="C180" s="15">
        <f>IFERROR(__xludf.DUMMYFUNCTION("VLOOKUP(A180,IMPORTRANGE(""1aFCnJY1qhIj8-JckJhDJ18aqmVo17tofpQmOjcYa3u8/edit#gid=1878241338"",""S2 Totals!$A$2:$O$255""),3,FALSE)"),0.45454545454545453)</f>
        <v>0.4545454545</v>
      </c>
      <c r="D180" s="16">
        <f>IFERROR(__xludf.DUMMYFUNCTION("VLOOKUP(A180,IMPORTRANGE(""1QZ5UxyNCwadreQAXnQ7oCoH982DjIA-QnZdO7ZoqkC0/edit#gid=884617569"",""S2 Totals!$A$2:$O$255""),2,FALSE)"),6.0)</f>
        <v>6</v>
      </c>
      <c r="E180" s="15">
        <f>IFERROR(__xludf.DUMMYFUNCTION("VLOOKUP(A180,IMPORTRANGE(""1QZ5UxyNCwadreQAXnQ7oCoH982DjIA-QnZdO7ZoqkC0/edit#gid=884617569"",""S2 Totals!$A$2:$O$255""),3,FALSE)"),0.46153846153846156)</f>
        <v>0.4615384615</v>
      </c>
      <c r="F180" s="15">
        <f t="shared" si="1"/>
        <v>-0.006993006993</v>
      </c>
      <c r="G180" s="16">
        <f>IFERROR(__xludf.DUMMYFUNCTION("VLOOKUP(A180,IMPORTRANGE(""1QZ5UxyNCwadreQAXnQ7oCoH982DjIA-QnZdO7ZoqkC0/edit#gid=884617569"",""S2 Totals!$A$2:$O$255""),4,FALSE)"),7.0)</f>
        <v>7</v>
      </c>
      <c r="H180" s="15">
        <f>IFERROR(__xludf.DUMMYFUNCTION("VLOOKUP(A180,IMPORTRANGE(""1QZ5UxyNCwadreQAXnQ7oCoH982DjIA-QnZdO7ZoqkC0/edit#gid=884617569"",""S2 Totals!$A$2:$O$255""),5,FALSE)"),0.5833333333333334)</f>
        <v>0.5833333333</v>
      </c>
      <c r="I180" s="15">
        <f t="shared" si="2"/>
        <v>-0.1287878788</v>
      </c>
      <c r="J180" s="16">
        <f>IFERROR(__xludf.DUMMYFUNCTION("VLOOKUP(A180,IMPORTRANGE(""1QZ5UxyNCwadreQAXnQ7oCoH982DjIA-QnZdO7ZoqkC0/edit#gid=884617569"",""S2 Totals!$A$2:$O$255""),7,FALSE)"),6.0)</f>
        <v>6</v>
      </c>
      <c r="K180" s="15">
        <f>IFERROR(__xludf.DUMMYFUNCTION("VLOOKUP(A180,IMPORTRANGE(""1QZ5UxyNCwadreQAXnQ7oCoH982DjIA-QnZdO7ZoqkC0/edit#gid=884617569"",""S2 Totals!$A$2:$O$255""),8,FALSE)"),0.5)</f>
        <v>0.5</v>
      </c>
      <c r="L180" s="110">
        <f t="shared" si="3"/>
        <v>-0.04545454545</v>
      </c>
      <c r="M180" s="16" t="str">
        <f>IFERROR(__xludf.DUMMYFUNCTION("VLOOKUP(A180,IMPORTRANGE(""1QZ5UxyNCwadreQAXnQ7oCoH982DjIA-QnZdO7ZoqkC0/edit#gid=884617569"",""S2 Totals!$A$2:$O$255""),10,FALSE)"),"")</f>
        <v/>
      </c>
      <c r="N180" s="15" t="str">
        <f>IFERROR(__xludf.DUMMYFUNCTION("VLOOKUP(A180,IMPORTRANGE(""1QZ5UxyNCwadreQAXnQ7oCoH982DjIA-QnZdO7ZoqkC0/edit#gid=884617569"",""S2 Totals!$A$2:$O$255""),11,FALSE)"),"")</f>
        <v/>
      </c>
      <c r="O180" s="110">
        <f t="shared" si="4"/>
        <v>0.4545454545</v>
      </c>
      <c r="P180" s="16" t="str">
        <f>IFERROR(__xludf.DUMMYFUNCTION("VLOOKUP(A180,IMPORTRANGE(""1QZ5UxyNCwadreQAXnQ7oCoH982DjIA-QnZdO7ZoqkC0/edit#gid=884617569"",""S2 Totals!$A$2:$O$255""),13,FALSE)"),"")</f>
        <v/>
      </c>
      <c r="Q180" s="15" t="str">
        <f>IFERROR(__xludf.DUMMYFUNCTION("VLOOKUP(A180,IMPORTRANGE(""1QZ5UxyNCwadreQAXnQ7oCoH982DjIA-QnZdO7ZoqkC0/edit#gid=884617569"",""S2 Totals!$A$2:$O$255""),14,FALSE)"),"")</f>
        <v/>
      </c>
      <c r="R180" s="129">
        <f t="shared" si="5"/>
        <v>0.4545454545</v>
      </c>
    </row>
    <row r="181">
      <c r="A181" s="128" t="s">
        <v>85</v>
      </c>
      <c r="B181" s="16">
        <f>IFERROR(__xludf.DUMMYFUNCTION("VLOOKUP(A181,IMPORTRANGE(""1aFCnJY1qhIj8-JckJhDJ18aqmVo17tofpQmOjcYa3u8/edit#gid=1878241338"",""S2 Totals!$A$2:$O$255""),2,FALSE)"),10.0)</f>
        <v>10</v>
      </c>
      <c r="C181" s="15">
        <f>IFERROR(__xludf.DUMMYFUNCTION("VLOOKUP(A181,IMPORTRANGE(""1aFCnJY1qhIj8-JckJhDJ18aqmVo17tofpQmOjcYa3u8/edit#gid=1878241338"",""S2 Totals!$A$2:$O$255""),3,FALSE)"),0.9090909090909091)</f>
        <v>0.9090909091</v>
      </c>
      <c r="D181" s="16">
        <f>IFERROR(__xludf.DUMMYFUNCTION("VLOOKUP(A181,IMPORTRANGE(""1QZ5UxyNCwadreQAXnQ7oCoH982DjIA-QnZdO7ZoqkC0/edit#gid=884617569"",""S2 Totals!$A$2:$O$255""),2,FALSE)"),8.0)</f>
        <v>8</v>
      </c>
      <c r="E181" s="15">
        <f>IFERROR(__xludf.DUMMYFUNCTION("VLOOKUP(A181,IMPORTRANGE(""1QZ5UxyNCwadreQAXnQ7oCoH982DjIA-QnZdO7ZoqkC0/edit#gid=884617569"",""S2 Totals!$A$2:$O$255""),3,FALSE)"),0.6153846153846154)</f>
        <v>0.6153846154</v>
      </c>
      <c r="F181" s="15">
        <f t="shared" si="1"/>
        <v>0.2937062937</v>
      </c>
      <c r="G181" s="16">
        <f>IFERROR(__xludf.DUMMYFUNCTION("VLOOKUP(A181,IMPORTRANGE(""1QZ5UxyNCwadreQAXnQ7oCoH982DjIA-QnZdO7ZoqkC0/edit#gid=884617569"",""S2 Totals!$A$2:$O$255""),4,FALSE)"),8.0)</f>
        <v>8</v>
      </c>
      <c r="H181" s="15">
        <f>IFERROR(__xludf.DUMMYFUNCTION("VLOOKUP(A181,IMPORTRANGE(""1QZ5UxyNCwadreQAXnQ7oCoH982DjIA-QnZdO7ZoqkC0/edit#gid=884617569"",""S2 Totals!$A$2:$O$255""),5,FALSE)"),0.6666666666666666)</f>
        <v>0.6666666667</v>
      </c>
      <c r="I181" s="15">
        <f t="shared" si="2"/>
        <v>0.2424242424</v>
      </c>
      <c r="J181" s="16">
        <f>IFERROR(__xludf.DUMMYFUNCTION("VLOOKUP(A181,IMPORTRANGE(""1QZ5UxyNCwadreQAXnQ7oCoH982DjIA-QnZdO7ZoqkC0/edit#gid=884617569"",""S2 Totals!$A$2:$O$255""),7,FALSE)"),6.0)</f>
        <v>6</v>
      </c>
      <c r="K181" s="15">
        <f>IFERROR(__xludf.DUMMYFUNCTION("VLOOKUP(A181,IMPORTRANGE(""1QZ5UxyNCwadreQAXnQ7oCoH982DjIA-QnZdO7ZoqkC0/edit#gid=884617569"",""S2 Totals!$A$2:$O$255""),8,FALSE)"),0.5)</f>
        <v>0.5</v>
      </c>
      <c r="L181" s="110">
        <f t="shared" si="3"/>
        <v>0.4090909091</v>
      </c>
      <c r="M181" s="16">
        <f>IFERROR(__xludf.DUMMYFUNCTION("VLOOKUP(A181,IMPORTRANGE(""1QZ5UxyNCwadreQAXnQ7oCoH982DjIA-QnZdO7ZoqkC0/edit#gid=884617569"",""S2 Totals!$A$2:$O$255""),10,FALSE)"),8.0)</f>
        <v>8</v>
      </c>
      <c r="N181" s="15">
        <f>IFERROR(__xludf.DUMMYFUNCTION("VLOOKUP(A181,IMPORTRANGE(""1QZ5UxyNCwadreQAXnQ7oCoH982DjIA-QnZdO7ZoqkC0/edit#gid=884617569"",""S2 Totals!$A$2:$O$255""),11,FALSE)"),0.6153846153846154)</f>
        <v>0.6153846154</v>
      </c>
      <c r="O181" s="110">
        <f t="shared" si="4"/>
        <v>0.2937062937</v>
      </c>
      <c r="P181" s="16">
        <f>IFERROR(__xludf.DUMMYFUNCTION("VLOOKUP(A181,IMPORTRANGE(""1QZ5UxyNCwadreQAXnQ7oCoH982DjIA-QnZdO7ZoqkC0/edit#gid=884617569"",""S2 Totals!$A$2:$O$255""),13,FALSE)"),6.0)</f>
        <v>6</v>
      </c>
      <c r="Q181" s="15">
        <f>IFERROR(__xludf.DUMMYFUNCTION("VLOOKUP(A181,IMPORTRANGE(""1QZ5UxyNCwadreQAXnQ7oCoH982DjIA-QnZdO7ZoqkC0/edit#gid=884617569"",""S2 Totals!$A$2:$O$255""),14,FALSE)"),0.5)</f>
        <v>0.5</v>
      </c>
      <c r="R181" s="129">
        <f t="shared" si="5"/>
        <v>0.4090909091</v>
      </c>
    </row>
    <row r="182">
      <c r="A182" s="128" t="s">
        <v>86</v>
      </c>
      <c r="B182" s="16">
        <f>IFERROR(__xludf.DUMMYFUNCTION("VLOOKUP(A182,IMPORTRANGE(""1aFCnJY1qhIj8-JckJhDJ18aqmVo17tofpQmOjcYa3u8/edit#gid=1878241338"",""S2 Totals!$A$2:$O$255""),2,FALSE)"),11.0)</f>
        <v>11</v>
      </c>
      <c r="C182" s="15">
        <f>IFERROR(__xludf.DUMMYFUNCTION("VLOOKUP(A182,IMPORTRANGE(""1aFCnJY1qhIj8-JckJhDJ18aqmVo17tofpQmOjcYa3u8/edit#gid=1878241338"",""S2 Totals!$A$2:$O$255""),3,FALSE)"),1.0)</f>
        <v>1</v>
      </c>
      <c r="D182" s="16">
        <f>IFERROR(__xludf.DUMMYFUNCTION("VLOOKUP(A182,IMPORTRANGE(""1QZ5UxyNCwadreQAXnQ7oCoH982DjIA-QnZdO7ZoqkC0/edit#gid=884617569"",""S2 Totals!$A$2:$O$255""),2,FALSE)"),11.0)</f>
        <v>11</v>
      </c>
      <c r="E182" s="15">
        <f>IFERROR(__xludf.DUMMYFUNCTION("VLOOKUP(A182,IMPORTRANGE(""1QZ5UxyNCwadreQAXnQ7oCoH982DjIA-QnZdO7ZoqkC0/edit#gid=884617569"",""S2 Totals!$A$2:$O$255""),3,FALSE)"),0.8461538461538461)</f>
        <v>0.8461538462</v>
      </c>
      <c r="F182" s="15">
        <f t="shared" si="1"/>
        <v>0.1538461538</v>
      </c>
      <c r="G182" s="16">
        <f>IFERROR(__xludf.DUMMYFUNCTION("VLOOKUP(A182,IMPORTRANGE(""1QZ5UxyNCwadreQAXnQ7oCoH982DjIA-QnZdO7ZoqkC0/edit#gid=884617569"",""S2 Totals!$A$2:$O$255""),4,FALSE)"),10.0)</f>
        <v>10</v>
      </c>
      <c r="H182" s="15">
        <f>IFERROR(__xludf.DUMMYFUNCTION("VLOOKUP(A182,IMPORTRANGE(""1QZ5UxyNCwadreQAXnQ7oCoH982DjIA-QnZdO7ZoqkC0/edit#gid=884617569"",""S2 Totals!$A$2:$O$255""),5,FALSE)"),0.8333333333333334)</f>
        <v>0.8333333333</v>
      </c>
      <c r="I182" s="15">
        <f t="shared" si="2"/>
        <v>0.1666666667</v>
      </c>
      <c r="J182" s="16">
        <f>IFERROR(__xludf.DUMMYFUNCTION("VLOOKUP(A182,IMPORTRANGE(""1QZ5UxyNCwadreQAXnQ7oCoH982DjIA-QnZdO7ZoqkC0/edit#gid=884617569"",""S2 Totals!$A$2:$O$255""),7,FALSE)"),12.0)</f>
        <v>12</v>
      </c>
      <c r="K182" s="15">
        <f>IFERROR(__xludf.DUMMYFUNCTION("VLOOKUP(A182,IMPORTRANGE(""1QZ5UxyNCwadreQAXnQ7oCoH982DjIA-QnZdO7ZoqkC0/edit#gid=884617569"",""S2 Totals!$A$2:$O$255""),8,FALSE)"),1.0)</f>
        <v>1</v>
      </c>
      <c r="L182" s="110">
        <f t="shared" si="3"/>
        <v>0</v>
      </c>
      <c r="M182" s="16">
        <f>IFERROR(__xludf.DUMMYFUNCTION("VLOOKUP(A182,IMPORTRANGE(""1QZ5UxyNCwadreQAXnQ7oCoH982DjIA-QnZdO7ZoqkC0/edit#gid=884617569"",""S2 Totals!$A$2:$O$255""),10,FALSE)"),12.0)</f>
        <v>12</v>
      </c>
      <c r="N182" s="15">
        <f>IFERROR(__xludf.DUMMYFUNCTION("VLOOKUP(A182,IMPORTRANGE(""1QZ5UxyNCwadreQAXnQ7oCoH982DjIA-QnZdO7ZoqkC0/edit#gid=884617569"",""S2 Totals!$A$2:$O$255""),11,FALSE)"),0.9230769230769231)</f>
        <v>0.9230769231</v>
      </c>
      <c r="O182" s="110">
        <f t="shared" si="4"/>
        <v>0.07692307692</v>
      </c>
      <c r="P182" s="16">
        <f>IFERROR(__xludf.DUMMYFUNCTION("VLOOKUP(A182,IMPORTRANGE(""1QZ5UxyNCwadreQAXnQ7oCoH982DjIA-QnZdO7ZoqkC0/edit#gid=884617569"",""S2 Totals!$A$2:$O$255""),13,FALSE)"),9.0)</f>
        <v>9</v>
      </c>
      <c r="Q182" s="15">
        <f>IFERROR(__xludf.DUMMYFUNCTION("VLOOKUP(A182,IMPORTRANGE(""1QZ5UxyNCwadreQAXnQ7oCoH982DjIA-QnZdO7ZoqkC0/edit#gid=884617569"",""S2 Totals!$A$2:$O$255""),14,FALSE)"),0.75)</f>
        <v>0.75</v>
      </c>
      <c r="R182" s="129">
        <f t="shared" si="5"/>
        <v>0.25</v>
      </c>
    </row>
    <row r="183">
      <c r="A183" s="128" t="s">
        <v>248</v>
      </c>
      <c r="B183" s="16">
        <f>IFERROR(__xludf.DUMMYFUNCTION("VLOOKUP(A183,IMPORTRANGE(""1aFCnJY1qhIj8-JckJhDJ18aqmVo17tofpQmOjcYa3u8/edit#gid=1878241338"",""S2 Totals!$A$2:$O$255""),2,FALSE)"),1.0)</f>
        <v>1</v>
      </c>
      <c r="C183" s="15">
        <f>IFERROR(__xludf.DUMMYFUNCTION("VLOOKUP(A183,IMPORTRANGE(""1aFCnJY1qhIj8-JckJhDJ18aqmVo17tofpQmOjcYa3u8/edit#gid=1878241338"",""S2 Totals!$A$2:$O$255""),3,FALSE)"),0.09090909090909091)</f>
        <v>0.09090909091</v>
      </c>
      <c r="D183" s="16">
        <f>IFERROR(__xludf.DUMMYFUNCTION("VLOOKUP(A183,IMPORTRANGE(""1QZ5UxyNCwadreQAXnQ7oCoH982DjIA-QnZdO7ZoqkC0/edit#gid=884617569"",""S2 Totals!$A$2:$O$255""),2,FALSE)"),0.0)</f>
        <v>0</v>
      </c>
      <c r="E183" s="15">
        <f>IFERROR(__xludf.DUMMYFUNCTION("VLOOKUP(A183,IMPORTRANGE(""1QZ5UxyNCwadreQAXnQ7oCoH982DjIA-QnZdO7ZoqkC0/edit#gid=884617569"",""S2 Totals!$A$2:$O$255""),3,FALSE)"),0.0)</f>
        <v>0</v>
      </c>
      <c r="F183" s="15">
        <f t="shared" si="1"/>
        <v>0.09090909091</v>
      </c>
      <c r="G183" s="16">
        <f>IFERROR(__xludf.DUMMYFUNCTION("VLOOKUP(A183,IMPORTRANGE(""1QZ5UxyNCwadreQAXnQ7oCoH982DjIA-QnZdO7ZoqkC0/edit#gid=884617569"",""S2 Totals!$A$2:$O$255""),4,FALSE)"),0.0)</f>
        <v>0</v>
      </c>
      <c r="H183" s="15">
        <f>IFERROR(__xludf.DUMMYFUNCTION("VLOOKUP(A183,IMPORTRANGE(""1QZ5UxyNCwadreQAXnQ7oCoH982DjIA-QnZdO7ZoqkC0/edit#gid=884617569"",""S2 Totals!$A$2:$O$255""),5,FALSE)"),0.0)</f>
        <v>0</v>
      </c>
      <c r="I183" s="15">
        <f t="shared" si="2"/>
        <v>0.09090909091</v>
      </c>
      <c r="J183" s="16" t="str">
        <f>IFERROR(__xludf.DUMMYFUNCTION("VLOOKUP(A183,IMPORTRANGE(""1QZ5UxyNCwadreQAXnQ7oCoH982DjIA-QnZdO7ZoqkC0/edit#gid=884617569"",""S2 Totals!$A$2:$O$255""),7,FALSE)"),"")</f>
        <v/>
      </c>
      <c r="K183" s="15" t="str">
        <f>IFERROR(__xludf.DUMMYFUNCTION("VLOOKUP(A183,IMPORTRANGE(""1QZ5UxyNCwadreQAXnQ7oCoH982DjIA-QnZdO7ZoqkC0/edit#gid=884617569"",""S2 Totals!$A$2:$O$255""),8,FALSE)"),"")</f>
        <v/>
      </c>
      <c r="L183" s="110">
        <f t="shared" si="3"/>
        <v>0.09090909091</v>
      </c>
      <c r="M183" s="16" t="str">
        <f>IFERROR(__xludf.DUMMYFUNCTION("VLOOKUP(A183,IMPORTRANGE(""1QZ5UxyNCwadreQAXnQ7oCoH982DjIA-QnZdO7ZoqkC0/edit#gid=884617569"",""S2 Totals!$A$2:$O$255""),10,FALSE)"),"")</f>
        <v/>
      </c>
      <c r="N183" s="15" t="str">
        <f>IFERROR(__xludf.DUMMYFUNCTION("VLOOKUP(A183,IMPORTRANGE(""1QZ5UxyNCwadreQAXnQ7oCoH982DjIA-QnZdO7ZoqkC0/edit#gid=884617569"",""S2 Totals!$A$2:$O$255""),11,FALSE)"),"")</f>
        <v/>
      </c>
      <c r="O183" s="110">
        <f t="shared" si="4"/>
        <v>0.09090909091</v>
      </c>
      <c r="P183" s="16" t="str">
        <f>IFERROR(__xludf.DUMMYFUNCTION("VLOOKUP(A183,IMPORTRANGE(""1QZ5UxyNCwadreQAXnQ7oCoH982DjIA-QnZdO7ZoqkC0/edit#gid=884617569"",""S2 Totals!$A$2:$O$255""),13,FALSE)"),"")</f>
        <v/>
      </c>
      <c r="Q183" s="15" t="str">
        <f>IFERROR(__xludf.DUMMYFUNCTION("VLOOKUP(A183,IMPORTRANGE(""1QZ5UxyNCwadreQAXnQ7oCoH982DjIA-QnZdO7ZoqkC0/edit#gid=884617569"",""S2 Totals!$A$2:$O$255""),14,FALSE)"),"")</f>
        <v/>
      </c>
      <c r="R183" s="129">
        <f t="shared" si="5"/>
        <v>0.09090909091</v>
      </c>
    </row>
    <row r="184">
      <c r="A184" s="128" t="s">
        <v>87</v>
      </c>
      <c r="B184" s="16">
        <f>IFERROR(__xludf.DUMMYFUNCTION("VLOOKUP(A184,IMPORTRANGE(""1aFCnJY1qhIj8-JckJhDJ18aqmVo17tofpQmOjcYa3u8/edit#gid=1878241338"",""S2 Totals!$A$2:$O$255""),2,FALSE)"),6.0)</f>
        <v>6</v>
      </c>
      <c r="C184" s="15">
        <f>IFERROR(__xludf.DUMMYFUNCTION("VLOOKUP(A184,IMPORTRANGE(""1aFCnJY1qhIj8-JckJhDJ18aqmVo17tofpQmOjcYa3u8/edit#gid=1878241338"",""S2 Totals!$A$2:$O$255""),3,FALSE)"),0.5454545454545454)</f>
        <v>0.5454545455</v>
      </c>
      <c r="D184" s="16">
        <f>IFERROR(__xludf.DUMMYFUNCTION("VLOOKUP(A184,IMPORTRANGE(""1QZ5UxyNCwadreQAXnQ7oCoH982DjIA-QnZdO7ZoqkC0/edit#gid=884617569"",""S2 Totals!$A$2:$O$255""),2,FALSE)"),6.0)</f>
        <v>6</v>
      </c>
      <c r="E184" s="15">
        <f>IFERROR(__xludf.DUMMYFUNCTION("VLOOKUP(A184,IMPORTRANGE(""1QZ5UxyNCwadreQAXnQ7oCoH982DjIA-QnZdO7ZoqkC0/edit#gid=884617569"",""S2 Totals!$A$2:$O$255""),3,FALSE)"),0.46153846153846156)</f>
        <v>0.4615384615</v>
      </c>
      <c r="F184" s="15">
        <f t="shared" si="1"/>
        <v>0.08391608392</v>
      </c>
      <c r="G184" s="16">
        <f>IFERROR(__xludf.DUMMYFUNCTION("VLOOKUP(A184,IMPORTRANGE(""1QZ5UxyNCwadreQAXnQ7oCoH982DjIA-QnZdO7ZoqkC0/edit#gid=884617569"",""S2 Totals!$A$2:$O$255""),4,FALSE)"),6.0)</f>
        <v>6</v>
      </c>
      <c r="H184" s="15">
        <f>IFERROR(__xludf.DUMMYFUNCTION("VLOOKUP(A184,IMPORTRANGE(""1QZ5UxyNCwadreQAXnQ7oCoH982DjIA-QnZdO7ZoqkC0/edit#gid=884617569"",""S2 Totals!$A$2:$O$255""),5,FALSE)"),0.5)</f>
        <v>0.5</v>
      </c>
      <c r="I184" s="15">
        <f t="shared" si="2"/>
        <v>0.04545454545</v>
      </c>
      <c r="J184" s="16">
        <f>IFERROR(__xludf.DUMMYFUNCTION("VLOOKUP(A184,IMPORTRANGE(""1QZ5UxyNCwadreQAXnQ7oCoH982DjIA-QnZdO7ZoqkC0/edit#gid=884617569"",""S2 Totals!$A$2:$O$255""),7,FALSE)"),2.0)</f>
        <v>2</v>
      </c>
      <c r="K184" s="15">
        <f>IFERROR(__xludf.DUMMYFUNCTION("VLOOKUP(A184,IMPORTRANGE(""1QZ5UxyNCwadreQAXnQ7oCoH982DjIA-QnZdO7ZoqkC0/edit#gid=884617569"",""S2 Totals!$A$2:$O$255""),8,FALSE)"),0.16666666666666666)</f>
        <v>0.1666666667</v>
      </c>
      <c r="L184" s="110">
        <f t="shared" si="3"/>
        <v>0.3787878788</v>
      </c>
      <c r="M184" s="16">
        <f>IFERROR(__xludf.DUMMYFUNCTION("VLOOKUP(A184,IMPORTRANGE(""1QZ5UxyNCwadreQAXnQ7oCoH982DjIA-QnZdO7ZoqkC0/edit#gid=884617569"",""S2 Totals!$A$2:$O$255""),10,FALSE)"),4.0)</f>
        <v>4</v>
      </c>
      <c r="N184" s="15">
        <f>IFERROR(__xludf.DUMMYFUNCTION("VLOOKUP(A184,IMPORTRANGE(""1QZ5UxyNCwadreQAXnQ7oCoH982DjIA-QnZdO7ZoqkC0/edit#gid=884617569"",""S2 Totals!$A$2:$O$255""),11,FALSE)"),0.3076923076923077)</f>
        <v>0.3076923077</v>
      </c>
      <c r="O184" s="110">
        <f t="shared" si="4"/>
        <v>0.2377622378</v>
      </c>
      <c r="P184" s="16">
        <f>IFERROR(__xludf.DUMMYFUNCTION("VLOOKUP(A184,IMPORTRANGE(""1QZ5UxyNCwadreQAXnQ7oCoH982DjIA-QnZdO7ZoqkC0/edit#gid=884617569"",""S2 Totals!$A$2:$O$255""),13,FALSE)"),0.0)</f>
        <v>0</v>
      </c>
      <c r="Q184" s="15">
        <f>IFERROR(__xludf.DUMMYFUNCTION("VLOOKUP(A184,IMPORTRANGE(""1QZ5UxyNCwadreQAXnQ7oCoH982DjIA-QnZdO7ZoqkC0/edit#gid=884617569"",""S2 Totals!$A$2:$O$255""),14,FALSE)"),0.0)</f>
        <v>0</v>
      </c>
      <c r="R184" s="129">
        <f t="shared" si="5"/>
        <v>0.5454545455</v>
      </c>
    </row>
    <row r="185">
      <c r="A185" s="128" t="s">
        <v>62</v>
      </c>
      <c r="B185" s="16">
        <f>IFERROR(__xludf.DUMMYFUNCTION("VLOOKUP(A185,IMPORTRANGE(""1aFCnJY1qhIj8-JckJhDJ18aqmVo17tofpQmOjcYa3u8/edit#gid=1878241338"",""S2 Totals!$A$2:$O$255""),2,FALSE)"),8.0)</f>
        <v>8</v>
      </c>
      <c r="C185" s="15">
        <f>IFERROR(__xludf.DUMMYFUNCTION("VLOOKUP(A185,IMPORTRANGE(""1aFCnJY1qhIj8-JckJhDJ18aqmVo17tofpQmOjcYa3u8/edit#gid=1878241338"",""S2 Totals!$A$2:$O$255""),3,FALSE)"),0.7272727272727273)</f>
        <v>0.7272727273</v>
      </c>
      <c r="D185" s="16">
        <f>IFERROR(__xludf.DUMMYFUNCTION("VLOOKUP(A185,IMPORTRANGE(""1QZ5UxyNCwadreQAXnQ7oCoH982DjIA-QnZdO7ZoqkC0/edit#gid=884617569"",""S2 Totals!$A$2:$O$255""),2,FALSE)"),8.0)</f>
        <v>8</v>
      </c>
      <c r="E185" s="15">
        <f>IFERROR(__xludf.DUMMYFUNCTION("VLOOKUP(A185,IMPORTRANGE(""1QZ5UxyNCwadreQAXnQ7oCoH982DjIA-QnZdO7ZoqkC0/edit#gid=884617569"",""S2 Totals!$A$2:$O$255""),3,FALSE)"),0.6153846153846154)</f>
        <v>0.6153846154</v>
      </c>
      <c r="F185" s="15">
        <f t="shared" si="1"/>
        <v>0.1118881119</v>
      </c>
      <c r="G185" s="16">
        <f>IFERROR(__xludf.DUMMYFUNCTION("VLOOKUP(A185,IMPORTRANGE(""1QZ5UxyNCwadreQAXnQ7oCoH982DjIA-QnZdO7ZoqkC0/edit#gid=884617569"",""S2 Totals!$A$2:$O$255""),4,FALSE)"),12.0)</f>
        <v>12</v>
      </c>
      <c r="H185" s="15">
        <f>IFERROR(__xludf.DUMMYFUNCTION("VLOOKUP(A185,IMPORTRANGE(""1QZ5UxyNCwadreQAXnQ7oCoH982DjIA-QnZdO7ZoqkC0/edit#gid=884617569"",""S2 Totals!$A$2:$O$255""),5,FALSE)"),1.0)</f>
        <v>1</v>
      </c>
      <c r="I185" s="15">
        <f t="shared" si="2"/>
        <v>-0.2727272727</v>
      </c>
      <c r="J185" s="16">
        <f>IFERROR(__xludf.DUMMYFUNCTION("VLOOKUP(A185,IMPORTRANGE(""1QZ5UxyNCwadreQAXnQ7oCoH982DjIA-QnZdO7ZoqkC0/edit#gid=884617569"",""S2 Totals!$A$2:$O$255""),7,FALSE)"),8.0)</f>
        <v>8</v>
      </c>
      <c r="K185" s="15">
        <f>IFERROR(__xludf.DUMMYFUNCTION("VLOOKUP(A185,IMPORTRANGE(""1QZ5UxyNCwadreQAXnQ7oCoH982DjIA-QnZdO7ZoqkC0/edit#gid=884617569"",""S2 Totals!$A$2:$O$255""),8,FALSE)"),0.6666666666666666)</f>
        <v>0.6666666667</v>
      </c>
      <c r="L185" s="110">
        <f t="shared" si="3"/>
        <v>0.06060606061</v>
      </c>
      <c r="M185" s="16">
        <f>IFERROR(__xludf.DUMMYFUNCTION("VLOOKUP(A185,IMPORTRANGE(""1QZ5UxyNCwadreQAXnQ7oCoH982DjIA-QnZdO7ZoqkC0/edit#gid=884617569"",""S2 Totals!$A$2:$O$255""),10,FALSE)"),11.0)</f>
        <v>11</v>
      </c>
      <c r="N185" s="15">
        <f>IFERROR(__xludf.DUMMYFUNCTION("VLOOKUP(A185,IMPORTRANGE(""1QZ5UxyNCwadreQAXnQ7oCoH982DjIA-QnZdO7ZoqkC0/edit#gid=884617569"",""S2 Totals!$A$2:$O$255""),11,FALSE)"),0.8461538461538461)</f>
        <v>0.8461538462</v>
      </c>
      <c r="O185" s="110">
        <f t="shared" si="4"/>
        <v>-0.1188811189</v>
      </c>
      <c r="P185" s="16">
        <f>IFERROR(__xludf.DUMMYFUNCTION("VLOOKUP(A185,IMPORTRANGE(""1QZ5UxyNCwadreQAXnQ7oCoH982DjIA-QnZdO7ZoqkC0/edit#gid=884617569"",""S2 Totals!$A$2:$O$255""),13,FALSE)"),11.0)</f>
        <v>11</v>
      </c>
      <c r="Q185" s="15">
        <f>IFERROR(__xludf.DUMMYFUNCTION("VLOOKUP(A185,IMPORTRANGE(""1QZ5UxyNCwadreQAXnQ7oCoH982DjIA-QnZdO7ZoqkC0/edit#gid=884617569"",""S2 Totals!$A$2:$O$255""),14,FALSE)"),0.9166666666666666)</f>
        <v>0.9166666667</v>
      </c>
      <c r="R185" s="129">
        <f t="shared" si="5"/>
        <v>-0.1893939394</v>
      </c>
    </row>
    <row r="186">
      <c r="A186" s="128" t="s">
        <v>249</v>
      </c>
      <c r="B186" s="16">
        <f>IFERROR(__xludf.DUMMYFUNCTION("VLOOKUP(A186,IMPORTRANGE(""1aFCnJY1qhIj8-JckJhDJ18aqmVo17tofpQmOjcYa3u8/edit#gid=1878241338"",""S2 Totals!$A$2:$O$255""),2,FALSE)"),2.0)</f>
        <v>2</v>
      </c>
      <c r="C186" s="15">
        <f>IFERROR(__xludf.DUMMYFUNCTION("VLOOKUP(A186,IMPORTRANGE(""1aFCnJY1qhIj8-JckJhDJ18aqmVo17tofpQmOjcYa3u8/edit#gid=1878241338"",""S2 Totals!$A$2:$O$255""),3,FALSE)"),0.18181818181818182)</f>
        <v>0.1818181818</v>
      </c>
      <c r="D186" s="16">
        <f>IFERROR(__xludf.DUMMYFUNCTION("VLOOKUP(A186,IMPORTRANGE(""1QZ5UxyNCwadreQAXnQ7oCoH982DjIA-QnZdO7ZoqkC0/edit#gid=884617569"",""S2 Totals!$A$2:$O$255""),2,FALSE)"),3.0)</f>
        <v>3</v>
      </c>
      <c r="E186" s="15">
        <f>IFERROR(__xludf.DUMMYFUNCTION("VLOOKUP(A186,IMPORTRANGE(""1QZ5UxyNCwadreQAXnQ7oCoH982DjIA-QnZdO7ZoqkC0/edit#gid=884617569"",""S2 Totals!$A$2:$O$255""),3,FALSE)"),0.23076923076923078)</f>
        <v>0.2307692308</v>
      </c>
      <c r="F186" s="15">
        <f t="shared" si="1"/>
        <v>-0.04895104895</v>
      </c>
      <c r="G186" s="16">
        <f>IFERROR(__xludf.DUMMYFUNCTION("VLOOKUP(A186,IMPORTRANGE(""1QZ5UxyNCwadreQAXnQ7oCoH982DjIA-QnZdO7ZoqkC0/edit#gid=884617569"",""S2 Totals!$A$2:$O$255""),4,FALSE)"),3.0)</f>
        <v>3</v>
      </c>
      <c r="H186" s="15">
        <f>IFERROR(__xludf.DUMMYFUNCTION("VLOOKUP(A186,IMPORTRANGE(""1QZ5UxyNCwadreQAXnQ7oCoH982DjIA-QnZdO7ZoqkC0/edit#gid=884617569"",""S2 Totals!$A$2:$O$255""),5,FALSE)"),0.25)</f>
        <v>0.25</v>
      </c>
      <c r="I186" s="15">
        <f t="shared" si="2"/>
        <v>-0.06818181818</v>
      </c>
      <c r="J186" s="16" t="str">
        <f>IFERROR(__xludf.DUMMYFUNCTION("VLOOKUP(A186,IMPORTRANGE(""1QZ5UxyNCwadreQAXnQ7oCoH982DjIA-QnZdO7ZoqkC0/edit#gid=884617569"",""S2 Totals!$A$2:$O$255""),7,FALSE)"),"")</f>
        <v/>
      </c>
      <c r="K186" s="15" t="str">
        <f>IFERROR(__xludf.DUMMYFUNCTION("VLOOKUP(A186,IMPORTRANGE(""1QZ5UxyNCwadreQAXnQ7oCoH982DjIA-QnZdO7ZoqkC0/edit#gid=884617569"",""S2 Totals!$A$2:$O$255""),8,FALSE)"),"")</f>
        <v/>
      </c>
      <c r="L186" s="110">
        <f t="shared" si="3"/>
        <v>0.1818181818</v>
      </c>
      <c r="M186" s="16" t="str">
        <f>IFERROR(__xludf.DUMMYFUNCTION("VLOOKUP(A186,IMPORTRANGE(""1QZ5UxyNCwadreQAXnQ7oCoH982DjIA-QnZdO7ZoqkC0/edit#gid=884617569"",""S2 Totals!$A$2:$O$255""),10,FALSE)"),"")</f>
        <v/>
      </c>
      <c r="N186" s="15" t="str">
        <f>IFERROR(__xludf.DUMMYFUNCTION("VLOOKUP(A186,IMPORTRANGE(""1QZ5UxyNCwadreQAXnQ7oCoH982DjIA-QnZdO7ZoqkC0/edit#gid=884617569"",""S2 Totals!$A$2:$O$255""),11,FALSE)"),"")</f>
        <v/>
      </c>
      <c r="O186" s="110">
        <f t="shared" si="4"/>
        <v>0.1818181818</v>
      </c>
      <c r="P186" s="16" t="str">
        <f>IFERROR(__xludf.DUMMYFUNCTION("VLOOKUP(A186,IMPORTRANGE(""1QZ5UxyNCwadreQAXnQ7oCoH982DjIA-QnZdO7ZoqkC0/edit#gid=884617569"",""S2 Totals!$A$2:$O$255""),13,FALSE)"),"")</f>
        <v/>
      </c>
      <c r="Q186" s="15" t="str">
        <f>IFERROR(__xludf.DUMMYFUNCTION("VLOOKUP(A186,IMPORTRANGE(""1QZ5UxyNCwadreQAXnQ7oCoH982DjIA-QnZdO7ZoqkC0/edit#gid=884617569"",""S2 Totals!$A$2:$O$255""),14,FALSE)"),"")</f>
        <v/>
      </c>
      <c r="R186" s="129">
        <f t="shared" si="5"/>
        <v>0.1818181818</v>
      </c>
    </row>
    <row r="187">
      <c r="A187" s="128" t="s">
        <v>250</v>
      </c>
      <c r="B187" s="16">
        <f>IFERROR(__xludf.DUMMYFUNCTION("VLOOKUP(A187,IMPORTRANGE(""1aFCnJY1qhIj8-JckJhDJ18aqmVo17tofpQmOjcYa3u8/edit#gid=1878241338"",""S2 Totals!$A$2:$O$255""),2,FALSE)"),3.0)</f>
        <v>3</v>
      </c>
      <c r="C187" s="15">
        <f>IFERROR(__xludf.DUMMYFUNCTION("VLOOKUP(A187,IMPORTRANGE(""1aFCnJY1qhIj8-JckJhDJ18aqmVo17tofpQmOjcYa3u8/edit#gid=1878241338"",""S2 Totals!$A$2:$O$255""),3,FALSE)"),0.2727272727272727)</f>
        <v>0.2727272727</v>
      </c>
      <c r="D187" s="16">
        <f>IFERROR(__xludf.DUMMYFUNCTION("VLOOKUP(A187,IMPORTRANGE(""1QZ5UxyNCwadreQAXnQ7oCoH982DjIA-QnZdO7ZoqkC0/edit#gid=884617569"",""S2 Totals!$A$2:$O$255""),2,FALSE)"),2.0)</f>
        <v>2</v>
      </c>
      <c r="E187" s="15">
        <f>IFERROR(__xludf.DUMMYFUNCTION("VLOOKUP(A187,IMPORTRANGE(""1QZ5UxyNCwadreQAXnQ7oCoH982DjIA-QnZdO7ZoqkC0/edit#gid=884617569"",""S2 Totals!$A$2:$O$255""),3,FALSE)"),0.15384615384615385)</f>
        <v>0.1538461538</v>
      </c>
      <c r="F187" s="15">
        <f t="shared" si="1"/>
        <v>0.1188811189</v>
      </c>
      <c r="G187" s="16">
        <f>IFERROR(__xludf.DUMMYFUNCTION("VLOOKUP(A187,IMPORTRANGE(""1QZ5UxyNCwadreQAXnQ7oCoH982DjIA-QnZdO7ZoqkC0/edit#gid=884617569"",""S2 Totals!$A$2:$O$255""),4,FALSE)"),4.0)</f>
        <v>4</v>
      </c>
      <c r="H187" s="15">
        <f>IFERROR(__xludf.DUMMYFUNCTION("VLOOKUP(A187,IMPORTRANGE(""1QZ5UxyNCwadreQAXnQ7oCoH982DjIA-QnZdO7ZoqkC0/edit#gid=884617569"",""S2 Totals!$A$2:$O$255""),5,FALSE)"),0.3333333333333333)</f>
        <v>0.3333333333</v>
      </c>
      <c r="I187" s="15">
        <f t="shared" si="2"/>
        <v>-0.06060606061</v>
      </c>
      <c r="J187" s="16" t="str">
        <f>IFERROR(__xludf.DUMMYFUNCTION("VLOOKUP(A187,IMPORTRANGE(""1QZ5UxyNCwadreQAXnQ7oCoH982DjIA-QnZdO7ZoqkC0/edit#gid=884617569"",""S2 Totals!$A$2:$O$255""),7,FALSE)"),"")</f>
        <v/>
      </c>
      <c r="K187" s="15" t="str">
        <f>IFERROR(__xludf.DUMMYFUNCTION("VLOOKUP(A187,IMPORTRANGE(""1QZ5UxyNCwadreQAXnQ7oCoH982DjIA-QnZdO7ZoqkC0/edit#gid=884617569"",""S2 Totals!$A$2:$O$255""),8,FALSE)"),"")</f>
        <v/>
      </c>
      <c r="L187" s="110">
        <f t="shared" si="3"/>
        <v>0.2727272727</v>
      </c>
      <c r="M187" s="16" t="str">
        <f>IFERROR(__xludf.DUMMYFUNCTION("VLOOKUP(A187,IMPORTRANGE(""1QZ5UxyNCwadreQAXnQ7oCoH982DjIA-QnZdO7ZoqkC0/edit#gid=884617569"",""S2 Totals!$A$2:$O$255""),10,FALSE)"),"")</f>
        <v/>
      </c>
      <c r="N187" s="15" t="str">
        <f>IFERROR(__xludf.DUMMYFUNCTION("VLOOKUP(A187,IMPORTRANGE(""1QZ5UxyNCwadreQAXnQ7oCoH982DjIA-QnZdO7ZoqkC0/edit#gid=884617569"",""S2 Totals!$A$2:$O$255""),11,FALSE)"),"")</f>
        <v/>
      </c>
      <c r="O187" s="110">
        <f t="shared" si="4"/>
        <v>0.2727272727</v>
      </c>
      <c r="P187" s="16" t="str">
        <f>IFERROR(__xludf.DUMMYFUNCTION("VLOOKUP(A187,IMPORTRANGE(""1QZ5UxyNCwadreQAXnQ7oCoH982DjIA-QnZdO7ZoqkC0/edit#gid=884617569"",""S2 Totals!$A$2:$O$255""),13,FALSE)"),"")</f>
        <v/>
      </c>
      <c r="Q187" s="15" t="str">
        <f>IFERROR(__xludf.DUMMYFUNCTION("VLOOKUP(A187,IMPORTRANGE(""1QZ5UxyNCwadreQAXnQ7oCoH982DjIA-QnZdO7ZoqkC0/edit#gid=884617569"",""S2 Totals!$A$2:$O$255""),14,FALSE)"),"")</f>
        <v/>
      </c>
      <c r="R187" s="129">
        <f t="shared" si="5"/>
        <v>0.2727272727</v>
      </c>
    </row>
    <row r="188">
      <c r="A188" s="128" t="s">
        <v>251</v>
      </c>
      <c r="B188" s="16">
        <f>IFERROR(__xludf.DUMMYFUNCTION("VLOOKUP(A188,IMPORTRANGE(""1aFCnJY1qhIj8-JckJhDJ18aqmVo17tofpQmOjcYa3u8/edit#gid=1878241338"",""S2 Totals!$A$2:$O$255""),2,FALSE)"),4.0)</f>
        <v>4</v>
      </c>
      <c r="C188" s="15">
        <f>IFERROR(__xludf.DUMMYFUNCTION("VLOOKUP(A188,IMPORTRANGE(""1aFCnJY1qhIj8-JckJhDJ18aqmVo17tofpQmOjcYa3u8/edit#gid=1878241338"",""S2 Totals!$A$2:$O$255""),3,FALSE)"),0.36363636363636365)</f>
        <v>0.3636363636</v>
      </c>
      <c r="D188" s="16">
        <f>IFERROR(__xludf.DUMMYFUNCTION("VLOOKUP(A188,IMPORTRANGE(""1QZ5UxyNCwadreQAXnQ7oCoH982DjIA-QnZdO7ZoqkC0/edit#gid=884617569"",""S2 Totals!$A$2:$O$255""),2,FALSE)"),3.0)</f>
        <v>3</v>
      </c>
      <c r="E188" s="15">
        <f>IFERROR(__xludf.DUMMYFUNCTION("VLOOKUP(A188,IMPORTRANGE(""1QZ5UxyNCwadreQAXnQ7oCoH982DjIA-QnZdO7ZoqkC0/edit#gid=884617569"",""S2 Totals!$A$2:$O$255""),3,FALSE)"),0.23076923076923078)</f>
        <v>0.2307692308</v>
      </c>
      <c r="F188" s="15">
        <f t="shared" si="1"/>
        <v>0.1328671329</v>
      </c>
      <c r="G188" s="16">
        <f>IFERROR(__xludf.DUMMYFUNCTION("VLOOKUP(A188,IMPORTRANGE(""1QZ5UxyNCwadreQAXnQ7oCoH982DjIA-QnZdO7ZoqkC0/edit#gid=884617569"",""S2 Totals!$A$2:$O$255""),4,FALSE)"),5.0)</f>
        <v>5</v>
      </c>
      <c r="H188" s="15">
        <f>IFERROR(__xludf.DUMMYFUNCTION("VLOOKUP(A188,IMPORTRANGE(""1QZ5UxyNCwadreQAXnQ7oCoH982DjIA-QnZdO7ZoqkC0/edit#gid=884617569"",""S2 Totals!$A$2:$O$255""),5,FALSE)"),0.4166666666666667)</f>
        <v>0.4166666667</v>
      </c>
      <c r="I188" s="15">
        <f t="shared" si="2"/>
        <v>-0.05303030303</v>
      </c>
      <c r="J188" s="16" t="str">
        <f>IFERROR(__xludf.DUMMYFUNCTION("VLOOKUP(A188,IMPORTRANGE(""1QZ5UxyNCwadreQAXnQ7oCoH982DjIA-QnZdO7ZoqkC0/edit#gid=884617569"",""S2 Totals!$A$2:$O$255""),7,FALSE)"),"")</f>
        <v/>
      </c>
      <c r="K188" s="15" t="str">
        <f>IFERROR(__xludf.DUMMYFUNCTION("VLOOKUP(A188,IMPORTRANGE(""1QZ5UxyNCwadreQAXnQ7oCoH982DjIA-QnZdO7ZoqkC0/edit#gid=884617569"",""S2 Totals!$A$2:$O$255""),8,FALSE)"),"")</f>
        <v/>
      </c>
      <c r="L188" s="110">
        <f t="shared" si="3"/>
        <v>0.3636363636</v>
      </c>
      <c r="M188" s="16" t="str">
        <f>IFERROR(__xludf.DUMMYFUNCTION("VLOOKUP(A188,IMPORTRANGE(""1QZ5UxyNCwadreQAXnQ7oCoH982DjIA-QnZdO7ZoqkC0/edit#gid=884617569"",""S2 Totals!$A$2:$O$255""),10,FALSE)"),"")</f>
        <v/>
      </c>
      <c r="N188" s="15" t="str">
        <f>IFERROR(__xludf.DUMMYFUNCTION("VLOOKUP(A188,IMPORTRANGE(""1QZ5UxyNCwadreQAXnQ7oCoH982DjIA-QnZdO7ZoqkC0/edit#gid=884617569"",""S2 Totals!$A$2:$O$255""),11,FALSE)"),"")</f>
        <v/>
      </c>
      <c r="O188" s="110">
        <f t="shared" si="4"/>
        <v>0.3636363636</v>
      </c>
      <c r="P188" s="16" t="str">
        <f>IFERROR(__xludf.DUMMYFUNCTION("VLOOKUP(A188,IMPORTRANGE(""1QZ5UxyNCwadreQAXnQ7oCoH982DjIA-QnZdO7ZoqkC0/edit#gid=884617569"",""S2 Totals!$A$2:$O$255""),13,FALSE)"),"")</f>
        <v/>
      </c>
      <c r="Q188" s="15" t="str">
        <f>IFERROR(__xludf.DUMMYFUNCTION("VLOOKUP(A188,IMPORTRANGE(""1QZ5UxyNCwadreQAXnQ7oCoH982DjIA-QnZdO7ZoqkC0/edit#gid=884617569"",""S2 Totals!$A$2:$O$255""),14,FALSE)"),"")</f>
        <v/>
      </c>
      <c r="R188" s="129">
        <f t="shared" si="5"/>
        <v>0.3636363636</v>
      </c>
    </row>
    <row r="189">
      <c r="A189" s="128" t="s">
        <v>193</v>
      </c>
      <c r="B189" s="16">
        <f>IFERROR(__xludf.DUMMYFUNCTION("VLOOKUP(A189,IMPORTRANGE(""1aFCnJY1qhIj8-JckJhDJ18aqmVo17tofpQmOjcYa3u8/edit#gid=1878241338"",""S2 Totals!$A$2:$O$255""),2,FALSE)"),3.0)</f>
        <v>3</v>
      </c>
      <c r="C189" s="15">
        <f>IFERROR(__xludf.DUMMYFUNCTION("VLOOKUP(A189,IMPORTRANGE(""1aFCnJY1qhIj8-JckJhDJ18aqmVo17tofpQmOjcYa3u8/edit#gid=1878241338"",""S2 Totals!$A$2:$O$255""),3,FALSE)"),0.2727272727272727)</f>
        <v>0.2727272727</v>
      </c>
      <c r="D189" s="16">
        <f>IFERROR(__xludf.DUMMYFUNCTION("VLOOKUP(A189,IMPORTRANGE(""1QZ5UxyNCwadreQAXnQ7oCoH982DjIA-QnZdO7ZoqkC0/edit#gid=884617569"",""S2 Totals!$A$2:$O$255""),2,FALSE)"),4.0)</f>
        <v>4</v>
      </c>
      <c r="E189" s="15">
        <f>IFERROR(__xludf.DUMMYFUNCTION("VLOOKUP(A189,IMPORTRANGE(""1QZ5UxyNCwadreQAXnQ7oCoH982DjIA-QnZdO7ZoqkC0/edit#gid=884617569"",""S2 Totals!$A$2:$O$255""),3,FALSE)"),0.3076923076923077)</f>
        <v>0.3076923077</v>
      </c>
      <c r="F189" s="15">
        <f t="shared" si="1"/>
        <v>-0.03496503497</v>
      </c>
      <c r="G189" s="16">
        <f>IFERROR(__xludf.DUMMYFUNCTION("VLOOKUP(A189,IMPORTRANGE(""1QZ5UxyNCwadreQAXnQ7oCoH982DjIA-QnZdO7ZoqkC0/edit#gid=884617569"",""S2 Totals!$A$2:$O$255""),4,FALSE)"),0.0)</f>
        <v>0</v>
      </c>
      <c r="H189" s="15">
        <f>IFERROR(__xludf.DUMMYFUNCTION("VLOOKUP(A189,IMPORTRANGE(""1QZ5UxyNCwadreQAXnQ7oCoH982DjIA-QnZdO7ZoqkC0/edit#gid=884617569"",""S2 Totals!$A$2:$O$255""),5,FALSE)"),0.0)</f>
        <v>0</v>
      </c>
      <c r="I189" s="15">
        <f t="shared" si="2"/>
        <v>0.2727272727</v>
      </c>
      <c r="J189" s="16">
        <f>IFERROR(__xludf.DUMMYFUNCTION("VLOOKUP(A189,IMPORTRANGE(""1QZ5UxyNCwadreQAXnQ7oCoH982DjIA-QnZdO7ZoqkC0/edit#gid=884617569"",""S2 Totals!$A$2:$O$255""),7,FALSE)"),2.0)</f>
        <v>2</v>
      </c>
      <c r="K189" s="15">
        <f>IFERROR(__xludf.DUMMYFUNCTION("VLOOKUP(A189,IMPORTRANGE(""1QZ5UxyNCwadreQAXnQ7oCoH982DjIA-QnZdO7ZoqkC0/edit#gid=884617569"",""S2 Totals!$A$2:$O$255""),8,FALSE)"),0.16666666666666666)</f>
        <v>0.1666666667</v>
      </c>
      <c r="L189" s="110">
        <f t="shared" si="3"/>
        <v>0.1060606061</v>
      </c>
      <c r="M189" s="16" t="str">
        <f>IFERROR(__xludf.DUMMYFUNCTION("VLOOKUP(A189,IMPORTRANGE(""1QZ5UxyNCwadreQAXnQ7oCoH982DjIA-QnZdO7ZoqkC0/edit#gid=884617569"",""S2 Totals!$A$2:$O$255""),10,FALSE)"),"")</f>
        <v/>
      </c>
      <c r="N189" s="15" t="str">
        <f>IFERROR(__xludf.DUMMYFUNCTION("VLOOKUP(A189,IMPORTRANGE(""1QZ5UxyNCwadreQAXnQ7oCoH982DjIA-QnZdO7ZoqkC0/edit#gid=884617569"",""S2 Totals!$A$2:$O$255""),11,FALSE)"),"")</f>
        <v/>
      </c>
      <c r="O189" s="110">
        <f t="shared" si="4"/>
        <v>0.2727272727</v>
      </c>
      <c r="P189" s="16" t="str">
        <f>IFERROR(__xludf.DUMMYFUNCTION("VLOOKUP(A189,IMPORTRANGE(""1QZ5UxyNCwadreQAXnQ7oCoH982DjIA-QnZdO7ZoqkC0/edit#gid=884617569"",""S2 Totals!$A$2:$O$255""),13,FALSE)"),"")</f>
        <v/>
      </c>
      <c r="Q189" s="15" t="str">
        <f>IFERROR(__xludf.DUMMYFUNCTION("VLOOKUP(A189,IMPORTRANGE(""1QZ5UxyNCwadreQAXnQ7oCoH982DjIA-QnZdO7ZoqkC0/edit#gid=884617569"",""S2 Totals!$A$2:$O$255""),14,FALSE)"),"")</f>
        <v/>
      </c>
      <c r="R189" s="129">
        <f t="shared" si="5"/>
        <v>0.2727272727</v>
      </c>
    </row>
    <row r="190">
      <c r="A190" s="128" t="s">
        <v>194</v>
      </c>
      <c r="B190" s="16">
        <f>IFERROR(__xludf.DUMMYFUNCTION("VLOOKUP(A190,IMPORTRANGE(""1aFCnJY1qhIj8-JckJhDJ18aqmVo17tofpQmOjcYa3u8/edit#gid=1878241338"",""S2 Totals!$A$2:$O$255""),2,FALSE)"),5.0)</f>
        <v>5</v>
      </c>
      <c r="C190" s="15">
        <f>IFERROR(__xludf.DUMMYFUNCTION("VLOOKUP(A190,IMPORTRANGE(""1aFCnJY1qhIj8-JckJhDJ18aqmVo17tofpQmOjcYa3u8/edit#gid=1878241338"",""S2 Totals!$A$2:$O$255""),3,FALSE)"),0.45454545454545453)</f>
        <v>0.4545454545</v>
      </c>
      <c r="D190" s="16">
        <f>IFERROR(__xludf.DUMMYFUNCTION("VLOOKUP(A190,IMPORTRANGE(""1QZ5UxyNCwadreQAXnQ7oCoH982DjIA-QnZdO7ZoqkC0/edit#gid=884617569"",""S2 Totals!$A$2:$O$255""),2,FALSE)"),5.0)</f>
        <v>5</v>
      </c>
      <c r="E190" s="15">
        <f>IFERROR(__xludf.DUMMYFUNCTION("VLOOKUP(A190,IMPORTRANGE(""1QZ5UxyNCwadreQAXnQ7oCoH982DjIA-QnZdO7ZoqkC0/edit#gid=884617569"",""S2 Totals!$A$2:$O$255""),3,FALSE)"),0.38461538461538464)</f>
        <v>0.3846153846</v>
      </c>
      <c r="F190" s="15">
        <f t="shared" si="1"/>
        <v>0.06993006993</v>
      </c>
      <c r="G190" s="16">
        <f>IFERROR(__xludf.DUMMYFUNCTION("VLOOKUP(A190,IMPORTRANGE(""1QZ5UxyNCwadreQAXnQ7oCoH982DjIA-QnZdO7ZoqkC0/edit#gid=884617569"",""S2 Totals!$A$2:$O$255""),4,FALSE)"),2.0)</f>
        <v>2</v>
      </c>
      <c r="H190" s="15">
        <f>IFERROR(__xludf.DUMMYFUNCTION("VLOOKUP(A190,IMPORTRANGE(""1QZ5UxyNCwadreQAXnQ7oCoH982DjIA-QnZdO7ZoqkC0/edit#gid=884617569"",""S2 Totals!$A$2:$O$255""),5,FALSE)"),0.16666666666666666)</f>
        <v>0.1666666667</v>
      </c>
      <c r="I190" s="15">
        <f t="shared" si="2"/>
        <v>0.2878787879</v>
      </c>
      <c r="J190" s="16">
        <f>IFERROR(__xludf.DUMMYFUNCTION("VLOOKUP(A190,IMPORTRANGE(""1QZ5UxyNCwadreQAXnQ7oCoH982DjIA-QnZdO7ZoqkC0/edit#gid=884617569"",""S2 Totals!$A$2:$O$255""),7,FALSE)"),2.0)</f>
        <v>2</v>
      </c>
      <c r="K190" s="15">
        <f>IFERROR(__xludf.DUMMYFUNCTION("VLOOKUP(A190,IMPORTRANGE(""1QZ5UxyNCwadreQAXnQ7oCoH982DjIA-QnZdO7ZoqkC0/edit#gid=884617569"",""S2 Totals!$A$2:$O$255""),8,FALSE)"),0.16666666666666666)</f>
        <v>0.1666666667</v>
      </c>
      <c r="L190" s="110">
        <f t="shared" si="3"/>
        <v>0.2878787879</v>
      </c>
      <c r="M190" s="16" t="str">
        <f>IFERROR(__xludf.DUMMYFUNCTION("VLOOKUP(A190,IMPORTRANGE(""1QZ5UxyNCwadreQAXnQ7oCoH982DjIA-QnZdO7ZoqkC0/edit#gid=884617569"",""S2 Totals!$A$2:$O$255""),10,FALSE)"),"")</f>
        <v/>
      </c>
      <c r="N190" s="15" t="str">
        <f>IFERROR(__xludf.DUMMYFUNCTION("VLOOKUP(A190,IMPORTRANGE(""1QZ5UxyNCwadreQAXnQ7oCoH982DjIA-QnZdO7ZoqkC0/edit#gid=884617569"",""S2 Totals!$A$2:$O$255""),11,FALSE)"),"")</f>
        <v/>
      </c>
      <c r="O190" s="110">
        <f t="shared" si="4"/>
        <v>0.4545454545</v>
      </c>
      <c r="P190" s="16" t="str">
        <f>IFERROR(__xludf.DUMMYFUNCTION("VLOOKUP(A190,IMPORTRANGE(""1QZ5UxyNCwadreQAXnQ7oCoH982DjIA-QnZdO7ZoqkC0/edit#gid=884617569"",""S2 Totals!$A$2:$O$255""),13,FALSE)"),"")</f>
        <v/>
      </c>
      <c r="Q190" s="15" t="str">
        <f>IFERROR(__xludf.DUMMYFUNCTION("VLOOKUP(A190,IMPORTRANGE(""1QZ5UxyNCwadreQAXnQ7oCoH982DjIA-QnZdO7ZoqkC0/edit#gid=884617569"",""S2 Totals!$A$2:$O$255""),14,FALSE)"),"")</f>
        <v/>
      </c>
      <c r="R190" s="129">
        <f t="shared" si="5"/>
        <v>0.4545454545</v>
      </c>
    </row>
    <row r="191">
      <c r="A191" s="134" t="s">
        <v>277</v>
      </c>
      <c r="B191" s="16">
        <f>IFERROR(__xludf.DUMMYFUNCTION("VLOOKUP(A191,IMPORTRANGE(""1aFCnJY1qhIj8-JckJhDJ18aqmVo17tofpQmOjcYa3u8/edit#gid=1878241338"",""S2 Totals!$A$2:$O$255""),2,FALSE)"),1.0)</f>
        <v>1</v>
      </c>
      <c r="C191" s="15">
        <f>IFERROR(__xludf.DUMMYFUNCTION("VLOOKUP(A191,IMPORTRANGE(""1aFCnJY1qhIj8-JckJhDJ18aqmVo17tofpQmOjcYa3u8/edit#gid=1878241338"",""S2 Totals!$A$2:$O$255""),3,FALSE)"),0.09090909090909091)</f>
        <v>0.09090909091</v>
      </c>
      <c r="D191" s="16" t="str">
        <f>IFERROR(__xludf.DUMMYFUNCTION("VLOOKUP(A191,IMPORTRANGE(""1QZ5UxyNCwadreQAXnQ7oCoH982DjIA-QnZdO7ZoqkC0/edit#gid=884617569"",""S2 Totals!$A$2:$O$255""),2,FALSE)"),"#N/A")</f>
        <v>#N/A</v>
      </c>
      <c r="E191" s="15" t="str">
        <f>IFERROR(__xludf.DUMMYFUNCTION("VLOOKUP(A191,IMPORTRANGE(""1QZ5UxyNCwadreQAXnQ7oCoH982DjIA-QnZdO7ZoqkC0/edit#gid=884617569"",""S2 Totals!$A$2:$O$255""),3,FALSE)"),"#N/A")</f>
        <v>#N/A</v>
      </c>
      <c r="F191" s="16" t="str">
        <f t="shared" si="1"/>
        <v>#N/A</v>
      </c>
      <c r="G191" s="16" t="str">
        <f>IFERROR(__xludf.DUMMYFUNCTION("VLOOKUP(A191,IMPORTRANGE(""1QZ5UxyNCwadreQAXnQ7oCoH982DjIA-QnZdO7ZoqkC0/edit#gid=884617569"",""S2 Totals!$A$2:$O$255""),4,FALSE)"),"#N/A")</f>
        <v>#N/A</v>
      </c>
      <c r="H191" s="15" t="str">
        <f>IFERROR(__xludf.DUMMYFUNCTION("VLOOKUP(A191,IMPORTRANGE(""1QZ5UxyNCwadreQAXnQ7oCoH982DjIA-QnZdO7ZoqkC0/edit#gid=884617569"",""S2 Totals!$A$2:$O$255""),5,FALSE)"),"#N/A")</f>
        <v>#N/A</v>
      </c>
      <c r="I191" s="16" t="str">
        <f t="shared" si="2"/>
        <v>#N/A</v>
      </c>
      <c r="J191" s="16" t="str">
        <f>IFERROR(__xludf.DUMMYFUNCTION("VLOOKUP(A191,IMPORTRANGE(""1QZ5UxyNCwadreQAXnQ7oCoH982DjIA-QnZdO7ZoqkC0/edit#gid=884617569"",""S2 Totals!$A$2:$O$255""),7,FALSE)"),"#N/A")</f>
        <v>#N/A</v>
      </c>
      <c r="K191" s="15" t="str">
        <f>IFERROR(__xludf.DUMMYFUNCTION("VLOOKUP(A191,IMPORTRANGE(""1QZ5UxyNCwadreQAXnQ7oCoH982DjIA-QnZdO7ZoqkC0/edit#gid=884617569"",""S2 Totals!$A$2:$O$255""),8,FALSE)"),"#N/A")</f>
        <v>#N/A</v>
      </c>
      <c r="L191" s="110" t="str">
        <f t="shared" si="3"/>
        <v>#N/A</v>
      </c>
      <c r="M191" s="16" t="str">
        <f>IFERROR(__xludf.DUMMYFUNCTION("VLOOKUP(A191,IMPORTRANGE(""1QZ5UxyNCwadreQAXnQ7oCoH982DjIA-QnZdO7ZoqkC0/edit#gid=884617569"",""S2 Totals!$A$2:$O$255""),10,FALSE)"),"#N/A")</f>
        <v>#N/A</v>
      </c>
      <c r="N191" s="15" t="str">
        <f>IFERROR(__xludf.DUMMYFUNCTION("VLOOKUP(A191,IMPORTRANGE(""1QZ5UxyNCwadreQAXnQ7oCoH982DjIA-QnZdO7ZoqkC0/edit#gid=884617569"",""S2 Totals!$A$2:$O$255""),11,FALSE)"),"#N/A")</f>
        <v>#N/A</v>
      </c>
      <c r="O191" s="110" t="str">
        <f t="shared" si="4"/>
        <v>#N/A</v>
      </c>
      <c r="P191" s="16" t="str">
        <f>IFERROR(__xludf.DUMMYFUNCTION("VLOOKUP(A191,IMPORTRANGE(""1QZ5UxyNCwadreQAXnQ7oCoH982DjIA-QnZdO7ZoqkC0/edit#gid=884617569"",""S2 Totals!$A$2:$O$255""),13,FALSE)"),"#N/A")</f>
        <v>#N/A</v>
      </c>
      <c r="Q191" s="15" t="str">
        <f>IFERROR(__xludf.DUMMYFUNCTION("VLOOKUP(A191,IMPORTRANGE(""1QZ5UxyNCwadreQAXnQ7oCoH982DjIA-QnZdO7ZoqkC0/edit#gid=884617569"",""S2 Totals!$A$2:$O$255""),14,FALSE)"),"#N/A")</f>
        <v>#N/A</v>
      </c>
      <c r="R191" s="129" t="str">
        <f t="shared" si="5"/>
        <v>#N/A</v>
      </c>
    </row>
    <row r="192">
      <c r="A192" s="128" t="s">
        <v>44</v>
      </c>
      <c r="B192" s="16">
        <f>IFERROR(__xludf.DUMMYFUNCTION("VLOOKUP(A192,IMPORTRANGE(""1aFCnJY1qhIj8-JckJhDJ18aqmVo17tofpQmOjcYa3u8/edit#gid=1878241338"",""S2 Totals!$A$2:$O$255""),2,FALSE)"),1.0)</f>
        <v>1</v>
      </c>
      <c r="C192" s="15">
        <f>IFERROR(__xludf.DUMMYFUNCTION("VLOOKUP(A192,IMPORTRANGE(""1aFCnJY1qhIj8-JckJhDJ18aqmVo17tofpQmOjcYa3u8/edit#gid=1878241338"",""S2 Totals!$A$2:$O$255""),3,FALSE)"),0.09090909090909091)</f>
        <v>0.09090909091</v>
      </c>
      <c r="D192" s="16">
        <f>IFERROR(__xludf.DUMMYFUNCTION("VLOOKUP(A192,IMPORTRANGE(""1QZ5UxyNCwadreQAXnQ7oCoH982DjIA-QnZdO7ZoqkC0/edit#gid=884617569"",""S2 Totals!$A$2:$O$255""),2,FALSE)"),0.0)</f>
        <v>0</v>
      </c>
      <c r="E192" s="15">
        <f>IFERROR(__xludf.DUMMYFUNCTION("VLOOKUP(A192,IMPORTRANGE(""1QZ5UxyNCwadreQAXnQ7oCoH982DjIA-QnZdO7ZoqkC0/edit#gid=884617569"",""S2 Totals!$A$2:$O$255""),3,FALSE)"),0.0)</f>
        <v>0</v>
      </c>
      <c r="F192" s="15">
        <f t="shared" si="1"/>
        <v>0.09090909091</v>
      </c>
      <c r="G192" s="16">
        <f>IFERROR(__xludf.DUMMYFUNCTION("VLOOKUP(A192,IMPORTRANGE(""1QZ5UxyNCwadreQAXnQ7oCoH982DjIA-QnZdO7ZoqkC0/edit#gid=884617569"",""S2 Totals!$A$2:$O$255""),4,FALSE)"),0.0)</f>
        <v>0</v>
      </c>
      <c r="H192" s="15">
        <f>IFERROR(__xludf.DUMMYFUNCTION("VLOOKUP(A192,IMPORTRANGE(""1QZ5UxyNCwadreQAXnQ7oCoH982DjIA-QnZdO7ZoqkC0/edit#gid=884617569"",""S2 Totals!$A$2:$O$255""),5,FALSE)"),0.0)</f>
        <v>0</v>
      </c>
      <c r="I192" s="15">
        <f t="shared" si="2"/>
        <v>0.09090909091</v>
      </c>
      <c r="J192" s="16">
        <f>IFERROR(__xludf.DUMMYFUNCTION("VLOOKUP(A192,IMPORTRANGE(""1QZ5UxyNCwadreQAXnQ7oCoH982DjIA-QnZdO7ZoqkC0/edit#gid=884617569"",""S2 Totals!$A$2:$O$255""),7,FALSE)"),0.0)</f>
        <v>0</v>
      </c>
      <c r="K192" s="15">
        <f>IFERROR(__xludf.DUMMYFUNCTION("VLOOKUP(A192,IMPORTRANGE(""1QZ5UxyNCwadreQAXnQ7oCoH982DjIA-QnZdO7ZoqkC0/edit#gid=884617569"",""S2 Totals!$A$2:$O$255""),8,FALSE)"),0.0)</f>
        <v>0</v>
      </c>
      <c r="L192" s="110">
        <f t="shared" si="3"/>
        <v>0.09090909091</v>
      </c>
      <c r="M192" s="16">
        <f>IFERROR(__xludf.DUMMYFUNCTION("VLOOKUP(A192,IMPORTRANGE(""1QZ5UxyNCwadreQAXnQ7oCoH982DjIA-QnZdO7ZoqkC0/edit#gid=884617569"",""S2 Totals!$A$2:$O$255""),10,FALSE)"),2.0)</f>
        <v>2</v>
      </c>
      <c r="N192" s="15">
        <f>IFERROR(__xludf.DUMMYFUNCTION("VLOOKUP(A192,IMPORTRANGE(""1QZ5UxyNCwadreQAXnQ7oCoH982DjIA-QnZdO7ZoqkC0/edit#gid=884617569"",""S2 Totals!$A$2:$O$255""),11,FALSE)"),0.15384615384615385)</f>
        <v>0.1538461538</v>
      </c>
      <c r="O192" s="110">
        <f t="shared" si="4"/>
        <v>-0.06293706294</v>
      </c>
      <c r="P192" s="16">
        <f>IFERROR(__xludf.DUMMYFUNCTION("VLOOKUP(A192,IMPORTRANGE(""1QZ5UxyNCwadreQAXnQ7oCoH982DjIA-QnZdO7ZoqkC0/edit#gid=884617569"",""S2 Totals!$A$2:$O$255""),13,FALSE)"),1.0)</f>
        <v>1</v>
      </c>
      <c r="Q192" s="15">
        <f>IFERROR(__xludf.DUMMYFUNCTION("VLOOKUP(A192,IMPORTRANGE(""1QZ5UxyNCwadreQAXnQ7oCoH982DjIA-QnZdO7ZoqkC0/edit#gid=884617569"",""S2 Totals!$A$2:$O$255""),14,FALSE)"),0.08333333333333333)</f>
        <v>0.08333333333</v>
      </c>
      <c r="R192" s="129">
        <f t="shared" si="5"/>
        <v>0.007575757576</v>
      </c>
    </row>
    <row r="193">
      <c r="A193" s="128" t="s">
        <v>252</v>
      </c>
      <c r="B193" s="16">
        <f>IFERROR(__xludf.DUMMYFUNCTION("VLOOKUP(A193,IMPORTRANGE(""1aFCnJY1qhIj8-JckJhDJ18aqmVo17tofpQmOjcYa3u8/edit#gid=1878241338"",""S2 Totals!$A$2:$O$255""),2,FALSE)"),1.0)</f>
        <v>1</v>
      </c>
      <c r="C193" s="15">
        <f>IFERROR(__xludf.DUMMYFUNCTION("VLOOKUP(A193,IMPORTRANGE(""1aFCnJY1qhIj8-JckJhDJ18aqmVo17tofpQmOjcYa3u8/edit#gid=1878241338"",""S2 Totals!$A$2:$O$255""),3,FALSE)"),0.09090909090909091)</f>
        <v>0.09090909091</v>
      </c>
      <c r="D193" s="16">
        <f>IFERROR(__xludf.DUMMYFUNCTION("VLOOKUP(A193,IMPORTRANGE(""1QZ5UxyNCwadreQAXnQ7oCoH982DjIA-QnZdO7ZoqkC0/edit#gid=884617569"",""S2 Totals!$A$2:$O$255""),2,FALSE)"),0.0)</f>
        <v>0</v>
      </c>
      <c r="E193" s="15">
        <f>IFERROR(__xludf.DUMMYFUNCTION("VLOOKUP(A193,IMPORTRANGE(""1QZ5UxyNCwadreQAXnQ7oCoH982DjIA-QnZdO7ZoqkC0/edit#gid=884617569"",""S2 Totals!$A$2:$O$255""),3,FALSE)"),0.0)</f>
        <v>0</v>
      </c>
      <c r="F193" s="15">
        <f t="shared" si="1"/>
        <v>0.09090909091</v>
      </c>
      <c r="G193" s="16">
        <f>IFERROR(__xludf.DUMMYFUNCTION("VLOOKUP(A193,IMPORTRANGE(""1QZ5UxyNCwadreQAXnQ7oCoH982DjIA-QnZdO7ZoqkC0/edit#gid=884617569"",""S2 Totals!$A$2:$O$255""),4,FALSE)"),0.0)</f>
        <v>0</v>
      </c>
      <c r="H193" s="15">
        <f>IFERROR(__xludf.DUMMYFUNCTION("VLOOKUP(A193,IMPORTRANGE(""1QZ5UxyNCwadreQAXnQ7oCoH982DjIA-QnZdO7ZoqkC0/edit#gid=884617569"",""S2 Totals!$A$2:$O$255""),5,FALSE)"),0.0)</f>
        <v>0</v>
      </c>
      <c r="I193" s="15">
        <f t="shared" si="2"/>
        <v>0.09090909091</v>
      </c>
      <c r="J193" s="16" t="str">
        <f>IFERROR(__xludf.DUMMYFUNCTION("VLOOKUP(A193,IMPORTRANGE(""1QZ5UxyNCwadreQAXnQ7oCoH982DjIA-QnZdO7ZoqkC0/edit#gid=884617569"",""S2 Totals!$A$2:$O$255""),7,FALSE)"),"")</f>
        <v/>
      </c>
      <c r="K193" s="15" t="str">
        <f>IFERROR(__xludf.DUMMYFUNCTION("VLOOKUP(A193,IMPORTRANGE(""1QZ5UxyNCwadreQAXnQ7oCoH982DjIA-QnZdO7ZoqkC0/edit#gid=884617569"",""S2 Totals!$A$2:$O$255""),8,FALSE)"),"")</f>
        <v/>
      </c>
      <c r="L193" s="110">
        <f t="shared" si="3"/>
        <v>0.09090909091</v>
      </c>
      <c r="M193" s="16" t="str">
        <f>IFERROR(__xludf.DUMMYFUNCTION("VLOOKUP(A193,IMPORTRANGE(""1QZ5UxyNCwadreQAXnQ7oCoH982DjIA-QnZdO7ZoqkC0/edit#gid=884617569"",""S2 Totals!$A$2:$O$255""),10,FALSE)"),"")</f>
        <v/>
      </c>
      <c r="N193" s="15" t="str">
        <f>IFERROR(__xludf.DUMMYFUNCTION("VLOOKUP(A193,IMPORTRANGE(""1QZ5UxyNCwadreQAXnQ7oCoH982DjIA-QnZdO7ZoqkC0/edit#gid=884617569"",""S2 Totals!$A$2:$O$255""),11,FALSE)"),"")</f>
        <v/>
      </c>
      <c r="O193" s="110">
        <f t="shared" si="4"/>
        <v>0.09090909091</v>
      </c>
      <c r="P193" s="16" t="str">
        <f>IFERROR(__xludf.DUMMYFUNCTION("VLOOKUP(A193,IMPORTRANGE(""1QZ5UxyNCwadreQAXnQ7oCoH982DjIA-QnZdO7ZoqkC0/edit#gid=884617569"",""S2 Totals!$A$2:$O$255""),13,FALSE)"),"")</f>
        <v/>
      </c>
      <c r="Q193" s="15" t="str">
        <f>IFERROR(__xludf.DUMMYFUNCTION("VLOOKUP(A193,IMPORTRANGE(""1QZ5UxyNCwadreQAXnQ7oCoH982DjIA-QnZdO7ZoqkC0/edit#gid=884617569"",""S2 Totals!$A$2:$O$255""),14,FALSE)"),"")</f>
        <v/>
      </c>
      <c r="R193" s="129">
        <f t="shared" si="5"/>
        <v>0.09090909091</v>
      </c>
    </row>
    <row r="194">
      <c r="A194" s="128" t="s">
        <v>90</v>
      </c>
      <c r="B194" s="16">
        <f>IFERROR(__xludf.DUMMYFUNCTION("VLOOKUP(A194,IMPORTRANGE(""1aFCnJY1qhIj8-JckJhDJ18aqmVo17tofpQmOjcYa3u8/edit#gid=1878241338"",""S2 Totals!$A$2:$O$255""),2,FALSE)"),6.0)</f>
        <v>6</v>
      </c>
      <c r="C194" s="15">
        <f>IFERROR(__xludf.DUMMYFUNCTION("VLOOKUP(A194,IMPORTRANGE(""1aFCnJY1qhIj8-JckJhDJ18aqmVo17tofpQmOjcYa3u8/edit#gid=1878241338"",""S2 Totals!$A$2:$O$255""),3,FALSE)"),0.5454545454545454)</f>
        <v>0.5454545455</v>
      </c>
      <c r="D194" s="16">
        <f>IFERROR(__xludf.DUMMYFUNCTION("VLOOKUP(A194,IMPORTRANGE(""1QZ5UxyNCwadreQAXnQ7oCoH982DjIA-QnZdO7ZoqkC0/edit#gid=884617569"",""S2 Totals!$A$2:$O$255""),2,FALSE)"),4.0)</f>
        <v>4</v>
      </c>
      <c r="E194" s="15">
        <f>IFERROR(__xludf.DUMMYFUNCTION("VLOOKUP(A194,IMPORTRANGE(""1QZ5UxyNCwadreQAXnQ7oCoH982DjIA-QnZdO7ZoqkC0/edit#gid=884617569"",""S2 Totals!$A$2:$O$255""),3,FALSE)"),0.3076923076923077)</f>
        <v>0.3076923077</v>
      </c>
      <c r="F194" s="15">
        <f t="shared" si="1"/>
        <v>0.2377622378</v>
      </c>
      <c r="G194" s="16">
        <f>IFERROR(__xludf.DUMMYFUNCTION("VLOOKUP(A194,IMPORTRANGE(""1QZ5UxyNCwadreQAXnQ7oCoH982DjIA-QnZdO7ZoqkC0/edit#gid=884617569"",""S2 Totals!$A$2:$O$255""),4,FALSE)"),4.0)</f>
        <v>4</v>
      </c>
      <c r="H194" s="15">
        <f>IFERROR(__xludf.DUMMYFUNCTION("VLOOKUP(A194,IMPORTRANGE(""1QZ5UxyNCwadreQAXnQ7oCoH982DjIA-QnZdO7ZoqkC0/edit#gid=884617569"",""S2 Totals!$A$2:$O$255""),5,FALSE)"),0.3333333333333333)</f>
        <v>0.3333333333</v>
      </c>
      <c r="I194" s="15">
        <f t="shared" si="2"/>
        <v>0.2121212121</v>
      </c>
      <c r="J194" s="16">
        <f>IFERROR(__xludf.DUMMYFUNCTION("VLOOKUP(A194,IMPORTRANGE(""1QZ5UxyNCwadreQAXnQ7oCoH982DjIA-QnZdO7ZoqkC0/edit#gid=884617569"",""S2 Totals!$A$2:$O$255""),7,FALSE)"),4.0)</f>
        <v>4</v>
      </c>
      <c r="K194" s="15">
        <f>IFERROR(__xludf.DUMMYFUNCTION("VLOOKUP(A194,IMPORTRANGE(""1QZ5UxyNCwadreQAXnQ7oCoH982DjIA-QnZdO7ZoqkC0/edit#gid=884617569"",""S2 Totals!$A$2:$O$255""),8,FALSE)"),0.3333333333333333)</f>
        <v>0.3333333333</v>
      </c>
      <c r="L194" s="110">
        <f t="shared" si="3"/>
        <v>0.2121212121</v>
      </c>
      <c r="M194" s="16">
        <f>IFERROR(__xludf.DUMMYFUNCTION("VLOOKUP(A194,IMPORTRANGE(""1QZ5UxyNCwadreQAXnQ7oCoH982DjIA-QnZdO7ZoqkC0/edit#gid=884617569"",""S2 Totals!$A$2:$O$255""),10,FALSE)"),3.0)</f>
        <v>3</v>
      </c>
      <c r="N194" s="15">
        <f>IFERROR(__xludf.DUMMYFUNCTION("VLOOKUP(A194,IMPORTRANGE(""1QZ5UxyNCwadreQAXnQ7oCoH982DjIA-QnZdO7ZoqkC0/edit#gid=884617569"",""S2 Totals!$A$2:$O$255""),11,FALSE)"),0.23076923076923078)</f>
        <v>0.2307692308</v>
      </c>
      <c r="O194" s="110">
        <f t="shared" si="4"/>
        <v>0.3146853147</v>
      </c>
      <c r="P194" s="16">
        <f>IFERROR(__xludf.DUMMYFUNCTION("VLOOKUP(A194,IMPORTRANGE(""1QZ5UxyNCwadreQAXnQ7oCoH982DjIA-QnZdO7ZoqkC0/edit#gid=884617569"",""S2 Totals!$A$2:$O$255""),13,FALSE)"),0.0)</f>
        <v>0</v>
      </c>
      <c r="Q194" s="15">
        <f>IFERROR(__xludf.DUMMYFUNCTION("VLOOKUP(A194,IMPORTRANGE(""1QZ5UxyNCwadreQAXnQ7oCoH982DjIA-QnZdO7ZoqkC0/edit#gid=884617569"",""S2 Totals!$A$2:$O$255""),14,FALSE)"),0.0)</f>
        <v>0</v>
      </c>
      <c r="R194" s="129">
        <f t="shared" si="5"/>
        <v>0.5454545455</v>
      </c>
    </row>
    <row r="195">
      <c r="A195" s="128" t="s">
        <v>91</v>
      </c>
      <c r="B195" s="16">
        <f>IFERROR(__xludf.DUMMYFUNCTION("VLOOKUP(A195,IMPORTRANGE(""1aFCnJY1qhIj8-JckJhDJ18aqmVo17tofpQmOjcYa3u8/edit#gid=1878241338"",""S2 Totals!$A$2:$O$255""),2,FALSE)"),4.0)</f>
        <v>4</v>
      </c>
      <c r="C195" s="15">
        <f>IFERROR(__xludf.DUMMYFUNCTION("VLOOKUP(A195,IMPORTRANGE(""1aFCnJY1qhIj8-JckJhDJ18aqmVo17tofpQmOjcYa3u8/edit#gid=1878241338"",""S2 Totals!$A$2:$O$255""),3,FALSE)"),0.36363636363636365)</f>
        <v>0.3636363636</v>
      </c>
      <c r="D195" s="16">
        <f>IFERROR(__xludf.DUMMYFUNCTION("VLOOKUP(A195,IMPORTRANGE(""1QZ5UxyNCwadreQAXnQ7oCoH982DjIA-QnZdO7ZoqkC0/edit#gid=884617569"",""S2 Totals!$A$2:$O$255""),2,FALSE)"),1.0)</f>
        <v>1</v>
      </c>
      <c r="E195" s="15">
        <f>IFERROR(__xludf.DUMMYFUNCTION("VLOOKUP(A195,IMPORTRANGE(""1QZ5UxyNCwadreQAXnQ7oCoH982DjIA-QnZdO7ZoqkC0/edit#gid=884617569"",""S2 Totals!$A$2:$O$255""),3,FALSE)"),0.07692307692307693)</f>
        <v>0.07692307692</v>
      </c>
      <c r="F195" s="15">
        <f t="shared" si="1"/>
        <v>0.2867132867</v>
      </c>
      <c r="G195" s="16">
        <f>IFERROR(__xludf.DUMMYFUNCTION("VLOOKUP(A195,IMPORTRANGE(""1QZ5UxyNCwadreQAXnQ7oCoH982DjIA-QnZdO7ZoqkC0/edit#gid=884617569"",""S2 Totals!$A$2:$O$255""),4,FALSE)"),4.0)</f>
        <v>4</v>
      </c>
      <c r="H195" s="15">
        <f>IFERROR(__xludf.DUMMYFUNCTION("VLOOKUP(A195,IMPORTRANGE(""1QZ5UxyNCwadreQAXnQ7oCoH982DjIA-QnZdO7ZoqkC0/edit#gid=884617569"",""S2 Totals!$A$2:$O$255""),5,FALSE)"),0.3333333333333333)</f>
        <v>0.3333333333</v>
      </c>
      <c r="I195" s="15">
        <f t="shared" si="2"/>
        <v>0.0303030303</v>
      </c>
      <c r="J195" s="16">
        <f>IFERROR(__xludf.DUMMYFUNCTION("VLOOKUP(A195,IMPORTRANGE(""1QZ5UxyNCwadreQAXnQ7oCoH982DjIA-QnZdO7ZoqkC0/edit#gid=884617569"",""S2 Totals!$A$2:$O$255""),7,FALSE)"),0.0)</f>
        <v>0</v>
      </c>
      <c r="K195" s="15">
        <f>IFERROR(__xludf.DUMMYFUNCTION("VLOOKUP(A195,IMPORTRANGE(""1QZ5UxyNCwadreQAXnQ7oCoH982DjIA-QnZdO7ZoqkC0/edit#gid=884617569"",""S2 Totals!$A$2:$O$255""),8,FALSE)"),0.0)</f>
        <v>0</v>
      </c>
      <c r="L195" s="110">
        <f t="shared" si="3"/>
        <v>0.3636363636</v>
      </c>
      <c r="M195" s="16">
        <f>IFERROR(__xludf.DUMMYFUNCTION("VLOOKUP(A195,IMPORTRANGE(""1QZ5UxyNCwadreQAXnQ7oCoH982DjIA-QnZdO7ZoqkC0/edit#gid=884617569"",""S2 Totals!$A$2:$O$255""),10,FALSE)"),0.0)</f>
        <v>0</v>
      </c>
      <c r="N195" s="15">
        <f>IFERROR(__xludf.DUMMYFUNCTION("VLOOKUP(A195,IMPORTRANGE(""1QZ5UxyNCwadreQAXnQ7oCoH982DjIA-QnZdO7ZoqkC0/edit#gid=884617569"",""S2 Totals!$A$2:$O$255""),11,FALSE)"),0.0)</f>
        <v>0</v>
      </c>
      <c r="O195" s="110">
        <f t="shared" si="4"/>
        <v>0.3636363636</v>
      </c>
      <c r="P195" s="16">
        <f>IFERROR(__xludf.DUMMYFUNCTION("VLOOKUP(A195,IMPORTRANGE(""1QZ5UxyNCwadreQAXnQ7oCoH982DjIA-QnZdO7ZoqkC0/edit#gid=884617569"",""S2 Totals!$A$2:$O$255""),13,FALSE)"),0.0)</f>
        <v>0</v>
      </c>
      <c r="Q195" s="15">
        <f>IFERROR(__xludf.DUMMYFUNCTION("VLOOKUP(A195,IMPORTRANGE(""1QZ5UxyNCwadreQAXnQ7oCoH982DjIA-QnZdO7ZoqkC0/edit#gid=884617569"",""S2 Totals!$A$2:$O$255""),14,FALSE)"),0.0)</f>
        <v>0</v>
      </c>
      <c r="R195" s="129">
        <f t="shared" si="5"/>
        <v>0.3636363636</v>
      </c>
    </row>
    <row r="196">
      <c r="A196" s="128" t="s">
        <v>144</v>
      </c>
      <c r="B196" s="16">
        <f>IFERROR(__xludf.DUMMYFUNCTION("VLOOKUP(A196,IMPORTRANGE(""1aFCnJY1qhIj8-JckJhDJ18aqmVo17tofpQmOjcYa3u8/edit#gid=1878241338"",""S2 Totals!$A$2:$O$255""),2,FALSE)"),8.0)</f>
        <v>8</v>
      </c>
      <c r="C196" s="15">
        <f>IFERROR(__xludf.DUMMYFUNCTION("VLOOKUP(A196,IMPORTRANGE(""1aFCnJY1qhIj8-JckJhDJ18aqmVo17tofpQmOjcYa3u8/edit#gid=1878241338"",""S2 Totals!$A$2:$O$255""),3,FALSE)"),0.7272727272727273)</f>
        <v>0.7272727273</v>
      </c>
      <c r="D196" s="16">
        <f>IFERROR(__xludf.DUMMYFUNCTION("VLOOKUP(A196,IMPORTRANGE(""1QZ5UxyNCwadreQAXnQ7oCoH982DjIA-QnZdO7ZoqkC0/edit#gid=884617569"",""S2 Totals!$A$2:$O$255""),2,FALSE)"),10.0)</f>
        <v>10</v>
      </c>
      <c r="E196" s="15">
        <f>IFERROR(__xludf.DUMMYFUNCTION("VLOOKUP(A196,IMPORTRANGE(""1QZ5UxyNCwadreQAXnQ7oCoH982DjIA-QnZdO7ZoqkC0/edit#gid=884617569"",""S2 Totals!$A$2:$O$255""),3,FALSE)"),0.7692307692307693)</f>
        <v>0.7692307692</v>
      </c>
      <c r="F196" s="15">
        <f t="shared" si="1"/>
        <v>-0.04195804196</v>
      </c>
      <c r="G196" s="16">
        <f>IFERROR(__xludf.DUMMYFUNCTION("VLOOKUP(A196,IMPORTRANGE(""1QZ5UxyNCwadreQAXnQ7oCoH982DjIA-QnZdO7ZoqkC0/edit#gid=884617569"",""S2 Totals!$A$2:$O$255""),4,FALSE)"),10.0)</f>
        <v>10</v>
      </c>
      <c r="H196" s="15">
        <f>IFERROR(__xludf.DUMMYFUNCTION("VLOOKUP(A196,IMPORTRANGE(""1QZ5UxyNCwadreQAXnQ7oCoH982DjIA-QnZdO7ZoqkC0/edit#gid=884617569"",""S2 Totals!$A$2:$O$255""),5,FALSE)"),0.8333333333333334)</f>
        <v>0.8333333333</v>
      </c>
      <c r="I196" s="15">
        <f t="shared" si="2"/>
        <v>-0.1060606061</v>
      </c>
      <c r="J196" s="16">
        <f>IFERROR(__xludf.DUMMYFUNCTION("VLOOKUP(A196,IMPORTRANGE(""1QZ5UxyNCwadreQAXnQ7oCoH982DjIA-QnZdO7ZoqkC0/edit#gid=884617569"",""S2 Totals!$A$2:$O$255""),7,FALSE)"),8.0)</f>
        <v>8</v>
      </c>
      <c r="K196" s="15">
        <f>IFERROR(__xludf.DUMMYFUNCTION("VLOOKUP(A196,IMPORTRANGE(""1QZ5UxyNCwadreQAXnQ7oCoH982DjIA-QnZdO7ZoqkC0/edit#gid=884617569"",""S2 Totals!$A$2:$O$255""),8,FALSE)"),0.6666666666666666)</f>
        <v>0.6666666667</v>
      </c>
      <c r="L196" s="110">
        <f t="shared" si="3"/>
        <v>0.06060606061</v>
      </c>
      <c r="M196" s="16">
        <f>IFERROR(__xludf.DUMMYFUNCTION("VLOOKUP(A196,IMPORTRANGE(""1QZ5UxyNCwadreQAXnQ7oCoH982DjIA-QnZdO7ZoqkC0/edit#gid=884617569"",""S2 Totals!$A$2:$O$255""),10,FALSE)"),4.0)</f>
        <v>4</v>
      </c>
      <c r="N196" s="15">
        <f>IFERROR(__xludf.DUMMYFUNCTION("VLOOKUP(A196,IMPORTRANGE(""1QZ5UxyNCwadreQAXnQ7oCoH982DjIA-QnZdO7ZoqkC0/edit#gid=884617569"",""S2 Totals!$A$2:$O$255""),11,FALSE)"),0.3076923076923077)</f>
        <v>0.3076923077</v>
      </c>
      <c r="O196" s="110">
        <f t="shared" si="4"/>
        <v>0.4195804196</v>
      </c>
      <c r="P196" s="16" t="str">
        <f>IFERROR(__xludf.DUMMYFUNCTION("VLOOKUP(A196,IMPORTRANGE(""1QZ5UxyNCwadreQAXnQ7oCoH982DjIA-QnZdO7ZoqkC0/edit#gid=884617569"",""S2 Totals!$A$2:$O$255""),13,FALSE)"),"")</f>
        <v/>
      </c>
      <c r="Q196" s="15" t="str">
        <f>IFERROR(__xludf.DUMMYFUNCTION("VLOOKUP(A196,IMPORTRANGE(""1QZ5UxyNCwadreQAXnQ7oCoH982DjIA-QnZdO7ZoqkC0/edit#gid=884617569"",""S2 Totals!$A$2:$O$255""),14,FALSE)"),"")</f>
        <v/>
      </c>
      <c r="R196" s="129">
        <f t="shared" si="5"/>
        <v>0.7272727273</v>
      </c>
    </row>
    <row r="197">
      <c r="A197" s="128" t="s">
        <v>92</v>
      </c>
      <c r="B197" s="16">
        <f>IFERROR(__xludf.DUMMYFUNCTION("VLOOKUP(A197,IMPORTRANGE(""1aFCnJY1qhIj8-JckJhDJ18aqmVo17tofpQmOjcYa3u8/edit#gid=1878241338"",""S2 Totals!$A$2:$O$255""),2,FALSE)"),11.0)</f>
        <v>11</v>
      </c>
      <c r="C197" s="15">
        <f>IFERROR(__xludf.DUMMYFUNCTION("VLOOKUP(A197,IMPORTRANGE(""1aFCnJY1qhIj8-JckJhDJ18aqmVo17tofpQmOjcYa3u8/edit#gid=1878241338"",""S2 Totals!$A$2:$O$255""),3,FALSE)"),1.0)</f>
        <v>1</v>
      </c>
      <c r="D197" s="16">
        <f>IFERROR(__xludf.DUMMYFUNCTION("VLOOKUP(A197,IMPORTRANGE(""1QZ5UxyNCwadreQAXnQ7oCoH982DjIA-QnZdO7ZoqkC0/edit#gid=884617569"",""S2 Totals!$A$2:$O$255""),2,FALSE)"),11.0)</f>
        <v>11</v>
      </c>
      <c r="E197" s="15">
        <f>IFERROR(__xludf.DUMMYFUNCTION("VLOOKUP(A197,IMPORTRANGE(""1QZ5UxyNCwadreQAXnQ7oCoH982DjIA-QnZdO7ZoqkC0/edit#gid=884617569"",""S2 Totals!$A$2:$O$255""),3,FALSE)"),0.8461538461538461)</f>
        <v>0.8461538462</v>
      </c>
      <c r="F197" s="15">
        <f t="shared" si="1"/>
        <v>0.1538461538</v>
      </c>
      <c r="G197" s="16">
        <f>IFERROR(__xludf.DUMMYFUNCTION("VLOOKUP(A197,IMPORTRANGE(""1QZ5UxyNCwadreQAXnQ7oCoH982DjIA-QnZdO7ZoqkC0/edit#gid=884617569"",""S2 Totals!$A$2:$O$255""),4,FALSE)"),12.0)</f>
        <v>12</v>
      </c>
      <c r="H197" s="15">
        <f>IFERROR(__xludf.DUMMYFUNCTION("VLOOKUP(A197,IMPORTRANGE(""1QZ5UxyNCwadreQAXnQ7oCoH982DjIA-QnZdO7ZoqkC0/edit#gid=884617569"",""S2 Totals!$A$2:$O$255""),5,FALSE)"),1.0)</f>
        <v>1</v>
      </c>
      <c r="I197" s="15">
        <f t="shared" si="2"/>
        <v>0</v>
      </c>
      <c r="J197" s="16">
        <f>IFERROR(__xludf.DUMMYFUNCTION("VLOOKUP(A197,IMPORTRANGE(""1QZ5UxyNCwadreQAXnQ7oCoH982DjIA-QnZdO7ZoqkC0/edit#gid=884617569"",""S2 Totals!$A$2:$O$255""),7,FALSE)"),12.0)</f>
        <v>12</v>
      </c>
      <c r="K197" s="15">
        <f>IFERROR(__xludf.DUMMYFUNCTION("VLOOKUP(A197,IMPORTRANGE(""1QZ5UxyNCwadreQAXnQ7oCoH982DjIA-QnZdO7ZoqkC0/edit#gid=884617569"",""S2 Totals!$A$2:$O$255""),8,FALSE)"),1.0)</f>
        <v>1</v>
      </c>
      <c r="L197" s="110">
        <f t="shared" si="3"/>
        <v>0</v>
      </c>
      <c r="M197" s="16">
        <f>IFERROR(__xludf.DUMMYFUNCTION("VLOOKUP(A197,IMPORTRANGE(""1QZ5UxyNCwadreQAXnQ7oCoH982DjIA-QnZdO7ZoqkC0/edit#gid=884617569"",""S2 Totals!$A$2:$O$255""),10,FALSE)"),12.0)</f>
        <v>12</v>
      </c>
      <c r="N197" s="15">
        <f>IFERROR(__xludf.DUMMYFUNCTION("VLOOKUP(A197,IMPORTRANGE(""1QZ5UxyNCwadreQAXnQ7oCoH982DjIA-QnZdO7ZoqkC0/edit#gid=884617569"",""S2 Totals!$A$2:$O$255""),11,FALSE)"),0.9230769230769231)</f>
        <v>0.9230769231</v>
      </c>
      <c r="O197" s="110">
        <f t="shared" si="4"/>
        <v>0.07692307692</v>
      </c>
      <c r="P197" s="16">
        <f>IFERROR(__xludf.DUMMYFUNCTION("VLOOKUP(A197,IMPORTRANGE(""1QZ5UxyNCwadreQAXnQ7oCoH982DjIA-QnZdO7ZoqkC0/edit#gid=884617569"",""S2 Totals!$A$2:$O$255""),13,FALSE)"),9.0)</f>
        <v>9</v>
      </c>
      <c r="Q197" s="15">
        <f>IFERROR(__xludf.DUMMYFUNCTION("VLOOKUP(A197,IMPORTRANGE(""1QZ5UxyNCwadreQAXnQ7oCoH982DjIA-QnZdO7ZoqkC0/edit#gid=884617569"",""S2 Totals!$A$2:$O$255""),14,FALSE)"),0.75)</f>
        <v>0.75</v>
      </c>
      <c r="R197" s="129">
        <f t="shared" si="5"/>
        <v>0.25</v>
      </c>
    </row>
    <row r="198">
      <c r="A198" s="128" t="s">
        <v>93</v>
      </c>
      <c r="B198" s="16">
        <f>IFERROR(__xludf.DUMMYFUNCTION("VLOOKUP(A198,IMPORTRANGE(""1aFCnJY1qhIj8-JckJhDJ18aqmVo17tofpQmOjcYa3u8/edit#gid=1878241338"",""S2 Totals!$A$2:$O$255""),2,FALSE)"),0.0)</f>
        <v>0</v>
      </c>
      <c r="C198" s="15">
        <f>IFERROR(__xludf.DUMMYFUNCTION("VLOOKUP(A198,IMPORTRANGE(""1aFCnJY1qhIj8-JckJhDJ18aqmVo17tofpQmOjcYa3u8/edit#gid=1878241338"",""S2 Totals!$A$2:$O$255""),3,FALSE)"),0.0)</f>
        <v>0</v>
      </c>
      <c r="D198" s="16">
        <f>IFERROR(__xludf.DUMMYFUNCTION("VLOOKUP(A198,IMPORTRANGE(""1QZ5UxyNCwadreQAXnQ7oCoH982DjIA-QnZdO7ZoqkC0/edit#gid=884617569"",""S2 Totals!$A$2:$O$255""),2,FALSE)"),2.0)</f>
        <v>2</v>
      </c>
      <c r="E198" s="15">
        <f>IFERROR(__xludf.DUMMYFUNCTION("VLOOKUP(A198,IMPORTRANGE(""1QZ5UxyNCwadreQAXnQ7oCoH982DjIA-QnZdO7ZoqkC0/edit#gid=884617569"",""S2 Totals!$A$2:$O$255""),3,FALSE)"),0.15384615384615385)</f>
        <v>0.1538461538</v>
      </c>
      <c r="F198" s="15">
        <f t="shared" si="1"/>
        <v>-0.1538461538</v>
      </c>
      <c r="G198" s="16">
        <f>IFERROR(__xludf.DUMMYFUNCTION("VLOOKUP(A198,IMPORTRANGE(""1QZ5UxyNCwadreQAXnQ7oCoH982DjIA-QnZdO7ZoqkC0/edit#gid=884617569"",""S2 Totals!$A$2:$O$255""),4,FALSE)"),2.0)</f>
        <v>2</v>
      </c>
      <c r="H198" s="15">
        <f>IFERROR(__xludf.DUMMYFUNCTION("VLOOKUP(A198,IMPORTRANGE(""1QZ5UxyNCwadreQAXnQ7oCoH982DjIA-QnZdO7ZoqkC0/edit#gid=884617569"",""S2 Totals!$A$2:$O$255""),5,FALSE)"),0.16666666666666666)</f>
        <v>0.1666666667</v>
      </c>
      <c r="I198" s="15">
        <f t="shared" si="2"/>
        <v>-0.1666666667</v>
      </c>
      <c r="J198" s="16">
        <f>IFERROR(__xludf.DUMMYFUNCTION("VLOOKUP(A198,IMPORTRANGE(""1QZ5UxyNCwadreQAXnQ7oCoH982DjIA-QnZdO7ZoqkC0/edit#gid=884617569"",""S2 Totals!$A$2:$O$255""),7,FALSE)"),4.0)</f>
        <v>4</v>
      </c>
      <c r="K198" s="15">
        <f>IFERROR(__xludf.DUMMYFUNCTION("VLOOKUP(A198,IMPORTRANGE(""1QZ5UxyNCwadreQAXnQ7oCoH982DjIA-QnZdO7ZoqkC0/edit#gid=884617569"",""S2 Totals!$A$2:$O$255""),8,FALSE)"),0.3333333333333333)</f>
        <v>0.3333333333</v>
      </c>
      <c r="L198" s="110">
        <f t="shared" si="3"/>
        <v>-0.3333333333</v>
      </c>
      <c r="M198" s="16">
        <f>IFERROR(__xludf.DUMMYFUNCTION("VLOOKUP(A198,IMPORTRANGE(""1QZ5UxyNCwadreQAXnQ7oCoH982DjIA-QnZdO7ZoqkC0/edit#gid=884617569"",""S2 Totals!$A$2:$O$255""),10,FALSE)"),6.0)</f>
        <v>6</v>
      </c>
      <c r="N198" s="15">
        <f>IFERROR(__xludf.DUMMYFUNCTION("VLOOKUP(A198,IMPORTRANGE(""1QZ5UxyNCwadreQAXnQ7oCoH982DjIA-QnZdO7ZoqkC0/edit#gid=884617569"",""S2 Totals!$A$2:$O$255""),11,FALSE)"),0.46153846153846156)</f>
        <v>0.4615384615</v>
      </c>
      <c r="O198" s="110">
        <f t="shared" si="4"/>
        <v>-0.4615384615</v>
      </c>
      <c r="P198" s="16">
        <f>IFERROR(__xludf.DUMMYFUNCTION("VLOOKUP(A198,IMPORTRANGE(""1QZ5UxyNCwadreQAXnQ7oCoH982DjIA-QnZdO7ZoqkC0/edit#gid=884617569"",""S2 Totals!$A$2:$O$255""),13,FALSE)"),5.0)</f>
        <v>5</v>
      </c>
      <c r="Q198" s="15">
        <f>IFERROR(__xludf.DUMMYFUNCTION("VLOOKUP(A198,IMPORTRANGE(""1QZ5UxyNCwadreQAXnQ7oCoH982DjIA-QnZdO7ZoqkC0/edit#gid=884617569"",""S2 Totals!$A$2:$O$255""),14,FALSE)"),0.4166666666666667)</f>
        <v>0.4166666667</v>
      </c>
      <c r="R198" s="129">
        <f t="shared" si="5"/>
        <v>-0.4166666667</v>
      </c>
    </row>
    <row r="199">
      <c r="A199" s="128" t="s">
        <v>145</v>
      </c>
      <c r="B199" s="16">
        <f>IFERROR(__xludf.DUMMYFUNCTION("VLOOKUP(A199,IMPORTRANGE(""1aFCnJY1qhIj8-JckJhDJ18aqmVo17tofpQmOjcYa3u8/edit#gid=1878241338"",""S2 Totals!$A$2:$O$255""),2,FALSE)"),4.0)</f>
        <v>4</v>
      </c>
      <c r="C199" s="15">
        <f>IFERROR(__xludf.DUMMYFUNCTION("VLOOKUP(A199,IMPORTRANGE(""1aFCnJY1qhIj8-JckJhDJ18aqmVo17tofpQmOjcYa3u8/edit#gid=1878241338"",""S2 Totals!$A$2:$O$255""),3,FALSE)"),0.36363636363636365)</f>
        <v>0.3636363636</v>
      </c>
      <c r="D199" s="16">
        <f>IFERROR(__xludf.DUMMYFUNCTION("VLOOKUP(A199,IMPORTRANGE(""1QZ5UxyNCwadreQAXnQ7oCoH982DjIA-QnZdO7ZoqkC0/edit#gid=884617569"",""S2 Totals!$A$2:$O$255""),2,FALSE)"),8.0)</f>
        <v>8</v>
      </c>
      <c r="E199" s="15">
        <f>IFERROR(__xludf.DUMMYFUNCTION("VLOOKUP(A199,IMPORTRANGE(""1QZ5UxyNCwadreQAXnQ7oCoH982DjIA-QnZdO7ZoqkC0/edit#gid=884617569"",""S2 Totals!$A$2:$O$255""),3,FALSE)"),0.6153846153846154)</f>
        <v>0.6153846154</v>
      </c>
      <c r="F199" s="15">
        <f t="shared" si="1"/>
        <v>-0.2517482517</v>
      </c>
      <c r="G199" s="16">
        <f>IFERROR(__xludf.DUMMYFUNCTION("VLOOKUP(A199,IMPORTRANGE(""1QZ5UxyNCwadreQAXnQ7oCoH982DjIA-QnZdO7ZoqkC0/edit#gid=884617569"",""S2 Totals!$A$2:$O$255""),4,FALSE)"),4.0)</f>
        <v>4</v>
      </c>
      <c r="H199" s="15">
        <f>IFERROR(__xludf.DUMMYFUNCTION("VLOOKUP(A199,IMPORTRANGE(""1QZ5UxyNCwadreQAXnQ7oCoH982DjIA-QnZdO7ZoqkC0/edit#gid=884617569"",""S2 Totals!$A$2:$O$255""),5,FALSE)"),0.3333333333333333)</f>
        <v>0.3333333333</v>
      </c>
      <c r="I199" s="15">
        <f t="shared" si="2"/>
        <v>0.0303030303</v>
      </c>
      <c r="J199" s="16">
        <f>IFERROR(__xludf.DUMMYFUNCTION("VLOOKUP(A199,IMPORTRANGE(""1QZ5UxyNCwadreQAXnQ7oCoH982DjIA-QnZdO7ZoqkC0/edit#gid=884617569"",""S2 Totals!$A$2:$O$255""),7,FALSE)"),4.0)</f>
        <v>4</v>
      </c>
      <c r="K199" s="15">
        <f>IFERROR(__xludf.DUMMYFUNCTION("VLOOKUP(A199,IMPORTRANGE(""1QZ5UxyNCwadreQAXnQ7oCoH982DjIA-QnZdO7ZoqkC0/edit#gid=884617569"",""S2 Totals!$A$2:$O$255""),8,FALSE)"),0.3333333333333333)</f>
        <v>0.3333333333</v>
      </c>
      <c r="L199" s="110">
        <f t="shared" si="3"/>
        <v>0.0303030303</v>
      </c>
      <c r="M199" s="16">
        <f>IFERROR(__xludf.DUMMYFUNCTION("VLOOKUP(A199,IMPORTRANGE(""1QZ5UxyNCwadreQAXnQ7oCoH982DjIA-QnZdO7ZoqkC0/edit#gid=884617569"",""S2 Totals!$A$2:$O$255""),10,FALSE)"),4.0)</f>
        <v>4</v>
      </c>
      <c r="N199" s="15">
        <f>IFERROR(__xludf.DUMMYFUNCTION("VLOOKUP(A199,IMPORTRANGE(""1QZ5UxyNCwadreQAXnQ7oCoH982DjIA-QnZdO7ZoqkC0/edit#gid=884617569"",""S2 Totals!$A$2:$O$255""),11,FALSE)"),0.3076923076923077)</f>
        <v>0.3076923077</v>
      </c>
      <c r="O199" s="110">
        <f t="shared" si="4"/>
        <v>0.05594405594</v>
      </c>
      <c r="P199" s="16" t="str">
        <f>IFERROR(__xludf.DUMMYFUNCTION("VLOOKUP(A199,IMPORTRANGE(""1QZ5UxyNCwadreQAXnQ7oCoH982DjIA-QnZdO7ZoqkC0/edit#gid=884617569"",""S2 Totals!$A$2:$O$255""),13,FALSE)"),"")</f>
        <v/>
      </c>
      <c r="Q199" s="15" t="str">
        <f>IFERROR(__xludf.DUMMYFUNCTION("VLOOKUP(A199,IMPORTRANGE(""1QZ5UxyNCwadreQAXnQ7oCoH982DjIA-QnZdO7ZoqkC0/edit#gid=884617569"",""S2 Totals!$A$2:$O$255""),14,FALSE)"),"")</f>
        <v/>
      </c>
      <c r="R199" s="129">
        <f t="shared" si="5"/>
        <v>0.3636363636</v>
      </c>
    </row>
    <row r="200">
      <c r="A200" s="128" t="s">
        <v>146</v>
      </c>
      <c r="B200" s="16">
        <f>IFERROR(__xludf.DUMMYFUNCTION("VLOOKUP(A200,IMPORTRANGE(""1aFCnJY1qhIj8-JckJhDJ18aqmVo17tofpQmOjcYa3u8/edit#gid=1878241338"",""S2 Totals!$A$2:$O$255""),2,FALSE)"),2.0)</f>
        <v>2</v>
      </c>
      <c r="C200" s="15">
        <f>IFERROR(__xludf.DUMMYFUNCTION("VLOOKUP(A200,IMPORTRANGE(""1aFCnJY1qhIj8-JckJhDJ18aqmVo17tofpQmOjcYa3u8/edit#gid=1878241338"",""S2 Totals!$A$2:$O$255""),3,FALSE)"),0.18181818181818182)</f>
        <v>0.1818181818</v>
      </c>
      <c r="D200" s="16">
        <f>IFERROR(__xludf.DUMMYFUNCTION("VLOOKUP(A200,IMPORTRANGE(""1QZ5UxyNCwadreQAXnQ7oCoH982DjIA-QnZdO7ZoqkC0/edit#gid=884617569"",""S2 Totals!$A$2:$O$255""),2,FALSE)"),1.0)</f>
        <v>1</v>
      </c>
      <c r="E200" s="15">
        <f>IFERROR(__xludf.DUMMYFUNCTION("VLOOKUP(A200,IMPORTRANGE(""1QZ5UxyNCwadreQAXnQ7oCoH982DjIA-QnZdO7ZoqkC0/edit#gid=884617569"",""S2 Totals!$A$2:$O$255""),3,FALSE)"),0.07692307692307693)</f>
        <v>0.07692307692</v>
      </c>
      <c r="F200" s="15">
        <f t="shared" si="1"/>
        <v>0.1048951049</v>
      </c>
      <c r="G200" s="16">
        <f>IFERROR(__xludf.DUMMYFUNCTION("VLOOKUP(A200,IMPORTRANGE(""1QZ5UxyNCwadreQAXnQ7oCoH982DjIA-QnZdO7ZoqkC0/edit#gid=884617569"",""S2 Totals!$A$2:$O$255""),4,FALSE)"),1.0)</f>
        <v>1</v>
      </c>
      <c r="H200" s="15">
        <f>IFERROR(__xludf.DUMMYFUNCTION("VLOOKUP(A200,IMPORTRANGE(""1QZ5UxyNCwadreQAXnQ7oCoH982DjIA-QnZdO7ZoqkC0/edit#gid=884617569"",""S2 Totals!$A$2:$O$255""),5,FALSE)"),0.08333333333333333)</f>
        <v>0.08333333333</v>
      </c>
      <c r="I200" s="15">
        <f t="shared" si="2"/>
        <v>0.09848484848</v>
      </c>
      <c r="J200" s="16">
        <f>IFERROR(__xludf.DUMMYFUNCTION("VLOOKUP(A200,IMPORTRANGE(""1QZ5UxyNCwadreQAXnQ7oCoH982DjIA-QnZdO7ZoqkC0/edit#gid=884617569"",""S2 Totals!$A$2:$O$255""),7,FALSE)"),0.0)</f>
        <v>0</v>
      </c>
      <c r="K200" s="15">
        <f>IFERROR(__xludf.DUMMYFUNCTION("VLOOKUP(A200,IMPORTRANGE(""1QZ5UxyNCwadreQAXnQ7oCoH982DjIA-QnZdO7ZoqkC0/edit#gid=884617569"",""S2 Totals!$A$2:$O$255""),8,FALSE)"),0.0)</f>
        <v>0</v>
      </c>
      <c r="L200" s="110">
        <f t="shared" si="3"/>
        <v>0.1818181818</v>
      </c>
      <c r="M200" s="16">
        <f>IFERROR(__xludf.DUMMYFUNCTION("VLOOKUP(A200,IMPORTRANGE(""1QZ5UxyNCwadreQAXnQ7oCoH982DjIA-QnZdO7ZoqkC0/edit#gid=884617569"",""S2 Totals!$A$2:$O$255""),10,FALSE)"),0.0)</f>
        <v>0</v>
      </c>
      <c r="N200" s="15">
        <f>IFERROR(__xludf.DUMMYFUNCTION("VLOOKUP(A200,IMPORTRANGE(""1QZ5UxyNCwadreQAXnQ7oCoH982DjIA-QnZdO7ZoqkC0/edit#gid=884617569"",""S2 Totals!$A$2:$O$255""),11,FALSE)"),0.0)</f>
        <v>0</v>
      </c>
      <c r="O200" s="110">
        <f t="shared" si="4"/>
        <v>0.1818181818</v>
      </c>
      <c r="P200" s="16" t="str">
        <f>IFERROR(__xludf.DUMMYFUNCTION("VLOOKUP(A200,IMPORTRANGE(""1QZ5UxyNCwadreQAXnQ7oCoH982DjIA-QnZdO7ZoqkC0/edit#gid=884617569"",""S2 Totals!$A$2:$O$255""),13,FALSE)"),"")</f>
        <v/>
      </c>
      <c r="Q200" s="15" t="str">
        <f>IFERROR(__xludf.DUMMYFUNCTION("VLOOKUP(A200,IMPORTRANGE(""1QZ5UxyNCwadreQAXnQ7oCoH982DjIA-QnZdO7ZoqkC0/edit#gid=884617569"",""S2 Totals!$A$2:$O$255""),14,FALSE)"),"")</f>
        <v/>
      </c>
      <c r="R200" s="129">
        <f t="shared" si="5"/>
        <v>0.1818181818</v>
      </c>
    </row>
    <row r="201">
      <c r="A201" s="128" t="s">
        <v>270</v>
      </c>
      <c r="B201" s="16">
        <f>IFERROR(__xludf.DUMMYFUNCTION("VLOOKUP(A201,IMPORTRANGE(""1aFCnJY1qhIj8-JckJhDJ18aqmVo17tofpQmOjcYa3u8/edit#gid=1878241338"",""S2 Totals!$A$2:$O$255""),2,FALSE)"),0.0)</f>
        <v>0</v>
      </c>
      <c r="C201" s="15">
        <f>IFERROR(__xludf.DUMMYFUNCTION("VLOOKUP(A201,IMPORTRANGE(""1aFCnJY1qhIj8-JckJhDJ18aqmVo17tofpQmOjcYa3u8/edit#gid=1878241338"",""S2 Totals!$A$2:$O$255""),3,FALSE)"),0.0)</f>
        <v>0</v>
      </c>
      <c r="D201" s="16" t="str">
        <f>IFERROR(__xludf.DUMMYFUNCTION("VLOOKUP(A201,IMPORTRANGE(""1QZ5UxyNCwadreQAXnQ7oCoH982DjIA-QnZdO7ZoqkC0/edit#gid=884617569"",""S2 Totals!$A$2:$O$255""),2,FALSE)"),"#N/A")</f>
        <v>#N/A</v>
      </c>
      <c r="E201" s="15" t="str">
        <f>IFERROR(__xludf.DUMMYFUNCTION("VLOOKUP(A201,IMPORTRANGE(""1QZ5UxyNCwadreQAXnQ7oCoH982DjIA-QnZdO7ZoqkC0/edit#gid=884617569"",""S2 Totals!$A$2:$O$255""),3,FALSE)"),"#N/A")</f>
        <v>#N/A</v>
      </c>
      <c r="F201" s="16" t="str">
        <f t="shared" si="1"/>
        <v>#N/A</v>
      </c>
      <c r="G201" s="16" t="str">
        <f>IFERROR(__xludf.DUMMYFUNCTION("VLOOKUP(A201,IMPORTRANGE(""1QZ5UxyNCwadreQAXnQ7oCoH982DjIA-QnZdO7ZoqkC0/edit#gid=884617569"",""S2 Totals!$A$2:$O$255""),4,FALSE)"),"#N/A")</f>
        <v>#N/A</v>
      </c>
      <c r="H201" s="15" t="str">
        <f>IFERROR(__xludf.DUMMYFUNCTION("VLOOKUP(A201,IMPORTRANGE(""1QZ5UxyNCwadreQAXnQ7oCoH982DjIA-QnZdO7ZoqkC0/edit#gid=884617569"",""S2 Totals!$A$2:$O$255""),5,FALSE)"),"#N/A")</f>
        <v>#N/A</v>
      </c>
      <c r="I201" s="16" t="str">
        <f t="shared" si="2"/>
        <v>#N/A</v>
      </c>
      <c r="J201" s="16" t="str">
        <f>IFERROR(__xludf.DUMMYFUNCTION("VLOOKUP(A201,IMPORTRANGE(""1QZ5UxyNCwadreQAXnQ7oCoH982DjIA-QnZdO7ZoqkC0/edit#gid=884617569"",""S2 Totals!$A$2:$O$255""),7,FALSE)"),"#N/A")</f>
        <v>#N/A</v>
      </c>
      <c r="K201" s="15" t="str">
        <f>IFERROR(__xludf.DUMMYFUNCTION("VLOOKUP(A201,IMPORTRANGE(""1QZ5UxyNCwadreQAXnQ7oCoH982DjIA-QnZdO7ZoqkC0/edit#gid=884617569"",""S2 Totals!$A$2:$O$255""),8,FALSE)"),"#N/A")</f>
        <v>#N/A</v>
      </c>
      <c r="L201" s="110" t="str">
        <f t="shared" si="3"/>
        <v>#N/A</v>
      </c>
      <c r="M201" s="16" t="str">
        <f>IFERROR(__xludf.DUMMYFUNCTION("VLOOKUP(A201,IMPORTRANGE(""1QZ5UxyNCwadreQAXnQ7oCoH982DjIA-QnZdO7ZoqkC0/edit#gid=884617569"",""S2 Totals!$A$2:$O$255""),10,FALSE)"),"#N/A")</f>
        <v>#N/A</v>
      </c>
      <c r="N201" s="15" t="str">
        <f>IFERROR(__xludf.DUMMYFUNCTION("VLOOKUP(A201,IMPORTRANGE(""1QZ5UxyNCwadreQAXnQ7oCoH982DjIA-QnZdO7ZoqkC0/edit#gid=884617569"",""S2 Totals!$A$2:$O$255""),11,FALSE)"),"#N/A")</f>
        <v>#N/A</v>
      </c>
      <c r="O201" s="110" t="str">
        <f t="shared" si="4"/>
        <v>#N/A</v>
      </c>
      <c r="P201" s="16" t="str">
        <f>IFERROR(__xludf.DUMMYFUNCTION("VLOOKUP(A201,IMPORTRANGE(""1QZ5UxyNCwadreQAXnQ7oCoH982DjIA-QnZdO7ZoqkC0/edit#gid=884617569"",""S2 Totals!$A$2:$O$255""),13,FALSE)"),"#N/A")</f>
        <v>#N/A</v>
      </c>
      <c r="Q201" s="15" t="str">
        <f>IFERROR(__xludf.DUMMYFUNCTION("VLOOKUP(A201,IMPORTRANGE(""1QZ5UxyNCwadreQAXnQ7oCoH982DjIA-QnZdO7ZoqkC0/edit#gid=884617569"",""S2 Totals!$A$2:$O$255""),14,FALSE)"),"#N/A")</f>
        <v>#N/A</v>
      </c>
      <c r="R201" s="129" t="str">
        <f t="shared" si="5"/>
        <v>#N/A</v>
      </c>
    </row>
    <row r="202">
      <c r="A202" s="128" t="s">
        <v>271</v>
      </c>
      <c r="B202" s="16">
        <f>IFERROR(__xludf.DUMMYFUNCTION("VLOOKUP(A202,IMPORTRANGE(""1aFCnJY1qhIj8-JckJhDJ18aqmVo17tofpQmOjcYa3u8/edit#gid=1878241338"",""S2 Totals!$A$2:$O$255""),2,FALSE)"),1.0)</f>
        <v>1</v>
      </c>
      <c r="C202" s="15">
        <f>IFERROR(__xludf.DUMMYFUNCTION("VLOOKUP(A202,IMPORTRANGE(""1aFCnJY1qhIj8-JckJhDJ18aqmVo17tofpQmOjcYa3u8/edit#gid=1878241338"",""S2 Totals!$A$2:$O$255""),3,FALSE)"),0.09090909090909091)</f>
        <v>0.09090909091</v>
      </c>
      <c r="D202" s="16" t="str">
        <f>IFERROR(__xludf.DUMMYFUNCTION("VLOOKUP(A202,IMPORTRANGE(""1QZ5UxyNCwadreQAXnQ7oCoH982DjIA-QnZdO7ZoqkC0/edit#gid=884617569"",""S2 Totals!$A$2:$O$255""),2,FALSE)"),"#N/A")</f>
        <v>#N/A</v>
      </c>
      <c r="E202" s="15" t="str">
        <f>IFERROR(__xludf.DUMMYFUNCTION("VLOOKUP(A202,IMPORTRANGE(""1QZ5UxyNCwadreQAXnQ7oCoH982DjIA-QnZdO7ZoqkC0/edit#gid=884617569"",""S2 Totals!$A$2:$O$255""),3,FALSE)"),"#N/A")</f>
        <v>#N/A</v>
      </c>
      <c r="F202" s="16" t="str">
        <f t="shared" si="1"/>
        <v>#N/A</v>
      </c>
      <c r="G202" s="16" t="str">
        <f>IFERROR(__xludf.DUMMYFUNCTION("VLOOKUP(A202,IMPORTRANGE(""1QZ5UxyNCwadreQAXnQ7oCoH982DjIA-QnZdO7ZoqkC0/edit#gid=884617569"",""S2 Totals!$A$2:$O$255""),4,FALSE)"),"#N/A")</f>
        <v>#N/A</v>
      </c>
      <c r="H202" s="15" t="str">
        <f>IFERROR(__xludf.DUMMYFUNCTION("VLOOKUP(A202,IMPORTRANGE(""1QZ5UxyNCwadreQAXnQ7oCoH982DjIA-QnZdO7ZoqkC0/edit#gid=884617569"",""S2 Totals!$A$2:$O$255""),5,FALSE)"),"#N/A")</f>
        <v>#N/A</v>
      </c>
      <c r="I202" s="16" t="str">
        <f t="shared" si="2"/>
        <v>#N/A</v>
      </c>
      <c r="J202" s="16" t="str">
        <f>IFERROR(__xludf.DUMMYFUNCTION("VLOOKUP(A202,IMPORTRANGE(""1QZ5UxyNCwadreQAXnQ7oCoH982DjIA-QnZdO7ZoqkC0/edit#gid=884617569"",""S2 Totals!$A$2:$O$255""),7,FALSE)"),"#N/A")</f>
        <v>#N/A</v>
      </c>
      <c r="K202" s="15" t="str">
        <f>IFERROR(__xludf.DUMMYFUNCTION("VLOOKUP(A202,IMPORTRANGE(""1QZ5UxyNCwadreQAXnQ7oCoH982DjIA-QnZdO7ZoqkC0/edit#gid=884617569"",""S2 Totals!$A$2:$O$255""),8,FALSE)"),"#N/A")</f>
        <v>#N/A</v>
      </c>
      <c r="L202" s="110" t="str">
        <f t="shared" si="3"/>
        <v>#N/A</v>
      </c>
      <c r="M202" s="16" t="str">
        <f>IFERROR(__xludf.DUMMYFUNCTION("VLOOKUP(A202,IMPORTRANGE(""1QZ5UxyNCwadreQAXnQ7oCoH982DjIA-QnZdO7ZoqkC0/edit#gid=884617569"",""S2 Totals!$A$2:$O$255""),10,FALSE)"),"#N/A")</f>
        <v>#N/A</v>
      </c>
      <c r="N202" s="15" t="str">
        <f>IFERROR(__xludf.DUMMYFUNCTION("VLOOKUP(A202,IMPORTRANGE(""1QZ5UxyNCwadreQAXnQ7oCoH982DjIA-QnZdO7ZoqkC0/edit#gid=884617569"",""S2 Totals!$A$2:$O$255""),11,FALSE)"),"#N/A")</f>
        <v>#N/A</v>
      </c>
      <c r="O202" s="110" t="str">
        <f t="shared" si="4"/>
        <v>#N/A</v>
      </c>
      <c r="P202" s="16" t="str">
        <f>IFERROR(__xludf.DUMMYFUNCTION("VLOOKUP(A202,IMPORTRANGE(""1QZ5UxyNCwadreQAXnQ7oCoH982DjIA-QnZdO7ZoqkC0/edit#gid=884617569"",""S2 Totals!$A$2:$O$255""),13,FALSE)"),"#N/A")</f>
        <v>#N/A</v>
      </c>
      <c r="Q202" s="15" t="str">
        <f>IFERROR(__xludf.DUMMYFUNCTION("VLOOKUP(A202,IMPORTRANGE(""1QZ5UxyNCwadreQAXnQ7oCoH982DjIA-QnZdO7ZoqkC0/edit#gid=884617569"",""S2 Totals!$A$2:$O$255""),14,FALSE)"),"#N/A")</f>
        <v>#N/A</v>
      </c>
      <c r="R202" s="129" t="str">
        <f t="shared" si="5"/>
        <v>#N/A</v>
      </c>
    </row>
    <row r="203">
      <c r="A203" s="136" t="s">
        <v>278</v>
      </c>
      <c r="B203" s="16">
        <f>IFERROR(__xludf.DUMMYFUNCTION("VLOOKUP(A203,IMPORTRANGE(""1aFCnJY1qhIj8-JckJhDJ18aqmVo17tofpQmOjcYa3u8/edit#gid=1878241338"",""S2 Totals!$A$2:$O$255""),2,FALSE)"),1.0)</f>
        <v>1</v>
      </c>
      <c r="C203" s="15">
        <f>IFERROR(__xludf.DUMMYFUNCTION("VLOOKUP(A203,IMPORTRANGE(""1aFCnJY1qhIj8-JckJhDJ18aqmVo17tofpQmOjcYa3u8/edit#gid=1878241338"",""S2 Totals!$A$2:$O$255""),3,FALSE)"),0.09090909090909091)</f>
        <v>0.09090909091</v>
      </c>
      <c r="D203" s="16" t="str">
        <f>IFERROR(__xludf.DUMMYFUNCTION("VLOOKUP(A203,IMPORTRANGE(""1QZ5UxyNCwadreQAXnQ7oCoH982DjIA-QnZdO7ZoqkC0/edit#gid=884617569"",""S2 Totals!$A$2:$O$255""),2,FALSE)"),"#N/A")</f>
        <v>#N/A</v>
      </c>
      <c r="E203" s="15" t="str">
        <f>IFERROR(__xludf.DUMMYFUNCTION("VLOOKUP(A203,IMPORTRANGE(""1QZ5UxyNCwadreQAXnQ7oCoH982DjIA-QnZdO7ZoqkC0/edit#gid=884617569"",""S2 Totals!$A$2:$O$255""),3,FALSE)"),"#N/A")</f>
        <v>#N/A</v>
      </c>
      <c r="F203" s="16" t="str">
        <f t="shared" si="1"/>
        <v>#N/A</v>
      </c>
      <c r="G203" s="16" t="str">
        <f>IFERROR(__xludf.DUMMYFUNCTION("VLOOKUP(A203,IMPORTRANGE(""1QZ5UxyNCwadreQAXnQ7oCoH982DjIA-QnZdO7ZoqkC0/edit#gid=884617569"",""S2 Totals!$A$2:$O$255""),4,FALSE)"),"#N/A")</f>
        <v>#N/A</v>
      </c>
      <c r="H203" s="15" t="str">
        <f>IFERROR(__xludf.DUMMYFUNCTION("VLOOKUP(A203,IMPORTRANGE(""1QZ5UxyNCwadreQAXnQ7oCoH982DjIA-QnZdO7ZoqkC0/edit#gid=884617569"",""S2 Totals!$A$2:$O$255""),5,FALSE)"),"#N/A")</f>
        <v>#N/A</v>
      </c>
      <c r="I203" s="16" t="str">
        <f t="shared" si="2"/>
        <v>#N/A</v>
      </c>
      <c r="J203" s="16" t="str">
        <f>IFERROR(__xludf.DUMMYFUNCTION("VLOOKUP(A203,IMPORTRANGE(""1QZ5UxyNCwadreQAXnQ7oCoH982DjIA-QnZdO7ZoqkC0/edit#gid=884617569"",""S2 Totals!$A$2:$O$255""),7,FALSE)"),"#N/A")</f>
        <v>#N/A</v>
      </c>
      <c r="K203" s="15" t="str">
        <f>IFERROR(__xludf.DUMMYFUNCTION("VLOOKUP(A203,IMPORTRANGE(""1QZ5UxyNCwadreQAXnQ7oCoH982DjIA-QnZdO7ZoqkC0/edit#gid=884617569"",""S2 Totals!$A$2:$O$255""),8,FALSE)"),"#N/A")</f>
        <v>#N/A</v>
      </c>
      <c r="L203" s="110" t="str">
        <f t="shared" si="3"/>
        <v>#N/A</v>
      </c>
      <c r="M203" s="16" t="str">
        <f>IFERROR(__xludf.DUMMYFUNCTION("VLOOKUP(A203,IMPORTRANGE(""1QZ5UxyNCwadreQAXnQ7oCoH982DjIA-QnZdO7ZoqkC0/edit#gid=884617569"",""S2 Totals!$A$2:$O$255""),10,FALSE)"),"#N/A")</f>
        <v>#N/A</v>
      </c>
      <c r="N203" s="15" t="str">
        <f>IFERROR(__xludf.DUMMYFUNCTION("VLOOKUP(A203,IMPORTRANGE(""1QZ5UxyNCwadreQAXnQ7oCoH982DjIA-QnZdO7ZoqkC0/edit#gid=884617569"",""S2 Totals!$A$2:$O$255""),11,FALSE)"),"#N/A")</f>
        <v>#N/A</v>
      </c>
      <c r="O203" s="110" t="str">
        <f t="shared" si="4"/>
        <v>#N/A</v>
      </c>
      <c r="P203" s="16" t="str">
        <f>IFERROR(__xludf.DUMMYFUNCTION("VLOOKUP(A203,IMPORTRANGE(""1QZ5UxyNCwadreQAXnQ7oCoH982DjIA-QnZdO7ZoqkC0/edit#gid=884617569"",""S2 Totals!$A$2:$O$255""),13,FALSE)"),"#N/A")</f>
        <v>#N/A</v>
      </c>
      <c r="Q203" s="15" t="str">
        <f>IFERROR(__xludf.DUMMYFUNCTION("VLOOKUP(A203,IMPORTRANGE(""1QZ5UxyNCwadreQAXnQ7oCoH982DjIA-QnZdO7ZoqkC0/edit#gid=884617569"",""S2 Totals!$A$2:$O$255""),14,FALSE)"),"#N/A")</f>
        <v>#N/A</v>
      </c>
      <c r="R203" s="129" t="str">
        <f t="shared" si="5"/>
        <v>#N/A</v>
      </c>
    </row>
    <row r="204">
      <c r="A204" s="128" t="s">
        <v>195</v>
      </c>
      <c r="B204" s="16">
        <f>IFERROR(__xludf.DUMMYFUNCTION("VLOOKUP(A204,IMPORTRANGE(""1aFCnJY1qhIj8-JckJhDJ18aqmVo17tofpQmOjcYa3u8/edit#gid=1878241338"",""S2 Totals!$A$2:$O$255""),2,FALSE)"),2.0)</f>
        <v>2</v>
      </c>
      <c r="C204" s="15">
        <f>IFERROR(__xludf.DUMMYFUNCTION("VLOOKUP(A204,IMPORTRANGE(""1aFCnJY1qhIj8-JckJhDJ18aqmVo17tofpQmOjcYa3u8/edit#gid=1878241338"",""S2 Totals!$A$2:$O$255""),3,FALSE)"),0.18181818181818182)</f>
        <v>0.1818181818</v>
      </c>
      <c r="D204" s="16">
        <f>IFERROR(__xludf.DUMMYFUNCTION("VLOOKUP(A204,IMPORTRANGE(""1QZ5UxyNCwadreQAXnQ7oCoH982DjIA-QnZdO7ZoqkC0/edit#gid=884617569"",""S2 Totals!$A$2:$O$255""),2,FALSE)"),2.0)</f>
        <v>2</v>
      </c>
      <c r="E204" s="15">
        <f>IFERROR(__xludf.DUMMYFUNCTION("VLOOKUP(A204,IMPORTRANGE(""1QZ5UxyNCwadreQAXnQ7oCoH982DjIA-QnZdO7ZoqkC0/edit#gid=884617569"",""S2 Totals!$A$2:$O$255""),3,FALSE)"),0.15384615384615385)</f>
        <v>0.1538461538</v>
      </c>
      <c r="F204" s="15">
        <f t="shared" si="1"/>
        <v>0.02797202797</v>
      </c>
      <c r="G204" s="16">
        <f>IFERROR(__xludf.DUMMYFUNCTION("VLOOKUP(A204,IMPORTRANGE(""1QZ5UxyNCwadreQAXnQ7oCoH982DjIA-QnZdO7ZoqkC0/edit#gid=884617569"",""S2 Totals!$A$2:$O$255""),4,FALSE)"),0.0)</f>
        <v>0</v>
      </c>
      <c r="H204" s="15">
        <f>IFERROR(__xludf.DUMMYFUNCTION("VLOOKUP(A204,IMPORTRANGE(""1QZ5UxyNCwadreQAXnQ7oCoH982DjIA-QnZdO7ZoqkC0/edit#gid=884617569"",""S2 Totals!$A$2:$O$255""),5,FALSE)"),0.0)</f>
        <v>0</v>
      </c>
      <c r="I204" s="15">
        <f t="shared" si="2"/>
        <v>0.1818181818</v>
      </c>
      <c r="J204" s="16">
        <f>IFERROR(__xludf.DUMMYFUNCTION("VLOOKUP(A204,IMPORTRANGE(""1QZ5UxyNCwadreQAXnQ7oCoH982DjIA-QnZdO7ZoqkC0/edit#gid=884617569"",""S2 Totals!$A$2:$O$255""),7,FALSE)"),0.0)</f>
        <v>0</v>
      </c>
      <c r="K204" s="15">
        <f>IFERROR(__xludf.DUMMYFUNCTION("VLOOKUP(A204,IMPORTRANGE(""1QZ5UxyNCwadreQAXnQ7oCoH982DjIA-QnZdO7ZoqkC0/edit#gid=884617569"",""S2 Totals!$A$2:$O$255""),8,FALSE)"),0.0)</f>
        <v>0</v>
      </c>
      <c r="L204" s="110">
        <f t="shared" si="3"/>
        <v>0.1818181818</v>
      </c>
      <c r="M204" s="16" t="str">
        <f>IFERROR(__xludf.DUMMYFUNCTION("VLOOKUP(A204,IMPORTRANGE(""1QZ5UxyNCwadreQAXnQ7oCoH982DjIA-QnZdO7ZoqkC0/edit#gid=884617569"",""S2 Totals!$A$2:$O$255""),10,FALSE)"),"")</f>
        <v/>
      </c>
      <c r="N204" s="15" t="str">
        <f>IFERROR(__xludf.DUMMYFUNCTION("VLOOKUP(A204,IMPORTRANGE(""1QZ5UxyNCwadreQAXnQ7oCoH982DjIA-QnZdO7ZoqkC0/edit#gid=884617569"",""S2 Totals!$A$2:$O$255""),11,FALSE)"),"")</f>
        <v/>
      </c>
      <c r="O204" s="110">
        <f t="shared" si="4"/>
        <v>0.1818181818</v>
      </c>
      <c r="P204" s="16" t="str">
        <f>IFERROR(__xludf.DUMMYFUNCTION("VLOOKUP(A204,IMPORTRANGE(""1QZ5UxyNCwadreQAXnQ7oCoH982DjIA-QnZdO7ZoqkC0/edit#gid=884617569"",""S2 Totals!$A$2:$O$255""),13,FALSE)"),"")</f>
        <v/>
      </c>
      <c r="Q204" s="15" t="str">
        <f>IFERROR(__xludf.DUMMYFUNCTION("VLOOKUP(A204,IMPORTRANGE(""1QZ5UxyNCwadreQAXnQ7oCoH982DjIA-QnZdO7ZoqkC0/edit#gid=884617569"",""S2 Totals!$A$2:$O$255""),14,FALSE)"),"")</f>
        <v/>
      </c>
      <c r="R204" s="129">
        <f t="shared" si="5"/>
        <v>0.1818181818</v>
      </c>
    </row>
    <row r="205">
      <c r="A205" s="128" t="s">
        <v>196</v>
      </c>
      <c r="B205" s="16">
        <f>IFERROR(__xludf.DUMMYFUNCTION("VLOOKUP(A205,IMPORTRANGE(""1aFCnJY1qhIj8-JckJhDJ18aqmVo17tofpQmOjcYa3u8/edit#gid=1878241338"",""S2 Totals!$A$2:$O$255""),2,FALSE)"),5.0)</f>
        <v>5</v>
      </c>
      <c r="C205" s="15">
        <f>IFERROR(__xludf.DUMMYFUNCTION("VLOOKUP(A205,IMPORTRANGE(""1aFCnJY1qhIj8-JckJhDJ18aqmVo17tofpQmOjcYa3u8/edit#gid=1878241338"",""S2 Totals!$A$2:$O$255""),3,FALSE)"),0.45454545454545453)</f>
        <v>0.4545454545</v>
      </c>
      <c r="D205" s="16">
        <f>IFERROR(__xludf.DUMMYFUNCTION("VLOOKUP(A205,IMPORTRANGE(""1QZ5UxyNCwadreQAXnQ7oCoH982DjIA-QnZdO7ZoqkC0/edit#gid=884617569"",""S2 Totals!$A$2:$O$255""),2,FALSE)"),10.0)</f>
        <v>10</v>
      </c>
      <c r="E205" s="15">
        <f>IFERROR(__xludf.DUMMYFUNCTION("VLOOKUP(A205,IMPORTRANGE(""1QZ5UxyNCwadreQAXnQ7oCoH982DjIA-QnZdO7ZoqkC0/edit#gid=884617569"",""S2 Totals!$A$2:$O$255""),3,FALSE)"),0.7692307692307693)</f>
        <v>0.7692307692</v>
      </c>
      <c r="F205" s="15">
        <f t="shared" si="1"/>
        <v>-0.3146853147</v>
      </c>
      <c r="G205" s="16">
        <f>IFERROR(__xludf.DUMMYFUNCTION("VLOOKUP(A205,IMPORTRANGE(""1QZ5UxyNCwadreQAXnQ7oCoH982DjIA-QnZdO7ZoqkC0/edit#gid=884617569"",""S2 Totals!$A$2:$O$255""),4,FALSE)"),6.0)</f>
        <v>6</v>
      </c>
      <c r="H205" s="15">
        <f>IFERROR(__xludf.DUMMYFUNCTION("VLOOKUP(A205,IMPORTRANGE(""1QZ5UxyNCwadreQAXnQ7oCoH982DjIA-QnZdO7ZoqkC0/edit#gid=884617569"",""S2 Totals!$A$2:$O$255""),5,FALSE)"),0.5)</f>
        <v>0.5</v>
      </c>
      <c r="I205" s="15">
        <f t="shared" si="2"/>
        <v>-0.04545454545</v>
      </c>
      <c r="J205" s="16">
        <f>IFERROR(__xludf.DUMMYFUNCTION("VLOOKUP(A205,IMPORTRANGE(""1QZ5UxyNCwadreQAXnQ7oCoH982DjIA-QnZdO7ZoqkC0/edit#gid=884617569"",""S2 Totals!$A$2:$O$255""),7,FALSE)"),2.0)</f>
        <v>2</v>
      </c>
      <c r="K205" s="15">
        <f>IFERROR(__xludf.DUMMYFUNCTION("VLOOKUP(A205,IMPORTRANGE(""1QZ5UxyNCwadreQAXnQ7oCoH982DjIA-QnZdO7ZoqkC0/edit#gid=884617569"",""S2 Totals!$A$2:$O$255""),8,FALSE)"),0.16666666666666666)</f>
        <v>0.1666666667</v>
      </c>
      <c r="L205" s="110">
        <f t="shared" si="3"/>
        <v>0.2878787879</v>
      </c>
      <c r="M205" s="16" t="str">
        <f>IFERROR(__xludf.DUMMYFUNCTION("VLOOKUP(A205,IMPORTRANGE(""1QZ5UxyNCwadreQAXnQ7oCoH982DjIA-QnZdO7ZoqkC0/edit#gid=884617569"",""S2 Totals!$A$2:$O$255""),10,FALSE)"),"")</f>
        <v/>
      </c>
      <c r="N205" s="15" t="str">
        <f>IFERROR(__xludf.DUMMYFUNCTION("VLOOKUP(A205,IMPORTRANGE(""1QZ5UxyNCwadreQAXnQ7oCoH982DjIA-QnZdO7ZoqkC0/edit#gid=884617569"",""S2 Totals!$A$2:$O$255""),11,FALSE)"),"")</f>
        <v/>
      </c>
      <c r="O205" s="110">
        <f t="shared" si="4"/>
        <v>0.4545454545</v>
      </c>
      <c r="P205" s="16" t="str">
        <f>IFERROR(__xludf.DUMMYFUNCTION("VLOOKUP(A205,IMPORTRANGE(""1QZ5UxyNCwadreQAXnQ7oCoH982DjIA-QnZdO7ZoqkC0/edit#gid=884617569"",""S2 Totals!$A$2:$O$255""),13,FALSE)"),"")</f>
        <v/>
      </c>
      <c r="Q205" s="15" t="str">
        <f>IFERROR(__xludf.DUMMYFUNCTION("VLOOKUP(A205,IMPORTRANGE(""1QZ5UxyNCwadreQAXnQ7oCoH982DjIA-QnZdO7ZoqkC0/edit#gid=884617569"",""S2 Totals!$A$2:$O$255""),14,FALSE)"),"")</f>
        <v/>
      </c>
      <c r="R205" s="129">
        <f t="shared" si="5"/>
        <v>0.4545454545</v>
      </c>
    </row>
    <row r="206">
      <c r="A206" s="128" t="s">
        <v>272</v>
      </c>
      <c r="B206" s="16">
        <f>IFERROR(__xludf.DUMMYFUNCTION("VLOOKUP(A206,IMPORTRANGE(""1aFCnJY1qhIj8-JckJhDJ18aqmVo17tofpQmOjcYa3u8/edit#gid=1878241338"",""S2 Totals!$A$2:$O$255""),2,FALSE)"),0.0)</f>
        <v>0</v>
      </c>
      <c r="C206" s="15">
        <f>IFERROR(__xludf.DUMMYFUNCTION("VLOOKUP(A206,IMPORTRANGE(""1aFCnJY1qhIj8-JckJhDJ18aqmVo17tofpQmOjcYa3u8/edit#gid=1878241338"",""S2 Totals!$A$2:$O$255""),3,FALSE)"),0.0)</f>
        <v>0</v>
      </c>
      <c r="D206" s="16" t="str">
        <f>IFERROR(__xludf.DUMMYFUNCTION("VLOOKUP(A206,IMPORTRANGE(""1QZ5UxyNCwadreQAXnQ7oCoH982DjIA-QnZdO7ZoqkC0/edit#gid=884617569"",""S2 Totals!$A$2:$O$255""),2,FALSE)"),"#N/A")</f>
        <v>#N/A</v>
      </c>
      <c r="E206" s="15" t="str">
        <f>IFERROR(__xludf.DUMMYFUNCTION("VLOOKUP(A206,IMPORTRANGE(""1QZ5UxyNCwadreQAXnQ7oCoH982DjIA-QnZdO7ZoqkC0/edit#gid=884617569"",""S2 Totals!$A$2:$O$255""),3,FALSE)"),"#N/A")</f>
        <v>#N/A</v>
      </c>
      <c r="F206" s="16" t="str">
        <f t="shared" si="1"/>
        <v>#N/A</v>
      </c>
      <c r="G206" s="16" t="str">
        <f>IFERROR(__xludf.DUMMYFUNCTION("VLOOKUP(A206,IMPORTRANGE(""1QZ5UxyNCwadreQAXnQ7oCoH982DjIA-QnZdO7ZoqkC0/edit#gid=884617569"",""S2 Totals!$A$2:$O$255""),4,FALSE)"),"#N/A")</f>
        <v>#N/A</v>
      </c>
      <c r="H206" s="15" t="str">
        <f>IFERROR(__xludf.DUMMYFUNCTION("VLOOKUP(A206,IMPORTRANGE(""1QZ5UxyNCwadreQAXnQ7oCoH982DjIA-QnZdO7ZoqkC0/edit#gid=884617569"",""S2 Totals!$A$2:$O$255""),5,FALSE)"),"#N/A")</f>
        <v>#N/A</v>
      </c>
      <c r="I206" s="16" t="str">
        <f t="shared" si="2"/>
        <v>#N/A</v>
      </c>
      <c r="J206" s="16" t="str">
        <f>IFERROR(__xludf.DUMMYFUNCTION("VLOOKUP(A206,IMPORTRANGE(""1QZ5UxyNCwadreQAXnQ7oCoH982DjIA-QnZdO7ZoqkC0/edit#gid=884617569"",""S2 Totals!$A$2:$O$255""),7,FALSE)"),"#N/A")</f>
        <v>#N/A</v>
      </c>
      <c r="K206" s="15" t="str">
        <f>IFERROR(__xludf.DUMMYFUNCTION("VLOOKUP(A206,IMPORTRANGE(""1QZ5UxyNCwadreQAXnQ7oCoH982DjIA-QnZdO7ZoqkC0/edit#gid=884617569"",""S2 Totals!$A$2:$O$255""),8,FALSE)"),"#N/A")</f>
        <v>#N/A</v>
      </c>
      <c r="L206" s="110" t="str">
        <f t="shared" si="3"/>
        <v>#N/A</v>
      </c>
      <c r="M206" s="16" t="str">
        <f>IFERROR(__xludf.DUMMYFUNCTION("VLOOKUP(A206,IMPORTRANGE(""1QZ5UxyNCwadreQAXnQ7oCoH982DjIA-QnZdO7ZoqkC0/edit#gid=884617569"",""S2 Totals!$A$2:$O$255""),10,FALSE)"),"#N/A")</f>
        <v>#N/A</v>
      </c>
      <c r="N206" s="15" t="str">
        <f>IFERROR(__xludf.DUMMYFUNCTION("VLOOKUP(A206,IMPORTRANGE(""1QZ5UxyNCwadreQAXnQ7oCoH982DjIA-QnZdO7ZoqkC0/edit#gid=884617569"",""S2 Totals!$A$2:$O$255""),11,FALSE)"),"#N/A")</f>
        <v>#N/A</v>
      </c>
      <c r="O206" s="110" t="str">
        <f t="shared" si="4"/>
        <v>#N/A</v>
      </c>
      <c r="P206" s="16" t="str">
        <f>IFERROR(__xludf.DUMMYFUNCTION("VLOOKUP(A206,IMPORTRANGE(""1QZ5UxyNCwadreQAXnQ7oCoH982DjIA-QnZdO7ZoqkC0/edit#gid=884617569"",""S2 Totals!$A$2:$O$255""),13,FALSE)"),"#N/A")</f>
        <v>#N/A</v>
      </c>
      <c r="Q206" s="15" t="str">
        <f>IFERROR(__xludf.DUMMYFUNCTION("VLOOKUP(A206,IMPORTRANGE(""1QZ5UxyNCwadreQAXnQ7oCoH982DjIA-QnZdO7ZoqkC0/edit#gid=884617569"",""S2 Totals!$A$2:$O$255""),14,FALSE)"),"#N/A")</f>
        <v>#N/A</v>
      </c>
      <c r="R206" s="129" t="str">
        <f t="shared" si="5"/>
        <v>#N/A</v>
      </c>
    </row>
    <row r="207">
      <c r="A207" s="128" t="s">
        <v>147</v>
      </c>
      <c r="B207" s="16">
        <f>IFERROR(__xludf.DUMMYFUNCTION("VLOOKUP(A207,IMPORTRANGE(""1aFCnJY1qhIj8-JckJhDJ18aqmVo17tofpQmOjcYa3u8/edit#gid=1878241338"",""S2 Totals!$A$2:$O$255""),2,FALSE)"),1.0)</f>
        <v>1</v>
      </c>
      <c r="C207" s="15">
        <f>IFERROR(__xludf.DUMMYFUNCTION("VLOOKUP(A207,IMPORTRANGE(""1aFCnJY1qhIj8-JckJhDJ18aqmVo17tofpQmOjcYa3u8/edit#gid=1878241338"",""S2 Totals!$A$2:$O$255""),3,FALSE)"),0.09090909090909091)</f>
        <v>0.09090909091</v>
      </c>
      <c r="D207" s="16">
        <f>IFERROR(__xludf.DUMMYFUNCTION("VLOOKUP(A207,IMPORTRANGE(""1QZ5UxyNCwadreQAXnQ7oCoH982DjIA-QnZdO7ZoqkC0/edit#gid=884617569"",""S2 Totals!$A$2:$O$255""),2,FALSE)"),1.0)</f>
        <v>1</v>
      </c>
      <c r="E207" s="15">
        <f>IFERROR(__xludf.DUMMYFUNCTION("VLOOKUP(A207,IMPORTRANGE(""1QZ5UxyNCwadreQAXnQ7oCoH982DjIA-QnZdO7ZoqkC0/edit#gid=884617569"",""S2 Totals!$A$2:$O$255""),3,FALSE)"),0.07692307692307693)</f>
        <v>0.07692307692</v>
      </c>
      <c r="F207" s="15">
        <f t="shared" si="1"/>
        <v>0.01398601399</v>
      </c>
      <c r="G207" s="16">
        <f>IFERROR(__xludf.DUMMYFUNCTION("VLOOKUP(A207,IMPORTRANGE(""1QZ5UxyNCwadreQAXnQ7oCoH982DjIA-QnZdO7ZoqkC0/edit#gid=884617569"",""S2 Totals!$A$2:$O$255""),4,FALSE)"),0.0)</f>
        <v>0</v>
      </c>
      <c r="H207" s="15">
        <f>IFERROR(__xludf.DUMMYFUNCTION("VLOOKUP(A207,IMPORTRANGE(""1QZ5UxyNCwadreQAXnQ7oCoH982DjIA-QnZdO7ZoqkC0/edit#gid=884617569"",""S2 Totals!$A$2:$O$255""),5,FALSE)"),0.0)</f>
        <v>0</v>
      </c>
      <c r="I207" s="15">
        <f t="shared" si="2"/>
        <v>0.09090909091</v>
      </c>
      <c r="J207" s="16">
        <f>IFERROR(__xludf.DUMMYFUNCTION("VLOOKUP(A207,IMPORTRANGE(""1QZ5UxyNCwadreQAXnQ7oCoH982DjIA-QnZdO7ZoqkC0/edit#gid=884617569"",""S2 Totals!$A$2:$O$255""),7,FALSE)"),0.0)</f>
        <v>0</v>
      </c>
      <c r="K207" s="15">
        <f>IFERROR(__xludf.DUMMYFUNCTION("VLOOKUP(A207,IMPORTRANGE(""1QZ5UxyNCwadreQAXnQ7oCoH982DjIA-QnZdO7ZoqkC0/edit#gid=884617569"",""S2 Totals!$A$2:$O$255""),8,FALSE)"),0.0)</f>
        <v>0</v>
      </c>
      <c r="L207" s="110">
        <f t="shared" si="3"/>
        <v>0.09090909091</v>
      </c>
      <c r="M207" s="16">
        <f>IFERROR(__xludf.DUMMYFUNCTION("VLOOKUP(A207,IMPORTRANGE(""1QZ5UxyNCwadreQAXnQ7oCoH982DjIA-QnZdO7ZoqkC0/edit#gid=884617569"",""S2 Totals!$A$2:$O$255""),10,FALSE)"),2.0)</f>
        <v>2</v>
      </c>
      <c r="N207" s="15">
        <f>IFERROR(__xludf.DUMMYFUNCTION("VLOOKUP(A207,IMPORTRANGE(""1QZ5UxyNCwadreQAXnQ7oCoH982DjIA-QnZdO7ZoqkC0/edit#gid=884617569"",""S2 Totals!$A$2:$O$255""),11,FALSE)"),0.15384615384615385)</f>
        <v>0.1538461538</v>
      </c>
      <c r="O207" s="110">
        <f t="shared" si="4"/>
        <v>-0.06293706294</v>
      </c>
      <c r="P207" s="16" t="str">
        <f>IFERROR(__xludf.DUMMYFUNCTION("VLOOKUP(A207,IMPORTRANGE(""1QZ5UxyNCwadreQAXnQ7oCoH982DjIA-QnZdO7ZoqkC0/edit#gid=884617569"",""S2 Totals!$A$2:$O$255""),13,FALSE)"),"")</f>
        <v/>
      </c>
      <c r="Q207" s="15" t="str">
        <f>IFERROR(__xludf.DUMMYFUNCTION("VLOOKUP(A207,IMPORTRANGE(""1QZ5UxyNCwadreQAXnQ7oCoH982DjIA-QnZdO7ZoqkC0/edit#gid=884617569"",""S2 Totals!$A$2:$O$255""),14,FALSE)"),"")</f>
        <v/>
      </c>
      <c r="R207" s="129">
        <f t="shared" si="5"/>
        <v>0.09090909091</v>
      </c>
    </row>
    <row r="208">
      <c r="A208" s="128" t="s">
        <v>197</v>
      </c>
      <c r="B208" s="16">
        <f>IFERROR(__xludf.DUMMYFUNCTION("VLOOKUP(A208,IMPORTRANGE(""1aFCnJY1qhIj8-JckJhDJ18aqmVo17tofpQmOjcYa3u8/edit#gid=1878241338"",""S2 Totals!$A$2:$O$255""),2,FALSE)"),2.0)</f>
        <v>2</v>
      </c>
      <c r="C208" s="15">
        <f>IFERROR(__xludf.DUMMYFUNCTION("VLOOKUP(A208,IMPORTRANGE(""1aFCnJY1qhIj8-JckJhDJ18aqmVo17tofpQmOjcYa3u8/edit#gid=1878241338"",""S2 Totals!$A$2:$O$255""),3,FALSE)"),0.18181818181818182)</f>
        <v>0.1818181818</v>
      </c>
      <c r="D208" s="16">
        <f>IFERROR(__xludf.DUMMYFUNCTION("VLOOKUP(A208,IMPORTRANGE(""1QZ5UxyNCwadreQAXnQ7oCoH982DjIA-QnZdO7ZoqkC0/edit#gid=884617569"",""S2 Totals!$A$2:$O$255""),2,FALSE)"),2.0)</f>
        <v>2</v>
      </c>
      <c r="E208" s="15">
        <f>IFERROR(__xludf.DUMMYFUNCTION("VLOOKUP(A208,IMPORTRANGE(""1QZ5UxyNCwadreQAXnQ7oCoH982DjIA-QnZdO7ZoqkC0/edit#gid=884617569"",""S2 Totals!$A$2:$O$255""),3,FALSE)"),0.15384615384615385)</f>
        <v>0.1538461538</v>
      </c>
      <c r="F208" s="15">
        <f t="shared" si="1"/>
        <v>0.02797202797</v>
      </c>
      <c r="G208" s="16">
        <f>IFERROR(__xludf.DUMMYFUNCTION("VLOOKUP(A208,IMPORTRANGE(""1QZ5UxyNCwadreQAXnQ7oCoH982DjIA-QnZdO7ZoqkC0/edit#gid=884617569"",""S2 Totals!$A$2:$O$255""),4,FALSE)"),2.0)</f>
        <v>2</v>
      </c>
      <c r="H208" s="15">
        <f>IFERROR(__xludf.DUMMYFUNCTION("VLOOKUP(A208,IMPORTRANGE(""1QZ5UxyNCwadreQAXnQ7oCoH982DjIA-QnZdO7ZoqkC0/edit#gid=884617569"",""S2 Totals!$A$2:$O$255""),5,FALSE)"),0.16666666666666666)</f>
        <v>0.1666666667</v>
      </c>
      <c r="I208" s="15">
        <f t="shared" si="2"/>
        <v>0.01515151515</v>
      </c>
      <c r="J208" s="16">
        <f>IFERROR(__xludf.DUMMYFUNCTION("VLOOKUP(A208,IMPORTRANGE(""1QZ5UxyNCwadreQAXnQ7oCoH982DjIA-QnZdO7ZoqkC0/edit#gid=884617569"",""S2 Totals!$A$2:$O$255""),7,FALSE)"),0.0)</f>
        <v>0</v>
      </c>
      <c r="K208" s="15">
        <f>IFERROR(__xludf.DUMMYFUNCTION("VLOOKUP(A208,IMPORTRANGE(""1QZ5UxyNCwadreQAXnQ7oCoH982DjIA-QnZdO7ZoqkC0/edit#gid=884617569"",""S2 Totals!$A$2:$O$255""),8,FALSE)"),0.0)</f>
        <v>0</v>
      </c>
      <c r="L208" s="110">
        <f t="shared" si="3"/>
        <v>0.1818181818</v>
      </c>
      <c r="M208" s="16" t="str">
        <f>IFERROR(__xludf.DUMMYFUNCTION("VLOOKUP(A208,IMPORTRANGE(""1QZ5UxyNCwadreQAXnQ7oCoH982DjIA-QnZdO7ZoqkC0/edit#gid=884617569"",""S2 Totals!$A$2:$O$255""),10,FALSE)"),"")</f>
        <v/>
      </c>
      <c r="N208" s="15" t="str">
        <f>IFERROR(__xludf.DUMMYFUNCTION("VLOOKUP(A208,IMPORTRANGE(""1QZ5UxyNCwadreQAXnQ7oCoH982DjIA-QnZdO7ZoqkC0/edit#gid=884617569"",""S2 Totals!$A$2:$O$255""),11,FALSE)"),"")</f>
        <v/>
      </c>
      <c r="O208" s="110">
        <f t="shared" si="4"/>
        <v>0.1818181818</v>
      </c>
      <c r="P208" s="16" t="str">
        <f>IFERROR(__xludf.DUMMYFUNCTION("VLOOKUP(A208,IMPORTRANGE(""1QZ5UxyNCwadreQAXnQ7oCoH982DjIA-QnZdO7ZoqkC0/edit#gid=884617569"",""S2 Totals!$A$2:$O$255""),13,FALSE)"),"")</f>
        <v/>
      </c>
      <c r="Q208" s="15" t="str">
        <f>IFERROR(__xludf.DUMMYFUNCTION("VLOOKUP(A208,IMPORTRANGE(""1QZ5UxyNCwadreQAXnQ7oCoH982DjIA-QnZdO7ZoqkC0/edit#gid=884617569"",""S2 Totals!$A$2:$O$255""),14,FALSE)"),"")</f>
        <v/>
      </c>
      <c r="R208" s="129">
        <f t="shared" si="5"/>
        <v>0.1818181818</v>
      </c>
    </row>
    <row r="209">
      <c r="A209" s="128" t="s">
        <v>148</v>
      </c>
      <c r="B209" s="16">
        <f>IFERROR(__xludf.DUMMYFUNCTION("VLOOKUP(A209,IMPORTRANGE(""1aFCnJY1qhIj8-JckJhDJ18aqmVo17tofpQmOjcYa3u8/edit#gid=1878241338"",""S2 Totals!$A$2:$O$255""),2,FALSE)"),10.0)</f>
        <v>10</v>
      </c>
      <c r="C209" s="15">
        <f>IFERROR(__xludf.DUMMYFUNCTION("VLOOKUP(A209,IMPORTRANGE(""1aFCnJY1qhIj8-JckJhDJ18aqmVo17tofpQmOjcYa3u8/edit#gid=1878241338"",""S2 Totals!$A$2:$O$255""),3,FALSE)"),0.9090909090909091)</f>
        <v>0.9090909091</v>
      </c>
      <c r="D209" s="16">
        <f>IFERROR(__xludf.DUMMYFUNCTION("VLOOKUP(A209,IMPORTRANGE(""1QZ5UxyNCwadreQAXnQ7oCoH982DjIA-QnZdO7ZoqkC0/edit#gid=884617569"",""S2 Totals!$A$2:$O$255""),2,FALSE)"),8.0)</f>
        <v>8</v>
      </c>
      <c r="E209" s="15">
        <f>IFERROR(__xludf.DUMMYFUNCTION("VLOOKUP(A209,IMPORTRANGE(""1QZ5UxyNCwadreQAXnQ7oCoH982DjIA-QnZdO7ZoqkC0/edit#gid=884617569"",""S2 Totals!$A$2:$O$255""),3,FALSE)"),0.6153846153846154)</f>
        <v>0.6153846154</v>
      </c>
      <c r="F209" s="15">
        <f t="shared" si="1"/>
        <v>0.2937062937</v>
      </c>
      <c r="G209" s="16">
        <f>IFERROR(__xludf.DUMMYFUNCTION("VLOOKUP(A209,IMPORTRANGE(""1QZ5UxyNCwadreQAXnQ7oCoH982DjIA-QnZdO7ZoqkC0/edit#gid=884617569"",""S2 Totals!$A$2:$O$255""),4,FALSE)"),8.0)</f>
        <v>8</v>
      </c>
      <c r="H209" s="15">
        <f>IFERROR(__xludf.DUMMYFUNCTION("VLOOKUP(A209,IMPORTRANGE(""1QZ5UxyNCwadreQAXnQ7oCoH982DjIA-QnZdO7ZoqkC0/edit#gid=884617569"",""S2 Totals!$A$2:$O$255""),5,FALSE)"),0.6666666666666666)</f>
        <v>0.6666666667</v>
      </c>
      <c r="I209" s="15">
        <f t="shared" si="2"/>
        <v>0.2424242424</v>
      </c>
      <c r="J209" s="16">
        <f>IFERROR(__xludf.DUMMYFUNCTION("VLOOKUP(A209,IMPORTRANGE(""1QZ5UxyNCwadreQAXnQ7oCoH982DjIA-QnZdO7ZoqkC0/edit#gid=884617569"",""S2 Totals!$A$2:$O$255""),7,FALSE)"),6.0)</f>
        <v>6</v>
      </c>
      <c r="K209" s="15">
        <f>IFERROR(__xludf.DUMMYFUNCTION("VLOOKUP(A209,IMPORTRANGE(""1QZ5UxyNCwadreQAXnQ7oCoH982DjIA-QnZdO7ZoqkC0/edit#gid=884617569"",""S2 Totals!$A$2:$O$255""),8,FALSE)"),0.5)</f>
        <v>0.5</v>
      </c>
      <c r="L209" s="110">
        <f t="shared" si="3"/>
        <v>0.4090909091</v>
      </c>
      <c r="M209" s="16">
        <f>IFERROR(__xludf.DUMMYFUNCTION("VLOOKUP(A209,IMPORTRANGE(""1QZ5UxyNCwadreQAXnQ7oCoH982DjIA-QnZdO7ZoqkC0/edit#gid=884617569"",""S2 Totals!$A$2:$O$255""),10,FALSE)"),8.0)</f>
        <v>8</v>
      </c>
      <c r="N209" s="15">
        <f>IFERROR(__xludf.DUMMYFUNCTION("VLOOKUP(A209,IMPORTRANGE(""1QZ5UxyNCwadreQAXnQ7oCoH982DjIA-QnZdO7ZoqkC0/edit#gid=884617569"",""S2 Totals!$A$2:$O$255""),11,FALSE)"),0.6153846153846154)</f>
        <v>0.6153846154</v>
      </c>
      <c r="O209" s="110">
        <f t="shared" si="4"/>
        <v>0.2937062937</v>
      </c>
      <c r="P209" s="16" t="str">
        <f>IFERROR(__xludf.DUMMYFUNCTION("VLOOKUP(A209,IMPORTRANGE(""1QZ5UxyNCwadreQAXnQ7oCoH982DjIA-QnZdO7ZoqkC0/edit#gid=884617569"",""S2 Totals!$A$2:$O$255""),13,FALSE)"),"")</f>
        <v/>
      </c>
      <c r="Q209" s="15" t="str">
        <f>IFERROR(__xludf.DUMMYFUNCTION("VLOOKUP(A209,IMPORTRANGE(""1QZ5UxyNCwadreQAXnQ7oCoH982DjIA-QnZdO7ZoqkC0/edit#gid=884617569"",""S2 Totals!$A$2:$O$255""),14,FALSE)"),"")</f>
        <v/>
      </c>
      <c r="R209" s="129">
        <f t="shared" si="5"/>
        <v>0.9090909091</v>
      </c>
    </row>
    <row r="210">
      <c r="A210" s="128" t="s">
        <v>149</v>
      </c>
      <c r="B210" s="16">
        <f>IFERROR(__xludf.DUMMYFUNCTION("VLOOKUP(A210,IMPORTRANGE(""1aFCnJY1qhIj8-JckJhDJ18aqmVo17tofpQmOjcYa3u8/edit#gid=1878241338"",""S2 Totals!$A$2:$O$255""),2,FALSE)"),9.0)</f>
        <v>9</v>
      </c>
      <c r="C210" s="15">
        <f>IFERROR(__xludf.DUMMYFUNCTION("VLOOKUP(A210,IMPORTRANGE(""1aFCnJY1qhIj8-JckJhDJ18aqmVo17tofpQmOjcYa3u8/edit#gid=1878241338"",""S2 Totals!$A$2:$O$255""),3,FALSE)"),0.8181818181818182)</f>
        <v>0.8181818182</v>
      </c>
      <c r="D210" s="16">
        <f>IFERROR(__xludf.DUMMYFUNCTION("VLOOKUP(A210,IMPORTRANGE(""1QZ5UxyNCwadreQAXnQ7oCoH982DjIA-QnZdO7ZoqkC0/edit#gid=884617569"",""S2 Totals!$A$2:$O$255""),2,FALSE)"),8.0)</f>
        <v>8</v>
      </c>
      <c r="E210" s="15">
        <f>IFERROR(__xludf.DUMMYFUNCTION("VLOOKUP(A210,IMPORTRANGE(""1QZ5UxyNCwadreQAXnQ7oCoH982DjIA-QnZdO7ZoqkC0/edit#gid=884617569"",""S2 Totals!$A$2:$O$255""),3,FALSE)"),0.6153846153846154)</f>
        <v>0.6153846154</v>
      </c>
      <c r="F210" s="15">
        <f t="shared" si="1"/>
        <v>0.2027972028</v>
      </c>
      <c r="G210" s="16">
        <f>IFERROR(__xludf.DUMMYFUNCTION("VLOOKUP(A210,IMPORTRANGE(""1QZ5UxyNCwadreQAXnQ7oCoH982DjIA-QnZdO7ZoqkC0/edit#gid=884617569"",""S2 Totals!$A$2:$O$255""),4,FALSE)"),2.0)</f>
        <v>2</v>
      </c>
      <c r="H210" s="15">
        <f>IFERROR(__xludf.DUMMYFUNCTION("VLOOKUP(A210,IMPORTRANGE(""1QZ5UxyNCwadreQAXnQ7oCoH982DjIA-QnZdO7ZoqkC0/edit#gid=884617569"",""S2 Totals!$A$2:$O$255""),5,FALSE)"),0.16666666666666666)</f>
        <v>0.1666666667</v>
      </c>
      <c r="I210" s="15">
        <f t="shared" si="2"/>
        <v>0.6515151515</v>
      </c>
      <c r="J210" s="16">
        <f>IFERROR(__xludf.DUMMYFUNCTION("VLOOKUP(A210,IMPORTRANGE(""1QZ5UxyNCwadreQAXnQ7oCoH982DjIA-QnZdO7ZoqkC0/edit#gid=884617569"",""S2 Totals!$A$2:$O$255""),7,FALSE)"),3.0)</f>
        <v>3</v>
      </c>
      <c r="K210" s="15">
        <f>IFERROR(__xludf.DUMMYFUNCTION("VLOOKUP(A210,IMPORTRANGE(""1QZ5UxyNCwadreQAXnQ7oCoH982DjIA-QnZdO7ZoqkC0/edit#gid=884617569"",""S2 Totals!$A$2:$O$255""),8,FALSE)"),0.25)</f>
        <v>0.25</v>
      </c>
      <c r="L210" s="110">
        <f t="shared" si="3"/>
        <v>0.5681818182</v>
      </c>
      <c r="M210" s="16">
        <f>IFERROR(__xludf.DUMMYFUNCTION("VLOOKUP(A210,IMPORTRANGE(""1QZ5UxyNCwadreQAXnQ7oCoH982DjIA-QnZdO7ZoqkC0/edit#gid=884617569"",""S2 Totals!$A$2:$O$255""),10,FALSE)"),6.0)</f>
        <v>6</v>
      </c>
      <c r="N210" s="15">
        <f>IFERROR(__xludf.DUMMYFUNCTION("VLOOKUP(A210,IMPORTRANGE(""1QZ5UxyNCwadreQAXnQ7oCoH982DjIA-QnZdO7ZoqkC0/edit#gid=884617569"",""S2 Totals!$A$2:$O$255""),11,FALSE)"),0.46153846153846156)</f>
        <v>0.4615384615</v>
      </c>
      <c r="O210" s="110">
        <f t="shared" si="4"/>
        <v>0.3566433566</v>
      </c>
      <c r="P210" s="16" t="str">
        <f>IFERROR(__xludf.DUMMYFUNCTION("VLOOKUP(A210,IMPORTRANGE(""1QZ5UxyNCwadreQAXnQ7oCoH982DjIA-QnZdO7ZoqkC0/edit#gid=884617569"",""S2 Totals!$A$2:$O$255""),13,FALSE)"),"")</f>
        <v/>
      </c>
      <c r="Q210" s="15" t="str">
        <f>IFERROR(__xludf.DUMMYFUNCTION("VLOOKUP(A210,IMPORTRANGE(""1QZ5UxyNCwadreQAXnQ7oCoH982DjIA-QnZdO7ZoqkC0/edit#gid=884617569"",""S2 Totals!$A$2:$O$255""),14,FALSE)"),"")</f>
        <v/>
      </c>
      <c r="R210" s="129">
        <f t="shared" si="5"/>
        <v>0.8181818182</v>
      </c>
    </row>
    <row r="211">
      <c r="A211" s="128" t="s">
        <v>150</v>
      </c>
      <c r="B211" s="16">
        <f>IFERROR(__xludf.DUMMYFUNCTION("VLOOKUP(A211,IMPORTRANGE(""1aFCnJY1qhIj8-JckJhDJ18aqmVo17tofpQmOjcYa3u8/edit#gid=1878241338"",""S2 Totals!$A$2:$O$255""),2,FALSE)"),0.0)</f>
        <v>0</v>
      </c>
      <c r="C211" s="15">
        <f>IFERROR(__xludf.DUMMYFUNCTION("VLOOKUP(A211,IMPORTRANGE(""1aFCnJY1qhIj8-JckJhDJ18aqmVo17tofpQmOjcYa3u8/edit#gid=1878241338"",""S2 Totals!$A$2:$O$255""),3,FALSE)"),0.0)</f>
        <v>0</v>
      </c>
      <c r="D211" s="16">
        <f>IFERROR(__xludf.DUMMYFUNCTION("VLOOKUP(A211,IMPORTRANGE(""1QZ5UxyNCwadreQAXnQ7oCoH982DjIA-QnZdO7ZoqkC0/edit#gid=884617569"",""S2 Totals!$A$2:$O$255""),2,FALSE)"),0.0)</f>
        <v>0</v>
      </c>
      <c r="E211" s="15">
        <f>IFERROR(__xludf.DUMMYFUNCTION("VLOOKUP(A211,IMPORTRANGE(""1QZ5UxyNCwadreQAXnQ7oCoH982DjIA-QnZdO7ZoqkC0/edit#gid=884617569"",""S2 Totals!$A$2:$O$255""),3,FALSE)"),0.0)</f>
        <v>0</v>
      </c>
      <c r="F211" s="15">
        <f t="shared" si="1"/>
        <v>0</v>
      </c>
      <c r="G211" s="16">
        <f>IFERROR(__xludf.DUMMYFUNCTION("VLOOKUP(A211,IMPORTRANGE(""1QZ5UxyNCwadreQAXnQ7oCoH982DjIA-QnZdO7ZoqkC0/edit#gid=884617569"",""S2 Totals!$A$2:$O$255""),4,FALSE)"),2.0)</f>
        <v>2</v>
      </c>
      <c r="H211" s="15">
        <f>IFERROR(__xludf.DUMMYFUNCTION("VLOOKUP(A211,IMPORTRANGE(""1QZ5UxyNCwadreQAXnQ7oCoH982DjIA-QnZdO7ZoqkC0/edit#gid=884617569"",""S2 Totals!$A$2:$O$255""),5,FALSE)"),0.16666666666666666)</f>
        <v>0.1666666667</v>
      </c>
      <c r="I211" s="15">
        <f t="shared" si="2"/>
        <v>-0.1666666667</v>
      </c>
      <c r="J211" s="16">
        <f>IFERROR(__xludf.DUMMYFUNCTION("VLOOKUP(A211,IMPORTRANGE(""1QZ5UxyNCwadreQAXnQ7oCoH982DjIA-QnZdO7ZoqkC0/edit#gid=884617569"",""S2 Totals!$A$2:$O$255""),7,FALSE)"),2.0)</f>
        <v>2</v>
      </c>
      <c r="K211" s="15">
        <f>IFERROR(__xludf.DUMMYFUNCTION("VLOOKUP(A211,IMPORTRANGE(""1QZ5UxyNCwadreQAXnQ7oCoH982DjIA-QnZdO7ZoqkC0/edit#gid=884617569"",""S2 Totals!$A$2:$O$255""),8,FALSE)"),0.16666666666666666)</f>
        <v>0.1666666667</v>
      </c>
      <c r="L211" s="110">
        <f t="shared" si="3"/>
        <v>-0.1666666667</v>
      </c>
      <c r="M211" s="16">
        <f>IFERROR(__xludf.DUMMYFUNCTION("VLOOKUP(A211,IMPORTRANGE(""1QZ5UxyNCwadreQAXnQ7oCoH982DjIA-QnZdO7ZoqkC0/edit#gid=884617569"",""S2 Totals!$A$2:$O$255""),10,FALSE)"),0.0)</f>
        <v>0</v>
      </c>
      <c r="N211" s="15">
        <f>IFERROR(__xludf.DUMMYFUNCTION("VLOOKUP(A211,IMPORTRANGE(""1QZ5UxyNCwadreQAXnQ7oCoH982DjIA-QnZdO7ZoqkC0/edit#gid=884617569"",""S2 Totals!$A$2:$O$255""),11,FALSE)"),0.0)</f>
        <v>0</v>
      </c>
      <c r="O211" s="110">
        <f t="shared" si="4"/>
        <v>0</v>
      </c>
      <c r="P211" s="16" t="str">
        <f>IFERROR(__xludf.DUMMYFUNCTION("VLOOKUP(A211,IMPORTRANGE(""1QZ5UxyNCwadreQAXnQ7oCoH982DjIA-QnZdO7ZoqkC0/edit#gid=884617569"",""S2 Totals!$A$2:$O$255""),13,FALSE)"),"")</f>
        <v/>
      </c>
      <c r="Q211" s="15" t="str">
        <f>IFERROR(__xludf.DUMMYFUNCTION("VLOOKUP(A211,IMPORTRANGE(""1QZ5UxyNCwadreQAXnQ7oCoH982DjIA-QnZdO7ZoqkC0/edit#gid=884617569"",""S2 Totals!$A$2:$O$255""),14,FALSE)"),"")</f>
        <v/>
      </c>
      <c r="R211" s="129">
        <f t="shared" si="5"/>
        <v>0</v>
      </c>
    </row>
    <row r="212">
      <c r="A212" s="128" t="s">
        <v>81</v>
      </c>
      <c r="B212" s="16">
        <f>IFERROR(__xludf.DUMMYFUNCTION("VLOOKUP(A212,IMPORTRANGE(""1aFCnJY1qhIj8-JckJhDJ18aqmVo17tofpQmOjcYa3u8/edit#gid=1878241338"",""S2 Totals!$A$2:$O$255""),2,FALSE)"),3.0)</f>
        <v>3</v>
      </c>
      <c r="C212" s="15">
        <f>IFERROR(__xludf.DUMMYFUNCTION("VLOOKUP(A212,IMPORTRANGE(""1aFCnJY1qhIj8-JckJhDJ18aqmVo17tofpQmOjcYa3u8/edit#gid=1878241338"",""S2 Totals!$A$2:$O$255""),3,FALSE)"),0.2727272727272727)</f>
        <v>0.2727272727</v>
      </c>
      <c r="D212" s="16">
        <f>IFERROR(__xludf.DUMMYFUNCTION("VLOOKUP(A212,IMPORTRANGE(""1QZ5UxyNCwadreQAXnQ7oCoH982DjIA-QnZdO7ZoqkC0/edit#gid=884617569"",""S2 Totals!$A$2:$O$255""),2,FALSE)"),4.0)</f>
        <v>4</v>
      </c>
      <c r="E212" s="15">
        <f>IFERROR(__xludf.DUMMYFUNCTION("VLOOKUP(A212,IMPORTRANGE(""1QZ5UxyNCwadreQAXnQ7oCoH982DjIA-QnZdO7ZoqkC0/edit#gid=884617569"",""S2 Totals!$A$2:$O$255""),3,FALSE)"),0.3076923076923077)</f>
        <v>0.3076923077</v>
      </c>
      <c r="F212" s="15">
        <f t="shared" si="1"/>
        <v>-0.03496503497</v>
      </c>
      <c r="G212" s="16">
        <f>IFERROR(__xludf.DUMMYFUNCTION("VLOOKUP(A212,IMPORTRANGE(""1QZ5UxyNCwadreQAXnQ7oCoH982DjIA-QnZdO7ZoqkC0/edit#gid=884617569"",""S2 Totals!$A$2:$O$255""),4,FALSE)"),4.0)</f>
        <v>4</v>
      </c>
      <c r="H212" s="15">
        <f>IFERROR(__xludf.DUMMYFUNCTION("VLOOKUP(A212,IMPORTRANGE(""1QZ5UxyNCwadreQAXnQ7oCoH982DjIA-QnZdO7ZoqkC0/edit#gid=884617569"",""S2 Totals!$A$2:$O$255""),5,FALSE)"),0.3333333333333333)</f>
        <v>0.3333333333</v>
      </c>
      <c r="I212" s="15">
        <f t="shared" si="2"/>
        <v>-0.06060606061</v>
      </c>
      <c r="J212" s="16">
        <f>IFERROR(__xludf.DUMMYFUNCTION("VLOOKUP(A212,IMPORTRANGE(""1QZ5UxyNCwadreQAXnQ7oCoH982DjIA-QnZdO7ZoqkC0/edit#gid=884617569"",""S2 Totals!$A$2:$O$255""),7,FALSE)"),4.0)</f>
        <v>4</v>
      </c>
      <c r="K212" s="15">
        <f>IFERROR(__xludf.DUMMYFUNCTION("VLOOKUP(A212,IMPORTRANGE(""1QZ5UxyNCwadreQAXnQ7oCoH982DjIA-QnZdO7ZoqkC0/edit#gid=884617569"",""S2 Totals!$A$2:$O$255""),8,FALSE)"),0.3333333333333333)</f>
        <v>0.3333333333</v>
      </c>
      <c r="L212" s="110">
        <f t="shared" si="3"/>
        <v>-0.06060606061</v>
      </c>
      <c r="M212" s="16">
        <f>IFERROR(__xludf.DUMMYFUNCTION("VLOOKUP(A212,IMPORTRANGE(""1QZ5UxyNCwadreQAXnQ7oCoH982DjIA-QnZdO7ZoqkC0/edit#gid=884617569"",""S2 Totals!$A$2:$O$255""),10,FALSE)"),6.0)</f>
        <v>6</v>
      </c>
      <c r="N212" s="15">
        <f>IFERROR(__xludf.DUMMYFUNCTION("VLOOKUP(A212,IMPORTRANGE(""1QZ5UxyNCwadreQAXnQ7oCoH982DjIA-QnZdO7ZoqkC0/edit#gid=884617569"",""S2 Totals!$A$2:$O$255""),11,FALSE)"),0.46153846153846156)</f>
        <v>0.4615384615</v>
      </c>
      <c r="O212" s="110">
        <f t="shared" si="4"/>
        <v>-0.1888111888</v>
      </c>
      <c r="P212" s="16">
        <f>IFERROR(__xludf.DUMMYFUNCTION("VLOOKUP(A212,IMPORTRANGE(""1QZ5UxyNCwadreQAXnQ7oCoH982DjIA-QnZdO7ZoqkC0/edit#gid=884617569"",""S2 Totals!$A$2:$O$255""),13,FALSE)"),7.0)</f>
        <v>7</v>
      </c>
      <c r="Q212" s="15">
        <f>IFERROR(__xludf.DUMMYFUNCTION("VLOOKUP(A212,IMPORTRANGE(""1QZ5UxyNCwadreQAXnQ7oCoH982DjIA-QnZdO7ZoqkC0/edit#gid=884617569"",""S2 Totals!$A$2:$O$255""),14,FALSE)"),0.5833333333333334)</f>
        <v>0.5833333333</v>
      </c>
      <c r="R212" s="129">
        <f t="shared" si="5"/>
        <v>-0.3106060606</v>
      </c>
    </row>
    <row r="213">
      <c r="A213" s="128" t="s">
        <v>253</v>
      </c>
      <c r="B213" s="16">
        <f>IFERROR(__xludf.DUMMYFUNCTION("VLOOKUP(A213,IMPORTRANGE(""1aFCnJY1qhIj8-JckJhDJ18aqmVo17tofpQmOjcYa3u8/edit#gid=1878241338"",""S2 Totals!$A$2:$O$255""),2,FALSE)"),8.0)</f>
        <v>8</v>
      </c>
      <c r="C213" s="15">
        <f>IFERROR(__xludf.DUMMYFUNCTION("VLOOKUP(A213,IMPORTRANGE(""1aFCnJY1qhIj8-JckJhDJ18aqmVo17tofpQmOjcYa3u8/edit#gid=1878241338"",""S2 Totals!$A$2:$O$255""),3,FALSE)"),0.7272727272727273)</f>
        <v>0.7272727273</v>
      </c>
      <c r="D213" s="16">
        <f>IFERROR(__xludf.DUMMYFUNCTION("VLOOKUP(A213,IMPORTRANGE(""1QZ5UxyNCwadreQAXnQ7oCoH982DjIA-QnZdO7ZoqkC0/edit#gid=884617569"",""S2 Totals!$A$2:$O$255""),2,FALSE)"),8.0)</f>
        <v>8</v>
      </c>
      <c r="E213" s="15">
        <f>IFERROR(__xludf.DUMMYFUNCTION("VLOOKUP(A213,IMPORTRANGE(""1QZ5UxyNCwadreQAXnQ7oCoH982DjIA-QnZdO7ZoqkC0/edit#gid=884617569"",""S2 Totals!$A$2:$O$255""),3,FALSE)"),0.6153846153846154)</f>
        <v>0.6153846154</v>
      </c>
      <c r="F213" s="15">
        <f t="shared" si="1"/>
        <v>0.1118881119</v>
      </c>
      <c r="G213" s="16">
        <f>IFERROR(__xludf.DUMMYFUNCTION("VLOOKUP(A213,IMPORTRANGE(""1QZ5UxyNCwadreQAXnQ7oCoH982DjIA-QnZdO7ZoqkC0/edit#gid=884617569"",""S2 Totals!$A$2:$O$255""),4,FALSE)"),2.0)</f>
        <v>2</v>
      </c>
      <c r="H213" s="15">
        <f>IFERROR(__xludf.DUMMYFUNCTION("VLOOKUP(A213,IMPORTRANGE(""1QZ5UxyNCwadreQAXnQ7oCoH982DjIA-QnZdO7ZoqkC0/edit#gid=884617569"",""S2 Totals!$A$2:$O$255""),5,FALSE)"),0.16666666666666666)</f>
        <v>0.1666666667</v>
      </c>
      <c r="I213" s="15">
        <f t="shared" si="2"/>
        <v>0.5606060606</v>
      </c>
      <c r="J213" s="16" t="str">
        <f>IFERROR(__xludf.DUMMYFUNCTION("VLOOKUP(A213,IMPORTRANGE(""1QZ5UxyNCwadreQAXnQ7oCoH982DjIA-QnZdO7ZoqkC0/edit#gid=884617569"",""S2 Totals!$A$2:$O$255""),7,FALSE)"),"")</f>
        <v/>
      </c>
      <c r="K213" s="15" t="str">
        <f>IFERROR(__xludf.DUMMYFUNCTION("VLOOKUP(A213,IMPORTRANGE(""1QZ5UxyNCwadreQAXnQ7oCoH982DjIA-QnZdO7ZoqkC0/edit#gid=884617569"",""S2 Totals!$A$2:$O$255""),8,FALSE)"),"")</f>
        <v/>
      </c>
      <c r="L213" s="110">
        <f t="shared" si="3"/>
        <v>0.7272727273</v>
      </c>
      <c r="M213" s="16" t="str">
        <f>IFERROR(__xludf.DUMMYFUNCTION("VLOOKUP(A213,IMPORTRANGE(""1QZ5UxyNCwadreQAXnQ7oCoH982DjIA-QnZdO7ZoqkC0/edit#gid=884617569"",""S2 Totals!$A$2:$O$255""),10,FALSE)"),"")</f>
        <v/>
      </c>
      <c r="N213" s="15" t="str">
        <f>IFERROR(__xludf.DUMMYFUNCTION("VLOOKUP(A213,IMPORTRANGE(""1QZ5UxyNCwadreQAXnQ7oCoH982DjIA-QnZdO7ZoqkC0/edit#gid=884617569"",""S2 Totals!$A$2:$O$255""),11,FALSE)"),"")</f>
        <v/>
      </c>
      <c r="O213" s="110">
        <f t="shared" si="4"/>
        <v>0.7272727273</v>
      </c>
      <c r="P213" s="16" t="str">
        <f>IFERROR(__xludf.DUMMYFUNCTION("VLOOKUP(A213,IMPORTRANGE(""1QZ5UxyNCwadreQAXnQ7oCoH982DjIA-QnZdO7ZoqkC0/edit#gid=884617569"",""S2 Totals!$A$2:$O$255""),13,FALSE)"),"")</f>
        <v/>
      </c>
      <c r="Q213" s="15" t="str">
        <f>IFERROR(__xludf.DUMMYFUNCTION("VLOOKUP(A213,IMPORTRANGE(""1QZ5UxyNCwadreQAXnQ7oCoH982DjIA-QnZdO7ZoqkC0/edit#gid=884617569"",""S2 Totals!$A$2:$O$255""),14,FALSE)"),"")</f>
        <v/>
      </c>
      <c r="R213" s="129">
        <f t="shared" si="5"/>
        <v>0.7272727273</v>
      </c>
    </row>
    <row r="214">
      <c r="A214" s="128" t="s">
        <v>151</v>
      </c>
      <c r="B214" s="16">
        <f>IFERROR(__xludf.DUMMYFUNCTION("VLOOKUP(A214,IMPORTRANGE(""1aFCnJY1qhIj8-JckJhDJ18aqmVo17tofpQmOjcYa3u8/edit#gid=1878241338"",""S2 Totals!$A$2:$O$255""),2,FALSE)"),5.0)</f>
        <v>5</v>
      </c>
      <c r="C214" s="15">
        <f>IFERROR(__xludf.DUMMYFUNCTION("VLOOKUP(A214,IMPORTRANGE(""1aFCnJY1qhIj8-JckJhDJ18aqmVo17tofpQmOjcYa3u8/edit#gid=1878241338"",""S2 Totals!$A$2:$O$255""),3,FALSE)"),0.45454545454545453)</f>
        <v>0.4545454545</v>
      </c>
      <c r="D214" s="16">
        <f>IFERROR(__xludf.DUMMYFUNCTION("VLOOKUP(A214,IMPORTRANGE(""1QZ5UxyNCwadreQAXnQ7oCoH982DjIA-QnZdO7ZoqkC0/edit#gid=884617569"",""S2 Totals!$A$2:$O$255""),2,FALSE)"),9.0)</f>
        <v>9</v>
      </c>
      <c r="E214" s="15">
        <f>IFERROR(__xludf.DUMMYFUNCTION("VLOOKUP(A214,IMPORTRANGE(""1QZ5UxyNCwadreQAXnQ7oCoH982DjIA-QnZdO7ZoqkC0/edit#gid=884617569"",""S2 Totals!$A$2:$O$255""),3,FALSE)"),0.6923076923076923)</f>
        <v>0.6923076923</v>
      </c>
      <c r="F214" s="15">
        <f t="shared" si="1"/>
        <v>-0.2377622378</v>
      </c>
      <c r="G214" s="16">
        <f>IFERROR(__xludf.DUMMYFUNCTION("VLOOKUP(A214,IMPORTRANGE(""1QZ5UxyNCwadreQAXnQ7oCoH982DjIA-QnZdO7ZoqkC0/edit#gid=884617569"",""S2 Totals!$A$2:$O$255""),4,FALSE)"),12.0)</f>
        <v>12</v>
      </c>
      <c r="H214" s="15">
        <f>IFERROR(__xludf.DUMMYFUNCTION("VLOOKUP(A214,IMPORTRANGE(""1QZ5UxyNCwadreQAXnQ7oCoH982DjIA-QnZdO7ZoqkC0/edit#gid=884617569"",""S2 Totals!$A$2:$O$255""),5,FALSE)"),1.0)</f>
        <v>1</v>
      </c>
      <c r="I214" s="15">
        <f t="shared" si="2"/>
        <v>-0.5454545455</v>
      </c>
      <c r="J214" s="16">
        <f>IFERROR(__xludf.DUMMYFUNCTION("VLOOKUP(A214,IMPORTRANGE(""1QZ5UxyNCwadreQAXnQ7oCoH982DjIA-QnZdO7ZoqkC0/edit#gid=884617569"",""S2 Totals!$A$2:$O$255""),7,FALSE)"),8.0)</f>
        <v>8</v>
      </c>
      <c r="K214" s="15">
        <f>IFERROR(__xludf.DUMMYFUNCTION("VLOOKUP(A214,IMPORTRANGE(""1QZ5UxyNCwadreQAXnQ7oCoH982DjIA-QnZdO7ZoqkC0/edit#gid=884617569"",""S2 Totals!$A$2:$O$255""),8,FALSE)"),0.6666666666666666)</f>
        <v>0.6666666667</v>
      </c>
      <c r="L214" s="110">
        <f t="shared" si="3"/>
        <v>-0.2121212121</v>
      </c>
      <c r="M214" s="16">
        <f>IFERROR(__xludf.DUMMYFUNCTION("VLOOKUP(A214,IMPORTRANGE(""1QZ5UxyNCwadreQAXnQ7oCoH982DjIA-QnZdO7ZoqkC0/edit#gid=884617569"",""S2 Totals!$A$2:$O$255""),10,FALSE)"),9.0)</f>
        <v>9</v>
      </c>
      <c r="N214" s="15">
        <f>IFERROR(__xludf.DUMMYFUNCTION("VLOOKUP(A214,IMPORTRANGE(""1QZ5UxyNCwadreQAXnQ7oCoH982DjIA-QnZdO7ZoqkC0/edit#gid=884617569"",""S2 Totals!$A$2:$O$255""),11,FALSE)"),0.6923076923076923)</f>
        <v>0.6923076923</v>
      </c>
      <c r="O214" s="110">
        <f t="shared" si="4"/>
        <v>-0.2377622378</v>
      </c>
      <c r="P214" s="16" t="str">
        <f>IFERROR(__xludf.DUMMYFUNCTION("VLOOKUP(A214,IMPORTRANGE(""1QZ5UxyNCwadreQAXnQ7oCoH982DjIA-QnZdO7ZoqkC0/edit#gid=884617569"",""S2 Totals!$A$2:$O$255""),13,FALSE)"),"")</f>
        <v/>
      </c>
      <c r="Q214" s="15" t="str">
        <f>IFERROR(__xludf.DUMMYFUNCTION("VLOOKUP(A214,IMPORTRANGE(""1QZ5UxyNCwadreQAXnQ7oCoH982DjIA-QnZdO7ZoqkC0/edit#gid=884617569"",""S2 Totals!$A$2:$O$255""),14,FALSE)"),"")</f>
        <v/>
      </c>
      <c r="R214" s="129">
        <f t="shared" si="5"/>
        <v>0.4545454545</v>
      </c>
    </row>
    <row r="215">
      <c r="A215" s="128" t="s">
        <v>198</v>
      </c>
      <c r="B215" s="16">
        <f>IFERROR(__xludf.DUMMYFUNCTION("VLOOKUP(A215,IMPORTRANGE(""1aFCnJY1qhIj8-JckJhDJ18aqmVo17tofpQmOjcYa3u8/edit#gid=1878241338"",""S2 Totals!$A$2:$O$255""),2,FALSE)"),1.0)</f>
        <v>1</v>
      </c>
      <c r="C215" s="15">
        <f>IFERROR(__xludf.DUMMYFUNCTION("VLOOKUP(A215,IMPORTRANGE(""1aFCnJY1qhIj8-JckJhDJ18aqmVo17tofpQmOjcYa3u8/edit#gid=1878241338"",""S2 Totals!$A$2:$O$255""),3,FALSE)"),0.09090909090909091)</f>
        <v>0.09090909091</v>
      </c>
      <c r="D215" s="16">
        <f>IFERROR(__xludf.DUMMYFUNCTION("VLOOKUP(A215,IMPORTRANGE(""1QZ5UxyNCwadreQAXnQ7oCoH982DjIA-QnZdO7ZoqkC0/edit#gid=884617569"",""S2 Totals!$A$2:$O$255""),2,FALSE)"),2.0)</f>
        <v>2</v>
      </c>
      <c r="E215" s="15">
        <f>IFERROR(__xludf.DUMMYFUNCTION("VLOOKUP(A215,IMPORTRANGE(""1QZ5UxyNCwadreQAXnQ7oCoH982DjIA-QnZdO7ZoqkC0/edit#gid=884617569"",""S2 Totals!$A$2:$O$255""),3,FALSE)"),0.15384615384615385)</f>
        <v>0.1538461538</v>
      </c>
      <c r="F215" s="15">
        <f t="shared" si="1"/>
        <v>-0.06293706294</v>
      </c>
      <c r="G215" s="16">
        <f>IFERROR(__xludf.DUMMYFUNCTION("VLOOKUP(A215,IMPORTRANGE(""1QZ5UxyNCwadreQAXnQ7oCoH982DjIA-QnZdO7ZoqkC0/edit#gid=884617569"",""S2 Totals!$A$2:$O$255""),4,FALSE)"),3.0)</f>
        <v>3</v>
      </c>
      <c r="H215" s="15">
        <f>IFERROR(__xludf.DUMMYFUNCTION("VLOOKUP(A215,IMPORTRANGE(""1QZ5UxyNCwadreQAXnQ7oCoH982DjIA-QnZdO7ZoqkC0/edit#gid=884617569"",""S2 Totals!$A$2:$O$255""),5,FALSE)"),0.25)</f>
        <v>0.25</v>
      </c>
      <c r="I215" s="15">
        <f t="shared" si="2"/>
        <v>-0.1590909091</v>
      </c>
      <c r="J215" s="16">
        <f>IFERROR(__xludf.DUMMYFUNCTION("VLOOKUP(A215,IMPORTRANGE(""1QZ5UxyNCwadreQAXnQ7oCoH982DjIA-QnZdO7ZoqkC0/edit#gid=884617569"",""S2 Totals!$A$2:$O$255""),7,FALSE)"),0.0)</f>
        <v>0</v>
      </c>
      <c r="K215" s="15">
        <f>IFERROR(__xludf.DUMMYFUNCTION("VLOOKUP(A215,IMPORTRANGE(""1QZ5UxyNCwadreQAXnQ7oCoH982DjIA-QnZdO7ZoqkC0/edit#gid=884617569"",""S2 Totals!$A$2:$O$255""),8,FALSE)"),0.0)</f>
        <v>0</v>
      </c>
      <c r="L215" s="110">
        <f t="shared" si="3"/>
        <v>0.09090909091</v>
      </c>
      <c r="M215" s="16" t="str">
        <f>IFERROR(__xludf.DUMMYFUNCTION("VLOOKUP(A215,IMPORTRANGE(""1QZ5UxyNCwadreQAXnQ7oCoH982DjIA-QnZdO7ZoqkC0/edit#gid=884617569"",""S2 Totals!$A$2:$O$255""),10,FALSE)"),"")</f>
        <v/>
      </c>
      <c r="N215" s="15" t="str">
        <f>IFERROR(__xludf.DUMMYFUNCTION("VLOOKUP(A215,IMPORTRANGE(""1QZ5UxyNCwadreQAXnQ7oCoH982DjIA-QnZdO7ZoqkC0/edit#gid=884617569"",""S2 Totals!$A$2:$O$255""),11,FALSE)"),"")</f>
        <v/>
      </c>
      <c r="O215" s="110">
        <f t="shared" si="4"/>
        <v>0.09090909091</v>
      </c>
      <c r="P215" s="16" t="str">
        <f>IFERROR(__xludf.DUMMYFUNCTION("VLOOKUP(A215,IMPORTRANGE(""1QZ5UxyNCwadreQAXnQ7oCoH982DjIA-QnZdO7ZoqkC0/edit#gid=884617569"",""S2 Totals!$A$2:$O$255""),13,FALSE)"),"")</f>
        <v/>
      </c>
      <c r="Q215" s="15" t="str">
        <f>IFERROR(__xludf.DUMMYFUNCTION("VLOOKUP(A215,IMPORTRANGE(""1QZ5UxyNCwadreQAXnQ7oCoH982DjIA-QnZdO7ZoqkC0/edit#gid=884617569"",""S2 Totals!$A$2:$O$255""),14,FALSE)"),"")</f>
        <v/>
      </c>
      <c r="R215" s="129">
        <f t="shared" si="5"/>
        <v>0.09090909091</v>
      </c>
    </row>
    <row r="216">
      <c r="A216" s="128" t="s">
        <v>95</v>
      </c>
      <c r="B216" s="16">
        <f>IFERROR(__xludf.DUMMYFUNCTION("VLOOKUP(A216,IMPORTRANGE(""1aFCnJY1qhIj8-JckJhDJ18aqmVo17tofpQmOjcYa3u8/edit#gid=1878241338"",""S2 Totals!$A$2:$O$255""),2,FALSE)"),10.0)</f>
        <v>10</v>
      </c>
      <c r="C216" s="15">
        <f>IFERROR(__xludf.DUMMYFUNCTION("VLOOKUP(A216,IMPORTRANGE(""1aFCnJY1qhIj8-JckJhDJ18aqmVo17tofpQmOjcYa3u8/edit#gid=1878241338"",""S2 Totals!$A$2:$O$255""),3,FALSE)"),0.9090909090909091)</f>
        <v>0.9090909091</v>
      </c>
      <c r="D216" s="16">
        <f>IFERROR(__xludf.DUMMYFUNCTION("VLOOKUP(A216,IMPORTRANGE(""1QZ5UxyNCwadreQAXnQ7oCoH982DjIA-QnZdO7ZoqkC0/edit#gid=884617569"",""S2 Totals!$A$2:$O$255""),2,FALSE)"),6.0)</f>
        <v>6</v>
      </c>
      <c r="E216" s="15">
        <f>IFERROR(__xludf.DUMMYFUNCTION("VLOOKUP(A216,IMPORTRANGE(""1QZ5UxyNCwadreQAXnQ7oCoH982DjIA-QnZdO7ZoqkC0/edit#gid=884617569"",""S2 Totals!$A$2:$O$255""),3,FALSE)"),0.46153846153846156)</f>
        <v>0.4615384615</v>
      </c>
      <c r="F216" s="15">
        <f t="shared" si="1"/>
        <v>0.4475524476</v>
      </c>
      <c r="G216" s="16">
        <f>IFERROR(__xludf.DUMMYFUNCTION("VLOOKUP(A216,IMPORTRANGE(""1QZ5UxyNCwadreQAXnQ7oCoH982DjIA-QnZdO7ZoqkC0/edit#gid=884617569"",""S2 Totals!$A$2:$O$255""),4,FALSE)"),6.0)</f>
        <v>6</v>
      </c>
      <c r="H216" s="15">
        <f>IFERROR(__xludf.DUMMYFUNCTION("VLOOKUP(A216,IMPORTRANGE(""1QZ5UxyNCwadreQAXnQ7oCoH982DjIA-QnZdO7ZoqkC0/edit#gid=884617569"",""S2 Totals!$A$2:$O$255""),5,FALSE)"),0.5)</f>
        <v>0.5</v>
      </c>
      <c r="I216" s="15">
        <f t="shared" si="2"/>
        <v>0.4090909091</v>
      </c>
      <c r="J216" s="16">
        <f>IFERROR(__xludf.DUMMYFUNCTION("VLOOKUP(A216,IMPORTRANGE(""1QZ5UxyNCwadreQAXnQ7oCoH982DjIA-QnZdO7ZoqkC0/edit#gid=884617569"",""S2 Totals!$A$2:$O$255""),7,FALSE)"),6.0)</f>
        <v>6</v>
      </c>
      <c r="K216" s="15">
        <f>IFERROR(__xludf.DUMMYFUNCTION("VLOOKUP(A216,IMPORTRANGE(""1QZ5UxyNCwadreQAXnQ7oCoH982DjIA-QnZdO7ZoqkC0/edit#gid=884617569"",""S2 Totals!$A$2:$O$255""),8,FALSE)"),0.5)</f>
        <v>0.5</v>
      </c>
      <c r="L216" s="110">
        <f t="shared" si="3"/>
        <v>0.4090909091</v>
      </c>
      <c r="M216" s="16">
        <f>IFERROR(__xludf.DUMMYFUNCTION("VLOOKUP(A216,IMPORTRANGE(""1QZ5UxyNCwadreQAXnQ7oCoH982DjIA-QnZdO7ZoqkC0/edit#gid=884617569"",""S2 Totals!$A$2:$O$255""),10,FALSE)"),8.0)</f>
        <v>8</v>
      </c>
      <c r="N216" s="15">
        <f>IFERROR(__xludf.DUMMYFUNCTION("VLOOKUP(A216,IMPORTRANGE(""1QZ5UxyNCwadreQAXnQ7oCoH982DjIA-QnZdO7ZoqkC0/edit#gid=884617569"",""S2 Totals!$A$2:$O$255""),11,FALSE)"),0.6153846153846154)</f>
        <v>0.6153846154</v>
      </c>
      <c r="O216" s="110">
        <f t="shared" si="4"/>
        <v>0.2937062937</v>
      </c>
      <c r="P216" s="16">
        <f>IFERROR(__xludf.DUMMYFUNCTION("VLOOKUP(A216,IMPORTRANGE(""1QZ5UxyNCwadreQAXnQ7oCoH982DjIA-QnZdO7ZoqkC0/edit#gid=884617569"",""S2 Totals!$A$2:$O$255""),13,FALSE)"),10.0)</f>
        <v>10</v>
      </c>
      <c r="Q216" s="15">
        <f>IFERROR(__xludf.DUMMYFUNCTION("VLOOKUP(A216,IMPORTRANGE(""1QZ5UxyNCwadreQAXnQ7oCoH982DjIA-QnZdO7ZoqkC0/edit#gid=884617569"",""S2 Totals!$A$2:$O$255""),14,FALSE)"),0.8333333333333334)</f>
        <v>0.8333333333</v>
      </c>
      <c r="R216" s="129">
        <f t="shared" si="5"/>
        <v>0.07575757576</v>
      </c>
    </row>
    <row r="217">
      <c r="A217" s="128" t="s">
        <v>199</v>
      </c>
      <c r="B217" s="16">
        <f>IFERROR(__xludf.DUMMYFUNCTION("VLOOKUP(A217,IMPORTRANGE(""1aFCnJY1qhIj8-JckJhDJ18aqmVo17tofpQmOjcYa3u8/edit#gid=1878241338"",""S2 Totals!$A$2:$O$255""),2,FALSE)"),7.0)</f>
        <v>7</v>
      </c>
      <c r="C217" s="15">
        <f>IFERROR(__xludf.DUMMYFUNCTION("VLOOKUP(A217,IMPORTRANGE(""1aFCnJY1qhIj8-JckJhDJ18aqmVo17tofpQmOjcYa3u8/edit#gid=1878241338"",""S2 Totals!$A$2:$O$255""),3,FALSE)"),0.6363636363636364)</f>
        <v>0.6363636364</v>
      </c>
      <c r="D217" s="16">
        <f>IFERROR(__xludf.DUMMYFUNCTION("VLOOKUP(A217,IMPORTRANGE(""1QZ5UxyNCwadreQAXnQ7oCoH982DjIA-QnZdO7ZoqkC0/edit#gid=884617569"",""S2 Totals!$A$2:$O$255""),2,FALSE)"),4.0)</f>
        <v>4</v>
      </c>
      <c r="E217" s="15">
        <f>IFERROR(__xludf.DUMMYFUNCTION("VLOOKUP(A217,IMPORTRANGE(""1QZ5UxyNCwadreQAXnQ7oCoH982DjIA-QnZdO7ZoqkC0/edit#gid=884617569"",""S2 Totals!$A$2:$O$255""),3,FALSE)"),0.3076923076923077)</f>
        <v>0.3076923077</v>
      </c>
      <c r="F217" s="15">
        <f t="shared" si="1"/>
        <v>0.3286713287</v>
      </c>
      <c r="G217" s="16">
        <f>IFERROR(__xludf.DUMMYFUNCTION("VLOOKUP(A217,IMPORTRANGE(""1QZ5UxyNCwadreQAXnQ7oCoH982DjIA-QnZdO7ZoqkC0/edit#gid=884617569"",""S2 Totals!$A$2:$O$255""),4,FALSE)"),2.0)</f>
        <v>2</v>
      </c>
      <c r="H217" s="15">
        <f>IFERROR(__xludf.DUMMYFUNCTION("VLOOKUP(A217,IMPORTRANGE(""1QZ5UxyNCwadreQAXnQ7oCoH982DjIA-QnZdO7ZoqkC0/edit#gid=884617569"",""S2 Totals!$A$2:$O$255""),5,FALSE)"),0.16666666666666666)</f>
        <v>0.1666666667</v>
      </c>
      <c r="I217" s="15">
        <f t="shared" si="2"/>
        <v>0.4696969697</v>
      </c>
      <c r="J217" s="16">
        <f>IFERROR(__xludf.DUMMYFUNCTION("VLOOKUP(A217,IMPORTRANGE(""1QZ5UxyNCwadreQAXnQ7oCoH982DjIA-QnZdO7ZoqkC0/edit#gid=884617569"",""S2 Totals!$A$2:$O$255""),7,FALSE)"),2.0)</f>
        <v>2</v>
      </c>
      <c r="K217" s="15">
        <f>IFERROR(__xludf.DUMMYFUNCTION("VLOOKUP(A217,IMPORTRANGE(""1QZ5UxyNCwadreQAXnQ7oCoH982DjIA-QnZdO7ZoqkC0/edit#gid=884617569"",""S2 Totals!$A$2:$O$255""),8,FALSE)"),0.16666666666666666)</f>
        <v>0.1666666667</v>
      </c>
      <c r="L217" s="110">
        <f t="shared" si="3"/>
        <v>0.4696969697</v>
      </c>
      <c r="M217" s="16" t="str">
        <f>IFERROR(__xludf.DUMMYFUNCTION("VLOOKUP(A217,IMPORTRANGE(""1QZ5UxyNCwadreQAXnQ7oCoH982DjIA-QnZdO7ZoqkC0/edit#gid=884617569"",""S2 Totals!$A$2:$O$255""),10,FALSE)"),"")</f>
        <v/>
      </c>
      <c r="N217" s="15" t="str">
        <f>IFERROR(__xludf.DUMMYFUNCTION("VLOOKUP(A217,IMPORTRANGE(""1QZ5UxyNCwadreQAXnQ7oCoH982DjIA-QnZdO7ZoqkC0/edit#gid=884617569"",""S2 Totals!$A$2:$O$255""),11,FALSE)"),"")</f>
        <v/>
      </c>
      <c r="O217" s="110">
        <f t="shared" si="4"/>
        <v>0.6363636364</v>
      </c>
      <c r="P217" s="16" t="str">
        <f>IFERROR(__xludf.DUMMYFUNCTION("VLOOKUP(A217,IMPORTRANGE(""1QZ5UxyNCwadreQAXnQ7oCoH982DjIA-QnZdO7ZoqkC0/edit#gid=884617569"",""S2 Totals!$A$2:$O$255""),13,FALSE)"),"")</f>
        <v/>
      </c>
      <c r="Q217" s="15" t="str">
        <f>IFERROR(__xludf.DUMMYFUNCTION("VLOOKUP(A217,IMPORTRANGE(""1QZ5UxyNCwadreQAXnQ7oCoH982DjIA-QnZdO7ZoqkC0/edit#gid=884617569"",""S2 Totals!$A$2:$O$255""),14,FALSE)"),"")</f>
        <v/>
      </c>
      <c r="R217" s="129">
        <f t="shared" si="5"/>
        <v>0.6363636364</v>
      </c>
    </row>
    <row r="218">
      <c r="A218" s="128" t="s">
        <v>254</v>
      </c>
      <c r="B218" s="16">
        <f>IFERROR(__xludf.DUMMYFUNCTION("VLOOKUP(A218,IMPORTRANGE(""1aFCnJY1qhIj8-JckJhDJ18aqmVo17tofpQmOjcYa3u8/edit#gid=1878241338"",""S2 Totals!$A$2:$O$255""),2,FALSE)"),1.0)</f>
        <v>1</v>
      </c>
      <c r="C218" s="15">
        <f>IFERROR(__xludf.DUMMYFUNCTION("VLOOKUP(A218,IMPORTRANGE(""1aFCnJY1qhIj8-JckJhDJ18aqmVo17tofpQmOjcYa3u8/edit#gid=1878241338"",""S2 Totals!$A$2:$O$255""),3,FALSE)"),0.09090909090909091)</f>
        <v>0.09090909091</v>
      </c>
      <c r="D218" s="16">
        <f>IFERROR(__xludf.DUMMYFUNCTION("VLOOKUP(A218,IMPORTRANGE(""1QZ5UxyNCwadreQAXnQ7oCoH982DjIA-QnZdO7ZoqkC0/edit#gid=884617569"",""S2 Totals!$A$2:$O$255""),2,FALSE)"),0.0)</f>
        <v>0</v>
      </c>
      <c r="E218" s="15">
        <f>IFERROR(__xludf.DUMMYFUNCTION("VLOOKUP(A218,IMPORTRANGE(""1QZ5UxyNCwadreQAXnQ7oCoH982DjIA-QnZdO7ZoqkC0/edit#gid=884617569"",""S2 Totals!$A$2:$O$255""),3,FALSE)"),0.0)</f>
        <v>0</v>
      </c>
      <c r="F218" s="15">
        <f t="shared" si="1"/>
        <v>0.09090909091</v>
      </c>
      <c r="G218" s="16">
        <f>IFERROR(__xludf.DUMMYFUNCTION("VLOOKUP(A218,IMPORTRANGE(""1QZ5UxyNCwadreQAXnQ7oCoH982DjIA-QnZdO7ZoqkC0/edit#gid=884617569"",""S2 Totals!$A$2:$O$255""),4,FALSE)"),0.0)</f>
        <v>0</v>
      </c>
      <c r="H218" s="15">
        <f>IFERROR(__xludf.DUMMYFUNCTION("VLOOKUP(A218,IMPORTRANGE(""1QZ5UxyNCwadreQAXnQ7oCoH982DjIA-QnZdO7ZoqkC0/edit#gid=884617569"",""S2 Totals!$A$2:$O$255""),5,FALSE)"),0.0)</f>
        <v>0</v>
      </c>
      <c r="I218" s="15">
        <f t="shared" si="2"/>
        <v>0.09090909091</v>
      </c>
      <c r="J218" s="16" t="str">
        <f>IFERROR(__xludf.DUMMYFUNCTION("VLOOKUP(A218,IMPORTRANGE(""1QZ5UxyNCwadreQAXnQ7oCoH982DjIA-QnZdO7ZoqkC0/edit#gid=884617569"",""S2 Totals!$A$2:$O$255""),7,FALSE)"),"")</f>
        <v/>
      </c>
      <c r="K218" s="15" t="str">
        <f>IFERROR(__xludf.DUMMYFUNCTION("VLOOKUP(A218,IMPORTRANGE(""1QZ5UxyNCwadreQAXnQ7oCoH982DjIA-QnZdO7ZoqkC0/edit#gid=884617569"",""S2 Totals!$A$2:$O$255""),8,FALSE)"),"")</f>
        <v/>
      </c>
      <c r="L218" s="110">
        <f t="shared" si="3"/>
        <v>0.09090909091</v>
      </c>
      <c r="M218" s="16" t="str">
        <f>IFERROR(__xludf.DUMMYFUNCTION("VLOOKUP(A218,IMPORTRANGE(""1QZ5UxyNCwadreQAXnQ7oCoH982DjIA-QnZdO7ZoqkC0/edit#gid=884617569"",""S2 Totals!$A$2:$O$255""),10,FALSE)"),"")</f>
        <v/>
      </c>
      <c r="N218" s="15" t="str">
        <f>IFERROR(__xludf.DUMMYFUNCTION("VLOOKUP(A218,IMPORTRANGE(""1QZ5UxyNCwadreQAXnQ7oCoH982DjIA-QnZdO7ZoqkC0/edit#gid=884617569"",""S2 Totals!$A$2:$O$255""),11,FALSE)"),"")</f>
        <v/>
      </c>
      <c r="O218" s="110">
        <f t="shared" si="4"/>
        <v>0.09090909091</v>
      </c>
      <c r="P218" s="16" t="str">
        <f>IFERROR(__xludf.DUMMYFUNCTION("VLOOKUP(A218,IMPORTRANGE(""1QZ5UxyNCwadreQAXnQ7oCoH982DjIA-QnZdO7ZoqkC0/edit#gid=884617569"",""S2 Totals!$A$2:$O$255""),13,FALSE)"),"")</f>
        <v/>
      </c>
      <c r="Q218" s="15" t="str">
        <f>IFERROR(__xludf.DUMMYFUNCTION("VLOOKUP(A218,IMPORTRANGE(""1QZ5UxyNCwadreQAXnQ7oCoH982DjIA-QnZdO7ZoqkC0/edit#gid=884617569"",""S2 Totals!$A$2:$O$255""),14,FALSE)"),"")</f>
        <v/>
      </c>
      <c r="R218" s="129">
        <f t="shared" si="5"/>
        <v>0.09090909091</v>
      </c>
    </row>
    <row r="219">
      <c r="A219" s="128" t="s">
        <v>96</v>
      </c>
      <c r="B219" s="16">
        <f>IFERROR(__xludf.DUMMYFUNCTION("VLOOKUP(A219,IMPORTRANGE(""1aFCnJY1qhIj8-JckJhDJ18aqmVo17tofpQmOjcYa3u8/edit#gid=1878241338"",""S2 Totals!$A$2:$O$255""),2,FALSE)"),9.0)</f>
        <v>9</v>
      </c>
      <c r="C219" s="15">
        <f>IFERROR(__xludf.DUMMYFUNCTION("VLOOKUP(A219,IMPORTRANGE(""1aFCnJY1qhIj8-JckJhDJ18aqmVo17tofpQmOjcYa3u8/edit#gid=1878241338"",""S2 Totals!$A$2:$O$255""),3,FALSE)"),0.8181818181818182)</f>
        <v>0.8181818182</v>
      </c>
      <c r="D219" s="16">
        <f>IFERROR(__xludf.DUMMYFUNCTION("VLOOKUP(A219,IMPORTRANGE(""1QZ5UxyNCwadreQAXnQ7oCoH982DjIA-QnZdO7ZoqkC0/edit#gid=884617569"",""S2 Totals!$A$2:$O$255""),2,FALSE)"),8.0)</f>
        <v>8</v>
      </c>
      <c r="E219" s="15">
        <f>IFERROR(__xludf.DUMMYFUNCTION("VLOOKUP(A219,IMPORTRANGE(""1QZ5UxyNCwadreQAXnQ7oCoH982DjIA-QnZdO7ZoqkC0/edit#gid=884617569"",""S2 Totals!$A$2:$O$255""),3,FALSE)"),0.6153846153846154)</f>
        <v>0.6153846154</v>
      </c>
      <c r="F219" s="15">
        <f t="shared" si="1"/>
        <v>0.2027972028</v>
      </c>
      <c r="G219" s="16">
        <f>IFERROR(__xludf.DUMMYFUNCTION("VLOOKUP(A219,IMPORTRANGE(""1QZ5UxyNCwadreQAXnQ7oCoH982DjIA-QnZdO7ZoqkC0/edit#gid=884617569"",""S2 Totals!$A$2:$O$255""),4,FALSE)"),6.0)</f>
        <v>6</v>
      </c>
      <c r="H219" s="15">
        <f>IFERROR(__xludf.DUMMYFUNCTION("VLOOKUP(A219,IMPORTRANGE(""1QZ5UxyNCwadreQAXnQ7oCoH982DjIA-QnZdO7ZoqkC0/edit#gid=884617569"",""S2 Totals!$A$2:$O$255""),5,FALSE)"),0.5)</f>
        <v>0.5</v>
      </c>
      <c r="I219" s="15">
        <f t="shared" si="2"/>
        <v>0.3181818182</v>
      </c>
      <c r="J219" s="16">
        <f>IFERROR(__xludf.DUMMYFUNCTION("VLOOKUP(A219,IMPORTRANGE(""1QZ5UxyNCwadreQAXnQ7oCoH982DjIA-QnZdO7ZoqkC0/edit#gid=884617569"",""S2 Totals!$A$2:$O$255""),7,FALSE)"),10.0)</f>
        <v>10</v>
      </c>
      <c r="K219" s="15">
        <f>IFERROR(__xludf.DUMMYFUNCTION("VLOOKUP(A219,IMPORTRANGE(""1QZ5UxyNCwadreQAXnQ7oCoH982DjIA-QnZdO7ZoqkC0/edit#gid=884617569"",""S2 Totals!$A$2:$O$255""),8,FALSE)"),0.8333333333333334)</f>
        <v>0.8333333333</v>
      </c>
      <c r="L219" s="110">
        <f t="shared" si="3"/>
        <v>-0.01515151515</v>
      </c>
      <c r="M219" s="16">
        <f>IFERROR(__xludf.DUMMYFUNCTION("VLOOKUP(A219,IMPORTRANGE(""1QZ5UxyNCwadreQAXnQ7oCoH982DjIA-QnZdO7ZoqkC0/edit#gid=884617569"",""S2 Totals!$A$2:$O$255""),10,FALSE)"),12.0)</f>
        <v>12</v>
      </c>
      <c r="N219" s="15">
        <f>IFERROR(__xludf.DUMMYFUNCTION("VLOOKUP(A219,IMPORTRANGE(""1QZ5UxyNCwadreQAXnQ7oCoH982DjIA-QnZdO7ZoqkC0/edit#gid=884617569"",""S2 Totals!$A$2:$O$255""),11,FALSE)"),0.9230769230769231)</f>
        <v>0.9230769231</v>
      </c>
      <c r="O219" s="110">
        <f t="shared" si="4"/>
        <v>-0.1048951049</v>
      </c>
      <c r="P219" s="16">
        <f>IFERROR(__xludf.DUMMYFUNCTION("VLOOKUP(A219,IMPORTRANGE(""1QZ5UxyNCwadreQAXnQ7oCoH982DjIA-QnZdO7ZoqkC0/edit#gid=884617569"",""S2 Totals!$A$2:$O$255""),13,FALSE)"),7.0)</f>
        <v>7</v>
      </c>
      <c r="Q219" s="15">
        <f>IFERROR(__xludf.DUMMYFUNCTION("VLOOKUP(A219,IMPORTRANGE(""1QZ5UxyNCwadreQAXnQ7oCoH982DjIA-QnZdO7ZoqkC0/edit#gid=884617569"",""S2 Totals!$A$2:$O$255""),14,FALSE)"),0.5833333333333334)</f>
        <v>0.5833333333</v>
      </c>
      <c r="R219" s="129">
        <f t="shared" si="5"/>
        <v>0.2348484848</v>
      </c>
    </row>
    <row r="220">
      <c r="A220" s="128" t="s">
        <v>255</v>
      </c>
      <c r="B220" s="16">
        <f>IFERROR(__xludf.DUMMYFUNCTION("VLOOKUP(A220,IMPORTRANGE(""1aFCnJY1qhIj8-JckJhDJ18aqmVo17tofpQmOjcYa3u8/edit#gid=1878241338"",""S2 Totals!$A$2:$O$255""),2,FALSE)"),3.0)</f>
        <v>3</v>
      </c>
      <c r="C220" s="15">
        <f>IFERROR(__xludf.DUMMYFUNCTION("VLOOKUP(A220,IMPORTRANGE(""1aFCnJY1qhIj8-JckJhDJ18aqmVo17tofpQmOjcYa3u8/edit#gid=1878241338"",""S2 Totals!$A$2:$O$255""),3,FALSE)"),0.2727272727272727)</f>
        <v>0.2727272727</v>
      </c>
      <c r="D220" s="16">
        <f>IFERROR(__xludf.DUMMYFUNCTION("VLOOKUP(A220,IMPORTRANGE(""1QZ5UxyNCwadreQAXnQ7oCoH982DjIA-QnZdO7ZoqkC0/edit#gid=884617569"",""S2 Totals!$A$2:$O$255""),2,FALSE)"),4.0)</f>
        <v>4</v>
      </c>
      <c r="E220" s="15">
        <f>IFERROR(__xludf.DUMMYFUNCTION("VLOOKUP(A220,IMPORTRANGE(""1QZ5UxyNCwadreQAXnQ7oCoH982DjIA-QnZdO7ZoqkC0/edit#gid=884617569"",""S2 Totals!$A$2:$O$255""),3,FALSE)"),0.3076923076923077)</f>
        <v>0.3076923077</v>
      </c>
      <c r="F220" s="15">
        <f t="shared" si="1"/>
        <v>-0.03496503497</v>
      </c>
      <c r="G220" s="16">
        <f>IFERROR(__xludf.DUMMYFUNCTION("VLOOKUP(A220,IMPORTRANGE(""1QZ5UxyNCwadreQAXnQ7oCoH982DjIA-QnZdO7ZoqkC0/edit#gid=884617569"",""S2 Totals!$A$2:$O$255""),4,FALSE)"),3.0)</f>
        <v>3</v>
      </c>
      <c r="H220" s="15">
        <f>IFERROR(__xludf.DUMMYFUNCTION("VLOOKUP(A220,IMPORTRANGE(""1QZ5UxyNCwadreQAXnQ7oCoH982DjIA-QnZdO7ZoqkC0/edit#gid=884617569"",""S2 Totals!$A$2:$O$255""),5,FALSE)"),0.25)</f>
        <v>0.25</v>
      </c>
      <c r="I220" s="15">
        <f t="shared" si="2"/>
        <v>0.02272727273</v>
      </c>
      <c r="J220" s="16" t="str">
        <f>IFERROR(__xludf.DUMMYFUNCTION("VLOOKUP(A220,IMPORTRANGE(""1QZ5UxyNCwadreQAXnQ7oCoH982DjIA-QnZdO7ZoqkC0/edit#gid=884617569"",""S2 Totals!$A$2:$O$255""),7,FALSE)"),"")</f>
        <v/>
      </c>
      <c r="K220" s="15" t="str">
        <f>IFERROR(__xludf.DUMMYFUNCTION("VLOOKUP(A220,IMPORTRANGE(""1QZ5UxyNCwadreQAXnQ7oCoH982DjIA-QnZdO7ZoqkC0/edit#gid=884617569"",""S2 Totals!$A$2:$O$255""),8,FALSE)"),"")</f>
        <v/>
      </c>
      <c r="L220" s="110">
        <f t="shared" si="3"/>
        <v>0.2727272727</v>
      </c>
      <c r="M220" s="16" t="str">
        <f>IFERROR(__xludf.DUMMYFUNCTION("VLOOKUP(A220,IMPORTRANGE(""1QZ5UxyNCwadreQAXnQ7oCoH982DjIA-QnZdO7ZoqkC0/edit#gid=884617569"",""S2 Totals!$A$2:$O$255""),10,FALSE)"),"")</f>
        <v/>
      </c>
      <c r="N220" s="15" t="str">
        <f>IFERROR(__xludf.DUMMYFUNCTION("VLOOKUP(A220,IMPORTRANGE(""1QZ5UxyNCwadreQAXnQ7oCoH982DjIA-QnZdO7ZoqkC0/edit#gid=884617569"",""S2 Totals!$A$2:$O$255""),11,FALSE)"),"")</f>
        <v/>
      </c>
      <c r="O220" s="110">
        <f t="shared" si="4"/>
        <v>0.2727272727</v>
      </c>
      <c r="P220" s="16" t="str">
        <f>IFERROR(__xludf.DUMMYFUNCTION("VLOOKUP(A220,IMPORTRANGE(""1QZ5UxyNCwadreQAXnQ7oCoH982DjIA-QnZdO7ZoqkC0/edit#gid=884617569"",""S2 Totals!$A$2:$O$255""),13,FALSE)"),"")</f>
        <v/>
      </c>
      <c r="Q220" s="15" t="str">
        <f>IFERROR(__xludf.DUMMYFUNCTION("VLOOKUP(A220,IMPORTRANGE(""1QZ5UxyNCwadreQAXnQ7oCoH982DjIA-QnZdO7ZoqkC0/edit#gid=884617569"",""S2 Totals!$A$2:$O$255""),14,FALSE)"),"")</f>
        <v/>
      </c>
      <c r="R220" s="129">
        <f t="shared" si="5"/>
        <v>0.2727272727</v>
      </c>
    </row>
    <row r="221">
      <c r="A221" s="128" t="s">
        <v>97</v>
      </c>
      <c r="B221" s="16">
        <f>IFERROR(__xludf.DUMMYFUNCTION("VLOOKUP(A221,IMPORTRANGE(""1aFCnJY1qhIj8-JckJhDJ18aqmVo17tofpQmOjcYa3u8/edit#gid=1878241338"",""S2 Totals!$A$2:$O$255""),2,FALSE)"),9.0)</f>
        <v>9</v>
      </c>
      <c r="C221" s="15">
        <f>IFERROR(__xludf.DUMMYFUNCTION("VLOOKUP(A221,IMPORTRANGE(""1aFCnJY1qhIj8-JckJhDJ18aqmVo17tofpQmOjcYa3u8/edit#gid=1878241338"",""S2 Totals!$A$2:$O$255""),3,FALSE)"),0.8181818181818182)</f>
        <v>0.8181818182</v>
      </c>
      <c r="D221" s="16">
        <f>IFERROR(__xludf.DUMMYFUNCTION("VLOOKUP(A221,IMPORTRANGE(""1QZ5UxyNCwadreQAXnQ7oCoH982DjIA-QnZdO7ZoqkC0/edit#gid=884617569"",""S2 Totals!$A$2:$O$255""),2,FALSE)"),8.0)</f>
        <v>8</v>
      </c>
      <c r="E221" s="15">
        <f>IFERROR(__xludf.DUMMYFUNCTION("VLOOKUP(A221,IMPORTRANGE(""1QZ5UxyNCwadreQAXnQ7oCoH982DjIA-QnZdO7ZoqkC0/edit#gid=884617569"",""S2 Totals!$A$2:$O$255""),3,FALSE)"),0.6153846153846154)</f>
        <v>0.6153846154</v>
      </c>
      <c r="F221" s="15">
        <f t="shared" si="1"/>
        <v>0.2027972028</v>
      </c>
      <c r="G221" s="16">
        <f>IFERROR(__xludf.DUMMYFUNCTION("VLOOKUP(A221,IMPORTRANGE(""1QZ5UxyNCwadreQAXnQ7oCoH982DjIA-QnZdO7ZoqkC0/edit#gid=884617569"",""S2 Totals!$A$2:$O$255""),4,FALSE)"),6.0)</f>
        <v>6</v>
      </c>
      <c r="H221" s="15">
        <f>IFERROR(__xludf.DUMMYFUNCTION("VLOOKUP(A221,IMPORTRANGE(""1QZ5UxyNCwadreQAXnQ7oCoH982DjIA-QnZdO7ZoqkC0/edit#gid=884617569"",""S2 Totals!$A$2:$O$255""),5,FALSE)"),0.5)</f>
        <v>0.5</v>
      </c>
      <c r="I221" s="15">
        <f t="shared" si="2"/>
        <v>0.3181818182</v>
      </c>
      <c r="J221" s="16">
        <f>IFERROR(__xludf.DUMMYFUNCTION("VLOOKUP(A221,IMPORTRANGE(""1QZ5UxyNCwadreQAXnQ7oCoH982DjIA-QnZdO7ZoqkC0/edit#gid=884617569"",""S2 Totals!$A$2:$O$255""),7,FALSE)"),10.0)</f>
        <v>10</v>
      </c>
      <c r="K221" s="15">
        <f>IFERROR(__xludf.DUMMYFUNCTION("VLOOKUP(A221,IMPORTRANGE(""1QZ5UxyNCwadreQAXnQ7oCoH982DjIA-QnZdO7ZoqkC0/edit#gid=884617569"",""S2 Totals!$A$2:$O$255""),8,FALSE)"),0.8333333333333334)</f>
        <v>0.8333333333</v>
      </c>
      <c r="L221" s="110">
        <f t="shared" si="3"/>
        <v>-0.01515151515</v>
      </c>
      <c r="M221" s="16">
        <f>IFERROR(__xludf.DUMMYFUNCTION("VLOOKUP(A221,IMPORTRANGE(""1QZ5UxyNCwadreQAXnQ7oCoH982DjIA-QnZdO7ZoqkC0/edit#gid=884617569"",""S2 Totals!$A$2:$O$255""),10,FALSE)"),12.0)</f>
        <v>12</v>
      </c>
      <c r="N221" s="15">
        <f>IFERROR(__xludf.DUMMYFUNCTION("VLOOKUP(A221,IMPORTRANGE(""1QZ5UxyNCwadreQAXnQ7oCoH982DjIA-QnZdO7ZoqkC0/edit#gid=884617569"",""S2 Totals!$A$2:$O$255""),11,FALSE)"),0.9230769230769231)</f>
        <v>0.9230769231</v>
      </c>
      <c r="O221" s="110">
        <f t="shared" si="4"/>
        <v>-0.1048951049</v>
      </c>
      <c r="P221" s="16">
        <f>IFERROR(__xludf.DUMMYFUNCTION("VLOOKUP(A221,IMPORTRANGE(""1QZ5UxyNCwadreQAXnQ7oCoH982DjIA-QnZdO7ZoqkC0/edit#gid=884617569"",""S2 Totals!$A$2:$O$255""),13,FALSE)"),7.0)</f>
        <v>7</v>
      </c>
      <c r="Q221" s="15">
        <f>IFERROR(__xludf.DUMMYFUNCTION("VLOOKUP(A221,IMPORTRANGE(""1QZ5UxyNCwadreQAXnQ7oCoH982DjIA-QnZdO7ZoqkC0/edit#gid=884617569"",""S2 Totals!$A$2:$O$255""),14,FALSE)"),0.5833333333333334)</f>
        <v>0.5833333333</v>
      </c>
      <c r="R221" s="129">
        <f t="shared" si="5"/>
        <v>0.2348484848</v>
      </c>
    </row>
    <row r="222">
      <c r="A222" s="128" t="s">
        <v>30</v>
      </c>
      <c r="B222" s="16">
        <f>IFERROR(__xludf.DUMMYFUNCTION("VLOOKUP(A222,IMPORTRANGE(""1aFCnJY1qhIj8-JckJhDJ18aqmVo17tofpQmOjcYa3u8/edit#gid=1878241338"",""S2 Totals!$A$2:$O$255""),2,FALSE)"),3.0)</f>
        <v>3</v>
      </c>
      <c r="C222" s="15">
        <f>IFERROR(__xludf.DUMMYFUNCTION("VLOOKUP(A222,IMPORTRANGE(""1aFCnJY1qhIj8-JckJhDJ18aqmVo17tofpQmOjcYa3u8/edit#gid=1878241338"",""S2 Totals!$A$2:$O$255""),3,FALSE)"),0.2727272727272727)</f>
        <v>0.2727272727</v>
      </c>
      <c r="D222" s="16">
        <f>IFERROR(__xludf.DUMMYFUNCTION("VLOOKUP(A222,IMPORTRANGE(""1QZ5UxyNCwadreQAXnQ7oCoH982DjIA-QnZdO7ZoqkC0/edit#gid=884617569"",""S2 Totals!$A$2:$O$255""),2,FALSE)"),4.0)</f>
        <v>4</v>
      </c>
      <c r="E222" s="15">
        <f>IFERROR(__xludf.DUMMYFUNCTION("VLOOKUP(A222,IMPORTRANGE(""1QZ5UxyNCwadreQAXnQ7oCoH982DjIA-QnZdO7ZoqkC0/edit#gid=884617569"",""S2 Totals!$A$2:$O$255""),3,FALSE)"),0.3076923076923077)</f>
        <v>0.3076923077</v>
      </c>
      <c r="F222" s="15">
        <f t="shared" si="1"/>
        <v>-0.03496503497</v>
      </c>
      <c r="G222" s="16">
        <f>IFERROR(__xludf.DUMMYFUNCTION("VLOOKUP(A222,IMPORTRANGE(""1QZ5UxyNCwadreQAXnQ7oCoH982DjIA-QnZdO7ZoqkC0/edit#gid=884617569"",""S2 Totals!$A$2:$O$255""),4,FALSE)"),4.0)</f>
        <v>4</v>
      </c>
      <c r="H222" s="15">
        <f>IFERROR(__xludf.DUMMYFUNCTION("VLOOKUP(A222,IMPORTRANGE(""1QZ5UxyNCwadreQAXnQ7oCoH982DjIA-QnZdO7ZoqkC0/edit#gid=884617569"",""S2 Totals!$A$2:$O$255""),5,FALSE)"),0.3333333333333333)</f>
        <v>0.3333333333</v>
      </c>
      <c r="I222" s="15">
        <f t="shared" si="2"/>
        <v>-0.06060606061</v>
      </c>
      <c r="J222" s="16">
        <f>IFERROR(__xludf.DUMMYFUNCTION("VLOOKUP(A222,IMPORTRANGE(""1QZ5UxyNCwadreQAXnQ7oCoH982DjIA-QnZdO7ZoqkC0/edit#gid=884617569"",""S2 Totals!$A$2:$O$255""),7,FALSE)"),2.0)</f>
        <v>2</v>
      </c>
      <c r="K222" s="15">
        <f>IFERROR(__xludf.DUMMYFUNCTION("VLOOKUP(A222,IMPORTRANGE(""1QZ5UxyNCwadreQAXnQ7oCoH982DjIA-QnZdO7ZoqkC0/edit#gid=884617569"",""S2 Totals!$A$2:$O$255""),8,FALSE)"),0.16666666666666666)</f>
        <v>0.1666666667</v>
      </c>
      <c r="L222" s="110">
        <f t="shared" si="3"/>
        <v>0.1060606061</v>
      </c>
      <c r="M222" s="16">
        <f>IFERROR(__xludf.DUMMYFUNCTION("VLOOKUP(A222,IMPORTRANGE(""1QZ5UxyNCwadreQAXnQ7oCoH982DjIA-QnZdO7ZoqkC0/edit#gid=884617569"",""S2 Totals!$A$2:$O$255""),10,FALSE)"),6.0)</f>
        <v>6</v>
      </c>
      <c r="N222" s="15">
        <f>IFERROR(__xludf.DUMMYFUNCTION("VLOOKUP(A222,IMPORTRANGE(""1QZ5UxyNCwadreQAXnQ7oCoH982DjIA-QnZdO7ZoqkC0/edit#gid=884617569"",""S2 Totals!$A$2:$O$255""),11,FALSE)"),0.46153846153846156)</f>
        <v>0.4615384615</v>
      </c>
      <c r="O222" s="110">
        <f t="shared" si="4"/>
        <v>-0.1888111888</v>
      </c>
      <c r="P222" s="16">
        <f>IFERROR(__xludf.DUMMYFUNCTION("VLOOKUP(A222,IMPORTRANGE(""1QZ5UxyNCwadreQAXnQ7oCoH982DjIA-QnZdO7ZoqkC0/edit#gid=884617569"",""S2 Totals!$A$2:$O$255""),13,FALSE)"),7.0)</f>
        <v>7</v>
      </c>
      <c r="Q222" s="15">
        <f>IFERROR(__xludf.DUMMYFUNCTION("VLOOKUP(A222,IMPORTRANGE(""1QZ5UxyNCwadreQAXnQ7oCoH982DjIA-QnZdO7ZoqkC0/edit#gid=884617569"",""S2 Totals!$A$2:$O$255""),14,FALSE)"),0.5833333333333334)</f>
        <v>0.5833333333</v>
      </c>
      <c r="R222" s="129">
        <f t="shared" si="5"/>
        <v>-0.3106060606</v>
      </c>
    </row>
    <row r="223">
      <c r="A223" s="128" t="s">
        <v>200</v>
      </c>
      <c r="B223" s="16">
        <f>IFERROR(__xludf.DUMMYFUNCTION("VLOOKUP(A223,IMPORTRANGE(""1aFCnJY1qhIj8-JckJhDJ18aqmVo17tofpQmOjcYa3u8/edit#gid=1878241338"",""S2 Totals!$A$2:$O$255""),2,FALSE)"),2.0)</f>
        <v>2</v>
      </c>
      <c r="C223" s="15">
        <f>IFERROR(__xludf.DUMMYFUNCTION("VLOOKUP(A223,IMPORTRANGE(""1aFCnJY1qhIj8-JckJhDJ18aqmVo17tofpQmOjcYa3u8/edit#gid=1878241338"",""S2 Totals!$A$2:$O$255""),3,FALSE)"),0.18181818181818182)</f>
        <v>0.1818181818</v>
      </c>
      <c r="D223" s="16">
        <f>IFERROR(__xludf.DUMMYFUNCTION("VLOOKUP(A223,IMPORTRANGE(""1QZ5UxyNCwadreQAXnQ7oCoH982DjIA-QnZdO7ZoqkC0/edit#gid=884617569"",""S2 Totals!$A$2:$O$255""),2,FALSE)"),5.0)</f>
        <v>5</v>
      </c>
      <c r="E223" s="15">
        <f>IFERROR(__xludf.DUMMYFUNCTION("VLOOKUP(A223,IMPORTRANGE(""1QZ5UxyNCwadreQAXnQ7oCoH982DjIA-QnZdO7ZoqkC0/edit#gid=884617569"",""S2 Totals!$A$2:$O$255""),3,FALSE)"),0.38461538461538464)</f>
        <v>0.3846153846</v>
      </c>
      <c r="F223" s="15">
        <f t="shared" si="1"/>
        <v>-0.2027972028</v>
      </c>
      <c r="G223" s="16">
        <f>IFERROR(__xludf.DUMMYFUNCTION("VLOOKUP(A223,IMPORTRANGE(""1QZ5UxyNCwadreQAXnQ7oCoH982DjIA-QnZdO7ZoqkC0/edit#gid=884617569"",""S2 Totals!$A$2:$O$255""),4,FALSE)"),4.0)</f>
        <v>4</v>
      </c>
      <c r="H223" s="15">
        <f>IFERROR(__xludf.DUMMYFUNCTION("VLOOKUP(A223,IMPORTRANGE(""1QZ5UxyNCwadreQAXnQ7oCoH982DjIA-QnZdO7ZoqkC0/edit#gid=884617569"",""S2 Totals!$A$2:$O$255""),5,FALSE)"),0.3333333333333333)</f>
        <v>0.3333333333</v>
      </c>
      <c r="I223" s="15">
        <f t="shared" si="2"/>
        <v>-0.1515151515</v>
      </c>
      <c r="J223" s="16">
        <f>IFERROR(__xludf.DUMMYFUNCTION("VLOOKUP(A223,IMPORTRANGE(""1QZ5UxyNCwadreQAXnQ7oCoH982DjIA-QnZdO7ZoqkC0/edit#gid=884617569"",""S2 Totals!$A$2:$O$255""),7,FALSE)"),4.0)</f>
        <v>4</v>
      </c>
      <c r="K223" s="15">
        <f>IFERROR(__xludf.DUMMYFUNCTION("VLOOKUP(A223,IMPORTRANGE(""1QZ5UxyNCwadreQAXnQ7oCoH982DjIA-QnZdO7ZoqkC0/edit#gid=884617569"",""S2 Totals!$A$2:$O$255""),8,FALSE)"),0.3333333333333333)</f>
        <v>0.3333333333</v>
      </c>
      <c r="L223" s="110">
        <f t="shared" si="3"/>
        <v>-0.1515151515</v>
      </c>
      <c r="M223" s="16" t="str">
        <f>IFERROR(__xludf.DUMMYFUNCTION("VLOOKUP(A223,IMPORTRANGE(""1QZ5UxyNCwadreQAXnQ7oCoH982DjIA-QnZdO7ZoqkC0/edit#gid=884617569"",""S2 Totals!$A$2:$O$255""),10,FALSE)"),"")</f>
        <v/>
      </c>
      <c r="N223" s="15" t="str">
        <f>IFERROR(__xludf.DUMMYFUNCTION("VLOOKUP(A223,IMPORTRANGE(""1QZ5UxyNCwadreQAXnQ7oCoH982DjIA-QnZdO7ZoqkC0/edit#gid=884617569"",""S2 Totals!$A$2:$O$255""),11,FALSE)"),"")</f>
        <v/>
      </c>
      <c r="O223" s="110">
        <f t="shared" si="4"/>
        <v>0.1818181818</v>
      </c>
      <c r="P223" s="16" t="str">
        <f>IFERROR(__xludf.DUMMYFUNCTION("VLOOKUP(A223,IMPORTRANGE(""1QZ5UxyNCwadreQAXnQ7oCoH982DjIA-QnZdO7ZoqkC0/edit#gid=884617569"",""S2 Totals!$A$2:$O$255""),13,FALSE)"),"")</f>
        <v/>
      </c>
      <c r="Q223" s="15" t="str">
        <f>IFERROR(__xludf.DUMMYFUNCTION("VLOOKUP(A223,IMPORTRANGE(""1QZ5UxyNCwadreQAXnQ7oCoH982DjIA-QnZdO7ZoqkC0/edit#gid=884617569"",""S2 Totals!$A$2:$O$255""),14,FALSE)"),"")</f>
        <v/>
      </c>
      <c r="R223" s="129">
        <f t="shared" si="5"/>
        <v>0.1818181818</v>
      </c>
    </row>
    <row r="224">
      <c r="A224" s="128" t="s">
        <v>201</v>
      </c>
      <c r="B224" s="16">
        <f>IFERROR(__xludf.DUMMYFUNCTION("VLOOKUP(A224,IMPORTRANGE(""1aFCnJY1qhIj8-JckJhDJ18aqmVo17tofpQmOjcYa3u8/edit#gid=1878241338"",""S2 Totals!$A$2:$O$255""),2,FALSE)"),0.0)</f>
        <v>0</v>
      </c>
      <c r="C224" s="15">
        <f>IFERROR(__xludf.DUMMYFUNCTION("VLOOKUP(A224,IMPORTRANGE(""1aFCnJY1qhIj8-JckJhDJ18aqmVo17tofpQmOjcYa3u8/edit#gid=1878241338"",""S2 Totals!$A$2:$O$255""),3,FALSE)"),0.0)</f>
        <v>0</v>
      </c>
      <c r="D224" s="16">
        <f>IFERROR(__xludf.DUMMYFUNCTION("VLOOKUP(A224,IMPORTRANGE(""1QZ5UxyNCwadreQAXnQ7oCoH982DjIA-QnZdO7ZoqkC0/edit#gid=884617569"",""S2 Totals!$A$2:$O$255""),2,FALSE)"),0.0)</f>
        <v>0</v>
      </c>
      <c r="E224" s="15">
        <f>IFERROR(__xludf.DUMMYFUNCTION("VLOOKUP(A224,IMPORTRANGE(""1QZ5UxyNCwadreQAXnQ7oCoH982DjIA-QnZdO7ZoqkC0/edit#gid=884617569"",""S2 Totals!$A$2:$O$255""),3,FALSE)"),0.0)</f>
        <v>0</v>
      </c>
      <c r="F224" s="15">
        <f t="shared" si="1"/>
        <v>0</v>
      </c>
      <c r="G224" s="16">
        <f>IFERROR(__xludf.DUMMYFUNCTION("VLOOKUP(A224,IMPORTRANGE(""1QZ5UxyNCwadreQAXnQ7oCoH982DjIA-QnZdO7ZoqkC0/edit#gid=884617569"",""S2 Totals!$A$2:$O$255""),4,FALSE)"),0.0)</f>
        <v>0</v>
      </c>
      <c r="H224" s="15">
        <f>IFERROR(__xludf.DUMMYFUNCTION("VLOOKUP(A224,IMPORTRANGE(""1QZ5UxyNCwadreQAXnQ7oCoH982DjIA-QnZdO7ZoqkC0/edit#gid=884617569"",""S2 Totals!$A$2:$O$255""),5,FALSE)"),0.0)</f>
        <v>0</v>
      </c>
      <c r="I224" s="15">
        <f t="shared" si="2"/>
        <v>0</v>
      </c>
      <c r="J224" s="16">
        <f>IFERROR(__xludf.DUMMYFUNCTION("VLOOKUP(A224,IMPORTRANGE(""1QZ5UxyNCwadreQAXnQ7oCoH982DjIA-QnZdO7ZoqkC0/edit#gid=884617569"",""S2 Totals!$A$2:$O$255""),7,FALSE)"),0.0)</f>
        <v>0</v>
      </c>
      <c r="K224" s="15">
        <f>IFERROR(__xludf.DUMMYFUNCTION("VLOOKUP(A224,IMPORTRANGE(""1QZ5UxyNCwadreQAXnQ7oCoH982DjIA-QnZdO7ZoqkC0/edit#gid=884617569"",""S2 Totals!$A$2:$O$255""),8,FALSE)"),0.0)</f>
        <v>0</v>
      </c>
      <c r="L224" s="110">
        <f t="shared" si="3"/>
        <v>0</v>
      </c>
      <c r="M224" s="16" t="str">
        <f>IFERROR(__xludf.DUMMYFUNCTION("VLOOKUP(A224,IMPORTRANGE(""1QZ5UxyNCwadreQAXnQ7oCoH982DjIA-QnZdO7ZoqkC0/edit#gid=884617569"",""S2 Totals!$A$2:$O$255""),10,FALSE)"),"")</f>
        <v/>
      </c>
      <c r="N224" s="15" t="str">
        <f>IFERROR(__xludf.DUMMYFUNCTION("VLOOKUP(A224,IMPORTRANGE(""1QZ5UxyNCwadreQAXnQ7oCoH982DjIA-QnZdO7ZoqkC0/edit#gid=884617569"",""S2 Totals!$A$2:$O$255""),11,FALSE)"),"")</f>
        <v/>
      </c>
      <c r="O224" s="110">
        <f t="shared" si="4"/>
        <v>0</v>
      </c>
      <c r="P224" s="16" t="str">
        <f>IFERROR(__xludf.DUMMYFUNCTION("VLOOKUP(A224,IMPORTRANGE(""1QZ5UxyNCwadreQAXnQ7oCoH982DjIA-QnZdO7ZoqkC0/edit#gid=884617569"",""S2 Totals!$A$2:$O$255""),13,FALSE)"),"")</f>
        <v/>
      </c>
      <c r="Q224" s="15" t="str">
        <f>IFERROR(__xludf.DUMMYFUNCTION("VLOOKUP(A224,IMPORTRANGE(""1QZ5UxyNCwadreQAXnQ7oCoH982DjIA-QnZdO7ZoqkC0/edit#gid=884617569"",""S2 Totals!$A$2:$O$255""),14,FALSE)"),"")</f>
        <v/>
      </c>
      <c r="R224" s="129">
        <f t="shared" si="5"/>
        <v>0</v>
      </c>
    </row>
    <row r="225">
      <c r="A225" s="128" t="s">
        <v>202</v>
      </c>
      <c r="B225" s="16">
        <f>IFERROR(__xludf.DUMMYFUNCTION("VLOOKUP(A225,IMPORTRANGE(""1aFCnJY1qhIj8-JckJhDJ18aqmVo17tofpQmOjcYa3u8/edit#gid=1878241338"",""S2 Totals!$A$2:$O$255""),2,FALSE)"),4.0)</f>
        <v>4</v>
      </c>
      <c r="C225" s="15">
        <f>IFERROR(__xludf.DUMMYFUNCTION("VLOOKUP(A225,IMPORTRANGE(""1aFCnJY1qhIj8-JckJhDJ18aqmVo17tofpQmOjcYa3u8/edit#gid=1878241338"",""S2 Totals!$A$2:$O$255""),3,FALSE)"),0.36363636363636365)</f>
        <v>0.3636363636</v>
      </c>
      <c r="D225" s="16">
        <f>IFERROR(__xludf.DUMMYFUNCTION("VLOOKUP(A225,IMPORTRANGE(""1QZ5UxyNCwadreQAXnQ7oCoH982DjIA-QnZdO7ZoqkC0/edit#gid=884617569"",""S2 Totals!$A$2:$O$255""),2,FALSE)"),4.0)</f>
        <v>4</v>
      </c>
      <c r="E225" s="15">
        <f>IFERROR(__xludf.DUMMYFUNCTION("VLOOKUP(A225,IMPORTRANGE(""1QZ5UxyNCwadreQAXnQ7oCoH982DjIA-QnZdO7ZoqkC0/edit#gid=884617569"",""S2 Totals!$A$2:$O$255""),3,FALSE)"),0.3076923076923077)</f>
        <v>0.3076923077</v>
      </c>
      <c r="F225" s="15">
        <f t="shared" si="1"/>
        <v>0.05594405594</v>
      </c>
      <c r="G225" s="16">
        <f>IFERROR(__xludf.DUMMYFUNCTION("VLOOKUP(A225,IMPORTRANGE(""1QZ5UxyNCwadreQAXnQ7oCoH982DjIA-QnZdO7ZoqkC0/edit#gid=884617569"",""S2 Totals!$A$2:$O$255""),4,FALSE)"),3.0)</f>
        <v>3</v>
      </c>
      <c r="H225" s="15">
        <f>IFERROR(__xludf.DUMMYFUNCTION("VLOOKUP(A225,IMPORTRANGE(""1QZ5UxyNCwadreQAXnQ7oCoH982DjIA-QnZdO7ZoqkC0/edit#gid=884617569"",""S2 Totals!$A$2:$O$255""),5,FALSE)"),0.25)</f>
        <v>0.25</v>
      </c>
      <c r="I225" s="15">
        <f t="shared" si="2"/>
        <v>0.1136363636</v>
      </c>
      <c r="J225" s="16">
        <f>IFERROR(__xludf.DUMMYFUNCTION("VLOOKUP(A225,IMPORTRANGE(""1QZ5UxyNCwadreQAXnQ7oCoH982DjIA-QnZdO7ZoqkC0/edit#gid=884617569"",""S2 Totals!$A$2:$O$255""),7,FALSE)"),0.0)</f>
        <v>0</v>
      </c>
      <c r="K225" s="15">
        <f>IFERROR(__xludf.DUMMYFUNCTION("VLOOKUP(A225,IMPORTRANGE(""1QZ5UxyNCwadreQAXnQ7oCoH982DjIA-QnZdO7ZoqkC0/edit#gid=884617569"",""S2 Totals!$A$2:$O$255""),8,FALSE)"),0.0)</f>
        <v>0</v>
      </c>
      <c r="L225" s="110">
        <f t="shared" si="3"/>
        <v>0.3636363636</v>
      </c>
      <c r="M225" s="16" t="str">
        <f>IFERROR(__xludf.DUMMYFUNCTION("VLOOKUP(A225,IMPORTRANGE(""1QZ5UxyNCwadreQAXnQ7oCoH982DjIA-QnZdO7ZoqkC0/edit#gid=884617569"",""S2 Totals!$A$2:$O$255""),10,FALSE)"),"")</f>
        <v/>
      </c>
      <c r="N225" s="15" t="str">
        <f>IFERROR(__xludf.DUMMYFUNCTION("VLOOKUP(A225,IMPORTRANGE(""1QZ5UxyNCwadreQAXnQ7oCoH982DjIA-QnZdO7ZoqkC0/edit#gid=884617569"",""S2 Totals!$A$2:$O$255""),11,FALSE)"),"")</f>
        <v/>
      </c>
      <c r="O225" s="110">
        <f t="shared" si="4"/>
        <v>0.3636363636</v>
      </c>
      <c r="P225" s="16" t="str">
        <f>IFERROR(__xludf.DUMMYFUNCTION("VLOOKUP(A225,IMPORTRANGE(""1QZ5UxyNCwadreQAXnQ7oCoH982DjIA-QnZdO7ZoqkC0/edit#gid=884617569"",""S2 Totals!$A$2:$O$255""),13,FALSE)"),"")</f>
        <v/>
      </c>
      <c r="Q225" s="15" t="str">
        <f>IFERROR(__xludf.DUMMYFUNCTION("VLOOKUP(A225,IMPORTRANGE(""1QZ5UxyNCwadreQAXnQ7oCoH982DjIA-QnZdO7ZoqkC0/edit#gid=884617569"",""S2 Totals!$A$2:$O$255""),14,FALSE)"),"")</f>
        <v/>
      </c>
      <c r="R225" s="129">
        <f t="shared" si="5"/>
        <v>0.3636363636</v>
      </c>
    </row>
    <row r="226">
      <c r="A226" s="128" t="s">
        <v>203</v>
      </c>
      <c r="B226" s="16">
        <f>IFERROR(__xludf.DUMMYFUNCTION("VLOOKUP(A226,IMPORTRANGE(""1aFCnJY1qhIj8-JckJhDJ18aqmVo17tofpQmOjcYa3u8/edit#gid=1878241338"",""S2 Totals!$A$2:$O$255""),2,FALSE)"),1.0)</f>
        <v>1</v>
      </c>
      <c r="C226" s="15">
        <f>IFERROR(__xludf.DUMMYFUNCTION("VLOOKUP(A226,IMPORTRANGE(""1aFCnJY1qhIj8-JckJhDJ18aqmVo17tofpQmOjcYa3u8/edit#gid=1878241338"",""S2 Totals!$A$2:$O$255""),3,FALSE)"),0.09090909090909091)</f>
        <v>0.09090909091</v>
      </c>
      <c r="D226" s="16">
        <f>IFERROR(__xludf.DUMMYFUNCTION("VLOOKUP(A226,IMPORTRANGE(""1QZ5UxyNCwadreQAXnQ7oCoH982DjIA-QnZdO7ZoqkC0/edit#gid=884617569"",""S2 Totals!$A$2:$O$255""),2,FALSE)"),0.0)</f>
        <v>0</v>
      </c>
      <c r="E226" s="15">
        <f>IFERROR(__xludf.DUMMYFUNCTION("VLOOKUP(A226,IMPORTRANGE(""1QZ5UxyNCwadreQAXnQ7oCoH982DjIA-QnZdO7ZoqkC0/edit#gid=884617569"",""S2 Totals!$A$2:$O$255""),3,FALSE)"),0.0)</f>
        <v>0</v>
      </c>
      <c r="F226" s="15">
        <f t="shared" si="1"/>
        <v>0.09090909091</v>
      </c>
      <c r="G226" s="16">
        <f>IFERROR(__xludf.DUMMYFUNCTION("VLOOKUP(A226,IMPORTRANGE(""1QZ5UxyNCwadreQAXnQ7oCoH982DjIA-QnZdO7ZoqkC0/edit#gid=884617569"",""S2 Totals!$A$2:$O$255""),4,FALSE)"),0.0)</f>
        <v>0</v>
      </c>
      <c r="H226" s="15">
        <f>IFERROR(__xludf.DUMMYFUNCTION("VLOOKUP(A226,IMPORTRANGE(""1QZ5UxyNCwadreQAXnQ7oCoH982DjIA-QnZdO7ZoqkC0/edit#gid=884617569"",""S2 Totals!$A$2:$O$255""),5,FALSE)"),0.0)</f>
        <v>0</v>
      </c>
      <c r="I226" s="15">
        <f t="shared" si="2"/>
        <v>0.09090909091</v>
      </c>
      <c r="J226" s="16">
        <f>IFERROR(__xludf.DUMMYFUNCTION("VLOOKUP(A226,IMPORTRANGE(""1QZ5UxyNCwadreQAXnQ7oCoH982DjIA-QnZdO7ZoqkC0/edit#gid=884617569"",""S2 Totals!$A$2:$O$255""),7,FALSE)"),0.0)</f>
        <v>0</v>
      </c>
      <c r="K226" s="15">
        <f>IFERROR(__xludf.DUMMYFUNCTION("VLOOKUP(A226,IMPORTRANGE(""1QZ5UxyNCwadreQAXnQ7oCoH982DjIA-QnZdO7ZoqkC0/edit#gid=884617569"",""S2 Totals!$A$2:$O$255""),8,FALSE)"),0.0)</f>
        <v>0</v>
      </c>
      <c r="L226" s="110">
        <f t="shared" si="3"/>
        <v>0.09090909091</v>
      </c>
      <c r="M226" s="16" t="str">
        <f>IFERROR(__xludf.DUMMYFUNCTION("VLOOKUP(A226,IMPORTRANGE(""1QZ5UxyNCwadreQAXnQ7oCoH982DjIA-QnZdO7ZoqkC0/edit#gid=884617569"",""S2 Totals!$A$2:$O$255""),10,FALSE)"),"")</f>
        <v/>
      </c>
      <c r="N226" s="15" t="str">
        <f>IFERROR(__xludf.DUMMYFUNCTION("VLOOKUP(A226,IMPORTRANGE(""1QZ5UxyNCwadreQAXnQ7oCoH982DjIA-QnZdO7ZoqkC0/edit#gid=884617569"",""S2 Totals!$A$2:$O$255""),11,FALSE)"),"")</f>
        <v/>
      </c>
      <c r="O226" s="110">
        <f t="shared" si="4"/>
        <v>0.09090909091</v>
      </c>
      <c r="P226" s="16" t="str">
        <f>IFERROR(__xludf.DUMMYFUNCTION("VLOOKUP(A226,IMPORTRANGE(""1QZ5UxyNCwadreQAXnQ7oCoH982DjIA-QnZdO7ZoqkC0/edit#gid=884617569"",""S2 Totals!$A$2:$O$255""),13,FALSE)"),"")</f>
        <v/>
      </c>
      <c r="Q226" s="15" t="str">
        <f>IFERROR(__xludf.DUMMYFUNCTION("VLOOKUP(A226,IMPORTRANGE(""1QZ5UxyNCwadreQAXnQ7oCoH982DjIA-QnZdO7ZoqkC0/edit#gid=884617569"",""S2 Totals!$A$2:$O$255""),14,FALSE)"),"")</f>
        <v/>
      </c>
      <c r="R226" s="129">
        <f t="shared" si="5"/>
        <v>0.09090909091</v>
      </c>
    </row>
    <row r="227">
      <c r="A227" s="128" t="s">
        <v>99</v>
      </c>
      <c r="B227" s="16">
        <f>IFERROR(__xludf.DUMMYFUNCTION("VLOOKUP(A227,IMPORTRANGE(""1aFCnJY1qhIj8-JckJhDJ18aqmVo17tofpQmOjcYa3u8/edit#gid=1878241338"",""S2 Totals!$A$2:$O$255""),2,FALSE)"),6.0)</f>
        <v>6</v>
      </c>
      <c r="C227" s="15">
        <f>IFERROR(__xludf.DUMMYFUNCTION("VLOOKUP(A227,IMPORTRANGE(""1aFCnJY1qhIj8-JckJhDJ18aqmVo17tofpQmOjcYa3u8/edit#gid=1878241338"",""S2 Totals!$A$2:$O$255""),3,FALSE)"),0.5454545454545454)</f>
        <v>0.5454545455</v>
      </c>
      <c r="D227" s="16">
        <f>IFERROR(__xludf.DUMMYFUNCTION("VLOOKUP(A227,IMPORTRANGE(""1QZ5UxyNCwadreQAXnQ7oCoH982DjIA-QnZdO7ZoqkC0/edit#gid=884617569"",""S2 Totals!$A$2:$O$255""),2,FALSE)"),6.0)</f>
        <v>6</v>
      </c>
      <c r="E227" s="15">
        <f>IFERROR(__xludf.DUMMYFUNCTION("VLOOKUP(A227,IMPORTRANGE(""1QZ5UxyNCwadreQAXnQ7oCoH982DjIA-QnZdO7ZoqkC0/edit#gid=884617569"",""S2 Totals!$A$2:$O$255""),3,FALSE)"),0.46153846153846156)</f>
        <v>0.4615384615</v>
      </c>
      <c r="F227" s="15">
        <f t="shared" si="1"/>
        <v>0.08391608392</v>
      </c>
      <c r="G227" s="16">
        <f>IFERROR(__xludf.DUMMYFUNCTION("VLOOKUP(A227,IMPORTRANGE(""1QZ5UxyNCwadreQAXnQ7oCoH982DjIA-QnZdO7ZoqkC0/edit#gid=884617569"",""S2 Totals!$A$2:$O$255""),4,FALSE)"),6.0)</f>
        <v>6</v>
      </c>
      <c r="H227" s="15">
        <f>IFERROR(__xludf.DUMMYFUNCTION("VLOOKUP(A227,IMPORTRANGE(""1QZ5UxyNCwadreQAXnQ7oCoH982DjIA-QnZdO7ZoqkC0/edit#gid=884617569"",""S2 Totals!$A$2:$O$255""),5,FALSE)"),0.5)</f>
        <v>0.5</v>
      </c>
      <c r="I227" s="15">
        <f t="shared" si="2"/>
        <v>0.04545454545</v>
      </c>
      <c r="J227" s="16">
        <f>IFERROR(__xludf.DUMMYFUNCTION("VLOOKUP(A227,IMPORTRANGE(""1QZ5UxyNCwadreQAXnQ7oCoH982DjIA-QnZdO7ZoqkC0/edit#gid=884617569"",""S2 Totals!$A$2:$O$255""),7,FALSE)"),6.0)</f>
        <v>6</v>
      </c>
      <c r="K227" s="15">
        <f>IFERROR(__xludf.DUMMYFUNCTION("VLOOKUP(A227,IMPORTRANGE(""1QZ5UxyNCwadreQAXnQ7oCoH982DjIA-QnZdO7ZoqkC0/edit#gid=884617569"",""S2 Totals!$A$2:$O$255""),8,FALSE)"),0.5)</f>
        <v>0.5</v>
      </c>
      <c r="L227" s="110">
        <f t="shared" si="3"/>
        <v>0.04545454545</v>
      </c>
      <c r="M227" s="16">
        <f>IFERROR(__xludf.DUMMYFUNCTION("VLOOKUP(A227,IMPORTRANGE(""1QZ5UxyNCwadreQAXnQ7oCoH982DjIA-QnZdO7ZoqkC0/edit#gid=884617569"",""S2 Totals!$A$2:$O$255""),10,FALSE)"),8.0)</f>
        <v>8</v>
      </c>
      <c r="N227" s="15">
        <f>IFERROR(__xludf.DUMMYFUNCTION("VLOOKUP(A227,IMPORTRANGE(""1QZ5UxyNCwadreQAXnQ7oCoH982DjIA-QnZdO7ZoqkC0/edit#gid=884617569"",""S2 Totals!$A$2:$O$255""),11,FALSE)"),0.6153846153846154)</f>
        <v>0.6153846154</v>
      </c>
      <c r="O227" s="110">
        <f t="shared" si="4"/>
        <v>-0.06993006993</v>
      </c>
      <c r="P227" s="16">
        <f>IFERROR(__xludf.DUMMYFUNCTION("VLOOKUP(A227,IMPORTRANGE(""1QZ5UxyNCwadreQAXnQ7oCoH982DjIA-QnZdO7ZoqkC0/edit#gid=884617569"",""S2 Totals!$A$2:$O$255""),13,FALSE)"),8.0)</f>
        <v>8</v>
      </c>
      <c r="Q227" s="15">
        <f>IFERROR(__xludf.DUMMYFUNCTION("VLOOKUP(A227,IMPORTRANGE(""1QZ5UxyNCwadreQAXnQ7oCoH982DjIA-QnZdO7ZoqkC0/edit#gid=884617569"",""S2 Totals!$A$2:$O$255""),14,FALSE)"),0.6666666666666666)</f>
        <v>0.6666666667</v>
      </c>
      <c r="R227" s="129">
        <f t="shared" si="5"/>
        <v>-0.1212121212</v>
      </c>
    </row>
    <row r="228">
      <c r="A228" s="128" t="s">
        <v>204</v>
      </c>
      <c r="B228" s="16">
        <f>IFERROR(__xludf.DUMMYFUNCTION("VLOOKUP(A228,IMPORTRANGE(""1aFCnJY1qhIj8-JckJhDJ18aqmVo17tofpQmOjcYa3u8/edit#gid=1878241338"",""S2 Totals!$A$2:$O$255""),2,FALSE)"),1.0)</f>
        <v>1</v>
      </c>
      <c r="C228" s="15">
        <f>IFERROR(__xludf.DUMMYFUNCTION("VLOOKUP(A228,IMPORTRANGE(""1aFCnJY1qhIj8-JckJhDJ18aqmVo17tofpQmOjcYa3u8/edit#gid=1878241338"",""S2 Totals!$A$2:$O$255""),3,FALSE)"),0.09090909090909091)</f>
        <v>0.09090909091</v>
      </c>
      <c r="D228" s="16">
        <f>IFERROR(__xludf.DUMMYFUNCTION("VLOOKUP(A228,IMPORTRANGE(""1QZ5UxyNCwadreQAXnQ7oCoH982DjIA-QnZdO7ZoqkC0/edit#gid=884617569"",""S2 Totals!$A$2:$O$255""),2,FALSE)"),1.0)</f>
        <v>1</v>
      </c>
      <c r="E228" s="15">
        <f>IFERROR(__xludf.DUMMYFUNCTION("VLOOKUP(A228,IMPORTRANGE(""1QZ5UxyNCwadreQAXnQ7oCoH982DjIA-QnZdO7ZoqkC0/edit#gid=884617569"",""S2 Totals!$A$2:$O$255""),3,FALSE)"),0.07692307692307693)</f>
        <v>0.07692307692</v>
      </c>
      <c r="F228" s="15">
        <f t="shared" si="1"/>
        <v>0.01398601399</v>
      </c>
      <c r="G228" s="16">
        <f>IFERROR(__xludf.DUMMYFUNCTION("VLOOKUP(A228,IMPORTRANGE(""1QZ5UxyNCwadreQAXnQ7oCoH982DjIA-QnZdO7ZoqkC0/edit#gid=884617569"",""S2 Totals!$A$2:$O$255""),4,FALSE)"),2.0)</f>
        <v>2</v>
      </c>
      <c r="H228" s="15">
        <f>IFERROR(__xludf.DUMMYFUNCTION("VLOOKUP(A228,IMPORTRANGE(""1QZ5UxyNCwadreQAXnQ7oCoH982DjIA-QnZdO7ZoqkC0/edit#gid=884617569"",""S2 Totals!$A$2:$O$255""),5,FALSE)"),0.16666666666666666)</f>
        <v>0.1666666667</v>
      </c>
      <c r="I228" s="15">
        <f t="shared" si="2"/>
        <v>-0.07575757576</v>
      </c>
      <c r="J228" s="16">
        <f>IFERROR(__xludf.DUMMYFUNCTION("VLOOKUP(A228,IMPORTRANGE(""1QZ5UxyNCwadreQAXnQ7oCoH982DjIA-QnZdO7ZoqkC0/edit#gid=884617569"",""S2 Totals!$A$2:$O$255""),7,FALSE)"),3.0)</f>
        <v>3</v>
      </c>
      <c r="K228" s="15">
        <f>IFERROR(__xludf.DUMMYFUNCTION("VLOOKUP(A228,IMPORTRANGE(""1QZ5UxyNCwadreQAXnQ7oCoH982DjIA-QnZdO7ZoqkC0/edit#gid=884617569"",""S2 Totals!$A$2:$O$255""),8,FALSE)"),0.25)</f>
        <v>0.25</v>
      </c>
      <c r="L228" s="110">
        <f t="shared" si="3"/>
        <v>-0.1590909091</v>
      </c>
      <c r="M228" s="16" t="str">
        <f>IFERROR(__xludf.DUMMYFUNCTION("VLOOKUP(A228,IMPORTRANGE(""1QZ5UxyNCwadreQAXnQ7oCoH982DjIA-QnZdO7ZoqkC0/edit#gid=884617569"",""S2 Totals!$A$2:$O$255""),10,FALSE)"),"")</f>
        <v/>
      </c>
      <c r="N228" s="15" t="str">
        <f>IFERROR(__xludf.DUMMYFUNCTION("VLOOKUP(A228,IMPORTRANGE(""1QZ5UxyNCwadreQAXnQ7oCoH982DjIA-QnZdO7ZoqkC0/edit#gid=884617569"",""S2 Totals!$A$2:$O$255""),11,FALSE)"),"")</f>
        <v/>
      </c>
      <c r="O228" s="110">
        <f t="shared" si="4"/>
        <v>0.09090909091</v>
      </c>
      <c r="P228" s="16" t="str">
        <f>IFERROR(__xludf.DUMMYFUNCTION("VLOOKUP(A228,IMPORTRANGE(""1QZ5UxyNCwadreQAXnQ7oCoH982DjIA-QnZdO7ZoqkC0/edit#gid=884617569"",""S2 Totals!$A$2:$O$255""),13,FALSE)"),"")</f>
        <v/>
      </c>
      <c r="Q228" s="15" t="str">
        <f>IFERROR(__xludf.DUMMYFUNCTION("VLOOKUP(A228,IMPORTRANGE(""1QZ5UxyNCwadreQAXnQ7oCoH982DjIA-QnZdO7ZoqkC0/edit#gid=884617569"",""S2 Totals!$A$2:$O$255""),14,FALSE)"),"")</f>
        <v/>
      </c>
      <c r="R228" s="129">
        <f t="shared" si="5"/>
        <v>0.09090909091</v>
      </c>
    </row>
    <row r="229">
      <c r="A229" s="128" t="s">
        <v>152</v>
      </c>
      <c r="B229" s="16">
        <f>IFERROR(__xludf.DUMMYFUNCTION("VLOOKUP(A229,IMPORTRANGE(""1aFCnJY1qhIj8-JckJhDJ18aqmVo17tofpQmOjcYa3u8/edit#gid=1878241338"",""S2 Totals!$A$2:$O$255""),2,FALSE)"),0.0)</f>
        <v>0</v>
      </c>
      <c r="C229" s="15">
        <f>IFERROR(__xludf.DUMMYFUNCTION("VLOOKUP(A229,IMPORTRANGE(""1aFCnJY1qhIj8-JckJhDJ18aqmVo17tofpQmOjcYa3u8/edit#gid=1878241338"",""S2 Totals!$A$2:$O$255""),3,FALSE)"),0.0)</f>
        <v>0</v>
      </c>
      <c r="D229" s="16">
        <f>IFERROR(__xludf.DUMMYFUNCTION("VLOOKUP(A229,IMPORTRANGE(""1QZ5UxyNCwadreQAXnQ7oCoH982DjIA-QnZdO7ZoqkC0/edit#gid=884617569"",""S2 Totals!$A$2:$O$255""),2,FALSE)"),0.0)</f>
        <v>0</v>
      </c>
      <c r="E229" s="15">
        <f>IFERROR(__xludf.DUMMYFUNCTION("VLOOKUP(A229,IMPORTRANGE(""1QZ5UxyNCwadreQAXnQ7oCoH982DjIA-QnZdO7ZoqkC0/edit#gid=884617569"",""S2 Totals!$A$2:$O$255""),3,FALSE)"),0.0)</f>
        <v>0</v>
      </c>
      <c r="F229" s="15">
        <f t="shared" si="1"/>
        <v>0</v>
      </c>
      <c r="G229" s="16">
        <f>IFERROR(__xludf.DUMMYFUNCTION("VLOOKUP(A229,IMPORTRANGE(""1QZ5UxyNCwadreQAXnQ7oCoH982DjIA-QnZdO7ZoqkC0/edit#gid=884617569"",""S2 Totals!$A$2:$O$255""),4,FALSE)"),0.0)</f>
        <v>0</v>
      </c>
      <c r="H229" s="15">
        <f>IFERROR(__xludf.DUMMYFUNCTION("VLOOKUP(A229,IMPORTRANGE(""1QZ5UxyNCwadreQAXnQ7oCoH982DjIA-QnZdO7ZoqkC0/edit#gid=884617569"",""S2 Totals!$A$2:$O$255""),5,FALSE)"),0.0)</f>
        <v>0</v>
      </c>
      <c r="I229" s="15">
        <f t="shared" si="2"/>
        <v>0</v>
      </c>
      <c r="J229" s="16">
        <f>IFERROR(__xludf.DUMMYFUNCTION("VLOOKUP(A229,IMPORTRANGE(""1QZ5UxyNCwadreQAXnQ7oCoH982DjIA-QnZdO7ZoqkC0/edit#gid=884617569"",""S2 Totals!$A$2:$O$255""),7,FALSE)"),0.0)</f>
        <v>0</v>
      </c>
      <c r="K229" s="15">
        <f>IFERROR(__xludf.DUMMYFUNCTION("VLOOKUP(A229,IMPORTRANGE(""1QZ5UxyNCwadreQAXnQ7oCoH982DjIA-QnZdO7ZoqkC0/edit#gid=884617569"",""S2 Totals!$A$2:$O$255""),8,FALSE)"),0.0)</f>
        <v>0</v>
      </c>
      <c r="L229" s="110">
        <f t="shared" si="3"/>
        <v>0</v>
      </c>
      <c r="M229" s="16">
        <f>IFERROR(__xludf.DUMMYFUNCTION("VLOOKUP(A229,IMPORTRANGE(""1QZ5UxyNCwadreQAXnQ7oCoH982DjIA-QnZdO7ZoqkC0/edit#gid=884617569"",""S2 Totals!$A$2:$O$255""),10,FALSE)"),0.0)</f>
        <v>0</v>
      </c>
      <c r="N229" s="15">
        <f>IFERROR(__xludf.DUMMYFUNCTION("VLOOKUP(A229,IMPORTRANGE(""1QZ5UxyNCwadreQAXnQ7oCoH982DjIA-QnZdO7ZoqkC0/edit#gid=884617569"",""S2 Totals!$A$2:$O$255""),11,FALSE)"),0.0)</f>
        <v>0</v>
      </c>
      <c r="O229" s="110">
        <f t="shared" si="4"/>
        <v>0</v>
      </c>
      <c r="P229" s="16" t="str">
        <f>IFERROR(__xludf.DUMMYFUNCTION("VLOOKUP(A229,IMPORTRANGE(""1QZ5UxyNCwadreQAXnQ7oCoH982DjIA-QnZdO7ZoqkC0/edit#gid=884617569"",""S2 Totals!$A$2:$O$255""),13,FALSE)"),"")</f>
        <v/>
      </c>
      <c r="Q229" s="15" t="str">
        <f>IFERROR(__xludf.DUMMYFUNCTION("VLOOKUP(A229,IMPORTRANGE(""1QZ5UxyNCwadreQAXnQ7oCoH982DjIA-QnZdO7ZoqkC0/edit#gid=884617569"",""S2 Totals!$A$2:$O$255""),14,FALSE)"),"")</f>
        <v/>
      </c>
      <c r="R229" s="129">
        <f t="shared" si="5"/>
        <v>0</v>
      </c>
    </row>
    <row r="230">
      <c r="A230" s="128" t="s">
        <v>49</v>
      </c>
      <c r="B230" s="16">
        <f>IFERROR(__xludf.DUMMYFUNCTION("VLOOKUP(A230,IMPORTRANGE(""1aFCnJY1qhIj8-JckJhDJ18aqmVo17tofpQmOjcYa3u8/edit#gid=1878241338"",""S2 Totals!$A$2:$O$255""),2,FALSE)"),0.0)</f>
        <v>0</v>
      </c>
      <c r="C230" s="15">
        <f>IFERROR(__xludf.DUMMYFUNCTION("VLOOKUP(A230,IMPORTRANGE(""1aFCnJY1qhIj8-JckJhDJ18aqmVo17tofpQmOjcYa3u8/edit#gid=1878241338"",""S2 Totals!$A$2:$O$255""),3,FALSE)"),0.0)</f>
        <v>0</v>
      </c>
      <c r="D230" s="16">
        <f>IFERROR(__xludf.DUMMYFUNCTION("VLOOKUP(A230,IMPORTRANGE(""1QZ5UxyNCwadreQAXnQ7oCoH982DjIA-QnZdO7ZoqkC0/edit#gid=884617569"",""S2 Totals!$A$2:$O$255""),2,FALSE)"),0.0)</f>
        <v>0</v>
      </c>
      <c r="E230" s="15">
        <f>IFERROR(__xludf.DUMMYFUNCTION("VLOOKUP(A230,IMPORTRANGE(""1QZ5UxyNCwadreQAXnQ7oCoH982DjIA-QnZdO7ZoqkC0/edit#gid=884617569"",""S2 Totals!$A$2:$O$255""),3,FALSE)"),0.0)</f>
        <v>0</v>
      </c>
      <c r="F230" s="15">
        <f t="shared" si="1"/>
        <v>0</v>
      </c>
      <c r="G230" s="16">
        <f>IFERROR(__xludf.DUMMYFUNCTION("VLOOKUP(A230,IMPORTRANGE(""1QZ5UxyNCwadreQAXnQ7oCoH982DjIA-QnZdO7ZoqkC0/edit#gid=884617569"",""S2 Totals!$A$2:$O$255""),4,FALSE)"),0.0)</f>
        <v>0</v>
      </c>
      <c r="H230" s="15">
        <f>IFERROR(__xludf.DUMMYFUNCTION("VLOOKUP(A230,IMPORTRANGE(""1QZ5UxyNCwadreQAXnQ7oCoH982DjIA-QnZdO7ZoqkC0/edit#gid=884617569"",""S2 Totals!$A$2:$O$255""),5,FALSE)"),0.0)</f>
        <v>0</v>
      </c>
      <c r="I230" s="15">
        <f t="shared" si="2"/>
        <v>0</v>
      </c>
      <c r="J230" s="16">
        <f>IFERROR(__xludf.DUMMYFUNCTION("VLOOKUP(A230,IMPORTRANGE(""1QZ5UxyNCwadreQAXnQ7oCoH982DjIA-QnZdO7ZoqkC0/edit#gid=884617569"",""S2 Totals!$A$2:$O$255""),7,FALSE)"),0.0)</f>
        <v>0</v>
      </c>
      <c r="K230" s="15">
        <f>IFERROR(__xludf.DUMMYFUNCTION("VLOOKUP(A230,IMPORTRANGE(""1QZ5UxyNCwadreQAXnQ7oCoH982DjIA-QnZdO7ZoqkC0/edit#gid=884617569"",""S2 Totals!$A$2:$O$255""),8,FALSE)"),0.0)</f>
        <v>0</v>
      </c>
      <c r="L230" s="110">
        <f t="shared" si="3"/>
        <v>0</v>
      </c>
      <c r="M230" s="16">
        <f>IFERROR(__xludf.DUMMYFUNCTION("VLOOKUP(A230,IMPORTRANGE(""1QZ5UxyNCwadreQAXnQ7oCoH982DjIA-QnZdO7ZoqkC0/edit#gid=884617569"",""S2 Totals!$A$2:$O$255""),10,FALSE)"),0.0)</f>
        <v>0</v>
      </c>
      <c r="N230" s="15">
        <f>IFERROR(__xludf.DUMMYFUNCTION("VLOOKUP(A230,IMPORTRANGE(""1QZ5UxyNCwadreQAXnQ7oCoH982DjIA-QnZdO7ZoqkC0/edit#gid=884617569"",""S2 Totals!$A$2:$O$255""),11,FALSE)"),0.0)</f>
        <v>0</v>
      </c>
      <c r="O230" s="110">
        <f t="shared" si="4"/>
        <v>0</v>
      </c>
      <c r="P230" s="16">
        <f>IFERROR(__xludf.DUMMYFUNCTION("VLOOKUP(A230,IMPORTRANGE(""1QZ5UxyNCwadreQAXnQ7oCoH982DjIA-QnZdO7ZoqkC0/edit#gid=884617569"",""S2 Totals!$A$2:$O$255""),13,FALSE)"),0.0)</f>
        <v>0</v>
      </c>
      <c r="Q230" s="15">
        <f>IFERROR(__xludf.DUMMYFUNCTION("VLOOKUP(A230,IMPORTRANGE(""1QZ5UxyNCwadreQAXnQ7oCoH982DjIA-QnZdO7ZoqkC0/edit#gid=884617569"",""S2 Totals!$A$2:$O$255""),14,FALSE)"),0.0)</f>
        <v>0</v>
      </c>
      <c r="R230" s="129">
        <f t="shared" si="5"/>
        <v>0</v>
      </c>
    </row>
    <row r="231">
      <c r="A231" s="128" t="s">
        <v>256</v>
      </c>
      <c r="B231" s="16">
        <f>IFERROR(__xludf.DUMMYFUNCTION("VLOOKUP(A231,IMPORTRANGE(""1aFCnJY1qhIj8-JckJhDJ18aqmVo17tofpQmOjcYa3u8/edit#gid=1878241338"",""S2 Totals!$A$2:$O$255""),2,FALSE)"),2.0)</f>
        <v>2</v>
      </c>
      <c r="C231" s="15">
        <f>IFERROR(__xludf.DUMMYFUNCTION("VLOOKUP(A231,IMPORTRANGE(""1aFCnJY1qhIj8-JckJhDJ18aqmVo17tofpQmOjcYa3u8/edit#gid=1878241338"",""S2 Totals!$A$2:$O$255""),3,FALSE)"),0.18181818181818182)</f>
        <v>0.1818181818</v>
      </c>
      <c r="D231" s="16">
        <f>IFERROR(__xludf.DUMMYFUNCTION("VLOOKUP(A231,IMPORTRANGE(""1QZ5UxyNCwadreQAXnQ7oCoH982DjIA-QnZdO7ZoqkC0/edit#gid=884617569"",""S2 Totals!$A$2:$O$255""),2,FALSE)"),2.0)</f>
        <v>2</v>
      </c>
      <c r="E231" s="15">
        <f>IFERROR(__xludf.DUMMYFUNCTION("VLOOKUP(A231,IMPORTRANGE(""1QZ5UxyNCwadreQAXnQ7oCoH982DjIA-QnZdO7ZoqkC0/edit#gid=884617569"",""S2 Totals!$A$2:$O$255""),3,FALSE)"),0.15384615384615385)</f>
        <v>0.1538461538</v>
      </c>
      <c r="F231" s="15">
        <f t="shared" si="1"/>
        <v>0.02797202797</v>
      </c>
      <c r="G231" s="16">
        <f>IFERROR(__xludf.DUMMYFUNCTION("VLOOKUP(A231,IMPORTRANGE(""1QZ5UxyNCwadreQAXnQ7oCoH982DjIA-QnZdO7ZoqkC0/edit#gid=884617569"",""S2 Totals!$A$2:$O$255""),4,FALSE)"),2.0)</f>
        <v>2</v>
      </c>
      <c r="H231" s="15">
        <f>IFERROR(__xludf.DUMMYFUNCTION("VLOOKUP(A231,IMPORTRANGE(""1QZ5UxyNCwadreQAXnQ7oCoH982DjIA-QnZdO7ZoqkC0/edit#gid=884617569"",""S2 Totals!$A$2:$O$255""),5,FALSE)"),0.16666666666666666)</f>
        <v>0.1666666667</v>
      </c>
      <c r="I231" s="15">
        <f t="shared" si="2"/>
        <v>0.01515151515</v>
      </c>
      <c r="J231" s="16" t="str">
        <f>IFERROR(__xludf.DUMMYFUNCTION("VLOOKUP(A231,IMPORTRANGE(""1QZ5UxyNCwadreQAXnQ7oCoH982DjIA-QnZdO7ZoqkC0/edit#gid=884617569"",""S2 Totals!$A$2:$O$255""),7,FALSE)"),"")</f>
        <v/>
      </c>
      <c r="K231" s="15" t="str">
        <f>IFERROR(__xludf.DUMMYFUNCTION("VLOOKUP(A231,IMPORTRANGE(""1QZ5UxyNCwadreQAXnQ7oCoH982DjIA-QnZdO7ZoqkC0/edit#gid=884617569"",""S2 Totals!$A$2:$O$255""),8,FALSE)"),"")</f>
        <v/>
      </c>
      <c r="L231" s="110">
        <f t="shared" si="3"/>
        <v>0.1818181818</v>
      </c>
      <c r="M231" s="16" t="str">
        <f>IFERROR(__xludf.DUMMYFUNCTION("VLOOKUP(A231,IMPORTRANGE(""1QZ5UxyNCwadreQAXnQ7oCoH982DjIA-QnZdO7ZoqkC0/edit#gid=884617569"",""S2 Totals!$A$2:$O$255""),10,FALSE)"),"")</f>
        <v/>
      </c>
      <c r="N231" s="15" t="str">
        <f>IFERROR(__xludf.DUMMYFUNCTION("VLOOKUP(A231,IMPORTRANGE(""1QZ5UxyNCwadreQAXnQ7oCoH982DjIA-QnZdO7ZoqkC0/edit#gid=884617569"",""S2 Totals!$A$2:$O$255""),11,FALSE)"),"")</f>
        <v/>
      </c>
      <c r="O231" s="110">
        <f t="shared" si="4"/>
        <v>0.1818181818</v>
      </c>
      <c r="P231" s="16" t="str">
        <f>IFERROR(__xludf.DUMMYFUNCTION("VLOOKUP(A231,IMPORTRANGE(""1QZ5UxyNCwadreQAXnQ7oCoH982DjIA-QnZdO7ZoqkC0/edit#gid=884617569"",""S2 Totals!$A$2:$O$255""),13,FALSE)"),"")</f>
        <v/>
      </c>
      <c r="Q231" s="15" t="str">
        <f>IFERROR(__xludf.DUMMYFUNCTION("VLOOKUP(A231,IMPORTRANGE(""1QZ5UxyNCwadreQAXnQ7oCoH982DjIA-QnZdO7ZoqkC0/edit#gid=884617569"",""S2 Totals!$A$2:$O$255""),14,FALSE)"),"")</f>
        <v/>
      </c>
      <c r="R231" s="129">
        <f t="shared" si="5"/>
        <v>0.1818181818</v>
      </c>
    </row>
    <row r="232">
      <c r="A232" s="128" t="s">
        <v>205</v>
      </c>
      <c r="B232" s="16">
        <f>IFERROR(__xludf.DUMMYFUNCTION("VLOOKUP(A232,IMPORTRANGE(""1aFCnJY1qhIj8-JckJhDJ18aqmVo17tofpQmOjcYa3u8/edit#gid=1878241338"",""S2 Totals!$A$2:$O$255""),2,FALSE)"),5.0)</f>
        <v>5</v>
      </c>
      <c r="C232" s="15">
        <f>IFERROR(__xludf.DUMMYFUNCTION("VLOOKUP(A232,IMPORTRANGE(""1aFCnJY1qhIj8-JckJhDJ18aqmVo17tofpQmOjcYa3u8/edit#gid=1878241338"",""S2 Totals!$A$2:$O$255""),3,FALSE)"),0.45454545454545453)</f>
        <v>0.4545454545</v>
      </c>
      <c r="D232" s="16">
        <f>IFERROR(__xludf.DUMMYFUNCTION("VLOOKUP(A232,IMPORTRANGE(""1QZ5UxyNCwadreQAXnQ7oCoH982DjIA-QnZdO7ZoqkC0/edit#gid=884617569"",""S2 Totals!$A$2:$O$255""),2,FALSE)"),4.0)</f>
        <v>4</v>
      </c>
      <c r="E232" s="15">
        <f>IFERROR(__xludf.DUMMYFUNCTION("VLOOKUP(A232,IMPORTRANGE(""1QZ5UxyNCwadreQAXnQ7oCoH982DjIA-QnZdO7ZoqkC0/edit#gid=884617569"",""S2 Totals!$A$2:$O$255""),3,FALSE)"),0.3076923076923077)</f>
        <v>0.3076923077</v>
      </c>
      <c r="F232" s="15">
        <f t="shared" si="1"/>
        <v>0.1468531469</v>
      </c>
      <c r="G232" s="16">
        <f>IFERROR(__xludf.DUMMYFUNCTION("VLOOKUP(A232,IMPORTRANGE(""1QZ5UxyNCwadreQAXnQ7oCoH982DjIA-QnZdO7ZoqkC0/edit#gid=884617569"",""S2 Totals!$A$2:$O$255""),4,FALSE)"),4.0)</f>
        <v>4</v>
      </c>
      <c r="H232" s="15">
        <f>IFERROR(__xludf.DUMMYFUNCTION("VLOOKUP(A232,IMPORTRANGE(""1QZ5UxyNCwadreQAXnQ7oCoH982DjIA-QnZdO7ZoqkC0/edit#gid=884617569"",""S2 Totals!$A$2:$O$255""),5,FALSE)"),0.3333333333333333)</f>
        <v>0.3333333333</v>
      </c>
      <c r="I232" s="15">
        <f t="shared" si="2"/>
        <v>0.1212121212</v>
      </c>
      <c r="J232" s="16">
        <f>IFERROR(__xludf.DUMMYFUNCTION("VLOOKUP(A232,IMPORTRANGE(""1QZ5UxyNCwadreQAXnQ7oCoH982DjIA-QnZdO7ZoqkC0/edit#gid=884617569"",""S2 Totals!$A$2:$O$255""),7,FALSE)"),2.0)</f>
        <v>2</v>
      </c>
      <c r="K232" s="15">
        <f>IFERROR(__xludf.DUMMYFUNCTION("VLOOKUP(A232,IMPORTRANGE(""1QZ5UxyNCwadreQAXnQ7oCoH982DjIA-QnZdO7ZoqkC0/edit#gid=884617569"",""S2 Totals!$A$2:$O$255""),8,FALSE)"),0.16666666666666666)</f>
        <v>0.1666666667</v>
      </c>
      <c r="L232" s="110">
        <f t="shared" si="3"/>
        <v>0.2878787879</v>
      </c>
      <c r="M232" s="16" t="str">
        <f>IFERROR(__xludf.DUMMYFUNCTION("VLOOKUP(A232,IMPORTRANGE(""1QZ5UxyNCwadreQAXnQ7oCoH982DjIA-QnZdO7ZoqkC0/edit#gid=884617569"",""S2 Totals!$A$2:$O$255""),10,FALSE)"),"")</f>
        <v/>
      </c>
      <c r="N232" s="15" t="str">
        <f>IFERROR(__xludf.DUMMYFUNCTION("VLOOKUP(A232,IMPORTRANGE(""1QZ5UxyNCwadreQAXnQ7oCoH982DjIA-QnZdO7ZoqkC0/edit#gid=884617569"",""S2 Totals!$A$2:$O$255""),11,FALSE)"),"")</f>
        <v/>
      </c>
      <c r="O232" s="110">
        <f t="shared" si="4"/>
        <v>0.4545454545</v>
      </c>
      <c r="P232" s="16" t="str">
        <f>IFERROR(__xludf.DUMMYFUNCTION("VLOOKUP(A232,IMPORTRANGE(""1QZ5UxyNCwadreQAXnQ7oCoH982DjIA-QnZdO7ZoqkC0/edit#gid=884617569"",""S2 Totals!$A$2:$O$255""),13,FALSE)"),"")</f>
        <v/>
      </c>
      <c r="Q232" s="15" t="str">
        <f>IFERROR(__xludf.DUMMYFUNCTION("VLOOKUP(A232,IMPORTRANGE(""1QZ5UxyNCwadreQAXnQ7oCoH982DjIA-QnZdO7ZoqkC0/edit#gid=884617569"",""S2 Totals!$A$2:$O$255""),14,FALSE)"),"")</f>
        <v/>
      </c>
      <c r="R232" s="129">
        <f t="shared" si="5"/>
        <v>0.4545454545</v>
      </c>
    </row>
    <row r="233">
      <c r="A233" s="128" t="s">
        <v>101</v>
      </c>
      <c r="B233" s="16">
        <f>IFERROR(__xludf.DUMMYFUNCTION("VLOOKUP(A233,IMPORTRANGE(""1aFCnJY1qhIj8-JckJhDJ18aqmVo17tofpQmOjcYa3u8/edit#gid=1878241338"",""S2 Totals!$A$2:$O$255""),2,FALSE)"),5.0)</f>
        <v>5</v>
      </c>
      <c r="C233" s="15">
        <f>IFERROR(__xludf.DUMMYFUNCTION("VLOOKUP(A233,IMPORTRANGE(""1aFCnJY1qhIj8-JckJhDJ18aqmVo17tofpQmOjcYa3u8/edit#gid=1878241338"",""S2 Totals!$A$2:$O$255""),3,FALSE)"),0.45454545454545453)</f>
        <v>0.4545454545</v>
      </c>
      <c r="D233" s="16">
        <f>IFERROR(__xludf.DUMMYFUNCTION("VLOOKUP(A233,IMPORTRANGE(""1QZ5UxyNCwadreQAXnQ7oCoH982DjIA-QnZdO7ZoqkC0/edit#gid=884617569"",""S2 Totals!$A$2:$O$255""),2,FALSE)"),3.0)</f>
        <v>3</v>
      </c>
      <c r="E233" s="15">
        <f>IFERROR(__xludf.DUMMYFUNCTION("VLOOKUP(A233,IMPORTRANGE(""1QZ5UxyNCwadreQAXnQ7oCoH982DjIA-QnZdO7ZoqkC0/edit#gid=884617569"",""S2 Totals!$A$2:$O$255""),3,FALSE)"),0.23076923076923078)</f>
        <v>0.2307692308</v>
      </c>
      <c r="F233" s="15">
        <f t="shared" si="1"/>
        <v>0.2237762238</v>
      </c>
      <c r="G233" s="16">
        <f>IFERROR(__xludf.DUMMYFUNCTION("VLOOKUP(A233,IMPORTRANGE(""1QZ5UxyNCwadreQAXnQ7oCoH982DjIA-QnZdO7ZoqkC0/edit#gid=884617569"",""S2 Totals!$A$2:$O$255""),4,FALSE)"),2.0)</f>
        <v>2</v>
      </c>
      <c r="H233" s="15">
        <f>IFERROR(__xludf.DUMMYFUNCTION("VLOOKUP(A233,IMPORTRANGE(""1QZ5UxyNCwadreQAXnQ7oCoH982DjIA-QnZdO7ZoqkC0/edit#gid=884617569"",""S2 Totals!$A$2:$O$255""),5,FALSE)"),0.16666666666666666)</f>
        <v>0.1666666667</v>
      </c>
      <c r="I233" s="15">
        <f t="shared" si="2"/>
        <v>0.2878787879</v>
      </c>
      <c r="J233" s="16">
        <f>IFERROR(__xludf.DUMMYFUNCTION("VLOOKUP(A233,IMPORTRANGE(""1QZ5UxyNCwadreQAXnQ7oCoH982DjIA-QnZdO7ZoqkC0/edit#gid=884617569"",""S2 Totals!$A$2:$O$255""),7,FALSE)"),2.0)</f>
        <v>2</v>
      </c>
      <c r="K233" s="15">
        <f>IFERROR(__xludf.DUMMYFUNCTION("VLOOKUP(A233,IMPORTRANGE(""1QZ5UxyNCwadreQAXnQ7oCoH982DjIA-QnZdO7ZoqkC0/edit#gid=884617569"",""S2 Totals!$A$2:$O$255""),8,FALSE)"),0.16666666666666666)</f>
        <v>0.1666666667</v>
      </c>
      <c r="L233" s="110">
        <f t="shared" si="3"/>
        <v>0.2878787879</v>
      </c>
      <c r="M233" s="16">
        <f>IFERROR(__xludf.DUMMYFUNCTION("VLOOKUP(A233,IMPORTRANGE(""1QZ5UxyNCwadreQAXnQ7oCoH982DjIA-QnZdO7ZoqkC0/edit#gid=884617569"",""S2 Totals!$A$2:$O$255""),10,FALSE)"),2.0)</f>
        <v>2</v>
      </c>
      <c r="N233" s="15">
        <f>IFERROR(__xludf.DUMMYFUNCTION("VLOOKUP(A233,IMPORTRANGE(""1QZ5UxyNCwadreQAXnQ7oCoH982DjIA-QnZdO7ZoqkC0/edit#gid=884617569"",""S2 Totals!$A$2:$O$255""),11,FALSE)"),0.15384615384615385)</f>
        <v>0.1538461538</v>
      </c>
      <c r="O233" s="110">
        <f t="shared" si="4"/>
        <v>0.3006993007</v>
      </c>
      <c r="P233" s="16">
        <f>IFERROR(__xludf.DUMMYFUNCTION("VLOOKUP(A233,IMPORTRANGE(""1QZ5UxyNCwadreQAXnQ7oCoH982DjIA-QnZdO7ZoqkC0/edit#gid=884617569"",""S2 Totals!$A$2:$O$255""),13,FALSE)"),3.0)</f>
        <v>3</v>
      </c>
      <c r="Q233" s="15">
        <f>IFERROR(__xludf.DUMMYFUNCTION("VLOOKUP(A233,IMPORTRANGE(""1QZ5UxyNCwadreQAXnQ7oCoH982DjIA-QnZdO7ZoqkC0/edit#gid=884617569"",""S2 Totals!$A$2:$O$255""),14,FALSE)"),0.25)</f>
        <v>0.25</v>
      </c>
      <c r="R233" s="129">
        <f t="shared" si="5"/>
        <v>0.2045454545</v>
      </c>
    </row>
    <row r="234">
      <c r="A234" s="128" t="s">
        <v>102</v>
      </c>
      <c r="B234" s="16">
        <f>IFERROR(__xludf.DUMMYFUNCTION("VLOOKUP(A234,IMPORTRANGE(""1aFCnJY1qhIj8-JckJhDJ18aqmVo17tofpQmOjcYa3u8/edit#gid=1878241338"",""S2 Totals!$A$2:$O$255""),2,FALSE)"),5.0)</f>
        <v>5</v>
      </c>
      <c r="C234" s="15">
        <f>IFERROR(__xludf.DUMMYFUNCTION("VLOOKUP(A234,IMPORTRANGE(""1aFCnJY1qhIj8-JckJhDJ18aqmVo17tofpQmOjcYa3u8/edit#gid=1878241338"",""S2 Totals!$A$2:$O$255""),3,FALSE)"),0.45454545454545453)</f>
        <v>0.4545454545</v>
      </c>
      <c r="D234" s="16">
        <f>IFERROR(__xludf.DUMMYFUNCTION("VLOOKUP(A234,IMPORTRANGE(""1QZ5UxyNCwadreQAXnQ7oCoH982DjIA-QnZdO7ZoqkC0/edit#gid=884617569"",""S2 Totals!$A$2:$O$255""),2,FALSE)"),6.0)</f>
        <v>6</v>
      </c>
      <c r="E234" s="15">
        <f>IFERROR(__xludf.DUMMYFUNCTION("VLOOKUP(A234,IMPORTRANGE(""1QZ5UxyNCwadreQAXnQ7oCoH982DjIA-QnZdO7ZoqkC0/edit#gid=884617569"",""S2 Totals!$A$2:$O$255""),3,FALSE)"),0.46153846153846156)</f>
        <v>0.4615384615</v>
      </c>
      <c r="F234" s="15">
        <f t="shared" si="1"/>
        <v>-0.006993006993</v>
      </c>
      <c r="G234" s="16">
        <f>IFERROR(__xludf.DUMMYFUNCTION("VLOOKUP(A234,IMPORTRANGE(""1QZ5UxyNCwadreQAXnQ7oCoH982DjIA-QnZdO7ZoqkC0/edit#gid=884617569"",""S2 Totals!$A$2:$O$255""),4,FALSE)"),2.0)</f>
        <v>2</v>
      </c>
      <c r="H234" s="15">
        <f>IFERROR(__xludf.DUMMYFUNCTION("VLOOKUP(A234,IMPORTRANGE(""1QZ5UxyNCwadreQAXnQ7oCoH982DjIA-QnZdO7ZoqkC0/edit#gid=884617569"",""S2 Totals!$A$2:$O$255""),5,FALSE)"),0.16666666666666666)</f>
        <v>0.1666666667</v>
      </c>
      <c r="I234" s="15">
        <f t="shared" si="2"/>
        <v>0.2878787879</v>
      </c>
      <c r="J234" s="16">
        <f>IFERROR(__xludf.DUMMYFUNCTION("VLOOKUP(A234,IMPORTRANGE(""1QZ5UxyNCwadreQAXnQ7oCoH982DjIA-QnZdO7ZoqkC0/edit#gid=884617569"",""S2 Totals!$A$2:$O$255""),7,FALSE)"),2.0)</f>
        <v>2</v>
      </c>
      <c r="K234" s="15">
        <f>IFERROR(__xludf.DUMMYFUNCTION("VLOOKUP(A234,IMPORTRANGE(""1QZ5UxyNCwadreQAXnQ7oCoH982DjIA-QnZdO7ZoqkC0/edit#gid=884617569"",""S2 Totals!$A$2:$O$255""),8,FALSE)"),0.16666666666666666)</f>
        <v>0.1666666667</v>
      </c>
      <c r="L234" s="110">
        <f t="shared" si="3"/>
        <v>0.2878787879</v>
      </c>
      <c r="M234" s="16">
        <f>IFERROR(__xludf.DUMMYFUNCTION("VLOOKUP(A234,IMPORTRANGE(""1QZ5UxyNCwadreQAXnQ7oCoH982DjIA-QnZdO7ZoqkC0/edit#gid=884617569"",""S2 Totals!$A$2:$O$255""),10,FALSE)"),4.0)</f>
        <v>4</v>
      </c>
      <c r="N234" s="15">
        <f>IFERROR(__xludf.DUMMYFUNCTION("VLOOKUP(A234,IMPORTRANGE(""1QZ5UxyNCwadreQAXnQ7oCoH982DjIA-QnZdO7ZoqkC0/edit#gid=884617569"",""S2 Totals!$A$2:$O$255""),11,FALSE)"),0.3076923076923077)</f>
        <v>0.3076923077</v>
      </c>
      <c r="O234" s="110">
        <f t="shared" si="4"/>
        <v>0.1468531469</v>
      </c>
      <c r="P234" s="16">
        <f>IFERROR(__xludf.DUMMYFUNCTION("VLOOKUP(A234,IMPORTRANGE(""1QZ5UxyNCwadreQAXnQ7oCoH982DjIA-QnZdO7ZoqkC0/edit#gid=884617569"",""S2 Totals!$A$2:$O$255""),13,FALSE)"),4.0)</f>
        <v>4</v>
      </c>
      <c r="Q234" s="15">
        <f>IFERROR(__xludf.DUMMYFUNCTION("VLOOKUP(A234,IMPORTRANGE(""1QZ5UxyNCwadreQAXnQ7oCoH982DjIA-QnZdO7ZoqkC0/edit#gid=884617569"",""S2 Totals!$A$2:$O$255""),14,FALSE)"),0.3333333333333333)</f>
        <v>0.3333333333</v>
      </c>
      <c r="R234" s="129">
        <f t="shared" si="5"/>
        <v>0.1212121212</v>
      </c>
    </row>
    <row r="235">
      <c r="A235" s="128" t="s">
        <v>257</v>
      </c>
      <c r="B235" s="16">
        <f>IFERROR(__xludf.DUMMYFUNCTION("VLOOKUP(A235,IMPORTRANGE(""1aFCnJY1qhIj8-JckJhDJ18aqmVo17tofpQmOjcYa3u8/edit#gid=1878241338"",""S2 Totals!$A$2:$O$255""),2,FALSE)"),1.0)</f>
        <v>1</v>
      </c>
      <c r="C235" s="15">
        <f>IFERROR(__xludf.DUMMYFUNCTION("VLOOKUP(A235,IMPORTRANGE(""1aFCnJY1qhIj8-JckJhDJ18aqmVo17tofpQmOjcYa3u8/edit#gid=1878241338"",""S2 Totals!$A$2:$O$255""),3,FALSE)"),0.09090909090909091)</f>
        <v>0.09090909091</v>
      </c>
      <c r="D235" s="16">
        <f>IFERROR(__xludf.DUMMYFUNCTION("VLOOKUP(A235,IMPORTRANGE(""1QZ5UxyNCwadreQAXnQ7oCoH982DjIA-QnZdO7ZoqkC0/edit#gid=884617569"",""S2 Totals!$A$2:$O$255""),2,FALSE)"),0.0)</f>
        <v>0</v>
      </c>
      <c r="E235" s="15">
        <f>IFERROR(__xludf.DUMMYFUNCTION("VLOOKUP(A235,IMPORTRANGE(""1QZ5UxyNCwadreQAXnQ7oCoH982DjIA-QnZdO7ZoqkC0/edit#gid=884617569"",""S2 Totals!$A$2:$O$255""),3,FALSE)"),0.0)</f>
        <v>0</v>
      </c>
      <c r="F235" s="15">
        <f t="shared" si="1"/>
        <v>0.09090909091</v>
      </c>
      <c r="G235" s="16">
        <f>IFERROR(__xludf.DUMMYFUNCTION("VLOOKUP(A235,IMPORTRANGE(""1QZ5UxyNCwadreQAXnQ7oCoH982DjIA-QnZdO7ZoqkC0/edit#gid=884617569"",""S2 Totals!$A$2:$O$255""),4,FALSE)"),0.0)</f>
        <v>0</v>
      </c>
      <c r="H235" s="15">
        <f>IFERROR(__xludf.DUMMYFUNCTION("VLOOKUP(A235,IMPORTRANGE(""1QZ5UxyNCwadreQAXnQ7oCoH982DjIA-QnZdO7ZoqkC0/edit#gid=884617569"",""S2 Totals!$A$2:$O$255""),5,FALSE)"),0.0)</f>
        <v>0</v>
      </c>
      <c r="I235" s="15">
        <f t="shared" si="2"/>
        <v>0.09090909091</v>
      </c>
      <c r="J235" s="16" t="str">
        <f>IFERROR(__xludf.DUMMYFUNCTION("VLOOKUP(A235,IMPORTRANGE(""1QZ5UxyNCwadreQAXnQ7oCoH982DjIA-QnZdO7ZoqkC0/edit#gid=884617569"",""S2 Totals!$A$2:$O$255""),7,FALSE)"),"")</f>
        <v/>
      </c>
      <c r="K235" s="15" t="str">
        <f>IFERROR(__xludf.DUMMYFUNCTION("VLOOKUP(A235,IMPORTRANGE(""1QZ5UxyNCwadreQAXnQ7oCoH982DjIA-QnZdO7ZoqkC0/edit#gid=884617569"",""S2 Totals!$A$2:$O$255""),8,FALSE)"),"")</f>
        <v/>
      </c>
      <c r="L235" s="110">
        <f t="shared" si="3"/>
        <v>0.09090909091</v>
      </c>
      <c r="M235" s="16" t="str">
        <f>IFERROR(__xludf.DUMMYFUNCTION("VLOOKUP(A235,IMPORTRANGE(""1QZ5UxyNCwadreQAXnQ7oCoH982DjIA-QnZdO7ZoqkC0/edit#gid=884617569"",""S2 Totals!$A$2:$O$255""),10,FALSE)"),"")</f>
        <v/>
      </c>
      <c r="N235" s="15" t="str">
        <f>IFERROR(__xludf.DUMMYFUNCTION("VLOOKUP(A235,IMPORTRANGE(""1QZ5UxyNCwadreQAXnQ7oCoH982DjIA-QnZdO7ZoqkC0/edit#gid=884617569"",""S2 Totals!$A$2:$O$255""),11,FALSE)"),"")</f>
        <v/>
      </c>
      <c r="O235" s="110">
        <f t="shared" si="4"/>
        <v>0.09090909091</v>
      </c>
      <c r="P235" s="16" t="str">
        <f>IFERROR(__xludf.DUMMYFUNCTION("VLOOKUP(A235,IMPORTRANGE(""1QZ5UxyNCwadreQAXnQ7oCoH982DjIA-QnZdO7ZoqkC0/edit#gid=884617569"",""S2 Totals!$A$2:$O$255""),13,FALSE)"),"")</f>
        <v/>
      </c>
      <c r="Q235" s="15" t="str">
        <f>IFERROR(__xludf.DUMMYFUNCTION("VLOOKUP(A235,IMPORTRANGE(""1QZ5UxyNCwadreQAXnQ7oCoH982DjIA-QnZdO7ZoqkC0/edit#gid=884617569"",""S2 Totals!$A$2:$O$255""),14,FALSE)"),"")</f>
        <v/>
      </c>
      <c r="R235" s="129">
        <f t="shared" si="5"/>
        <v>0.09090909091</v>
      </c>
    </row>
    <row r="236">
      <c r="A236" s="128" t="s">
        <v>103</v>
      </c>
      <c r="B236" s="16">
        <f>IFERROR(__xludf.DUMMYFUNCTION("VLOOKUP(A236,IMPORTRANGE(""1aFCnJY1qhIj8-JckJhDJ18aqmVo17tofpQmOjcYa3u8/edit#gid=1878241338"",""S2 Totals!$A$2:$O$255""),2,FALSE)"),3.0)</f>
        <v>3</v>
      </c>
      <c r="C236" s="15">
        <f>IFERROR(__xludf.DUMMYFUNCTION("VLOOKUP(A236,IMPORTRANGE(""1aFCnJY1qhIj8-JckJhDJ18aqmVo17tofpQmOjcYa3u8/edit#gid=1878241338"",""S2 Totals!$A$2:$O$255""),3,FALSE)"),0.2727272727272727)</f>
        <v>0.2727272727</v>
      </c>
      <c r="D236" s="16">
        <f>IFERROR(__xludf.DUMMYFUNCTION("VLOOKUP(A236,IMPORTRANGE(""1QZ5UxyNCwadreQAXnQ7oCoH982DjIA-QnZdO7ZoqkC0/edit#gid=884617569"",""S2 Totals!$A$2:$O$255""),2,FALSE)"),6.0)</f>
        <v>6</v>
      </c>
      <c r="E236" s="15">
        <f>IFERROR(__xludf.DUMMYFUNCTION("VLOOKUP(A236,IMPORTRANGE(""1QZ5UxyNCwadreQAXnQ7oCoH982DjIA-QnZdO7ZoqkC0/edit#gid=884617569"",""S2 Totals!$A$2:$O$255""),3,FALSE)"),0.46153846153846156)</f>
        <v>0.4615384615</v>
      </c>
      <c r="F236" s="15">
        <f t="shared" si="1"/>
        <v>-0.1888111888</v>
      </c>
      <c r="G236" s="16">
        <f>IFERROR(__xludf.DUMMYFUNCTION("VLOOKUP(A236,IMPORTRANGE(""1QZ5UxyNCwadreQAXnQ7oCoH982DjIA-QnZdO7ZoqkC0/edit#gid=884617569"",""S2 Totals!$A$2:$O$255""),4,FALSE)"),6.0)</f>
        <v>6</v>
      </c>
      <c r="H236" s="15">
        <f>IFERROR(__xludf.DUMMYFUNCTION("VLOOKUP(A236,IMPORTRANGE(""1QZ5UxyNCwadreQAXnQ7oCoH982DjIA-QnZdO7ZoqkC0/edit#gid=884617569"",""S2 Totals!$A$2:$O$255""),5,FALSE)"),0.5)</f>
        <v>0.5</v>
      </c>
      <c r="I236" s="15">
        <f t="shared" si="2"/>
        <v>-0.2272727273</v>
      </c>
      <c r="J236" s="16">
        <f>IFERROR(__xludf.DUMMYFUNCTION("VLOOKUP(A236,IMPORTRANGE(""1QZ5UxyNCwadreQAXnQ7oCoH982DjIA-QnZdO7ZoqkC0/edit#gid=884617569"",""S2 Totals!$A$2:$O$255""),7,FALSE)"),6.0)</f>
        <v>6</v>
      </c>
      <c r="K236" s="15">
        <f>IFERROR(__xludf.DUMMYFUNCTION("VLOOKUP(A236,IMPORTRANGE(""1QZ5UxyNCwadreQAXnQ7oCoH982DjIA-QnZdO7ZoqkC0/edit#gid=884617569"",""S2 Totals!$A$2:$O$255""),8,FALSE)"),0.5)</f>
        <v>0.5</v>
      </c>
      <c r="L236" s="110">
        <f t="shared" si="3"/>
        <v>-0.2272727273</v>
      </c>
      <c r="M236" s="16">
        <f>IFERROR(__xludf.DUMMYFUNCTION("VLOOKUP(A236,IMPORTRANGE(""1QZ5UxyNCwadreQAXnQ7oCoH982DjIA-QnZdO7ZoqkC0/edit#gid=884617569"",""S2 Totals!$A$2:$O$255""),10,FALSE)"),7.0)</f>
        <v>7</v>
      </c>
      <c r="N236" s="15">
        <f>IFERROR(__xludf.DUMMYFUNCTION("VLOOKUP(A236,IMPORTRANGE(""1QZ5UxyNCwadreQAXnQ7oCoH982DjIA-QnZdO7ZoqkC0/edit#gid=884617569"",""S2 Totals!$A$2:$O$255""),11,FALSE)"),0.5384615384615384)</f>
        <v>0.5384615385</v>
      </c>
      <c r="O236" s="110">
        <f t="shared" si="4"/>
        <v>-0.2657342657</v>
      </c>
      <c r="P236" s="16">
        <f>IFERROR(__xludf.DUMMYFUNCTION("VLOOKUP(A236,IMPORTRANGE(""1QZ5UxyNCwadreQAXnQ7oCoH982DjIA-QnZdO7ZoqkC0/edit#gid=884617569"",""S2 Totals!$A$2:$O$255""),13,FALSE)"),3.0)</f>
        <v>3</v>
      </c>
      <c r="Q236" s="15">
        <f>IFERROR(__xludf.DUMMYFUNCTION("VLOOKUP(A236,IMPORTRANGE(""1QZ5UxyNCwadreQAXnQ7oCoH982DjIA-QnZdO7ZoqkC0/edit#gid=884617569"",""S2 Totals!$A$2:$O$255""),14,FALSE)"),0.25)</f>
        <v>0.25</v>
      </c>
      <c r="R236" s="129">
        <f t="shared" si="5"/>
        <v>0.02272727273</v>
      </c>
    </row>
    <row r="237">
      <c r="A237" s="128" t="s">
        <v>104</v>
      </c>
      <c r="B237" s="16">
        <f>IFERROR(__xludf.DUMMYFUNCTION("VLOOKUP(A237,IMPORTRANGE(""1aFCnJY1qhIj8-JckJhDJ18aqmVo17tofpQmOjcYa3u8/edit#gid=1878241338"",""S2 Totals!$A$2:$O$255""),2,FALSE)"),5.0)</f>
        <v>5</v>
      </c>
      <c r="C237" s="15">
        <f>IFERROR(__xludf.DUMMYFUNCTION("VLOOKUP(A237,IMPORTRANGE(""1aFCnJY1qhIj8-JckJhDJ18aqmVo17tofpQmOjcYa3u8/edit#gid=1878241338"",""S2 Totals!$A$2:$O$255""),3,FALSE)"),0.45454545454545453)</f>
        <v>0.4545454545</v>
      </c>
      <c r="D237" s="16">
        <f>IFERROR(__xludf.DUMMYFUNCTION("VLOOKUP(A237,IMPORTRANGE(""1QZ5UxyNCwadreQAXnQ7oCoH982DjIA-QnZdO7ZoqkC0/edit#gid=884617569"",""S2 Totals!$A$2:$O$255""),2,FALSE)"),4.0)</f>
        <v>4</v>
      </c>
      <c r="E237" s="15">
        <f>IFERROR(__xludf.DUMMYFUNCTION("VLOOKUP(A237,IMPORTRANGE(""1QZ5UxyNCwadreQAXnQ7oCoH982DjIA-QnZdO7ZoqkC0/edit#gid=884617569"",""S2 Totals!$A$2:$O$255""),3,FALSE)"),0.3076923076923077)</f>
        <v>0.3076923077</v>
      </c>
      <c r="F237" s="15">
        <f t="shared" si="1"/>
        <v>0.1468531469</v>
      </c>
      <c r="G237" s="16">
        <f>IFERROR(__xludf.DUMMYFUNCTION("VLOOKUP(A237,IMPORTRANGE(""1QZ5UxyNCwadreQAXnQ7oCoH982DjIA-QnZdO7ZoqkC0/edit#gid=884617569"",""S2 Totals!$A$2:$O$255""),4,FALSE)"),0.0)</f>
        <v>0</v>
      </c>
      <c r="H237" s="15">
        <f>IFERROR(__xludf.DUMMYFUNCTION("VLOOKUP(A237,IMPORTRANGE(""1QZ5UxyNCwadreQAXnQ7oCoH982DjIA-QnZdO7ZoqkC0/edit#gid=884617569"",""S2 Totals!$A$2:$O$255""),5,FALSE)"),0.0)</f>
        <v>0</v>
      </c>
      <c r="I237" s="15">
        <f t="shared" si="2"/>
        <v>0.4545454545</v>
      </c>
      <c r="J237" s="16">
        <f>IFERROR(__xludf.DUMMYFUNCTION("VLOOKUP(A237,IMPORTRANGE(""1QZ5UxyNCwadreQAXnQ7oCoH982DjIA-QnZdO7ZoqkC0/edit#gid=884617569"",""S2 Totals!$A$2:$O$255""),7,FALSE)"),0.0)</f>
        <v>0</v>
      </c>
      <c r="K237" s="15">
        <f>IFERROR(__xludf.DUMMYFUNCTION("VLOOKUP(A237,IMPORTRANGE(""1QZ5UxyNCwadreQAXnQ7oCoH982DjIA-QnZdO7ZoqkC0/edit#gid=884617569"",""S2 Totals!$A$2:$O$255""),8,FALSE)"),0.0)</f>
        <v>0</v>
      </c>
      <c r="L237" s="110">
        <f t="shared" si="3"/>
        <v>0.4545454545</v>
      </c>
      <c r="M237" s="16">
        <f>IFERROR(__xludf.DUMMYFUNCTION("VLOOKUP(A237,IMPORTRANGE(""1QZ5UxyNCwadreQAXnQ7oCoH982DjIA-QnZdO7ZoqkC0/edit#gid=884617569"",""S2 Totals!$A$2:$O$255""),10,FALSE)"),0.0)</f>
        <v>0</v>
      </c>
      <c r="N237" s="15">
        <f>IFERROR(__xludf.DUMMYFUNCTION("VLOOKUP(A237,IMPORTRANGE(""1QZ5UxyNCwadreQAXnQ7oCoH982DjIA-QnZdO7ZoqkC0/edit#gid=884617569"",""S2 Totals!$A$2:$O$255""),11,FALSE)"),0.0)</f>
        <v>0</v>
      </c>
      <c r="O237" s="110">
        <f t="shared" si="4"/>
        <v>0.4545454545</v>
      </c>
      <c r="P237" s="16">
        <f>IFERROR(__xludf.DUMMYFUNCTION("VLOOKUP(A237,IMPORTRANGE(""1QZ5UxyNCwadreQAXnQ7oCoH982DjIA-QnZdO7ZoqkC0/edit#gid=884617569"",""S2 Totals!$A$2:$O$255""),13,FALSE)"),0.0)</f>
        <v>0</v>
      </c>
      <c r="Q237" s="15">
        <f>IFERROR(__xludf.DUMMYFUNCTION("VLOOKUP(A237,IMPORTRANGE(""1QZ5UxyNCwadreQAXnQ7oCoH982DjIA-QnZdO7ZoqkC0/edit#gid=884617569"",""S2 Totals!$A$2:$O$255""),14,FALSE)"),0.0)</f>
        <v>0</v>
      </c>
      <c r="R237" s="129">
        <f t="shared" si="5"/>
        <v>0.4545454545</v>
      </c>
    </row>
    <row r="238">
      <c r="A238" s="128" t="s">
        <v>153</v>
      </c>
      <c r="B238" s="16">
        <f>IFERROR(__xludf.DUMMYFUNCTION("VLOOKUP(A238,IMPORTRANGE(""1aFCnJY1qhIj8-JckJhDJ18aqmVo17tofpQmOjcYa3u8/edit#gid=1878241338"",""S2 Totals!$A$2:$O$255""),2,FALSE)"),1.0)</f>
        <v>1</v>
      </c>
      <c r="C238" s="15">
        <f>IFERROR(__xludf.DUMMYFUNCTION("VLOOKUP(A238,IMPORTRANGE(""1aFCnJY1qhIj8-JckJhDJ18aqmVo17tofpQmOjcYa3u8/edit#gid=1878241338"",""S2 Totals!$A$2:$O$255""),3,FALSE)"),0.09090909090909091)</f>
        <v>0.09090909091</v>
      </c>
      <c r="D238" s="16">
        <f>IFERROR(__xludf.DUMMYFUNCTION("VLOOKUP(A238,IMPORTRANGE(""1QZ5UxyNCwadreQAXnQ7oCoH982DjIA-QnZdO7ZoqkC0/edit#gid=884617569"",""S2 Totals!$A$2:$O$255""),2,FALSE)"),2.0)</f>
        <v>2</v>
      </c>
      <c r="E238" s="15">
        <f>IFERROR(__xludf.DUMMYFUNCTION("VLOOKUP(A238,IMPORTRANGE(""1QZ5UxyNCwadreQAXnQ7oCoH982DjIA-QnZdO7ZoqkC0/edit#gid=884617569"",""S2 Totals!$A$2:$O$255""),3,FALSE)"),0.15384615384615385)</f>
        <v>0.1538461538</v>
      </c>
      <c r="F238" s="15">
        <f t="shared" si="1"/>
        <v>-0.06293706294</v>
      </c>
      <c r="G238" s="16">
        <f>IFERROR(__xludf.DUMMYFUNCTION("VLOOKUP(A238,IMPORTRANGE(""1QZ5UxyNCwadreQAXnQ7oCoH982DjIA-QnZdO7ZoqkC0/edit#gid=884617569"",""S2 Totals!$A$2:$O$255""),4,FALSE)"),2.0)</f>
        <v>2</v>
      </c>
      <c r="H238" s="15">
        <f>IFERROR(__xludf.DUMMYFUNCTION("VLOOKUP(A238,IMPORTRANGE(""1QZ5UxyNCwadreQAXnQ7oCoH982DjIA-QnZdO7ZoqkC0/edit#gid=884617569"",""S2 Totals!$A$2:$O$255""),5,FALSE)"),0.16666666666666666)</f>
        <v>0.1666666667</v>
      </c>
      <c r="I238" s="15">
        <f t="shared" si="2"/>
        <v>-0.07575757576</v>
      </c>
      <c r="J238" s="16">
        <f>IFERROR(__xludf.DUMMYFUNCTION("VLOOKUP(A238,IMPORTRANGE(""1QZ5UxyNCwadreQAXnQ7oCoH982DjIA-QnZdO7ZoqkC0/edit#gid=884617569"",""S2 Totals!$A$2:$O$255""),7,FALSE)"),2.0)</f>
        <v>2</v>
      </c>
      <c r="K238" s="15">
        <f>IFERROR(__xludf.DUMMYFUNCTION("VLOOKUP(A238,IMPORTRANGE(""1QZ5UxyNCwadreQAXnQ7oCoH982DjIA-QnZdO7ZoqkC0/edit#gid=884617569"",""S2 Totals!$A$2:$O$255""),8,FALSE)"),0.16666666666666666)</f>
        <v>0.1666666667</v>
      </c>
      <c r="L238" s="110">
        <f t="shared" si="3"/>
        <v>-0.07575757576</v>
      </c>
      <c r="M238" s="16">
        <f>IFERROR(__xludf.DUMMYFUNCTION("VLOOKUP(A238,IMPORTRANGE(""1QZ5UxyNCwadreQAXnQ7oCoH982DjIA-QnZdO7ZoqkC0/edit#gid=884617569"",""S2 Totals!$A$2:$O$255""),10,FALSE)"),4.0)</f>
        <v>4</v>
      </c>
      <c r="N238" s="15">
        <f>IFERROR(__xludf.DUMMYFUNCTION("VLOOKUP(A238,IMPORTRANGE(""1QZ5UxyNCwadreQAXnQ7oCoH982DjIA-QnZdO7ZoqkC0/edit#gid=884617569"",""S2 Totals!$A$2:$O$255""),11,FALSE)"),0.3076923076923077)</f>
        <v>0.3076923077</v>
      </c>
      <c r="O238" s="110">
        <f t="shared" si="4"/>
        <v>-0.2167832168</v>
      </c>
      <c r="P238" s="16" t="str">
        <f>IFERROR(__xludf.DUMMYFUNCTION("VLOOKUP(A238,IMPORTRANGE(""1QZ5UxyNCwadreQAXnQ7oCoH982DjIA-QnZdO7ZoqkC0/edit#gid=884617569"",""S2 Totals!$A$2:$O$255""),13,FALSE)"),"")</f>
        <v/>
      </c>
      <c r="Q238" s="15" t="str">
        <f>IFERROR(__xludf.DUMMYFUNCTION("VLOOKUP(A238,IMPORTRANGE(""1QZ5UxyNCwadreQAXnQ7oCoH982DjIA-QnZdO7ZoqkC0/edit#gid=884617569"",""S2 Totals!$A$2:$O$255""),14,FALSE)"),"")</f>
        <v/>
      </c>
      <c r="R238" s="129">
        <f t="shared" si="5"/>
        <v>0.09090909091</v>
      </c>
    </row>
    <row r="239">
      <c r="A239" s="128" t="s">
        <v>154</v>
      </c>
      <c r="B239" s="16">
        <f>IFERROR(__xludf.DUMMYFUNCTION("VLOOKUP(A239,IMPORTRANGE(""1aFCnJY1qhIj8-JckJhDJ18aqmVo17tofpQmOjcYa3u8/edit#gid=1878241338"",""S2 Totals!$A$2:$O$255""),2,FALSE)"),0.0)</f>
        <v>0</v>
      </c>
      <c r="C239" s="15">
        <f>IFERROR(__xludf.DUMMYFUNCTION("VLOOKUP(A239,IMPORTRANGE(""1aFCnJY1qhIj8-JckJhDJ18aqmVo17tofpQmOjcYa3u8/edit#gid=1878241338"",""S2 Totals!$A$2:$O$255""),3,FALSE)"),0.0)</f>
        <v>0</v>
      </c>
      <c r="D239" s="16">
        <f>IFERROR(__xludf.DUMMYFUNCTION("VLOOKUP(A239,IMPORTRANGE(""1QZ5UxyNCwadreQAXnQ7oCoH982DjIA-QnZdO7ZoqkC0/edit#gid=884617569"",""S2 Totals!$A$2:$O$255""),2,FALSE)"),6.0)</f>
        <v>6</v>
      </c>
      <c r="E239" s="15">
        <f>IFERROR(__xludf.DUMMYFUNCTION("VLOOKUP(A239,IMPORTRANGE(""1QZ5UxyNCwadreQAXnQ7oCoH982DjIA-QnZdO7ZoqkC0/edit#gid=884617569"",""S2 Totals!$A$2:$O$255""),3,FALSE)"),0.46153846153846156)</f>
        <v>0.4615384615</v>
      </c>
      <c r="F239" s="15">
        <f t="shared" si="1"/>
        <v>-0.4615384615</v>
      </c>
      <c r="G239" s="16">
        <f>IFERROR(__xludf.DUMMYFUNCTION("VLOOKUP(A239,IMPORTRANGE(""1QZ5UxyNCwadreQAXnQ7oCoH982DjIA-QnZdO7ZoqkC0/edit#gid=884617569"",""S2 Totals!$A$2:$O$255""),4,FALSE)"),6.0)</f>
        <v>6</v>
      </c>
      <c r="H239" s="15">
        <f>IFERROR(__xludf.DUMMYFUNCTION("VLOOKUP(A239,IMPORTRANGE(""1QZ5UxyNCwadreQAXnQ7oCoH982DjIA-QnZdO7ZoqkC0/edit#gid=884617569"",""S2 Totals!$A$2:$O$255""),5,FALSE)"),0.5)</f>
        <v>0.5</v>
      </c>
      <c r="I239" s="15">
        <f t="shared" si="2"/>
        <v>-0.5</v>
      </c>
      <c r="J239" s="16">
        <f>IFERROR(__xludf.DUMMYFUNCTION("VLOOKUP(A239,IMPORTRANGE(""1QZ5UxyNCwadreQAXnQ7oCoH982DjIA-QnZdO7ZoqkC0/edit#gid=884617569"",""S2 Totals!$A$2:$O$255""),7,FALSE)"),6.0)</f>
        <v>6</v>
      </c>
      <c r="K239" s="15">
        <f>IFERROR(__xludf.DUMMYFUNCTION("VLOOKUP(A239,IMPORTRANGE(""1QZ5UxyNCwadreQAXnQ7oCoH982DjIA-QnZdO7ZoqkC0/edit#gid=884617569"",""S2 Totals!$A$2:$O$255""),8,FALSE)"),0.5)</f>
        <v>0.5</v>
      </c>
      <c r="L239" s="110">
        <f t="shared" si="3"/>
        <v>-0.5</v>
      </c>
      <c r="M239" s="16">
        <f>IFERROR(__xludf.DUMMYFUNCTION("VLOOKUP(A239,IMPORTRANGE(""1QZ5UxyNCwadreQAXnQ7oCoH982DjIA-QnZdO7ZoqkC0/edit#gid=884617569"",""S2 Totals!$A$2:$O$255""),10,FALSE)"),8.0)</f>
        <v>8</v>
      </c>
      <c r="N239" s="15">
        <f>IFERROR(__xludf.DUMMYFUNCTION("VLOOKUP(A239,IMPORTRANGE(""1QZ5UxyNCwadreQAXnQ7oCoH982DjIA-QnZdO7ZoqkC0/edit#gid=884617569"",""S2 Totals!$A$2:$O$255""),11,FALSE)"),0.6153846153846154)</f>
        <v>0.6153846154</v>
      </c>
      <c r="O239" s="110">
        <f t="shared" si="4"/>
        <v>-0.6153846154</v>
      </c>
      <c r="P239" s="16" t="str">
        <f>IFERROR(__xludf.DUMMYFUNCTION("VLOOKUP(A239,IMPORTRANGE(""1QZ5UxyNCwadreQAXnQ7oCoH982DjIA-QnZdO7ZoqkC0/edit#gid=884617569"",""S2 Totals!$A$2:$O$255""),13,FALSE)"),"")</f>
        <v/>
      </c>
      <c r="Q239" s="15" t="str">
        <f>IFERROR(__xludf.DUMMYFUNCTION("VLOOKUP(A239,IMPORTRANGE(""1QZ5UxyNCwadreQAXnQ7oCoH982DjIA-QnZdO7ZoqkC0/edit#gid=884617569"",""S2 Totals!$A$2:$O$255""),14,FALSE)"),"")</f>
        <v/>
      </c>
      <c r="R239" s="129">
        <f t="shared" si="5"/>
        <v>0</v>
      </c>
    </row>
    <row r="240">
      <c r="A240" s="128" t="s">
        <v>155</v>
      </c>
      <c r="B240" s="16">
        <f>IFERROR(__xludf.DUMMYFUNCTION("VLOOKUP(A240,IMPORTRANGE(""1aFCnJY1qhIj8-JckJhDJ18aqmVo17tofpQmOjcYa3u8/edit#gid=1878241338"",""S2 Totals!$A$2:$O$255""),2,FALSE)"),9.0)</f>
        <v>9</v>
      </c>
      <c r="C240" s="15">
        <f>IFERROR(__xludf.DUMMYFUNCTION("VLOOKUP(A240,IMPORTRANGE(""1aFCnJY1qhIj8-JckJhDJ18aqmVo17tofpQmOjcYa3u8/edit#gid=1878241338"",""S2 Totals!$A$2:$O$255""),3,FALSE)"),0.8181818181818182)</f>
        <v>0.8181818182</v>
      </c>
      <c r="D240" s="16">
        <f>IFERROR(__xludf.DUMMYFUNCTION("VLOOKUP(A240,IMPORTRANGE(""1QZ5UxyNCwadreQAXnQ7oCoH982DjIA-QnZdO7ZoqkC0/edit#gid=884617569"",""S2 Totals!$A$2:$O$255""),2,FALSE)"),8.0)</f>
        <v>8</v>
      </c>
      <c r="E240" s="15">
        <f>IFERROR(__xludf.DUMMYFUNCTION("VLOOKUP(A240,IMPORTRANGE(""1QZ5UxyNCwadreQAXnQ7oCoH982DjIA-QnZdO7ZoqkC0/edit#gid=884617569"",""S2 Totals!$A$2:$O$255""),3,FALSE)"),0.6153846153846154)</f>
        <v>0.6153846154</v>
      </c>
      <c r="F240" s="15">
        <f t="shared" si="1"/>
        <v>0.2027972028</v>
      </c>
      <c r="G240" s="16">
        <f>IFERROR(__xludf.DUMMYFUNCTION("VLOOKUP(A240,IMPORTRANGE(""1QZ5UxyNCwadreQAXnQ7oCoH982DjIA-QnZdO7ZoqkC0/edit#gid=884617569"",""S2 Totals!$A$2:$O$255""),4,FALSE)"),6.0)</f>
        <v>6</v>
      </c>
      <c r="H240" s="15">
        <f>IFERROR(__xludf.DUMMYFUNCTION("VLOOKUP(A240,IMPORTRANGE(""1QZ5UxyNCwadreQAXnQ7oCoH982DjIA-QnZdO7ZoqkC0/edit#gid=884617569"",""S2 Totals!$A$2:$O$255""),5,FALSE)"),0.5)</f>
        <v>0.5</v>
      </c>
      <c r="I240" s="15">
        <f t="shared" si="2"/>
        <v>0.3181818182</v>
      </c>
      <c r="J240" s="16">
        <f>IFERROR(__xludf.DUMMYFUNCTION("VLOOKUP(A240,IMPORTRANGE(""1QZ5UxyNCwadreQAXnQ7oCoH982DjIA-QnZdO7ZoqkC0/edit#gid=884617569"",""S2 Totals!$A$2:$O$255""),7,FALSE)"),10.0)</f>
        <v>10</v>
      </c>
      <c r="K240" s="15">
        <f>IFERROR(__xludf.DUMMYFUNCTION("VLOOKUP(A240,IMPORTRANGE(""1QZ5UxyNCwadreQAXnQ7oCoH982DjIA-QnZdO7ZoqkC0/edit#gid=884617569"",""S2 Totals!$A$2:$O$255""),8,FALSE)"),0.8333333333333334)</f>
        <v>0.8333333333</v>
      </c>
      <c r="L240" s="110">
        <f t="shared" si="3"/>
        <v>-0.01515151515</v>
      </c>
      <c r="M240" s="16">
        <f>IFERROR(__xludf.DUMMYFUNCTION("VLOOKUP(A240,IMPORTRANGE(""1QZ5UxyNCwadreQAXnQ7oCoH982DjIA-QnZdO7ZoqkC0/edit#gid=884617569"",""S2 Totals!$A$2:$O$255""),10,FALSE)"),12.0)</f>
        <v>12</v>
      </c>
      <c r="N240" s="15">
        <f>IFERROR(__xludf.DUMMYFUNCTION("VLOOKUP(A240,IMPORTRANGE(""1QZ5UxyNCwadreQAXnQ7oCoH982DjIA-QnZdO7ZoqkC0/edit#gid=884617569"",""S2 Totals!$A$2:$O$255""),11,FALSE)"),0.9230769230769231)</f>
        <v>0.9230769231</v>
      </c>
      <c r="O240" s="110">
        <f t="shared" si="4"/>
        <v>-0.1048951049</v>
      </c>
      <c r="P240" s="16" t="str">
        <f>IFERROR(__xludf.DUMMYFUNCTION("VLOOKUP(A240,IMPORTRANGE(""1QZ5UxyNCwadreQAXnQ7oCoH982DjIA-QnZdO7ZoqkC0/edit#gid=884617569"",""S2 Totals!$A$2:$O$255""),13,FALSE)"),"")</f>
        <v/>
      </c>
      <c r="Q240" s="15" t="str">
        <f>IFERROR(__xludf.DUMMYFUNCTION("VLOOKUP(A240,IMPORTRANGE(""1QZ5UxyNCwadreQAXnQ7oCoH982DjIA-QnZdO7ZoqkC0/edit#gid=884617569"",""S2 Totals!$A$2:$O$255""),14,FALSE)"),"")</f>
        <v/>
      </c>
      <c r="R240" s="129">
        <f t="shared" si="5"/>
        <v>0.8181818182</v>
      </c>
    </row>
    <row r="241">
      <c r="A241" s="128" t="s">
        <v>156</v>
      </c>
      <c r="B241" s="16">
        <f>IFERROR(__xludf.DUMMYFUNCTION("VLOOKUP(A241,IMPORTRANGE(""1aFCnJY1qhIj8-JckJhDJ18aqmVo17tofpQmOjcYa3u8/edit#gid=1878241338"",""S2 Totals!$A$2:$O$255""),2,FALSE)"),4.0)</f>
        <v>4</v>
      </c>
      <c r="C241" s="15">
        <f>IFERROR(__xludf.DUMMYFUNCTION("VLOOKUP(A241,IMPORTRANGE(""1aFCnJY1qhIj8-JckJhDJ18aqmVo17tofpQmOjcYa3u8/edit#gid=1878241338"",""S2 Totals!$A$2:$O$255""),3,FALSE)"),0.36363636363636365)</f>
        <v>0.3636363636</v>
      </c>
      <c r="D241" s="16">
        <f>IFERROR(__xludf.DUMMYFUNCTION("VLOOKUP(A241,IMPORTRANGE(""1QZ5UxyNCwadreQAXnQ7oCoH982DjIA-QnZdO7ZoqkC0/edit#gid=884617569"",""S2 Totals!$A$2:$O$255""),2,FALSE)"),4.0)</f>
        <v>4</v>
      </c>
      <c r="E241" s="15">
        <f>IFERROR(__xludf.DUMMYFUNCTION("VLOOKUP(A241,IMPORTRANGE(""1QZ5UxyNCwadreQAXnQ7oCoH982DjIA-QnZdO7ZoqkC0/edit#gid=884617569"",""S2 Totals!$A$2:$O$255""),3,FALSE)"),0.3076923076923077)</f>
        <v>0.3076923077</v>
      </c>
      <c r="F241" s="15">
        <f t="shared" si="1"/>
        <v>0.05594405594</v>
      </c>
      <c r="G241" s="16">
        <f>IFERROR(__xludf.DUMMYFUNCTION("VLOOKUP(A241,IMPORTRANGE(""1QZ5UxyNCwadreQAXnQ7oCoH982DjIA-QnZdO7ZoqkC0/edit#gid=884617569"",""S2 Totals!$A$2:$O$255""),4,FALSE)"),4.0)</f>
        <v>4</v>
      </c>
      <c r="H241" s="15">
        <f>IFERROR(__xludf.DUMMYFUNCTION("VLOOKUP(A241,IMPORTRANGE(""1QZ5UxyNCwadreQAXnQ7oCoH982DjIA-QnZdO7ZoqkC0/edit#gid=884617569"",""S2 Totals!$A$2:$O$255""),5,FALSE)"),0.3333333333333333)</f>
        <v>0.3333333333</v>
      </c>
      <c r="I241" s="15">
        <f t="shared" si="2"/>
        <v>0.0303030303</v>
      </c>
      <c r="J241" s="16">
        <f>IFERROR(__xludf.DUMMYFUNCTION("VLOOKUP(A241,IMPORTRANGE(""1QZ5UxyNCwadreQAXnQ7oCoH982DjIA-QnZdO7ZoqkC0/edit#gid=884617569"",""S2 Totals!$A$2:$O$255""),7,FALSE)"),4.0)</f>
        <v>4</v>
      </c>
      <c r="K241" s="15">
        <f>IFERROR(__xludf.DUMMYFUNCTION("VLOOKUP(A241,IMPORTRANGE(""1QZ5UxyNCwadreQAXnQ7oCoH982DjIA-QnZdO7ZoqkC0/edit#gid=884617569"",""S2 Totals!$A$2:$O$255""),8,FALSE)"),0.3333333333333333)</f>
        <v>0.3333333333</v>
      </c>
      <c r="L241" s="110">
        <f t="shared" si="3"/>
        <v>0.0303030303</v>
      </c>
      <c r="M241" s="16">
        <f>IFERROR(__xludf.DUMMYFUNCTION("VLOOKUP(A241,IMPORTRANGE(""1QZ5UxyNCwadreQAXnQ7oCoH982DjIA-QnZdO7ZoqkC0/edit#gid=884617569"",""S2 Totals!$A$2:$O$255""),10,FALSE)"),2.0)</f>
        <v>2</v>
      </c>
      <c r="N241" s="15">
        <f>IFERROR(__xludf.DUMMYFUNCTION("VLOOKUP(A241,IMPORTRANGE(""1QZ5UxyNCwadreQAXnQ7oCoH982DjIA-QnZdO7ZoqkC0/edit#gid=884617569"",""S2 Totals!$A$2:$O$255""),11,FALSE)"),0.15384615384615385)</f>
        <v>0.1538461538</v>
      </c>
      <c r="O241" s="110">
        <f t="shared" si="4"/>
        <v>0.2097902098</v>
      </c>
      <c r="P241" s="16" t="str">
        <f>IFERROR(__xludf.DUMMYFUNCTION("VLOOKUP(A241,IMPORTRANGE(""1QZ5UxyNCwadreQAXnQ7oCoH982DjIA-QnZdO7ZoqkC0/edit#gid=884617569"",""S2 Totals!$A$2:$O$255""),13,FALSE)"),"")</f>
        <v/>
      </c>
      <c r="Q241" s="15" t="str">
        <f>IFERROR(__xludf.DUMMYFUNCTION("VLOOKUP(A241,IMPORTRANGE(""1QZ5UxyNCwadreQAXnQ7oCoH982DjIA-QnZdO7ZoqkC0/edit#gid=884617569"",""S2 Totals!$A$2:$O$255""),14,FALSE)"),"")</f>
        <v/>
      </c>
      <c r="R241" s="129">
        <f t="shared" si="5"/>
        <v>0.3636363636</v>
      </c>
    </row>
    <row r="242">
      <c r="A242" s="128" t="s">
        <v>157</v>
      </c>
      <c r="B242" s="16">
        <f>IFERROR(__xludf.DUMMYFUNCTION("VLOOKUP(A242,IMPORTRANGE(""1aFCnJY1qhIj8-JckJhDJ18aqmVo17tofpQmOjcYa3u8/edit#gid=1878241338"",""S2 Totals!$A$2:$O$255""),2,FALSE)"),4.0)</f>
        <v>4</v>
      </c>
      <c r="C242" s="15">
        <f>IFERROR(__xludf.DUMMYFUNCTION("VLOOKUP(A242,IMPORTRANGE(""1aFCnJY1qhIj8-JckJhDJ18aqmVo17tofpQmOjcYa3u8/edit#gid=1878241338"",""S2 Totals!$A$2:$O$255""),3,FALSE)"),0.36363636363636365)</f>
        <v>0.3636363636</v>
      </c>
      <c r="D242" s="16">
        <f>IFERROR(__xludf.DUMMYFUNCTION("VLOOKUP(A242,IMPORTRANGE(""1QZ5UxyNCwadreQAXnQ7oCoH982DjIA-QnZdO7ZoqkC0/edit#gid=884617569"",""S2 Totals!$A$2:$O$255""),2,FALSE)"),4.0)</f>
        <v>4</v>
      </c>
      <c r="E242" s="15">
        <f>IFERROR(__xludf.DUMMYFUNCTION("VLOOKUP(A242,IMPORTRANGE(""1QZ5UxyNCwadreQAXnQ7oCoH982DjIA-QnZdO7ZoqkC0/edit#gid=884617569"",""S2 Totals!$A$2:$O$255""),3,FALSE)"),0.3076923076923077)</f>
        <v>0.3076923077</v>
      </c>
      <c r="F242" s="15">
        <f t="shared" si="1"/>
        <v>0.05594405594</v>
      </c>
      <c r="G242" s="16">
        <f>IFERROR(__xludf.DUMMYFUNCTION("VLOOKUP(A242,IMPORTRANGE(""1QZ5UxyNCwadreQAXnQ7oCoH982DjIA-QnZdO7ZoqkC0/edit#gid=884617569"",""S2 Totals!$A$2:$O$255""),4,FALSE)"),1.0)</f>
        <v>1</v>
      </c>
      <c r="H242" s="15">
        <f>IFERROR(__xludf.DUMMYFUNCTION("VLOOKUP(A242,IMPORTRANGE(""1QZ5UxyNCwadreQAXnQ7oCoH982DjIA-QnZdO7ZoqkC0/edit#gid=884617569"",""S2 Totals!$A$2:$O$255""),5,FALSE)"),0.08333333333333333)</f>
        <v>0.08333333333</v>
      </c>
      <c r="I242" s="15">
        <f t="shared" si="2"/>
        <v>0.2803030303</v>
      </c>
      <c r="J242" s="16">
        <f>IFERROR(__xludf.DUMMYFUNCTION("VLOOKUP(A242,IMPORTRANGE(""1QZ5UxyNCwadreQAXnQ7oCoH982DjIA-QnZdO7ZoqkC0/edit#gid=884617569"",""S2 Totals!$A$2:$O$255""),7,FALSE)"),4.0)</f>
        <v>4</v>
      </c>
      <c r="K242" s="15">
        <f>IFERROR(__xludf.DUMMYFUNCTION("VLOOKUP(A242,IMPORTRANGE(""1QZ5UxyNCwadreQAXnQ7oCoH982DjIA-QnZdO7ZoqkC0/edit#gid=884617569"",""S2 Totals!$A$2:$O$255""),8,FALSE)"),0.3333333333333333)</f>
        <v>0.3333333333</v>
      </c>
      <c r="L242" s="110">
        <f t="shared" si="3"/>
        <v>0.0303030303</v>
      </c>
      <c r="M242" s="16">
        <f>IFERROR(__xludf.DUMMYFUNCTION("VLOOKUP(A242,IMPORTRANGE(""1QZ5UxyNCwadreQAXnQ7oCoH982DjIA-QnZdO7ZoqkC0/edit#gid=884617569"",""S2 Totals!$A$2:$O$255""),10,FALSE)"),2.0)</f>
        <v>2</v>
      </c>
      <c r="N242" s="15">
        <f>IFERROR(__xludf.DUMMYFUNCTION("VLOOKUP(A242,IMPORTRANGE(""1QZ5UxyNCwadreQAXnQ7oCoH982DjIA-QnZdO7ZoqkC0/edit#gid=884617569"",""S2 Totals!$A$2:$O$255""),11,FALSE)"),0.15384615384615385)</f>
        <v>0.1538461538</v>
      </c>
      <c r="O242" s="110">
        <f t="shared" si="4"/>
        <v>0.2097902098</v>
      </c>
      <c r="P242" s="16" t="str">
        <f>IFERROR(__xludf.DUMMYFUNCTION("VLOOKUP(A242,IMPORTRANGE(""1QZ5UxyNCwadreQAXnQ7oCoH982DjIA-QnZdO7ZoqkC0/edit#gid=884617569"",""S2 Totals!$A$2:$O$255""),13,FALSE)"),"")</f>
        <v/>
      </c>
      <c r="Q242" s="15" t="str">
        <f>IFERROR(__xludf.DUMMYFUNCTION("VLOOKUP(A242,IMPORTRANGE(""1QZ5UxyNCwadreQAXnQ7oCoH982DjIA-QnZdO7ZoqkC0/edit#gid=884617569"",""S2 Totals!$A$2:$O$255""),14,FALSE)"),"")</f>
        <v/>
      </c>
      <c r="R242" s="129">
        <f t="shared" si="5"/>
        <v>0.3636363636</v>
      </c>
    </row>
    <row r="243">
      <c r="A243" s="128" t="s">
        <v>206</v>
      </c>
      <c r="B243" s="16">
        <f>IFERROR(__xludf.DUMMYFUNCTION("VLOOKUP(A243,IMPORTRANGE(""1aFCnJY1qhIj8-JckJhDJ18aqmVo17tofpQmOjcYa3u8/edit#gid=1878241338"",""S2 Totals!$A$2:$O$255""),2,FALSE)"),2.0)</f>
        <v>2</v>
      </c>
      <c r="C243" s="15">
        <f>IFERROR(__xludf.DUMMYFUNCTION("VLOOKUP(A243,IMPORTRANGE(""1aFCnJY1qhIj8-JckJhDJ18aqmVo17tofpQmOjcYa3u8/edit#gid=1878241338"",""S2 Totals!$A$2:$O$255""),3,FALSE)"),0.18181818181818182)</f>
        <v>0.1818181818</v>
      </c>
      <c r="D243" s="16">
        <f>IFERROR(__xludf.DUMMYFUNCTION("VLOOKUP(A243,IMPORTRANGE(""1QZ5UxyNCwadreQAXnQ7oCoH982DjIA-QnZdO7ZoqkC0/edit#gid=884617569"",""S2 Totals!$A$2:$O$255""),2,FALSE)"),2.0)</f>
        <v>2</v>
      </c>
      <c r="E243" s="15">
        <f>IFERROR(__xludf.DUMMYFUNCTION("VLOOKUP(A243,IMPORTRANGE(""1QZ5UxyNCwadreQAXnQ7oCoH982DjIA-QnZdO7ZoqkC0/edit#gid=884617569"",""S2 Totals!$A$2:$O$255""),3,FALSE)"),0.15384615384615385)</f>
        <v>0.1538461538</v>
      </c>
      <c r="F243" s="15">
        <f t="shared" si="1"/>
        <v>0.02797202797</v>
      </c>
      <c r="G243" s="16">
        <f>IFERROR(__xludf.DUMMYFUNCTION("VLOOKUP(A243,IMPORTRANGE(""1QZ5UxyNCwadreQAXnQ7oCoH982DjIA-QnZdO7ZoqkC0/edit#gid=884617569"",""S2 Totals!$A$2:$O$255""),4,FALSE)"),4.0)</f>
        <v>4</v>
      </c>
      <c r="H243" s="15">
        <f>IFERROR(__xludf.DUMMYFUNCTION("VLOOKUP(A243,IMPORTRANGE(""1QZ5UxyNCwadreQAXnQ7oCoH982DjIA-QnZdO7ZoqkC0/edit#gid=884617569"",""S2 Totals!$A$2:$O$255""),5,FALSE)"),0.3333333333333333)</f>
        <v>0.3333333333</v>
      </c>
      <c r="I243" s="15">
        <f t="shared" si="2"/>
        <v>-0.1515151515</v>
      </c>
      <c r="J243" s="16">
        <f>IFERROR(__xludf.DUMMYFUNCTION("VLOOKUP(A243,IMPORTRANGE(""1QZ5UxyNCwadreQAXnQ7oCoH982DjIA-QnZdO7ZoqkC0/edit#gid=884617569"",""S2 Totals!$A$2:$O$255""),7,FALSE)"),0.0)</f>
        <v>0</v>
      </c>
      <c r="K243" s="15">
        <f>IFERROR(__xludf.DUMMYFUNCTION("VLOOKUP(A243,IMPORTRANGE(""1QZ5UxyNCwadreQAXnQ7oCoH982DjIA-QnZdO7ZoqkC0/edit#gid=884617569"",""S2 Totals!$A$2:$O$255""),8,FALSE)"),0.0)</f>
        <v>0</v>
      </c>
      <c r="L243" s="110">
        <f t="shared" si="3"/>
        <v>0.1818181818</v>
      </c>
      <c r="M243" s="16" t="str">
        <f>IFERROR(__xludf.DUMMYFUNCTION("VLOOKUP(A243,IMPORTRANGE(""1QZ5UxyNCwadreQAXnQ7oCoH982DjIA-QnZdO7ZoqkC0/edit#gid=884617569"",""S2 Totals!$A$2:$O$255""),10,FALSE)"),"")</f>
        <v/>
      </c>
      <c r="N243" s="15" t="str">
        <f>IFERROR(__xludf.DUMMYFUNCTION("VLOOKUP(A243,IMPORTRANGE(""1QZ5UxyNCwadreQAXnQ7oCoH982DjIA-QnZdO7ZoqkC0/edit#gid=884617569"",""S2 Totals!$A$2:$O$255""),11,FALSE)"),"")</f>
        <v/>
      </c>
      <c r="O243" s="110">
        <f t="shared" si="4"/>
        <v>0.1818181818</v>
      </c>
      <c r="P243" s="16" t="str">
        <f>IFERROR(__xludf.DUMMYFUNCTION("VLOOKUP(A243,IMPORTRANGE(""1QZ5UxyNCwadreQAXnQ7oCoH982DjIA-QnZdO7ZoqkC0/edit#gid=884617569"",""S2 Totals!$A$2:$O$255""),13,FALSE)"),"")</f>
        <v/>
      </c>
      <c r="Q243" s="15" t="str">
        <f>IFERROR(__xludf.DUMMYFUNCTION("VLOOKUP(A243,IMPORTRANGE(""1QZ5UxyNCwadreQAXnQ7oCoH982DjIA-QnZdO7ZoqkC0/edit#gid=884617569"",""S2 Totals!$A$2:$O$255""),14,FALSE)"),"")</f>
        <v/>
      </c>
      <c r="R243" s="129">
        <f t="shared" si="5"/>
        <v>0.1818181818</v>
      </c>
    </row>
    <row r="244">
      <c r="A244" s="128" t="s">
        <v>105</v>
      </c>
      <c r="B244" s="16">
        <f>IFERROR(__xludf.DUMMYFUNCTION("VLOOKUP(A244,IMPORTRANGE(""1aFCnJY1qhIj8-JckJhDJ18aqmVo17tofpQmOjcYa3u8/edit#gid=1878241338"",""S2 Totals!$A$2:$O$255""),2,FALSE)"),2.0)</f>
        <v>2</v>
      </c>
      <c r="C244" s="15">
        <f>IFERROR(__xludf.DUMMYFUNCTION("VLOOKUP(A244,IMPORTRANGE(""1aFCnJY1qhIj8-JckJhDJ18aqmVo17tofpQmOjcYa3u8/edit#gid=1878241338"",""S2 Totals!$A$2:$O$255""),3,FALSE)"),0.18181818181818182)</f>
        <v>0.1818181818</v>
      </c>
      <c r="D244" s="16">
        <f>IFERROR(__xludf.DUMMYFUNCTION("VLOOKUP(A244,IMPORTRANGE(""1QZ5UxyNCwadreQAXnQ7oCoH982DjIA-QnZdO7ZoqkC0/edit#gid=884617569"",""S2 Totals!$A$2:$O$255""),2,FALSE)"),2.0)</f>
        <v>2</v>
      </c>
      <c r="E244" s="15">
        <f>IFERROR(__xludf.DUMMYFUNCTION("VLOOKUP(A244,IMPORTRANGE(""1QZ5UxyNCwadreQAXnQ7oCoH982DjIA-QnZdO7ZoqkC0/edit#gid=884617569"",""S2 Totals!$A$2:$O$255""),3,FALSE)"),0.15384615384615385)</f>
        <v>0.1538461538</v>
      </c>
      <c r="F244" s="15">
        <f t="shared" si="1"/>
        <v>0.02797202797</v>
      </c>
      <c r="G244" s="16">
        <f>IFERROR(__xludf.DUMMYFUNCTION("VLOOKUP(A244,IMPORTRANGE(""1QZ5UxyNCwadreQAXnQ7oCoH982DjIA-QnZdO7ZoqkC0/edit#gid=884617569"",""S2 Totals!$A$2:$O$255""),4,FALSE)"),2.0)</f>
        <v>2</v>
      </c>
      <c r="H244" s="15">
        <f>IFERROR(__xludf.DUMMYFUNCTION("VLOOKUP(A244,IMPORTRANGE(""1QZ5UxyNCwadreQAXnQ7oCoH982DjIA-QnZdO7ZoqkC0/edit#gid=884617569"",""S2 Totals!$A$2:$O$255""),5,FALSE)"),0.16666666666666666)</f>
        <v>0.1666666667</v>
      </c>
      <c r="I244" s="15">
        <f t="shared" si="2"/>
        <v>0.01515151515</v>
      </c>
      <c r="J244" s="16">
        <f>IFERROR(__xludf.DUMMYFUNCTION("VLOOKUP(A244,IMPORTRANGE(""1QZ5UxyNCwadreQAXnQ7oCoH982DjIA-QnZdO7ZoqkC0/edit#gid=884617569"",""S2 Totals!$A$2:$O$255""),7,FALSE)"),6.0)</f>
        <v>6</v>
      </c>
      <c r="K244" s="15">
        <f>IFERROR(__xludf.DUMMYFUNCTION("VLOOKUP(A244,IMPORTRANGE(""1QZ5UxyNCwadreQAXnQ7oCoH982DjIA-QnZdO7ZoqkC0/edit#gid=884617569"",""S2 Totals!$A$2:$O$255""),8,FALSE)"),0.5)</f>
        <v>0.5</v>
      </c>
      <c r="L244" s="110">
        <f t="shared" si="3"/>
        <v>-0.3181818182</v>
      </c>
      <c r="M244" s="16">
        <f>IFERROR(__xludf.DUMMYFUNCTION("VLOOKUP(A244,IMPORTRANGE(""1QZ5UxyNCwadreQAXnQ7oCoH982DjIA-QnZdO7ZoqkC0/edit#gid=884617569"",""S2 Totals!$A$2:$O$255""),10,FALSE)"),8.0)</f>
        <v>8</v>
      </c>
      <c r="N244" s="15">
        <f>IFERROR(__xludf.DUMMYFUNCTION("VLOOKUP(A244,IMPORTRANGE(""1QZ5UxyNCwadreQAXnQ7oCoH982DjIA-QnZdO7ZoqkC0/edit#gid=884617569"",""S2 Totals!$A$2:$O$255""),11,FALSE)"),0.6153846153846154)</f>
        <v>0.6153846154</v>
      </c>
      <c r="O244" s="110">
        <f t="shared" si="4"/>
        <v>-0.4335664336</v>
      </c>
      <c r="P244" s="16">
        <f>IFERROR(__xludf.DUMMYFUNCTION("VLOOKUP(A244,IMPORTRANGE(""1QZ5UxyNCwadreQAXnQ7oCoH982DjIA-QnZdO7ZoqkC0/edit#gid=884617569"",""S2 Totals!$A$2:$O$255""),13,FALSE)"),0.0)</f>
        <v>0</v>
      </c>
      <c r="Q244" s="15">
        <f>IFERROR(__xludf.DUMMYFUNCTION("VLOOKUP(A244,IMPORTRANGE(""1QZ5UxyNCwadreQAXnQ7oCoH982DjIA-QnZdO7ZoqkC0/edit#gid=884617569"",""S2 Totals!$A$2:$O$255""),14,FALSE)"),0.0)</f>
        <v>0</v>
      </c>
      <c r="R244" s="129">
        <f t="shared" si="5"/>
        <v>0.1818181818</v>
      </c>
    </row>
    <row r="245">
      <c r="A245" s="128" t="s">
        <v>56</v>
      </c>
      <c r="B245" s="16">
        <f>IFERROR(__xludf.DUMMYFUNCTION("VLOOKUP(A245,IMPORTRANGE(""1aFCnJY1qhIj8-JckJhDJ18aqmVo17tofpQmOjcYa3u8/edit#gid=1878241338"",""S2 Totals!$A$2:$O$255""),2,FALSE)"),3.0)</f>
        <v>3</v>
      </c>
      <c r="C245" s="15">
        <f>IFERROR(__xludf.DUMMYFUNCTION("VLOOKUP(A245,IMPORTRANGE(""1aFCnJY1qhIj8-JckJhDJ18aqmVo17tofpQmOjcYa3u8/edit#gid=1878241338"",""S2 Totals!$A$2:$O$255""),3,FALSE)"),0.2727272727272727)</f>
        <v>0.2727272727</v>
      </c>
      <c r="D245" s="16">
        <f>IFERROR(__xludf.DUMMYFUNCTION("VLOOKUP(A245,IMPORTRANGE(""1QZ5UxyNCwadreQAXnQ7oCoH982DjIA-QnZdO7ZoqkC0/edit#gid=884617569"",""S2 Totals!$A$2:$O$255""),2,FALSE)"),8.0)</f>
        <v>8</v>
      </c>
      <c r="E245" s="15">
        <f>IFERROR(__xludf.DUMMYFUNCTION("VLOOKUP(A245,IMPORTRANGE(""1QZ5UxyNCwadreQAXnQ7oCoH982DjIA-QnZdO7ZoqkC0/edit#gid=884617569"",""S2 Totals!$A$2:$O$255""),3,FALSE)"),0.6153846153846154)</f>
        <v>0.6153846154</v>
      </c>
      <c r="F245" s="15">
        <f t="shared" si="1"/>
        <v>-0.3426573427</v>
      </c>
      <c r="G245" s="16">
        <f>IFERROR(__xludf.DUMMYFUNCTION("VLOOKUP(A245,IMPORTRANGE(""1QZ5UxyNCwadreQAXnQ7oCoH982DjIA-QnZdO7ZoqkC0/edit#gid=884617569"",""S2 Totals!$A$2:$O$255""),4,FALSE)"),8.0)</f>
        <v>8</v>
      </c>
      <c r="H245" s="15">
        <f>IFERROR(__xludf.DUMMYFUNCTION("VLOOKUP(A245,IMPORTRANGE(""1QZ5UxyNCwadreQAXnQ7oCoH982DjIA-QnZdO7ZoqkC0/edit#gid=884617569"",""S2 Totals!$A$2:$O$255""),5,FALSE)"),0.6666666666666666)</f>
        <v>0.6666666667</v>
      </c>
      <c r="I245" s="15">
        <f t="shared" si="2"/>
        <v>-0.3939393939</v>
      </c>
      <c r="J245" s="16">
        <f>IFERROR(__xludf.DUMMYFUNCTION("VLOOKUP(A245,IMPORTRANGE(""1QZ5UxyNCwadreQAXnQ7oCoH982DjIA-QnZdO7ZoqkC0/edit#gid=884617569"",""S2 Totals!$A$2:$O$255""),7,FALSE)"),8.0)</f>
        <v>8</v>
      </c>
      <c r="K245" s="15">
        <f>IFERROR(__xludf.DUMMYFUNCTION("VLOOKUP(A245,IMPORTRANGE(""1QZ5UxyNCwadreQAXnQ7oCoH982DjIA-QnZdO7ZoqkC0/edit#gid=884617569"",""S2 Totals!$A$2:$O$255""),8,FALSE)"),0.6666666666666666)</f>
        <v>0.6666666667</v>
      </c>
      <c r="L245" s="110">
        <f t="shared" si="3"/>
        <v>-0.3939393939</v>
      </c>
      <c r="M245" s="16">
        <f>IFERROR(__xludf.DUMMYFUNCTION("VLOOKUP(A245,IMPORTRANGE(""1QZ5UxyNCwadreQAXnQ7oCoH982DjIA-QnZdO7ZoqkC0/edit#gid=884617569"",""S2 Totals!$A$2:$O$255""),10,FALSE)"),8.0)</f>
        <v>8</v>
      </c>
      <c r="N245" s="15">
        <f>IFERROR(__xludf.DUMMYFUNCTION("VLOOKUP(A245,IMPORTRANGE(""1QZ5UxyNCwadreQAXnQ7oCoH982DjIA-QnZdO7ZoqkC0/edit#gid=884617569"",""S2 Totals!$A$2:$O$255""),11,FALSE)"),0.6153846153846154)</f>
        <v>0.6153846154</v>
      </c>
      <c r="O245" s="110">
        <f t="shared" si="4"/>
        <v>-0.3426573427</v>
      </c>
      <c r="P245" s="16">
        <f>IFERROR(__xludf.DUMMYFUNCTION("VLOOKUP(A245,IMPORTRANGE(""1QZ5UxyNCwadreQAXnQ7oCoH982DjIA-QnZdO7ZoqkC0/edit#gid=884617569"",""S2 Totals!$A$2:$O$255""),13,FALSE)"),4.0)</f>
        <v>4</v>
      </c>
      <c r="Q245" s="15">
        <f>IFERROR(__xludf.DUMMYFUNCTION("VLOOKUP(A245,IMPORTRANGE(""1QZ5UxyNCwadreQAXnQ7oCoH982DjIA-QnZdO7ZoqkC0/edit#gid=884617569"",""S2 Totals!$A$2:$O$255""),14,FALSE)"),0.3333333333333333)</f>
        <v>0.3333333333</v>
      </c>
      <c r="R245" s="129">
        <f t="shared" si="5"/>
        <v>-0.06060606061</v>
      </c>
    </row>
    <row r="246">
      <c r="A246" s="128" t="s">
        <v>258</v>
      </c>
      <c r="B246" s="16">
        <f>IFERROR(__xludf.DUMMYFUNCTION("VLOOKUP(A246,IMPORTRANGE(""1aFCnJY1qhIj8-JckJhDJ18aqmVo17tofpQmOjcYa3u8/edit#gid=1878241338"",""S2 Totals!$A$2:$O$255""),2,FALSE)"),6.0)</f>
        <v>6</v>
      </c>
      <c r="C246" s="15">
        <f>IFERROR(__xludf.DUMMYFUNCTION("VLOOKUP(A246,IMPORTRANGE(""1aFCnJY1qhIj8-JckJhDJ18aqmVo17tofpQmOjcYa3u8/edit#gid=1878241338"",""S2 Totals!$A$2:$O$255""),3,FALSE)"),0.5454545454545454)</f>
        <v>0.5454545455</v>
      </c>
      <c r="D246" s="16">
        <f>IFERROR(__xludf.DUMMYFUNCTION("VLOOKUP(A246,IMPORTRANGE(""1QZ5UxyNCwadreQAXnQ7oCoH982DjIA-QnZdO7ZoqkC0/edit#gid=884617569"",""S2 Totals!$A$2:$O$255""),2,FALSE)"),8.0)</f>
        <v>8</v>
      </c>
      <c r="E246" s="15">
        <f>IFERROR(__xludf.DUMMYFUNCTION("VLOOKUP(A246,IMPORTRANGE(""1QZ5UxyNCwadreQAXnQ7oCoH982DjIA-QnZdO7ZoqkC0/edit#gid=884617569"",""S2 Totals!$A$2:$O$255""),3,FALSE)"),0.6153846153846154)</f>
        <v>0.6153846154</v>
      </c>
      <c r="F246" s="15">
        <f t="shared" si="1"/>
        <v>-0.06993006993</v>
      </c>
      <c r="G246" s="16">
        <f>IFERROR(__xludf.DUMMYFUNCTION("VLOOKUP(A246,IMPORTRANGE(""1QZ5UxyNCwadreQAXnQ7oCoH982DjIA-QnZdO7ZoqkC0/edit#gid=884617569"",""S2 Totals!$A$2:$O$255""),4,FALSE)"),4.0)</f>
        <v>4</v>
      </c>
      <c r="H246" s="15">
        <f>IFERROR(__xludf.DUMMYFUNCTION("VLOOKUP(A246,IMPORTRANGE(""1QZ5UxyNCwadreQAXnQ7oCoH982DjIA-QnZdO7ZoqkC0/edit#gid=884617569"",""S2 Totals!$A$2:$O$255""),5,FALSE)"),0.3333333333333333)</f>
        <v>0.3333333333</v>
      </c>
      <c r="I246" s="15">
        <f t="shared" si="2"/>
        <v>0.2121212121</v>
      </c>
      <c r="J246" s="16" t="str">
        <f>IFERROR(__xludf.DUMMYFUNCTION("VLOOKUP(A246,IMPORTRANGE(""1QZ5UxyNCwadreQAXnQ7oCoH982DjIA-QnZdO7ZoqkC0/edit#gid=884617569"",""S2 Totals!$A$2:$O$255""),7,FALSE)"),"")</f>
        <v/>
      </c>
      <c r="K246" s="15" t="str">
        <f>IFERROR(__xludf.DUMMYFUNCTION("VLOOKUP(A246,IMPORTRANGE(""1QZ5UxyNCwadreQAXnQ7oCoH982DjIA-QnZdO7ZoqkC0/edit#gid=884617569"",""S2 Totals!$A$2:$O$255""),8,FALSE)"),"")</f>
        <v/>
      </c>
      <c r="L246" s="110">
        <f t="shared" si="3"/>
        <v>0.5454545455</v>
      </c>
      <c r="M246" s="16" t="str">
        <f>IFERROR(__xludf.DUMMYFUNCTION("VLOOKUP(A246,IMPORTRANGE(""1QZ5UxyNCwadreQAXnQ7oCoH982DjIA-QnZdO7ZoqkC0/edit#gid=884617569"",""S2 Totals!$A$2:$O$255""),10,FALSE)"),"")</f>
        <v/>
      </c>
      <c r="N246" s="15" t="str">
        <f>IFERROR(__xludf.DUMMYFUNCTION("VLOOKUP(A246,IMPORTRANGE(""1QZ5UxyNCwadreQAXnQ7oCoH982DjIA-QnZdO7ZoqkC0/edit#gid=884617569"",""S2 Totals!$A$2:$O$255""),11,FALSE)"),"")</f>
        <v/>
      </c>
      <c r="O246" s="110">
        <f t="shared" si="4"/>
        <v>0.5454545455</v>
      </c>
      <c r="P246" s="16" t="str">
        <f>IFERROR(__xludf.DUMMYFUNCTION("VLOOKUP(A246,IMPORTRANGE(""1QZ5UxyNCwadreQAXnQ7oCoH982DjIA-QnZdO7ZoqkC0/edit#gid=884617569"",""S2 Totals!$A$2:$O$255""),13,FALSE)"),"")</f>
        <v/>
      </c>
      <c r="Q246" s="15" t="str">
        <f>IFERROR(__xludf.DUMMYFUNCTION("VLOOKUP(A246,IMPORTRANGE(""1QZ5UxyNCwadreQAXnQ7oCoH982DjIA-QnZdO7ZoqkC0/edit#gid=884617569"",""S2 Totals!$A$2:$O$255""),14,FALSE)"),"")</f>
        <v/>
      </c>
      <c r="R246" s="129">
        <f t="shared" si="5"/>
        <v>0.5454545455</v>
      </c>
    </row>
    <row r="247">
      <c r="A247" s="128" t="s">
        <v>107</v>
      </c>
      <c r="B247" s="16">
        <f>IFERROR(__xludf.DUMMYFUNCTION("VLOOKUP(A247,IMPORTRANGE(""1aFCnJY1qhIj8-JckJhDJ18aqmVo17tofpQmOjcYa3u8/edit#gid=1878241338"",""S2 Totals!$A$2:$O$255""),2,FALSE)"),9.0)</f>
        <v>9</v>
      </c>
      <c r="C247" s="15">
        <f>IFERROR(__xludf.DUMMYFUNCTION("VLOOKUP(A247,IMPORTRANGE(""1aFCnJY1qhIj8-JckJhDJ18aqmVo17tofpQmOjcYa3u8/edit#gid=1878241338"",""S2 Totals!$A$2:$O$255""),3,FALSE)"),0.8181818181818182)</f>
        <v>0.8181818182</v>
      </c>
      <c r="D247" s="16">
        <f>IFERROR(__xludf.DUMMYFUNCTION("VLOOKUP(A247,IMPORTRANGE(""1QZ5UxyNCwadreQAXnQ7oCoH982DjIA-QnZdO7ZoqkC0/edit#gid=884617569"",""S2 Totals!$A$2:$O$255""),2,FALSE)"),3.0)</f>
        <v>3</v>
      </c>
      <c r="E247" s="15">
        <f>IFERROR(__xludf.DUMMYFUNCTION("VLOOKUP(A247,IMPORTRANGE(""1QZ5UxyNCwadreQAXnQ7oCoH982DjIA-QnZdO7ZoqkC0/edit#gid=884617569"",""S2 Totals!$A$2:$O$255""),3,FALSE)"),0.23076923076923078)</f>
        <v>0.2307692308</v>
      </c>
      <c r="F247" s="15">
        <f t="shared" si="1"/>
        <v>0.5874125874</v>
      </c>
      <c r="G247" s="16">
        <f>IFERROR(__xludf.DUMMYFUNCTION("VLOOKUP(A247,IMPORTRANGE(""1QZ5UxyNCwadreQAXnQ7oCoH982DjIA-QnZdO7ZoqkC0/edit#gid=884617569"",""S2 Totals!$A$2:$O$255""),4,FALSE)"),6.0)</f>
        <v>6</v>
      </c>
      <c r="H247" s="15">
        <f>IFERROR(__xludf.DUMMYFUNCTION("VLOOKUP(A247,IMPORTRANGE(""1QZ5UxyNCwadreQAXnQ7oCoH982DjIA-QnZdO7ZoqkC0/edit#gid=884617569"",""S2 Totals!$A$2:$O$255""),5,FALSE)"),0.5)</f>
        <v>0.5</v>
      </c>
      <c r="I247" s="15">
        <f t="shared" si="2"/>
        <v>0.3181818182</v>
      </c>
      <c r="J247" s="16">
        <f>IFERROR(__xludf.DUMMYFUNCTION("VLOOKUP(A247,IMPORTRANGE(""1QZ5UxyNCwadreQAXnQ7oCoH982DjIA-QnZdO7ZoqkC0/edit#gid=884617569"",""S2 Totals!$A$2:$O$255""),7,FALSE)"),10.0)</f>
        <v>10</v>
      </c>
      <c r="K247" s="15">
        <f>IFERROR(__xludf.DUMMYFUNCTION("VLOOKUP(A247,IMPORTRANGE(""1QZ5UxyNCwadreQAXnQ7oCoH982DjIA-QnZdO7ZoqkC0/edit#gid=884617569"",""S2 Totals!$A$2:$O$255""),8,FALSE)"),0.8333333333333334)</f>
        <v>0.8333333333</v>
      </c>
      <c r="L247" s="110">
        <f t="shared" si="3"/>
        <v>-0.01515151515</v>
      </c>
      <c r="M247" s="16">
        <f>IFERROR(__xludf.DUMMYFUNCTION("VLOOKUP(A247,IMPORTRANGE(""1QZ5UxyNCwadreQAXnQ7oCoH982DjIA-QnZdO7ZoqkC0/edit#gid=884617569"",""S2 Totals!$A$2:$O$255""),10,FALSE)"),12.0)</f>
        <v>12</v>
      </c>
      <c r="N247" s="15">
        <f>IFERROR(__xludf.DUMMYFUNCTION("VLOOKUP(A247,IMPORTRANGE(""1QZ5UxyNCwadreQAXnQ7oCoH982DjIA-QnZdO7ZoqkC0/edit#gid=884617569"",""S2 Totals!$A$2:$O$255""),11,FALSE)"),0.9230769230769231)</f>
        <v>0.9230769231</v>
      </c>
      <c r="O247" s="110">
        <f t="shared" si="4"/>
        <v>-0.1048951049</v>
      </c>
      <c r="P247" s="16">
        <f>IFERROR(__xludf.DUMMYFUNCTION("VLOOKUP(A247,IMPORTRANGE(""1QZ5UxyNCwadreQAXnQ7oCoH982DjIA-QnZdO7ZoqkC0/edit#gid=884617569"",""S2 Totals!$A$2:$O$255""),13,FALSE)"),7.0)</f>
        <v>7</v>
      </c>
      <c r="Q247" s="15">
        <f>IFERROR(__xludf.DUMMYFUNCTION("VLOOKUP(A247,IMPORTRANGE(""1QZ5UxyNCwadreQAXnQ7oCoH982DjIA-QnZdO7ZoqkC0/edit#gid=884617569"",""S2 Totals!$A$2:$O$255""),14,FALSE)"),0.5833333333333334)</f>
        <v>0.5833333333</v>
      </c>
      <c r="R247" s="129">
        <f t="shared" si="5"/>
        <v>0.2348484848</v>
      </c>
    </row>
    <row r="248">
      <c r="A248" s="128" t="s">
        <v>158</v>
      </c>
      <c r="B248" s="16">
        <f>IFERROR(__xludf.DUMMYFUNCTION("VLOOKUP(A248,IMPORTRANGE(""1aFCnJY1qhIj8-JckJhDJ18aqmVo17tofpQmOjcYa3u8/edit#gid=1878241338"",""S2 Totals!$A$2:$O$255""),2,FALSE)"),0.0)</f>
        <v>0</v>
      </c>
      <c r="C248" s="15">
        <f>IFERROR(__xludf.DUMMYFUNCTION("VLOOKUP(A248,IMPORTRANGE(""1aFCnJY1qhIj8-JckJhDJ18aqmVo17tofpQmOjcYa3u8/edit#gid=1878241338"",""S2 Totals!$A$2:$O$255""),3,FALSE)"),0.0)</f>
        <v>0</v>
      </c>
      <c r="D248" s="16">
        <f>IFERROR(__xludf.DUMMYFUNCTION("VLOOKUP(A248,IMPORTRANGE(""1QZ5UxyNCwadreQAXnQ7oCoH982DjIA-QnZdO7ZoqkC0/edit#gid=884617569"",""S2 Totals!$A$2:$O$255""),2,FALSE)"),0.0)</f>
        <v>0</v>
      </c>
      <c r="E248" s="15">
        <f>IFERROR(__xludf.DUMMYFUNCTION("VLOOKUP(A248,IMPORTRANGE(""1QZ5UxyNCwadreQAXnQ7oCoH982DjIA-QnZdO7ZoqkC0/edit#gid=884617569"",""S2 Totals!$A$2:$O$255""),3,FALSE)"),0.0)</f>
        <v>0</v>
      </c>
      <c r="F248" s="15">
        <f t="shared" si="1"/>
        <v>0</v>
      </c>
      <c r="G248" s="16">
        <f>IFERROR(__xludf.DUMMYFUNCTION("VLOOKUP(A248,IMPORTRANGE(""1QZ5UxyNCwadreQAXnQ7oCoH982DjIA-QnZdO7ZoqkC0/edit#gid=884617569"",""S2 Totals!$A$2:$O$255""),4,FALSE)"),0.0)</f>
        <v>0</v>
      </c>
      <c r="H248" s="15">
        <f>IFERROR(__xludf.DUMMYFUNCTION("VLOOKUP(A248,IMPORTRANGE(""1QZ5UxyNCwadreQAXnQ7oCoH982DjIA-QnZdO7ZoqkC0/edit#gid=884617569"",""S2 Totals!$A$2:$O$255""),5,FALSE)"),0.0)</f>
        <v>0</v>
      </c>
      <c r="I248" s="15">
        <f t="shared" si="2"/>
        <v>0</v>
      </c>
      <c r="J248" s="16">
        <f>IFERROR(__xludf.DUMMYFUNCTION("VLOOKUP(A248,IMPORTRANGE(""1QZ5UxyNCwadreQAXnQ7oCoH982DjIA-QnZdO7ZoqkC0/edit#gid=884617569"",""S2 Totals!$A$2:$O$255""),7,FALSE)"),0.0)</f>
        <v>0</v>
      </c>
      <c r="K248" s="15">
        <f>IFERROR(__xludf.DUMMYFUNCTION("VLOOKUP(A248,IMPORTRANGE(""1QZ5UxyNCwadreQAXnQ7oCoH982DjIA-QnZdO7ZoqkC0/edit#gid=884617569"",""S2 Totals!$A$2:$O$255""),8,FALSE)"),0.0)</f>
        <v>0</v>
      </c>
      <c r="L248" s="110">
        <f t="shared" si="3"/>
        <v>0</v>
      </c>
      <c r="M248" s="16">
        <f>IFERROR(__xludf.DUMMYFUNCTION("VLOOKUP(A248,IMPORTRANGE(""1QZ5UxyNCwadreQAXnQ7oCoH982DjIA-QnZdO7ZoqkC0/edit#gid=884617569"",""S2 Totals!$A$2:$O$255""),10,FALSE)"),0.0)</f>
        <v>0</v>
      </c>
      <c r="N248" s="15">
        <f>IFERROR(__xludf.DUMMYFUNCTION("VLOOKUP(A248,IMPORTRANGE(""1QZ5UxyNCwadreQAXnQ7oCoH982DjIA-QnZdO7ZoqkC0/edit#gid=884617569"",""S2 Totals!$A$2:$O$255""),11,FALSE)"),0.0)</f>
        <v>0</v>
      </c>
      <c r="O248" s="110">
        <f t="shared" si="4"/>
        <v>0</v>
      </c>
      <c r="P248" s="16" t="str">
        <f>IFERROR(__xludf.DUMMYFUNCTION("VLOOKUP(A248,IMPORTRANGE(""1QZ5UxyNCwadreQAXnQ7oCoH982DjIA-QnZdO7ZoqkC0/edit#gid=884617569"",""S2 Totals!$A$2:$O$255""),13,FALSE)"),"")</f>
        <v/>
      </c>
      <c r="Q248" s="15" t="str">
        <f>IFERROR(__xludf.DUMMYFUNCTION("VLOOKUP(A248,IMPORTRANGE(""1QZ5UxyNCwadreQAXnQ7oCoH982DjIA-QnZdO7ZoqkC0/edit#gid=884617569"",""S2 Totals!$A$2:$O$255""),14,FALSE)"),"")</f>
        <v/>
      </c>
      <c r="R248" s="129">
        <f t="shared" si="5"/>
        <v>0</v>
      </c>
    </row>
    <row r="249">
      <c r="A249" s="128" t="s">
        <v>108</v>
      </c>
      <c r="B249" s="16">
        <f>IFERROR(__xludf.DUMMYFUNCTION("VLOOKUP(A249,IMPORTRANGE(""1aFCnJY1qhIj8-JckJhDJ18aqmVo17tofpQmOjcYa3u8/edit#gid=1878241338"",""S2 Totals!$A$2:$O$255""),2,FALSE)"),8.0)</f>
        <v>8</v>
      </c>
      <c r="C249" s="15">
        <f>IFERROR(__xludf.DUMMYFUNCTION("VLOOKUP(A249,IMPORTRANGE(""1aFCnJY1qhIj8-JckJhDJ18aqmVo17tofpQmOjcYa3u8/edit#gid=1878241338"",""S2 Totals!$A$2:$O$255""),3,FALSE)"),0.7272727272727273)</f>
        <v>0.7272727273</v>
      </c>
      <c r="D249" s="16">
        <f>IFERROR(__xludf.DUMMYFUNCTION("VLOOKUP(A249,IMPORTRANGE(""1QZ5UxyNCwadreQAXnQ7oCoH982DjIA-QnZdO7ZoqkC0/edit#gid=884617569"",""S2 Totals!$A$2:$O$255""),2,FALSE)"),7.0)</f>
        <v>7</v>
      </c>
      <c r="E249" s="15">
        <f>IFERROR(__xludf.DUMMYFUNCTION("VLOOKUP(A249,IMPORTRANGE(""1QZ5UxyNCwadreQAXnQ7oCoH982DjIA-QnZdO7ZoqkC0/edit#gid=884617569"",""S2 Totals!$A$2:$O$255""),3,FALSE)"),0.5384615384615384)</f>
        <v>0.5384615385</v>
      </c>
      <c r="F249" s="15">
        <f t="shared" si="1"/>
        <v>0.1888111888</v>
      </c>
      <c r="G249" s="16">
        <f>IFERROR(__xludf.DUMMYFUNCTION("VLOOKUP(A249,IMPORTRANGE(""1QZ5UxyNCwadreQAXnQ7oCoH982DjIA-QnZdO7ZoqkC0/edit#gid=884617569"",""S2 Totals!$A$2:$O$255""),4,FALSE)"),7.0)</f>
        <v>7</v>
      </c>
      <c r="H249" s="15">
        <f>IFERROR(__xludf.DUMMYFUNCTION("VLOOKUP(A249,IMPORTRANGE(""1QZ5UxyNCwadreQAXnQ7oCoH982DjIA-QnZdO7ZoqkC0/edit#gid=884617569"",""S2 Totals!$A$2:$O$255""),5,FALSE)"),0.5833333333333334)</f>
        <v>0.5833333333</v>
      </c>
      <c r="I249" s="15">
        <f t="shared" si="2"/>
        <v>0.1439393939</v>
      </c>
      <c r="J249" s="16">
        <f>IFERROR(__xludf.DUMMYFUNCTION("VLOOKUP(A249,IMPORTRANGE(""1QZ5UxyNCwadreQAXnQ7oCoH982DjIA-QnZdO7ZoqkC0/edit#gid=884617569"",""S2 Totals!$A$2:$O$255""),7,FALSE)"),8.0)</f>
        <v>8</v>
      </c>
      <c r="K249" s="15">
        <f>IFERROR(__xludf.DUMMYFUNCTION("VLOOKUP(A249,IMPORTRANGE(""1QZ5UxyNCwadreQAXnQ7oCoH982DjIA-QnZdO7ZoqkC0/edit#gid=884617569"",""S2 Totals!$A$2:$O$255""),8,FALSE)"),0.6666666666666666)</f>
        <v>0.6666666667</v>
      </c>
      <c r="L249" s="110">
        <f t="shared" si="3"/>
        <v>0.06060606061</v>
      </c>
      <c r="M249" s="16">
        <f>IFERROR(__xludf.DUMMYFUNCTION("VLOOKUP(A249,IMPORTRANGE(""1QZ5UxyNCwadreQAXnQ7oCoH982DjIA-QnZdO7ZoqkC0/edit#gid=884617569"",""S2 Totals!$A$2:$O$255""),10,FALSE)"),10.0)</f>
        <v>10</v>
      </c>
      <c r="N249" s="15">
        <f>IFERROR(__xludf.DUMMYFUNCTION("VLOOKUP(A249,IMPORTRANGE(""1QZ5UxyNCwadreQAXnQ7oCoH982DjIA-QnZdO7ZoqkC0/edit#gid=884617569"",""S2 Totals!$A$2:$O$255""),11,FALSE)"),0.7692307692307693)</f>
        <v>0.7692307692</v>
      </c>
      <c r="O249" s="110">
        <f t="shared" si="4"/>
        <v>-0.04195804196</v>
      </c>
      <c r="P249" s="16">
        <f>IFERROR(__xludf.DUMMYFUNCTION("VLOOKUP(A249,IMPORTRANGE(""1QZ5UxyNCwadreQAXnQ7oCoH982DjIA-QnZdO7ZoqkC0/edit#gid=884617569"",""S2 Totals!$A$2:$O$255""),13,FALSE)"),7.0)</f>
        <v>7</v>
      </c>
      <c r="Q249" s="15">
        <f>IFERROR(__xludf.DUMMYFUNCTION("VLOOKUP(A249,IMPORTRANGE(""1QZ5UxyNCwadreQAXnQ7oCoH982DjIA-QnZdO7ZoqkC0/edit#gid=884617569"",""S2 Totals!$A$2:$O$255""),14,FALSE)"),0.5833333333333334)</f>
        <v>0.5833333333</v>
      </c>
      <c r="R249" s="129">
        <f t="shared" si="5"/>
        <v>0.1439393939</v>
      </c>
    </row>
    <row r="250">
      <c r="A250" s="128" t="s">
        <v>109</v>
      </c>
      <c r="B250" s="16">
        <f>IFERROR(__xludf.DUMMYFUNCTION("VLOOKUP(A250,IMPORTRANGE(""1aFCnJY1qhIj8-JckJhDJ18aqmVo17tofpQmOjcYa3u8/edit#gid=1878241338"",""S2 Totals!$A$2:$O$255""),2,FALSE)"),10.0)</f>
        <v>10</v>
      </c>
      <c r="C250" s="15">
        <f>IFERROR(__xludf.DUMMYFUNCTION("VLOOKUP(A250,IMPORTRANGE(""1aFCnJY1qhIj8-JckJhDJ18aqmVo17tofpQmOjcYa3u8/edit#gid=1878241338"",""S2 Totals!$A$2:$O$255""),3,FALSE)"),0.9090909090909091)</f>
        <v>0.9090909091</v>
      </c>
      <c r="D250" s="16">
        <f>IFERROR(__xludf.DUMMYFUNCTION("VLOOKUP(A250,IMPORTRANGE(""1QZ5UxyNCwadreQAXnQ7oCoH982DjIA-QnZdO7ZoqkC0/edit#gid=884617569"",""S2 Totals!$A$2:$O$255""),2,FALSE)"),8.0)</f>
        <v>8</v>
      </c>
      <c r="E250" s="15">
        <f>IFERROR(__xludf.DUMMYFUNCTION("VLOOKUP(A250,IMPORTRANGE(""1QZ5UxyNCwadreQAXnQ7oCoH982DjIA-QnZdO7ZoqkC0/edit#gid=884617569"",""S2 Totals!$A$2:$O$255""),3,FALSE)"),0.6153846153846154)</f>
        <v>0.6153846154</v>
      </c>
      <c r="F250" s="15">
        <f t="shared" si="1"/>
        <v>0.2937062937</v>
      </c>
      <c r="G250" s="16">
        <f>IFERROR(__xludf.DUMMYFUNCTION("VLOOKUP(A250,IMPORTRANGE(""1QZ5UxyNCwadreQAXnQ7oCoH982DjIA-QnZdO7ZoqkC0/edit#gid=884617569"",""S2 Totals!$A$2:$O$255""),4,FALSE)"),8.0)</f>
        <v>8</v>
      </c>
      <c r="H250" s="15">
        <f>IFERROR(__xludf.DUMMYFUNCTION("VLOOKUP(A250,IMPORTRANGE(""1QZ5UxyNCwadreQAXnQ7oCoH982DjIA-QnZdO7ZoqkC0/edit#gid=884617569"",""S2 Totals!$A$2:$O$255""),5,FALSE)"),0.6666666666666666)</f>
        <v>0.6666666667</v>
      </c>
      <c r="I250" s="15">
        <f t="shared" si="2"/>
        <v>0.2424242424</v>
      </c>
      <c r="J250" s="16">
        <f>IFERROR(__xludf.DUMMYFUNCTION("VLOOKUP(A250,IMPORTRANGE(""1QZ5UxyNCwadreQAXnQ7oCoH982DjIA-QnZdO7ZoqkC0/edit#gid=884617569"",""S2 Totals!$A$2:$O$255""),7,FALSE)"),6.0)</f>
        <v>6</v>
      </c>
      <c r="K250" s="15">
        <f>IFERROR(__xludf.DUMMYFUNCTION("VLOOKUP(A250,IMPORTRANGE(""1QZ5UxyNCwadreQAXnQ7oCoH982DjIA-QnZdO7ZoqkC0/edit#gid=884617569"",""S2 Totals!$A$2:$O$255""),8,FALSE)"),0.5)</f>
        <v>0.5</v>
      </c>
      <c r="L250" s="110">
        <f t="shared" si="3"/>
        <v>0.4090909091</v>
      </c>
      <c r="M250" s="16">
        <f>IFERROR(__xludf.DUMMYFUNCTION("VLOOKUP(A250,IMPORTRANGE(""1QZ5UxyNCwadreQAXnQ7oCoH982DjIA-QnZdO7ZoqkC0/edit#gid=884617569"",""S2 Totals!$A$2:$O$255""),10,FALSE)"),8.0)</f>
        <v>8</v>
      </c>
      <c r="N250" s="15">
        <f>IFERROR(__xludf.DUMMYFUNCTION("VLOOKUP(A250,IMPORTRANGE(""1QZ5UxyNCwadreQAXnQ7oCoH982DjIA-QnZdO7ZoqkC0/edit#gid=884617569"",""S2 Totals!$A$2:$O$255""),11,FALSE)"),0.6153846153846154)</f>
        <v>0.6153846154</v>
      </c>
      <c r="O250" s="110">
        <f t="shared" si="4"/>
        <v>0.2937062937</v>
      </c>
      <c r="P250" s="16">
        <f>IFERROR(__xludf.DUMMYFUNCTION("VLOOKUP(A250,IMPORTRANGE(""1QZ5UxyNCwadreQAXnQ7oCoH982DjIA-QnZdO7ZoqkC0/edit#gid=884617569"",""S2 Totals!$A$2:$O$255""),13,FALSE)"),6.0)</f>
        <v>6</v>
      </c>
      <c r="Q250" s="15">
        <f>IFERROR(__xludf.DUMMYFUNCTION("VLOOKUP(A250,IMPORTRANGE(""1QZ5UxyNCwadreQAXnQ7oCoH982DjIA-QnZdO7ZoqkC0/edit#gid=884617569"",""S2 Totals!$A$2:$O$255""),14,FALSE)"),0.5)</f>
        <v>0.5</v>
      </c>
      <c r="R250" s="129">
        <f t="shared" si="5"/>
        <v>0.4090909091</v>
      </c>
    </row>
    <row r="251">
      <c r="A251" s="128" t="s">
        <v>259</v>
      </c>
      <c r="B251" s="16">
        <f>IFERROR(__xludf.DUMMYFUNCTION("VLOOKUP(A251,IMPORTRANGE(""1aFCnJY1qhIj8-JckJhDJ18aqmVo17tofpQmOjcYa3u8/edit#gid=1878241338"",""S2 Totals!$A$2:$O$255""),2,FALSE)"),5.0)</f>
        <v>5</v>
      </c>
      <c r="C251" s="15">
        <f>IFERROR(__xludf.DUMMYFUNCTION("VLOOKUP(A251,IMPORTRANGE(""1aFCnJY1qhIj8-JckJhDJ18aqmVo17tofpQmOjcYa3u8/edit#gid=1878241338"",""S2 Totals!$A$2:$O$255""),3,FALSE)"),0.45454545454545453)</f>
        <v>0.4545454545</v>
      </c>
      <c r="D251" s="16">
        <f>IFERROR(__xludf.DUMMYFUNCTION("VLOOKUP(A251,IMPORTRANGE(""1QZ5UxyNCwadreQAXnQ7oCoH982DjIA-QnZdO7ZoqkC0/edit#gid=884617569"",""S2 Totals!$A$2:$O$255""),2,FALSE)"),7.0)</f>
        <v>7</v>
      </c>
      <c r="E251" s="15">
        <f>IFERROR(__xludf.DUMMYFUNCTION("VLOOKUP(A251,IMPORTRANGE(""1QZ5UxyNCwadreQAXnQ7oCoH982DjIA-QnZdO7ZoqkC0/edit#gid=884617569"",""S2 Totals!$A$2:$O$255""),3,FALSE)"),0.5384615384615384)</f>
        <v>0.5384615385</v>
      </c>
      <c r="F251" s="15">
        <f t="shared" si="1"/>
        <v>-0.08391608392</v>
      </c>
      <c r="G251" s="16">
        <f>IFERROR(__xludf.DUMMYFUNCTION("VLOOKUP(A251,IMPORTRANGE(""1QZ5UxyNCwadreQAXnQ7oCoH982DjIA-QnZdO7ZoqkC0/edit#gid=884617569"",""S2 Totals!$A$2:$O$255""),4,FALSE)"),2.0)</f>
        <v>2</v>
      </c>
      <c r="H251" s="15">
        <f>IFERROR(__xludf.DUMMYFUNCTION("VLOOKUP(A251,IMPORTRANGE(""1QZ5UxyNCwadreQAXnQ7oCoH982DjIA-QnZdO7ZoqkC0/edit#gid=884617569"",""S2 Totals!$A$2:$O$255""),5,FALSE)"),0.16666666666666666)</f>
        <v>0.1666666667</v>
      </c>
      <c r="I251" s="15">
        <f t="shared" si="2"/>
        <v>0.2878787879</v>
      </c>
      <c r="J251" s="16" t="str">
        <f>IFERROR(__xludf.DUMMYFUNCTION("VLOOKUP(A251,IMPORTRANGE(""1QZ5UxyNCwadreQAXnQ7oCoH982DjIA-QnZdO7ZoqkC0/edit#gid=884617569"",""S2 Totals!$A$2:$O$255""),7,FALSE)"),"")</f>
        <v/>
      </c>
      <c r="K251" s="15" t="str">
        <f>IFERROR(__xludf.DUMMYFUNCTION("VLOOKUP(A251,IMPORTRANGE(""1QZ5UxyNCwadreQAXnQ7oCoH982DjIA-QnZdO7ZoqkC0/edit#gid=884617569"",""S2 Totals!$A$2:$O$255""),8,FALSE)"),"")</f>
        <v/>
      </c>
      <c r="L251" s="110">
        <f t="shared" si="3"/>
        <v>0.4545454545</v>
      </c>
      <c r="M251" s="16" t="str">
        <f>IFERROR(__xludf.DUMMYFUNCTION("VLOOKUP(A251,IMPORTRANGE(""1QZ5UxyNCwadreQAXnQ7oCoH982DjIA-QnZdO7ZoqkC0/edit#gid=884617569"",""S2 Totals!$A$2:$O$255""),10,FALSE)"),"")</f>
        <v/>
      </c>
      <c r="N251" s="15" t="str">
        <f>IFERROR(__xludf.DUMMYFUNCTION("VLOOKUP(A251,IMPORTRANGE(""1QZ5UxyNCwadreQAXnQ7oCoH982DjIA-QnZdO7ZoqkC0/edit#gid=884617569"",""S2 Totals!$A$2:$O$255""),11,FALSE)"),"")</f>
        <v/>
      </c>
      <c r="O251" s="110">
        <f t="shared" si="4"/>
        <v>0.4545454545</v>
      </c>
      <c r="P251" s="16" t="str">
        <f>IFERROR(__xludf.DUMMYFUNCTION("VLOOKUP(A251,IMPORTRANGE(""1QZ5UxyNCwadreQAXnQ7oCoH982DjIA-QnZdO7ZoqkC0/edit#gid=884617569"",""S2 Totals!$A$2:$O$255""),13,FALSE)"),"")</f>
        <v/>
      </c>
      <c r="Q251" s="15" t="str">
        <f>IFERROR(__xludf.DUMMYFUNCTION("VLOOKUP(A251,IMPORTRANGE(""1QZ5UxyNCwadreQAXnQ7oCoH982DjIA-QnZdO7ZoqkC0/edit#gid=884617569"",""S2 Totals!$A$2:$O$255""),14,FALSE)"),"")</f>
        <v/>
      </c>
      <c r="R251" s="129">
        <f t="shared" si="5"/>
        <v>0.4545454545</v>
      </c>
    </row>
    <row r="252">
      <c r="A252" s="36"/>
      <c r="B252" s="113"/>
      <c r="C252" s="113"/>
      <c r="D252" s="113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</row>
    <row r="253">
      <c r="A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>
      <c r="A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>
      <c r="A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>
      <c r="A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>
      <c r="A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>
      <c r="A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>
      <c r="A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>
      <c r="A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>
      <c r="A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>
      <c r="A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>
      <c r="A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>
      <c r="A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>
      <c r="A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>
      <c r="A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>
      <c r="A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>
      <c r="A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>
      <c r="A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>
      <c r="A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>
      <c r="A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>
      <c r="A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>
      <c r="A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>
      <c r="A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>
      <c r="A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>
      <c r="A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>
      <c r="A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>
      <c r="A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>
      <c r="A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>
      <c r="A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>
      <c r="A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>
      <c r="A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>
      <c r="A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>
      <c r="A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>
      <c r="A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>
      <c r="A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>
      <c r="A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>
      <c r="A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>
      <c r="A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>
      <c r="A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>
      <c r="A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>
      <c r="A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>
      <c r="A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>
      <c r="A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>
      <c r="A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>
      <c r="A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>
      <c r="A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>
      <c r="A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>
      <c r="A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>
      <c r="A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>
      <c r="A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>
      <c r="A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>
      <c r="A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>
      <c r="A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>
      <c r="A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>
      <c r="A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>
      <c r="A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>
      <c r="A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>
      <c r="A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>
      <c r="A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>
      <c r="A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>
      <c r="A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>
      <c r="A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>
      <c r="A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>
      <c r="A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>
      <c r="A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>
      <c r="A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>
      <c r="A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>
      <c r="A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>
      <c r="A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>
      <c r="A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>
      <c r="A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>
      <c r="A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>
      <c r="A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>
      <c r="A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>
      <c r="A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>
      <c r="A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>
      <c r="A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>
      <c r="A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>
      <c r="A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>
      <c r="A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>
      <c r="A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>
      <c r="A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>
      <c r="A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>
      <c r="A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>
      <c r="A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>
      <c r="A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>
      <c r="A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>
      <c r="A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>
      <c r="A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>
      <c r="A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>
      <c r="A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>
      <c r="A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>
      <c r="A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>
      <c r="A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>
      <c r="A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>
      <c r="A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>
      <c r="A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>
      <c r="A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>
      <c r="A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>
      <c r="A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>
      <c r="A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>
      <c r="A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>
      <c r="A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>
      <c r="A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>
      <c r="A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>
      <c r="A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>
      <c r="A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>
      <c r="A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>
      <c r="A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>
      <c r="A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>
      <c r="A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>
      <c r="A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>
      <c r="A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>
      <c r="A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>
      <c r="A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>
      <c r="A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>
      <c r="A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>
      <c r="A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>
      <c r="A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>
      <c r="A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>
      <c r="A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>
      <c r="A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>
      <c r="A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>
      <c r="A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>
      <c r="A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>
      <c r="A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>
      <c r="A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>
      <c r="A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>
      <c r="A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>
      <c r="A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>
      <c r="A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>
      <c r="A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>
      <c r="A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>
      <c r="A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>
      <c r="A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>
      <c r="A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>
      <c r="A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>
      <c r="A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>
      <c r="A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>
      <c r="A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>
      <c r="A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>
      <c r="A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>
      <c r="A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>
      <c r="A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>
      <c r="A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>
      <c r="A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>
      <c r="A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>
      <c r="A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>
      <c r="A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>
      <c r="A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>
      <c r="A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>
      <c r="A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>
      <c r="A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>
      <c r="A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>
      <c r="A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>
      <c r="A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>
      <c r="A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>
      <c r="A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>
      <c r="A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>
      <c r="A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>
      <c r="A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>
      <c r="A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>
      <c r="A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>
      <c r="A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>
      <c r="A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>
      <c r="A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>
      <c r="A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>
      <c r="A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>
      <c r="A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>
      <c r="A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>
      <c r="A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>
      <c r="A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>
      <c r="A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>
      <c r="A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>
      <c r="A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>
      <c r="A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>
      <c r="A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>
      <c r="A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>
      <c r="A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>
      <c r="A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>
      <c r="A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>
      <c r="A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>
      <c r="A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>
      <c r="A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>
      <c r="A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>
      <c r="A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>
      <c r="A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>
      <c r="A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>
      <c r="A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>
      <c r="A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>
      <c r="A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>
      <c r="A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>
      <c r="A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>
      <c r="A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>
      <c r="A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>
      <c r="A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>
      <c r="A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>
      <c r="A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>
      <c r="A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>
      <c r="A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>
      <c r="A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>
      <c r="A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>
      <c r="A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>
      <c r="A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>
      <c r="A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>
      <c r="A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>
      <c r="A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>
      <c r="A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>
      <c r="A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>
      <c r="A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>
      <c r="A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>
      <c r="A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>
      <c r="A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>
      <c r="A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>
      <c r="A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>
      <c r="A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>
      <c r="A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>
      <c r="A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>
      <c r="A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>
      <c r="A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>
      <c r="A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>
      <c r="A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>
      <c r="A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>
      <c r="A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>
      <c r="A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>
      <c r="A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>
      <c r="A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>
      <c r="A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>
      <c r="A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>
      <c r="A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>
      <c r="A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>
      <c r="A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>
      <c r="A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>
      <c r="A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>
      <c r="A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>
      <c r="A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>
      <c r="A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>
      <c r="A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>
      <c r="A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>
      <c r="A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>
      <c r="A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>
      <c r="A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>
      <c r="A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>
      <c r="A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>
      <c r="A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>
      <c r="A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>
      <c r="A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>
      <c r="A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>
      <c r="A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>
      <c r="A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>
      <c r="A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>
      <c r="A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>
      <c r="A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>
      <c r="A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>
      <c r="A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>
      <c r="A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>
      <c r="A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>
      <c r="A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>
      <c r="A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>
      <c r="A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>
      <c r="A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>
      <c r="A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>
      <c r="A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>
      <c r="A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>
      <c r="A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>
      <c r="A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>
      <c r="A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>
      <c r="A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>
      <c r="A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>
      <c r="A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>
      <c r="A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>
      <c r="A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>
      <c r="A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>
      <c r="A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>
      <c r="A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>
      <c r="A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>
      <c r="A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>
      <c r="A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>
      <c r="A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>
      <c r="A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>
      <c r="A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>
      <c r="A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>
      <c r="A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>
      <c r="A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>
      <c r="A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>
      <c r="A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>
      <c r="A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>
      <c r="A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>
      <c r="A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>
      <c r="A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>
      <c r="A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>
      <c r="A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>
      <c r="A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>
      <c r="A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>
      <c r="A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>
      <c r="A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>
      <c r="A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>
      <c r="A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>
      <c r="A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>
      <c r="A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>
      <c r="A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>
      <c r="A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>
      <c r="A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>
      <c r="A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>
      <c r="A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>
      <c r="A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>
      <c r="A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>
      <c r="A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>
      <c r="A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>
      <c r="A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>
      <c r="A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>
      <c r="A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>
      <c r="A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>
      <c r="A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>
      <c r="A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>
      <c r="A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>
      <c r="A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>
      <c r="A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>
      <c r="A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>
      <c r="A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>
      <c r="A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>
      <c r="A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>
      <c r="A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>
      <c r="A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>
      <c r="A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>
      <c r="A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>
      <c r="A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>
      <c r="A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>
      <c r="A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>
      <c r="A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>
      <c r="A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>
      <c r="A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>
      <c r="A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>
      <c r="A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>
      <c r="A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>
      <c r="A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>
      <c r="A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>
      <c r="A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>
      <c r="A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>
      <c r="A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>
      <c r="A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>
      <c r="A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>
      <c r="A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>
      <c r="A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>
      <c r="A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>
      <c r="A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>
      <c r="A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>
      <c r="A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>
      <c r="A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>
      <c r="A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>
      <c r="A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>
      <c r="A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>
      <c r="A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>
      <c r="A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>
      <c r="A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>
      <c r="A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>
      <c r="A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>
      <c r="A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>
      <c r="A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>
      <c r="A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>
      <c r="A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>
      <c r="A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>
      <c r="A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>
      <c r="A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>
      <c r="A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>
      <c r="A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>
      <c r="A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>
      <c r="A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>
      <c r="A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>
      <c r="A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>
      <c r="A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>
      <c r="A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>
      <c r="A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>
      <c r="A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>
      <c r="A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>
      <c r="A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>
      <c r="A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>
      <c r="A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>
      <c r="A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>
      <c r="A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>
      <c r="A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>
      <c r="A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>
      <c r="A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>
      <c r="A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>
      <c r="A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>
      <c r="A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>
      <c r="A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>
      <c r="A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>
      <c r="A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>
      <c r="A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>
      <c r="A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>
      <c r="A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>
      <c r="A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>
      <c r="A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>
      <c r="A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>
      <c r="A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>
      <c r="A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>
      <c r="A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>
      <c r="A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>
      <c r="A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>
      <c r="A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>
      <c r="A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>
      <c r="A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>
      <c r="A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>
      <c r="A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>
      <c r="A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>
      <c r="A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>
      <c r="A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>
      <c r="A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>
      <c r="A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>
      <c r="A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>
      <c r="A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>
      <c r="A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>
      <c r="A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>
      <c r="A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>
      <c r="A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>
      <c r="A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>
      <c r="A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>
      <c r="A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>
      <c r="A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>
      <c r="A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>
      <c r="A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>
      <c r="A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>
      <c r="A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>
      <c r="A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>
      <c r="A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>
      <c r="A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>
      <c r="A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>
      <c r="A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>
      <c r="A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>
      <c r="A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>
      <c r="A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>
      <c r="A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>
      <c r="A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>
      <c r="A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>
      <c r="A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>
      <c r="A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>
      <c r="A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>
      <c r="A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>
      <c r="A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>
      <c r="A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>
      <c r="A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>
      <c r="A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>
      <c r="A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>
      <c r="A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>
      <c r="A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>
      <c r="A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>
      <c r="A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>
      <c r="A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>
      <c r="A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>
      <c r="A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>
      <c r="A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>
      <c r="A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>
      <c r="A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>
      <c r="A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>
      <c r="A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>
      <c r="A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>
      <c r="A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>
      <c r="A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>
      <c r="A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>
      <c r="A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>
      <c r="A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>
      <c r="A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>
      <c r="A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>
      <c r="A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>
      <c r="A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>
      <c r="A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>
      <c r="A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>
      <c r="A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>
      <c r="A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>
      <c r="A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>
      <c r="A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>
      <c r="A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>
      <c r="A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>
      <c r="A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>
      <c r="A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>
      <c r="A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>
      <c r="A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>
      <c r="A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>
      <c r="A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>
      <c r="A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>
      <c r="A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>
      <c r="A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>
      <c r="A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>
      <c r="A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>
      <c r="A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>
      <c r="A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>
      <c r="A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>
      <c r="A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>
      <c r="A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>
      <c r="A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>
      <c r="A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>
      <c r="A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>
      <c r="A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>
      <c r="A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>
      <c r="A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>
      <c r="A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>
      <c r="A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>
      <c r="A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>
      <c r="A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>
      <c r="A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>
      <c r="A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>
      <c r="A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>
      <c r="A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>
      <c r="A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>
      <c r="A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>
      <c r="A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>
      <c r="A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>
      <c r="A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>
      <c r="A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>
      <c r="A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>
      <c r="A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>
      <c r="A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>
      <c r="A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>
      <c r="A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>
      <c r="A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>
      <c r="A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>
      <c r="A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>
      <c r="A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>
      <c r="A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>
      <c r="A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>
      <c r="A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>
      <c r="A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>
      <c r="A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>
      <c r="A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>
      <c r="A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>
      <c r="A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>
      <c r="A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>
      <c r="A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>
      <c r="A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>
      <c r="A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>
      <c r="A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>
      <c r="A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>
      <c r="A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>
      <c r="A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>
      <c r="A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>
      <c r="A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>
      <c r="A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>
      <c r="A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>
      <c r="A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>
      <c r="A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>
      <c r="A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>
      <c r="A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>
      <c r="A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>
      <c r="A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>
      <c r="A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>
      <c r="A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>
      <c r="A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>
      <c r="A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>
      <c r="A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>
      <c r="A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>
      <c r="A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>
      <c r="A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>
      <c r="A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>
      <c r="A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>
      <c r="A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>
      <c r="A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>
      <c r="A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>
      <c r="A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>
      <c r="A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>
      <c r="A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>
      <c r="A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>
      <c r="A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>
      <c r="A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>
      <c r="A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>
      <c r="A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>
      <c r="A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>
      <c r="A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>
      <c r="A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>
      <c r="A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>
      <c r="A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>
      <c r="A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>
      <c r="A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>
      <c r="A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>
      <c r="A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>
      <c r="A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>
      <c r="A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>
      <c r="A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>
      <c r="A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>
      <c r="A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>
      <c r="A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>
      <c r="A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>
      <c r="A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>
      <c r="A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>
      <c r="A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>
      <c r="A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>
      <c r="A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>
      <c r="A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>
      <c r="A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>
      <c r="A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>
      <c r="A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>
      <c r="A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>
      <c r="A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>
      <c r="A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>
      <c r="A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>
      <c r="A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>
      <c r="A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>
      <c r="A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>
      <c r="A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>
      <c r="A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>
      <c r="A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>
      <c r="A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>
      <c r="A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>
      <c r="A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>
      <c r="A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>
      <c r="A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>
      <c r="A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>
      <c r="A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>
      <c r="A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>
      <c r="A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>
      <c r="A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>
      <c r="A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>
      <c r="A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>
      <c r="A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>
      <c r="A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>
      <c r="A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>
      <c r="A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>
      <c r="A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>
      <c r="A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>
      <c r="A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>
      <c r="A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>
      <c r="A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>
      <c r="A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>
      <c r="A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>
      <c r="A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>
      <c r="A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>
      <c r="A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>
      <c r="A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>
      <c r="A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>
      <c r="A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>
      <c r="A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>
      <c r="A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>
      <c r="A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>
      <c r="A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>
      <c r="A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>
      <c r="A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>
      <c r="A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>
      <c r="A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>
      <c r="A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>
      <c r="A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>
      <c r="A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>
      <c r="A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>
      <c r="A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>
      <c r="A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>
      <c r="A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>
      <c r="A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>
      <c r="A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>
      <c r="A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>
      <c r="A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>
      <c r="A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>
      <c r="A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>
      <c r="A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>
      <c r="A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>
      <c r="A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>
      <c r="A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>
      <c r="A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>
      <c r="A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>
      <c r="A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>
      <c r="A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>
      <c r="A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>
      <c r="A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>
      <c r="A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>
      <c r="A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>
      <c r="A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>
      <c r="A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>
      <c r="A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>
      <c r="A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>
      <c r="A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>
      <c r="A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>
      <c r="A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>
      <c r="A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>
      <c r="A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>
      <c r="A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>
      <c r="A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>
      <c r="A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>
      <c r="A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>
      <c r="A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>
      <c r="A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>
      <c r="A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>
      <c r="A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>
      <c r="A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>
      <c r="A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>
      <c r="A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>
      <c r="A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>
      <c r="A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>
      <c r="A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>
      <c r="A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>
      <c r="A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>
      <c r="A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>
      <c r="A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>
      <c r="A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>
      <c r="A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>
      <c r="A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>
      <c r="A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>
      <c r="A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>
      <c r="A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>
      <c r="A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>
      <c r="A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>
      <c r="A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>
      <c r="A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>
      <c r="A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>
      <c r="A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>
      <c r="A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>
      <c r="A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>
      <c r="A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>
      <c r="A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>
      <c r="A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>
      <c r="A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>
      <c r="A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>
      <c r="A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>
      <c r="A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>
      <c r="A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>
      <c r="A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>
      <c r="A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>
      <c r="A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>
      <c r="A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>
      <c r="A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>
      <c r="A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>
      <c r="A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>
      <c r="A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>
      <c r="A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>
      <c r="A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>
      <c r="A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>
      <c r="A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>
      <c r="A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>
      <c r="A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>
      <c r="A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>
      <c r="A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>
      <c r="A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>
      <c r="A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>
      <c r="A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>
      <c r="A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>
      <c r="A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>
      <c r="A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>
      <c r="A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>
      <c r="A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>
      <c r="A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>
      <c r="A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>
      <c r="A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>
      <c r="A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>
      <c r="A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>
      <c r="A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>
      <c r="A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>
      <c r="A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>
      <c r="A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>
      <c r="A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>
      <c r="A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>
      <c r="A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</row>
    <row r="1000">
      <c r="A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04" t="s">
        <v>279</v>
      </c>
      <c r="B1" s="2" t="s">
        <v>320</v>
      </c>
      <c r="C1" s="61" t="s">
        <v>321</v>
      </c>
      <c r="D1" s="126" t="s">
        <v>322</v>
      </c>
      <c r="E1" s="127" t="s">
        <v>323</v>
      </c>
      <c r="F1" s="2" t="s">
        <v>284</v>
      </c>
      <c r="G1" s="137" t="s">
        <v>324</v>
      </c>
      <c r="H1" s="137" t="s">
        <v>325</v>
      </c>
      <c r="I1" s="56" t="s">
        <v>261</v>
      </c>
      <c r="J1" s="138" t="s">
        <v>326</v>
      </c>
      <c r="K1" s="138" t="s">
        <v>327</v>
      </c>
      <c r="L1" s="139" t="s">
        <v>290</v>
      </c>
      <c r="M1" s="140" t="s">
        <v>328</v>
      </c>
      <c r="N1" s="140" t="s">
        <v>329</v>
      </c>
      <c r="O1" s="139" t="s">
        <v>293</v>
      </c>
      <c r="P1" s="141" t="s">
        <v>330</v>
      </c>
      <c r="Q1" s="141" t="s">
        <v>331</v>
      </c>
      <c r="R1" s="139" t="s">
        <v>296</v>
      </c>
      <c r="S1" s="142" t="s">
        <v>332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128" t="s">
        <v>20</v>
      </c>
      <c r="B2" s="16">
        <f>IFERROR(__xludf.DUMMYFUNCTION("VLOOKUP(A2,IMPORTRANGE(""1aFCnJY1qhIj8-JckJhDJ18aqmVo17tofpQmOjcYa3u8/edit#gid=1878241338"",""S3 Totals!$A$2:$O$255""),2,FALSE)"),6.0)</f>
        <v>6</v>
      </c>
      <c r="C2" s="15">
        <f>IFERROR(__xludf.DUMMYFUNCTION("VLOOKUP(A2,IMPORTRANGE(""1aFCnJY1qhIj8-JckJhDJ18aqmVo17tofpQmOjcYa3u8/edit#gid=1878241338"",""S3 Totals!$A$2:$O$255""),3,FALSE)"),0.0821917808219178)</f>
        <v>0.08219178082</v>
      </c>
      <c r="D2" s="16">
        <f>IFERROR(__xludf.DUMMYFUNCTION("VLOOKUP(A2,IMPORTRANGE(""1QZ5UxyNCwadreQAXnQ7oCoH982DjIA-QnZdO7ZoqkC0/edit#gid=884617569"",""S3 Totals!$A$2:$O$255""),2,FALSE)"),7.0)</f>
        <v>7</v>
      </c>
      <c r="E2" s="15">
        <f>IFERROR(__xludf.DUMMYFUNCTION("VLOOKUP(A2,IMPORTRANGE(""1QZ5UxyNCwadreQAXnQ7oCoH982DjIA-QnZdO7ZoqkC0/edit#gid=884617569"",""S3 Totals!$A$2:$O$255""),3,FALSE)"),0.0945945945945946)</f>
        <v>0.09459459459</v>
      </c>
      <c r="F2" s="15">
        <f t="shared" ref="F2:F251" si="1">C2-E2</f>
        <v>-0.01240281377</v>
      </c>
      <c r="G2" s="16">
        <f>IFERROR(__xludf.DUMMYFUNCTION("VLOOKUP(A2,IMPORTRANGE(""1QZ5UxyNCwadreQAXnQ7oCoH982DjIA-QnZdO7ZoqkC0/edit#gid=884617569"",""S3 Totals!$A$2:$O$255""),4,FALSE)"),5.0)</f>
        <v>5</v>
      </c>
      <c r="H2" s="15">
        <f>IFERROR(__xludf.DUMMYFUNCTION("VLOOKUP(A2,IMPORTRANGE(""1QZ5UxyNCwadreQAXnQ7oCoH982DjIA-QnZdO7ZoqkC0/edit#gid=884617569"",""S3 Totals!$A$2:$O$255""),5,FALSE)"),0.06329113924050633)</f>
        <v>0.06329113924</v>
      </c>
      <c r="I2" s="143">
        <f t="shared" ref="I2:I251" si="2">C2-H2</f>
        <v>0.01890064158</v>
      </c>
      <c r="J2" s="16">
        <f>IFERROR(__xludf.DUMMYFUNCTION("VLOOKUP(A2,IMPORTRANGE(""1QZ5UxyNCwadreQAXnQ7oCoH982DjIA-QnZdO7ZoqkC0/edit#gid=884617569"",""S3 Totals!$A$2:$O$255""),7,FALSE)"),4.0)</f>
        <v>4</v>
      </c>
      <c r="K2" s="15">
        <f>IFERROR(__xludf.DUMMYFUNCTION("VLOOKUP(A2,IMPORTRANGE(""1QZ5UxyNCwadreQAXnQ7oCoH982DjIA-QnZdO7ZoqkC0/edit#gid=884617569"",""S3 Totals!$A$2:$O$255""),8,FALSE)"),0.047058823529411764)</f>
        <v>0.04705882353</v>
      </c>
      <c r="L2" s="110">
        <f>C2-K2</f>
        <v>0.03513295729</v>
      </c>
      <c r="M2" s="16">
        <f>IFERROR(__xludf.DUMMYFUNCTION("VLOOKUP(A2,IMPORTRANGE(""1QZ5UxyNCwadreQAXnQ7oCoH982DjIA-QnZdO7ZoqkC0/edit#gid=884617569"",""S3 Totals!$A$2:$O$255""),10,FALSE)"),5.0)</f>
        <v>5</v>
      </c>
      <c r="N2" s="15">
        <f>IFERROR(__xludf.DUMMYFUNCTION("VLOOKUP(A2,IMPORTRANGE(""1QZ5UxyNCwadreQAXnQ7oCoH982DjIA-QnZdO7ZoqkC0/edit#gid=884617569"",""S3 Totals!$A$2:$O$255""),11,FALSE)"),0.058823529411764705)</f>
        <v>0.05882352941</v>
      </c>
      <c r="O2" s="110">
        <f t="shared" ref="O2:O251" si="3">C2-N2</f>
        <v>0.02336825141</v>
      </c>
      <c r="P2" s="16">
        <f>IFERROR(__xludf.DUMMYFUNCTION("VLOOKUP(A2,IMPORTRANGE(""1QZ5UxyNCwadreQAXnQ7oCoH982DjIA-QnZdO7ZoqkC0/edit#gid=884617569"",""S3 Totals!$A$2:$O$255""),13,FALSE)"),1.0)</f>
        <v>1</v>
      </c>
      <c r="Q2" s="15">
        <f>IFERROR(__xludf.DUMMYFUNCTION("VLOOKUP(A2,IMPORTRANGE(""1QZ5UxyNCwadreQAXnQ7oCoH982DjIA-QnZdO7ZoqkC0/edit#gid=884617569"",""S3 Totals!$A$2:$O$255""),14,FALSE)"),0.011764705882352941)</f>
        <v>0.01176470588</v>
      </c>
      <c r="R2" s="110">
        <f t="shared" ref="R2:R251" si="4">C2-Q2</f>
        <v>0.07042707494</v>
      </c>
      <c r="S2" s="144"/>
    </row>
    <row r="3">
      <c r="A3" s="128" t="s">
        <v>89</v>
      </c>
      <c r="B3" s="16">
        <f>IFERROR(__xludf.DUMMYFUNCTION("VLOOKUP(A3,IMPORTRANGE(""1aFCnJY1qhIj8-JckJhDJ18aqmVo17tofpQmOjcYa3u8/edit#gid=1878241338"",""S3 Totals!$A$2:$O$255""),2,FALSE)"),40.0)</f>
        <v>40</v>
      </c>
      <c r="C3" s="15">
        <f>IFERROR(__xludf.DUMMYFUNCTION("VLOOKUP(A3,IMPORTRANGE(""1aFCnJY1qhIj8-JckJhDJ18aqmVo17tofpQmOjcYa3u8/edit#gid=1878241338"",""S3 Totals!$A$2:$O$255""),3,FALSE)"),0.547945205479452)</f>
        <v>0.5479452055</v>
      </c>
      <c r="D3" s="16">
        <f>IFERROR(__xludf.DUMMYFUNCTION("VLOOKUP(A3,IMPORTRANGE(""1QZ5UxyNCwadreQAXnQ7oCoH982DjIA-QnZdO7ZoqkC0/edit#gid=884617569"",""S3 Totals!$A$2:$O$255""),2,FALSE)"),43.0)</f>
        <v>43</v>
      </c>
      <c r="E3" s="15">
        <f>IFERROR(__xludf.DUMMYFUNCTION("VLOOKUP(A3,IMPORTRANGE(""1QZ5UxyNCwadreQAXnQ7oCoH982DjIA-QnZdO7ZoqkC0/edit#gid=884617569"",""S3 Totals!$A$2:$O$255""),3,FALSE)"),0.581081081081081)</f>
        <v>0.5810810811</v>
      </c>
      <c r="F3" s="15">
        <f t="shared" si="1"/>
        <v>-0.0331358756</v>
      </c>
      <c r="G3" s="16">
        <f>IFERROR(__xludf.DUMMYFUNCTION("VLOOKUP(A3,IMPORTRANGE(""1QZ5UxyNCwadreQAXnQ7oCoH982DjIA-QnZdO7ZoqkC0/edit#gid=884617569"",""S3 Totals!$A$2:$O$255""),4,FALSE)"),49.0)</f>
        <v>49</v>
      </c>
      <c r="H3" s="15">
        <f>IFERROR(__xludf.DUMMYFUNCTION("VLOOKUP(A3,IMPORTRANGE(""1QZ5UxyNCwadreQAXnQ7oCoH982DjIA-QnZdO7ZoqkC0/edit#gid=884617569"",""S3 Totals!$A$2:$O$255""),5,FALSE)"),0.620253164556962)</f>
        <v>0.6202531646</v>
      </c>
      <c r="I3" s="143">
        <f t="shared" si="2"/>
        <v>-0.07230795908</v>
      </c>
      <c r="J3" s="16">
        <f>IFERROR(__xludf.DUMMYFUNCTION("VLOOKUP(A3,IMPORTRANGE(""1QZ5UxyNCwadreQAXnQ7oCoH982DjIA-QnZdO7ZoqkC0/edit#gid=884617569"",""S3 Totals!$A$2:$O$255""),7,FALSE)"),43.0)</f>
        <v>43</v>
      </c>
      <c r="K3" s="15">
        <f>IFERROR(__xludf.DUMMYFUNCTION("VLOOKUP(A3,IMPORTRANGE(""1QZ5UxyNCwadreQAXnQ7oCoH982DjIA-QnZdO7ZoqkC0/edit#gid=884617569"",""S3 Totals!$A$2:$O$255""),8,FALSE)"),0.5058823529411764)</f>
        <v>0.5058823529</v>
      </c>
      <c r="L3" s="110">
        <f t="shared" ref="L3:L251" si="5">E3-K3</f>
        <v>0.07519872814</v>
      </c>
      <c r="M3" s="16">
        <f>IFERROR(__xludf.DUMMYFUNCTION("VLOOKUP(A3,IMPORTRANGE(""1QZ5UxyNCwadreQAXnQ7oCoH982DjIA-QnZdO7ZoqkC0/edit#gid=884617569"",""S3 Totals!$A$2:$O$255""),10,FALSE)"),39.0)</f>
        <v>39</v>
      </c>
      <c r="N3" s="15">
        <f>IFERROR(__xludf.DUMMYFUNCTION("VLOOKUP(A3,IMPORTRANGE(""1QZ5UxyNCwadreQAXnQ7oCoH982DjIA-QnZdO7ZoqkC0/edit#gid=884617569"",""S3 Totals!$A$2:$O$255""),11,FALSE)"),0.4588235294117647)</f>
        <v>0.4588235294</v>
      </c>
      <c r="O3" s="110">
        <f t="shared" si="3"/>
        <v>0.08912167607</v>
      </c>
      <c r="P3" s="16">
        <f>IFERROR(__xludf.DUMMYFUNCTION("VLOOKUP(A3,IMPORTRANGE(""1QZ5UxyNCwadreQAXnQ7oCoH982DjIA-QnZdO7ZoqkC0/edit#gid=884617569"",""S3 Totals!$A$2:$O$255""),13,FALSE)"),29.0)</f>
        <v>29</v>
      </c>
      <c r="Q3" s="15">
        <f>IFERROR(__xludf.DUMMYFUNCTION("VLOOKUP(A3,IMPORTRANGE(""1QZ5UxyNCwadreQAXnQ7oCoH982DjIA-QnZdO7ZoqkC0/edit#gid=884617569"",""S3 Totals!$A$2:$O$255""),14,FALSE)"),0.3411764705882353)</f>
        <v>0.3411764706</v>
      </c>
      <c r="R3" s="110">
        <f t="shared" si="4"/>
        <v>0.2067687349</v>
      </c>
      <c r="S3" s="144"/>
    </row>
    <row r="4">
      <c r="A4" s="128" t="s">
        <v>27</v>
      </c>
      <c r="B4" s="16">
        <f>IFERROR(__xludf.DUMMYFUNCTION("VLOOKUP(A4,IMPORTRANGE(""1aFCnJY1qhIj8-JckJhDJ18aqmVo17tofpQmOjcYa3u8/edit#gid=1878241338"",""S3 Totals!$A$2:$O$255""),2,FALSE)"),0.0)</f>
        <v>0</v>
      </c>
      <c r="C4" s="15">
        <f>IFERROR(__xludf.DUMMYFUNCTION("VLOOKUP(A4,IMPORTRANGE(""1aFCnJY1qhIj8-JckJhDJ18aqmVo17tofpQmOjcYa3u8/edit#gid=1878241338"",""S3 Totals!$A$2:$O$255""),3,FALSE)"),0.0)</f>
        <v>0</v>
      </c>
      <c r="D4" s="16">
        <f>IFERROR(__xludf.DUMMYFUNCTION("VLOOKUP(A4,IMPORTRANGE(""1QZ5UxyNCwadreQAXnQ7oCoH982DjIA-QnZdO7ZoqkC0/edit#gid=884617569"",""S3 Totals!$A$2:$O$255""),2,FALSE)"),0.0)</f>
        <v>0</v>
      </c>
      <c r="E4" s="15">
        <f>IFERROR(__xludf.DUMMYFUNCTION("VLOOKUP(A4,IMPORTRANGE(""1QZ5UxyNCwadreQAXnQ7oCoH982DjIA-QnZdO7ZoqkC0/edit#gid=884617569"",""S3 Totals!$A$2:$O$255""),3,FALSE)"),0.0)</f>
        <v>0</v>
      </c>
      <c r="F4" s="15">
        <f t="shared" si="1"/>
        <v>0</v>
      </c>
      <c r="G4" s="16">
        <f>IFERROR(__xludf.DUMMYFUNCTION("VLOOKUP(A4,IMPORTRANGE(""1QZ5UxyNCwadreQAXnQ7oCoH982DjIA-QnZdO7ZoqkC0/edit#gid=884617569"",""S3 Totals!$A$2:$O$255""),4,FALSE)"),0.0)</f>
        <v>0</v>
      </c>
      <c r="H4" s="15">
        <f>IFERROR(__xludf.DUMMYFUNCTION("VLOOKUP(A4,IMPORTRANGE(""1QZ5UxyNCwadreQAXnQ7oCoH982DjIA-QnZdO7ZoqkC0/edit#gid=884617569"",""S3 Totals!$A$2:$O$255""),5,FALSE)"),0.0)</f>
        <v>0</v>
      </c>
      <c r="I4" s="143">
        <f t="shared" si="2"/>
        <v>0</v>
      </c>
      <c r="J4" s="16">
        <f>IFERROR(__xludf.DUMMYFUNCTION("VLOOKUP(A4,IMPORTRANGE(""1QZ5UxyNCwadreQAXnQ7oCoH982DjIA-QnZdO7ZoqkC0/edit#gid=884617569"",""S3 Totals!$A$2:$O$255""),7,FALSE)"),0.0)</f>
        <v>0</v>
      </c>
      <c r="K4" s="15">
        <f>IFERROR(__xludf.DUMMYFUNCTION("VLOOKUP(A4,IMPORTRANGE(""1QZ5UxyNCwadreQAXnQ7oCoH982DjIA-QnZdO7ZoqkC0/edit#gid=884617569"",""S3 Totals!$A$2:$O$255""),8,FALSE)"),0.0)</f>
        <v>0</v>
      </c>
      <c r="L4" s="110">
        <f t="shared" si="5"/>
        <v>0</v>
      </c>
      <c r="M4" s="16">
        <f>IFERROR(__xludf.DUMMYFUNCTION("VLOOKUP(A4,IMPORTRANGE(""1QZ5UxyNCwadreQAXnQ7oCoH982DjIA-QnZdO7ZoqkC0/edit#gid=884617569"",""S3 Totals!$A$2:$O$255""),10,FALSE)"),0.0)</f>
        <v>0</v>
      </c>
      <c r="N4" s="15">
        <f>IFERROR(__xludf.DUMMYFUNCTION("VLOOKUP(A4,IMPORTRANGE(""1QZ5UxyNCwadreQAXnQ7oCoH982DjIA-QnZdO7ZoqkC0/edit#gid=884617569"",""S3 Totals!$A$2:$O$255""),11,FALSE)"),0.0)</f>
        <v>0</v>
      </c>
      <c r="O4" s="110">
        <f t="shared" si="3"/>
        <v>0</v>
      </c>
      <c r="P4" s="16">
        <f>IFERROR(__xludf.DUMMYFUNCTION("VLOOKUP(A4,IMPORTRANGE(""1QZ5UxyNCwadreQAXnQ7oCoH982DjIA-QnZdO7ZoqkC0/edit#gid=884617569"",""S3 Totals!$A$2:$O$255""),13,FALSE)"),0.0)</f>
        <v>0</v>
      </c>
      <c r="Q4" s="15">
        <f>IFERROR(__xludf.DUMMYFUNCTION("VLOOKUP(A4,IMPORTRANGE(""1QZ5UxyNCwadreQAXnQ7oCoH982DjIA-QnZdO7ZoqkC0/edit#gid=884617569"",""S3 Totals!$A$2:$O$255""),14,FALSE)"),0.0)</f>
        <v>0</v>
      </c>
      <c r="R4" s="110">
        <f t="shared" si="4"/>
        <v>0</v>
      </c>
      <c r="S4" s="144"/>
    </row>
    <row r="5">
      <c r="A5" s="130" t="s">
        <v>262</v>
      </c>
      <c r="B5" s="16">
        <f>IFERROR(__xludf.DUMMYFUNCTION("VLOOKUP(A5,IMPORTRANGE(""1aFCnJY1qhIj8-JckJhDJ18aqmVo17tofpQmOjcYa3u8/edit#gid=1878241338"",""S3 Totals!$A$2:$O$255""),2,FALSE)"),0.0)</f>
        <v>0</v>
      </c>
      <c r="C5" s="15">
        <f>IFERROR(__xludf.DUMMYFUNCTION("VLOOKUP(A5,IMPORTRANGE(""1aFCnJY1qhIj8-JckJhDJ18aqmVo17tofpQmOjcYa3u8/edit#gid=1878241338"",""S3 Totals!$A$2:$O$255""),3,FALSE)"),0.0)</f>
        <v>0</v>
      </c>
      <c r="D5" s="16" t="str">
        <f>IFERROR(__xludf.DUMMYFUNCTION("VLOOKUP(A5,IMPORTRANGE(""1QZ5UxyNCwadreQAXnQ7oCoH982DjIA-QnZdO7ZoqkC0/edit#gid=884617569"",""S3 Totals!$A$2:$O$255""),2,FALSE)"),"#N/A")</f>
        <v>#N/A</v>
      </c>
      <c r="E5" s="15" t="str">
        <f>IFERROR(__xludf.DUMMYFUNCTION("VLOOKUP(A5,IMPORTRANGE(""1QZ5UxyNCwadreQAXnQ7oCoH982DjIA-QnZdO7ZoqkC0/edit#gid=884617569"",""S3 Totals!$A$2:$O$255""),3,FALSE)"),"#N/A")</f>
        <v>#N/A</v>
      </c>
      <c r="F5" s="16" t="str">
        <f t="shared" si="1"/>
        <v>#N/A</v>
      </c>
      <c r="G5" s="16" t="str">
        <f>IFERROR(__xludf.DUMMYFUNCTION("VLOOKUP(A5,IMPORTRANGE(""1QZ5UxyNCwadreQAXnQ7oCoH982DjIA-QnZdO7ZoqkC0/edit#gid=884617569"",""S3 Totals!$A$2:$O$255""),4,FALSE)"),"#N/A")</f>
        <v>#N/A</v>
      </c>
      <c r="H5" s="15" t="str">
        <f>IFERROR(__xludf.DUMMYFUNCTION("VLOOKUP(A5,IMPORTRANGE(""1QZ5UxyNCwadreQAXnQ7oCoH982DjIA-QnZdO7ZoqkC0/edit#gid=884617569"",""S3 Totals!$A$2:$O$255""),5,FALSE)"),"#N/A")</f>
        <v>#N/A</v>
      </c>
      <c r="I5" s="143" t="str">
        <f t="shared" si="2"/>
        <v>#N/A</v>
      </c>
      <c r="J5" s="16" t="str">
        <f>IFERROR(__xludf.DUMMYFUNCTION("VLOOKUP(A5,IMPORTRANGE(""1QZ5UxyNCwadreQAXnQ7oCoH982DjIA-QnZdO7ZoqkC0/edit#gid=884617569"",""S3 Totals!$A$2:$O$255""),7,FALSE)"),"#N/A")</f>
        <v>#N/A</v>
      </c>
      <c r="K5" s="15" t="str">
        <f>IFERROR(__xludf.DUMMYFUNCTION("VLOOKUP(A5,IMPORTRANGE(""1QZ5UxyNCwadreQAXnQ7oCoH982DjIA-QnZdO7ZoqkC0/edit#gid=884617569"",""S3 Totals!$A$2:$O$255""),8,FALSE)"),"#N/A")</f>
        <v>#N/A</v>
      </c>
      <c r="L5" s="110" t="str">
        <f t="shared" si="5"/>
        <v>#N/A</v>
      </c>
      <c r="M5" s="16" t="str">
        <f>IFERROR(__xludf.DUMMYFUNCTION("VLOOKUP(A5,IMPORTRANGE(""1QZ5UxyNCwadreQAXnQ7oCoH982DjIA-QnZdO7ZoqkC0/edit#gid=884617569"",""S3 Totals!$A$2:$O$255""),10,FALSE)"),"#N/A")</f>
        <v>#N/A</v>
      </c>
      <c r="N5" s="15" t="str">
        <f>IFERROR(__xludf.DUMMYFUNCTION("VLOOKUP(A5,IMPORTRANGE(""1QZ5UxyNCwadreQAXnQ7oCoH982DjIA-QnZdO7ZoqkC0/edit#gid=884617569"",""S3 Totals!$A$2:$O$255""),11,FALSE)"),"#N/A")</f>
        <v>#N/A</v>
      </c>
      <c r="O5" s="110" t="str">
        <f t="shared" si="3"/>
        <v>#N/A</v>
      </c>
      <c r="P5" s="16" t="str">
        <f>IFERROR(__xludf.DUMMYFUNCTION("VLOOKUP(A5,IMPORTRANGE(""1QZ5UxyNCwadreQAXnQ7oCoH982DjIA-QnZdO7ZoqkC0/edit#gid=884617569"",""S3 Totals!$A$2:$O$255""),13,FALSE)"),"#N/A")</f>
        <v>#N/A</v>
      </c>
      <c r="Q5" s="15" t="str">
        <f>IFERROR(__xludf.DUMMYFUNCTION("VLOOKUP(A5,IMPORTRANGE(""1QZ5UxyNCwadreQAXnQ7oCoH982DjIA-QnZdO7ZoqkC0/edit#gid=884617569"",""S3 Totals!$A$2:$O$255""),14,FALSE)"),"#N/A")</f>
        <v>#N/A</v>
      </c>
      <c r="R5" s="110" t="str">
        <f t="shared" si="4"/>
        <v>#N/A</v>
      </c>
      <c r="S5" s="144"/>
    </row>
    <row r="6">
      <c r="A6" s="128" t="s">
        <v>161</v>
      </c>
      <c r="B6" s="16">
        <f>IFERROR(__xludf.DUMMYFUNCTION("VLOOKUP(A6,IMPORTRANGE(""1aFCnJY1qhIj8-JckJhDJ18aqmVo17tofpQmOjcYa3u8/edit#gid=1878241338"",""S3 Totals!$A$2:$O$255""),2,FALSE)"),18.0)</f>
        <v>18</v>
      </c>
      <c r="C6" s="15">
        <f>IFERROR(__xludf.DUMMYFUNCTION("VLOOKUP(A6,IMPORTRANGE(""1aFCnJY1qhIj8-JckJhDJ18aqmVo17tofpQmOjcYa3u8/edit#gid=1878241338"",""S3 Totals!$A$2:$O$255""),3,FALSE)"),0.2465753424657534)</f>
        <v>0.2465753425</v>
      </c>
      <c r="D6" s="16">
        <f>IFERROR(__xludf.DUMMYFUNCTION("VLOOKUP(A6,IMPORTRANGE(""1QZ5UxyNCwadreQAXnQ7oCoH982DjIA-QnZdO7ZoqkC0/edit#gid=884617569"",""S3 Totals!$A$2:$O$255""),2,FALSE)"),12.0)</f>
        <v>12</v>
      </c>
      <c r="E6" s="15">
        <f>IFERROR(__xludf.DUMMYFUNCTION("VLOOKUP(A6,IMPORTRANGE(""1QZ5UxyNCwadreQAXnQ7oCoH982DjIA-QnZdO7ZoqkC0/edit#gid=884617569"",""S3 Totals!$A$2:$O$255""),3,FALSE)"),0.16216216216216217)</f>
        <v>0.1621621622</v>
      </c>
      <c r="F6" s="15">
        <f t="shared" si="1"/>
        <v>0.0844131803</v>
      </c>
      <c r="G6" s="16">
        <f>IFERROR(__xludf.DUMMYFUNCTION("VLOOKUP(A6,IMPORTRANGE(""1QZ5UxyNCwadreQAXnQ7oCoH982DjIA-QnZdO7ZoqkC0/edit#gid=884617569"",""S3 Totals!$A$2:$O$255""),4,FALSE)"),9.0)</f>
        <v>9</v>
      </c>
      <c r="H6" s="15">
        <f>IFERROR(__xludf.DUMMYFUNCTION("VLOOKUP(A6,IMPORTRANGE(""1QZ5UxyNCwadreQAXnQ7oCoH982DjIA-QnZdO7ZoqkC0/edit#gid=884617569"",""S3 Totals!$A$2:$O$255""),5,FALSE)"),0.11392405063291139)</f>
        <v>0.1139240506</v>
      </c>
      <c r="I6" s="143">
        <f t="shared" si="2"/>
        <v>0.1326512918</v>
      </c>
      <c r="J6" s="16">
        <f>IFERROR(__xludf.DUMMYFUNCTION("VLOOKUP(A6,IMPORTRANGE(""1QZ5UxyNCwadreQAXnQ7oCoH982DjIA-QnZdO7ZoqkC0/edit#gid=884617569"",""S3 Totals!$A$2:$O$255""),7,FALSE)"),9.0)</f>
        <v>9</v>
      </c>
      <c r="K6" s="15">
        <f>IFERROR(__xludf.DUMMYFUNCTION("VLOOKUP(A6,IMPORTRANGE(""1QZ5UxyNCwadreQAXnQ7oCoH982DjIA-QnZdO7ZoqkC0/edit#gid=884617569"",""S3 Totals!$A$2:$O$255""),8,FALSE)"),0.10588235294117647)</f>
        <v>0.1058823529</v>
      </c>
      <c r="L6" s="110">
        <f t="shared" si="5"/>
        <v>0.05627980922</v>
      </c>
      <c r="M6" s="16" t="str">
        <f>IFERROR(__xludf.DUMMYFUNCTION("VLOOKUP(A6,IMPORTRANGE(""1QZ5UxyNCwadreQAXnQ7oCoH982DjIA-QnZdO7ZoqkC0/edit#gid=884617569"",""S3 Totals!$A$2:$O$255""),10,FALSE)"),"")</f>
        <v/>
      </c>
      <c r="N6" s="15" t="str">
        <f>IFERROR(__xludf.DUMMYFUNCTION("VLOOKUP(A6,IMPORTRANGE(""1QZ5UxyNCwadreQAXnQ7oCoH982DjIA-QnZdO7ZoqkC0/edit#gid=884617569"",""S3 Totals!$A$2:$O$255""),11,FALSE)"),"")</f>
        <v/>
      </c>
      <c r="O6" s="110">
        <f t="shared" si="3"/>
        <v>0.2465753425</v>
      </c>
      <c r="P6" s="16" t="str">
        <f>IFERROR(__xludf.DUMMYFUNCTION("VLOOKUP(A6,IMPORTRANGE(""1QZ5UxyNCwadreQAXnQ7oCoH982DjIA-QnZdO7ZoqkC0/edit#gid=884617569"",""S3 Totals!$A$2:$O$255""),13,FALSE)"),"")</f>
        <v/>
      </c>
      <c r="Q6" s="15" t="str">
        <f>IFERROR(__xludf.DUMMYFUNCTION("VLOOKUP(A6,IMPORTRANGE(""1QZ5UxyNCwadreQAXnQ7oCoH982DjIA-QnZdO7ZoqkC0/edit#gid=884617569"",""S3 Totals!$A$2:$O$255""),14,FALSE)"),"")</f>
        <v/>
      </c>
      <c r="R6" s="110">
        <f t="shared" si="4"/>
        <v>0.2465753425</v>
      </c>
      <c r="S6" s="144"/>
    </row>
    <row r="7">
      <c r="A7" s="128" t="s">
        <v>162</v>
      </c>
      <c r="B7" s="16">
        <f>IFERROR(__xludf.DUMMYFUNCTION("VLOOKUP(A7,IMPORTRANGE(""1aFCnJY1qhIj8-JckJhDJ18aqmVo17tofpQmOjcYa3u8/edit#gid=1878241338"",""S3 Totals!$A$2:$O$255""),2,FALSE)"),13.0)</f>
        <v>13</v>
      </c>
      <c r="C7" s="15">
        <f>IFERROR(__xludf.DUMMYFUNCTION("VLOOKUP(A7,IMPORTRANGE(""1aFCnJY1qhIj8-JckJhDJ18aqmVo17tofpQmOjcYa3u8/edit#gid=1878241338"",""S3 Totals!$A$2:$O$255""),3,FALSE)"),0.1780821917808219)</f>
        <v>0.1780821918</v>
      </c>
      <c r="D7" s="16">
        <f>IFERROR(__xludf.DUMMYFUNCTION("VLOOKUP(A7,IMPORTRANGE(""1QZ5UxyNCwadreQAXnQ7oCoH982DjIA-QnZdO7ZoqkC0/edit#gid=884617569"",""S3 Totals!$A$2:$O$255""),2,FALSE)"),18.0)</f>
        <v>18</v>
      </c>
      <c r="E7" s="15">
        <f>IFERROR(__xludf.DUMMYFUNCTION("VLOOKUP(A7,IMPORTRANGE(""1QZ5UxyNCwadreQAXnQ7oCoH982DjIA-QnZdO7ZoqkC0/edit#gid=884617569"",""S3 Totals!$A$2:$O$255""),3,FALSE)"),0.24324324324324326)</f>
        <v>0.2432432432</v>
      </c>
      <c r="F7" s="15">
        <f t="shared" si="1"/>
        <v>-0.06516105146</v>
      </c>
      <c r="G7" s="16">
        <f>IFERROR(__xludf.DUMMYFUNCTION("VLOOKUP(A7,IMPORTRANGE(""1QZ5UxyNCwadreQAXnQ7oCoH982DjIA-QnZdO7ZoqkC0/edit#gid=884617569"",""S3 Totals!$A$2:$O$255""),4,FALSE)"),20.0)</f>
        <v>20</v>
      </c>
      <c r="H7" s="15">
        <f>IFERROR(__xludf.DUMMYFUNCTION("VLOOKUP(A7,IMPORTRANGE(""1QZ5UxyNCwadreQAXnQ7oCoH982DjIA-QnZdO7ZoqkC0/edit#gid=884617569"",""S3 Totals!$A$2:$O$255""),5,FALSE)"),0.25316455696202533)</f>
        <v>0.253164557</v>
      </c>
      <c r="I7" s="143">
        <f t="shared" si="2"/>
        <v>-0.07508236518</v>
      </c>
      <c r="J7" s="16">
        <f>IFERROR(__xludf.DUMMYFUNCTION("VLOOKUP(A7,IMPORTRANGE(""1QZ5UxyNCwadreQAXnQ7oCoH982DjIA-QnZdO7ZoqkC0/edit#gid=884617569"",""S3 Totals!$A$2:$O$255""),7,FALSE)"),17.0)</f>
        <v>17</v>
      </c>
      <c r="K7" s="15">
        <f>IFERROR(__xludf.DUMMYFUNCTION("VLOOKUP(A7,IMPORTRANGE(""1QZ5UxyNCwadreQAXnQ7oCoH982DjIA-QnZdO7ZoqkC0/edit#gid=884617569"",""S3 Totals!$A$2:$O$255""),8,FALSE)"),0.2)</f>
        <v>0.2</v>
      </c>
      <c r="L7" s="110">
        <f t="shared" si="5"/>
        <v>0.04324324324</v>
      </c>
      <c r="M7" s="16" t="str">
        <f>IFERROR(__xludf.DUMMYFUNCTION("VLOOKUP(A7,IMPORTRANGE(""1QZ5UxyNCwadreQAXnQ7oCoH982DjIA-QnZdO7ZoqkC0/edit#gid=884617569"",""S3 Totals!$A$2:$O$255""),10,FALSE)"),"")</f>
        <v/>
      </c>
      <c r="N7" s="15" t="str">
        <f>IFERROR(__xludf.DUMMYFUNCTION("VLOOKUP(A7,IMPORTRANGE(""1QZ5UxyNCwadreQAXnQ7oCoH982DjIA-QnZdO7ZoqkC0/edit#gid=884617569"",""S3 Totals!$A$2:$O$255""),11,FALSE)"),"")</f>
        <v/>
      </c>
      <c r="O7" s="110">
        <f t="shared" si="3"/>
        <v>0.1780821918</v>
      </c>
      <c r="P7" s="16" t="str">
        <f>IFERROR(__xludf.DUMMYFUNCTION("VLOOKUP(A7,IMPORTRANGE(""1QZ5UxyNCwadreQAXnQ7oCoH982DjIA-QnZdO7ZoqkC0/edit#gid=884617569"",""S3 Totals!$A$2:$O$255""),13,FALSE)"),"")</f>
        <v/>
      </c>
      <c r="Q7" s="15" t="str">
        <f>IFERROR(__xludf.DUMMYFUNCTION("VLOOKUP(A7,IMPORTRANGE(""1QZ5UxyNCwadreQAXnQ7oCoH982DjIA-QnZdO7ZoqkC0/edit#gid=884617569"",""S3 Totals!$A$2:$O$255""),14,FALSE)"),"")</f>
        <v/>
      </c>
      <c r="R7" s="110">
        <f t="shared" si="4"/>
        <v>0.1780821918</v>
      </c>
      <c r="S7" s="144"/>
    </row>
    <row r="8">
      <c r="A8" s="128" t="s">
        <v>163</v>
      </c>
      <c r="B8" s="16">
        <f>IFERROR(__xludf.DUMMYFUNCTION("VLOOKUP(A8,IMPORTRANGE(""1aFCnJY1qhIj8-JckJhDJ18aqmVo17tofpQmOjcYa3u8/edit#gid=1878241338"",""S3 Totals!$A$2:$O$255""),2,FALSE)"),2.0)</f>
        <v>2</v>
      </c>
      <c r="C8" s="15">
        <f>IFERROR(__xludf.DUMMYFUNCTION("VLOOKUP(A8,IMPORTRANGE(""1aFCnJY1qhIj8-JckJhDJ18aqmVo17tofpQmOjcYa3u8/edit#gid=1878241338"",""S3 Totals!$A$2:$O$255""),3,FALSE)"),0.0273972602739726)</f>
        <v>0.02739726027</v>
      </c>
      <c r="D8" s="16">
        <f>IFERROR(__xludf.DUMMYFUNCTION("VLOOKUP(A8,IMPORTRANGE(""1QZ5UxyNCwadreQAXnQ7oCoH982DjIA-QnZdO7ZoqkC0/edit#gid=884617569"",""S3 Totals!$A$2:$O$255""),2,FALSE)"),1.0)</f>
        <v>1</v>
      </c>
      <c r="E8" s="15">
        <f>IFERROR(__xludf.DUMMYFUNCTION("VLOOKUP(A8,IMPORTRANGE(""1QZ5UxyNCwadreQAXnQ7oCoH982DjIA-QnZdO7ZoqkC0/edit#gid=884617569"",""S3 Totals!$A$2:$O$255""),3,FALSE)"),0.013513513513513514)</f>
        <v>0.01351351351</v>
      </c>
      <c r="F8" s="15">
        <f t="shared" si="1"/>
        <v>0.01388374676</v>
      </c>
      <c r="G8" s="16">
        <f>IFERROR(__xludf.DUMMYFUNCTION("VLOOKUP(A8,IMPORTRANGE(""1QZ5UxyNCwadreQAXnQ7oCoH982DjIA-QnZdO7ZoqkC0/edit#gid=884617569"",""S3 Totals!$A$2:$O$255""),4,FALSE)"),1.0)</f>
        <v>1</v>
      </c>
      <c r="H8" s="15">
        <f>IFERROR(__xludf.DUMMYFUNCTION("VLOOKUP(A8,IMPORTRANGE(""1QZ5UxyNCwadreQAXnQ7oCoH982DjIA-QnZdO7ZoqkC0/edit#gid=884617569"",""S3 Totals!$A$2:$O$255""),5,FALSE)"),0.012658227848101266)</f>
        <v>0.01265822785</v>
      </c>
      <c r="I8" s="143">
        <f t="shared" si="2"/>
        <v>0.01473903243</v>
      </c>
      <c r="J8" s="16">
        <f>IFERROR(__xludf.DUMMYFUNCTION("VLOOKUP(A8,IMPORTRANGE(""1QZ5UxyNCwadreQAXnQ7oCoH982DjIA-QnZdO7ZoqkC0/edit#gid=884617569"",""S3 Totals!$A$2:$O$255""),7,FALSE)"),1.0)</f>
        <v>1</v>
      </c>
      <c r="K8" s="15">
        <f>IFERROR(__xludf.DUMMYFUNCTION("VLOOKUP(A8,IMPORTRANGE(""1QZ5UxyNCwadreQAXnQ7oCoH982DjIA-QnZdO7ZoqkC0/edit#gid=884617569"",""S3 Totals!$A$2:$O$255""),8,FALSE)"),0.011764705882352941)</f>
        <v>0.01176470588</v>
      </c>
      <c r="L8" s="110">
        <f t="shared" si="5"/>
        <v>0.001748807631</v>
      </c>
      <c r="M8" s="16" t="str">
        <f>IFERROR(__xludf.DUMMYFUNCTION("VLOOKUP(A8,IMPORTRANGE(""1QZ5UxyNCwadreQAXnQ7oCoH982DjIA-QnZdO7ZoqkC0/edit#gid=884617569"",""S3 Totals!$A$2:$O$255""),10,FALSE)"),"")</f>
        <v/>
      </c>
      <c r="N8" s="15" t="str">
        <f>IFERROR(__xludf.DUMMYFUNCTION("VLOOKUP(A8,IMPORTRANGE(""1QZ5UxyNCwadreQAXnQ7oCoH982DjIA-QnZdO7ZoqkC0/edit#gid=884617569"",""S3 Totals!$A$2:$O$255""),11,FALSE)"),"")</f>
        <v/>
      </c>
      <c r="O8" s="110">
        <f t="shared" si="3"/>
        <v>0.02739726027</v>
      </c>
      <c r="P8" s="16" t="str">
        <f>IFERROR(__xludf.DUMMYFUNCTION("VLOOKUP(A8,IMPORTRANGE(""1QZ5UxyNCwadreQAXnQ7oCoH982DjIA-QnZdO7ZoqkC0/edit#gid=884617569"",""S3 Totals!$A$2:$O$255""),13,FALSE)"),"")</f>
        <v/>
      </c>
      <c r="Q8" s="15" t="str">
        <f>IFERROR(__xludf.DUMMYFUNCTION("VLOOKUP(A8,IMPORTRANGE(""1QZ5UxyNCwadreQAXnQ7oCoH982DjIA-QnZdO7ZoqkC0/edit#gid=884617569"",""S3 Totals!$A$2:$O$255""),14,FALSE)"),"")</f>
        <v/>
      </c>
      <c r="R8" s="110">
        <f t="shared" si="4"/>
        <v>0.02739726027</v>
      </c>
      <c r="S8" s="144"/>
    </row>
    <row r="9">
      <c r="A9" s="128" t="s">
        <v>23</v>
      </c>
      <c r="B9" s="16">
        <f>IFERROR(__xludf.DUMMYFUNCTION("VLOOKUP(A9,IMPORTRANGE(""1aFCnJY1qhIj8-JckJhDJ18aqmVo17tofpQmOjcYa3u8/edit#gid=1878241338"",""S3 Totals!$A$2:$O$255""),2,FALSE)"),15.0)</f>
        <v>15</v>
      </c>
      <c r="C9" s="15">
        <f>IFERROR(__xludf.DUMMYFUNCTION("VLOOKUP(A9,IMPORTRANGE(""1aFCnJY1qhIj8-JckJhDJ18aqmVo17tofpQmOjcYa3u8/edit#gid=1878241338"",""S3 Totals!$A$2:$O$255""),3,FALSE)"),0.2054794520547945)</f>
        <v>0.2054794521</v>
      </c>
      <c r="D9" s="16">
        <f>IFERROR(__xludf.DUMMYFUNCTION("VLOOKUP(A9,IMPORTRANGE(""1QZ5UxyNCwadreQAXnQ7oCoH982DjIA-QnZdO7ZoqkC0/edit#gid=884617569"",""S3 Totals!$A$2:$O$255""),2,FALSE)"),16.0)</f>
        <v>16</v>
      </c>
      <c r="E9" s="15">
        <f>IFERROR(__xludf.DUMMYFUNCTION("VLOOKUP(A9,IMPORTRANGE(""1QZ5UxyNCwadreQAXnQ7oCoH982DjIA-QnZdO7ZoqkC0/edit#gid=884617569"",""S3 Totals!$A$2:$O$255""),3,FALSE)"),0.21621621621621623)</f>
        <v>0.2162162162</v>
      </c>
      <c r="F9" s="15">
        <f t="shared" si="1"/>
        <v>-0.01073676416</v>
      </c>
      <c r="G9" s="16">
        <f>IFERROR(__xludf.DUMMYFUNCTION("VLOOKUP(A9,IMPORTRANGE(""1QZ5UxyNCwadreQAXnQ7oCoH982DjIA-QnZdO7ZoqkC0/edit#gid=884617569"",""S3 Totals!$A$2:$O$255""),4,FALSE)"),15.0)</f>
        <v>15</v>
      </c>
      <c r="H9" s="15">
        <f>IFERROR(__xludf.DUMMYFUNCTION("VLOOKUP(A9,IMPORTRANGE(""1QZ5UxyNCwadreQAXnQ7oCoH982DjIA-QnZdO7ZoqkC0/edit#gid=884617569"",""S3 Totals!$A$2:$O$255""),5,FALSE)"),0.189873417721519)</f>
        <v>0.1898734177</v>
      </c>
      <c r="I9" s="143">
        <f t="shared" si="2"/>
        <v>0.01560603433</v>
      </c>
      <c r="J9" s="16">
        <f>IFERROR(__xludf.DUMMYFUNCTION("VLOOKUP(A9,IMPORTRANGE(""1QZ5UxyNCwadreQAXnQ7oCoH982DjIA-QnZdO7ZoqkC0/edit#gid=884617569"",""S3 Totals!$A$2:$O$255""),7,FALSE)"),0.0)</f>
        <v>0</v>
      </c>
      <c r="K9" s="15">
        <f>IFERROR(__xludf.DUMMYFUNCTION("VLOOKUP(A9,IMPORTRANGE(""1QZ5UxyNCwadreQAXnQ7oCoH982DjIA-QnZdO7ZoqkC0/edit#gid=884617569"",""S3 Totals!$A$2:$O$255""),8,FALSE)"),0.0)</f>
        <v>0</v>
      </c>
      <c r="L9" s="110">
        <f t="shared" si="5"/>
        <v>0.2162162162</v>
      </c>
      <c r="M9" s="16">
        <f>IFERROR(__xludf.DUMMYFUNCTION("VLOOKUP(A9,IMPORTRANGE(""1QZ5UxyNCwadreQAXnQ7oCoH982DjIA-QnZdO7ZoqkC0/edit#gid=884617569"",""S3 Totals!$A$2:$O$255""),10,FALSE)"),0.0)</f>
        <v>0</v>
      </c>
      <c r="N9" s="15">
        <f>IFERROR(__xludf.DUMMYFUNCTION("VLOOKUP(A9,IMPORTRANGE(""1QZ5UxyNCwadreQAXnQ7oCoH982DjIA-QnZdO7ZoqkC0/edit#gid=884617569"",""S3 Totals!$A$2:$O$255""),11,FALSE)"),0.0)</f>
        <v>0</v>
      </c>
      <c r="O9" s="110">
        <f t="shared" si="3"/>
        <v>0.2054794521</v>
      </c>
      <c r="P9" s="16">
        <f>IFERROR(__xludf.DUMMYFUNCTION("VLOOKUP(A9,IMPORTRANGE(""1QZ5UxyNCwadreQAXnQ7oCoH982DjIA-QnZdO7ZoqkC0/edit#gid=884617569"",""S3 Totals!$A$2:$O$255""),13,FALSE)"),0.0)</f>
        <v>0</v>
      </c>
      <c r="Q9" s="15">
        <f>IFERROR(__xludf.DUMMYFUNCTION("VLOOKUP(A9,IMPORTRANGE(""1QZ5UxyNCwadreQAXnQ7oCoH982DjIA-QnZdO7ZoqkC0/edit#gid=884617569"",""S3 Totals!$A$2:$O$255""),14,FALSE)"),0.0)</f>
        <v>0</v>
      </c>
      <c r="R9" s="110">
        <f t="shared" si="4"/>
        <v>0.2054794521</v>
      </c>
      <c r="S9" s="144"/>
    </row>
    <row r="10">
      <c r="A10" s="128" t="s">
        <v>24</v>
      </c>
      <c r="B10" s="16">
        <f>IFERROR(__xludf.DUMMYFUNCTION("VLOOKUP(A10,IMPORTRANGE(""1aFCnJY1qhIj8-JckJhDJ18aqmVo17tofpQmOjcYa3u8/edit#gid=1878241338"",""S3 Totals!$A$2:$O$255""),2,FALSE)"),1.0)</f>
        <v>1</v>
      </c>
      <c r="C10" s="15">
        <f>IFERROR(__xludf.DUMMYFUNCTION("VLOOKUP(A10,IMPORTRANGE(""1aFCnJY1qhIj8-JckJhDJ18aqmVo17tofpQmOjcYa3u8/edit#gid=1878241338"",""S3 Totals!$A$2:$O$255""),3,FALSE)"),0.0136986301369863)</f>
        <v>0.01369863014</v>
      </c>
      <c r="D10" s="16">
        <f>IFERROR(__xludf.DUMMYFUNCTION("VLOOKUP(A10,IMPORTRANGE(""1QZ5UxyNCwadreQAXnQ7oCoH982DjIA-QnZdO7ZoqkC0/edit#gid=884617569"",""S3 Totals!$A$2:$O$255""),2,FALSE)"),1.0)</f>
        <v>1</v>
      </c>
      <c r="E10" s="15">
        <f>IFERROR(__xludf.DUMMYFUNCTION("VLOOKUP(A10,IMPORTRANGE(""1QZ5UxyNCwadreQAXnQ7oCoH982DjIA-QnZdO7ZoqkC0/edit#gid=884617569"",""S3 Totals!$A$2:$O$255""),3,FALSE)"),0.013513513513513514)</f>
        <v>0.01351351351</v>
      </c>
      <c r="F10" s="15">
        <f t="shared" si="1"/>
        <v>0.0001851166235</v>
      </c>
      <c r="G10" s="16">
        <f>IFERROR(__xludf.DUMMYFUNCTION("VLOOKUP(A10,IMPORTRANGE(""1QZ5UxyNCwadreQAXnQ7oCoH982DjIA-QnZdO7ZoqkC0/edit#gid=884617569"",""S3 Totals!$A$2:$O$255""),4,FALSE)"),1.0)</f>
        <v>1</v>
      </c>
      <c r="H10" s="15">
        <f>IFERROR(__xludf.DUMMYFUNCTION("VLOOKUP(A10,IMPORTRANGE(""1QZ5UxyNCwadreQAXnQ7oCoH982DjIA-QnZdO7ZoqkC0/edit#gid=884617569"",""S3 Totals!$A$2:$O$255""),5,FALSE)"),0.012658227848101266)</f>
        <v>0.01265822785</v>
      </c>
      <c r="I10" s="143">
        <f t="shared" si="2"/>
        <v>0.001040402289</v>
      </c>
      <c r="J10" s="16">
        <f>IFERROR(__xludf.DUMMYFUNCTION("VLOOKUP(A10,IMPORTRANGE(""1QZ5UxyNCwadreQAXnQ7oCoH982DjIA-QnZdO7ZoqkC0/edit#gid=884617569"",""S3 Totals!$A$2:$O$255""),7,FALSE)"),0.0)</f>
        <v>0</v>
      </c>
      <c r="K10" s="15">
        <f>IFERROR(__xludf.DUMMYFUNCTION("VLOOKUP(A10,IMPORTRANGE(""1QZ5UxyNCwadreQAXnQ7oCoH982DjIA-QnZdO7ZoqkC0/edit#gid=884617569"",""S3 Totals!$A$2:$O$255""),8,FALSE)"),0.0)</f>
        <v>0</v>
      </c>
      <c r="L10" s="110">
        <f t="shared" si="5"/>
        <v>0.01351351351</v>
      </c>
      <c r="M10" s="16">
        <f>IFERROR(__xludf.DUMMYFUNCTION("VLOOKUP(A10,IMPORTRANGE(""1QZ5UxyNCwadreQAXnQ7oCoH982DjIA-QnZdO7ZoqkC0/edit#gid=884617569"",""S3 Totals!$A$2:$O$255""),10,FALSE)"),0.0)</f>
        <v>0</v>
      </c>
      <c r="N10" s="15">
        <f>IFERROR(__xludf.DUMMYFUNCTION("VLOOKUP(A10,IMPORTRANGE(""1QZ5UxyNCwadreQAXnQ7oCoH982DjIA-QnZdO7ZoqkC0/edit#gid=884617569"",""S3 Totals!$A$2:$O$255""),11,FALSE)"),0.0)</f>
        <v>0</v>
      </c>
      <c r="O10" s="110">
        <f t="shared" si="3"/>
        <v>0.01369863014</v>
      </c>
      <c r="P10" s="16">
        <f>IFERROR(__xludf.DUMMYFUNCTION("VLOOKUP(A10,IMPORTRANGE(""1QZ5UxyNCwadreQAXnQ7oCoH982DjIA-QnZdO7ZoqkC0/edit#gid=884617569"",""S3 Totals!$A$2:$O$255""),13,FALSE)"),0.0)</f>
        <v>0</v>
      </c>
      <c r="Q10" s="15">
        <f>IFERROR(__xludf.DUMMYFUNCTION("VLOOKUP(A10,IMPORTRANGE(""1QZ5UxyNCwadreQAXnQ7oCoH982DjIA-QnZdO7ZoqkC0/edit#gid=884617569"",""S3 Totals!$A$2:$O$255""),14,FALSE)"),0.0)</f>
        <v>0</v>
      </c>
      <c r="R10" s="110">
        <f t="shared" si="4"/>
        <v>0.01369863014</v>
      </c>
      <c r="S10" s="144"/>
    </row>
    <row r="11">
      <c r="A11" s="128" t="s">
        <v>113</v>
      </c>
      <c r="B11" s="16">
        <f>IFERROR(__xludf.DUMMYFUNCTION("VLOOKUP(A11,IMPORTRANGE(""1aFCnJY1qhIj8-JckJhDJ18aqmVo17tofpQmOjcYa3u8/edit#gid=1878241338"",""S3 Totals!$A$2:$O$255""),2,FALSE)"),0.0)</f>
        <v>0</v>
      </c>
      <c r="C11" s="15">
        <f>IFERROR(__xludf.DUMMYFUNCTION("VLOOKUP(A11,IMPORTRANGE(""1aFCnJY1qhIj8-JckJhDJ18aqmVo17tofpQmOjcYa3u8/edit#gid=1878241338"",""S3 Totals!$A$2:$O$255""),3,FALSE)"),0.0)</f>
        <v>0</v>
      </c>
      <c r="D11" s="16">
        <f>IFERROR(__xludf.DUMMYFUNCTION("VLOOKUP(A11,IMPORTRANGE(""1QZ5UxyNCwadreQAXnQ7oCoH982DjIA-QnZdO7ZoqkC0/edit#gid=884617569"",""S3 Totals!$A$2:$O$255""),2,FALSE)"),0.0)</f>
        <v>0</v>
      </c>
      <c r="E11" s="15">
        <f>IFERROR(__xludf.DUMMYFUNCTION("VLOOKUP(A11,IMPORTRANGE(""1QZ5UxyNCwadreQAXnQ7oCoH982DjIA-QnZdO7ZoqkC0/edit#gid=884617569"",""S3 Totals!$A$2:$O$255""),3,FALSE)"),0.0)</f>
        <v>0</v>
      </c>
      <c r="F11" s="15">
        <f t="shared" si="1"/>
        <v>0</v>
      </c>
      <c r="G11" s="16">
        <f>IFERROR(__xludf.DUMMYFUNCTION("VLOOKUP(A11,IMPORTRANGE(""1QZ5UxyNCwadreQAXnQ7oCoH982DjIA-QnZdO7ZoqkC0/edit#gid=884617569"",""S3 Totals!$A$2:$O$255""),4,FALSE)"),0.0)</f>
        <v>0</v>
      </c>
      <c r="H11" s="15">
        <f>IFERROR(__xludf.DUMMYFUNCTION("VLOOKUP(A11,IMPORTRANGE(""1QZ5UxyNCwadreQAXnQ7oCoH982DjIA-QnZdO7ZoqkC0/edit#gid=884617569"",""S3 Totals!$A$2:$O$255""),5,FALSE)"),0.0)</f>
        <v>0</v>
      </c>
      <c r="I11" s="143">
        <f t="shared" si="2"/>
        <v>0</v>
      </c>
      <c r="J11" s="16">
        <f>IFERROR(__xludf.DUMMYFUNCTION("VLOOKUP(A11,IMPORTRANGE(""1QZ5UxyNCwadreQAXnQ7oCoH982DjIA-QnZdO7ZoqkC0/edit#gid=884617569"",""S3 Totals!$A$2:$O$255""),7,FALSE)"),0.0)</f>
        <v>0</v>
      </c>
      <c r="K11" s="15">
        <f>IFERROR(__xludf.DUMMYFUNCTION("VLOOKUP(A11,IMPORTRANGE(""1QZ5UxyNCwadreQAXnQ7oCoH982DjIA-QnZdO7ZoqkC0/edit#gid=884617569"",""S3 Totals!$A$2:$O$255""),8,FALSE)"),0.0)</f>
        <v>0</v>
      </c>
      <c r="L11" s="110">
        <f t="shared" si="5"/>
        <v>0</v>
      </c>
      <c r="M11" s="16">
        <f>IFERROR(__xludf.DUMMYFUNCTION("VLOOKUP(A11,IMPORTRANGE(""1QZ5UxyNCwadreQAXnQ7oCoH982DjIA-QnZdO7ZoqkC0/edit#gid=884617569"",""S3 Totals!$A$2:$O$255""),10,FALSE)"),0.0)</f>
        <v>0</v>
      </c>
      <c r="N11" s="15">
        <f>IFERROR(__xludf.DUMMYFUNCTION("VLOOKUP(A11,IMPORTRANGE(""1QZ5UxyNCwadreQAXnQ7oCoH982DjIA-QnZdO7ZoqkC0/edit#gid=884617569"",""S3 Totals!$A$2:$O$255""),11,FALSE)"),0.0)</f>
        <v>0</v>
      </c>
      <c r="O11" s="110">
        <f t="shared" si="3"/>
        <v>0</v>
      </c>
      <c r="P11" s="16" t="str">
        <f>IFERROR(__xludf.DUMMYFUNCTION("VLOOKUP(A11,IMPORTRANGE(""1QZ5UxyNCwadreQAXnQ7oCoH982DjIA-QnZdO7ZoqkC0/edit#gid=884617569"",""S3 Totals!$A$2:$O$255""),13,FALSE)"),"")</f>
        <v/>
      </c>
      <c r="Q11" s="15" t="str">
        <f>IFERROR(__xludf.DUMMYFUNCTION("VLOOKUP(A11,IMPORTRANGE(""1QZ5UxyNCwadreQAXnQ7oCoH982DjIA-QnZdO7ZoqkC0/edit#gid=884617569"",""S3 Totals!$A$2:$O$255""),14,FALSE)"),"")</f>
        <v/>
      </c>
      <c r="R11" s="110">
        <f t="shared" si="4"/>
        <v>0</v>
      </c>
      <c r="S11" s="144"/>
    </row>
    <row r="12">
      <c r="A12" s="128" t="s">
        <v>25</v>
      </c>
      <c r="B12" s="16">
        <f>IFERROR(__xludf.DUMMYFUNCTION("VLOOKUP(A12,IMPORTRANGE(""1aFCnJY1qhIj8-JckJhDJ18aqmVo17tofpQmOjcYa3u8/edit#gid=1878241338"",""S3 Totals!$A$2:$O$255""),2,FALSE)"),1.0)</f>
        <v>1</v>
      </c>
      <c r="C12" s="15">
        <f>IFERROR(__xludf.DUMMYFUNCTION("VLOOKUP(A12,IMPORTRANGE(""1aFCnJY1qhIj8-JckJhDJ18aqmVo17tofpQmOjcYa3u8/edit#gid=1878241338"",""S3 Totals!$A$2:$O$255""),3,FALSE)"),0.0136986301369863)</f>
        <v>0.01369863014</v>
      </c>
      <c r="D12" s="16">
        <f>IFERROR(__xludf.DUMMYFUNCTION("VLOOKUP(A12,IMPORTRANGE(""1QZ5UxyNCwadreQAXnQ7oCoH982DjIA-QnZdO7ZoqkC0/edit#gid=884617569"",""S3 Totals!$A$2:$O$255""),2,FALSE)"),0.0)</f>
        <v>0</v>
      </c>
      <c r="E12" s="15">
        <f>IFERROR(__xludf.DUMMYFUNCTION("VLOOKUP(A12,IMPORTRANGE(""1QZ5UxyNCwadreQAXnQ7oCoH982DjIA-QnZdO7ZoqkC0/edit#gid=884617569"",""S3 Totals!$A$2:$O$255""),3,FALSE)"),0.0)</f>
        <v>0</v>
      </c>
      <c r="F12" s="15">
        <f t="shared" si="1"/>
        <v>0.01369863014</v>
      </c>
      <c r="G12" s="16">
        <f>IFERROR(__xludf.DUMMYFUNCTION("VLOOKUP(A12,IMPORTRANGE(""1QZ5UxyNCwadreQAXnQ7oCoH982DjIA-QnZdO7ZoqkC0/edit#gid=884617569"",""S3 Totals!$A$2:$O$255""),4,FALSE)"),26.0)</f>
        <v>26</v>
      </c>
      <c r="H12" s="15">
        <f>IFERROR(__xludf.DUMMYFUNCTION("VLOOKUP(A12,IMPORTRANGE(""1QZ5UxyNCwadreQAXnQ7oCoH982DjIA-QnZdO7ZoqkC0/edit#gid=884617569"",""S3 Totals!$A$2:$O$255""),5,FALSE)"),0.3291139240506329)</f>
        <v>0.3291139241</v>
      </c>
      <c r="I12" s="143">
        <f t="shared" si="2"/>
        <v>-0.3154152939</v>
      </c>
      <c r="J12" s="16">
        <f>IFERROR(__xludf.DUMMYFUNCTION("VLOOKUP(A12,IMPORTRANGE(""1QZ5UxyNCwadreQAXnQ7oCoH982DjIA-QnZdO7ZoqkC0/edit#gid=884617569"",""S3 Totals!$A$2:$O$255""),7,FALSE)"),0.0)</f>
        <v>0</v>
      </c>
      <c r="K12" s="15">
        <f>IFERROR(__xludf.DUMMYFUNCTION("VLOOKUP(A12,IMPORTRANGE(""1QZ5UxyNCwadreQAXnQ7oCoH982DjIA-QnZdO7ZoqkC0/edit#gid=884617569"",""S3 Totals!$A$2:$O$255""),8,FALSE)"),0.0)</f>
        <v>0</v>
      </c>
      <c r="L12" s="110">
        <f t="shared" si="5"/>
        <v>0</v>
      </c>
      <c r="M12" s="16">
        <f>IFERROR(__xludf.DUMMYFUNCTION("VLOOKUP(A12,IMPORTRANGE(""1QZ5UxyNCwadreQAXnQ7oCoH982DjIA-QnZdO7ZoqkC0/edit#gid=884617569"",""S3 Totals!$A$2:$O$255""),10,FALSE)"),0.0)</f>
        <v>0</v>
      </c>
      <c r="N12" s="15">
        <f>IFERROR(__xludf.DUMMYFUNCTION("VLOOKUP(A12,IMPORTRANGE(""1QZ5UxyNCwadreQAXnQ7oCoH982DjIA-QnZdO7ZoqkC0/edit#gid=884617569"",""S3 Totals!$A$2:$O$255""),11,FALSE)"),0.0)</f>
        <v>0</v>
      </c>
      <c r="O12" s="110">
        <f t="shared" si="3"/>
        <v>0.01369863014</v>
      </c>
      <c r="P12" s="16">
        <f>IFERROR(__xludf.DUMMYFUNCTION("VLOOKUP(A12,IMPORTRANGE(""1QZ5UxyNCwadreQAXnQ7oCoH982DjIA-QnZdO7ZoqkC0/edit#gid=884617569"",""S3 Totals!$A$2:$O$255""),13,FALSE)"),0.0)</f>
        <v>0</v>
      </c>
      <c r="Q12" s="15">
        <f>IFERROR(__xludf.DUMMYFUNCTION("VLOOKUP(A12,IMPORTRANGE(""1QZ5UxyNCwadreQAXnQ7oCoH982DjIA-QnZdO7ZoqkC0/edit#gid=884617569"",""S3 Totals!$A$2:$O$255""),14,FALSE)"),0.0)</f>
        <v>0</v>
      </c>
      <c r="R12" s="110">
        <f t="shared" si="4"/>
        <v>0.01369863014</v>
      </c>
      <c r="S12" s="144"/>
    </row>
    <row r="13">
      <c r="A13" s="128" t="s">
        <v>210</v>
      </c>
      <c r="B13" s="16">
        <f>IFERROR(__xludf.DUMMYFUNCTION("VLOOKUP(A13,IMPORTRANGE(""1aFCnJY1qhIj8-JckJhDJ18aqmVo17tofpQmOjcYa3u8/edit#gid=1878241338"",""S3 Totals!$A$2:$O$255""),2,FALSE)"),1.0)</f>
        <v>1</v>
      </c>
      <c r="C13" s="15">
        <f>IFERROR(__xludf.DUMMYFUNCTION("VLOOKUP(A13,IMPORTRANGE(""1aFCnJY1qhIj8-JckJhDJ18aqmVo17tofpQmOjcYa3u8/edit#gid=1878241338"",""S3 Totals!$A$2:$O$255""),3,FALSE)"),0.0136986301369863)</f>
        <v>0.01369863014</v>
      </c>
      <c r="D13" s="16">
        <f>IFERROR(__xludf.DUMMYFUNCTION("VLOOKUP(A13,IMPORTRANGE(""1QZ5UxyNCwadreQAXnQ7oCoH982DjIA-QnZdO7ZoqkC0/edit#gid=884617569"",""S3 Totals!$A$2:$O$255""),2,FALSE)"),1.0)</f>
        <v>1</v>
      </c>
      <c r="E13" s="15">
        <f>IFERROR(__xludf.DUMMYFUNCTION("VLOOKUP(A13,IMPORTRANGE(""1QZ5UxyNCwadreQAXnQ7oCoH982DjIA-QnZdO7ZoqkC0/edit#gid=884617569"",""S3 Totals!$A$2:$O$255""),3,FALSE)"),0.013513513513513514)</f>
        <v>0.01351351351</v>
      </c>
      <c r="F13" s="15">
        <f t="shared" si="1"/>
        <v>0.0001851166235</v>
      </c>
      <c r="G13" s="16">
        <f>IFERROR(__xludf.DUMMYFUNCTION("VLOOKUP(A13,IMPORTRANGE(""1QZ5UxyNCwadreQAXnQ7oCoH982DjIA-QnZdO7ZoqkC0/edit#gid=884617569"",""S3 Totals!$A$2:$O$255""),4,FALSE)"),1.0)</f>
        <v>1</v>
      </c>
      <c r="H13" s="15">
        <f>IFERROR(__xludf.DUMMYFUNCTION("VLOOKUP(A13,IMPORTRANGE(""1QZ5UxyNCwadreQAXnQ7oCoH982DjIA-QnZdO7ZoqkC0/edit#gid=884617569"",""S3 Totals!$A$2:$O$255""),5,FALSE)"),0.012658227848101266)</f>
        <v>0.01265822785</v>
      </c>
      <c r="I13" s="143">
        <f t="shared" si="2"/>
        <v>0.001040402289</v>
      </c>
      <c r="J13" s="16" t="str">
        <f>IFERROR(__xludf.DUMMYFUNCTION("VLOOKUP(A13,IMPORTRANGE(""1QZ5UxyNCwadreQAXnQ7oCoH982DjIA-QnZdO7ZoqkC0/edit#gid=884617569"",""S3 Totals!$A$2:$O$255""),7,FALSE)"),"")</f>
        <v/>
      </c>
      <c r="K13" s="15" t="str">
        <f>IFERROR(__xludf.DUMMYFUNCTION("VLOOKUP(A13,IMPORTRANGE(""1QZ5UxyNCwadreQAXnQ7oCoH982DjIA-QnZdO7ZoqkC0/edit#gid=884617569"",""S3 Totals!$A$2:$O$255""),8,FALSE)"),"")</f>
        <v/>
      </c>
      <c r="L13" s="110">
        <f t="shared" si="5"/>
        <v>0.01351351351</v>
      </c>
      <c r="M13" s="16" t="str">
        <f>IFERROR(__xludf.DUMMYFUNCTION("VLOOKUP(A13,IMPORTRANGE(""1QZ5UxyNCwadreQAXnQ7oCoH982DjIA-QnZdO7ZoqkC0/edit#gid=884617569"",""S3 Totals!$A$2:$O$255""),10,FALSE)"),"")</f>
        <v/>
      </c>
      <c r="N13" s="15" t="str">
        <f>IFERROR(__xludf.DUMMYFUNCTION("VLOOKUP(A13,IMPORTRANGE(""1QZ5UxyNCwadreQAXnQ7oCoH982DjIA-QnZdO7ZoqkC0/edit#gid=884617569"",""S3 Totals!$A$2:$O$255""),11,FALSE)"),"")</f>
        <v/>
      </c>
      <c r="O13" s="110">
        <f t="shared" si="3"/>
        <v>0.01369863014</v>
      </c>
      <c r="P13" s="16" t="str">
        <f>IFERROR(__xludf.DUMMYFUNCTION("VLOOKUP(A13,IMPORTRANGE(""1QZ5UxyNCwadreQAXnQ7oCoH982DjIA-QnZdO7ZoqkC0/edit#gid=884617569"",""S3 Totals!$A$2:$O$255""),13,FALSE)"),"")</f>
        <v/>
      </c>
      <c r="Q13" s="15" t="str">
        <f>IFERROR(__xludf.DUMMYFUNCTION("VLOOKUP(A13,IMPORTRANGE(""1QZ5UxyNCwadreQAXnQ7oCoH982DjIA-QnZdO7ZoqkC0/edit#gid=884617569"",""S3 Totals!$A$2:$O$255""),14,FALSE)"),"")</f>
        <v/>
      </c>
      <c r="R13" s="110">
        <f t="shared" si="4"/>
        <v>0.01369863014</v>
      </c>
      <c r="S13" s="144"/>
    </row>
    <row r="14">
      <c r="A14" s="128" t="s">
        <v>26</v>
      </c>
      <c r="B14" s="16">
        <f>IFERROR(__xludf.DUMMYFUNCTION("VLOOKUP(A14,IMPORTRANGE(""1aFCnJY1qhIj8-JckJhDJ18aqmVo17tofpQmOjcYa3u8/edit#gid=1878241338"",""S3 Totals!$A$2:$O$255""),2,FALSE)"),0.0)</f>
        <v>0</v>
      </c>
      <c r="C14" s="15">
        <f>IFERROR(__xludf.DUMMYFUNCTION("VLOOKUP(A14,IMPORTRANGE(""1aFCnJY1qhIj8-JckJhDJ18aqmVo17tofpQmOjcYa3u8/edit#gid=1878241338"",""S3 Totals!$A$2:$O$255""),3,FALSE)"),0.0)</f>
        <v>0</v>
      </c>
      <c r="D14" s="16">
        <f>IFERROR(__xludf.DUMMYFUNCTION("VLOOKUP(A14,IMPORTRANGE(""1QZ5UxyNCwadreQAXnQ7oCoH982DjIA-QnZdO7ZoqkC0/edit#gid=884617569"",""S3 Totals!$A$2:$O$255""),2,FALSE)"),0.0)</f>
        <v>0</v>
      </c>
      <c r="E14" s="15">
        <f>IFERROR(__xludf.DUMMYFUNCTION("VLOOKUP(A14,IMPORTRANGE(""1QZ5UxyNCwadreQAXnQ7oCoH982DjIA-QnZdO7ZoqkC0/edit#gid=884617569"",""S3 Totals!$A$2:$O$255""),3,FALSE)"),0.0)</f>
        <v>0</v>
      </c>
      <c r="F14" s="15">
        <f t="shared" si="1"/>
        <v>0</v>
      </c>
      <c r="G14" s="16">
        <f>IFERROR(__xludf.DUMMYFUNCTION("VLOOKUP(A14,IMPORTRANGE(""1QZ5UxyNCwadreQAXnQ7oCoH982DjIA-QnZdO7ZoqkC0/edit#gid=884617569"",""S3 Totals!$A$2:$O$255""),4,FALSE)"),0.0)</f>
        <v>0</v>
      </c>
      <c r="H14" s="15">
        <f>IFERROR(__xludf.DUMMYFUNCTION("VLOOKUP(A14,IMPORTRANGE(""1QZ5UxyNCwadreQAXnQ7oCoH982DjIA-QnZdO7ZoqkC0/edit#gid=884617569"",""S3 Totals!$A$2:$O$255""),5,FALSE)"),0.0)</f>
        <v>0</v>
      </c>
      <c r="I14" s="143">
        <f t="shared" si="2"/>
        <v>0</v>
      </c>
      <c r="J14" s="16">
        <f>IFERROR(__xludf.DUMMYFUNCTION("VLOOKUP(A14,IMPORTRANGE(""1QZ5UxyNCwadreQAXnQ7oCoH982DjIA-QnZdO7ZoqkC0/edit#gid=884617569"",""S3 Totals!$A$2:$O$255""),7,FALSE)"),0.0)</f>
        <v>0</v>
      </c>
      <c r="K14" s="15">
        <f>IFERROR(__xludf.DUMMYFUNCTION("VLOOKUP(A14,IMPORTRANGE(""1QZ5UxyNCwadreQAXnQ7oCoH982DjIA-QnZdO7ZoqkC0/edit#gid=884617569"",""S3 Totals!$A$2:$O$255""),8,FALSE)"),0.0)</f>
        <v>0</v>
      </c>
      <c r="L14" s="110">
        <f t="shared" si="5"/>
        <v>0</v>
      </c>
      <c r="M14" s="16">
        <f>IFERROR(__xludf.DUMMYFUNCTION("VLOOKUP(A14,IMPORTRANGE(""1QZ5UxyNCwadreQAXnQ7oCoH982DjIA-QnZdO7ZoqkC0/edit#gid=884617569"",""S3 Totals!$A$2:$O$255""),10,FALSE)"),0.0)</f>
        <v>0</v>
      </c>
      <c r="N14" s="15">
        <f>IFERROR(__xludf.DUMMYFUNCTION("VLOOKUP(A14,IMPORTRANGE(""1QZ5UxyNCwadreQAXnQ7oCoH982DjIA-QnZdO7ZoqkC0/edit#gid=884617569"",""S3 Totals!$A$2:$O$255""),11,FALSE)"),0.0)</f>
        <v>0</v>
      </c>
      <c r="O14" s="110">
        <f t="shared" si="3"/>
        <v>0</v>
      </c>
      <c r="P14" s="16">
        <f>IFERROR(__xludf.DUMMYFUNCTION("VLOOKUP(A14,IMPORTRANGE(""1QZ5UxyNCwadreQAXnQ7oCoH982DjIA-QnZdO7ZoqkC0/edit#gid=884617569"",""S3 Totals!$A$2:$O$255""),13,FALSE)"),1.0)</f>
        <v>1</v>
      </c>
      <c r="Q14" s="15">
        <f>IFERROR(__xludf.DUMMYFUNCTION("VLOOKUP(A14,IMPORTRANGE(""1QZ5UxyNCwadreQAXnQ7oCoH982DjIA-QnZdO7ZoqkC0/edit#gid=884617569"",""S3 Totals!$A$2:$O$255""),14,FALSE)"),0.011764705882352941)</f>
        <v>0.01176470588</v>
      </c>
      <c r="R14" s="110">
        <f t="shared" si="4"/>
        <v>-0.01176470588</v>
      </c>
      <c r="S14" s="144"/>
    </row>
    <row r="15">
      <c r="A15" s="128" t="s">
        <v>75</v>
      </c>
      <c r="B15" s="16">
        <f>IFERROR(__xludf.DUMMYFUNCTION("VLOOKUP(A15,IMPORTRANGE(""1aFCnJY1qhIj8-JckJhDJ18aqmVo17tofpQmOjcYa3u8/edit#gid=1878241338"",""S3 Totals!$A$2:$O$255""),2,FALSE)"),35.0)</f>
        <v>35</v>
      </c>
      <c r="C15" s="15">
        <f>IFERROR(__xludf.DUMMYFUNCTION("VLOOKUP(A15,IMPORTRANGE(""1aFCnJY1qhIj8-JckJhDJ18aqmVo17tofpQmOjcYa3u8/edit#gid=1878241338"",""S3 Totals!$A$2:$O$255""),3,FALSE)"),0.4794520547945205)</f>
        <v>0.4794520548</v>
      </c>
      <c r="D15" s="16">
        <f>IFERROR(__xludf.DUMMYFUNCTION("VLOOKUP(A15,IMPORTRANGE(""1QZ5UxyNCwadreQAXnQ7oCoH982DjIA-QnZdO7ZoqkC0/edit#gid=884617569"",""S3 Totals!$A$2:$O$255""),2,FALSE)"),26.0)</f>
        <v>26</v>
      </c>
      <c r="E15" s="15">
        <f>IFERROR(__xludf.DUMMYFUNCTION("VLOOKUP(A15,IMPORTRANGE(""1QZ5UxyNCwadreQAXnQ7oCoH982DjIA-QnZdO7ZoqkC0/edit#gid=884617569"",""S3 Totals!$A$2:$O$255""),3,FALSE)"),0.35135135135135137)</f>
        <v>0.3513513514</v>
      </c>
      <c r="F15" s="15">
        <f t="shared" si="1"/>
        <v>0.1281007034</v>
      </c>
      <c r="G15" s="16">
        <f>IFERROR(__xludf.DUMMYFUNCTION("VLOOKUP(A15,IMPORTRANGE(""1QZ5UxyNCwadreQAXnQ7oCoH982DjIA-QnZdO7ZoqkC0/edit#gid=884617569"",""S3 Totals!$A$2:$O$255""),4,FALSE)"),11.0)</f>
        <v>11</v>
      </c>
      <c r="H15" s="15">
        <f>IFERROR(__xludf.DUMMYFUNCTION("VLOOKUP(A15,IMPORTRANGE(""1QZ5UxyNCwadreQAXnQ7oCoH982DjIA-QnZdO7ZoqkC0/edit#gid=884617569"",""S3 Totals!$A$2:$O$255""),5,FALSE)"),0.13924050632911392)</f>
        <v>0.1392405063</v>
      </c>
      <c r="I15" s="143">
        <f t="shared" si="2"/>
        <v>0.3402115485</v>
      </c>
      <c r="J15" s="16">
        <f>IFERROR(__xludf.DUMMYFUNCTION("VLOOKUP(A15,IMPORTRANGE(""1QZ5UxyNCwadreQAXnQ7oCoH982DjIA-QnZdO7ZoqkC0/edit#gid=884617569"",""S3 Totals!$A$2:$O$255""),7,FALSE)"),11.0)</f>
        <v>11</v>
      </c>
      <c r="K15" s="15">
        <f>IFERROR(__xludf.DUMMYFUNCTION("VLOOKUP(A15,IMPORTRANGE(""1QZ5UxyNCwadreQAXnQ7oCoH982DjIA-QnZdO7ZoqkC0/edit#gid=884617569"",""S3 Totals!$A$2:$O$255""),8,FALSE)"),0.12941176470588237)</f>
        <v>0.1294117647</v>
      </c>
      <c r="L15" s="110">
        <f t="shared" si="5"/>
        <v>0.2219395866</v>
      </c>
      <c r="M15" s="16">
        <f>IFERROR(__xludf.DUMMYFUNCTION("VLOOKUP(A15,IMPORTRANGE(""1QZ5UxyNCwadreQAXnQ7oCoH982DjIA-QnZdO7ZoqkC0/edit#gid=884617569"",""S3 Totals!$A$2:$O$255""),10,FALSE)"),11.0)</f>
        <v>11</v>
      </c>
      <c r="N15" s="15">
        <f>IFERROR(__xludf.DUMMYFUNCTION("VLOOKUP(A15,IMPORTRANGE(""1QZ5UxyNCwadreQAXnQ7oCoH982DjIA-QnZdO7ZoqkC0/edit#gid=884617569"",""S3 Totals!$A$2:$O$255""),11,FALSE)"),0.12941176470588237)</f>
        <v>0.1294117647</v>
      </c>
      <c r="O15" s="110">
        <f t="shared" si="3"/>
        <v>0.3500402901</v>
      </c>
      <c r="P15" s="16">
        <f>IFERROR(__xludf.DUMMYFUNCTION("VLOOKUP(A15,IMPORTRANGE(""1QZ5UxyNCwadreQAXnQ7oCoH982DjIA-QnZdO7ZoqkC0/edit#gid=884617569"",""S3 Totals!$A$2:$O$255""),13,FALSE)"),11.0)</f>
        <v>11</v>
      </c>
      <c r="Q15" s="15">
        <f>IFERROR(__xludf.DUMMYFUNCTION("VLOOKUP(A15,IMPORTRANGE(""1QZ5UxyNCwadreQAXnQ7oCoH982DjIA-QnZdO7ZoqkC0/edit#gid=884617569"",""S3 Totals!$A$2:$O$255""),14,FALSE)"),0.12941176470588237)</f>
        <v>0.1294117647</v>
      </c>
      <c r="R15" s="110">
        <f t="shared" si="4"/>
        <v>0.3500402901</v>
      </c>
      <c r="S15" s="144"/>
    </row>
    <row r="16">
      <c r="A16" s="128" t="s">
        <v>28</v>
      </c>
      <c r="B16" s="16">
        <f>IFERROR(__xludf.DUMMYFUNCTION("VLOOKUP(A16,IMPORTRANGE(""1aFCnJY1qhIj8-JckJhDJ18aqmVo17tofpQmOjcYa3u8/edit#gid=1878241338"",""S3 Totals!$A$2:$O$255""),2,FALSE)"),38.0)</f>
        <v>38</v>
      </c>
      <c r="C16" s="15">
        <f>IFERROR(__xludf.DUMMYFUNCTION("VLOOKUP(A16,IMPORTRANGE(""1aFCnJY1qhIj8-JckJhDJ18aqmVo17tofpQmOjcYa3u8/edit#gid=1878241338"",""S3 Totals!$A$2:$O$255""),3,FALSE)"),0.5205479452054794)</f>
        <v>0.5205479452</v>
      </c>
      <c r="D16" s="16">
        <f>IFERROR(__xludf.DUMMYFUNCTION("VLOOKUP(A16,IMPORTRANGE(""1QZ5UxyNCwadreQAXnQ7oCoH982DjIA-QnZdO7ZoqkC0/edit#gid=884617569"",""S3 Totals!$A$2:$O$255""),2,FALSE)"),40.0)</f>
        <v>40</v>
      </c>
      <c r="E16" s="15">
        <f>IFERROR(__xludf.DUMMYFUNCTION("VLOOKUP(A16,IMPORTRANGE(""1QZ5UxyNCwadreQAXnQ7oCoH982DjIA-QnZdO7ZoqkC0/edit#gid=884617569"",""S3 Totals!$A$2:$O$255""),3,FALSE)"),0.5405405405405406)</f>
        <v>0.5405405405</v>
      </c>
      <c r="F16" s="15">
        <f t="shared" si="1"/>
        <v>-0.01999259534</v>
      </c>
      <c r="G16" s="16">
        <f>IFERROR(__xludf.DUMMYFUNCTION("VLOOKUP(A16,IMPORTRANGE(""1QZ5UxyNCwadreQAXnQ7oCoH982DjIA-QnZdO7ZoqkC0/edit#gid=884617569"",""S3 Totals!$A$2:$O$255""),4,FALSE)"),38.0)</f>
        <v>38</v>
      </c>
      <c r="H16" s="15">
        <f>IFERROR(__xludf.DUMMYFUNCTION("VLOOKUP(A16,IMPORTRANGE(""1QZ5UxyNCwadreQAXnQ7oCoH982DjIA-QnZdO7ZoqkC0/edit#gid=884617569"",""S3 Totals!$A$2:$O$255""),5,FALSE)"),0.4810126582278481)</f>
        <v>0.4810126582</v>
      </c>
      <c r="I16" s="143">
        <f t="shared" si="2"/>
        <v>0.03953528698</v>
      </c>
      <c r="J16" s="16">
        <f>IFERROR(__xludf.DUMMYFUNCTION("VLOOKUP(A16,IMPORTRANGE(""1QZ5UxyNCwadreQAXnQ7oCoH982DjIA-QnZdO7ZoqkC0/edit#gid=884617569"",""S3 Totals!$A$2:$O$255""),7,FALSE)"),19.0)</f>
        <v>19</v>
      </c>
      <c r="K16" s="15">
        <f>IFERROR(__xludf.DUMMYFUNCTION("VLOOKUP(A16,IMPORTRANGE(""1QZ5UxyNCwadreQAXnQ7oCoH982DjIA-QnZdO7ZoqkC0/edit#gid=884617569"",""S3 Totals!$A$2:$O$255""),8,FALSE)"),0.2235294117647059)</f>
        <v>0.2235294118</v>
      </c>
      <c r="L16" s="110">
        <f t="shared" si="5"/>
        <v>0.3170111288</v>
      </c>
      <c r="M16" s="16">
        <f>IFERROR(__xludf.DUMMYFUNCTION("VLOOKUP(A16,IMPORTRANGE(""1QZ5UxyNCwadreQAXnQ7oCoH982DjIA-QnZdO7ZoqkC0/edit#gid=884617569"",""S3 Totals!$A$2:$O$255""),10,FALSE)"),19.0)</f>
        <v>19</v>
      </c>
      <c r="N16" s="15">
        <f>IFERROR(__xludf.DUMMYFUNCTION("VLOOKUP(A16,IMPORTRANGE(""1QZ5UxyNCwadreQAXnQ7oCoH982DjIA-QnZdO7ZoqkC0/edit#gid=884617569"",""S3 Totals!$A$2:$O$255""),11,FALSE)"),0.2235294117647059)</f>
        <v>0.2235294118</v>
      </c>
      <c r="O16" s="110">
        <f t="shared" si="3"/>
        <v>0.2970185334</v>
      </c>
      <c r="P16" s="16">
        <f>IFERROR(__xludf.DUMMYFUNCTION("VLOOKUP(A16,IMPORTRANGE(""1QZ5UxyNCwadreQAXnQ7oCoH982DjIA-QnZdO7ZoqkC0/edit#gid=884617569"",""S3 Totals!$A$2:$O$255""),13,FALSE)"),0.0)</f>
        <v>0</v>
      </c>
      <c r="Q16" s="15">
        <f>IFERROR(__xludf.DUMMYFUNCTION("VLOOKUP(A16,IMPORTRANGE(""1QZ5UxyNCwadreQAXnQ7oCoH982DjIA-QnZdO7ZoqkC0/edit#gid=884617569"",""S3 Totals!$A$2:$O$255""),14,FALSE)"),0.0)</f>
        <v>0</v>
      </c>
      <c r="R16" s="110">
        <f t="shared" si="4"/>
        <v>0.5205479452</v>
      </c>
      <c r="S16" s="144"/>
    </row>
    <row r="17">
      <c r="A17" s="128" t="s">
        <v>29</v>
      </c>
      <c r="B17" s="16">
        <f>IFERROR(__xludf.DUMMYFUNCTION("VLOOKUP(A17,IMPORTRANGE(""1aFCnJY1qhIj8-JckJhDJ18aqmVo17tofpQmOjcYa3u8/edit#gid=1878241338"",""S3 Totals!$A$2:$O$255""),2,FALSE)"),40.0)</f>
        <v>40</v>
      </c>
      <c r="C17" s="15">
        <f>IFERROR(__xludf.DUMMYFUNCTION("VLOOKUP(A17,IMPORTRANGE(""1aFCnJY1qhIj8-JckJhDJ18aqmVo17tofpQmOjcYa3u8/edit#gid=1878241338"",""S3 Totals!$A$2:$O$255""),3,FALSE)"),0.547945205479452)</f>
        <v>0.5479452055</v>
      </c>
      <c r="D17" s="16">
        <f>IFERROR(__xludf.DUMMYFUNCTION("VLOOKUP(A17,IMPORTRANGE(""1QZ5UxyNCwadreQAXnQ7oCoH982DjIA-QnZdO7ZoqkC0/edit#gid=884617569"",""S3 Totals!$A$2:$O$255""),2,FALSE)"),46.0)</f>
        <v>46</v>
      </c>
      <c r="E17" s="15">
        <f>IFERROR(__xludf.DUMMYFUNCTION("VLOOKUP(A17,IMPORTRANGE(""1QZ5UxyNCwadreQAXnQ7oCoH982DjIA-QnZdO7ZoqkC0/edit#gid=884617569"",""S3 Totals!$A$2:$O$255""),3,FALSE)"),0.6216216216216216)</f>
        <v>0.6216216216</v>
      </c>
      <c r="F17" s="15">
        <f t="shared" si="1"/>
        <v>-0.07367641614</v>
      </c>
      <c r="G17" s="16">
        <f>IFERROR(__xludf.DUMMYFUNCTION("VLOOKUP(A17,IMPORTRANGE(""1QZ5UxyNCwadreQAXnQ7oCoH982DjIA-QnZdO7ZoqkC0/edit#gid=884617569"",""S3 Totals!$A$2:$O$255""),4,FALSE)"),52.0)</f>
        <v>52</v>
      </c>
      <c r="H17" s="15">
        <f>IFERROR(__xludf.DUMMYFUNCTION("VLOOKUP(A17,IMPORTRANGE(""1QZ5UxyNCwadreQAXnQ7oCoH982DjIA-QnZdO7ZoqkC0/edit#gid=884617569"",""S3 Totals!$A$2:$O$255""),5,FALSE)"),0.6582278481012658)</f>
        <v>0.6582278481</v>
      </c>
      <c r="I17" s="143">
        <f t="shared" si="2"/>
        <v>-0.1102826426</v>
      </c>
      <c r="J17" s="16">
        <f>IFERROR(__xludf.DUMMYFUNCTION("VLOOKUP(A17,IMPORTRANGE(""1QZ5UxyNCwadreQAXnQ7oCoH982DjIA-QnZdO7ZoqkC0/edit#gid=884617569"",""S3 Totals!$A$2:$O$255""),7,FALSE)"),51.0)</f>
        <v>51</v>
      </c>
      <c r="K17" s="15">
        <f>IFERROR(__xludf.DUMMYFUNCTION("VLOOKUP(A17,IMPORTRANGE(""1QZ5UxyNCwadreQAXnQ7oCoH982DjIA-QnZdO7ZoqkC0/edit#gid=884617569"",""S3 Totals!$A$2:$O$255""),8,FALSE)"),0.6)</f>
        <v>0.6</v>
      </c>
      <c r="L17" s="110">
        <f t="shared" si="5"/>
        <v>0.02162162162</v>
      </c>
      <c r="M17" s="16">
        <f>IFERROR(__xludf.DUMMYFUNCTION("VLOOKUP(A17,IMPORTRANGE(""1QZ5UxyNCwadreQAXnQ7oCoH982DjIA-QnZdO7ZoqkC0/edit#gid=884617569"",""S3 Totals!$A$2:$O$255""),10,FALSE)"),54.0)</f>
        <v>54</v>
      </c>
      <c r="N17" s="15">
        <f>IFERROR(__xludf.DUMMYFUNCTION("VLOOKUP(A17,IMPORTRANGE(""1QZ5UxyNCwadreQAXnQ7oCoH982DjIA-QnZdO7ZoqkC0/edit#gid=884617569"",""S3 Totals!$A$2:$O$255""),11,FALSE)"),0.6352941176470588)</f>
        <v>0.6352941176</v>
      </c>
      <c r="O17" s="110">
        <f t="shared" si="3"/>
        <v>-0.08734891217</v>
      </c>
      <c r="P17" s="16">
        <f>IFERROR(__xludf.DUMMYFUNCTION("VLOOKUP(A17,IMPORTRANGE(""1QZ5UxyNCwadreQAXnQ7oCoH982DjIA-QnZdO7ZoqkC0/edit#gid=884617569"",""S3 Totals!$A$2:$O$255""),13,FALSE)"),22.0)</f>
        <v>22</v>
      </c>
      <c r="Q17" s="15">
        <f>IFERROR(__xludf.DUMMYFUNCTION("VLOOKUP(A17,IMPORTRANGE(""1QZ5UxyNCwadreQAXnQ7oCoH982DjIA-QnZdO7ZoqkC0/edit#gid=884617569"",""S3 Totals!$A$2:$O$255""),14,FALSE)"),0.25882352941176473)</f>
        <v>0.2588235294</v>
      </c>
      <c r="R17" s="110">
        <f t="shared" si="4"/>
        <v>0.2891216761</v>
      </c>
      <c r="S17" s="144"/>
    </row>
    <row r="18">
      <c r="A18" s="128" t="s">
        <v>211</v>
      </c>
      <c r="B18" s="16">
        <f>IFERROR(__xludf.DUMMYFUNCTION("VLOOKUP(A18,IMPORTRANGE(""1aFCnJY1qhIj8-JckJhDJ18aqmVo17tofpQmOjcYa3u8/edit#gid=1878241338"",""S3 Totals!$A$2:$O$255""),2,FALSE)"),8.0)</f>
        <v>8</v>
      </c>
      <c r="C18" s="15">
        <f>IFERROR(__xludf.DUMMYFUNCTION("VLOOKUP(A18,IMPORTRANGE(""1aFCnJY1qhIj8-JckJhDJ18aqmVo17tofpQmOjcYa3u8/edit#gid=1878241338"",""S3 Totals!$A$2:$O$255""),3,FALSE)"),0.1095890410958904)</f>
        <v>0.1095890411</v>
      </c>
      <c r="D18" s="16">
        <f>IFERROR(__xludf.DUMMYFUNCTION("VLOOKUP(A18,IMPORTRANGE(""1QZ5UxyNCwadreQAXnQ7oCoH982DjIA-QnZdO7ZoqkC0/edit#gid=884617569"",""S3 Totals!$A$2:$O$255""),2,FALSE)"),8.0)</f>
        <v>8</v>
      </c>
      <c r="E18" s="15">
        <f>IFERROR(__xludf.DUMMYFUNCTION("VLOOKUP(A18,IMPORTRANGE(""1QZ5UxyNCwadreQAXnQ7oCoH982DjIA-QnZdO7ZoqkC0/edit#gid=884617569"",""S3 Totals!$A$2:$O$255""),3,FALSE)"),0.10810810810810811)</f>
        <v>0.1081081081</v>
      </c>
      <c r="F18" s="15">
        <f t="shared" si="1"/>
        <v>0.001480932988</v>
      </c>
      <c r="G18" s="16">
        <f>IFERROR(__xludf.DUMMYFUNCTION("VLOOKUP(A18,IMPORTRANGE(""1QZ5UxyNCwadreQAXnQ7oCoH982DjIA-QnZdO7ZoqkC0/edit#gid=884617569"",""S3 Totals!$A$2:$O$255""),4,FALSE)"),10.0)</f>
        <v>10</v>
      </c>
      <c r="H18" s="15">
        <f>IFERROR(__xludf.DUMMYFUNCTION("VLOOKUP(A18,IMPORTRANGE(""1QZ5UxyNCwadreQAXnQ7oCoH982DjIA-QnZdO7ZoqkC0/edit#gid=884617569"",""S3 Totals!$A$2:$O$255""),5,FALSE)"),0.12658227848101267)</f>
        <v>0.1265822785</v>
      </c>
      <c r="I18" s="143">
        <f t="shared" si="2"/>
        <v>-0.01699323739</v>
      </c>
      <c r="J18" s="16" t="str">
        <f>IFERROR(__xludf.DUMMYFUNCTION("VLOOKUP(A18,IMPORTRANGE(""1QZ5UxyNCwadreQAXnQ7oCoH982DjIA-QnZdO7ZoqkC0/edit#gid=884617569"",""S3 Totals!$A$2:$O$255""),7,FALSE)"),"")</f>
        <v/>
      </c>
      <c r="K18" s="15" t="str">
        <f>IFERROR(__xludf.DUMMYFUNCTION("VLOOKUP(A18,IMPORTRANGE(""1QZ5UxyNCwadreQAXnQ7oCoH982DjIA-QnZdO7ZoqkC0/edit#gid=884617569"",""S3 Totals!$A$2:$O$255""),8,FALSE)"),"")</f>
        <v/>
      </c>
      <c r="L18" s="110">
        <f t="shared" si="5"/>
        <v>0.1081081081</v>
      </c>
      <c r="M18" s="16" t="str">
        <f>IFERROR(__xludf.DUMMYFUNCTION("VLOOKUP(A18,IMPORTRANGE(""1QZ5UxyNCwadreQAXnQ7oCoH982DjIA-QnZdO7ZoqkC0/edit#gid=884617569"",""S3 Totals!$A$2:$O$255""),10,FALSE)"),"")</f>
        <v/>
      </c>
      <c r="N18" s="15" t="str">
        <f>IFERROR(__xludf.DUMMYFUNCTION("VLOOKUP(A18,IMPORTRANGE(""1QZ5UxyNCwadreQAXnQ7oCoH982DjIA-QnZdO7ZoqkC0/edit#gid=884617569"",""S3 Totals!$A$2:$O$255""),11,FALSE)"),"")</f>
        <v/>
      </c>
      <c r="O18" s="110">
        <f t="shared" si="3"/>
        <v>0.1095890411</v>
      </c>
      <c r="P18" s="16" t="str">
        <f>IFERROR(__xludf.DUMMYFUNCTION("VLOOKUP(A18,IMPORTRANGE(""1QZ5UxyNCwadreQAXnQ7oCoH982DjIA-QnZdO7ZoqkC0/edit#gid=884617569"",""S3 Totals!$A$2:$O$255""),13,FALSE)"),"")</f>
        <v/>
      </c>
      <c r="Q18" s="15" t="str">
        <f>IFERROR(__xludf.DUMMYFUNCTION("VLOOKUP(A18,IMPORTRANGE(""1QZ5UxyNCwadreQAXnQ7oCoH982DjIA-QnZdO7ZoqkC0/edit#gid=884617569"",""S3 Totals!$A$2:$O$255""),14,FALSE)"),"")</f>
        <v/>
      </c>
      <c r="R18" s="110">
        <f t="shared" si="4"/>
        <v>0.1095890411</v>
      </c>
      <c r="S18" s="144"/>
    </row>
    <row r="19">
      <c r="A19" s="128" t="s">
        <v>212</v>
      </c>
      <c r="B19" s="16">
        <f>IFERROR(__xludf.DUMMYFUNCTION("VLOOKUP(A19,IMPORTRANGE(""1aFCnJY1qhIj8-JckJhDJ18aqmVo17tofpQmOjcYa3u8/edit#gid=1878241338"",""S3 Totals!$A$2:$O$255""),2,FALSE)"),26.0)</f>
        <v>26</v>
      </c>
      <c r="C19" s="15">
        <f>IFERROR(__xludf.DUMMYFUNCTION("VLOOKUP(A19,IMPORTRANGE(""1aFCnJY1qhIj8-JckJhDJ18aqmVo17tofpQmOjcYa3u8/edit#gid=1878241338"",""S3 Totals!$A$2:$O$255""),3,FALSE)"),0.3561643835616438)</f>
        <v>0.3561643836</v>
      </c>
      <c r="D19" s="16">
        <f>IFERROR(__xludf.DUMMYFUNCTION("VLOOKUP(A19,IMPORTRANGE(""1QZ5UxyNCwadreQAXnQ7oCoH982DjIA-QnZdO7ZoqkC0/edit#gid=884617569"",""S3 Totals!$A$2:$O$255""),2,FALSE)"),0.0)</f>
        <v>0</v>
      </c>
      <c r="E19" s="15">
        <f>IFERROR(__xludf.DUMMYFUNCTION("VLOOKUP(A19,IMPORTRANGE(""1QZ5UxyNCwadreQAXnQ7oCoH982DjIA-QnZdO7ZoqkC0/edit#gid=884617569"",""S3 Totals!$A$2:$O$255""),3,FALSE)"),0.0)</f>
        <v>0</v>
      </c>
      <c r="F19" s="15">
        <f t="shared" si="1"/>
        <v>0.3561643836</v>
      </c>
      <c r="G19" s="16">
        <f>IFERROR(__xludf.DUMMYFUNCTION("VLOOKUP(A19,IMPORTRANGE(""1QZ5UxyNCwadreQAXnQ7oCoH982DjIA-QnZdO7ZoqkC0/edit#gid=884617569"",""S3 Totals!$A$2:$O$255""),4,FALSE)"),0.0)</f>
        <v>0</v>
      </c>
      <c r="H19" s="15">
        <f>IFERROR(__xludf.DUMMYFUNCTION("VLOOKUP(A19,IMPORTRANGE(""1QZ5UxyNCwadreQAXnQ7oCoH982DjIA-QnZdO7ZoqkC0/edit#gid=884617569"",""S3 Totals!$A$2:$O$255""),5,FALSE)"),0.0)</f>
        <v>0</v>
      </c>
      <c r="I19" s="143">
        <f t="shared" si="2"/>
        <v>0.3561643836</v>
      </c>
      <c r="J19" s="16" t="str">
        <f>IFERROR(__xludf.DUMMYFUNCTION("VLOOKUP(A19,IMPORTRANGE(""1QZ5UxyNCwadreQAXnQ7oCoH982DjIA-QnZdO7ZoqkC0/edit#gid=884617569"",""S3 Totals!$A$2:$O$255""),7,FALSE)"),"")</f>
        <v/>
      </c>
      <c r="K19" s="15" t="str">
        <f>IFERROR(__xludf.DUMMYFUNCTION("VLOOKUP(A19,IMPORTRANGE(""1QZ5UxyNCwadreQAXnQ7oCoH982DjIA-QnZdO7ZoqkC0/edit#gid=884617569"",""S3 Totals!$A$2:$O$255""),8,FALSE)"),"")</f>
        <v/>
      </c>
      <c r="L19" s="110">
        <f t="shared" si="5"/>
        <v>0</v>
      </c>
      <c r="M19" s="16" t="str">
        <f>IFERROR(__xludf.DUMMYFUNCTION("VLOOKUP(A19,IMPORTRANGE(""1QZ5UxyNCwadreQAXnQ7oCoH982DjIA-QnZdO7ZoqkC0/edit#gid=884617569"",""S3 Totals!$A$2:$O$255""),10,FALSE)"),"")</f>
        <v/>
      </c>
      <c r="N19" s="15" t="str">
        <f>IFERROR(__xludf.DUMMYFUNCTION("VLOOKUP(A19,IMPORTRANGE(""1QZ5UxyNCwadreQAXnQ7oCoH982DjIA-QnZdO7ZoqkC0/edit#gid=884617569"",""S3 Totals!$A$2:$O$255""),11,FALSE)"),"")</f>
        <v/>
      </c>
      <c r="O19" s="110">
        <f t="shared" si="3"/>
        <v>0.3561643836</v>
      </c>
      <c r="P19" s="16" t="str">
        <f>IFERROR(__xludf.DUMMYFUNCTION("VLOOKUP(A19,IMPORTRANGE(""1QZ5UxyNCwadreQAXnQ7oCoH982DjIA-QnZdO7ZoqkC0/edit#gid=884617569"",""S3 Totals!$A$2:$O$255""),13,FALSE)"),"")</f>
        <v/>
      </c>
      <c r="Q19" s="15" t="str">
        <f>IFERROR(__xludf.DUMMYFUNCTION("VLOOKUP(A19,IMPORTRANGE(""1QZ5UxyNCwadreQAXnQ7oCoH982DjIA-QnZdO7ZoqkC0/edit#gid=884617569"",""S3 Totals!$A$2:$O$255""),14,FALSE)"),"")</f>
        <v/>
      </c>
      <c r="R19" s="110">
        <f t="shared" si="4"/>
        <v>0.3561643836</v>
      </c>
      <c r="S19" s="144"/>
    </row>
    <row r="20">
      <c r="A20" s="128" t="s">
        <v>57</v>
      </c>
      <c r="B20" s="16">
        <f>IFERROR(__xludf.DUMMYFUNCTION("VLOOKUP(A20,IMPORTRANGE(""1aFCnJY1qhIj8-JckJhDJ18aqmVo17tofpQmOjcYa3u8/edit#gid=1878241338"",""S3 Totals!$A$2:$O$255""),2,FALSE)"),26.0)</f>
        <v>26</v>
      </c>
      <c r="C20" s="15">
        <f>IFERROR(__xludf.DUMMYFUNCTION("VLOOKUP(A20,IMPORTRANGE(""1aFCnJY1qhIj8-JckJhDJ18aqmVo17tofpQmOjcYa3u8/edit#gid=1878241338"",""S3 Totals!$A$2:$O$255""),3,FALSE)"),0.3561643835616438)</f>
        <v>0.3561643836</v>
      </c>
      <c r="D20" s="16">
        <f>IFERROR(__xludf.DUMMYFUNCTION("VLOOKUP(A20,IMPORTRANGE(""1QZ5UxyNCwadreQAXnQ7oCoH982DjIA-QnZdO7ZoqkC0/edit#gid=884617569"",""S3 Totals!$A$2:$O$255""),2,FALSE)"),33.0)</f>
        <v>33</v>
      </c>
      <c r="E20" s="15">
        <f>IFERROR(__xludf.DUMMYFUNCTION("VLOOKUP(A20,IMPORTRANGE(""1QZ5UxyNCwadreQAXnQ7oCoH982DjIA-QnZdO7ZoqkC0/edit#gid=884617569"",""S3 Totals!$A$2:$O$255""),3,FALSE)"),0.44594594594594594)</f>
        <v>0.4459459459</v>
      </c>
      <c r="F20" s="15">
        <f t="shared" si="1"/>
        <v>-0.08978156238</v>
      </c>
      <c r="G20" s="16">
        <f>IFERROR(__xludf.DUMMYFUNCTION("VLOOKUP(A20,IMPORTRANGE(""1QZ5UxyNCwadreQAXnQ7oCoH982DjIA-QnZdO7ZoqkC0/edit#gid=884617569"",""S3 Totals!$A$2:$O$255""),4,FALSE)"),36.0)</f>
        <v>36</v>
      </c>
      <c r="H20" s="15">
        <f>IFERROR(__xludf.DUMMYFUNCTION("VLOOKUP(A20,IMPORTRANGE(""1QZ5UxyNCwadreQAXnQ7oCoH982DjIA-QnZdO7ZoqkC0/edit#gid=884617569"",""S3 Totals!$A$2:$O$255""),5,FALSE)"),0.45569620253164556)</f>
        <v>0.4556962025</v>
      </c>
      <c r="I20" s="143">
        <f t="shared" si="2"/>
        <v>-0.09953181897</v>
      </c>
      <c r="J20" s="16">
        <f>IFERROR(__xludf.DUMMYFUNCTION("VLOOKUP(A20,IMPORTRANGE(""1QZ5UxyNCwadreQAXnQ7oCoH982DjIA-QnZdO7ZoqkC0/edit#gid=884617569"",""S3 Totals!$A$2:$O$255""),7,FALSE)"),38.0)</f>
        <v>38</v>
      </c>
      <c r="K20" s="15">
        <f>IFERROR(__xludf.DUMMYFUNCTION("VLOOKUP(A20,IMPORTRANGE(""1QZ5UxyNCwadreQAXnQ7oCoH982DjIA-QnZdO7ZoqkC0/edit#gid=884617569"",""S3 Totals!$A$2:$O$255""),8,FALSE)"),0.4470588235294118)</f>
        <v>0.4470588235</v>
      </c>
      <c r="L20" s="110">
        <f t="shared" si="5"/>
        <v>-0.001112877583</v>
      </c>
      <c r="M20" s="16">
        <f>IFERROR(__xludf.DUMMYFUNCTION("VLOOKUP(A20,IMPORTRANGE(""1QZ5UxyNCwadreQAXnQ7oCoH982DjIA-QnZdO7ZoqkC0/edit#gid=884617569"",""S3 Totals!$A$2:$O$255""),10,FALSE)"),41.0)</f>
        <v>41</v>
      </c>
      <c r="N20" s="15">
        <f>IFERROR(__xludf.DUMMYFUNCTION("VLOOKUP(A20,IMPORTRANGE(""1QZ5UxyNCwadreQAXnQ7oCoH982DjIA-QnZdO7ZoqkC0/edit#gid=884617569"",""S3 Totals!$A$2:$O$255""),11,FALSE)"),0.4823529411764706)</f>
        <v>0.4823529412</v>
      </c>
      <c r="O20" s="110">
        <f t="shared" si="3"/>
        <v>-0.1261885576</v>
      </c>
      <c r="P20" s="16">
        <f>IFERROR(__xludf.DUMMYFUNCTION("VLOOKUP(A20,IMPORTRANGE(""1QZ5UxyNCwadreQAXnQ7oCoH982DjIA-QnZdO7ZoqkC0/edit#gid=884617569"",""S3 Totals!$A$2:$O$255""),13,FALSE)"),37.0)</f>
        <v>37</v>
      </c>
      <c r="Q20" s="15">
        <f>IFERROR(__xludf.DUMMYFUNCTION("VLOOKUP(A20,IMPORTRANGE(""1QZ5UxyNCwadreQAXnQ7oCoH982DjIA-QnZdO7ZoqkC0/edit#gid=884617569"",""S3 Totals!$A$2:$O$255""),14,FALSE)"),0.43529411764705883)</f>
        <v>0.4352941176</v>
      </c>
      <c r="R20" s="110">
        <f t="shared" si="4"/>
        <v>-0.07912973409</v>
      </c>
      <c r="S20" s="144"/>
    </row>
    <row r="21">
      <c r="A21" s="128" t="s">
        <v>164</v>
      </c>
      <c r="B21" s="16">
        <f>IFERROR(__xludf.DUMMYFUNCTION("VLOOKUP(A21,IMPORTRANGE(""1aFCnJY1qhIj8-JckJhDJ18aqmVo17tofpQmOjcYa3u8/edit#gid=1878241338"",""S3 Totals!$A$2:$O$255""),2,FALSE)"),0.0)</f>
        <v>0</v>
      </c>
      <c r="C21" s="15">
        <f>IFERROR(__xludf.DUMMYFUNCTION("VLOOKUP(A21,IMPORTRANGE(""1aFCnJY1qhIj8-JckJhDJ18aqmVo17tofpQmOjcYa3u8/edit#gid=1878241338"",""S3 Totals!$A$2:$O$255""),3,FALSE)"),0.0)</f>
        <v>0</v>
      </c>
      <c r="D21" s="16">
        <f>IFERROR(__xludf.DUMMYFUNCTION("VLOOKUP(A21,IMPORTRANGE(""1QZ5UxyNCwadreQAXnQ7oCoH982DjIA-QnZdO7ZoqkC0/edit#gid=884617569"",""S3 Totals!$A$2:$O$255""),2,FALSE)"),0.0)</f>
        <v>0</v>
      </c>
      <c r="E21" s="15">
        <f>IFERROR(__xludf.DUMMYFUNCTION("VLOOKUP(A21,IMPORTRANGE(""1QZ5UxyNCwadreQAXnQ7oCoH982DjIA-QnZdO7ZoqkC0/edit#gid=884617569"",""S3 Totals!$A$2:$O$255""),3,FALSE)"),0.0)</f>
        <v>0</v>
      </c>
      <c r="F21" s="15">
        <f t="shared" si="1"/>
        <v>0</v>
      </c>
      <c r="G21" s="16">
        <f>IFERROR(__xludf.DUMMYFUNCTION("VLOOKUP(A21,IMPORTRANGE(""1QZ5UxyNCwadreQAXnQ7oCoH982DjIA-QnZdO7ZoqkC0/edit#gid=884617569"",""S3 Totals!$A$2:$O$255""),4,FALSE)"),0.0)</f>
        <v>0</v>
      </c>
      <c r="H21" s="15">
        <f>IFERROR(__xludf.DUMMYFUNCTION("VLOOKUP(A21,IMPORTRANGE(""1QZ5UxyNCwadreQAXnQ7oCoH982DjIA-QnZdO7ZoqkC0/edit#gid=884617569"",""S3 Totals!$A$2:$O$255""),5,FALSE)"),0.0)</f>
        <v>0</v>
      </c>
      <c r="I21" s="143">
        <f t="shared" si="2"/>
        <v>0</v>
      </c>
      <c r="J21" s="16">
        <f>IFERROR(__xludf.DUMMYFUNCTION("VLOOKUP(A21,IMPORTRANGE(""1QZ5UxyNCwadreQAXnQ7oCoH982DjIA-QnZdO7ZoqkC0/edit#gid=884617569"",""S3 Totals!$A$2:$O$255""),7,FALSE)"),0.0)</f>
        <v>0</v>
      </c>
      <c r="K21" s="15">
        <f>IFERROR(__xludf.DUMMYFUNCTION("VLOOKUP(A21,IMPORTRANGE(""1QZ5UxyNCwadreQAXnQ7oCoH982DjIA-QnZdO7ZoqkC0/edit#gid=884617569"",""S3 Totals!$A$2:$O$255""),8,FALSE)"),0.0)</f>
        <v>0</v>
      </c>
      <c r="L21" s="110">
        <f t="shared" si="5"/>
        <v>0</v>
      </c>
      <c r="M21" s="16" t="str">
        <f>IFERROR(__xludf.DUMMYFUNCTION("VLOOKUP(A21,IMPORTRANGE(""1QZ5UxyNCwadreQAXnQ7oCoH982DjIA-QnZdO7ZoqkC0/edit#gid=884617569"",""S3 Totals!$A$2:$O$255""),10,FALSE)"),"")</f>
        <v/>
      </c>
      <c r="N21" s="15" t="str">
        <f>IFERROR(__xludf.DUMMYFUNCTION("VLOOKUP(A21,IMPORTRANGE(""1QZ5UxyNCwadreQAXnQ7oCoH982DjIA-QnZdO7ZoqkC0/edit#gid=884617569"",""S3 Totals!$A$2:$O$255""),11,FALSE)"),"")</f>
        <v/>
      </c>
      <c r="O21" s="110">
        <f t="shared" si="3"/>
        <v>0</v>
      </c>
      <c r="P21" s="16" t="str">
        <f>IFERROR(__xludf.DUMMYFUNCTION("VLOOKUP(A21,IMPORTRANGE(""1QZ5UxyNCwadreQAXnQ7oCoH982DjIA-QnZdO7ZoqkC0/edit#gid=884617569"",""S3 Totals!$A$2:$O$255""),13,FALSE)"),"")</f>
        <v/>
      </c>
      <c r="Q21" s="15" t="str">
        <f>IFERROR(__xludf.DUMMYFUNCTION("VLOOKUP(A21,IMPORTRANGE(""1QZ5UxyNCwadreQAXnQ7oCoH982DjIA-QnZdO7ZoqkC0/edit#gid=884617569"",""S3 Totals!$A$2:$O$255""),14,FALSE)"),"")</f>
        <v/>
      </c>
      <c r="R21" s="110">
        <f t="shared" si="4"/>
        <v>0</v>
      </c>
      <c r="S21" s="144"/>
    </row>
    <row r="22">
      <c r="A22" s="128" t="s">
        <v>165</v>
      </c>
      <c r="B22" s="16">
        <f>IFERROR(__xludf.DUMMYFUNCTION("VLOOKUP(A22,IMPORTRANGE(""1aFCnJY1qhIj8-JckJhDJ18aqmVo17tofpQmOjcYa3u8/edit#gid=1878241338"",""S3 Totals!$A$2:$O$255""),2,FALSE)"),1.0)</f>
        <v>1</v>
      </c>
      <c r="C22" s="15">
        <f>IFERROR(__xludf.DUMMYFUNCTION("VLOOKUP(A22,IMPORTRANGE(""1aFCnJY1qhIj8-JckJhDJ18aqmVo17tofpQmOjcYa3u8/edit#gid=1878241338"",""S3 Totals!$A$2:$O$255""),3,FALSE)"),0.0136986301369863)</f>
        <v>0.01369863014</v>
      </c>
      <c r="D22" s="16">
        <f>IFERROR(__xludf.DUMMYFUNCTION("VLOOKUP(A22,IMPORTRANGE(""1QZ5UxyNCwadreQAXnQ7oCoH982DjIA-QnZdO7ZoqkC0/edit#gid=884617569"",""S3 Totals!$A$2:$O$255""),2,FALSE)"),1.0)</f>
        <v>1</v>
      </c>
      <c r="E22" s="15">
        <f>IFERROR(__xludf.DUMMYFUNCTION("VLOOKUP(A22,IMPORTRANGE(""1QZ5UxyNCwadreQAXnQ7oCoH982DjIA-QnZdO7ZoqkC0/edit#gid=884617569"",""S3 Totals!$A$2:$O$255""),3,FALSE)"),0.013513513513513514)</f>
        <v>0.01351351351</v>
      </c>
      <c r="F22" s="15">
        <f t="shared" si="1"/>
        <v>0.0001851166235</v>
      </c>
      <c r="G22" s="16">
        <f>IFERROR(__xludf.DUMMYFUNCTION("VLOOKUP(A22,IMPORTRANGE(""1QZ5UxyNCwadreQAXnQ7oCoH982DjIA-QnZdO7ZoqkC0/edit#gid=884617569"",""S3 Totals!$A$2:$O$255""),4,FALSE)"),0.0)</f>
        <v>0</v>
      </c>
      <c r="H22" s="15">
        <f>IFERROR(__xludf.DUMMYFUNCTION("VLOOKUP(A22,IMPORTRANGE(""1QZ5UxyNCwadreQAXnQ7oCoH982DjIA-QnZdO7ZoqkC0/edit#gid=884617569"",""S3 Totals!$A$2:$O$255""),5,FALSE)"),0.0)</f>
        <v>0</v>
      </c>
      <c r="I22" s="143">
        <f t="shared" si="2"/>
        <v>0.01369863014</v>
      </c>
      <c r="J22" s="16">
        <f>IFERROR(__xludf.DUMMYFUNCTION("VLOOKUP(A22,IMPORTRANGE(""1QZ5UxyNCwadreQAXnQ7oCoH982DjIA-QnZdO7ZoqkC0/edit#gid=884617569"",""S3 Totals!$A$2:$O$255""),7,FALSE)"),0.0)</f>
        <v>0</v>
      </c>
      <c r="K22" s="15">
        <f>IFERROR(__xludf.DUMMYFUNCTION("VLOOKUP(A22,IMPORTRANGE(""1QZ5UxyNCwadreQAXnQ7oCoH982DjIA-QnZdO7ZoqkC0/edit#gid=884617569"",""S3 Totals!$A$2:$O$255""),8,FALSE)"),0.0)</f>
        <v>0</v>
      </c>
      <c r="L22" s="110">
        <f t="shared" si="5"/>
        <v>0.01351351351</v>
      </c>
      <c r="M22" s="16" t="str">
        <f>IFERROR(__xludf.DUMMYFUNCTION("VLOOKUP(A22,IMPORTRANGE(""1QZ5UxyNCwadreQAXnQ7oCoH982DjIA-QnZdO7ZoqkC0/edit#gid=884617569"",""S3 Totals!$A$2:$O$255""),10,FALSE)"),"")</f>
        <v/>
      </c>
      <c r="N22" s="15" t="str">
        <f>IFERROR(__xludf.DUMMYFUNCTION("VLOOKUP(A22,IMPORTRANGE(""1QZ5UxyNCwadreQAXnQ7oCoH982DjIA-QnZdO7ZoqkC0/edit#gid=884617569"",""S3 Totals!$A$2:$O$255""),11,FALSE)"),"")</f>
        <v/>
      </c>
      <c r="O22" s="110">
        <f t="shared" si="3"/>
        <v>0.01369863014</v>
      </c>
      <c r="P22" s="16" t="str">
        <f>IFERROR(__xludf.DUMMYFUNCTION("VLOOKUP(A22,IMPORTRANGE(""1QZ5UxyNCwadreQAXnQ7oCoH982DjIA-QnZdO7ZoqkC0/edit#gid=884617569"",""S3 Totals!$A$2:$O$255""),13,FALSE)"),"")</f>
        <v/>
      </c>
      <c r="Q22" s="15" t="str">
        <f>IFERROR(__xludf.DUMMYFUNCTION("VLOOKUP(A22,IMPORTRANGE(""1QZ5UxyNCwadreQAXnQ7oCoH982DjIA-QnZdO7ZoqkC0/edit#gid=884617569"",""S3 Totals!$A$2:$O$255""),14,FALSE)"),"")</f>
        <v/>
      </c>
      <c r="R22" s="110">
        <f t="shared" si="4"/>
        <v>0.01369863014</v>
      </c>
      <c r="S22" s="144"/>
    </row>
    <row r="23">
      <c r="A23" s="128" t="s">
        <v>213</v>
      </c>
      <c r="B23" s="16">
        <f>IFERROR(__xludf.DUMMYFUNCTION("VLOOKUP(A23,IMPORTRANGE(""1aFCnJY1qhIj8-JckJhDJ18aqmVo17tofpQmOjcYa3u8/edit#gid=1878241338"",""S3 Totals!$A$2:$O$255""),2,FALSE)"),0.0)</f>
        <v>0</v>
      </c>
      <c r="C23" s="15">
        <f>IFERROR(__xludf.DUMMYFUNCTION("VLOOKUP(A23,IMPORTRANGE(""1aFCnJY1qhIj8-JckJhDJ18aqmVo17tofpQmOjcYa3u8/edit#gid=1878241338"",""S3 Totals!$A$2:$O$255""),3,FALSE)"),0.0)</f>
        <v>0</v>
      </c>
      <c r="D23" s="16">
        <f>IFERROR(__xludf.DUMMYFUNCTION("VLOOKUP(A23,IMPORTRANGE(""1QZ5UxyNCwadreQAXnQ7oCoH982DjIA-QnZdO7ZoqkC0/edit#gid=884617569"",""S3 Totals!$A$2:$O$255""),2,FALSE)"),0.0)</f>
        <v>0</v>
      </c>
      <c r="E23" s="15">
        <f>IFERROR(__xludf.DUMMYFUNCTION("VLOOKUP(A23,IMPORTRANGE(""1QZ5UxyNCwadreQAXnQ7oCoH982DjIA-QnZdO7ZoqkC0/edit#gid=884617569"",""S3 Totals!$A$2:$O$255""),3,FALSE)"),0.0)</f>
        <v>0</v>
      </c>
      <c r="F23" s="15">
        <f t="shared" si="1"/>
        <v>0</v>
      </c>
      <c r="G23" s="16">
        <f>IFERROR(__xludf.DUMMYFUNCTION("VLOOKUP(A23,IMPORTRANGE(""1QZ5UxyNCwadreQAXnQ7oCoH982DjIA-QnZdO7ZoqkC0/edit#gid=884617569"",""S3 Totals!$A$2:$O$255""),4,FALSE)"),0.0)</f>
        <v>0</v>
      </c>
      <c r="H23" s="15">
        <f>IFERROR(__xludf.DUMMYFUNCTION("VLOOKUP(A23,IMPORTRANGE(""1QZ5UxyNCwadreQAXnQ7oCoH982DjIA-QnZdO7ZoqkC0/edit#gid=884617569"",""S3 Totals!$A$2:$O$255""),5,FALSE)"),0.0)</f>
        <v>0</v>
      </c>
      <c r="I23" s="143">
        <f t="shared" si="2"/>
        <v>0</v>
      </c>
      <c r="J23" s="16" t="str">
        <f>IFERROR(__xludf.DUMMYFUNCTION("VLOOKUP(A23,IMPORTRANGE(""1QZ5UxyNCwadreQAXnQ7oCoH982DjIA-QnZdO7ZoqkC0/edit#gid=884617569"",""S3 Totals!$A$2:$O$255""),7,FALSE)"),"")</f>
        <v/>
      </c>
      <c r="K23" s="15" t="str">
        <f>IFERROR(__xludf.DUMMYFUNCTION("VLOOKUP(A23,IMPORTRANGE(""1QZ5UxyNCwadreQAXnQ7oCoH982DjIA-QnZdO7ZoqkC0/edit#gid=884617569"",""S3 Totals!$A$2:$O$255""),8,FALSE)"),"")</f>
        <v/>
      </c>
      <c r="L23" s="110">
        <f t="shared" si="5"/>
        <v>0</v>
      </c>
      <c r="M23" s="16" t="str">
        <f>IFERROR(__xludf.DUMMYFUNCTION("VLOOKUP(A23,IMPORTRANGE(""1QZ5UxyNCwadreQAXnQ7oCoH982DjIA-QnZdO7ZoqkC0/edit#gid=884617569"",""S3 Totals!$A$2:$O$255""),10,FALSE)"),"")</f>
        <v/>
      </c>
      <c r="N23" s="15" t="str">
        <f>IFERROR(__xludf.DUMMYFUNCTION("VLOOKUP(A23,IMPORTRANGE(""1QZ5UxyNCwadreQAXnQ7oCoH982DjIA-QnZdO7ZoqkC0/edit#gid=884617569"",""S3 Totals!$A$2:$O$255""),11,FALSE)"),"")</f>
        <v/>
      </c>
      <c r="O23" s="110">
        <f t="shared" si="3"/>
        <v>0</v>
      </c>
      <c r="P23" s="16" t="str">
        <f>IFERROR(__xludf.DUMMYFUNCTION("VLOOKUP(A23,IMPORTRANGE(""1QZ5UxyNCwadreQAXnQ7oCoH982DjIA-QnZdO7ZoqkC0/edit#gid=884617569"",""S3 Totals!$A$2:$O$255""),13,FALSE)"),"")</f>
        <v/>
      </c>
      <c r="Q23" s="15" t="str">
        <f>IFERROR(__xludf.DUMMYFUNCTION("VLOOKUP(A23,IMPORTRANGE(""1QZ5UxyNCwadreQAXnQ7oCoH982DjIA-QnZdO7ZoqkC0/edit#gid=884617569"",""S3 Totals!$A$2:$O$255""),14,FALSE)"),"")</f>
        <v/>
      </c>
      <c r="R23" s="110">
        <f t="shared" si="4"/>
        <v>0</v>
      </c>
      <c r="S23" s="144"/>
    </row>
    <row r="24">
      <c r="A24" s="128" t="s">
        <v>31</v>
      </c>
      <c r="B24" s="16">
        <f>IFERROR(__xludf.DUMMYFUNCTION("VLOOKUP(A24,IMPORTRANGE(""1aFCnJY1qhIj8-JckJhDJ18aqmVo17tofpQmOjcYa3u8/edit#gid=1878241338"",""S3 Totals!$A$2:$O$255""),2,FALSE)"),1.0)</f>
        <v>1</v>
      </c>
      <c r="C24" s="15">
        <f>IFERROR(__xludf.DUMMYFUNCTION("VLOOKUP(A24,IMPORTRANGE(""1aFCnJY1qhIj8-JckJhDJ18aqmVo17tofpQmOjcYa3u8/edit#gid=1878241338"",""S3 Totals!$A$2:$O$255""),3,FALSE)"),0.0136986301369863)</f>
        <v>0.01369863014</v>
      </c>
      <c r="D24" s="16">
        <f>IFERROR(__xludf.DUMMYFUNCTION("VLOOKUP(A24,IMPORTRANGE(""1QZ5UxyNCwadreQAXnQ7oCoH982DjIA-QnZdO7ZoqkC0/edit#gid=884617569"",""S3 Totals!$A$2:$O$255""),2,FALSE)"),1.0)</f>
        <v>1</v>
      </c>
      <c r="E24" s="15">
        <f>IFERROR(__xludf.DUMMYFUNCTION("VLOOKUP(A24,IMPORTRANGE(""1QZ5UxyNCwadreQAXnQ7oCoH982DjIA-QnZdO7ZoqkC0/edit#gid=884617569"",""S3 Totals!$A$2:$O$255""),3,FALSE)"),0.013513513513513514)</f>
        <v>0.01351351351</v>
      </c>
      <c r="F24" s="15">
        <f t="shared" si="1"/>
        <v>0.0001851166235</v>
      </c>
      <c r="G24" s="16">
        <f>IFERROR(__xludf.DUMMYFUNCTION("VLOOKUP(A24,IMPORTRANGE(""1QZ5UxyNCwadreQAXnQ7oCoH982DjIA-QnZdO7ZoqkC0/edit#gid=884617569"",""S3 Totals!$A$2:$O$255""),4,FALSE)"),15.0)</f>
        <v>15</v>
      </c>
      <c r="H24" s="15">
        <f>IFERROR(__xludf.DUMMYFUNCTION("VLOOKUP(A24,IMPORTRANGE(""1QZ5UxyNCwadreQAXnQ7oCoH982DjIA-QnZdO7ZoqkC0/edit#gid=884617569"",""S3 Totals!$A$2:$O$255""),5,FALSE)"),0.189873417721519)</f>
        <v>0.1898734177</v>
      </c>
      <c r="I24" s="143">
        <f t="shared" si="2"/>
        <v>-0.1761747876</v>
      </c>
      <c r="J24" s="16">
        <f>IFERROR(__xludf.DUMMYFUNCTION("VLOOKUP(A24,IMPORTRANGE(""1QZ5UxyNCwadreQAXnQ7oCoH982DjIA-QnZdO7ZoqkC0/edit#gid=884617569"",""S3 Totals!$A$2:$O$255""),7,FALSE)"),16.0)</f>
        <v>16</v>
      </c>
      <c r="K24" s="15">
        <f>IFERROR(__xludf.DUMMYFUNCTION("VLOOKUP(A24,IMPORTRANGE(""1QZ5UxyNCwadreQAXnQ7oCoH982DjIA-QnZdO7ZoqkC0/edit#gid=884617569"",""S3 Totals!$A$2:$O$255""),8,FALSE)"),0.18823529411764706)</f>
        <v>0.1882352941</v>
      </c>
      <c r="L24" s="110">
        <f t="shared" si="5"/>
        <v>-0.1747217806</v>
      </c>
      <c r="M24" s="16">
        <f>IFERROR(__xludf.DUMMYFUNCTION("VLOOKUP(A24,IMPORTRANGE(""1QZ5UxyNCwadreQAXnQ7oCoH982DjIA-QnZdO7ZoqkC0/edit#gid=884617569"",""S3 Totals!$A$2:$O$255""),10,FALSE)"),11.0)</f>
        <v>11</v>
      </c>
      <c r="N24" s="15">
        <f>IFERROR(__xludf.DUMMYFUNCTION("VLOOKUP(A24,IMPORTRANGE(""1QZ5UxyNCwadreQAXnQ7oCoH982DjIA-QnZdO7ZoqkC0/edit#gid=884617569"",""S3 Totals!$A$2:$O$255""),11,FALSE)"),0.12941176470588237)</f>
        <v>0.1294117647</v>
      </c>
      <c r="O24" s="110">
        <f t="shared" si="3"/>
        <v>-0.1157131346</v>
      </c>
      <c r="P24" s="16">
        <f>IFERROR(__xludf.DUMMYFUNCTION("VLOOKUP(A24,IMPORTRANGE(""1QZ5UxyNCwadreQAXnQ7oCoH982DjIA-QnZdO7ZoqkC0/edit#gid=884617569"",""S3 Totals!$A$2:$O$255""),13,FALSE)"),10.0)</f>
        <v>10</v>
      </c>
      <c r="Q24" s="15">
        <f>IFERROR(__xludf.DUMMYFUNCTION("VLOOKUP(A24,IMPORTRANGE(""1QZ5UxyNCwadreQAXnQ7oCoH982DjIA-QnZdO7ZoqkC0/edit#gid=884617569"",""S3 Totals!$A$2:$O$255""),14,FALSE)"),0.11764705882352941)</f>
        <v>0.1176470588</v>
      </c>
      <c r="R24" s="110">
        <f t="shared" si="4"/>
        <v>-0.1039484287</v>
      </c>
      <c r="S24" s="144"/>
    </row>
    <row r="25">
      <c r="A25" s="128" t="s">
        <v>214</v>
      </c>
      <c r="B25" s="16">
        <f>IFERROR(__xludf.DUMMYFUNCTION("VLOOKUP(A25,IMPORTRANGE(""1aFCnJY1qhIj8-JckJhDJ18aqmVo17tofpQmOjcYa3u8/edit#gid=1878241338"",""S3 Totals!$A$2:$O$255""),2,FALSE)"),0.0)</f>
        <v>0</v>
      </c>
      <c r="C25" s="15">
        <f>IFERROR(__xludf.DUMMYFUNCTION("VLOOKUP(A25,IMPORTRANGE(""1aFCnJY1qhIj8-JckJhDJ18aqmVo17tofpQmOjcYa3u8/edit#gid=1878241338"",""S3 Totals!$A$2:$O$255""),3,FALSE)"),0.0)</f>
        <v>0</v>
      </c>
      <c r="D25" s="16">
        <f>IFERROR(__xludf.DUMMYFUNCTION("VLOOKUP(A25,IMPORTRANGE(""1QZ5UxyNCwadreQAXnQ7oCoH982DjIA-QnZdO7ZoqkC0/edit#gid=884617569"",""S3 Totals!$A$2:$O$255""),2,FALSE)"),0.0)</f>
        <v>0</v>
      </c>
      <c r="E25" s="15">
        <f>IFERROR(__xludf.DUMMYFUNCTION("VLOOKUP(A25,IMPORTRANGE(""1QZ5UxyNCwadreQAXnQ7oCoH982DjIA-QnZdO7ZoqkC0/edit#gid=884617569"",""S3 Totals!$A$2:$O$255""),3,FALSE)"),0.0)</f>
        <v>0</v>
      </c>
      <c r="F25" s="15">
        <f t="shared" si="1"/>
        <v>0</v>
      </c>
      <c r="G25" s="16">
        <f>IFERROR(__xludf.DUMMYFUNCTION("VLOOKUP(A25,IMPORTRANGE(""1QZ5UxyNCwadreQAXnQ7oCoH982DjIA-QnZdO7ZoqkC0/edit#gid=884617569"",""S3 Totals!$A$2:$O$255""),4,FALSE)"),0.0)</f>
        <v>0</v>
      </c>
      <c r="H25" s="15">
        <f>IFERROR(__xludf.DUMMYFUNCTION("VLOOKUP(A25,IMPORTRANGE(""1QZ5UxyNCwadreQAXnQ7oCoH982DjIA-QnZdO7ZoqkC0/edit#gid=884617569"",""S3 Totals!$A$2:$O$255""),5,FALSE)"),0.0)</f>
        <v>0</v>
      </c>
      <c r="I25" s="143">
        <f t="shared" si="2"/>
        <v>0</v>
      </c>
      <c r="J25" s="16" t="str">
        <f>IFERROR(__xludf.DUMMYFUNCTION("VLOOKUP(A25,IMPORTRANGE(""1QZ5UxyNCwadreQAXnQ7oCoH982DjIA-QnZdO7ZoqkC0/edit#gid=884617569"",""S3 Totals!$A$2:$O$255""),7,FALSE)"),"")</f>
        <v/>
      </c>
      <c r="K25" s="15" t="str">
        <f>IFERROR(__xludf.DUMMYFUNCTION("VLOOKUP(A25,IMPORTRANGE(""1QZ5UxyNCwadreQAXnQ7oCoH982DjIA-QnZdO7ZoqkC0/edit#gid=884617569"",""S3 Totals!$A$2:$O$255""),8,FALSE)"),"")</f>
        <v/>
      </c>
      <c r="L25" s="110">
        <f t="shared" si="5"/>
        <v>0</v>
      </c>
      <c r="M25" s="16" t="str">
        <f>IFERROR(__xludf.DUMMYFUNCTION("VLOOKUP(A25,IMPORTRANGE(""1QZ5UxyNCwadreQAXnQ7oCoH982DjIA-QnZdO7ZoqkC0/edit#gid=884617569"",""S3 Totals!$A$2:$O$255""),10,FALSE)"),"")</f>
        <v/>
      </c>
      <c r="N25" s="15" t="str">
        <f>IFERROR(__xludf.DUMMYFUNCTION("VLOOKUP(A25,IMPORTRANGE(""1QZ5UxyNCwadreQAXnQ7oCoH982DjIA-QnZdO7ZoqkC0/edit#gid=884617569"",""S3 Totals!$A$2:$O$255""),11,FALSE)"),"")</f>
        <v/>
      </c>
      <c r="O25" s="110">
        <f t="shared" si="3"/>
        <v>0</v>
      </c>
      <c r="P25" s="16" t="str">
        <f>IFERROR(__xludf.DUMMYFUNCTION("VLOOKUP(A25,IMPORTRANGE(""1QZ5UxyNCwadreQAXnQ7oCoH982DjIA-QnZdO7ZoqkC0/edit#gid=884617569"",""S3 Totals!$A$2:$O$255""),13,FALSE)"),"")</f>
        <v/>
      </c>
      <c r="Q25" s="15" t="str">
        <f>IFERROR(__xludf.DUMMYFUNCTION("VLOOKUP(A25,IMPORTRANGE(""1QZ5UxyNCwadreQAXnQ7oCoH982DjIA-QnZdO7ZoqkC0/edit#gid=884617569"",""S3 Totals!$A$2:$O$255""),14,FALSE)"),"")</f>
        <v/>
      </c>
      <c r="R25" s="110">
        <f t="shared" si="4"/>
        <v>0</v>
      </c>
      <c r="S25" s="144"/>
    </row>
    <row r="26">
      <c r="A26" s="128" t="s">
        <v>215</v>
      </c>
      <c r="B26" s="16">
        <f>IFERROR(__xludf.DUMMYFUNCTION("VLOOKUP(A26,IMPORTRANGE(""1aFCnJY1qhIj8-JckJhDJ18aqmVo17tofpQmOjcYa3u8/edit#gid=1878241338"",""S3 Totals!$A$2:$O$255""),2,FALSE)"),36.0)</f>
        <v>36</v>
      </c>
      <c r="C26" s="15">
        <f>IFERROR(__xludf.DUMMYFUNCTION("VLOOKUP(A26,IMPORTRANGE(""1aFCnJY1qhIj8-JckJhDJ18aqmVo17tofpQmOjcYa3u8/edit#gid=1878241338"",""S3 Totals!$A$2:$O$255""),3,FALSE)"),0.4931506849315068)</f>
        <v>0.4931506849</v>
      </c>
      <c r="D26" s="16">
        <f>IFERROR(__xludf.DUMMYFUNCTION("VLOOKUP(A26,IMPORTRANGE(""1QZ5UxyNCwadreQAXnQ7oCoH982DjIA-QnZdO7ZoqkC0/edit#gid=884617569"",""S3 Totals!$A$2:$O$255""),2,FALSE)"),15.0)</f>
        <v>15</v>
      </c>
      <c r="E26" s="15">
        <f>IFERROR(__xludf.DUMMYFUNCTION("VLOOKUP(A26,IMPORTRANGE(""1QZ5UxyNCwadreQAXnQ7oCoH982DjIA-QnZdO7ZoqkC0/edit#gid=884617569"",""S3 Totals!$A$2:$O$255""),3,FALSE)"),0.20270270270270271)</f>
        <v>0.2027027027</v>
      </c>
      <c r="F26" s="15">
        <f t="shared" si="1"/>
        <v>0.2904479822</v>
      </c>
      <c r="G26" s="16">
        <f>IFERROR(__xludf.DUMMYFUNCTION("VLOOKUP(A26,IMPORTRANGE(""1QZ5UxyNCwadreQAXnQ7oCoH982DjIA-QnZdO7ZoqkC0/edit#gid=884617569"",""S3 Totals!$A$2:$O$255""),4,FALSE)"),11.0)</f>
        <v>11</v>
      </c>
      <c r="H26" s="15">
        <f>IFERROR(__xludf.DUMMYFUNCTION("VLOOKUP(A26,IMPORTRANGE(""1QZ5UxyNCwadreQAXnQ7oCoH982DjIA-QnZdO7ZoqkC0/edit#gid=884617569"",""S3 Totals!$A$2:$O$255""),5,FALSE)"),0.13924050632911392)</f>
        <v>0.1392405063</v>
      </c>
      <c r="I26" s="143">
        <f t="shared" si="2"/>
        <v>0.3539101786</v>
      </c>
      <c r="J26" s="16" t="str">
        <f>IFERROR(__xludf.DUMMYFUNCTION("VLOOKUP(A26,IMPORTRANGE(""1QZ5UxyNCwadreQAXnQ7oCoH982DjIA-QnZdO7ZoqkC0/edit#gid=884617569"",""S3 Totals!$A$2:$O$255""),7,FALSE)"),"")</f>
        <v/>
      </c>
      <c r="K26" s="15" t="str">
        <f>IFERROR(__xludf.DUMMYFUNCTION("VLOOKUP(A26,IMPORTRANGE(""1QZ5UxyNCwadreQAXnQ7oCoH982DjIA-QnZdO7ZoqkC0/edit#gid=884617569"",""S3 Totals!$A$2:$O$255""),8,FALSE)"),"")</f>
        <v/>
      </c>
      <c r="L26" s="110">
        <f t="shared" si="5"/>
        <v>0.2027027027</v>
      </c>
      <c r="M26" s="16" t="str">
        <f>IFERROR(__xludf.DUMMYFUNCTION("VLOOKUP(A26,IMPORTRANGE(""1QZ5UxyNCwadreQAXnQ7oCoH982DjIA-QnZdO7ZoqkC0/edit#gid=884617569"",""S3 Totals!$A$2:$O$255""),10,FALSE)"),"")</f>
        <v/>
      </c>
      <c r="N26" s="15" t="str">
        <f>IFERROR(__xludf.DUMMYFUNCTION("VLOOKUP(A26,IMPORTRANGE(""1QZ5UxyNCwadreQAXnQ7oCoH982DjIA-QnZdO7ZoqkC0/edit#gid=884617569"",""S3 Totals!$A$2:$O$255""),11,FALSE)"),"")</f>
        <v/>
      </c>
      <c r="O26" s="110">
        <f t="shared" si="3"/>
        <v>0.4931506849</v>
      </c>
      <c r="P26" s="16" t="str">
        <f>IFERROR(__xludf.DUMMYFUNCTION("VLOOKUP(A26,IMPORTRANGE(""1QZ5UxyNCwadreQAXnQ7oCoH982DjIA-QnZdO7ZoqkC0/edit#gid=884617569"",""S3 Totals!$A$2:$O$255""),13,FALSE)"),"")</f>
        <v/>
      </c>
      <c r="Q26" s="15" t="str">
        <f>IFERROR(__xludf.DUMMYFUNCTION("VLOOKUP(A26,IMPORTRANGE(""1QZ5UxyNCwadreQAXnQ7oCoH982DjIA-QnZdO7ZoqkC0/edit#gid=884617569"",""S3 Totals!$A$2:$O$255""),14,FALSE)"),"")</f>
        <v/>
      </c>
      <c r="R26" s="110">
        <f t="shared" si="4"/>
        <v>0.4931506849</v>
      </c>
      <c r="S26" s="144"/>
    </row>
    <row r="27">
      <c r="A27" s="128" t="s">
        <v>216</v>
      </c>
      <c r="B27" s="16">
        <f>IFERROR(__xludf.DUMMYFUNCTION("VLOOKUP(A27,IMPORTRANGE(""1aFCnJY1qhIj8-JckJhDJ18aqmVo17tofpQmOjcYa3u8/edit#gid=1878241338"",""S3 Totals!$A$2:$O$255""),2,FALSE)"),0.0)</f>
        <v>0</v>
      </c>
      <c r="C27" s="15">
        <f>IFERROR(__xludf.DUMMYFUNCTION("VLOOKUP(A27,IMPORTRANGE(""1aFCnJY1qhIj8-JckJhDJ18aqmVo17tofpQmOjcYa3u8/edit#gid=1878241338"",""S3 Totals!$A$2:$O$255""),3,FALSE)"),0.0)</f>
        <v>0</v>
      </c>
      <c r="D27" s="16">
        <f>IFERROR(__xludf.DUMMYFUNCTION("VLOOKUP(A27,IMPORTRANGE(""1QZ5UxyNCwadreQAXnQ7oCoH982DjIA-QnZdO7ZoqkC0/edit#gid=884617569"",""S3 Totals!$A$2:$O$255""),2,FALSE)"),0.0)</f>
        <v>0</v>
      </c>
      <c r="E27" s="15">
        <f>IFERROR(__xludf.DUMMYFUNCTION("VLOOKUP(A27,IMPORTRANGE(""1QZ5UxyNCwadreQAXnQ7oCoH982DjIA-QnZdO7ZoqkC0/edit#gid=884617569"",""S3 Totals!$A$2:$O$255""),3,FALSE)"),0.0)</f>
        <v>0</v>
      </c>
      <c r="F27" s="15">
        <f t="shared" si="1"/>
        <v>0</v>
      </c>
      <c r="G27" s="16">
        <f>IFERROR(__xludf.DUMMYFUNCTION("VLOOKUP(A27,IMPORTRANGE(""1QZ5UxyNCwadreQAXnQ7oCoH982DjIA-QnZdO7ZoqkC0/edit#gid=884617569"",""S3 Totals!$A$2:$O$255""),4,FALSE)"),0.0)</f>
        <v>0</v>
      </c>
      <c r="H27" s="15">
        <f>IFERROR(__xludf.DUMMYFUNCTION("VLOOKUP(A27,IMPORTRANGE(""1QZ5UxyNCwadreQAXnQ7oCoH982DjIA-QnZdO7ZoqkC0/edit#gid=884617569"",""S3 Totals!$A$2:$O$255""),5,FALSE)"),0.0)</f>
        <v>0</v>
      </c>
      <c r="I27" s="143">
        <f t="shared" si="2"/>
        <v>0</v>
      </c>
      <c r="J27" s="16" t="str">
        <f>IFERROR(__xludf.DUMMYFUNCTION("VLOOKUP(A27,IMPORTRANGE(""1QZ5UxyNCwadreQAXnQ7oCoH982DjIA-QnZdO7ZoqkC0/edit#gid=884617569"",""S3 Totals!$A$2:$O$255""),7,FALSE)"),"")</f>
        <v/>
      </c>
      <c r="K27" s="15" t="str">
        <f>IFERROR(__xludf.DUMMYFUNCTION("VLOOKUP(A27,IMPORTRANGE(""1QZ5UxyNCwadreQAXnQ7oCoH982DjIA-QnZdO7ZoqkC0/edit#gid=884617569"",""S3 Totals!$A$2:$O$255""),8,FALSE)"),"")</f>
        <v/>
      </c>
      <c r="L27" s="110">
        <f t="shared" si="5"/>
        <v>0</v>
      </c>
      <c r="M27" s="16" t="str">
        <f>IFERROR(__xludf.DUMMYFUNCTION("VLOOKUP(A27,IMPORTRANGE(""1QZ5UxyNCwadreQAXnQ7oCoH982DjIA-QnZdO7ZoqkC0/edit#gid=884617569"",""S3 Totals!$A$2:$O$255""),10,FALSE)"),"")</f>
        <v/>
      </c>
      <c r="N27" s="15" t="str">
        <f>IFERROR(__xludf.DUMMYFUNCTION("VLOOKUP(A27,IMPORTRANGE(""1QZ5UxyNCwadreQAXnQ7oCoH982DjIA-QnZdO7ZoqkC0/edit#gid=884617569"",""S3 Totals!$A$2:$O$255""),11,FALSE)"),"")</f>
        <v/>
      </c>
      <c r="O27" s="110">
        <f t="shared" si="3"/>
        <v>0</v>
      </c>
      <c r="P27" s="16" t="str">
        <f>IFERROR(__xludf.DUMMYFUNCTION("VLOOKUP(A27,IMPORTRANGE(""1QZ5UxyNCwadreQAXnQ7oCoH982DjIA-QnZdO7ZoqkC0/edit#gid=884617569"",""S3 Totals!$A$2:$O$255""),13,FALSE)"),"")</f>
        <v/>
      </c>
      <c r="Q27" s="15" t="str">
        <f>IFERROR(__xludf.DUMMYFUNCTION("VLOOKUP(A27,IMPORTRANGE(""1QZ5UxyNCwadreQAXnQ7oCoH982DjIA-QnZdO7ZoqkC0/edit#gid=884617569"",""S3 Totals!$A$2:$O$255""),14,FALSE)"),"")</f>
        <v/>
      </c>
      <c r="R27" s="110">
        <f t="shared" si="4"/>
        <v>0</v>
      </c>
      <c r="S27" s="144"/>
    </row>
    <row r="28">
      <c r="A28" s="128" t="s">
        <v>114</v>
      </c>
      <c r="B28" s="16">
        <f>IFERROR(__xludf.DUMMYFUNCTION("VLOOKUP(A28,IMPORTRANGE(""1aFCnJY1qhIj8-JckJhDJ18aqmVo17tofpQmOjcYa3u8/edit#gid=1878241338"",""S3 Totals!$A$2:$O$255""),2,FALSE)"),0.0)</f>
        <v>0</v>
      </c>
      <c r="C28" s="15">
        <f>IFERROR(__xludf.DUMMYFUNCTION("VLOOKUP(A28,IMPORTRANGE(""1aFCnJY1qhIj8-JckJhDJ18aqmVo17tofpQmOjcYa3u8/edit#gid=1878241338"",""S3 Totals!$A$2:$O$255""),3,FALSE)"),0.0)</f>
        <v>0</v>
      </c>
      <c r="D28" s="16">
        <f>IFERROR(__xludf.DUMMYFUNCTION("VLOOKUP(A28,IMPORTRANGE(""1QZ5UxyNCwadreQAXnQ7oCoH982DjIA-QnZdO7ZoqkC0/edit#gid=884617569"",""S3 Totals!$A$2:$O$255""),2,FALSE)"),0.0)</f>
        <v>0</v>
      </c>
      <c r="E28" s="15">
        <f>IFERROR(__xludf.DUMMYFUNCTION("VLOOKUP(A28,IMPORTRANGE(""1QZ5UxyNCwadreQAXnQ7oCoH982DjIA-QnZdO7ZoqkC0/edit#gid=884617569"",""S3 Totals!$A$2:$O$255""),3,FALSE)"),0.0)</f>
        <v>0</v>
      </c>
      <c r="F28" s="15">
        <f t="shared" si="1"/>
        <v>0</v>
      </c>
      <c r="G28" s="16">
        <f>IFERROR(__xludf.DUMMYFUNCTION("VLOOKUP(A28,IMPORTRANGE(""1QZ5UxyNCwadreQAXnQ7oCoH982DjIA-QnZdO7ZoqkC0/edit#gid=884617569"",""S3 Totals!$A$2:$O$255""),4,FALSE)"),1.0)</f>
        <v>1</v>
      </c>
      <c r="H28" s="15">
        <f>IFERROR(__xludf.DUMMYFUNCTION("VLOOKUP(A28,IMPORTRANGE(""1QZ5UxyNCwadreQAXnQ7oCoH982DjIA-QnZdO7ZoqkC0/edit#gid=884617569"",""S3 Totals!$A$2:$O$255""),5,FALSE)"),0.012658227848101266)</f>
        <v>0.01265822785</v>
      </c>
      <c r="I28" s="143">
        <f t="shared" si="2"/>
        <v>-0.01265822785</v>
      </c>
      <c r="J28" s="16">
        <f>IFERROR(__xludf.DUMMYFUNCTION("VLOOKUP(A28,IMPORTRANGE(""1QZ5UxyNCwadreQAXnQ7oCoH982DjIA-QnZdO7ZoqkC0/edit#gid=884617569"",""S3 Totals!$A$2:$O$255""),7,FALSE)"),0.0)</f>
        <v>0</v>
      </c>
      <c r="K28" s="15">
        <f>IFERROR(__xludf.DUMMYFUNCTION("VLOOKUP(A28,IMPORTRANGE(""1QZ5UxyNCwadreQAXnQ7oCoH982DjIA-QnZdO7ZoqkC0/edit#gid=884617569"",""S3 Totals!$A$2:$O$255""),8,FALSE)"),0.0)</f>
        <v>0</v>
      </c>
      <c r="L28" s="110">
        <f t="shared" si="5"/>
        <v>0</v>
      </c>
      <c r="M28" s="16">
        <f>IFERROR(__xludf.DUMMYFUNCTION("VLOOKUP(A28,IMPORTRANGE(""1QZ5UxyNCwadreQAXnQ7oCoH982DjIA-QnZdO7ZoqkC0/edit#gid=884617569"",""S3 Totals!$A$2:$O$255""),10,FALSE)"),0.0)</f>
        <v>0</v>
      </c>
      <c r="N28" s="15">
        <f>IFERROR(__xludf.DUMMYFUNCTION("VLOOKUP(A28,IMPORTRANGE(""1QZ5UxyNCwadreQAXnQ7oCoH982DjIA-QnZdO7ZoqkC0/edit#gid=884617569"",""S3 Totals!$A$2:$O$255""),11,FALSE)"),0.0)</f>
        <v>0</v>
      </c>
      <c r="O28" s="110">
        <f t="shared" si="3"/>
        <v>0</v>
      </c>
      <c r="P28" s="16" t="str">
        <f>IFERROR(__xludf.DUMMYFUNCTION("VLOOKUP(A28,IMPORTRANGE(""1QZ5UxyNCwadreQAXnQ7oCoH982DjIA-QnZdO7ZoqkC0/edit#gid=884617569"",""S3 Totals!$A$2:$O$255""),13,FALSE)"),"")</f>
        <v/>
      </c>
      <c r="Q28" s="15" t="str">
        <f>IFERROR(__xludf.DUMMYFUNCTION("VLOOKUP(A28,IMPORTRANGE(""1QZ5UxyNCwadreQAXnQ7oCoH982DjIA-QnZdO7ZoqkC0/edit#gid=884617569"",""S3 Totals!$A$2:$O$255""),14,FALSE)"),"")</f>
        <v/>
      </c>
      <c r="R28" s="110">
        <f t="shared" si="4"/>
        <v>0</v>
      </c>
      <c r="S28" s="144"/>
    </row>
    <row r="29">
      <c r="A29" s="128" t="s">
        <v>115</v>
      </c>
      <c r="B29" s="16">
        <f>IFERROR(__xludf.DUMMYFUNCTION("VLOOKUP(A29,IMPORTRANGE(""1aFCnJY1qhIj8-JckJhDJ18aqmVo17tofpQmOjcYa3u8/edit#gid=1878241338"",""S3 Totals!$A$2:$O$255""),2,FALSE)"),29.0)</f>
        <v>29</v>
      </c>
      <c r="C29" s="15">
        <f>IFERROR(__xludf.DUMMYFUNCTION("VLOOKUP(A29,IMPORTRANGE(""1aFCnJY1qhIj8-JckJhDJ18aqmVo17tofpQmOjcYa3u8/edit#gid=1878241338"",""S3 Totals!$A$2:$O$255""),3,FALSE)"),0.3972602739726027)</f>
        <v>0.397260274</v>
      </c>
      <c r="D29" s="16">
        <f>IFERROR(__xludf.DUMMYFUNCTION("VLOOKUP(A29,IMPORTRANGE(""1QZ5UxyNCwadreQAXnQ7oCoH982DjIA-QnZdO7ZoqkC0/edit#gid=884617569"",""S3 Totals!$A$2:$O$255""),2,FALSE)"),30.0)</f>
        <v>30</v>
      </c>
      <c r="E29" s="15">
        <f>IFERROR(__xludf.DUMMYFUNCTION("VLOOKUP(A29,IMPORTRANGE(""1QZ5UxyNCwadreQAXnQ7oCoH982DjIA-QnZdO7ZoqkC0/edit#gid=884617569"",""S3 Totals!$A$2:$O$255""),3,FALSE)"),0.40540540540540543)</f>
        <v>0.4054054054</v>
      </c>
      <c r="F29" s="15">
        <f t="shared" si="1"/>
        <v>-0.008145131433</v>
      </c>
      <c r="G29" s="16">
        <f>IFERROR(__xludf.DUMMYFUNCTION("VLOOKUP(A29,IMPORTRANGE(""1QZ5UxyNCwadreQAXnQ7oCoH982DjIA-QnZdO7ZoqkC0/edit#gid=884617569"",""S3 Totals!$A$2:$O$255""),4,FALSE)"),39.0)</f>
        <v>39</v>
      </c>
      <c r="H29" s="15">
        <f>IFERROR(__xludf.DUMMYFUNCTION("VLOOKUP(A29,IMPORTRANGE(""1QZ5UxyNCwadreQAXnQ7oCoH982DjIA-QnZdO7ZoqkC0/edit#gid=884617569"",""S3 Totals!$A$2:$O$255""),5,FALSE)"),0.4936708860759494)</f>
        <v>0.4936708861</v>
      </c>
      <c r="I29" s="143">
        <f t="shared" si="2"/>
        <v>-0.0964106121</v>
      </c>
      <c r="J29" s="16">
        <f>IFERROR(__xludf.DUMMYFUNCTION("VLOOKUP(A29,IMPORTRANGE(""1QZ5UxyNCwadreQAXnQ7oCoH982DjIA-QnZdO7ZoqkC0/edit#gid=884617569"",""S3 Totals!$A$2:$O$255""),7,FALSE)"),36.0)</f>
        <v>36</v>
      </c>
      <c r="K29" s="15">
        <f>IFERROR(__xludf.DUMMYFUNCTION("VLOOKUP(A29,IMPORTRANGE(""1QZ5UxyNCwadreQAXnQ7oCoH982DjIA-QnZdO7ZoqkC0/edit#gid=884617569"",""S3 Totals!$A$2:$O$255""),8,FALSE)"),0.4235294117647059)</f>
        <v>0.4235294118</v>
      </c>
      <c r="L29" s="110">
        <f t="shared" si="5"/>
        <v>-0.01812400636</v>
      </c>
      <c r="M29" s="16">
        <f>IFERROR(__xludf.DUMMYFUNCTION("VLOOKUP(A29,IMPORTRANGE(""1QZ5UxyNCwadreQAXnQ7oCoH982DjIA-QnZdO7ZoqkC0/edit#gid=884617569"",""S3 Totals!$A$2:$O$255""),10,FALSE)"),18.0)</f>
        <v>18</v>
      </c>
      <c r="N29" s="15">
        <f>IFERROR(__xludf.DUMMYFUNCTION("VLOOKUP(A29,IMPORTRANGE(""1QZ5UxyNCwadreQAXnQ7oCoH982DjIA-QnZdO7ZoqkC0/edit#gid=884617569"",""S3 Totals!$A$2:$O$255""),11,FALSE)"),0.21176470588235294)</f>
        <v>0.2117647059</v>
      </c>
      <c r="O29" s="110">
        <f t="shared" si="3"/>
        <v>0.1854955681</v>
      </c>
      <c r="P29" s="16" t="str">
        <f>IFERROR(__xludf.DUMMYFUNCTION("VLOOKUP(A29,IMPORTRANGE(""1QZ5UxyNCwadreQAXnQ7oCoH982DjIA-QnZdO7ZoqkC0/edit#gid=884617569"",""S3 Totals!$A$2:$O$255""),13,FALSE)"),"")</f>
        <v/>
      </c>
      <c r="Q29" s="15" t="str">
        <f>IFERROR(__xludf.DUMMYFUNCTION("VLOOKUP(A29,IMPORTRANGE(""1QZ5UxyNCwadreQAXnQ7oCoH982DjIA-QnZdO7ZoqkC0/edit#gid=884617569"",""S3 Totals!$A$2:$O$255""),14,FALSE)"),"")</f>
        <v/>
      </c>
      <c r="R29" s="110">
        <f t="shared" si="4"/>
        <v>0.397260274</v>
      </c>
      <c r="S29" s="144"/>
    </row>
    <row r="30">
      <c r="A30" s="128" t="s">
        <v>166</v>
      </c>
      <c r="B30" s="16">
        <f>IFERROR(__xludf.DUMMYFUNCTION("VLOOKUP(A30,IMPORTRANGE(""1aFCnJY1qhIj8-JckJhDJ18aqmVo17tofpQmOjcYa3u8/edit#gid=1878241338"",""S3 Totals!$A$2:$O$255""),2,FALSE)"),14.0)</f>
        <v>14</v>
      </c>
      <c r="C30" s="15">
        <f>IFERROR(__xludf.DUMMYFUNCTION("VLOOKUP(A30,IMPORTRANGE(""1aFCnJY1qhIj8-JckJhDJ18aqmVo17tofpQmOjcYa3u8/edit#gid=1878241338"",""S3 Totals!$A$2:$O$255""),3,FALSE)"),0.1917808219178082)</f>
        <v>0.1917808219</v>
      </c>
      <c r="D30" s="16">
        <f>IFERROR(__xludf.DUMMYFUNCTION("VLOOKUP(A30,IMPORTRANGE(""1QZ5UxyNCwadreQAXnQ7oCoH982DjIA-QnZdO7ZoqkC0/edit#gid=884617569"",""S3 Totals!$A$2:$O$255""),2,FALSE)"),13.0)</f>
        <v>13</v>
      </c>
      <c r="E30" s="15">
        <f>IFERROR(__xludf.DUMMYFUNCTION("VLOOKUP(A30,IMPORTRANGE(""1QZ5UxyNCwadreQAXnQ7oCoH982DjIA-QnZdO7ZoqkC0/edit#gid=884617569"",""S3 Totals!$A$2:$O$255""),3,FALSE)"),0.17567567567567569)</f>
        <v>0.1756756757</v>
      </c>
      <c r="F30" s="15">
        <f t="shared" si="1"/>
        <v>0.01610514624</v>
      </c>
      <c r="G30" s="16">
        <f>IFERROR(__xludf.DUMMYFUNCTION("VLOOKUP(A30,IMPORTRANGE(""1QZ5UxyNCwadreQAXnQ7oCoH982DjIA-QnZdO7ZoqkC0/edit#gid=884617569"",""S3 Totals!$A$2:$O$255""),4,FALSE)"),0.0)</f>
        <v>0</v>
      </c>
      <c r="H30" s="15">
        <f>IFERROR(__xludf.DUMMYFUNCTION("VLOOKUP(A30,IMPORTRANGE(""1QZ5UxyNCwadreQAXnQ7oCoH982DjIA-QnZdO7ZoqkC0/edit#gid=884617569"",""S3 Totals!$A$2:$O$255""),5,FALSE)"),0.0)</f>
        <v>0</v>
      </c>
      <c r="I30" s="143">
        <f t="shared" si="2"/>
        <v>0.1917808219</v>
      </c>
      <c r="J30" s="16">
        <f>IFERROR(__xludf.DUMMYFUNCTION("VLOOKUP(A30,IMPORTRANGE(""1QZ5UxyNCwadreQAXnQ7oCoH982DjIA-QnZdO7ZoqkC0/edit#gid=884617569"",""S3 Totals!$A$2:$O$255""),7,FALSE)"),0.0)</f>
        <v>0</v>
      </c>
      <c r="K30" s="15">
        <f>IFERROR(__xludf.DUMMYFUNCTION("VLOOKUP(A30,IMPORTRANGE(""1QZ5UxyNCwadreQAXnQ7oCoH982DjIA-QnZdO7ZoqkC0/edit#gid=884617569"",""S3 Totals!$A$2:$O$255""),8,FALSE)"),0.0)</f>
        <v>0</v>
      </c>
      <c r="L30" s="110">
        <f t="shared" si="5"/>
        <v>0.1756756757</v>
      </c>
      <c r="M30" s="16" t="str">
        <f>IFERROR(__xludf.DUMMYFUNCTION("VLOOKUP(A30,IMPORTRANGE(""1QZ5UxyNCwadreQAXnQ7oCoH982DjIA-QnZdO7ZoqkC0/edit#gid=884617569"",""S3 Totals!$A$2:$O$255""),10,FALSE)"),"")</f>
        <v/>
      </c>
      <c r="N30" s="15" t="str">
        <f>IFERROR(__xludf.DUMMYFUNCTION("VLOOKUP(A30,IMPORTRANGE(""1QZ5UxyNCwadreQAXnQ7oCoH982DjIA-QnZdO7ZoqkC0/edit#gid=884617569"",""S3 Totals!$A$2:$O$255""),11,FALSE)"),"")</f>
        <v/>
      </c>
      <c r="O30" s="110">
        <f t="shared" si="3"/>
        <v>0.1917808219</v>
      </c>
      <c r="P30" s="16" t="str">
        <f>IFERROR(__xludf.DUMMYFUNCTION("VLOOKUP(A30,IMPORTRANGE(""1QZ5UxyNCwadreQAXnQ7oCoH982DjIA-QnZdO7ZoqkC0/edit#gid=884617569"",""S3 Totals!$A$2:$O$255""),13,FALSE)"),"")</f>
        <v/>
      </c>
      <c r="Q30" s="15" t="str">
        <f>IFERROR(__xludf.DUMMYFUNCTION("VLOOKUP(A30,IMPORTRANGE(""1QZ5UxyNCwadreQAXnQ7oCoH982DjIA-QnZdO7ZoqkC0/edit#gid=884617569"",""S3 Totals!$A$2:$O$255""),14,FALSE)"),"")</f>
        <v/>
      </c>
      <c r="R30" s="110">
        <f t="shared" si="4"/>
        <v>0.1917808219</v>
      </c>
      <c r="S30" s="144"/>
    </row>
    <row r="31">
      <c r="A31" s="128" t="s">
        <v>217</v>
      </c>
      <c r="B31" s="16">
        <f>IFERROR(__xludf.DUMMYFUNCTION("VLOOKUP(A31,IMPORTRANGE(""1aFCnJY1qhIj8-JckJhDJ18aqmVo17tofpQmOjcYa3u8/edit#gid=1878241338"",""S3 Totals!$A$2:$O$255""),2,FALSE)"),0.0)</f>
        <v>0</v>
      </c>
      <c r="C31" s="15">
        <f>IFERROR(__xludf.DUMMYFUNCTION("VLOOKUP(A31,IMPORTRANGE(""1aFCnJY1qhIj8-JckJhDJ18aqmVo17tofpQmOjcYa3u8/edit#gid=1878241338"",""S3 Totals!$A$2:$O$255""),3,FALSE)"),0.0)</f>
        <v>0</v>
      </c>
      <c r="D31" s="16">
        <f>IFERROR(__xludf.DUMMYFUNCTION("VLOOKUP(A31,IMPORTRANGE(""1QZ5UxyNCwadreQAXnQ7oCoH982DjIA-QnZdO7ZoqkC0/edit#gid=884617569"",""S3 Totals!$A$2:$O$255""),2,FALSE)"),0.0)</f>
        <v>0</v>
      </c>
      <c r="E31" s="15">
        <f>IFERROR(__xludf.DUMMYFUNCTION("VLOOKUP(A31,IMPORTRANGE(""1QZ5UxyNCwadreQAXnQ7oCoH982DjIA-QnZdO7ZoqkC0/edit#gid=884617569"",""S3 Totals!$A$2:$O$255""),3,FALSE)"),0.0)</f>
        <v>0</v>
      </c>
      <c r="F31" s="15">
        <f t="shared" si="1"/>
        <v>0</v>
      </c>
      <c r="G31" s="16">
        <f>IFERROR(__xludf.DUMMYFUNCTION("VLOOKUP(A31,IMPORTRANGE(""1QZ5UxyNCwadreQAXnQ7oCoH982DjIA-QnZdO7ZoqkC0/edit#gid=884617569"",""S3 Totals!$A$2:$O$255""),4,FALSE)"),0.0)</f>
        <v>0</v>
      </c>
      <c r="H31" s="15">
        <f>IFERROR(__xludf.DUMMYFUNCTION("VLOOKUP(A31,IMPORTRANGE(""1QZ5UxyNCwadreQAXnQ7oCoH982DjIA-QnZdO7ZoqkC0/edit#gid=884617569"",""S3 Totals!$A$2:$O$255""),5,FALSE)"),0.0)</f>
        <v>0</v>
      </c>
      <c r="I31" s="143">
        <f t="shared" si="2"/>
        <v>0</v>
      </c>
      <c r="J31" s="16" t="str">
        <f>IFERROR(__xludf.DUMMYFUNCTION("VLOOKUP(A31,IMPORTRANGE(""1QZ5UxyNCwadreQAXnQ7oCoH982DjIA-QnZdO7ZoqkC0/edit#gid=884617569"",""S3 Totals!$A$2:$O$255""),7,FALSE)"),"")</f>
        <v/>
      </c>
      <c r="K31" s="15" t="str">
        <f>IFERROR(__xludf.DUMMYFUNCTION("VLOOKUP(A31,IMPORTRANGE(""1QZ5UxyNCwadreQAXnQ7oCoH982DjIA-QnZdO7ZoqkC0/edit#gid=884617569"",""S3 Totals!$A$2:$O$255""),8,FALSE)"),"")</f>
        <v/>
      </c>
      <c r="L31" s="110">
        <f t="shared" si="5"/>
        <v>0</v>
      </c>
      <c r="M31" s="16" t="str">
        <f>IFERROR(__xludf.DUMMYFUNCTION("VLOOKUP(A31,IMPORTRANGE(""1QZ5UxyNCwadreQAXnQ7oCoH982DjIA-QnZdO7ZoqkC0/edit#gid=884617569"",""S3 Totals!$A$2:$O$255""),10,FALSE)"),"")</f>
        <v/>
      </c>
      <c r="N31" s="15" t="str">
        <f>IFERROR(__xludf.DUMMYFUNCTION("VLOOKUP(A31,IMPORTRANGE(""1QZ5UxyNCwadreQAXnQ7oCoH982DjIA-QnZdO7ZoqkC0/edit#gid=884617569"",""S3 Totals!$A$2:$O$255""),11,FALSE)"),"")</f>
        <v/>
      </c>
      <c r="O31" s="110">
        <f t="shared" si="3"/>
        <v>0</v>
      </c>
      <c r="P31" s="16" t="str">
        <f>IFERROR(__xludf.DUMMYFUNCTION("VLOOKUP(A31,IMPORTRANGE(""1QZ5UxyNCwadreQAXnQ7oCoH982DjIA-QnZdO7ZoqkC0/edit#gid=884617569"",""S3 Totals!$A$2:$O$255""),13,FALSE)"),"")</f>
        <v/>
      </c>
      <c r="Q31" s="15" t="str">
        <f>IFERROR(__xludf.DUMMYFUNCTION("VLOOKUP(A31,IMPORTRANGE(""1QZ5UxyNCwadreQAXnQ7oCoH982DjIA-QnZdO7ZoqkC0/edit#gid=884617569"",""S3 Totals!$A$2:$O$255""),14,FALSE)"),"")</f>
        <v/>
      </c>
      <c r="R31" s="110">
        <f t="shared" si="4"/>
        <v>0</v>
      </c>
      <c r="S31" s="144"/>
    </row>
    <row r="32">
      <c r="A32" s="128" t="s">
        <v>32</v>
      </c>
      <c r="B32" s="16">
        <f>IFERROR(__xludf.DUMMYFUNCTION("VLOOKUP(A32,IMPORTRANGE(""1aFCnJY1qhIj8-JckJhDJ18aqmVo17tofpQmOjcYa3u8/edit#gid=1878241338"",""S3 Totals!$A$2:$O$255""),2,FALSE)"),8.0)</f>
        <v>8</v>
      </c>
      <c r="C32" s="15">
        <f>IFERROR(__xludf.DUMMYFUNCTION("VLOOKUP(A32,IMPORTRANGE(""1aFCnJY1qhIj8-JckJhDJ18aqmVo17tofpQmOjcYa3u8/edit#gid=1878241338"",""S3 Totals!$A$2:$O$255""),3,FALSE)"),0.1095890410958904)</f>
        <v>0.1095890411</v>
      </c>
      <c r="D32" s="16">
        <f>IFERROR(__xludf.DUMMYFUNCTION("VLOOKUP(A32,IMPORTRANGE(""1QZ5UxyNCwadreQAXnQ7oCoH982DjIA-QnZdO7ZoqkC0/edit#gid=884617569"",""S3 Totals!$A$2:$O$255""),2,FALSE)"),8.0)</f>
        <v>8</v>
      </c>
      <c r="E32" s="15">
        <f>IFERROR(__xludf.DUMMYFUNCTION("VLOOKUP(A32,IMPORTRANGE(""1QZ5UxyNCwadreQAXnQ7oCoH982DjIA-QnZdO7ZoqkC0/edit#gid=884617569"",""S3 Totals!$A$2:$O$255""),3,FALSE)"),0.10810810810810811)</f>
        <v>0.1081081081</v>
      </c>
      <c r="F32" s="15">
        <f t="shared" si="1"/>
        <v>0.001480932988</v>
      </c>
      <c r="G32" s="16">
        <f>IFERROR(__xludf.DUMMYFUNCTION("VLOOKUP(A32,IMPORTRANGE(""1QZ5UxyNCwadreQAXnQ7oCoH982DjIA-QnZdO7ZoqkC0/edit#gid=884617569"",""S3 Totals!$A$2:$O$255""),4,FALSE)"),10.0)</f>
        <v>10</v>
      </c>
      <c r="H32" s="15">
        <f>IFERROR(__xludf.DUMMYFUNCTION("VLOOKUP(A32,IMPORTRANGE(""1QZ5UxyNCwadreQAXnQ7oCoH982DjIA-QnZdO7ZoqkC0/edit#gid=884617569"",""S3 Totals!$A$2:$O$255""),5,FALSE)"),0.12658227848101267)</f>
        <v>0.1265822785</v>
      </c>
      <c r="I32" s="143">
        <f t="shared" si="2"/>
        <v>-0.01699323739</v>
      </c>
      <c r="J32" s="16">
        <f>IFERROR(__xludf.DUMMYFUNCTION("VLOOKUP(A32,IMPORTRANGE(""1QZ5UxyNCwadreQAXnQ7oCoH982DjIA-QnZdO7ZoqkC0/edit#gid=884617569"",""S3 Totals!$A$2:$O$255""),7,FALSE)"),1.0)</f>
        <v>1</v>
      </c>
      <c r="K32" s="15">
        <f>IFERROR(__xludf.DUMMYFUNCTION("VLOOKUP(A32,IMPORTRANGE(""1QZ5UxyNCwadreQAXnQ7oCoH982DjIA-QnZdO7ZoqkC0/edit#gid=884617569"",""S3 Totals!$A$2:$O$255""),8,FALSE)"),0.011764705882352941)</f>
        <v>0.01176470588</v>
      </c>
      <c r="L32" s="110">
        <f t="shared" si="5"/>
        <v>0.09634340223</v>
      </c>
      <c r="M32" s="16">
        <f>IFERROR(__xludf.DUMMYFUNCTION("VLOOKUP(A32,IMPORTRANGE(""1QZ5UxyNCwadreQAXnQ7oCoH982DjIA-QnZdO7ZoqkC0/edit#gid=884617569"",""S3 Totals!$A$2:$O$255""),10,FALSE)"),1.0)</f>
        <v>1</v>
      </c>
      <c r="N32" s="15">
        <f>IFERROR(__xludf.DUMMYFUNCTION("VLOOKUP(A32,IMPORTRANGE(""1QZ5UxyNCwadreQAXnQ7oCoH982DjIA-QnZdO7ZoqkC0/edit#gid=884617569"",""S3 Totals!$A$2:$O$255""),11,FALSE)"),0.011764705882352941)</f>
        <v>0.01176470588</v>
      </c>
      <c r="O32" s="110">
        <f t="shared" si="3"/>
        <v>0.09782433521</v>
      </c>
      <c r="P32" s="16">
        <f>IFERROR(__xludf.DUMMYFUNCTION("VLOOKUP(A32,IMPORTRANGE(""1QZ5UxyNCwadreQAXnQ7oCoH982DjIA-QnZdO7ZoqkC0/edit#gid=884617569"",""S3 Totals!$A$2:$O$255""),13,FALSE)"),1.0)</f>
        <v>1</v>
      </c>
      <c r="Q32" s="15">
        <f>IFERROR(__xludf.DUMMYFUNCTION("VLOOKUP(A32,IMPORTRANGE(""1QZ5UxyNCwadreQAXnQ7oCoH982DjIA-QnZdO7ZoqkC0/edit#gid=884617569"",""S3 Totals!$A$2:$O$255""),14,FALSE)"),0.011764705882352941)</f>
        <v>0.01176470588</v>
      </c>
      <c r="R32" s="110">
        <f t="shared" si="4"/>
        <v>0.09782433521</v>
      </c>
      <c r="S32" s="144"/>
    </row>
    <row r="33">
      <c r="A33" s="131" t="s">
        <v>333</v>
      </c>
      <c r="B33" s="16" t="str">
        <f>IFERROR(__xludf.DUMMYFUNCTION("VLOOKUP(A33,IMPORTRANGE(""1aFCnJY1qhIj8-JckJhDJ18aqmVo17tofpQmOjcYa3u8/edit#gid=1878241338"",""S3 Totals!$A$2:$O$255""),2,FALSE)"),"#N/A")</f>
        <v>#N/A</v>
      </c>
      <c r="C33" s="15" t="str">
        <f>IFERROR(__xludf.DUMMYFUNCTION("VLOOKUP(A33,IMPORTRANGE(""1aFCnJY1qhIj8-JckJhDJ18aqmVo17tofpQmOjcYa3u8/edit#gid=1878241338"",""S3 Totals!$A$2:$O$255""),3,FALSE)"),"#N/A")</f>
        <v>#N/A</v>
      </c>
      <c r="D33" s="16" t="str">
        <f>IFERROR(__xludf.DUMMYFUNCTION("VLOOKUP(A33,IMPORTRANGE(""1QZ5UxyNCwadreQAXnQ7oCoH982DjIA-QnZdO7ZoqkC0/edit#gid=884617569"",""S3 Totals!$A$2:$O$255""),2,FALSE)"),"#N/A")</f>
        <v>#N/A</v>
      </c>
      <c r="E33" s="15" t="str">
        <f>IFERROR(__xludf.DUMMYFUNCTION("VLOOKUP(A33,IMPORTRANGE(""1QZ5UxyNCwadreQAXnQ7oCoH982DjIA-QnZdO7ZoqkC0/edit#gid=884617569"",""S3 Totals!$A$2:$O$255""),3,FALSE)"),"#N/A")</f>
        <v>#N/A</v>
      </c>
      <c r="F33" s="16" t="str">
        <f t="shared" si="1"/>
        <v>#N/A</v>
      </c>
      <c r="G33" s="16" t="str">
        <f>IFERROR(__xludf.DUMMYFUNCTION("VLOOKUP(A33,IMPORTRANGE(""1QZ5UxyNCwadreQAXnQ7oCoH982DjIA-QnZdO7ZoqkC0/edit#gid=884617569"",""S3 Totals!$A$2:$O$255""),4,FALSE)"),"#N/A")</f>
        <v>#N/A</v>
      </c>
      <c r="H33" s="15" t="str">
        <f>IFERROR(__xludf.DUMMYFUNCTION("VLOOKUP(A33,IMPORTRANGE(""1QZ5UxyNCwadreQAXnQ7oCoH982DjIA-QnZdO7ZoqkC0/edit#gid=884617569"",""S3 Totals!$A$2:$O$255""),5,FALSE)"),"#N/A")</f>
        <v>#N/A</v>
      </c>
      <c r="I33" s="143" t="str">
        <f t="shared" si="2"/>
        <v>#N/A</v>
      </c>
      <c r="J33" s="16" t="str">
        <f>IFERROR(__xludf.DUMMYFUNCTION("VLOOKUP(A33,IMPORTRANGE(""1QZ5UxyNCwadreQAXnQ7oCoH982DjIA-QnZdO7ZoqkC0/edit#gid=884617569"",""S3 Totals!$A$2:$O$255""),7,FALSE)"),"#N/A")</f>
        <v>#N/A</v>
      </c>
      <c r="K33" s="15" t="str">
        <f>IFERROR(__xludf.DUMMYFUNCTION("VLOOKUP(A33,IMPORTRANGE(""1QZ5UxyNCwadreQAXnQ7oCoH982DjIA-QnZdO7ZoqkC0/edit#gid=884617569"",""S3 Totals!$A$2:$O$255""),8,FALSE)"),"#N/A")</f>
        <v>#N/A</v>
      </c>
      <c r="L33" s="110" t="str">
        <f t="shared" si="5"/>
        <v>#N/A</v>
      </c>
      <c r="M33" s="16" t="str">
        <f>IFERROR(__xludf.DUMMYFUNCTION("VLOOKUP(A33,IMPORTRANGE(""1QZ5UxyNCwadreQAXnQ7oCoH982DjIA-QnZdO7ZoqkC0/edit#gid=884617569"",""S3 Totals!$A$2:$O$255""),10,FALSE)"),"#N/A")</f>
        <v>#N/A</v>
      </c>
      <c r="N33" s="15" t="str">
        <f>IFERROR(__xludf.DUMMYFUNCTION("VLOOKUP(A33,IMPORTRANGE(""1QZ5UxyNCwadreQAXnQ7oCoH982DjIA-QnZdO7ZoqkC0/edit#gid=884617569"",""S3 Totals!$A$2:$O$255""),11,FALSE)"),"#N/A")</f>
        <v>#N/A</v>
      </c>
      <c r="O33" s="110" t="str">
        <f t="shared" si="3"/>
        <v>#N/A</v>
      </c>
      <c r="P33" s="16" t="str">
        <f>IFERROR(__xludf.DUMMYFUNCTION("VLOOKUP(A33,IMPORTRANGE(""1QZ5UxyNCwadreQAXnQ7oCoH982DjIA-QnZdO7ZoqkC0/edit#gid=884617569"",""S3 Totals!$A$2:$O$255""),13,FALSE)"),"#N/A")</f>
        <v>#N/A</v>
      </c>
      <c r="Q33" s="15" t="str">
        <f>IFERROR(__xludf.DUMMYFUNCTION("VLOOKUP(A33,IMPORTRANGE(""1QZ5UxyNCwadreQAXnQ7oCoH982DjIA-QnZdO7ZoqkC0/edit#gid=884617569"",""S3 Totals!$A$2:$O$255""),14,FALSE)"),"#N/A")</f>
        <v>#N/A</v>
      </c>
      <c r="R33" s="110" t="str">
        <f t="shared" si="4"/>
        <v>#N/A</v>
      </c>
      <c r="S33" s="144"/>
    </row>
    <row r="34">
      <c r="A34" s="128" t="s">
        <v>167</v>
      </c>
      <c r="B34" s="16">
        <f>IFERROR(__xludf.DUMMYFUNCTION("VLOOKUP(A34,IMPORTRANGE(""1aFCnJY1qhIj8-JckJhDJ18aqmVo17tofpQmOjcYa3u8/edit#gid=1878241338"",""S3 Totals!$A$2:$O$255""),2,FALSE)"),0.0)</f>
        <v>0</v>
      </c>
      <c r="C34" s="15">
        <f>IFERROR(__xludf.DUMMYFUNCTION("VLOOKUP(A34,IMPORTRANGE(""1aFCnJY1qhIj8-JckJhDJ18aqmVo17tofpQmOjcYa3u8/edit#gid=1878241338"",""S3 Totals!$A$2:$O$255""),3,FALSE)"),0.0)</f>
        <v>0</v>
      </c>
      <c r="D34" s="16">
        <f>IFERROR(__xludf.DUMMYFUNCTION("VLOOKUP(A34,IMPORTRANGE(""1QZ5UxyNCwadreQAXnQ7oCoH982DjIA-QnZdO7ZoqkC0/edit#gid=884617569"",""S3 Totals!$A$2:$O$255""),2,FALSE)"),0.0)</f>
        <v>0</v>
      </c>
      <c r="E34" s="15">
        <f>IFERROR(__xludf.DUMMYFUNCTION("VLOOKUP(A34,IMPORTRANGE(""1QZ5UxyNCwadreQAXnQ7oCoH982DjIA-QnZdO7ZoqkC0/edit#gid=884617569"",""S3 Totals!$A$2:$O$255""),3,FALSE)"),0.0)</f>
        <v>0</v>
      </c>
      <c r="F34" s="15">
        <f t="shared" si="1"/>
        <v>0</v>
      </c>
      <c r="G34" s="16">
        <f>IFERROR(__xludf.DUMMYFUNCTION("VLOOKUP(A34,IMPORTRANGE(""1QZ5UxyNCwadreQAXnQ7oCoH982DjIA-QnZdO7ZoqkC0/edit#gid=884617569"",""S3 Totals!$A$2:$O$255""),4,FALSE)"),0.0)</f>
        <v>0</v>
      </c>
      <c r="H34" s="15">
        <f>IFERROR(__xludf.DUMMYFUNCTION("VLOOKUP(A34,IMPORTRANGE(""1QZ5UxyNCwadreQAXnQ7oCoH982DjIA-QnZdO7ZoqkC0/edit#gid=884617569"",""S3 Totals!$A$2:$O$255""),5,FALSE)"),0.0)</f>
        <v>0</v>
      </c>
      <c r="I34" s="143">
        <f t="shared" si="2"/>
        <v>0</v>
      </c>
      <c r="J34" s="16">
        <f>IFERROR(__xludf.DUMMYFUNCTION("VLOOKUP(A34,IMPORTRANGE(""1QZ5UxyNCwadreQAXnQ7oCoH982DjIA-QnZdO7ZoqkC0/edit#gid=884617569"",""S3 Totals!$A$2:$O$255""),7,FALSE)"),0.0)</f>
        <v>0</v>
      </c>
      <c r="K34" s="15">
        <f>IFERROR(__xludf.DUMMYFUNCTION("VLOOKUP(A34,IMPORTRANGE(""1QZ5UxyNCwadreQAXnQ7oCoH982DjIA-QnZdO7ZoqkC0/edit#gid=884617569"",""S3 Totals!$A$2:$O$255""),8,FALSE)"),0.0)</f>
        <v>0</v>
      </c>
      <c r="L34" s="110">
        <f t="shared" si="5"/>
        <v>0</v>
      </c>
      <c r="M34" s="16" t="str">
        <f>IFERROR(__xludf.DUMMYFUNCTION("VLOOKUP(A34,IMPORTRANGE(""1QZ5UxyNCwadreQAXnQ7oCoH982DjIA-QnZdO7ZoqkC0/edit#gid=884617569"",""S3 Totals!$A$2:$O$255""),10,FALSE)"),"")</f>
        <v/>
      </c>
      <c r="N34" s="15" t="str">
        <f>IFERROR(__xludf.DUMMYFUNCTION("VLOOKUP(A34,IMPORTRANGE(""1QZ5UxyNCwadreQAXnQ7oCoH982DjIA-QnZdO7ZoqkC0/edit#gid=884617569"",""S3 Totals!$A$2:$O$255""),11,FALSE)"),"")</f>
        <v/>
      </c>
      <c r="O34" s="110">
        <f t="shared" si="3"/>
        <v>0</v>
      </c>
      <c r="P34" s="16" t="str">
        <f>IFERROR(__xludf.DUMMYFUNCTION("VLOOKUP(A34,IMPORTRANGE(""1QZ5UxyNCwadreQAXnQ7oCoH982DjIA-QnZdO7ZoqkC0/edit#gid=884617569"",""S3 Totals!$A$2:$O$255""),13,FALSE)"),"")</f>
        <v/>
      </c>
      <c r="Q34" s="15" t="str">
        <f>IFERROR(__xludf.DUMMYFUNCTION("VLOOKUP(A34,IMPORTRANGE(""1QZ5UxyNCwadreQAXnQ7oCoH982DjIA-QnZdO7ZoqkC0/edit#gid=884617569"",""S3 Totals!$A$2:$O$255""),14,FALSE)"),"")</f>
        <v/>
      </c>
      <c r="R34" s="110">
        <f t="shared" si="4"/>
        <v>0</v>
      </c>
      <c r="S34" s="144"/>
    </row>
    <row r="35">
      <c r="A35" s="128" t="s">
        <v>116</v>
      </c>
      <c r="B35" s="16">
        <f>IFERROR(__xludf.DUMMYFUNCTION("VLOOKUP(A35,IMPORTRANGE(""1aFCnJY1qhIj8-JckJhDJ18aqmVo17tofpQmOjcYa3u8/edit#gid=1878241338"",""S3 Totals!$A$2:$O$255""),2,FALSE)"),0.0)</f>
        <v>0</v>
      </c>
      <c r="C35" s="15">
        <f>IFERROR(__xludf.DUMMYFUNCTION("VLOOKUP(A35,IMPORTRANGE(""1aFCnJY1qhIj8-JckJhDJ18aqmVo17tofpQmOjcYa3u8/edit#gid=1878241338"",""S3 Totals!$A$2:$O$255""),3,FALSE)"),0.0)</f>
        <v>0</v>
      </c>
      <c r="D35" s="16">
        <f>IFERROR(__xludf.DUMMYFUNCTION("VLOOKUP(A35,IMPORTRANGE(""1QZ5UxyNCwadreQAXnQ7oCoH982DjIA-QnZdO7ZoqkC0/edit#gid=884617569"",""S3 Totals!$A$2:$O$255""),2,FALSE)"),0.0)</f>
        <v>0</v>
      </c>
      <c r="E35" s="15">
        <f>IFERROR(__xludf.DUMMYFUNCTION("VLOOKUP(A35,IMPORTRANGE(""1QZ5UxyNCwadreQAXnQ7oCoH982DjIA-QnZdO7ZoqkC0/edit#gid=884617569"",""S3 Totals!$A$2:$O$255""),3,FALSE)"),0.0)</f>
        <v>0</v>
      </c>
      <c r="F35" s="15">
        <f t="shared" si="1"/>
        <v>0</v>
      </c>
      <c r="G35" s="16">
        <f>IFERROR(__xludf.DUMMYFUNCTION("VLOOKUP(A35,IMPORTRANGE(""1QZ5UxyNCwadreQAXnQ7oCoH982DjIA-QnZdO7ZoqkC0/edit#gid=884617569"",""S3 Totals!$A$2:$O$255""),4,FALSE)"),0.0)</f>
        <v>0</v>
      </c>
      <c r="H35" s="15">
        <f>IFERROR(__xludf.DUMMYFUNCTION("VLOOKUP(A35,IMPORTRANGE(""1QZ5UxyNCwadreQAXnQ7oCoH982DjIA-QnZdO7ZoqkC0/edit#gid=884617569"",""S3 Totals!$A$2:$O$255""),5,FALSE)"),0.0)</f>
        <v>0</v>
      </c>
      <c r="I35" s="143">
        <f t="shared" si="2"/>
        <v>0</v>
      </c>
      <c r="J35" s="16">
        <f>IFERROR(__xludf.DUMMYFUNCTION("VLOOKUP(A35,IMPORTRANGE(""1QZ5UxyNCwadreQAXnQ7oCoH982DjIA-QnZdO7ZoqkC0/edit#gid=884617569"",""S3 Totals!$A$2:$O$255""),7,FALSE)"),0.0)</f>
        <v>0</v>
      </c>
      <c r="K35" s="15">
        <f>IFERROR(__xludf.DUMMYFUNCTION("VLOOKUP(A35,IMPORTRANGE(""1QZ5UxyNCwadreQAXnQ7oCoH982DjIA-QnZdO7ZoqkC0/edit#gid=884617569"",""S3 Totals!$A$2:$O$255""),8,FALSE)"),0.0)</f>
        <v>0</v>
      </c>
      <c r="L35" s="110">
        <f t="shared" si="5"/>
        <v>0</v>
      </c>
      <c r="M35" s="16">
        <f>IFERROR(__xludf.DUMMYFUNCTION("VLOOKUP(A35,IMPORTRANGE(""1QZ5UxyNCwadreQAXnQ7oCoH982DjIA-QnZdO7ZoqkC0/edit#gid=884617569"",""S3 Totals!$A$2:$O$255""),10,FALSE)"),0.0)</f>
        <v>0</v>
      </c>
      <c r="N35" s="15">
        <f>IFERROR(__xludf.DUMMYFUNCTION("VLOOKUP(A35,IMPORTRANGE(""1QZ5UxyNCwadreQAXnQ7oCoH982DjIA-QnZdO7ZoqkC0/edit#gid=884617569"",""S3 Totals!$A$2:$O$255""),11,FALSE)"),0.0)</f>
        <v>0</v>
      </c>
      <c r="O35" s="110">
        <f t="shared" si="3"/>
        <v>0</v>
      </c>
      <c r="P35" s="16" t="str">
        <f>IFERROR(__xludf.DUMMYFUNCTION("VLOOKUP(A35,IMPORTRANGE(""1QZ5UxyNCwadreQAXnQ7oCoH982DjIA-QnZdO7ZoqkC0/edit#gid=884617569"",""S3 Totals!$A$2:$O$255""),13,FALSE)"),"")</f>
        <v/>
      </c>
      <c r="Q35" s="15" t="str">
        <f>IFERROR(__xludf.DUMMYFUNCTION("VLOOKUP(A35,IMPORTRANGE(""1QZ5UxyNCwadreQAXnQ7oCoH982DjIA-QnZdO7ZoqkC0/edit#gid=884617569"",""S3 Totals!$A$2:$O$255""),14,FALSE)"),"")</f>
        <v/>
      </c>
      <c r="R35" s="110">
        <f t="shared" si="4"/>
        <v>0</v>
      </c>
      <c r="S35" s="144"/>
    </row>
    <row r="36">
      <c r="A36" s="128" t="s">
        <v>33</v>
      </c>
      <c r="B36" s="16">
        <f>IFERROR(__xludf.DUMMYFUNCTION("VLOOKUP(A36,IMPORTRANGE(""1aFCnJY1qhIj8-JckJhDJ18aqmVo17tofpQmOjcYa3u8/edit#gid=1878241338"",""S3 Totals!$A$2:$O$255""),2,FALSE)"),1.0)</f>
        <v>1</v>
      </c>
      <c r="C36" s="15">
        <f>IFERROR(__xludf.DUMMYFUNCTION("VLOOKUP(A36,IMPORTRANGE(""1aFCnJY1qhIj8-JckJhDJ18aqmVo17tofpQmOjcYa3u8/edit#gid=1878241338"",""S3 Totals!$A$2:$O$255""),3,FALSE)"),0.0136986301369863)</f>
        <v>0.01369863014</v>
      </c>
      <c r="D36" s="16">
        <f>IFERROR(__xludf.DUMMYFUNCTION("VLOOKUP(A36,IMPORTRANGE(""1QZ5UxyNCwadreQAXnQ7oCoH982DjIA-QnZdO7ZoqkC0/edit#gid=884617569"",""S3 Totals!$A$2:$O$255""),2,FALSE)"),1.0)</f>
        <v>1</v>
      </c>
      <c r="E36" s="15">
        <f>IFERROR(__xludf.DUMMYFUNCTION("VLOOKUP(A36,IMPORTRANGE(""1QZ5UxyNCwadreQAXnQ7oCoH982DjIA-QnZdO7ZoqkC0/edit#gid=884617569"",""S3 Totals!$A$2:$O$255""),3,FALSE)"),0.013513513513513514)</f>
        <v>0.01351351351</v>
      </c>
      <c r="F36" s="15">
        <f t="shared" si="1"/>
        <v>0.0001851166235</v>
      </c>
      <c r="G36" s="16">
        <f>IFERROR(__xludf.DUMMYFUNCTION("VLOOKUP(A36,IMPORTRANGE(""1QZ5UxyNCwadreQAXnQ7oCoH982DjIA-QnZdO7ZoqkC0/edit#gid=884617569"",""S3 Totals!$A$2:$O$255""),4,FALSE)"),1.0)</f>
        <v>1</v>
      </c>
      <c r="H36" s="15">
        <f>IFERROR(__xludf.DUMMYFUNCTION("VLOOKUP(A36,IMPORTRANGE(""1QZ5UxyNCwadreQAXnQ7oCoH982DjIA-QnZdO7ZoqkC0/edit#gid=884617569"",""S3 Totals!$A$2:$O$255""),5,FALSE)"),0.012658227848101266)</f>
        <v>0.01265822785</v>
      </c>
      <c r="I36" s="143">
        <f t="shared" si="2"/>
        <v>0.001040402289</v>
      </c>
      <c r="J36" s="16">
        <f>IFERROR(__xludf.DUMMYFUNCTION("VLOOKUP(A36,IMPORTRANGE(""1QZ5UxyNCwadreQAXnQ7oCoH982DjIA-QnZdO7ZoqkC0/edit#gid=884617569"",""S3 Totals!$A$2:$O$255""),7,FALSE)"),1.0)</f>
        <v>1</v>
      </c>
      <c r="K36" s="15">
        <f>IFERROR(__xludf.DUMMYFUNCTION("VLOOKUP(A36,IMPORTRANGE(""1QZ5UxyNCwadreQAXnQ7oCoH982DjIA-QnZdO7ZoqkC0/edit#gid=884617569"",""S3 Totals!$A$2:$O$255""),8,FALSE)"),0.011764705882352941)</f>
        <v>0.01176470588</v>
      </c>
      <c r="L36" s="110">
        <f t="shared" si="5"/>
        <v>0.001748807631</v>
      </c>
      <c r="M36" s="16">
        <f>IFERROR(__xludf.DUMMYFUNCTION("VLOOKUP(A36,IMPORTRANGE(""1QZ5UxyNCwadreQAXnQ7oCoH982DjIA-QnZdO7ZoqkC0/edit#gid=884617569"",""S3 Totals!$A$2:$O$255""),10,FALSE)"),1.0)</f>
        <v>1</v>
      </c>
      <c r="N36" s="15">
        <f>IFERROR(__xludf.DUMMYFUNCTION("VLOOKUP(A36,IMPORTRANGE(""1QZ5UxyNCwadreQAXnQ7oCoH982DjIA-QnZdO7ZoqkC0/edit#gid=884617569"",""S3 Totals!$A$2:$O$255""),11,FALSE)"),0.011764705882352941)</f>
        <v>0.01176470588</v>
      </c>
      <c r="O36" s="110">
        <f t="shared" si="3"/>
        <v>0.001933924255</v>
      </c>
      <c r="P36" s="16">
        <f>IFERROR(__xludf.DUMMYFUNCTION("VLOOKUP(A36,IMPORTRANGE(""1QZ5UxyNCwadreQAXnQ7oCoH982DjIA-QnZdO7ZoqkC0/edit#gid=884617569"",""S3 Totals!$A$2:$O$255""),13,FALSE)"),1.0)</f>
        <v>1</v>
      </c>
      <c r="Q36" s="15">
        <f>IFERROR(__xludf.DUMMYFUNCTION("VLOOKUP(A36,IMPORTRANGE(""1QZ5UxyNCwadreQAXnQ7oCoH982DjIA-QnZdO7ZoqkC0/edit#gid=884617569"",""S3 Totals!$A$2:$O$255""),14,FALSE)"),0.011764705882352941)</f>
        <v>0.01176470588</v>
      </c>
      <c r="R36" s="110">
        <f t="shared" si="4"/>
        <v>0.001933924255</v>
      </c>
      <c r="S36" s="144"/>
    </row>
    <row r="37">
      <c r="A37" s="128" t="s">
        <v>106</v>
      </c>
      <c r="B37" s="16">
        <f>IFERROR(__xludf.DUMMYFUNCTION("VLOOKUP(A37,IMPORTRANGE(""1aFCnJY1qhIj8-JckJhDJ18aqmVo17tofpQmOjcYa3u8/edit#gid=1878241338"",""S3 Totals!$A$2:$O$255""),2,FALSE)"),0.0)</f>
        <v>0</v>
      </c>
      <c r="C37" s="15">
        <f>IFERROR(__xludf.DUMMYFUNCTION("VLOOKUP(A37,IMPORTRANGE(""1aFCnJY1qhIj8-JckJhDJ18aqmVo17tofpQmOjcYa3u8/edit#gid=1878241338"",""S3 Totals!$A$2:$O$255""),3,FALSE)"),0.0)</f>
        <v>0</v>
      </c>
      <c r="D37" s="16">
        <f>IFERROR(__xludf.DUMMYFUNCTION("VLOOKUP(A37,IMPORTRANGE(""1QZ5UxyNCwadreQAXnQ7oCoH982DjIA-QnZdO7ZoqkC0/edit#gid=884617569"",""S3 Totals!$A$2:$O$255""),2,FALSE)"),0.0)</f>
        <v>0</v>
      </c>
      <c r="E37" s="15">
        <f>IFERROR(__xludf.DUMMYFUNCTION("VLOOKUP(A37,IMPORTRANGE(""1QZ5UxyNCwadreQAXnQ7oCoH982DjIA-QnZdO7ZoqkC0/edit#gid=884617569"",""S3 Totals!$A$2:$O$255""),3,FALSE)"),0.0)</f>
        <v>0</v>
      </c>
      <c r="F37" s="15">
        <f t="shared" si="1"/>
        <v>0</v>
      </c>
      <c r="G37" s="16">
        <f>IFERROR(__xludf.DUMMYFUNCTION("VLOOKUP(A37,IMPORTRANGE(""1QZ5UxyNCwadreQAXnQ7oCoH982DjIA-QnZdO7ZoqkC0/edit#gid=884617569"",""S3 Totals!$A$2:$O$255""),4,FALSE)"),0.0)</f>
        <v>0</v>
      </c>
      <c r="H37" s="15">
        <f>IFERROR(__xludf.DUMMYFUNCTION("VLOOKUP(A37,IMPORTRANGE(""1QZ5UxyNCwadreQAXnQ7oCoH982DjIA-QnZdO7ZoqkC0/edit#gid=884617569"",""S3 Totals!$A$2:$O$255""),5,FALSE)"),0.0)</f>
        <v>0</v>
      </c>
      <c r="I37" s="143">
        <f t="shared" si="2"/>
        <v>0</v>
      </c>
      <c r="J37" s="16">
        <f>IFERROR(__xludf.DUMMYFUNCTION("VLOOKUP(A37,IMPORTRANGE(""1QZ5UxyNCwadreQAXnQ7oCoH982DjIA-QnZdO7ZoqkC0/edit#gid=884617569"",""S3 Totals!$A$2:$O$255""),7,FALSE)"),0.0)</f>
        <v>0</v>
      </c>
      <c r="K37" s="15">
        <f>IFERROR(__xludf.DUMMYFUNCTION("VLOOKUP(A37,IMPORTRANGE(""1QZ5UxyNCwadreQAXnQ7oCoH982DjIA-QnZdO7ZoqkC0/edit#gid=884617569"",""S3 Totals!$A$2:$O$255""),8,FALSE)"),0.0)</f>
        <v>0</v>
      </c>
      <c r="L37" s="110">
        <f t="shared" si="5"/>
        <v>0</v>
      </c>
      <c r="M37" s="16">
        <f>IFERROR(__xludf.DUMMYFUNCTION("VLOOKUP(A37,IMPORTRANGE(""1QZ5UxyNCwadreQAXnQ7oCoH982DjIA-QnZdO7ZoqkC0/edit#gid=884617569"",""S3 Totals!$A$2:$O$255""),10,FALSE)"),0.0)</f>
        <v>0</v>
      </c>
      <c r="N37" s="15">
        <f>IFERROR(__xludf.DUMMYFUNCTION("VLOOKUP(A37,IMPORTRANGE(""1QZ5UxyNCwadreQAXnQ7oCoH982DjIA-QnZdO7ZoqkC0/edit#gid=884617569"",""S3 Totals!$A$2:$O$255""),11,FALSE)"),0.0)</f>
        <v>0</v>
      </c>
      <c r="O37" s="110">
        <f t="shared" si="3"/>
        <v>0</v>
      </c>
      <c r="P37" s="16">
        <f>IFERROR(__xludf.DUMMYFUNCTION("VLOOKUP(A37,IMPORTRANGE(""1QZ5UxyNCwadreQAXnQ7oCoH982DjIA-QnZdO7ZoqkC0/edit#gid=884617569"",""S3 Totals!$A$2:$O$255""),13,FALSE)"),0.0)</f>
        <v>0</v>
      </c>
      <c r="Q37" s="15">
        <f>IFERROR(__xludf.DUMMYFUNCTION("VLOOKUP(A37,IMPORTRANGE(""1QZ5UxyNCwadreQAXnQ7oCoH982DjIA-QnZdO7ZoqkC0/edit#gid=884617569"",""S3 Totals!$A$2:$O$255""),14,FALSE)"),0.0)</f>
        <v>0</v>
      </c>
      <c r="R37" s="110">
        <f t="shared" si="4"/>
        <v>0</v>
      </c>
      <c r="S37" s="144"/>
    </row>
    <row r="38">
      <c r="A38" s="128" t="s">
        <v>35</v>
      </c>
      <c r="B38" s="16">
        <f>IFERROR(__xludf.DUMMYFUNCTION("VLOOKUP(A38,IMPORTRANGE(""1aFCnJY1qhIj8-JckJhDJ18aqmVo17tofpQmOjcYa3u8/edit#gid=1878241338"",""S3 Totals!$A$2:$O$255""),2,FALSE)"),45.0)</f>
        <v>45</v>
      </c>
      <c r="C38" s="15">
        <f>IFERROR(__xludf.DUMMYFUNCTION("VLOOKUP(A38,IMPORTRANGE(""1aFCnJY1qhIj8-JckJhDJ18aqmVo17tofpQmOjcYa3u8/edit#gid=1878241338"",""S3 Totals!$A$2:$O$255""),3,FALSE)"),0.6164383561643836)</f>
        <v>0.6164383562</v>
      </c>
      <c r="D38" s="16">
        <f>IFERROR(__xludf.DUMMYFUNCTION("VLOOKUP(A38,IMPORTRANGE(""1QZ5UxyNCwadreQAXnQ7oCoH982DjIA-QnZdO7ZoqkC0/edit#gid=884617569"",""S3 Totals!$A$2:$O$255""),2,FALSE)"),62.0)</f>
        <v>62</v>
      </c>
      <c r="E38" s="15">
        <f>IFERROR(__xludf.DUMMYFUNCTION("VLOOKUP(A38,IMPORTRANGE(""1QZ5UxyNCwadreQAXnQ7oCoH982DjIA-QnZdO7ZoqkC0/edit#gid=884617569"",""S3 Totals!$A$2:$O$255""),3,FALSE)"),0.8378378378378378)</f>
        <v>0.8378378378</v>
      </c>
      <c r="F38" s="15">
        <f t="shared" si="1"/>
        <v>-0.2213994817</v>
      </c>
      <c r="G38" s="16">
        <f>IFERROR(__xludf.DUMMYFUNCTION("VLOOKUP(A38,IMPORTRANGE(""1QZ5UxyNCwadreQAXnQ7oCoH982DjIA-QnZdO7ZoqkC0/edit#gid=884617569"",""S3 Totals!$A$2:$O$255""),4,FALSE)"),55.0)</f>
        <v>55</v>
      </c>
      <c r="H38" s="15">
        <f>IFERROR(__xludf.DUMMYFUNCTION("VLOOKUP(A38,IMPORTRANGE(""1QZ5UxyNCwadreQAXnQ7oCoH982DjIA-QnZdO7ZoqkC0/edit#gid=884617569"",""S3 Totals!$A$2:$O$255""),5,FALSE)"),0.6962025316455697)</f>
        <v>0.6962025316</v>
      </c>
      <c r="I38" s="143">
        <f t="shared" si="2"/>
        <v>-0.07976417548</v>
      </c>
      <c r="J38" s="16">
        <f>IFERROR(__xludf.DUMMYFUNCTION("VLOOKUP(A38,IMPORTRANGE(""1QZ5UxyNCwadreQAXnQ7oCoH982DjIA-QnZdO7ZoqkC0/edit#gid=884617569"",""S3 Totals!$A$2:$O$255""),7,FALSE)"),48.0)</f>
        <v>48</v>
      </c>
      <c r="K38" s="15">
        <f>IFERROR(__xludf.DUMMYFUNCTION("VLOOKUP(A38,IMPORTRANGE(""1QZ5UxyNCwadreQAXnQ7oCoH982DjIA-QnZdO7ZoqkC0/edit#gid=884617569"",""S3 Totals!$A$2:$O$255""),8,FALSE)"),0.5647058823529412)</f>
        <v>0.5647058824</v>
      </c>
      <c r="L38" s="110">
        <f t="shared" si="5"/>
        <v>0.2731319555</v>
      </c>
      <c r="M38" s="16">
        <f>IFERROR(__xludf.DUMMYFUNCTION("VLOOKUP(A38,IMPORTRANGE(""1QZ5UxyNCwadreQAXnQ7oCoH982DjIA-QnZdO7ZoqkC0/edit#gid=884617569"",""S3 Totals!$A$2:$O$255""),10,FALSE)"),41.0)</f>
        <v>41</v>
      </c>
      <c r="N38" s="15">
        <f>IFERROR(__xludf.DUMMYFUNCTION("VLOOKUP(A38,IMPORTRANGE(""1QZ5UxyNCwadreQAXnQ7oCoH982DjIA-QnZdO7ZoqkC0/edit#gid=884617569"",""S3 Totals!$A$2:$O$255""),11,FALSE)"),0.4823529411764706)</f>
        <v>0.4823529412</v>
      </c>
      <c r="O38" s="110">
        <f t="shared" si="3"/>
        <v>0.134085415</v>
      </c>
      <c r="P38" s="16">
        <f>IFERROR(__xludf.DUMMYFUNCTION("VLOOKUP(A38,IMPORTRANGE(""1QZ5UxyNCwadreQAXnQ7oCoH982DjIA-QnZdO7ZoqkC0/edit#gid=884617569"",""S3 Totals!$A$2:$O$255""),13,FALSE)"),10.0)</f>
        <v>10</v>
      </c>
      <c r="Q38" s="15">
        <f>IFERROR(__xludf.DUMMYFUNCTION("VLOOKUP(A38,IMPORTRANGE(""1QZ5UxyNCwadreQAXnQ7oCoH982DjIA-QnZdO7ZoqkC0/edit#gid=884617569"",""S3 Totals!$A$2:$O$255""),14,FALSE)"),0.11764705882352941)</f>
        <v>0.1176470588</v>
      </c>
      <c r="R38" s="110">
        <f t="shared" si="4"/>
        <v>0.4987912973</v>
      </c>
      <c r="S38" s="144"/>
    </row>
    <row r="39">
      <c r="A39" s="128" t="s">
        <v>36</v>
      </c>
      <c r="B39" s="16">
        <f>IFERROR(__xludf.DUMMYFUNCTION("VLOOKUP(A39,IMPORTRANGE(""1aFCnJY1qhIj8-JckJhDJ18aqmVo17tofpQmOjcYa3u8/edit#gid=1878241338"",""S3 Totals!$A$2:$O$255""),2,FALSE)"),52.0)</f>
        <v>52</v>
      </c>
      <c r="C39" s="15">
        <f>IFERROR(__xludf.DUMMYFUNCTION("VLOOKUP(A39,IMPORTRANGE(""1aFCnJY1qhIj8-JckJhDJ18aqmVo17tofpQmOjcYa3u8/edit#gid=1878241338"",""S3 Totals!$A$2:$O$255""),3,FALSE)"),0.7123287671232876)</f>
        <v>0.7123287671</v>
      </c>
      <c r="D39" s="16">
        <f>IFERROR(__xludf.DUMMYFUNCTION("VLOOKUP(A39,IMPORTRANGE(""1QZ5UxyNCwadreQAXnQ7oCoH982DjIA-QnZdO7ZoqkC0/edit#gid=884617569"",""S3 Totals!$A$2:$O$255""),2,FALSE)"),53.0)</f>
        <v>53</v>
      </c>
      <c r="E39" s="15">
        <f>IFERROR(__xludf.DUMMYFUNCTION("VLOOKUP(A39,IMPORTRANGE(""1QZ5UxyNCwadreQAXnQ7oCoH982DjIA-QnZdO7ZoqkC0/edit#gid=884617569"",""S3 Totals!$A$2:$O$255""),3,FALSE)"),0.7162162162162162)</f>
        <v>0.7162162162</v>
      </c>
      <c r="F39" s="15">
        <f t="shared" si="1"/>
        <v>-0.003887449093</v>
      </c>
      <c r="G39" s="16">
        <f>IFERROR(__xludf.DUMMYFUNCTION("VLOOKUP(A39,IMPORTRANGE(""1QZ5UxyNCwadreQAXnQ7oCoH982DjIA-QnZdO7ZoqkC0/edit#gid=884617569"",""S3 Totals!$A$2:$O$255""),4,FALSE)"),41.0)</f>
        <v>41</v>
      </c>
      <c r="H39" s="15">
        <f>IFERROR(__xludf.DUMMYFUNCTION("VLOOKUP(A39,IMPORTRANGE(""1QZ5UxyNCwadreQAXnQ7oCoH982DjIA-QnZdO7ZoqkC0/edit#gid=884617569"",""S3 Totals!$A$2:$O$255""),5,FALSE)"),0.5189873417721519)</f>
        <v>0.5189873418</v>
      </c>
      <c r="I39" s="143">
        <f t="shared" si="2"/>
        <v>0.1933414254</v>
      </c>
      <c r="J39" s="16">
        <f>IFERROR(__xludf.DUMMYFUNCTION("VLOOKUP(A39,IMPORTRANGE(""1QZ5UxyNCwadreQAXnQ7oCoH982DjIA-QnZdO7ZoqkC0/edit#gid=884617569"",""S3 Totals!$A$2:$O$255""),7,FALSE)"),22.0)</f>
        <v>22</v>
      </c>
      <c r="K39" s="15">
        <f>IFERROR(__xludf.DUMMYFUNCTION("VLOOKUP(A39,IMPORTRANGE(""1QZ5UxyNCwadreQAXnQ7oCoH982DjIA-QnZdO7ZoqkC0/edit#gid=884617569"",""S3 Totals!$A$2:$O$255""),8,FALSE)"),0.25882352941176473)</f>
        <v>0.2588235294</v>
      </c>
      <c r="L39" s="110">
        <f t="shared" si="5"/>
        <v>0.4573926868</v>
      </c>
      <c r="M39" s="16">
        <f>IFERROR(__xludf.DUMMYFUNCTION("VLOOKUP(A39,IMPORTRANGE(""1QZ5UxyNCwadreQAXnQ7oCoH982DjIA-QnZdO7ZoqkC0/edit#gid=884617569"",""S3 Totals!$A$2:$O$255""),10,FALSE)"),9.0)</f>
        <v>9</v>
      </c>
      <c r="N39" s="15">
        <f>IFERROR(__xludf.DUMMYFUNCTION("VLOOKUP(A39,IMPORTRANGE(""1QZ5UxyNCwadreQAXnQ7oCoH982DjIA-QnZdO7ZoqkC0/edit#gid=884617569"",""S3 Totals!$A$2:$O$255""),11,FALSE)"),0.10588235294117647)</f>
        <v>0.1058823529</v>
      </c>
      <c r="O39" s="110">
        <f t="shared" si="3"/>
        <v>0.6064464142</v>
      </c>
      <c r="P39" s="16">
        <f>IFERROR(__xludf.DUMMYFUNCTION("VLOOKUP(A39,IMPORTRANGE(""1QZ5UxyNCwadreQAXnQ7oCoH982DjIA-QnZdO7ZoqkC0/edit#gid=884617569"",""S3 Totals!$A$2:$O$255""),13,FALSE)"),1.0)</f>
        <v>1</v>
      </c>
      <c r="Q39" s="15">
        <f>IFERROR(__xludf.DUMMYFUNCTION("VLOOKUP(A39,IMPORTRANGE(""1QZ5UxyNCwadreQAXnQ7oCoH982DjIA-QnZdO7ZoqkC0/edit#gid=884617569"",""S3 Totals!$A$2:$O$255""),14,FALSE)"),0.011764705882352941)</f>
        <v>0.01176470588</v>
      </c>
      <c r="R39" s="110">
        <f t="shared" si="4"/>
        <v>0.7005640612</v>
      </c>
      <c r="S39" s="144"/>
    </row>
    <row r="40">
      <c r="A40" s="128" t="s">
        <v>37</v>
      </c>
      <c r="B40" s="16">
        <f>IFERROR(__xludf.DUMMYFUNCTION("VLOOKUP(A40,IMPORTRANGE(""1aFCnJY1qhIj8-JckJhDJ18aqmVo17tofpQmOjcYa3u8/edit#gid=1878241338"",""S3 Totals!$A$2:$O$255""),2,FALSE)"),71.0)</f>
        <v>71</v>
      </c>
      <c r="C40" s="15">
        <f>IFERROR(__xludf.DUMMYFUNCTION("VLOOKUP(A40,IMPORTRANGE(""1aFCnJY1qhIj8-JckJhDJ18aqmVo17tofpQmOjcYa3u8/edit#gid=1878241338"",""S3 Totals!$A$2:$O$255""),3,FALSE)"),0.9726027397260274)</f>
        <v>0.9726027397</v>
      </c>
      <c r="D40" s="16">
        <f>IFERROR(__xludf.DUMMYFUNCTION("VLOOKUP(A40,IMPORTRANGE(""1QZ5UxyNCwadreQAXnQ7oCoH982DjIA-QnZdO7ZoqkC0/edit#gid=884617569"",""S3 Totals!$A$2:$O$255""),2,FALSE)"),0.0)</f>
        <v>0</v>
      </c>
      <c r="E40" s="15">
        <f>IFERROR(__xludf.DUMMYFUNCTION("VLOOKUP(A40,IMPORTRANGE(""1QZ5UxyNCwadreQAXnQ7oCoH982DjIA-QnZdO7ZoqkC0/edit#gid=884617569"",""S3 Totals!$A$2:$O$255""),3,FALSE)"),0.0)</f>
        <v>0</v>
      </c>
      <c r="F40" s="15">
        <f t="shared" si="1"/>
        <v>0.9726027397</v>
      </c>
      <c r="G40" s="16">
        <f>IFERROR(__xludf.DUMMYFUNCTION("VLOOKUP(A40,IMPORTRANGE(""1QZ5UxyNCwadreQAXnQ7oCoH982DjIA-QnZdO7ZoqkC0/edit#gid=884617569"",""S3 Totals!$A$2:$O$255""),4,FALSE)"),0.0)</f>
        <v>0</v>
      </c>
      <c r="H40" s="15">
        <f>IFERROR(__xludf.DUMMYFUNCTION("VLOOKUP(A40,IMPORTRANGE(""1QZ5UxyNCwadreQAXnQ7oCoH982DjIA-QnZdO7ZoqkC0/edit#gid=884617569"",""S3 Totals!$A$2:$O$255""),5,FALSE)"),0.0)</f>
        <v>0</v>
      </c>
      <c r="I40" s="143">
        <f t="shared" si="2"/>
        <v>0.9726027397</v>
      </c>
      <c r="J40" s="16">
        <f>IFERROR(__xludf.DUMMYFUNCTION("VLOOKUP(A40,IMPORTRANGE(""1QZ5UxyNCwadreQAXnQ7oCoH982DjIA-QnZdO7ZoqkC0/edit#gid=884617569"",""S3 Totals!$A$2:$O$255""),7,FALSE)"),0.0)</f>
        <v>0</v>
      </c>
      <c r="K40" s="15">
        <f>IFERROR(__xludf.DUMMYFUNCTION("VLOOKUP(A40,IMPORTRANGE(""1QZ5UxyNCwadreQAXnQ7oCoH982DjIA-QnZdO7ZoqkC0/edit#gid=884617569"",""S3 Totals!$A$2:$O$255""),8,FALSE)"),0.0)</f>
        <v>0</v>
      </c>
      <c r="L40" s="110">
        <f t="shared" si="5"/>
        <v>0</v>
      </c>
      <c r="M40" s="16">
        <f>IFERROR(__xludf.DUMMYFUNCTION("VLOOKUP(A40,IMPORTRANGE(""1QZ5UxyNCwadreQAXnQ7oCoH982DjIA-QnZdO7ZoqkC0/edit#gid=884617569"",""S3 Totals!$A$2:$O$255""),10,FALSE)"),0.0)</f>
        <v>0</v>
      </c>
      <c r="N40" s="15">
        <f>IFERROR(__xludf.DUMMYFUNCTION("VLOOKUP(A40,IMPORTRANGE(""1QZ5UxyNCwadreQAXnQ7oCoH982DjIA-QnZdO7ZoqkC0/edit#gid=884617569"",""S3 Totals!$A$2:$O$255""),11,FALSE)"),0.0)</f>
        <v>0</v>
      </c>
      <c r="O40" s="110">
        <f t="shared" si="3"/>
        <v>0.9726027397</v>
      </c>
      <c r="P40" s="16">
        <f>IFERROR(__xludf.DUMMYFUNCTION("VLOOKUP(A40,IMPORTRANGE(""1QZ5UxyNCwadreQAXnQ7oCoH982DjIA-QnZdO7ZoqkC0/edit#gid=884617569"",""S3 Totals!$A$2:$O$255""),13,FALSE)"),0.0)</f>
        <v>0</v>
      </c>
      <c r="Q40" s="15">
        <f>IFERROR(__xludf.DUMMYFUNCTION("VLOOKUP(A40,IMPORTRANGE(""1QZ5UxyNCwadreQAXnQ7oCoH982DjIA-QnZdO7ZoqkC0/edit#gid=884617569"",""S3 Totals!$A$2:$O$255""),14,FALSE)"),0.0)</f>
        <v>0</v>
      </c>
      <c r="R40" s="110">
        <f t="shared" si="4"/>
        <v>0.9726027397</v>
      </c>
      <c r="S40" s="144"/>
    </row>
    <row r="41">
      <c r="A41" s="128" t="s">
        <v>219</v>
      </c>
      <c r="B41" s="16">
        <f>IFERROR(__xludf.DUMMYFUNCTION("VLOOKUP(A41,IMPORTRANGE(""1aFCnJY1qhIj8-JckJhDJ18aqmVo17tofpQmOjcYa3u8/edit#gid=1878241338"",""S3 Totals!$A$2:$O$255""),2,FALSE)"),0.0)</f>
        <v>0</v>
      </c>
      <c r="C41" s="15">
        <f>IFERROR(__xludf.DUMMYFUNCTION("VLOOKUP(A41,IMPORTRANGE(""1aFCnJY1qhIj8-JckJhDJ18aqmVo17tofpQmOjcYa3u8/edit#gid=1878241338"",""S3 Totals!$A$2:$O$255""),3,FALSE)"),0.0)</f>
        <v>0</v>
      </c>
      <c r="D41" s="16">
        <f>IFERROR(__xludf.DUMMYFUNCTION("VLOOKUP(A41,IMPORTRANGE(""1QZ5UxyNCwadreQAXnQ7oCoH982DjIA-QnZdO7ZoqkC0/edit#gid=884617569"",""S3 Totals!$A$2:$O$255""),2,FALSE)"),1.0)</f>
        <v>1</v>
      </c>
      <c r="E41" s="15">
        <f>IFERROR(__xludf.DUMMYFUNCTION("VLOOKUP(A41,IMPORTRANGE(""1QZ5UxyNCwadreQAXnQ7oCoH982DjIA-QnZdO7ZoqkC0/edit#gid=884617569"",""S3 Totals!$A$2:$O$255""),3,FALSE)"),0.013513513513513514)</f>
        <v>0.01351351351</v>
      </c>
      <c r="F41" s="15">
        <f t="shared" si="1"/>
        <v>-0.01351351351</v>
      </c>
      <c r="G41" s="16">
        <f>IFERROR(__xludf.DUMMYFUNCTION("VLOOKUP(A41,IMPORTRANGE(""1QZ5UxyNCwadreQAXnQ7oCoH982DjIA-QnZdO7ZoqkC0/edit#gid=884617569"",""S3 Totals!$A$2:$O$255""),4,FALSE)"),1.0)</f>
        <v>1</v>
      </c>
      <c r="H41" s="15">
        <f>IFERROR(__xludf.DUMMYFUNCTION("VLOOKUP(A41,IMPORTRANGE(""1QZ5UxyNCwadreQAXnQ7oCoH982DjIA-QnZdO7ZoqkC0/edit#gid=884617569"",""S3 Totals!$A$2:$O$255""),5,FALSE)"),0.012658227848101266)</f>
        <v>0.01265822785</v>
      </c>
      <c r="I41" s="143">
        <f t="shared" si="2"/>
        <v>-0.01265822785</v>
      </c>
      <c r="J41" s="16" t="str">
        <f>IFERROR(__xludf.DUMMYFUNCTION("VLOOKUP(A41,IMPORTRANGE(""1QZ5UxyNCwadreQAXnQ7oCoH982DjIA-QnZdO7ZoqkC0/edit#gid=884617569"",""S3 Totals!$A$2:$O$255""),7,FALSE)"),"")</f>
        <v/>
      </c>
      <c r="K41" s="15" t="str">
        <f>IFERROR(__xludf.DUMMYFUNCTION("VLOOKUP(A41,IMPORTRANGE(""1QZ5UxyNCwadreQAXnQ7oCoH982DjIA-QnZdO7ZoqkC0/edit#gid=884617569"",""S3 Totals!$A$2:$O$255""),8,FALSE)"),"")</f>
        <v/>
      </c>
      <c r="L41" s="110">
        <f t="shared" si="5"/>
        <v>0.01351351351</v>
      </c>
      <c r="M41" s="16" t="str">
        <f>IFERROR(__xludf.DUMMYFUNCTION("VLOOKUP(A41,IMPORTRANGE(""1QZ5UxyNCwadreQAXnQ7oCoH982DjIA-QnZdO7ZoqkC0/edit#gid=884617569"",""S3 Totals!$A$2:$O$255""),10,FALSE)"),"")</f>
        <v/>
      </c>
      <c r="N41" s="15" t="str">
        <f>IFERROR(__xludf.DUMMYFUNCTION("VLOOKUP(A41,IMPORTRANGE(""1QZ5UxyNCwadreQAXnQ7oCoH982DjIA-QnZdO7ZoqkC0/edit#gid=884617569"",""S3 Totals!$A$2:$O$255""),11,FALSE)"),"")</f>
        <v/>
      </c>
      <c r="O41" s="110">
        <f t="shared" si="3"/>
        <v>0</v>
      </c>
      <c r="P41" s="16" t="str">
        <f>IFERROR(__xludf.DUMMYFUNCTION("VLOOKUP(A41,IMPORTRANGE(""1QZ5UxyNCwadreQAXnQ7oCoH982DjIA-QnZdO7ZoqkC0/edit#gid=884617569"",""S3 Totals!$A$2:$O$255""),13,FALSE)"),"")</f>
        <v/>
      </c>
      <c r="Q41" s="15" t="str">
        <f>IFERROR(__xludf.DUMMYFUNCTION("VLOOKUP(A41,IMPORTRANGE(""1QZ5UxyNCwadreQAXnQ7oCoH982DjIA-QnZdO7ZoqkC0/edit#gid=884617569"",""S3 Totals!$A$2:$O$255""),14,FALSE)"),"")</f>
        <v/>
      </c>
      <c r="R41" s="110">
        <f t="shared" si="4"/>
        <v>0</v>
      </c>
      <c r="S41" s="144"/>
    </row>
    <row r="42">
      <c r="A42" s="128" t="s">
        <v>220</v>
      </c>
      <c r="B42" s="16">
        <f>IFERROR(__xludf.DUMMYFUNCTION("VLOOKUP(A42,IMPORTRANGE(""1aFCnJY1qhIj8-JckJhDJ18aqmVo17tofpQmOjcYa3u8/edit#gid=1878241338"",""S3 Totals!$A$2:$O$255""),2,FALSE)"),8.0)</f>
        <v>8</v>
      </c>
      <c r="C42" s="15">
        <f>IFERROR(__xludf.DUMMYFUNCTION("VLOOKUP(A42,IMPORTRANGE(""1aFCnJY1qhIj8-JckJhDJ18aqmVo17tofpQmOjcYa3u8/edit#gid=1878241338"",""S3 Totals!$A$2:$O$255""),3,FALSE)"),0.1095890410958904)</f>
        <v>0.1095890411</v>
      </c>
      <c r="D42" s="16">
        <f>IFERROR(__xludf.DUMMYFUNCTION("VLOOKUP(A42,IMPORTRANGE(""1QZ5UxyNCwadreQAXnQ7oCoH982DjIA-QnZdO7ZoqkC0/edit#gid=884617569"",""S3 Totals!$A$2:$O$255""),2,FALSE)"),9.0)</f>
        <v>9</v>
      </c>
      <c r="E42" s="15">
        <f>IFERROR(__xludf.DUMMYFUNCTION("VLOOKUP(A42,IMPORTRANGE(""1QZ5UxyNCwadreQAXnQ7oCoH982DjIA-QnZdO7ZoqkC0/edit#gid=884617569"",""S3 Totals!$A$2:$O$255""),3,FALSE)"),0.12162162162162163)</f>
        <v>0.1216216216</v>
      </c>
      <c r="F42" s="15">
        <f t="shared" si="1"/>
        <v>-0.01203258053</v>
      </c>
      <c r="G42" s="16">
        <f>IFERROR(__xludf.DUMMYFUNCTION("VLOOKUP(A42,IMPORTRANGE(""1QZ5UxyNCwadreQAXnQ7oCoH982DjIA-QnZdO7ZoqkC0/edit#gid=884617569"",""S3 Totals!$A$2:$O$255""),4,FALSE)"),0.0)</f>
        <v>0</v>
      </c>
      <c r="H42" s="15">
        <f>IFERROR(__xludf.DUMMYFUNCTION("VLOOKUP(A42,IMPORTRANGE(""1QZ5UxyNCwadreQAXnQ7oCoH982DjIA-QnZdO7ZoqkC0/edit#gid=884617569"",""S3 Totals!$A$2:$O$255""),5,FALSE)"),0.0)</f>
        <v>0</v>
      </c>
      <c r="I42" s="143">
        <f t="shared" si="2"/>
        <v>0.1095890411</v>
      </c>
      <c r="J42" s="16" t="str">
        <f>IFERROR(__xludf.DUMMYFUNCTION("VLOOKUP(A42,IMPORTRANGE(""1QZ5UxyNCwadreQAXnQ7oCoH982DjIA-QnZdO7ZoqkC0/edit#gid=884617569"",""S3 Totals!$A$2:$O$255""),7,FALSE)"),"")</f>
        <v/>
      </c>
      <c r="K42" s="15" t="str">
        <f>IFERROR(__xludf.DUMMYFUNCTION("VLOOKUP(A42,IMPORTRANGE(""1QZ5UxyNCwadreQAXnQ7oCoH982DjIA-QnZdO7ZoqkC0/edit#gid=884617569"",""S3 Totals!$A$2:$O$255""),8,FALSE)"),"")</f>
        <v/>
      </c>
      <c r="L42" s="110">
        <f t="shared" si="5"/>
        <v>0.1216216216</v>
      </c>
      <c r="M42" s="16" t="str">
        <f>IFERROR(__xludf.DUMMYFUNCTION("VLOOKUP(A42,IMPORTRANGE(""1QZ5UxyNCwadreQAXnQ7oCoH982DjIA-QnZdO7ZoqkC0/edit#gid=884617569"",""S3 Totals!$A$2:$O$255""),10,FALSE)"),"")</f>
        <v/>
      </c>
      <c r="N42" s="15" t="str">
        <f>IFERROR(__xludf.DUMMYFUNCTION("VLOOKUP(A42,IMPORTRANGE(""1QZ5UxyNCwadreQAXnQ7oCoH982DjIA-QnZdO7ZoqkC0/edit#gid=884617569"",""S3 Totals!$A$2:$O$255""),11,FALSE)"),"")</f>
        <v/>
      </c>
      <c r="O42" s="110">
        <f t="shared" si="3"/>
        <v>0.1095890411</v>
      </c>
      <c r="P42" s="16" t="str">
        <f>IFERROR(__xludf.DUMMYFUNCTION("VLOOKUP(A42,IMPORTRANGE(""1QZ5UxyNCwadreQAXnQ7oCoH982DjIA-QnZdO7ZoqkC0/edit#gid=884617569"",""S3 Totals!$A$2:$O$255""),13,FALSE)"),"")</f>
        <v/>
      </c>
      <c r="Q42" s="15" t="str">
        <f>IFERROR(__xludf.DUMMYFUNCTION("VLOOKUP(A42,IMPORTRANGE(""1QZ5UxyNCwadreQAXnQ7oCoH982DjIA-QnZdO7ZoqkC0/edit#gid=884617569"",""S3 Totals!$A$2:$O$255""),14,FALSE)"),"")</f>
        <v/>
      </c>
      <c r="R42" s="110">
        <f t="shared" si="4"/>
        <v>0.1095890411</v>
      </c>
      <c r="S42" s="144"/>
    </row>
    <row r="43">
      <c r="A43" s="128" t="s">
        <v>117</v>
      </c>
      <c r="B43" s="16">
        <f>IFERROR(__xludf.DUMMYFUNCTION("VLOOKUP(A43,IMPORTRANGE(""1aFCnJY1qhIj8-JckJhDJ18aqmVo17tofpQmOjcYa3u8/edit#gid=1878241338"",""S3 Totals!$A$2:$O$255""),2,FALSE)"),0.0)</f>
        <v>0</v>
      </c>
      <c r="C43" s="15">
        <f>IFERROR(__xludf.DUMMYFUNCTION("VLOOKUP(A43,IMPORTRANGE(""1aFCnJY1qhIj8-JckJhDJ18aqmVo17tofpQmOjcYa3u8/edit#gid=1878241338"",""S3 Totals!$A$2:$O$255""),3,FALSE)"),0.0)</f>
        <v>0</v>
      </c>
      <c r="D43" s="16">
        <f>IFERROR(__xludf.DUMMYFUNCTION("VLOOKUP(A43,IMPORTRANGE(""1QZ5UxyNCwadreQAXnQ7oCoH982DjIA-QnZdO7ZoqkC0/edit#gid=884617569"",""S3 Totals!$A$2:$O$255""),2,FALSE)"),0.0)</f>
        <v>0</v>
      </c>
      <c r="E43" s="15">
        <f>IFERROR(__xludf.DUMMYFUNCTION("VLOOKUP(A43,IMPORTRANGE(""1QZ5UxyNCwadreQAXnQ7oCoH982DjIA-QnZdO7ZoqkC0/edit#gid=884617569"",""S3 Totals!$A$2:$O$255""),3,FALSE)"),0.0)</f>
        <v>0</v>
      </c>
      <c r="F43" s="15">
        <f t="shared" si="1"/>
        <v>0</v>
      </c>
      <c r="G43" s="16">
        <f>IFERROR(__xludf.DUMMYFUNCTION("VLOOKUP(A43,IMPORTRANGE(""1QZ5UxyNCwadreQAXnQ7oCoH982DjIA-QnZdO7ZoqkC0/edit#gid=884617569"",""S3 Totals!$A$2:$O$255""),4,FALSE)"),0.0)</f>
        <v>0</v>
      </c>
      <c r="H43" s="15">
        <f>IFERROR(__xludf.DUMMYFUNCTION("VLOOKUP(A43,IMPORTRANGE(""1QZ5UxyNCwadreQAXnQ7oCoH982DjIA-QnZdO7ZoqkC0/edit#gid=884617569"",""S3 Totals!$A$2:$O$255""),5,FALSE)"),0.0)</f>
        <v>0</v>
      </c>
      <c r="I43" s="143">
        <f t="shared" si="2"/>
        <v>0</v>
      </c>
      <c r="J43" s="16">
        <f>IFERROR(__xludf.DUMMYFUNCTION("VLOOKUP(A43,IMPORTRANGE(""1QZ5UxyNCwadreQAXnQ7oCoH982DjIA-QnZdO7ZoqkC0/edit#gid=884617569"",""S3 Totals!$A$2:$O$255""),7,FALSE)"),0.0)</f>
        <v>0</v>
      </c>
      <c r="K43" s="15">
        <f>IFERROR(__xludf.DUMMYFUNCTION("VLOOKUP(A43,IMPORTRANGE(""1QZ5UxyNCwadreQAXnQ7oCoH982DjIA-QnZdO7ZoqkC0/edit#gid=884617569"",""S3 Totals!$A$2:$O$255""),8,FALSE)"),0.0)</f>
        <v>0</v>
      </c>
      <c r="L43" s="110">
        <f t="shared" si="5"/>
        <v>0</v>
      </c>
      <c r="M43" s="16">
        <f>IFERROR(__xludf.DUMMYFUNCTION("VLOOKUP(A43,IMPORTRANGE(""1QZ5UxyNCwadreQAXnQ7oCoH982DjIA-QnZdO7ZoqkC0/edit#gid=884617569"",""S3 Totals!$A$2:$O$255""),10,FALSE)"),0.0)</f>
        <v>0</v>
      </c>
      <c r="N43" s="15">
        <f>IFERROR(__xludf.DUMMYFUNCTION("VLOOKUP(A43,IMPORTRANGE(""1QZ5UxyNCwadreQAXnQ7oCoH982DjIA-QnZdO7ZoqkC0/edit#gid=884617569"",""S3 Totals!$A$2:$O$255""),11,FALSE)"),0.0)</f>
        <v>0</v>
      </c>
      <c r="O43" s="110">
        <f t="shared" si="3"/>
        <v>0</v>
      </c>
      <c r="P43" s="16" t="str">
        <f>IFERROR(__xludf.DUMMYFUNCTION("VLOOKUP(A43,IMPORTRANGE(""1QZ5UxyNCwadreQAXnQ7oCoH982DjIA-QnZdO7ZoqkC0/edit#gid=884617569"",""S3 Totals!$A$2:$O$255""),13,FALSE)"),"")</f>
        <v/>
      </c>
      <c r="Q43" s="15" t="str">
        <f>IFERROR(__xludf.DUMMYFUNCTION("VLOOKUP(A43,IMPORTRANGE(""1QZ5UxyNCwadreQAXnQ7oCoH982DjIA-QnZdO7ZoqkC0/edit#gid=884617569"",""S3 Totals!$A$2:$O$255""),14,FALSE)"),"")</f>
        <v/>
      </c>
      <c r="R43" s="110">
        <f t="shared" si="4"/>
        <v>0</v>
      </c>
      <c r="S43" s="144"/>
    </row>
    <row r="44">
      <c r="A44" s="132" t="s">
        <v>168</v>
      </c>
      <c r="B44" s="16">
        <f>IFERROR(__xludf.DUMMYFUNCTION("VLOOKUP(A44,IMPORTRANGE(""1aFCnJY1qhIj8-JckJhDJ18aqmVo17tofpQmOjcYa3u8/edit#gid=1878241338"",""S3 Totals!$A$2:$O$255""),2,FALSE)"),1.0)</f>
        <v>1</v>
      </c>
      <c r="C44" s="15">
        <f>IFERROR(__xludf.DUMMYFUNCTION("VLOOKUP(A44,IMPORTRANGE(""1aFCnJY1qhIj8-JckJhDJ18aqmVo17tofpQmOjcYa3u8/edit#gid=1878241338"",""S3 Totals!$A$2:$O$255""),3,FALSE)"),0.0136986301369863)</f>
        <v>0.01369863014</v>
      </c>
      <c r="D44" s="16">
        <f>IFERROR(__xludf.DUMMYFUNCTION("VLOOKUP(A44,IMPORTRANGE(""1QZ5UxyNCwadreQAXnQ7oCoH982DjIA-QnZdO7ZoqkC0/edit#gid=884617569"",""S3 Totals!$A$2:$O$255""),2,FALSE)"),0.0)</f>
        <v>0</v>
      </c>
      <c r="E44" s="15">
        <f>IFERROR(__xludf.DUMMYFUNCTION("VLOOKUP(A44,IMPORTRANGE(""1QZ5UxyNCwadreQAXnQ7oCoH982DjIA-QnZdO7ZoqkC0/edit#gid=884617569"",""S3 Totals!$A$2:$O$255""),3,FALSE)"),0.0)</f>
        <v>0</v>
      </c>
      <c r="F44" s="15">
        <f t="shared" si="1"/>
        <v>0.01369863014</v>
      </c>
      <c r="G44" s="16">
        <f>IFERROR(__xludf.DUMMYFUNCTION("VLOOKUP(A44,IMPORTRANGE(""1QZ5UxyNCwadreQAXnQ7oCoH982DjIA-QnZdO7ZoqkC0/edit#gid=884617569"",""S3 Totals!$A$2:$O$255""),4,FALSE)"),0.0)</f>
        <v>0</v>
      </c>
      <c r="H44" s="15">
        <f>IFERROR(__xludf.DUMMYFUNCTION("VLOOKUP(A44,IMPORTRANGE(""1QZ5UxyNCwadreQAXnQ7oCoH982DjIA-QnZdO7ZoqkC0/edit#gid=884617569"",""S3 Totals!$A$2:$O$255""),5,FALSE)"),0.0)</f>
        <v>0</v>
      </c>
      <c r="I44" s="143">
        <f t="shared" si="2"/>
        <v>0.01369863014</v>
      </c>
      <c r="J44" s="16">
        <f>IFERROR(__xludf.DUMMYFUNCTION("VLOOKUP(A44,IMPORTRANGE(""1QZ5UxyNCwadreQAXnQ7oCoH982DjIA-QnZdO7ZoqkC0/edit#gid=884617569"",""S3 Totals!$A$2:$O$255""),7,FALSE)"),0.0)</f>
        <v>0</v>
      </c>
      <c r="K44" s="15">
        <f>IFERROR(__xludf.DUMMYFUNCTION("VLOOKUP(A44,IMPORTRANGE(""1QZ5UxyNCwadreQAXnQ7oCoH982DjIA-QnZdO7ZoqkC0/edit#gid=884617569"",""S3 Totals!$A$2:$O$255""),8,FALSE)"),0.0)</f>
        <v>0</v>
      </c>
      <c r="L44" s="110">
        <f t="shared" si="5"/>
        <v>0</v>
      </c>
      <c r="M44" s="16" t="str">
        <f>IFERROR(__xludf.DUMMYFUNCTION("VLOOKUP(A44,IMPORTRANGE(""1QZ5UxyNCwadreQAXnQ7oCoH982DjIA-QnZdO7ZoqkC0/edit#gid=884617569"",""S3 Totals!$A$2:$O$255""),10,FALSE)"),"")</f>
        <v/>
      </c>
      <c r="N44" s="15" t="str">
        <f>IFERROR(__xludf.DUMMYFUNCTION("VLOOKUP(A44,IMPORTRANGE(""1QZ5UxyNCwadreQAXnQ7oCoH982DjIA-QnZdO7ZoqkC0/edit#gid=884617569"",""S3 Totals!$A$2:$O$255""),11,FALSE)"),"")</f>
        <v/>
      </c>
      <c r="O44" s="110">
        <f t="shared" si="3"/>
        <v>0.01369863014</v>
      </c>
      <c r="P44" s="16" t="str">
        <f>IFERROR(__xludf.DUMMYFUNCTION("VLOOKUP(A44,IMPORTRANGE(""1QZ5UxyNCwadreQAXnQ7oCoH982DjIA-QnZdO7ZoqkC0/edit#gid=884617569"",""S3 Totals!$A$2:$O$255""),13,FALSE)"),"")</f>
        <v/>
      </c>
      <c r="Q44" s="15" t="str">
        <f>IFERROR(__xludf.DUMMYFUNCTION("VLOOKUP(A44,IMPORTRANGE(""1QZ5UxyNCwadreQAXnQ7oCoH982DjIA-QnZdO7ZoqkC0/edit#gid=884617569"",""S3 Totals!$A$2:$O$255""),14,FALSE)"),"")</f>
        <v/>
      </c>
      <c r="R44" s="110">
        <f t="shared" si="4"/>
        <v>0.01369863014</v>
      </c>
      <c r="S44" s="144"/>
    </row>
    <row r="45">
      <c r="A45" s="128" t="s">
        <v>169</v>
      </c>
      <c r="B45" s="16">
        <f>IFERROR(__xludf.DUMMYFUNCTION("VLOOKUP(A45,IMPORTRANGE(""1aFCnJY1qhIj8-JckJhDJ18aqmVo17tofpQmOjcYa3u8/edit#gid=1878241338"",""S3 Totals!$A$2:$O$255""),2,FALSE)"),7.0)</f>
        <v>7</v>
      </c>
      <c r="C45" s="15">
        <f>IFERROR(__xludf.DUMMYFUNCTION("VLOOKUP(A45,IMPORTRANGE(""1aFCnJY1qhIj8-JckJhDJ18aqmVo17tofpQmOjcYa3u8/edit#gid=1878241338"",""S3 Totals!$A$2:$O$255""),3,FALSE)"),0.0958904109589041)</f>
        <v>0.09589041096</v>
      </c>
      <c r="D45" s="16">
        <f>IFERROR(__xludf.DUMMYFUNCTION("VLOOKUP(A45,IMPORTRANGE(""1QZ5UxyNCwadreQAXnQ7oCoH982DjIA-QnZdO7ZoqkC0/edit#gid=884617569"",""S3 Totals!$A$2:$O$255""),2,FALSE)"),8.0)</f>
        <v>8</v>
      </c>
      <c r="E45" s="15">
        <f>IFERROR(__xludf.DUMMYFUNCTION("VLOOKUP(A45,IMPORTRANGE(""1QZ5UxyNCwadreQAXnQ7oCoH982DjIA-QnZdO7ZoqkC0/edit#gid=884617569"",""S3 Totals!$A$2:$O$255""),3,FALSE)"),0.10810810810810811)</f>
        <v>0.1081081081</v>
      </c>
      <c r="F45" s="15">
        <f t="shared" si="1"/>
        <v>-0.01221769715</v>
      </c>
      <c r="G45" s="16">
        <f>IFERROR(__xludf.DUMMYFUNCTION("VLOOKUP(A45,IMPORTRANGE(""1QZ5UxyNCwadreQAXnQ7oCoH982DjIA-QnZdO7ZoqkC0/edit#gid=884617569"",""S3 Totals!$A$2:$O$255""),4,FALSE)"),1.0)</f>
        <v>1</v>
      </c>
      <c r="H45" s="15">
        <f>IFERROR(__xludf.DUMMYFUNCTION("VLOOKUP(A45,IMPORTRANGE(""1QZ5UxyNCwadreQAXnQ7oCoH982DjIA-QnZdO7ZoqkC0/edit#gid=884617569"",""S3 Totals!$A$2:$O$255""),5,FALSE)"),0.012658227848101266)</f>
        <v>0.01265822785</v>
      </c>
      <c r="I45" s="143">
        <f t="shared" si="2"/>
        <v>0.08323218311</v>
      </c>
      <c r="J45" s="16">
        <f>IFERROR(__xludf.DUMMYFUNCTION("VLOOKUP(A45,IMPORTRANGE(""1QZ5UxyNCwadreQAXnQ7oCoH982DjIA-QnZdO7ZoqkC0/edit#gid=884617569"",""S3 Totals!$A$2:$O$255""),7,FALSE)"),0.0)</f>
        <v>0</v>
      </c>
      <c r="K45" s="15">
        <f>IFERROR(__xludf.DUMMYFUNCTION("VLOOKUP(A45,IMPORTRANGE(""1QZ5UxyNCwadreQAXnQ7oCoH982DjIA-QnZdO7ZoqkC0/edit#gid=884617569"",""S3 Totals!$A$2:$O$255""),8,FALSE)"),0.0)</f>
        <v>0</v>
      </c>
      <c r="L45" s="110">
        <f t="shared" si="5"/>
        <v>0.1081081081</v>
      </c>
      <c r="M45" s="16" t="str">
        <f>IFERROR(__xludf.DUMMYFUNCTION("VLOOKUP(A45,IMPORTRANGE(""1QZ5UxyNCwadreQAXnQ7oCoH982DjIA-QnZdO7ZoqkC0/edit#gid=884617569"",""S3 Totals!$A$2:$O$255""),10,FALSE)"),"")</f>
        <v/>
      </c>
      <c r="N45" s="15" t="str">
        <f>IFERROR(__xludf.DUMMYFUNCTION("VLOOKUP(A45,IMPORTRANGE(""1QZ5UxyNCwadreQAXnQ7oCoH982DjIA-QnZdO7ZoqkC0/edit#gid=884617569"",""S3 Totals!$A$2:$O$255""),11,FALSE)"),"")</f>
        <v/>
      </c>
      <c r="O45" s="110">
        <f t="shared" si="3"/>
        <v>0.09589041096</v>
      </c>
      <c r="P45" s="16" t="str">
        <f>IFERROR(__xludf.DUMMYFUNCTION("VLOOKUP(A45,IMPORTRANGE(""1QZ5UxyNCwadreQAXnQ7oCoH982DjIA-QnZdO7ZoqkC0/edit#gid=884617569"",""S3 Totals!$A$2:$O$255""),13,FALSE)"),"")</f>
        <v/>
      </c>
      <c r="Q45" s="15" t="str">
        <f>IFERROR(__xludf.DUMMYFUNCTION("VLOOKUP(A45,IMPORTRANGE(""1QZ5UxyNCwadreQAXnQ7oCoH982DjIA-QnZdO7ZoqkC0/edit#gid=884617569"",""S3 Totals!$A$2:$O$255""),14,FALSE)"),"")</f>
        <v/>
      </c>
      <c r="R45" s="110">
        <f t="shared" si="4"/>
        <v>0.09589041096</v>
      </c>
      <c r="S45" s="144"/>
    </row>
    <row r="46">
      <c r="A46" s="128" t="s">
        <v>263</v>
      </c>
      <c r="B46" s="16">
        <f>IFERROR(__xludf.DUMMYFUNCTION("VLOOKUP(A46,IMPORTRANGE(""1aFCnJY1qhIj8-JckJhDJ18aqmVo17tofpQmOjcYa3u8/edit#gid=1878241338"",""S3 Totals!$A$2:$O$255""),2,FALSE)"),1.0)</f>
        <v>1</v>
      </c>
      <c r="C46" s="15">
        <f>IFERROR(__xludf.DUMMYFUNCTION("VLOOKUP(A46,IMPORTRANGE(""1aFCnJY1qhIj8-JckJhDJ18aqmVo17tofpQmOjcYa3u8/edit#gid=1878241338"",""S3 Totals!$A$2:$O$255""),3,FALSE)"),0.0136986301369863)</f>
        <v>0.01369863014</v>
      </c>
      <c r="D46" s="16" t="str">
        <f>IFERROR(__xludf.DUMMYFUNCTION("VLOOKUP(A46,IMPORTRANGE(""1QZ5UxyNCwadreQAXnQ7oCoH982DjIA-QnZdO7ZoqkC0/edit#gid=884617569"",""S3 Totals!$A$2:$O$255""),2,FALSE)"),"#N/A")</f>
        <v>#N/A</v>
      </c>
      <c r="E46" s="15" t="str">
        <f>IFERROR(__xludf.DUMMYFUNCTION("VLOOKUP(A46,IMPORTRANGE(""1QZ5UxyNCwadreQAXnQ7oCoH982DjIA-QnZdO7ZoqkC0/edit#gid=884617569"",""S3 Totals!$A$2:$O$255""),3,FALSE)"),"#N/A")</f>
        <v>#N/A</v>
      </c>
      <c r="F46" s="16" t="str">
        <f t="shared" si="1"/>
        <v>#N/A</v>
      </c>
      <c r="G46" s="16" t="str">
        <f>IFERROR(__xludf.DUMMYFUNCTION("VLOOKUP(A46,IMPORTRANGE(""1QZ5UxyNCwadreQAXnQ7oCoH982DjIA-QnZdO7ZoqkC0/edit#gid=884617569"",""S3 Totals!$A$2:$O$255""),4,FALSE)"),"#N/A")</f>
        <v>#N/A</v>
      </c>
      <c r="H46" s="15" t="str">
        <f>IFERROR(__xludf.DUMMYFUNCTION("VLOOKUP(A46,IMPORTRANGE(""1QZ5UxyNCwadreQAXnQ7oCoH982DjIA-QnZdO7ZoqkC0/edit#gid=884617569"",""S3 Totals!$A$2:$O$255""),5,FALSE)"),"#N/A")</f>
        <v>#N/A</v>
      </c>
      <c r="I46" s="143" t="str">
        <f t="shared" si="2"/>
        <v>#N/A</v>
      </c>
      <c r="J46" s="16" t="str">
        <f>IFERROR(__xludf.DUMMYFUNCTION("VLOOKUP(A46,IMPORTRANGE(""1QZ5UxyNCwadreQAXnQ7oCoH982DjIA-QnZdO7ZoqkC0/edit#gid=884617569"",""S3 Totals!$A$2:$O$255""),7,FALSE)"),"#N/A")</f>
        <v>#N/A</v>
      </c>
      <c r="K46" s="15" t="str">
        <f>IFERROR(__xludf.DUMMYFUNCTION("VLOOKUP(A46,IMPORTRANGE(""1QZ5UxyNCwadreQAXnQ7oCoH982DjIA-QnZdO7ZoqkC0/edit#gid=884617569"",""S3 Totals!$A$2:$O$255""),8,FALSE)"),"#N/A")</f>
        <v>#N/A</v>
      </c>
      <c r="L46" s="110" t="str">
        <f t="shared" si="5"/>
        <v>#N/A</v>
      </c>
      <c r="M46" s="16" t="str">
        <f>IFERROR(__xludf.DUMMYFUNCTION("VLOOKUP(A46,IMPORTRANGE(""1QZ5UxyNCwadreQAXnQ7oCoH982DjIA-QnZdO7ZoqkC0/edit#gid=884617569"",""S3 Totals!$A$2:$O$255""),10,FALSE)"),"#N/A")</f>
        <v>#N/A</v>
      </c>
      <c r="N46" s="15" t="str">
        <f>IFERROR(__xludf.DUMMYFUNCTION("VLOOKUP(A46,IMPORTRANGE(""1QZ5UxyNCwadreQAXnQ7oCoH982DjIA-QnZdO7ZoqkC0/edit#gid=884617569"",""S3 Totals!$A$2:$O$255""),11,FALSE)"),"#N/A")</f>
        <v>#N/A</v>
      </c>
      <c r="O46" s="110" t="str">
        <f t="shared" si="3"/>
        <v>#N/A</v>
      </c>
      <c r="P46" s="16" t="str">
        <f>IFERROR(__xludf.DUMMYFUNCTION("VLOOKUP(A46,IMPORTRANGE(""1QZ5UxyNCwadreQAXnQ7oCoH982DjIA-QnZdO7ZoqkC0/edit#gid=884617569"",""S3 Totals!$A$2:$O$255""),13,FALSE)"),"#N/A")</f>
        <v>#N/A</v>
      </c>
      <c r="Q46" s="15" t="str">
        <f>IFERROR(__xludf.DUMMYFUNCTION("VLOOKUP(A46,IMPORTRANGE(""1QZ5UxyNCwadreQAXnQ7oCoH982DjIA-QnZdO7ZoqkC0/edit#gid=884617569"",""S3 Totals!$A$2:$O$255""),14,FALSE)"),"#N/A")</f>
        <v>#N/A</v>
      </c>
      <c r="R46" s="110" t="str">
        <f t="shared" si="4"/>
        <v>#N/A</v>
      </c>
      <c r="S46" s="144"/>
    </row>
    <row r="47">
      <c r="A47" s="128" t="s">
        <v>170</v>
      </c>
      <c r="B47" s="16">
        <f>IFERROR(__xludf.DUMMYFUNCTION("VLOOKUP(A47,IMPORTRANGE(""1aFCnJY1qhIj8-JckJhDJ18aqmVo17tofpQmOjcYa3u8/edit#gid=1878241338"",""S3 Totals!$A$2:$O$255""),2,FALSE)"),1.0)</f>
        <v>1</v>
      </c>
      <c r="C47" s="15">
        <f>IFERROR(__xludf.DUMMYFUNCTION("VLOOKUP(A47,IMPORTRANGE(""1aFCnJY1qhIj8-JckJhDJ18aqmVo17tofpQmOjcYa3u8/edit#gid=1878241338"",""S3 Totals!$A$2:$O$255""),3,FALSE)"),0.0136986301369863)</f>
        <v>0.01369863014</v>
      </c>
      <c r="D47" s="16">
        <f>IFERROR(__xludf.DUMMYFUNCTION("VLOOKUP(A47,IMPORTRANGE(""1QZ5UxyNCwadreQAXnQ7oCoH982DjIA-QnZdO7ZoqkC0/edit#gid=884617569"",""S3 Totals!$A$2:$O$255""),2,FALSE)"),1.0)</f>
        <v>1</v>
      </c>
      <c r="E47" s="15">
        <f>IFERROR(__xludf.DUMMYFUNCTION("VLOOKUP(A47,IMPORTRANGE(""1QZ5UxyNCwadreQAXnQ7oCoH982DjIA-QnZdO7ZoqkC0/edit#gid=884617569"",""S3 Totals!$A$2:$O$255""),3,FALSE)"),0.013513513513513514)</f>
        <v>0.01351351351</v>
      </c>
      <c r="F47" s="15">
        <f t="shared" si="1"/>
        <v>0.0001851166235</v>
      </c>
      <c r="G47" s="16">
        <f>IFERROR(__xludf.DUMMYFUNCTION("VLOOKUP(A47,IMPORTRANGE(""1QZ5UxyNCwadreQAXnQ7oCoH982DjIA-QnZdO7ZoqkC0/edit#gid=884617569"",""S3 Totals!$A$2:$O$255""),4,FALSE)"),1.0)</f>
        <v>1</v>
      </c>
      <c r="H47" s="15">
        <f>IFERROR(__xludf.DUMMYFUNCTION("VLOOKUP(A47,IMPORTRANGE(""1QZ5UxyNCwadreQAXnQ7oCoH982DjIA-QnZdO7ZoqkC0/edit#gid=884617569"",""S3 Totals!$A$2:$O$255""),5,FALSE)"),0.012658227848101266)</f>
        <v>0.01265822785</v>
      </c>
      <c r="I47" s="143">
        <f t="shared" si="2"/>
        <v>0.001040402289</v>
      </c>
      <c r="J47" s="16">
        <f>IFERROR(__xludf.DUMMYFUNCTION("VLOOKUP(A47,IMPORTRANGE(""1QZ5UxyNCwadreQAXnQ7oCoH982DjIA-QnZdO7ZoqkC0/edit#gid=884617569"",""S3 Totals!$A$2:$O$255""),7,FALSE)"),1.0)</f>
        <v>1</v>
      </c>
      <c r="K47" s="15">
        <f>IFERROR(__xludf.DUMMYFUNCTION("VLOOKUP(A47,IMPORTRANGE(""1QZ5UxyNCwadreQAXnQ7oCoH982DjIA-QnZdO7ZoqkC0/edit#gid=884617569"",""S3 Totals!$A$2:$O$255""),8,FALSE)"),0.011764705882352941)</f>
        <v>0.01176470588</v>
      </c>
      <c r="L47" s="110">
        <f t="shared" si="5"/>
        <v>0.001748807631</v>
      </c>
      <c r="M47" s="16" t="str">
        <f>IFERROR(__xludf.DUMMYFUNCTION("VLOOKUP(A47,IMPORTRANGE(""1QZ5UxyNCwadreQAXnQ7oCoH982DjIA-QnZdO7ZoqkC0/edit#gid=884617569"",""S3 Totals!$A$2:$O$255""),10,FALSE)"),"")</f>
        <v/>
      </c>
      <c r="N47" s="15" t="str">
        <f>IFERROR(__xludf.DUMMYFUNCTION("VLOOKUP(A47,IMPORTRANGE(""1QZ5UxyNCwadreQAXnQ7oCoH982DjIA-QnZdO7ZoqkC0/edit#gid=884617569"",""S3 Totals!$A$2:$O$255""),11,FALSE)"),"")</f>
        <v/>
      </c>
      <c r="O47" s="110">
        <f t="shared" si="3"/>
        <v>0.01369863014</v>
      </c>
      <c r="P47" s="16" t="str">
        <f>IFERROR(__xludf.DUMMYFUNCTION("VLOOKUP(A47,IMPORTRANGE(""1QZ5UxyNCwadreQAXnQ7oCoH982DjIA-QnZdO7ZoqkC0/edit#gid=884617569"",""S3 Totals!$A$2:$O$255""),13,FALSE)"),"")</f>
        <v/>
      </c>
      <c r="Q47" s="15" t="str">
        <f>IFERROR(__xludf.DUMMYFUNCTION("VLOOKUP(A47,IMPORTRANGE(""1QZ5UxyNCwadreQAXnQ7oCoH982DjIA-QnZdO7ZoqkC0/edit#gid=884617569"",""S3 Totals!$A$2:$O$255""),14,FALSE)"),"")</f>
        <v/>
      </c>
      <c r="R47" s="110">
        <f t="shared" si="4"/>
        <v>0.01369863014</v>
      </c>
      <c r="S47" s="144"/>
    </row>
    <row r="48">
      <c r="A48" s="128" t="s">
        <v>221</v>
      </c>
      <c r="B48" s="16">
        <f>IFERROR(__xludf.DUMMYFUNCTION("VLOOKUP(A48,IMPORTRANGE(""1aFCnJY1qhIj8-JckJhDJ18aqmVo17tofpQmOjcYa3u8/edit#gid=1878241338"",""S3 Totals!$A$2:$O$255""),2,FALSE)"),0.0)</f>
        <v>0</v>
      </c>
      <c r="C48" s="15">
        <f>IFERROR(__xludf.DUMMYFUNCTION("VLOOKUP(A48,IMPORTRANGE(""1aFCnJY1qhIj8-JckJhDJ18aqmVo17tofpQmOjcYa3u8/edit#gid=1878241338"",""S3 Totals!$A$2:$O$255""),3,FALSE)"),0.0)</f>
        <v>0</v>
      </c>
      <c r="D48" s="16">
        <f>IFERROR(__xludf.DUMMYFUNCTION("VLOOKUP(A48,IMPORTRANGE(""1QZ5UxyNCwadreQAXnQ7oCoH982DjIA-QnZdO7ZoqkC0/edit#gid=884617569"",""S3 Totals!$A$2:$O$255""),2,FALSE)"),0.0)</f>
        <v>0</v>
      </c>
      <c r="E48" s="15">
        <f>IFERROR(__xludf.DUMMYFUNCTION("VLOOKUP(A48,IMPORTRANGE(""1QZ5UxyNCwadreQAXnQ7oCoH982DjIA-QnZdO7ZoqkC0/edit#gid=884617569"",""S3 Totals!$A$2:$O$255""),3,FALSE)"),0.0)</f>
        <v>0</v>
      </c>
      <c r="F48" s="15">
        <f t="shared" si="1"/>
        <v>0</v>
      </c>
      <c r="G48" s="16">
        <f>IFERROR(__xludf.DUMMYFUNCTION("VLOOKUP(A48,IMPORTRANGE(""1QZ5UxyNCwadreQAXnQ7oCoH982DjIA-QnZdO7ZoqkC0/edit#gid=884617569"",""S3 Totals!$A$2:$O$255""),4,FALSE)"),0.0)</f>
        <v>0</v>
      </c>
      <c r="H48" s="15">
        <f>IFERROR(__xludf.DUMMYFUNCTION("VLOOKUP(A48,IMPORTRANGE(""1QZ5UxyNCwadreQAXnQ7oCoH982DjIA-QnZdO7ZoqkC0/edit#gid=884617569"",""S3 Totals!$A$2:$O$255""),5,FALSE)"),0.0)</f>
        <v>0</v>
      </c>
      <c r="I48" s="143">
        <f t="shared" si="2"/>
        <v>0</v>
      </c>
      <c r="J48" s="16" t="str">
        <f>IFERROR(__xludf.DUMMYFUNCTION("VLOOKUP(A48,IMPORTRANGE(""1QZ5UxyNCwadreQAXnQ7oCoH982DjIA-QnZdO7ZoqkC0/edit#gid=884617569"",""S3 Totals!$A$2:$O$255""),7,FALSE)"),"")</f>
        <v/>
      </c>
      <c r="K48" s="15" t="str">
        <f>IFERROR(__xludf.DUMMYFUNCTION("VLOOKUP(A48,IMPORTRANGE(""1QZ5UxyNCwadreQAXnQ7oCoH982DjIA-QnZdO7ZoqkC0/edit#gid=884617569"",""S3 Totals!$A$2:$O$255""),8,FALSE)"),"")</f>
        <v/>
      </c>
      <c r="L48" s="110">
        <f t="shared" si="5"/>
        <v>0</v>
      </c>
      <c r="M48" s="16" t="str">
        <f>IFERROR(__xludf.DUMMYFUNCTION("VLOOKUP(A48,IMPORTRANGE(""1QZ5UxyNCwadreQAXnQ7oCoH982DjIA-QnZdO7ZoqkC0/edit#gid=884617569"",""S3 Totals!$A$2:$O$255""),10,FALSE)"),"")</f>
        <v/>
      </c>
      <c r="N48" s="15" t="str">
        <f>IFERROR(__xludf.DUMMYFUNCTION("VLOOKUP(A48,IMPORTRANGE(""1QZ5UxyNCwadreQAXnQ7oCoH982DjIA-QnZdO7ZoqkC0/edit#gid=884617569"",""S3 Totals!$A$2:$O$255""),11,FALSE)"),"")</f>
        <v/>
      </c>
      <c r="O48" s="110">
        <f t="shared" si="3"/>
        <v>0</v>
      </c>
      <c r="P48" s="16" t="str">
        <f>IFERROR(__xludf.DUMMYFUNCTION("VLOOKUP(A48,IMPORTRANGE(""1QZ5UxyNCwadreQAXnQ7oCoH982DjIA-QnZdO7ZoqkC0/edit#gid=884617569"",""S3 Totals!$A$2:$O$255""),13,FALSE)"),"")</f>
        <v/>
      </c>
      <c r="Q48" s="15" t="str">
        <f>IFERROR(__xludf.DUMMYFUNCTION("VLOOKUP(A48,IMPORTRANGE(""1QZ5UxyNCwadreQAXnQ7oCoH982DjIA-QnZdO7ZoqkC0/edit#gid=884617569"",""S3 Totals!$A$2:$O$255""),14,FALSE)"),"")</f>
        <v/>
      </c>
      <c r="R48" s="110">
        <f t="shared" si="4"/>
        <v>0</v>
      </c>
      <c r="S48" s="144"/>
    </row>
    <row r="49">
      <c r="A49" s="128" t="s">
        <v>38</v>
      </c>
      <c r="B49" s="16">
        <f>IFERROR(__xludf.DUMMYFUNCTION("VLOOKUP(A49,IMPORTRANGE(""1aFCnJY1qhIj8-JckJhDJ18aqmVo17tofpQmOjcYa3u8/edit#gid=1878241338"",""S3 Totals!$A$2:$O$255""),2,FALSE)"),27.0)</f>
        <v>27</v>
      </c>
      <c r="C49" s="15">
        <f>IFERROR(__xludf.DUMMYFUNCTION("VLOOKUP(A49,IMPORTRANGE(""1aFCnJY1qhIj8-JckJhDJ18aqmVo17tofpQmOjcYa3u8/edit#gid=1878241338"",""S3 Totals!$A$2:$O$255""),3,FALSE)"),0.3698630136986301)</f>
        <v>0.3698630137</v>
      </c>
      <c r="D49" s="16">
        <f>IFERROR(__xludf.DUMMYFUNCTION("VLOOKUP(A49,IMPORTRANGE(""1QZ5UxyNCwadreQAXnQ7oCoH982DjIA-QnZdO7ZoqkC0/edit#gid=884617569"",""S3 Totals!$A$2:$O$255""),2,FALSE)"),29.0)</f>
        <v>29</v>
      </c>
      <c r="E49" s="15">
        <f>IFERROR(__xludf.DUMMYFUNCTION("VLOOKUP(A49,IMPORTRANGE(""1QZ5UxyNCwadreQAXnQ7oCoH982DjIA-QnZdO7ZoqkC0/edit#gid=884617569"",""S3 Totals!$A$2:$O$255""),3,FALSE)"),0.3918918918918919)</f>
        <v>0.3918918919</v>
      </c>
      <c r="F49" s="15">
        <f t="shared" si="1"/>
        <v>-0.02202887819</v>
      </c>
      <c r="G49" s="16">
        <f>IFERROR(__xludf.DUMMYFUNCTION("VLOOKUP(A49,IMPORTRANGE(""1QZ5UxyNCwadreQAXnQ7oCoH982DjIA-QnZdO7ZoqkC0/edit#gid=884617569"",""S3 Totals!$A$2:$O$255""),4,FALSE)"),40.0)</f>
        <v>40</v>
      </c>
      <c r="H49" s="15">
        <f>IFERROR(__xludf.DUMMYFUNCTION("VLOOKUP(A49,IMPORTRANGE(""1QZ5UxyNCwadreQAXnQ7oCoH982DjIA-QnZdO7ZoqkC0/edit#gid=884617569"",""S3 Totals!$A$2:$O$255""),5,FALSE)"),0.5063291139240507)</f>
        <v>0.5063291139</v>
      </c>
      <c r="I49" s="143">
        <f t="shared" si="2"/>
        <v>-0.1364661002</v>
      </c>
      <c r="J49" s="16">
        <f>IFERROR(__xludf.DUMMYFUNCTION("VLOOKUP(A49,IMPORTRANGE(""1QZ5UxyNCwadreQAXnQ7oCoH982DjIA-QnZdO7ZoqkC0/edit#gid=884617569"",""S3 Totals!$A$2:$O$255""),7,FALSE)"),38.0)</f>
        <v>38</v>
      </c>
      <c r="K49" s="15">
        <f>IFERROR(__xludf.DUMMYFUNCTION("VLOOKUP(A49,IMPORTRANGE(""1QZ5UxyNCwadreQAXnQ7oCoH982DjIA-QnZdO7ZoqkC0/edit#gid=884617569"",""S3 Totals!$A$2:$O$255""),8,FALSE)"),0.4470588235294118)</f>
        <v>0.4470588235</v>
      </c>
      <c r="L49" s="110">
        <f t="shared" si="5"/>
        <v>-0.05516693164</v>
      </c>
      <c r="M49" s="16">
        <f>IFERROR(__xludf.DUMMYFUNCTION("VLOOKUP(A49,IMPORTRANGE(""1QZ5UxyNCwadreQAXnQ7oCoH982DjIA-QnZdO7ZoqkC0/edit#gid=884617569"",""S3 Totals!$A$2:$O$255""),10,FALSE)"),17.0)</f>
        <v>17</v>
      </c>
      <c r="N49" s="15">
        <f>IFERROR(__xludf.DUMMYFUNCTION("VLOOKUP(A49,IMPORTRANGE(""1QZ5UxyNCwadreQAXnQ7oCoH982DjIA-QnZdO7ZoqkC0/edit#gid=884617569"",""S3 Totals!$A$2:$O$255""),11,FALSE)"),0.2)</f>
        <v>0.2</v>
      </c>
      <c r="O49" s="110">
        <f t="shared" si="3"/>
        <v>0.1698630137</v>
      </c>
      <c r="P49" s="16">
        <f>IFERROR(__xludf.DUMMYFUNCTION("VLOOKUP(A49,IMPORTRANGE(""1QZ5UxyNCwadreQAXnQ7oCoH982DjIA-QnZdO7ZoqkC0/edit#gid=884617569"",""S3 Totals!$A$2:$O$255""),13,FALSE)"),11.0)</f>
        <v>11</v>
      </c>
      <c r="Q49" s="15">
        <f>IFERROR(__xludf.DUMMYFUNCTION("VLOOKUP(A49,IMPORTRANGE(""1QZ5UxyNCwadreQAXnQ7oCoH982DjIA-QnZdO7ZoqkC0/edit#gid=884617569"",""S3 Totals!$A$2:$O$255""),14,FALSE)"),0.12941176470588237)</f>
        <v>0.1294117647</v>
      </c>
      <c r="R49" s="110">
        <f t="shared" si="4"/>
        <v>0.240451249</v>
      </c>
      <c r="S49" s="144"/>
    </row>
    <row r="50">
      <c r="A50" s="128" t="s">
        <v>39</v>
      </c>
      <c r="B50" s="16">
        <f>IFERROR(__xludf.DUMMYFUNCTION("VLOOKUP(A50,IMPORTRANGE(""1aFCnJY1qhIj8-JckJhDJ18aqmVo17tofpQmOjcYa3u8/edit#gid=1878241338"",""S3 Totals!$A$2:$O$255""),2,FALSE)"),1.0)</f>
        <v>1</v>
      </c>
      <c r="C50" s="15">
        <f>IFERROR(__xludf.DUMMYFUNCTION("VLOOKUP(A50,IMPORTRANGE(""1aFCnJY1qhIj8-JckJhDJ18aqmVo17tofpQmOjcYa3u8/edit#gid=1878241338"",""S3 Totals!$A$2:$O$255""),3,FALSE)"),0.0136986301369863)</f>
        <v>0.01369863014</v>
      </c>
      <c r="D50" s="16">
        <f>IFERROR(__xludf.DUMMYFUNCTION("VLOOKUP(A50,IMPORTRANGE(""1QZ5UxyNCwadreQAXnQ7oCoH982DjIA-QnZdO7ZoqkC0/edit#gid=884617569"",""S3 Totals!$A$2:$O$255""),2,FALSE)"),0.0)</f>
        <v>0</v>
      </c>
      <c r="E50" s="15">
        <f>IFERROR(__xludf.DUMMYFUNCTION("VLOOKUP(A50,IMPORTRANGE(""1QZ5UxyNCwadreQAXnQ7oCoH982DjIA-QnZdO7ZoqkC0/edit#gid=884617569"",""S3 Totals!$A$2:$O$255""),3,FALSE)"),0.0)</f>
        <v>0</v>
      </c>
      <c r="F50" s="15">
        <f t="shared" si="1"/>
        <v>0.01369863014</v>
      </c>
      <c r="G50" s="16">
        <f>IFERROR(__xludf.DUMMYFUNCTION("VLOOKUP(A50,IMPORTRANGE(""1QZ5UxyNCwadreQAXnQ7oCoH982DjIA-QnZdO7ZoqkC0/edit#gid=884617569"",""S3 Totals!$A$2:$O$255""),4,FALSE)"),0.0)</f>
        <v>0</v>
      </c>
      <c r="H50" s="15">
        <f>IFERROR(__xludf.DUMMYFUNCTION("VLOOKUP(A50,IMPORTRANGE(""1QZ5UxyNCwadreQAXnQ7oCoH982DjIA-QnZdO7ZoqkC0/edit#gid=884617569"",""S3 Totals!$A$2:$O$255""),5,FALSE)"),0.0)</f>
        <v>0</v>
      </c>
      <c r="I50" s="143">
        <f t="shared" si="2"/>
        <v>0.01369863014</v>
      </c>
      <c r="J50" s="16">
        <f>IFERROR(__xludf.DUMMYFUNCTION("VLOOKUP(A50,IMPORTRANGE(""1QZ5UxyNCwadreQAXnQ7oCoH982DjIA-QnZdO7ZoqkC0/edit#gid=884617569"",""S3 Totals!$A$2:$O$255""),7,FALSE)"),0.0)</f>
        <v>0</v>
      </c>
      <c r="K50" s="15">
        <f>IFERROR(__xludf.DUMMYFUNCTION("VLOOKUP(A50,IMPORTRANGE(""1QZ5UxyNCwadreQAXnQ7oCoH982DjIA-QnZdO7ZoqkC0/edit#gid=884617569"",""S3 Totals!$A$2:$O$255""),8,FALSE)"),0.0)</f>
        <v>0</v>
      </c>
      <c r="L50" s="110">
        <f t="shared" si="5"/>
        <v>0</v>
      </c>
      <c r="M50" s="16">
        <f>IFERROR(__xludf.DUMMYFUNCTION("VLOOKUP(A50,IMPORTRANGE(""1QZ5UxyNCwadreQAXnQ7oCoH982DjIA-QnZdO7ZoqkC0/edit#gid=884617569"",""S3 Totals!$A$2:$O$255""),10,FALSE)"),1.0)</f>
        <v>1</v>
      </c>
      <c r="N50" s="15">
        <f>IFERROR(__xludf.DUMMYFUNCTION("VLOOKUP(A50,IMPORTRANGE(""1QZ5UxyNCwadreQAXnQ7oCoH982DjIA-QnZdO7ZoqkC0/edit#gid=884617569"",""S3 Totals!$A$2:$O$255""),11,FALSE)"),0.011764705882352941)</f>
        <v>0.01176470588</v>
      </c>
      <c r="O50" s="110">
        <f t="shared" si="3"/>
        <v>0.001933924255</v>
      </c>
      <c r="P50" s="16">
        <f>IFERROR(__xludf.DUMMYFUNCTION("VLOOKUP(A50,IMPORTRANGE(""1QZ5UxyNCwadreQAXnQ7oCoH982DjIA-QnZdO7ZoqkC0/edit#gid=884617569"",""S3 Totals!$A$2:$O$255""),13,FALSE)"),0.0)</f>
        <v>0</v>
      </c>
      <c r="Q50" s="15">
        <f>IFERROR(__xludf.DUMMYFUNCTION("VLOOKUP(A50,IMPORTRANGE(""1QZ5UxyNCwadreQAXnQ7oCoH982DjIA-QnZdO7ZoqkC0/edit#gid=884617569"",""S3 Totals!$A$2:$O$255""),14,FALSE)"),0.0)</f>
        <v>0</v>
      </c>
      <c r="R50" s="110">
        <f t="shared" si="4"/>
        <v>0.01369863014</v>
      </c>
      <c r="S50" s="144"/>
    </row>
    <row r="51">
      <c r="A51" s="128" t="s">
        <v>94</v>
      </c>
      <c r="B51" s="16">
        <f>IFERROR(__xludf.DUMMYFUNCTION("VLOOKUP(A51,IMPORTRANGE(""1aFCnJY1qhIj8-JckJhDJ18aqmVo17tofpQmOjcYa3u8/edit#gid=1878241338"",""S3 Totals!$A$2:$O$255""),2,FALSE)"),0.0)</f>
        <v>0</v>
      </c>
      <c r="C51" s="15">
        <f>IFERROR(__xludf.DUMMYFUNCTION("VLOOKUP(A51,IMPORTRANGE(""1aFCnJY1qhIj8-JckJhDJ18aqmVo17tofpQmOjcYa3u8/edit#gid=1878241338"",""S3 Totals!$A$2:$O$255""),3,FALSE)"),0.0)</f>
        <v>0</v>
      </c>
      <c r="D51" s="16">
        <f>IFERROR(__xludf.DUMMYFUNCTION("VLOOKUP(A51,IMPORTRANGE(""1QZ5UxyNCwadreQAXnQ7oCoH982DjIA-QnZdO7ZoqkC0/edit#gid=884617569"",""S3 Totals!$A$2:$O$255""),2,FALSE)"),0.0)</f>
        <v>0</v>
      </c>
      <c r="E51" s="15">
        <f>IFERROR(__xludf.DUMMYFUNCTION("VLOOKUP(A51,IMPORTRANGE(""1QZ5UxyNCwadreQAXnQ7oCoH982DjIA-QnZdO7ZoqkC0/edit#gid=884617569"",""S3 Totals!$A$2:$O$255""),3,FALSE)"),0.0)</f>
        <v>0</v>
      </c>
      <c r="F51" s="15">
        <f t="shared" si="1"/>
        <v>0</v>
      </c>
      <c r="G51" s="16">
        <f>IFERROR(__xludf.DUMMYFUNCTION("VLOOKUP(A51,IMPORTRANGE(""1QZ5UxyNCwadreQAXnQ7oCoH982DjIA-QnZdO7ZoqkC0/edit#gid=884617569"",""S3 Totals!$A$2:$O$255""),4,FALSE)"),0.0)</f>
        <v>0</v>
      </c>
      <c r="H51" s="15">
        <f>IFERROR(__xludf.DUMMYFUNCTION("VLOOKUP(A51,IMPORTRANGE(""1QZ5UxyNCwadreQAXnQ7oCoH982DjIA-QnZdO7ZoqkC0/edit#gid=884617569"",""S3 Totals!$A$2:$O$255""),5,FALSE)"),0.0)</f>
        <v>0</v>
      </c>
      <c r="I51" s="143">
        <f t="shared" si="2"/>
        <v>0</v>
      </c>
      <c r="J51" s="16">
        <f>IFERROR(__xludf.DUMMYFUNCTION("VLOOKUP(A51,IMPORTRANGE(""1QZ5UxyNCwadreQAXnQ7oCoH982DjIA-QnZdO7ZoqkC0/edit#gid=884617569"",""S3 Totals!$A$2:$O$255""),7,FALSE)"),0.0)</f>
        <v>0</v>
      </c>
      <c r="K51" s="15">
        <f>IFERROR(__xludf.DUMMYFUNCTION("VLOOKUP(A51,IMPORTRANGE(""1QZ5UxyNCwadreQAXnQ7oCoH982DjIA-QnZdO7ZoqkC0/edit#gid=884617569"",""S3 Totals!$A$2:$O$255""),8,FALSE)"),0.0)</f>
        <v>0</v>
      </c>
      <c r="L51" s="110">
        <f t="shared" si="5"/>
        <v>0</v>
      </c>
      <c r="M51" s="16">
        <f>IFERROR(__xludf.DUMMYFUNCTION("VLOOKUP(A51,IMPORTRANGE(""1QZ5UxyNCwadreQAXnQ7oCoH982DjIA-QnZdO7ZoqkC0/edit#gid=884617569"",""S3 Totals!$A$2:$O$255""),10,FALSE)"),0.0)</f>
        <v>0</v>
      </c>
      <c r="N51" s="15">
        <f>IFERROR(__xludf.DUMMYFUNCTION("VLOOKUP(A51,IMPORTRANGE(""1QZ5UxyNCwadreQAXnQ7oCoH982DjIA-QnZdO7ZoqkC0/edit#gid=884617569"",""S3 Totals!$A$2:$O$255""),11,FALSE)"),0.0)</f>
        <v>0</v>
      </c>
      <c r="O51" s="110">
        <f t="shared" si="3"/>
        <v>0</v>
      </c>
      <c r="P51" s="16">
        <f>IFERROR(__xludf.DUMMYFUNCTION("VLOOKUP(A51,IMPORTRANGE(""1QZ5UxyNCwadreQAXnQ7oCoH982DjIA-QnZdO7ZoqkC0/edit#gid=884617569"",""S3 Totals!$A$2:$O$255""),13,FALSE)"),0.0)</f>
        <v>0</v>
      </c>
      <c r="Q51" s="15">
        <f>IFERROR(__xludf.DUMMYFUNCTION("VLOOKUP(A51,IMPORTRANGE(""1QZ5UxyNCwadreQAXnQ7oCoH982DjIA-QnZdO7ZoqkC0/edit#gid=884617569"",""S3 Totals!$A$2:$O$255""),14,FALSE)"),0.0)</f>
        <v>0</v>
      </c>
      <c r="R51" s="110">
        <f t="shared" si="4"/>
        <v>0</v>
      </c>
      <c r="S51" s="144"/>
    </row>
    <row r="52">
      <c r="A52" s="128" t="s">
        <v>222</v>
      </c>
      <c r="B52" s="16">
        <f>IFERROR(__xludf.DUMMYFUNCTION("VLOOKUP(A52,IMPORTRANGE(""1aFCnJY1qhIj8-JckJhDJ18aqmVo17tofpQmOjcYa3u8/edit#gid=1878241338"",""S3 Totals!$A$2:$O$255""),2,FALSE)"),25.0)</f>
        <v>25</v>
      </c>
      <c r="C52" s="15">
        <f>IFERROR(__xludf.DUMMYFUNCTION("VLOOKUP(A52,IMPORTRANGE(""1aFCnJY1qhIj8-JckJhDJ18aqmVo17tofpQmOjcYa3u8/edit#gid=1878241338"",""S3 Totals!$A$2:$O$255""),3,FALSE)"),0.3424657534246575)</f>
        <v>0.3424657534</v>
      </c>
      <c r="D52" s="16">
        <f>IFERROR(__xludf.DUMMYFUNCTION("VLOOKUP(A52,IMPORTRANGE(""1QZ5UxyNCwadreQAXnQ7oCoH982DjIA-QnZdO7ZoqkC0/edit#gid=884617569"",""S3 Totals!$A$2:$O$255""),2,FALSE)"),1.0)</f>
        <v>1</v>
      </c>
      <c r="E52" s="15">
        <f>IFERROR(__xludf.DUMMYFUNCTION("VLOOKUP(A52,IMPORTRANGE(""1QZ5UxyNCwadreQAXnQ7oCoH982DjIA-QnZdO7ZoqkC0/edit#gid=884617569"",""S3 Totals!$A$2:$O$255""),3,FALSE)"),0.013513513513513514)</f>
        <v>0.01351351351</v>
      </c>
      <c r="F52" s="15">
        <f t="shared" si="1"/>
        <v>0.3289522399</v>
      </c>
      <c r="G52" s="16">
        <f>IFERROR(__xludf.DUMMYFUNCTION("VLOOKUP(A52,IMPORTRANGE(""1QZ5UxyNCwadreQAXnQ7oCoH982DjIA-QnZdO7ZoqkC0/edit#gid=884617569"",""S3 Totals!$A$2:$O$255""),4,FALSE)"),1.0)</f>
        <v>1</v>
      </c>
      <c r="H52" s="15">
        <f>IFERROR(__xludf.DUMMYFUNCTION("VLOOKUP(A52,IMPORTRANGE(""1QZ5UxyNCwadreQAXnQ7oCoH982DjIA-QnZdO7ZoqkC0/edit#gid=884617569"",""S3 Totals!$A$2:$O$255""),5,FALSE)"),0.012658227848101266)</f>
        <v>0.01265822785</v>
      </c>
      <c r="I52" s="143">
        <f t="shared" si="2"/>
        <v>0.3298075256</v>
      </c>
      <c r="J52" s="16" t="str">
        <f>IFERROR(__xludf.DUMMYFUNCTION("VLOOKUP(A52,IMPORTRANGE(""1QZ5UxyNCwadreQAXnQ7oCoH982DjIA-QnZdO7ZoqkC0/edit#gid=884617569"",""S3 Totals!$A$2:$O$255""),7,FALSE)"),"")</f>
        <v/>
      </c>
      <c r="K52" s="15" t="str">
        <f>IFERROR(__xludf.DUMMYFUNCTION("VLOOKUP(A52,IMPORTRANGE(""1QZ5UxyNCwadreQAXnQ7oCoH982DjIA-QnZdO7ZoqkC0/edit#gid=884617569"",""S3 Totals!$A$2:$O$255""),8,FALSE)"),"")</f>
        <v/>
      </c>
      <c r="L52" s="110">
        <f t="shared" si="5"/>
        <v>0.01351351351</v>
      </c>
      <c r="M52" s="16" t="str">
        <f>IFERROR(__xludf.DUMMYFUNCTION("VLOOKUP(A52,IMPORTRANGE(""1QZ5UxyNCwadreQAXnQ7oCoH982DjIA-QnZdO7ZoqkC0/edit#gid=884617569"",""S3 Totals!$A$2:$O$255""),10,FALSE)"),"")</f>
        <v/>
      </c>
      <c r="N52" s="15" t="str">
        <f>IFERROR(__xludf.DUMMYFUNCTION("VLOOKUP(A52,IMPORTRANGE(""1QZ5UxyNCwadreQAXnQ7oCoH982DjIA-QnZdO7ZoqkC0/edit#gid=884617569"",""S3 Totals!$A$2:$O$255""),11,FALSE)"),"")</f>
        <v/>
      </c>
      <c r="O52" s="110">
        <f t="shared" si="3"/>
        <v>0.3424657534</v>
      </c>
      <c r="P52" s="16" t="str">
        <f>IFERROR(__xludf.DUMMYFUNCTION("VLOOKUP(A52,IMPORTRANGE(""1QZ5UxyNCwadreQAXnQ7oCoH982DjIA-QnZdO7ZoqkC0/edit#gid=884617569"",""S3 Totals!$A$2:$O$255""),13,FALSE)"),"")</f>
        <v/>
      </c>
      <c r="Q52" s="15" t="str">
        <f>IFERROR(__xludf.DUMMYFUNCTION("VLOOKUP(A52,IMPORTRANGE(""1QZ5UxyNCwadreQAXnQ7oCoH982DjIA-QnZdO7ZoqkC0/edit#gid=884617569"",""S3 Totals!$A$2:$O$255""),14,FALSE)"),"")</f>
        <v/>
      </c>
      <c r="R52" s="110">
        <f t="shared" si="4"/>
        <v>0.3424657534</v>
      </c>
      <c r="S52" s="144"/>
    </row>
    <row r="53">
      <c r="A53" s="128" t="s">
        <v>171</v>
      </c>
      <c r="B53" s="16">
        <f>IFERROR(__xludf.DUMMYFUNCTION("VLOOKUP(A53,IMPORTRANGE(""1aFCnJY1qhIj8-JckJhDJ18aqmVo17tofpQmOjcYa3u8/edit#gid=1878241338"",""S3 Totals!$A$2:$O$255""),2,FALSE)"),30.0)</f>
        <v>30</v>
      </c>
      <c r="C53" s="15">
        <f>IFERROR(__xludf.DUMMYFUNCTION("VLOOKUP(A53,IMPORTRANGE(""1aFCnJY1qhIj8-JckJhDJ18aqmVo17tofpQmOjcYa3u8/edit#gid=1878241338"",""S3 Totals!$A$2:$O$255""),3,FALSE)"),0.410958904109589)</f>
        <v>0.4109589041</v>
      </c>
      <c r="D53" s="16">
        <f>IFERROR(__xludf.DUMMYFUNCTION("VLOOKUP(A53,IMPORTRANGE(""1QZ5UxyNCwadreQAXnQ7oCoH982DjIA-QnZdO7ZoqkC0/edit#gid=884617569"",""S3 Totals!$A$2:$O$255""),2,FALSE)"),41.0)</f>
        <v>41</v>
      </c>
      <c r="E53" s="15">
        <f>IFERROR(__xludf.DUMMYFUNCTION("VLOOKUP(A53,IMPORTRANGE(""1QZ5UxyNCwadreQAXnQ7oCoH982DjIA-QnZdO7ZoqkC0/edit#gid=884617569"",""S3 Totals!$A$2:$O$255""),3,FALSE)"),0.5540540540540541)</f>
        <v>0.5540540541</v>
      </c>
      <c r="F53" s="15">
        <f t="shared" si="1"/>
        <v>-0.1430951499</v>
      </c>
      <c r="G53" s="16">
        <f>IFERROR(__xludf.DUMMYFUNCTION("VLOOKUP(A53,IMPORTRANGE(""1QZ5UxyNCwadreQAXnQ7oCoH982DjIA-QnZdO7ZoqkC0/edit#gid=884617569"",""S3 Totals!$A$2:$O$255""),4,FALSE)"),47.0)</f>
        <v>47</v>
      </c>
      <c r="H53" s="15">
        <f>IFERROR(__xludf.DUMMYFUNCTION("VLOOKUP(A53,IMPORTRANGE(""1QZ5UxyNCwadreQAXnQ7oCoH982DjIA-QnZdO7ZoqkC0/edit#gid=884617569"",""S3 Totals!$A$2:$O$255""),5,FALSE)"),0.5949367088607594)</f>
        <v>0.5949367089</v>
      </c>
      <c r="I53" s="143">
        <f t="shared" si="2"/>
        <v>-0.1839778048</v>
      </c>
      <c r="J53" s="16">
        <f>IFERROR(__xludf.DUMMYFUNCTION("VLOOKUP(A53,IMPORTRANGE(""1QZ5UxyNCwadreQAXnQ7oCoH982DjIA-QnZdO7ZoqkC0/edit#gid=884617569"",""S3 Totals!$A$2:$O$255""),7,FALSE)"),21.0)</f>
        <v>21</v>
      </c>
      <c r="K53" s="15">
        <f>IFERROR(__xludf.DUMMYFUNCTION("VLOOKUP(A53,IMPORTRANGE(""1QZ5UxyNCwadreQAXnQ7oCoH982DjIA-QnZdO7ZoqkC0/edit#gid=884617569"",""S3 Totals!$A$2:$O$255""),8,FALSE)"),0.24705882352941178)</f>
        <v>0.2470588235</v>
      </c>
      <c r="L53" s="110">
        <f t="shared" si="5"/>
        <v>0.3069952305</v>
      </c>
      <c r="M53" s="16" t="str">
        <f>IFERROR(__xludf.DUMMYFUNCTION("VLOOKUP(A53,IMPORTRANGE(""1QZ5UxyNCwadreQAXnQ7oCoH982DjIA-QnZdO7ZoqkC0/edit#gid=884617569"",""S3 Totals!$A$2:$O$255""),10,FALSE)"),"")</f>
        <v/>
      </c>
      <c r="N53" s="15" t="str">
        <f>IFERROR(__xludf.DUMMYFUNCTION("VLOOKUP(A53,IMPORTRANGE(""1QZ5UxyNCwadreQAXnQ7oCoH982DjIA-QnZdO7ZoqkC0/edit#gid=884617569"",""S3 Totals!$A$2:$O$255""),11,FALSE)"),"")</f>
        <v/>
      </c>
      <c r="O53" s="110">
        <f t="shared" si="3"/>
        <v>0.4109589041</v>
      </c>
      <c r="P53" s="16" t="str">
        <f>IFERROR(__xludf.DUMMYFUNCTION("VLOOKUP(A53,IMPORTRANGE(""1QZ5UxyNCwadreQAXnQ7oCoH982DjIA-QnZdO7ZoqkC0/edit#gid=884617569"",""S3 Totals!$A$2:$O$255""),13,FALSE)"),"")</f>
        <v/>
      </c>
      <c r="Q53" s="15" t="str">
        <f>IFERROR(__xludf.DUMMYFUNCTION("VLOOKUP(A53,IMPORTRANGE(""1QZ5UxyNCwadreQAXnQ7oCoH982DjIA-QnZdO7ZoqkC0/edit#gid=884617569"",""S3 Totals!$A$2:$O$255""),14,FALSE)"),"")</f>
        <v/>
      </c>
      <c r="R53" s="110">
        <f t="shared" si="4"/>
        <v>0.4109589041</v>
      </c>
      <c r="S53" s="144"/>
    </row>
    <row r="54">
      <c r="A54" s="128" t="s">
        <v>41</v>
      </c>
      <c r="B54" s="16">
        <f>IFERROR(__xludf.DUMMYFUNCTION("VLOOKUP(A54,IMPORTRANGE(""1aFCnJY1qhIj8-JckJhDJ18aqmVo17tofpQmOjcYa3u8/edit#gid=1878241338"",""S3 Totals!$A$2:$O$255""),2,FALSE)"),1.0)</f>
        <v>1</v>
      </c>
      <c r="C54" s="15">
        <f>IFERROR(__xludf.DUMMYFUNCTION("VLOOKUP(A54,IMPORTRANGE(""1aFCnJY1qhIj8-JckJhDJ18aqmVo17tofpQmOjcYa3u8/edit#gid=1878241338"",""S3 Totals!$A$2:$O$255""),3,FALSE)"),0.0136986301369863)</f>
        <v>0.01369863014</v>
      </c>
      <c r="D54" s="16">
        <f>IFERROR(__xludf.DUMMYFUNCTION("VLOOKUP(A54,IMPORTRANGE(""1QZ5UxyNCwadreQAXnQ7oCoH982DjIA-QnZdO7ZoqkC0/edit#gid=884617569"",""S3 Totals!$A$2:$O$255""),2,FALSE)"),7.0)</f>
        <v>7</v>
      </c>
      <c r="E54" s="15">
        <f>IFERROR(__xludf.DUMMYFUNCTION("VLOOKUP(A54,IMPORTRANGE(""1QZ5UxyNCwadreQAXnQ7oCoH982DjIA-QnZdO7ZoqkC0/edit#gid=884617569"",""S3 Totals!$A$2:$O$255""),3,FALSE)"),0.0945945945945946)</f>
        <v>0.09459459459</v>
      </c>
      <c r="F54" s="15">
        <f t="shared" si="1"/>
        <v>-0.08089596446</v>
      </c>
      <c r="G54" s="16">
        <f>IFERROR(__xludf.DUMMYFUNCTION("VLOOKUP(A54,IMPORTRANGE(""1QZ5UxyNCwadreQAXnQ7oCoH982DjIA-QnZdO7ZoqkC0/edit#gid=884617569"",""S3 Totals!$A$2:$O$255""),4,FALSE)"),1.0)</f>
        <v>1</v>
      </c>
      <c r="H54" s="15">
        <f>IFERROR(__xludf.DUMMYFUNCTION("VLOOKUP(A54,IMPORTRANGE(""1QZ5UxyNCwadreQAXnQ7oCoH982DjIA-QnZdO7ZoqkC0/edit#gid=884617569"",""S3 Totals!$A$2:$O$255""),5,FALSE)"),0.012658227848101266)</f>
        <v>0.01265822785</v>
      </c>
      <c r="I54" s="143">
        <f t="shared" si="2"/>
        <v>0.001040402289</v>
      </c>
      <c r="J54" s="16">
        <f>IFERROR(__xludf.DUMMYFUNCTION("VLOOKUP(A54,IMPORTRANGE(""1QZ5UxyNCwadreQAXnQ7oCoH982DjIA-QnZdO7ZoqkC0/edit#gid=884617569"",""S3 Totals!$A$2:$O$255""),7,FALSE)"),1.0)</f>
        <v>1</v>
      </c>
      <c r="K54" s="15">
        <f>IFERROR(__xludf.DUMMYFUNCTION("VLOOKUP(A54,IMPORTRANGE(""1QZ5UxyNCwadreQAXnQ7oCoH982DjIA-QnZdO7ZoqkC0/edit#gid=884617569"",""S3 Totals!$A$2:$O$255""),8,FALSE)"),0.011764705882352941)</f>
        <v>0.01176470588</v>
      </c>
      <c r="L54" s="110">
        <f t="shared" si="5"/>
        <v>0.08282988871</v>
      </c>
      <c r="M54" s="16">
        <f>IFERROR(__xludf.DUMMYFUNCTION("VLOOKUP(A54,IMPORTRANGE(""1QZ5UxyNCwadreQAXnQ7oCoH982DjIA-QnZdO7ZoqkC0/edit#gid=884617569"",""S3 Totals!$A$2:$O$255""),10,FALSE)"),1.0)</f>
        <v>1</v>
      </c>
      <c r="N54" s="15">
        <f>IFERROR(__xludf.DUMMYFUNCTION("VLOOKUP(A54,IMPORTRANGE(""1QZ5UxyNCwadreQAXnQ7oCoH982DjIA-QnZdO7ZoqkC0/edit#gid=884617569"",""S3 Totals!$A$2:$O$255""),11,FALSE)"),0.011764705882352941)</f>
        <v>0.01176470588</v>
      </c>
      <c r="O54" s="110">
        <f t="shared" si="3"/>
        <v>0.001933924255</v>
      </c>
      <c r="P54" s="16">
        <f>IFERROR(__xludf.DUMMYFUNCTION("VLOOKUP(A54,IMPORTRANGE(""1QZ5UxyNCwadreQAXnQ7oCoH982DjIA-QnZdO7ZoqkC0/edit#gid=884617569"",""S3 Totals!$A$2:$O$255""),13,FALSE)"),1.0)</f>
        <v>1</v>
      </c>
      <c r="Q54" s="15">
        <f>IFERROR(__xludf.DUMMYFUNCTION("VLOOKUP(A54,IMPORTRANGE(""1QZ5UxyNCwadreQAXnQ7oCoH982DjIA-QnZdO7ZoqkC0/edit#gid=884617569"",""S3 Totals!$A$2:$O$255""),14,FALSE)"),0.011764705882352941)</f>
        <v>0.01176470588</v>
      </c>
      <c r="R54" s="110">
        <f t="shared" si="4"/>
        <v>0.001933924255</v>
      </c>
      <c r="S54" s="144"/>
    </row>
    <row r="55">
      <c r="A55" s="128" t="s">
        <v>298</v>
      </c>
      <c r="B55" s="16">
        <f>IFERROR(__xludf.DUMMYFUNCTION("VLOOKUP(A55,IMPORTRANGE(""1aFCnJY1qhIj8-JckJhDJ18aqmVo17tofpQmOjcYa3u8/edit#gid=1878241338"",""S3 Totals!$A$2:$O$255""),2,FALSE)"),1.0)</f>
        <v>1</v>
      </c>
      <c r="C55" s="15">
        <f>IFERROR(__xludf.DUMMYFUNCTION("VLOOKUP(A55,IMPORTRANGE(""1aFCnJY1qhIj8-JckJhDJ18aqmVo17tofpQmOjcYa3u8/edit#gid=1878241338"",""S3 Totals!$A$2:$O$255""),3,FALSE)"),0.0136986301369863)</f>
        <v>0.01369863014</v>
      </c>
      <c r="D55" s="16">
        <f>IFERROR(__xludf.DUMMYFUNCTION("VLOOKUP(A55,IMPORTRANGE(""1QZ5UxyNCwadreQAXnQ7oCoH982DjIA-QnZdO7ZoqkC0/edit#gid=884617569"",""S3 Totals!$A$2:$O$255""),2,FALSE)"),1.0)</f>
        <v>1</v>
      </c>
      <c r="E55" s="15">
        <f>IFERROR(__xludf.DUMMYFUNCTION("VLOOKUP(A55,IMPORTRANGE(""1QZ5UxyNCwadreQAXnQ7oCoH982DjIA-QnZdO7ZoqkC0/edit#gid=884617569"",""S3 Totals!$A$2:$O$255""),3,FALSE)"),0.013513513513513514)</f>
        <v>0.01351351351</v>
      </c>
      <c r="F55" s="15">
        <f t="shared" si="1"/>
        <v>0.0001851166235</v>
      </c>
      <c r="G55" s="16">
        <f>IFERROR(__xludf.DUMMYFUNCTION("VLOOKUP(A55,IMPORTRANGE(""1QZ5UxyNCwadreQAXnQ7oCoH982DjIA-QnZdO7ZoqkC0/edit#gid=884617569"",""S3 Totals!$A$2:$O$255""),4,FALSE)"),1.0)</f>
        <v>1</v>
      </c>
      <c r="H55" s="15">
        <f>IFERROR(__xludf.DUMMYFUNCTION("VLOOKUP(A55,IMPORTRANGE(""1QZ5UxyNCwadreQAXnQ7oCoH982DjIA-QnZdO7ZoqkC0/edit#gid=884617569"",""S3 Totals!$A$2:$O$255""),5,FALSE)"),0.012658227848101266)</f>
        <v>0.01265822785</v>
      </c>
      <c r="I55" s="143">
        <f t="shared" si="2"/>
        <v>0.001040402289</v>
      </c>
      <c r="J55" s="16">
        <f>IFERROR(__xludf.DUMMYFUNCTION("VLOOKUP(A55,IMPORTRANGE(""1QZ5UxyNCwadreQAXnQ7oCoH982DjIA-QnZdO7ZoqkC0/edit#gid=884617569"",""S3 Totals!$A$2:$O$255""),7,FALSE)"),1.0)</f>
        <v>1</v>
      </c>
      <c r="K55" s="15">
        <f>IFERROR(__xludf.DUMMYFUNCTION("VLOOKUP(A55,IMPORTRANGE(""1QZ5UxyNCwadreQAXnQ7oCoH982DjIA-QnZdO7ZoqkC0/edit#gid=884617569"",""S3 Totals!$A$2:$O$255""),8,FALSE)"),0.011764705882352941)</f>
        <v>0.01176470588</v>
      </c>
      <c r="L55" s="110">
        <f t="shared" si="5"/>
        <v>0.001748807631</v>
      </c>
      <c r="M55" s="16" t="str">
        <f>IFERROR(__xludf.DUMMYFUNCTION("VLOOKUP(A55,IMPORTRANGE(""1QZ5UxyNCwadreQAXnQ7oCoH982DjIA-QnZdO7ZoqkC0/edit#gid=884617569"",""S3 Totals!$A$2:$O$255""),10,FALSE)"),"")</f>
        <v/>
      </c>
      <c r="N55" s="15" t="str">
        <f>IFERROR(__xludf.DUMMYFUNCTION("VLOOKUP(A55,IMPORTRANGE(""1QZ5UxyNCwadreQAXnQ7oCoH982DjIA-QnZdO7ZoqkC0/edit#gid=884617569"",""S3 Totals!$A$2:$O$255""),11,FALSE)"),"")</f>
        <v/>
      </c>
      <c r="O55" s="110">
        <f t="shared" si="3"/>
        <v>0.01369863014</v>
      </c>
      <c r="P55" s="16" t="str">
        <f>IFERROR(__xludf.DUMMYFUNCTION("VLOOKUP(A55,IMPORTRANGE(""1QZ5UxyNCwadreQAXnQ7oCoH982DjIA-QnZdO7ZoqkC0/edit#gid=884617569"",""S3 Totals!$A$2:$O$255""),13,FALSE)"),"")</f>
        <v/>
      </c>
      <c r="Q55" s="15" t="str">
        <f>IFERROR(__xludf.DUMMYFUNCTION("VLOOKUP(A55,IMPORTRANGE(""1QZ5UxyNCwadreQAXnQ7oCoH982DjIA-QnZdO7ZoqkC0/edit#gid=884617569"",""S3 Totals!$A$2:$O$255""),14,FALSE)"),"")</f>
        <v/>
      </c>
      <c r="R55" s="110">
        <f t="shared" si="4"/>
        <v>0.01369863014</v>
      </c>
      <c r="S55" s="144"/>
    </row>
    <row r="56">
      <c r="A56" s="128" t="s">
        <v>42</v>
      </c>
      <c r="B56" s="16">
        <f>IFERROR(__xludf.DUMMYFUNCTION("VLOOKUP(A56,IMPORTRANGE(""1aFCnJY1qhIj8-JckJhDJ18aqmVo17tofpQmOjcYa3u8/edit#gid=1878241338"",""S3 Totals!$A$2:$O$255""),2,FALSE)"),37.0)</f>
        <v>37</v>
      </c>
      <c r="C56" s="15">
        <f>IFERROR(__xludf.DUMMYFUNCTION("VLOOKUP(A56,IMPORTRANGE(""1aFCnJY1qhIj8-JckJhDJ18aqmVo17tofpQmOjcYa3u8/edit#gid=1878241338"",""S3 Totals!$A$2:$O$255""),3,FALSE)"),0.5068493150684932)</f>
        <v>0.5068493151</v>
      </c>
      <c r="D56" s="16">
        <f>IFERROR(__xludf.DUMMYFUNCTION("VLOOKUP(A56,IMPORTRANGE(""1QZ5UxyNCwadreQAXnQ7oCoH982DjIA-QnZdO7ZoqkC0/edit#gid=884617569"",""S3 Totals!$A$2:$O$255""),2,FALSE)"),14.0)</f>
        <v>14</v>
      </c>
      <c r="E56" s="15">
        <f>IFERROR(__xludf.DUMMYFUNCTION("VLOOKUP(A56,IMPORTRANGE(""1QZ5UxyNCwadreQAXnQ7oCoH982DjIA-QnZdO7ZoqkC0/edit#gid=884617569"",""S3 Totals!$A$2:$O$255""),3,FALSE)"),0.1891891891891892)</f>
        <v>0.1891891892</v>
      </c>
      <c r="F56" s="15">
        <f t="shared" si="1"/>
        <v>0.3176601259</v>
      </c>
      <c r="G56" s="16">
        <f>IFERROR(__xludf.DUMMYFUNCTION("VLOOKUP(A56,IMPORTRANGE(""1QZ5UxyNCwadreQAXnQ7oCoH982DjIA-QnZdO7ZoqkC0/edit#gid=884617569"",""S3 Totals!$A$2:$O$255""),4,FALSE)"),20.0)</f>
        <v>20</v>
      </c>
      <c r="H56" s="15">
        <f>IFERROR(__xludf.DUMMYFUNCTION("VLOOKUP(A56,IMPORTRANGE(""1QZ5UxyNCwadreQAXnQ7oCoH982DjIA-QnZdO7ZoqkC0/edit#gid=884617569"",""S3 Totals!$A$2:$O$255""),5,FALSE)"),0.25316455696202533)</f>
        <v>0.253164557</v>
      </c>
      <c r="I56" s="143">
        <f t="shared" si="2"/>
        <v>0.2536847581</v>
      </c>
      <c r="J56" s="16">
        <f>IFERROR(__xludf.DUMMYFUNCTION("VLOOKUP(A56,IMPORTRANGE(""1QZ5UxyNCwadreQAXnQ7oCoH982DjIA-QnZdO7ZoqkC0/edit#gid=884617569"",""S3 Totals!$A$2:$O$255""),7,FALSE)"),18.0)</f>
        <v>18</v>
      </c>
      <c r="K56" s="15">
        <f>IFERROR(__xludf.DUMMYFUNCTION("VLOOKUP(A56,IMPORTRANGE(""1QZ5UxyNCwadreQAXnQ7oCoH982DjIA-QnZdO7ZoqkC0/edit#gid=884617569"",""S3 Totals!$A$2:$O$255""),8,FALSE)"),0.21176470588235294)</f>
        <v>0.2117647059</v>
      </c>
      <c r="L56" s="110">
        <f t="shared" si="5"/>
        <v>-0.02257551669</v>
      </c>
      <c r="M56" s="16">
        <f>IFERROR(__xludf.DUMMYFUNCTION("VLOOKUP(A56,IMPORTRANGE(""1QZ5UxyNCwadreQAXnQ7oCoH982DjIA-QnZdO7ZoqkC0/edit#gid=884617569"",""S3 Totals!$A$2:$O$255""),10,FALSE)"),18.0)</f>
        <v>18</v>
      </c>
      <c r="N56" s="15">
        <f>IFERROR(__xludf.DUMMYFUNCTION("VLOOKUP(A56,IMPORTRANGE(""1QZ5UxyNCwadreQAXnQ7oCoH982DjIA-QnZdO7ZoqkC0/edit#gid=884617569"",""S3 Totals!$A$2:$O$255""),11,FALSE)"),0.21176470588235294)</f>
        <v>0.2117647059</v>
      </c>
      <c r="O56" s="110">
        <f t="shared" si="3"/>
        <v>0.2950846092</v>
      </c>
      <c r="P56" s="16">
        <f>IFERROR(__xludf.DUMMYFUNCTION("VLOOKUP(A56,IMPORTRANGE(""1QZ5UxyNCwadreQAXnQ7oCoH982DjIA-QnZdO7ZoqkC0/edit#gid=884617569"",""S3 Totals!$A$2:$O$255""),13,FALSE)"),10.0)</f>
        <v>10</v>
      </c>
      <c r="Q56" s="15">
        <f>IFERROR(__xludf.DUMMYFUNCTION("VLOOKUP(A56,IMPORTRANGE(""1QZ5UxyNCwadreQAXnQ7oCoH982DjIA-QnZdO7ZoqkC0/edit#gid=884617569"",""S3 Totals!$A$2:$O$255""),14,FALSE)"),0.11764705882352941)</f>
        <v>0.1176470588</v>
      </c>
      <c r="R56" s="110">
        <f t="shared" si="4"/>
        <v>0.3892022562</v>
      </c>
      <c r="S56" s="144"/>
    </row>
    <row r="57">
      <c r="A57" s="128" t="s">
        <v>43</v>
      </c>
      <c r="B57" s="16">
        <f>IFERROR(__xludf.DUMMYFUNCTION("VLOOKUP(A57,IMPORTRANGE(""1aFCnJY1qhIj8-JckJhDJ18aqmVo17tofpQmOjcYa3u8/edit#gid=1878241338"",""S3 Totals!$A$2:$O$255""),2,FALSE)"),41.0)</f>
        <v>41</v>
      </c>
      <c r="C57" s="15">
        <f>IFERROR(__xludf.DUMMYFUNCTION("VLOOKUP(A57,IMPORTRANGE(""1aFCnJY1qhIj8-JckJhDJ18aqmVo17tofpQmOjcYa3u8/edit#gid=1878241338"",""S3 Totals!$A$2:$O$255""),3,FALSE)"),0.5616438356164384)</f>
        <v>0.5616438356</v>
      </c>
      <c r="D57" s="16">
        <f>IFERROR(__xludf.DUMMYFUNCTION("VLOOKUP(A57,IMPORTRANGE(""1QZ5UxyNCwadreQAXnQ7oCoH982DjIA-QnZdO7ZoqkC0/edit#gid=884617569"",""S3 Totals!$A$2:$O$255""),2,FALSE)"),45.0)</f>
        <v>45</v>
      </c>
      <c r="E57" s="15">
        <f>IFERROR(__xludf.DUMMYFUNCTION("VLOOKUP(A57,IMPORTRANGE(""1QZ5UxyNCwadreQAXnQ7oCoH982DjIA-QnZdO7ZoqkC0/edit#gid=884617569"",""S3 Totals!$A$2:$O$255""),3,FALSE)"),0.6081081081081081)</f>
        <v>0.6081081081</v>
      </c>
      <c r="F57" s="15">
        <f t="shared" si="1"/>
        <v>-0.04646427249</v>
      </c>
      <c r="G57" s="16">
        <f>IFERROR(__xludf.DUMMYFUNCTION("VLOOKUP(A57,IMPORTRANGE(""1QZ5UxyNCwadreQAXnQ7oCoH982DjIA-QnZdO7ZoqkC0/edit#gid=884617569"",""S3 Totals!$A$2:$O$255""),4,FALSE)"),47.0)</f>
        <v>47</v>
      </c>
      <c r="H57" s="15">
        <f>IFERROR(__xludf.DUMMYFUNCTION("VLOOKUP(A57,IMPORTRANGE(""1QZ5UxyNCwadreQAXnQ7oCoH982DjIA-QnZdO7ZoqkC0/edit#gid=884617569"",""S3 Totals!$A$2:$O$255""),5,FALSE)"),0.5949367088607594)</f>
        <v>0.5949367089</v>
      </c>
      <c r="I57" s="143">
        <f t="shared" si="2"/>
        <v>-0.03329287324</v>
      </c>
      <c r="J57" s="16">
        <f>IFERROR(__xludf.DUMMYFUNCTION("VLOOKUP(A57,IMPORTRANGE(""1QZ5UxyNCwadreQAXnQ7oCoH982DjIA-QnZdO7ZoqkC0/edit#gid=884617569"",""S3 Totals!$A$2:$O$255""),7,FALSE)"),53.0)</f>
        <v>53</v>
      </c>
      <c r="K57" s="15">
        <f>IFERROR(__xludf.DUMMYFUNCTION("VLOOKUP(A57,IMPORTRANGE(""1QZ5UxyNCwadreQAXnQ7oCoH982DjIA-QnZdO7ZoqkC0/edit#gid=884617569"",""S3 Totals!$A$2:$O$255""),8,FALSE)"),0.6235294117647059)</f>
        <v>0.6235294118</v>
      </c>
      <c r="L57" s="110">
        <f t="shared" si="5"/>
        <v>-0.01542130366</v>
      </c>
      <c r="M57" s="16">
        <f>IFERROR(__xludf.DUMMYFUNCTION("VLOOKUP(A57,IMPORTRANGE(""1QZ5UxyNCwadreQAXnQ7oCoH982DjIA-QnZdO7ZoqkC0/edit#gid=884617569"",""S3 Totals!$A$2:$O$255""),10,FALSE)"),27.0)</f>
        <v>27</v>
      </c>
      <c r="N57" s="15">
        <f>IFERROR(__xludf.DUMMYFUNCTION("VLOOKUP(A57,IMPORTRANGE(""1QZ5UxyNCwadreQAXnQ7oCoH982DjIA-QnZdO7ZoqkC0/edit#gid=884617569"",""S3 Totals!$A$2:$O$255""),11,FALSE)"),0.3176470588235294)</f>
        <v>0.3176470588</v>
      </c>
      <c r="O57" s="110">
        <f t="shared" si="3"/>
        <v>0.2439967768</v>
      </c>
      <c r="P57" s="16">
        <f>IFERROR(__xludf.DUMMYFUNCTION("VLOOKUP(A57,IMPORTRANGE(""1QZ5UxyNCwadreQAXnQ7oCoH982DjIA-QnZdO7ZoqkC0/edit#gid=884617569"",""S3 Totals!$A$2:$O$255""),13,FALSE)"),27.0)</f>
        <v>27</v>
      </c>
      <c r="Q57" s="15">
        <f>IFERROR(__xludf.DUMMYFUNCTION("VLOOKUP(A57,IMPORTRANGE(""1QZ5UxyNCwadreQAXnQ7oCoH982DjIA-QnZdO7ZoqkC0/edit#gid=884617569"",""S3 Totals!$A$2:$O$255""),14,FALSE)"),0.3176470588235294)</f>
        <v>0.3176470588</v>
      </c>
      <c r="R57" s="110">
        <f t="shared" si="4"/>
        <v>0.2439967768</v>
      </c>
      <c r="S57" s="144"/>
    </row>
    <row r="58">
      <c r="A58" s="128" t="s">
        <v>118</v>
      </c>
      <c r="B58" s="16">
        <f>IFERROR(__xludf.DUMMYFUNCTION("VLOOKUP(A58,IMPORTRANGE(""1aFCnJY1qhIj8-JckJhDJ18aqmVo17tofpQmOjcYa3u8/edit#gid=1878241338"",""S3 Totals!$A$2:$O$255""),2,FALSE)"),0.0)</f>
        <v>0</v>
      </c>
      <c r="C58" s="15">
        <f>IFERROR(__xludf.DUMMYFUNCTION("VLOOKUP(A58,IMPORTRANGE(""1aFCnJY1qhIj8-JckJhDJ18aqmVo17tofpQmOjcYa3u8/edit#gid=1878241338"",""S3 Totals!$A$2:$O$255""),3,FALSE)"),0.0)</f>
        <v>0</v>
      </c>
      <c r="D58" s="16">
        <f>IFERROR(__xludf.DUMMYFUNCTION("VLOOKUP(A58,IMPORTRANGE(""1QZ5UxyNCwadreQAXnQ7oCoH982DjIA-QnZdO7ZoqkC0/edit#gid=884617569"",""S3 Totals!$A$2:$O$255""),2,FALSE)"),1.0)</f>
        <v>1</v>
      </c>
      <c r="E58" s="15">
        <f>IFERROR(__xludf.DUMMYFUNCTION("VLOOKUP(A58,IMPORTRANGE(""1QZ5UxyNCwadreQAXnQ7oCoH982DjIA-QnZdO7ZoqkC0/edit#gid=884617569"",""S3 Totals!$A$2:$O$255""),3,FALSE)"),0.013513513513513514)</f>
        <v>0.01351351351</v>
      </c>
      <c r="F58" s="15">
        <f t="shared" si="1"/>
        <v>-0.01351351351</v>
      </c>
      <c r="G58" s="16">
        <f>IFERROR(__xludf.DUMMYFUNCTION("VLOOKUP(A58,IMPORTRANGE(""1QZ5UxyNCwadreQAXnQ7oCoH982DjIA-QnZdO7ZoqkC0/edit#gid=884617569"",""S3 Totals!$A$2:$O$255""),4,FALSE)"),1.0)</f>
        <v>1</v>
      </c>
      <c r="H58" s="15">
        <f>IFERROR(__xludf.DUMMYFUNCTION("VLOOKUP(A58,IMPORTRANGE(""1QZ5UxyNCwadreQAXnQ7oCoH982DjIA-QnZdO7ZoqkC0/edit#gid=884617569"",""S3 Totals!$A$2:$O$255""),5,FALSE)"),0.012658227848101266)</f>
        <v>0.01265822785</v>
      </c>
      <c r="I58" s="143">
        <f t="shared" si="2"/>
        <v>-0.01265822785</v>
      </c>
      <c r="J58" s="16">
        <f>IFERROR(__xludf.DUMMYFUNCTION("VLOOKUP(A58,IMPORTRANGE(""1QZ5UxyNCwadreQAXnQ7oCoH982DjIA-QnZdO7ZoqkC0/edit#gid=884617569"",""S3 Totals!$A$2:$O$255""),7,FALSE)"),0.0)</f>
        <v>0</v>
      </c>
      <c r="K58" s="15">
        <f>IFERROR(__xludf.DUMMYFUNCTION("VLOOKUP(A58,IMPORTRANGE(""1QZ5UxyNCwadreQAXnQ7oCoH982DjIA-QnZdO7ZoqkC0/edit#gid=884617569"",""S3 Totals!$A$2:$O$255""),8,FALSE)"),0.0)</f>
        <v>0</v>
      </c>
      <c r="L58" s="110">
        <f t="shared" si="5"/>
        <v>0.01351351351</v>
      </c>
      <c r="M58" s="16">
        <f>IFERROR(__xludf.DUMMYFUNCTION("VLOOKUP(A58,IMPORTRANGE(""1QZ5UxyNCwadreQAXnQ7oCoH982DjIA-QnZdO7ZoqkC0/edit#gid=884617569"",""S3 Totals!$A$2:$O$255""),10,FALSE)"),0.0)</f>
        <v>0</v>
      </c>
      <c r="N58" s="15">
        <f>IFERROR(__xludf.DUMMYFUNCTION("VLOOKUP(A58,IMPORTRANGE(""1QZ5UxyNCwadreQAXnQ7oCoH982DjIA-QnZdO7ZoqkC0/edit#gid=884617569"",""S3 Totals!$A$2:$O$255""),11,FALSE)"),0.0)</f>
        <v>0</v>
      </c>
      <c r="O58" s="110">
        <f t="shared" si="3"/>
        <v>0</v>
      </c>
      <c r="P58" s="16" t="str">
        <f>IFERROR(__xludf.DUMMYFUNCTION("VLOOKUP(A58,IMPORTRANGE(""1QZ5UxyNCwadreQAXnQ7oCoH982DjIA-QnZdO7ZoqkC0/edit#gid=884617569"",""S3 Totals!$A$2:$O$255""),13,FALSE)"),"")</f>
        <v/>
      </c>
      <c r="Q58" s="15" t="str">
        <f>IFERROR(__xludf.DUMMYFUNCTION("VLOOKUP(A58,IMPORTRANGE(""1QZ5UxyNCwadreQAXnQ7oCoH982DjIA-QnZdO7ZoqkC0/edit#gid=884617569"",""S3 Totals!$A$2:$O$255""),14,FALSE)"),"")</f>
        <v/>
      </c>
      <c r="R58" s="110">
        <f t="shared" si="4"/>
        <v>0</v>
      </c>
      <c r="S58" s="144"/>
    </row>
    <row r="59">
      <c r="A59" s="128" t="s">
        <v>40</v>
      </c>
      <c r="B59" s="16">
        <f>IFERROR(__xludf.DUMMYFUNCTION("VLOOKUP(A59,IMPORTRANGE(""1aFCnJY1qhIj8-JckJhDJ18aqmVo17tofpQmOjcYa3u8/edit#gid=1878241338"",""S3 Totals!$A$2:$O$255""),2,FALSE)"),1.0)</f>
        <v>1</v>
      </c>
      <c r="C59" s="15">
        <f>IFERROR(__xludf.DUMMYFUNCTION("VLOOKUP(A59,IMPORTRANGE(""1aFCnJY1qhIj8-JckJhDJ18aqmVo17tofpQmOjcYa3u8/edit#gid=1878241338"",""S3 Totals!$A$2:$O$255""),3,FALSE)"),0.0136986301369863)</f>
        <v>0.01369863014</v>
      </c>
      <c r="D59" s="16">
        <f>IFERROR(__xludf.DUMMYFUNCTION("VLOOKUP(A59,IMPORTRANGE(""1QZ5UxyNCwadreQAXnQ7oCoH982DjIA-QnZdO7ZoqkC0/edit#gid=884617569"",""S3 Totals!$A$2:$O$255""),2,FALSE)"),1.0)</f>
        <v>1</v>
      </c>
      <c r="E59" s="15">
        <f>IFERROR(__xludf.DUMMYFUNCTION("VLOOKUP(A59,IMPORTRANGE(""1QZ5UxyNCwadreQAXnQ7oCoH982DjIA-QnZdO7ZoqkC0/edit#gid=884617569"",""S3 Totals!$A$2:$O$255""),3,FALSE)"),0.013513513513513514)</f>
        <v>0.01351351351</v>
      </c>
      <c r="F59" s="15">
        <f t="shared" si="1"/>
        <v>0.0001851166235</v>
      </c>
      <c r="G59" s="16">
        <f>IFERROR(__xludf.DUMMYFUNCTION("VLOOKUP(A59,IMPORTRANGE(""1QZ5UxyNCwadreQAXnQ7oCoH982DjIA-QnZdO7ZoqkC0/edit#gid=884617569"",""S3 Totals!$A$2:$O$255""),4,FALSE)"),1.0)</f>
        <v>1</v>
      </c>
      <c r="H59" s="15">
        <f>IFERROR(__xludf.DUMMYFUNCTION("VLOOKUP(A59,IMPORTRANGE(""1QZ5UxyNCwadreQAXnQ7oCoH982DjIA-QnZdO7ZoqkC0/edit#gid=884617569"",""S3 Totals!$A$2:$O$255""),5,FALSE)"),0.012658227848101266)</f>
        <v>0.01265822785</v>
      </c>
      <c r="I59" s="143">
        <f t="shared" si="2"/>
        <v>0.001040402289</v>
      </c>
      <c r="J59" s="16">
        <f>IFERROR(__xludf.DUMMYFUNCTION("VLOOKUP(A59,IMPORTRANGE(""1QZ5UxyNCwadreQAXnQ7oCoH982DjIA-QnZdO7ZoqkC0/edit#gid=884617569"",""S3 Totals!$A$2:$O$255""),7,FALSE)"),0.0)</f>
        <v>0</v>
      </c>
      <c r="K59" s="15">
        <f>IFERROR(__xludf.DUMMYFUNCTION("VLOOKUP(A59,IMPORTRANGE(""1QZ5UxyNCwadreQAXnQ7oCoH982DjIA-QnZdO7ZoqkC0/edit#gid=884617569"",""S3 Totals!$A$2:$O$255""),8,FALSE)"),0.0)</f>
        <v>0</v>
      </c>
      <c r="L59" s="110">
        <f t="shared" si="5"/>
        <v>0.01351351351</v>
      </c>
      <c r="M59" s="16">
        <f>IFERROR(__xludf.DUMMYFUNCTION("VLOOKUP(A59,IMPORTRANGE(""1QZ5UxyNCwadreQAXnQ7oCoH982DjIA-QnZdO7ZoqkC0/edit#gid=884617569"",""S3 Totals!$A$2:$O$255""),10,FALSE)"),0.0)</f>
        <v>0</v>
      </c>
      <c r="N59" s="15">
        <f>IFERROR(__xludf.DUMMYFUNCTION("VLOOKUP(A59,IMPORTRANGE(""1QZ5UxyNCwadreQAXnQ7oCoH982DjIA-QnZdO7ZoqkC0/edit#gid=884617569"",""S3 Totals!$A$2:$O$255""),11,FALSE)"),0.0)</f>
        <v>0</v>
      </c>
      <c r="O59" s="110">
        <f t="shared" si="3"/>
        <v>0.01369863014</v>
      </c>
      <c r="P59" s="16">
        <f>IFERROR(__xludf.DUMMYFUNCTION("VLOOKUP(A59,IMPORTRANGE(""1QZ5UxyNCwadreQAXnQ7oCoH982DjIA-QnZdO7ZoqkC0/edit#gid=884617569"",""S3 Totals!$A$2:$O$255""),13,FALSE)"),0.0)</f>
        <v>0</v>
      </c>
      <c r="Q59" s="15">
        <f>IFERROR(__xludf.DUMMYFUNCTION("VLOOKUP(A59,IMPORTRANGE(""1QZ5UxyNCwadreQAXnQ7oCoH982DjIA-QnZdO7ZoqkC0/edit#gid=884617569"",""S3 Totals!$A$2:$O$255""),14,FALSE)"),0.0)</f>
        <v>0</v>
      </c>
      <c r="R59" s="110">
        <f t="shared" si="4"/>
        <v>0.01369863014</v>
      </c>
      <c r="S59" s="144"/>
    </row>
    <row r="60">
      <c r="A60" s="128" t="s">
        <v>223</v>
      </c>
      <c r="B60" s="16">
        <f>IFERROR(__xludf.DUMMYFUNCTION("VLOOKUP(A60,IMPORTRANGE(""1aFCnJY1qhIj8-JckJhDJ18aqmVo17tofpQmOjcYa3u8/edit#gid=1878241338"",""S3 Totals!$A$2:$O$255""),2,FALSE)"),17.0)</f>
        <v>17</v>
      </c>
      <c r="C60" s="15">
        <f>IFERROR(__xludf.DUMMYFUNCTION("VLOOKUP(A60,IMPORTRANGE(""1aFCnJY1qhIj8-JckJhDJ18aqmVo17tofpQmOjcYa3u8/edit#gid=1878241338"",""S3 Totals!$A$2:$O$255""),3,FALSE)"),0.2328767123287671)</f>
        <v>0.2328767123</v>
      </c>
      <c r="D60" s="16">
        <f>IFERROR(__xludf.DUMMYFUNCTION("VLOOKUP(A60,IMPORTRANGE(""1QZ5UxyNCwadreQAXnQ7oCoH982DjIA-QnZdO7ZoqkC0/edit#gid=884617569"",""S3 Totals!$A$2:$O$255""),2,FALSE)"),16.0)</f>
        <v>16</v>
      </c>
      <c r="E60" s="15">
        <f>IFERROR(__xludf.DUMMYFUNCTION("VLOOKUP(A60,IMPORTRANGE(""1QZ5UxyNCwadreQAXnQ7oCoH982DjIA-QnZdO7ZoqkC0/edit#gid=884617569"",""S3 Totals!$A$2:$O$255""),3,FALSE)"),0.21621621621621623)</f>
        <v>0.2162162162</v>
      </c>
      <c r="F60" s="15">
        <f t="shared" si="1"/>
        <v>0.01666049611</v>
      </c>
      <c r="G60" s="16">
        <f>IFERROR(__xludf.DUMMYFUNCTION("VLOOKUP(A60,IMPORTRANGE(""1QZ5UxyNCwadreQAXnQ7oCoH982DjIA-QnZdO7ZoqkC0/edit#gid=884617569"",""S3 Totals!$A$2:$O$255""),4,FALSE)"),21.0)</f>
        <v>21</v>
      </c>
      <c r="H60" s="15">
        <f>IFERROR(__xludf.DUMMYFUNCTION("VLOOKUP(A60,IMPORTRANGE(""1QZ5UxyNCwadreQAXnQ7oCoH982DjIA-QnZdO7ZoqkC0/edit#gid=884617569"",""S3 Totals!$A$2:$O$255""),5,FALSE)"),0.26582278481012656)</f>
        <v>0.2658227848</v>
      </c>
      <c r="I60" s="143">
        <f t="shared" si="2"/>
        <v>-0.03294607248</v>
      </c>
      <c r="J60" s="16" t="str">
        <f>IFERROR(__xludf.DUMMYFUNCTION("VLOOKUP(A60,IMPORTRANGE(""1QZ5UxyNCwadreQAXnQ7oCoH982DjIA-QnZdO7ZoqkC0/edit#gid=884617569"",""S3 Totals!$A$2:$O$255""),7,FALSE)"),"")</f>
        <v/>
      </c>
      <c r="K60" s="15" t="str">
        <f>IFERROR(__xludf.DUMMYFUNCTION("VLOOKUP(A60,IMPORTRANGE(""1QZ5UxyNCwadreQAXnQ7oCoH982DjIA-QnZdO7ZoqkC0/edit#gid=884617569"",""S3 Totals!$A$2:$O$255""),8,FALSE)"),"")</f>
        <v/>
      </c>
      <c r="L60" s="110">
        <f t="shared" si="5"/>
        <v>0.2162162162</v>
      </c>
      <c r="M60" s="16" t="str">
        <f>IFERROR(__xludf.DUMMYFUNCTION("VLOOKUP(A60,IMPORTRANGE(""1QZ5UxyNCwadreQAXnQ7oCoH982DjIA-QnZdO7ZoqkC0/edit#gid=884617569"",""S3 Totals!$A$2:$O$255""),10,FALSE)"),"")</f>
        <v/>
      </c>
      <c r="N60" s="15" t="str">
        <f>IFERROR(__xludf.DUMMYFUNCTION("VLOOKUP(A60,IMPORTRANGE(""1QZ5UxyNCwadreQAXnQ7oCoH982DjIA-QnZdO7ZoqkC0/edit#gid=884617569"",""S3 Totals!$A$2:$O$255""),11,FALSE)"),"")</f>
        <v/>
      </c>
      <c r="O60" s="110">
        <f t="shared" si="3"/>
        <v>0.2328767123</v>
      </c>
      <c r="P60" s="16" t="str">
        <f>IFERROR(__xludf.DUMMYFUNCTION("VLOOKUP(A60,IMPORTRANGE(""1QZ5UxyNCwadreQAXnQ7oCoH982DjIA-QnZdO7ZoqkC0/edit#gid=884617569"",""S3 Totals!$A$2:$O$255""),13,FALSE)"),"")</f>
        <v/>
      </c>
      <c r="Q60" s="15" t="str">
        <f>IFERROR(__xludf.DUMMYFUNCTION("VLOOKUP(A60,IMPORTRANGE(""1QZ5UxyNCwadreQAXnQ7oCoH982DjIA-QnZdO7ZoqkC0/edit#gid=884617569"",""S3 Totals!$A$2:$O$255""),14,FALSE)"),"")</f>
        <v/>
      </c>
      <c r="R60" s="110">
        <f t="shared" si="4"/>
        <v>0.2328767123</v>
      </c>
      <c r="S60" s="144"/>
    </row>
    <row r="61">
      <c r="A61" s="128" t="s">
        <v>119</v>
      </c>
      <c r="B61" s="16">
        <f>IFERROR(__xludf.DUMMYFUNCTION("VLOOKUP(A61,IMPORTRANGE(""1aFCnJY1qhIj8-JckJhDJ18aqmVo17tofpQmOjcYa3u8/edit#gid=1878241338"",""S3 Totals!$A$2:$O$255""),2,FALSE)"),1.0)</f>
        <v>1</v>
      </c>
      <c r="C61" s="15">
        <f>IFERROR(__xludf.DUMMYFUNCTION("VLOOKUP(A61,IMPORTRANGE(""1aFCnJY1qhIj8-JckJhDJ18aqmVo17tofpQmOjcYa3u8/edit#gid=1878241338"",""S3 Totals!$A$2:$O$255""),3,FALSE)"),0.0136986301369863)</f>
        <v>0.01369863014</v>
      </c>
      <c r="D61" s="16">
        <f>IFERROR(__xludf.DUMMYFUNCTION("VLOOKUP(A61,IMPORTRANGE(""1QZ5UxyNCwadreQAXnQ7oCoH982DjIA-QnZdO7ZoqkC0/edit#gid=884617569"",""S3 Totals!$A$2:$O$255""),2,FALSE)"),1.0)</f>
        <v>1</v>
      </c>
      <c r="E61" s="15">
        <f>IFERROR(__xludf.DUMMYFUNCTION("VLOOKUP(A61,IMPORTRANGE(""1QZ5UxyNCwadreQAXnQ7oCoH982DjIA-QnZdO7ZoqkC0/edit#gid=884617569"",""S3 Totals!$A$2:$O$255""),3,FALSE)"),0.013513513513513514)</f>
        <v>0.01351351351</v>
      </c>
      <c r="F61" s="15">
        <f t="shared" si="1"/>
        <v>0.0001851166235</v>
      </c>
      <c r="G61" s="16">
        <f>IFERROR(__xludf.DUMMYFUNCTION("VLOOKUP(A61,IMPORTRANGE(""1QZ5UxyNCwadreQAXnQ7oCoH982DjIA-QnZdO7ZoqkC0/edit#gid=884617569"",""S3 Totals!$A$2:$O$255""),4,FALSE)"),0.0)</f>
        <v>0</v>
      </c>
      <c r="H61" s="15">
        <f>IFERROR(__xludf.DUMMYFUNCTION("VLOOKUP(A61,IMPORTRANGE(""1QZ5UxyNCwadreQAXnQ7oCoH982DjIA-QnZdO7ZoqkC0/edit#gid=884617569"",""S3 Totals!$A$2:$O$255""),5,FALSE)"),0.0)</f>
        <v>0</v>
      </c>
      <c r="I61" s="143">
        <f t="shared" si="2"/>
        <v>0.01369863014</v>
      </c>
      <c r="J61" s="16">
        <f>IFERROR(__xludf.DUMMYFUNCTION("VLOOKUP(A61,IMPORTRANGE(""1QZ5UxyNCwadreQAXnQ7oCoH982DjIA-QnZdO7ZoqkC0/edit#gid=884617569"",""S3 Totals!$A$2:$O$255""),7,FALSE)"),1.0)</f>
        <v>1</v>
      </c>
      <c r="K61" s="15">
        <f>IFERROR(__xludf.DUMMYFUNCTION("VLOOKUP(A61,IMPORTRANGE(""1QZ5UxyNCwadreQAXnQ7oCoH982DjIA-QnZdO7ZoqkC0/edit#gid=884617569"",""S3 Totals!$A$2:$O$255""),8,FALSE)"),0.011764705882352941)</f>
        <v>0.01176470588</v>
      </c>
      <c r="L61" s="110">
        <f t="shared" si="5"/>
        <v>0.001748807631</v>
      </c>
      <c r="M61" s="16">
        <f>IFERROR(__xludf.DUMMYFUNCTION("VLOOKUP(A61,IMPORTRANGE(""1QZ5UxyNCwadreQAXnQ7oCoH982DjIA-QnZdO7ZoqkC0/edit#gid=884617569"",""S3 Totals!$A$2:$O$255""),10,FALSE)"),0.0)</f>
        <v>0</v>
      </c>
      <c r="N61" s="15">
        <f>IFERROR(__xludf.DUMMYFUNCTION("VLOOKUP(A61,IMPORTRANGE(""1QZ5UxyNCwadreQAXnQ7oCoH982DjIA-QnZdO7ZoqkC0/edit#gid=884617569"",""S3 Totals!$A$2:$O$255""),11,FALSE)"),0.0)</f>
        <v>0</v>
      </c>
      <c r="O61" s="110">
        <f t="shared" si="3"/>
        <v>0.01369863014</v>
      </c>
      <c r="P61" s="16" t="str">
        <f>IFERROR(__xludf.DUMMYFUNCTION("VLOOKUP(A61,IMPORTRANGE(""1QZ5UxyNCwadreQAXnQ7oCoH982DjIA-QnZdO7ZoqkC0/edit#gid=884617569"",""S3 Totals!$A$2:$O$255""),13,FALSE)"),"")</f>
        <v/>
      </c>
      <c r="Q61" s="15" t="str">
        <f>IFERROR(__xludf.DUMMYFUNCTION("VLOOKUP(A61,IMPORTRANGE(""1QZ5UxyNCwadreQAXnQ7oCoH982DjIA-QnZdO7ZoqkC0/edit#gid=884617569"",""S3 Totals!$A$2:$O$255""),14,FALSE)"),"")</f>
        <v/>
      </c>
      <c r="R61" s="110">
        <f t="shared" si="4"/>
        <v>0.01369863014</v>
      </c>
      <c r="S61" s="144"/>
    </row>
    <row r="62">
      <c r="A62" s="128" t="s">
        <v>264</v>
      </c>
      <c r="B62" s="16">
        <f>IFERROR(__xludf.DUMMYFUNCTION("VLOOKUP(A62,IMPORTRANGE(""1aFCnJY1qhIj8-JckJhDJ18aqmVo17tofpQmOjcYa3u8/edit#gid=1878241338"",""S3 Totals!$A$2:$O$255""),2,FALSE)"),0.0)</f>
        <v>0</v>
      </c>
      <c r="C62" s="15">
        <f>IFERROR(__xludf.DUMMYFUNCTION("VLOOKUP(A62,IMPORTRANGE(""1aFCnJY1qhIj8-JckJhDJ18aqmVo17tofpQmOjcYa3u8/edit#gid=1878241338"",""S3 Totals!$A$2:$O$255""),3,FALSE)"),0.0)</f>
        <v>0</v>
      </c>
      <c r="D62" s="16" t="str">
        <f>IFERROR(__xludf.DUMMYFUNCTION("VLOOKUP(A62,IMPORTRANGE(""1QZ5UxyNCwadreQAXnQ7oCoH982DjIA-QnZdO7ZoqkC0/edit#gid=884617569"",""S3 Totals!$A$2:$O$255""),2,FALSE)"),"#N/A")</f>
        <v>#N/A</v>
      </c>
      <c r="E62" s="15" t="str">
        <f>IFERROR(__xludf.DUMMYFUNCTION("VLOOKUP(A62,IMPORTRANGE(""1QZ5UxyNCwadreQAXnQ7oCoH982DjIA-QnZdO7ZoqkC0/edit#gid=884617569"",""S3 Totals!$A$2:$O$255""),3,FALSE)"),"#N/A")</f>
        <v>#N/A</v>
      </c>
      <c r="F62" s="16" t="str">
        <f t="shared" si="1"/>
        <v>#N/A</v>
      </c>
      <c r="G62" s="16" t="str">
        <f>IFERROR(__xludf.DUMMYFUNCTION("VLOOKUP(A62,IMPORTRANGE(""1QZ5UxyNCwadreQAXnQ7oCoH982DjIA-QnZdO7ZoqkC0/edit#gid=884617569"",""S3 Totals!$A$2:$O$255""),4,FALSE)"),"#N/A")</f>
        <v>#N/A</v>
      </c>
      <c r="H62" s="15" t="str">
        <f>IFERROR(__xludf.DUMMYFUNCTION("VLOOKUP(A62,IMPORTRANGE(""1QZ5UxyNCwadreQAXnQ7oCoH982DjIA-QnZdO7ZoqkC0/edit#gid=884617569"",""S3 Totals!$A$2:$O$255""),5,FALSE)"),"#N/A")</f>
        <v>#N/A</v>
      </c>
      <c r="I62" s="143" t="str">
        <f t="shared" si="2"/>
        <v>#N/A</v>
      </c>
      <c r="J62" s="16" t="str">
        <f>IFERROR(__xludf.DUMMYFUNCTION("VLOOKUP(A62,IMPORTRANGE(""1QZ5UxyNCwadreQAXnQ7oCoH982DjIA-QnZdO7ZoqkC0/edit#gid=884617569"",""S3 Totals!$A$2:$O$255""),7,FALSE)"),"#N/A")</f>
        <v>#N/A</v>
      </c>
      <c r="K62" s="15" t="str">
        <f>IFERROR(__xludf.DUMMYFUNCTION("VLOOKUP(A62,IMPORTRANGE(""1QZ5UxyNCwadreQAXnQ7oCoH982DjIA-QnZdO7ZoqkC0/edit#gid=884617569"",""S3 Totals!$A$2:$O$255""),8,FALSE)"),"#N/A")</f>
        <v>#N/A</v>
      </c>
      <c r="L62" s="110" t="str">
        <f t="shared" si="5"/>
        <v>#N/A</v>
      </c>
      <c r="M62" s="16" t="str">
        <f>IFERROR(__xludf.DUMMYFUNCTION("VLOOKUP(A62,IMPORTRANGE(""1QZ5UxyNCwadreQAXnQ7oCoH982DjIA-QnZdO7ZoqkC0/edit#gid=884617569"",""S3 Totals!$A$2:$O$255""),10,FALSE)"),"#N/A")</f>
        <v>#N/A</v>
      </c>
      <c r="N62" s="15" t="str">
        <f>IFERROR(__xludf.DUMMYFUNCTION("VLOOKUP(A62,IMPORTRANGE(""1QZ5UxyNCwadreQAXnQ7oCoH982DjIA-QnZdO7ZoqkC0/edit#gid=884617569"",""S3 Totals!$A$2:$O$255""),11,FALSE)"),"#N/A")</f>
        <v>#N/A</v>
      </c>
      <c r="O62" s="110" t="str">
        <f t="shared" si="3"/>
        <v>#N/A</v>
      </c>
      <c r="P62" s="16" t="str">
        <f>IFERROR(__xludf.DUMMYFUNCTION("VLOOKUP(A62,IMPORTRANGE(""1QZ5UxyNCwadreQAXnQ7oCoH982DjIA-QnZdO7ZoqkC0/edit#gid=884617569"",""S3 Totals!$A$2:$O$255""),13,FALSE)"),"#N/A")</f>
        <v>#N/A</v>
      </c>
      <c r="Q62" s="15" t="str">
        <f>IFERROR(__xludf.DUMMYFUNCTION("VLOOKUP(A62,IMPORTRANGE(""1QZ5UxyNCwadreQAXnQ7oCoH982DjIA-QnZdO7ZoqkC0/edit#gid=884617569"",""S3 Totals!$A$2:$O$255""),14,FALSE)"),"#N/A")</f>
        <v>#N/A</v>
      </c>
      <c r="R62" s="110" t="str">
        <f t="shared" si="4"/>
        <v>#N/A</v>
      </c>
      <c r="S62" s="144"/>
    </row>
    <row r="63">
      <c r="A63" s="128" t="s">
        <v>120</v>
      </c>
      <c r="B63" s="16">
        <f>IFERROR(__xludf.DUMMYFUNCTION("VLOOKUP(A63,IMPORTRANGE(""1aFCnJY1qhIj8-JckJhDJ18aqmVo17tofpQmOjcYa3u8/edit#gid=1878241338"",""S3 Totals!$A$2:$O$255""),2,FALSE)"),11.0)</f>
        <v>11</v>
      </c>
      <c r="C63" s="15">
        <f>IFERROR(__xludf.DUMMYFUNCTION("VLOOKUP(A63,IMPORTRANGE(""1aFCnJY1qhIj8-JckJhDJ18aqmVo17tofpQmOjcYa3u8/edit#gid=1878241338"",""S3 Totals!$A$2:$O$255""),3,FALSE)"),0.1506849315068493)</f>
        <v>0.1506849315</v>
      </c>
      <c r="D63" s="16">
        <f>IFERROR(__xludf.DUMMYFUNCTION("VLOOKUP(A63,IMPORTRANGE(""1QZ5UxyNCwadreQAXnQ7oCoH982DjIA-QnZdO7ZoqkC0/edit#gid=884617569"",""S3 Totals!$A$2:$O$255""),2,FALSE)"),17.0)</f>
        <v>17</v>
      </c>
      <c r="E63" s="15">
        <f>IFERROR(__xludf.DUMMYFUNCTION("VLOOKUP(A63,IMPORTRANGE(""1QZ5UxyNCwadreQAXnQ7oCoH982DjIA-QnZdO7ZoqkC0/edit#gid=884617569"",""S3 Totals!$A$2:$O$255""),3,FALSE)"),0.22972972972972974)</f>
        <v>0.2297297297</v>
      </c>
      <c r="F63" s="15">
        <f t="shared" si="1"/>
        <v>-0.07904479822</v>
      </c>
      <c r="G63" s="16">
        <f>IFERROR(__xludf.DUMMYFUNCTION("VLOOKUP(A63,IMPORTRANGE(""1QZ5UxyNCwadreQAXnQ7oCoH982DjIA-QnZdO7ZoqkC0/edit#gid=884617569"",""S3 Totals!$A$2:$O$255""),4,FALSE)"),0.0)</f>
        <v>0</v>
      </c>
      <c r="H63" s="15">
        <f>IFERROR(__xludf.DUMMYFUNCTION("VLOOKUP(A63,IMPORTRANGE(""1QZ5UxyNCwadreQAXnQ7oCoH982DjIA-QnZdO7ZoqkC0/edit#gid=884617569"",""S3 Totals!$A$2:$O$255""),5,FALSE)"),0.0)</f>
        <v>0</v>
      </c>
      <c r="I63" s="143">
        <f t="shared" si="2"/>
        <v>0.1506849315</v>
      </c>
      <c r="J63" s="16">
        <f>IFERROR(__xludf.DUMMYFUNCTION("VLOOKUP(A63,IMPORTRANGE(""1QZ5UxyNCwadreQAXnQ7oCoH982DjIA-QnZdO7ZoqkC0/edit#gid=884617569"",""S3 Totals!$A$2:$O$255""),7,FALSE)"),0.0)</f>
        <v>0</v>
      </c>
      <c r="K63" s="15">
        <f>IFERROR(__xludf.DUMMYFUNCTION("VLOOKUP(A63,IMPORTRANGE(""1QZ5UxyNCwadreQAXnQ7oCoH982DjIA-QnZdO7ZoqkC0/edit#gid=884617569"",""S3 Totals!$A$2:$O$255""),8,FALSE)"),0.0)</f>
        <v>0</v>
      </c>
      <c r="L63" s="110">
        <f t="shared" si="5"/>
        <v>0.2297297297</v>
      </c>
      <c r="M63" s="16">
        <f>IFERROR(__xludf.DUMMYFUNCTION("VLOOKUP(A63,IMPORTRANGE(""1QZ5UxyNCwadreQAXnQ7oCoH982DjIA-QnZdO7ZoqkC0/edit#gid=884617569"",""S3 Totals!$A$2:$O$255""),10,FALSE)"),0.0)</f>
        <v>0</v>
      </c>
      <c r="N63" s="15">
        <f>IFERROR(__xludf.DUMMYFUNCTION("VLOOKUP(A63,IMPORTRANGE(""1QZ5UxyNCwadreQAXnQ7oCoH982DjIA-QnZdO7ZoqkC0/edit#gid=884617569"",""S3 Totals!$A$2:$O$255""),11,FALSE)"),0.0)</f>
        <v>0</v>
      </c>
      <c r="O63" s="110">
        <f t="shared" si="3"/>
        <v>0.1506849315</v>
      </c>
      <c r="P63" s="16" t="str">
        <f>IFERROR(__xludf.DUMMYFUNCTION("VLOOKUP(A63,IMPORTRANGE(""1QZ5UxyNCwadreQAXnQ7oCoH982DjIA-QnZdO7ZoqkC0/edit#gid=884617569"",""S3 Totals!$A$2:$O$255""),13,FALSE)"),"")</f>
        <v/>
      </c>
      <c r="Q63" s="15" t="str">
        <f>IFERROR(__xludf.DUMMYFUNCTION("VLOOKUP(A63,IMPORTRANGE(""1QZ5UxyNCwadreQAXnQ7oCoH982DjIA-QnZdO7ZoqkC0/edit#gid=884617569"",""S3 Totals!$A$2:$O$255""),14,FALSE)"),"")</f>
        <v/>
      </c>
      <c r="R63" s="110">
        <f t="shared" si="4"/>
        <v>0.1506849315</v>
      </c>
      <c r="S63" s="144"/>
    </row>
    <row r="64">
      <c r="A64" s="128" t="s">
        <v>121</v>
      </c>
      <c r="B64" s="16">
        <f>IFERROR(__xludf.DUMMYFUNCTION("VLOOKUP(A64,IMPORTRANGE(""1aFCnJY1qhIj8-JckJhDJ18aqmVo17tofpQmOjcYa3u8/edit#gid=1878241338"",""S3 Totals!$A$2:$O$255""),2,FALSE)"),24.0)</f>
        <v>24</v>
      </c>
      <c r="C64" s="15">
        <f>IFERROR(__xludf.DUMMYFUNCTION("VLOOKUP(A64,IMPORTRANGE(""1aFCnJY1qhIj8-JckJhDJ18aqmVo17tofpQmOjcYa3u8/edit#gid=1878241338"",""S3 Totals!$A$2:$O$255""),3,FALSE)"),0.3287671232876712)</f>
        <v>0.3287671233</v>
      </c>
      <c r="D64" s="16">
        <f>IFERROR(__xludf.DUMMYFUNCTION("VLOOKUP(A64,IMPORTRANGE(""1QZ5UxyNCwadreQAXnQ7oCoH982DjIA-QnZdO7ZoqkC0/edit#gid=884617569"",""S3 Totals!$A$2:$O$255""),2,FALSE)"),31.0)</f>
        <v>31</v>
      </c>
      <c r="E64" s="15">
        <f>IFERROR(__xludf.DUMMYFUNCTION("VLOOKUP(A64,IMPORTRANGE(""1QZ5UxyNCwadreQAXnQ7oCoH982DjIA-QnZdO7ZoqkC0/edit#gid=884617569"",""S3 Totals!$A$2:$O$255""),3,FALSE)"),0.4189189189189189)</f>
        <v>0.4189189189</v>
      </c>
      <c r="F64" s="15">
        <f t="shared" si="1"/>
        <v>-0.09015179563</v>
      </c>
      <c r="G64" s="16">
        <f>IFERROR(__xludf.DUMMYFUNCTION("VLOOKUP(A64,IMPORTRANGE(""1QZ5UxyNCwadreQAXnQ7oCoH982DjIA-QnZdO7ZoqkC0/edit#gid=884617569"",""S3 Totals!$A$2:$O$255""),4,FALSE)"),0.0)</f>
        <v>0</v>
      </c>
      <c r="H64" s="15">
        <f>IFERROR(__xludf.DUMMYFUNCTION("VLOOKUP(A64,IMPORTRANGE(""1QZ5UxyNCwadreQAXnQ7oCoH982DjIA-QnZdO7ZoqkC0/edit#gid=884617569"",""S3 Totals!$A$2:$O$255""),5,FALSE)"),0.0)</f>
        <v>0</v>
      </c>
      <c r="I64" s="143">
        <f t="shared" si="2"/>
        <v>0.3287671233</v>
      </c>
      <c r="J64" s="16">
        <f>IFERROR(__xludf.DUMMYFUNCTION("VLOOKUP(A64,IMPORTRANGE(""1QZ5UxyNCwadreQAXnQ7oCoH982DjIA-QnZdO7ZoqkC0/edit#gid=884617569"",""S3 Totals!$A$2:$O$255""),7,FALSE)"),0.0)</f>
        <v>0</v>
      </c>
      <c r="K64" s="15">
        <f>IFERROR(__xludf.DUMMYFUNCTION("VLOOKUP(A64,IMPORTRANGE(""1QZ5UxyNCwadreQAXnQ7oCoH982DjIA-QnZdO7ZoqkC0/edit#gid=884617569"",""S3 Totals!$A$2:$O$255""),8,FALSE)"),0.0)</f>
        <v>0</v>
      </c>
      <c r="L64" s="110">
        <f t="shared" si="5"/>
        <v>0.4189189189</v>
      </c>
      <c r="M64" s="16">
        <f>IFERROR(__xludf.DUMMYFUNCTION("VLOOKUP(A64,IMPORTRANGE(""1QZ5UxyNCwadreQAXnQ7oCoH982DjIA-QnZdO7ZoqkC0/edit#gid=884617569"",""S3 Totals!$A$2:$O$255""),10,FALSE)"),0.0)</f>
        <v>0</v>
      </c>
      <c r="N64" s="15">
        <f>IFERROR(__xludf.DUMMYFUNCTION("VLOOKUP(A64,IMPORTRANGE(""1QZ5UxyNCwadreQAXnQ7oCoH982DjIA-QnZdO7ZoqkC0/edit#gid=884617569"",""S3 Totals!$A$2:$O$255""),11,FALSE)"),0.0)</f>
        <v>0</v>
      </c>
      <c r="O64" s="110">
        <f t="shared" si="3"/>
        <v>0.3287671233</v>
      </c>
      <c r="P64" s="16" t="str">
        <f>IFERROR(__xludf.DUMMYFUNCTION("VLOOKUP(A64,IMPORTRANGE(""1QZ5UxyNCwadreQAXnQ7oCoH982DjIA-QnZdO7ZoqkC0/edit#gid=884617569"",""S3 Totals!$A$2:$O$255""),13,FALSE)"),"")</f>
        <v/>
      </c>
      <c r="Q64" s="15" t="str">
        <f>IFERROR(__xludf.DUMMYFUNCTION("VLOOKUP(A64,IMPORTRANGE(""1QZ5UxyNCwadreQAXnQ7oCoH982DjIA-QnZdO7ZoqkC0/edit#gid=884617569"",""S3 Totals!$A$2:$O$255""),14,FALSE)"),"")</f>
        <v/>
      </c>
      <c r="R64" s="110">
        <f t="shared" si="4"/>
        <v>0.3287671233</v>
      </c>
      <c r="S64" s="144"/>
    </row>
    <row r="65">
      <c r="A65" s="128" t="s">
        <v>122</v>
      </c>
      <c r="B65" s="16">
        <f>IFERROR(__xludf.DUMMYFUNCTION("VLOOKUP(A65,IMPORTRANGE(""1aFCnJY1qhIj8-JckJhDJ18aqmVo17tofpQmOjcYa3u8/edit#gid=1878241338"",""S3 Totals!$A$2:$O$255""),2,FALSE)"),0.0)</f>
        <v>0</v>
      </c>
      <c r="C65" s="15">
        <f>IFERROR(__xludf.DUMMYFUNCTION("VLOOKUP(A65,IMPORTRANGE(""1aFCnJY1qhIj8-JckJhDJ18aqmVo17tofpQmOjcYa3u8/edit#gid=1878241338"",""S3 Totals!$A$2:$O$255""),3,FALSE)"),0.0)</f>
        <v>0</v>
      </c>
      <c r="D65" s="16">
        <f>IFERROR(__xludf.DUMMYFUNCTION("VLOOKUP(A65,IMPORTRANGE(""1QZ5UxyNCwadreQAXnQ7oCoH982DjIA-QnZdO7ZoqkC0/edit#gid=884617569"",""S3 Totals!$A$2:$O$255""),2,FALSE)"),0.0)</f>
        <v>0</v>
      </c>
      <c r="E65" s="15">
        <f>IFERROR(__xludf.DUMMYFUNCTION("VLOOKUP(A65,IMPORTRANGE(""1QZ5UxyNCwadreQAXnQ7oCoH982DjIA-QnZdO7ZoqkC0/edit#gid=884617569"",""S3 Totals!$A$2:$O$255""),3,FALSE)"),0.0)</f>
        <v>0</v>
      </c>
      <c r="F65" s="15">
        <f t="shared" si="1"/>
        <v>0</v>
      </c>
      <c r="G65" s="16">
        <f>IFERROR(__xludf.DUMMYFUNCTION("VLOOKUP(A65,IMPORTRANGE(""1QZ5UxyNCwadreQAXnQ7oCoH982DjIA-QnZdO7ZoqkC0/edit#gid=884617569"",""S3 Totals!$A$2:$O$255""),4,FALSE)"),0.0)</f>
        <v>0</v>
      </c>
      <c r="H65" s="15">
        <f>IFERROR(__xludf.DUMMYFUNCTION("VLOOKUP(A65,IMPORTRANGE(""1QZ5UxyNCwadreQAXnQ7oCoH982DjIA-QnZdO7ZoqkC0/edit#gid=884617569"",""S3 Totals!$A$2:$O$255""),5,FALSE)"),0.0)</f>
        <v>0</v>
      </c>
      <c r="I65" s="143">
        <f t="shared" si="2"/>
        <v>0</v>
      </c>
      <c r="J65" s="16">
        <f>IFERROR(__xludf.DUMMYFUNCTION("VLOOKUP(A65,IMPORTRANGE(""1QZ5UxyNCwadreQAXnQ7oCoH982DjIA-QnZdO7ZoqkC0/edit#gid=884617569"",""S3 Totals!$A$2:$O$255""),7,FALSE)"),0.0)</f>
        <v>0</v>
      </c>
      <c r="K65" s="15">
        <f>IFERROR(__xludf.DUMMYFUNCTION("VLOOKUP(A65,IMPORTRANGE(""1QZ5UxyNCwadreQAXnQ7oCoH982DjIA-QnZdO7ZoqkC0/edit#gid=884617569"",""S3 Totals!$A$2:$O$255""),8,FALSE)"),0.0)</f>
        <v>0</v>
      </c>
      <c r="L65" s="110">
        <f t="shared" si="5"/>
        <v>0</v>
      </c>
      <c r="M65" s="16">
        <f>IFERROR(__xludf.DUMMYFUNCTION("VLOOKUP(A65,IMPORTRANGE(""1QZ5UxyNCwadreQAXnQ7oCoH982DjIA-QnZdO7ZoqkC0/edit#gid=884617569"",""S3 Totals!$A$2:$O$255""),10,FALSE)"),0.0)</f>
        <v>0</v>
      </c>
      <c r="N65" s="15">
        <f>IFERROR(__xludf.DUMMYFUNCTION("VLOOKUP(A65,IMPORTRANGE(""1QZ5UxyNCwadreQAXnQ7oCoH982DjIA-QnZdO7ZoqkC0/edit#gid=884617569"",""S3 Totals!$A$2:$O$255""),11,FALSE)"),0.0)</f>
        <v>0</v>
      </c>
      <c r="O65" s="110">
        <f t="shared" si="3"/>
        <v>0</v>
      </c>
      <c r="P65" s="16" t="str">
        <f>IFERROR(__xludf.DUMMYFUNCTION("VLOOKUP(A65,IMPORTRANGE(""1QZ5UxyNCwadreQAXnQ7oCoH982DjIA-QnZdO7ZoqkC0/edit#gid=884617569"",""S3 Totals!$A$2:$O$255""),13,FALSE)"),"")</f>
        <v/>
      </c>
      <c r="Q65" s="15" t="str">
        <f>IFERROR(__xludf.DUMMYFUNCTION("VLOOKUP(A65,IMPORTRANGE(""1QZ5UxyNCwadreQAXnQ7oCoH982DjIA-QnZdO7ZoqkC0/edit#gid=884617569"",""S3 Totals!$A$2:$O$255""),14,FALSE)"),"")</f>
        <v/>
      </c>
      <c r="R65" s="110">
        <f t="shared" si="4"/>
        <v>0</v>
      </c>
      <c r="S65" s="144"/>
    </row>
    <row r="66">
      <c r="A66" s="128" t="s">
        <v>334</v>
      </c>
      <c r="B66" s="16" t="str">
        <f>IFERROR(__xludf.DUMMYFUNCTION("VLOOKUP(A66,IMPORTRANGE(""1aFCnJY1qhIj8-JckJhDJ18aqmVo17tofpQmOjcYa3u8/edit#gid=1878241338"",""S3 Totals!$A$2:$O$255""),2,FALSE)"),"#N/A")</f>
        <v>#N/A</v>
      </c>
      <c r="C66" s="15" t="str">
        <f>IFERROR(__xludf.DUMMYFUNCTION("VLOOKUP(A66,IMPORTRANGE(""1aFCnJY1qhIj8-JckJhDJ18aqmVo17tofpQmOjcYa3u8/edit#gid=1878241338"",""S3 Totals!$A$2:$O$255""),3,FALSE)"),"#N/A")</f>
        <v>#N/A</v>
      </c>
      <c r="D66" s="16" t="str">
        <f>IFERROR(__xludf.DUMMYFUNCTION("VLOOKUP(A66,IMPORTRANGE(""1QZ5UxyNCwadreQAXnQ7oCoH982DjIA-QnZdO7ZoqkC0/edit#gid=884617569"",""S3 Totals!$A$2:$O$255""),2,FALSE)"),"#N/A")</f>
        <v>#N/A</v>
      </c>
      <c r="E66" s="15" t="str">
        <f>IFERROR(__xludf.DUMMYFUNCTION("VLOOKUP(A66,IMPORTRANGE(""1QZ5UxyNCwadreQAXnQ7oCoH982DjIA-QnZdO7ZoqkC0/edit#gid=884617569"",""S3 Totals!$A$2:$O$255""),3,FALSE)"),"#N/A")</f>
        <v>#N/A</v>
      </c>
      <c r="F66" s="16" t="str">
        <f t="shared" si="1"/>
        <v>#N/A</v>
      </c>
      <c r="G66" s="16" t="str">
        <f>IFERROR(__xludf.DUMMYFUNCTION("VLOOKUP(A66,IMPORTRANGE(""1QZ5UxyNCwadreQAXnQ7oCoH982DjIA-QnZdO7ZoqkC0/edit#gid=884617569"",""S3 Totals!$A$2:$O$255""),4,FALSE)"),"#N/A")</f>
        <v>#N/A</v>
      </c>
      <c r="H66" s="15" t="str">
        <f>IFERROR(__xludf.DUMMYFUNCTION("VLOOKUP(A66,IMPORTRANGE(""1QZ5UxyNCwadreQAXnQ7oCoH982DjIA-QnZdO7ZoqkC0/edit#gid=884617569"",""S3 Totals!$A$2:$O$255""),5,FALSE)"),"#N/A")</f>
        <v>#N/A</v>
      </c>
      <c r="I66" s="143" t="str">
        <f t="shared" si="2"/>
        <v>#N/A</v>
      </c>
      <c r="J66" s="16" t="str">
        <f>IFERROR(__xludf.DUMMYFUNCTION("VLOOKUP(A66,IMPORTRANGE(""1QZ5UxyNCwadreQAXnQ7oCoH982DjIA-QnZdO7ZoqkC0/edit#gid=884617569"",""S3 Totals!$A$2:$O$255""),7,FALSE)"),"#N/A")</f>
        <v>#N/A</v>
      </c>
      <c r="K66" s="15" t="str">
        <f>IFERROR(__xludf.DUMMYFUNCTION("VLOOKUP(A66,IMPORTRANGE(""1QZ5UxyNCwadreQAXnQ7oCoH982DjIA-QnZdO7ZoqkC0/edit#gid=884617569"",""S3 Totals!$A$2:$O$255""),8,FALSE)"),"#N/A")</f>
        <v>#N/A</v>
      </c>
      <c r="L66" s="110" t="str">
        <f t="shared" si="5"/>
        <v>#N/A</v>
      </c>
      <c r="M66" s="16" t="str">
        <f>IFERROR(__xludf.DUMMYFUNCTION("VLOOKUP(A66,IMPORTRANGE(""1QZ5UxyNCwadreQAXnQ7oCoH982DjIA-QnZdO7ZoqkC0/edit#gid=884617569"",""S3 Totals!$A$2:$O$255""),10,FALSE)"),"#N/A")</f>
        <v>#N/A</v>
      </c>
      <c r="N66" s="15" t="str">
        <f>IFERROR(__xludf.DUMMYFUNCTION("VLOOKUP(A66,IMPORTRANGE(""1QZ5UxyNCwadreQAXnQ7oCoH982DjIA-QnZdO7ZoqkC0/edit#gid=884617569"",""S3 Totals!$A$2:$O$255""),11,FALSE)"),"#N/A")</f>
        <v>#N/A</v>
      </c>
      <c r="O66" s="110" t="str">
        <f t="shared" si="3"/>
        <v>#N/A</v>
      </c>
      <c r="P66" s="16" t="str">
        <f>IFERROR(__xludf.DUMMYFUNCTION("VLOOKUP(A66,IMPORTRANGE(""1QZ5UxyNCwadreQAXnQ7oCoH982DjIA-QnZdO7ZoqkC0/edit#gid=884617569"",""S3 Totals!$A$2:$O$255""),13,FALSE)"),"#N/A")</f>
        <v>#N/A</v>
      </c>
      <c r="Q66" s="15" t="str">
        <f>IFERROR(__xludf.DUMMYFUNCTION("VLOOKUP(A66,IMPORTRANGE(""1QZ5UxyNCwadreQAXnQ7oCoH982DjIA-QnZdO7ZoqkC0/edit#gid=884617569"",""S3 Totals!$A$2:$O$255""),14,FALSE)"),"#N/A")</f>
        <v>#N/A</v>
      </c>
      <c r="R66" s="110" t="str">
        <f t="shared" si="4"/>
        <v>#N/A</v>
      </c>
      <c r="S66" s="144"/>
    </row>
    <row r="67">
      <c r="A67" s="128" t="s">
        <v>46</v>
      </c>
      <c r="B67" s="16">
        <f>IFERROR(__xludf.DUMMYFUNCTION("VLOOKUP(A67,IMPORTRANGE(""1aFCnJY1qhIj8-JckJhDJ18aqmVo17tofpQmOjcYa3u8/edit#gid=1878241338"",""S3 Totals!$A$2:$O$255""),2,FALSE)"),1.0)</f>
        <v>1</v>
      </c>
      <c r="C67" s="15">
        <f>IFERROR(__xludf.DUMMYFUNCTION("VLOOKUP(A67,IMPORTRANGE(""1aFCnJY1qhIj8-JckJhDJ18aqmVo17tofpQmOjcYa3u8/edit#gid=1878241338"",""S3 Totals!$A$2:$O$255""),3,FALSE)"),0.0136986301369863)</f>
        <v>0.01369863014</v>
      </c>
      <c r="D67" s="16">
        <f>IFERROR(__xludf.DUMMYFUNCTION("VLOOKUP(A67,IMPORTRANGE(""1QZ5UxyNCwadreQAXnQ7oCoH982DjIA-QnZdO7ZoqkC0/edit#gid=884617569"",""S3 Totals!$A$2:$O$255""),2,FALSE)"),1.0)</f>
        <v>1</v>
      </c>
      <c r="E67" s="15">
        <f>IFERROR(__xludf.DUMMYFUNCTION("VLOOKUP(A67,IMPORTRANGE(""1QZ5UxyNCwadreQAXnQ7oCoH982DjIA-QnZdO7ZoqkC0/edit#gid=884617569"",""S3 Totals!$A$2:$O$255""),3,FALSE)"),0.013513513513513514)</f>
        <v>0.01351351351</v>
      </c>
      <c r="F67" s="15">
        <f t="shared" si="1"/>
        <v>0.0001851166235</v>
      </c>
      <c r="G67" s="16">
        <f>IFERROR(__xludf.DUMMYFUNCTION("VLOOKUP(A67,IMPORTRANGE(""1QZ5UxyNCwadreQAXnQ7oCoH982DjIA-QnZdO7ZoqkC0/edit#gid=884617569"",""S3 Totals!$A$2:$O$255""),4,FALSE)"),1.0)</f>
        <v>1</v>
      </c>
      <c r="H67" s="15">
        <f>IFERROR(__xludf.DUMMYFUNCTION("VLOOKUP(A67,IMPORTRANGE(""1QZ5UxyNCwadreQAXnQ7oCoH982DjIA-QnZdO7ZoqkC0/edit#gid=884617569"",""S3 Totals!$A$2:$O$255""),5,FALSE)"),0.012658227848101266)</f>
        <v>0.01265822785</v>
      </c>
      <c r="I67" s="143">
        <f t="shared" si="2"/>
        <v>0.001040402289</v>
      </c>
      <c r="J67" s="16">
        <f>IFERROR(__xludf.DUMMYFUNCTION("VLOOKUP(A67,IMPORTRANGE(""1QZ5UxyNCwadreQAXnQ7oCoH982DjIA-QnZdO7ZoqkC0/edit#gid=884617569"",""S3 Totals!$A$2:$O$255""),7,FALSE)"),1.0)</f>
        <v>1</v>
      </c>
      <c r="K67" s="15">
        <f>IFERROR(__xludf.DUMMYFUNCTION("VLOOKUP(A67,IMPORTRANGE(""1QZ5UxyNCwadreQAXnQ7oCoH982DjIA-QnZdO7ZoqkC0/edit#gid=884617569"",""S3 Totals!$A$2:$O$255""),8,FALSE)"),0.011764705882352941)</f>
        <v>0.01176470588</v>
      </c>
      <c r="L67" s="110">
        <f t="shared" si="5"/>
        <v>0.001748807631</v>
      </c>
      <c r="M67" s="16">
        <f>IFERROR(__xludf.DUMMYFUNCTION("VLOOKUP(A67,IMPORTRANGE(""1QZ5UxyNCwadreQAXnQ7oCoH982DjIA-QnZdO7ZoqkC0/edit#gid=884617569"",""S3 Totals!$A$2:$O$255""),10,FALSE)"),0.0)</f>
        <v>0</v>
      </c>
      <c r="N67" s="15">
        <f>IFERROR(__xludf.DUMMYFUNCTION("VLOOKUP(A67,IMPORTRANGE(""1QZ5UxyNCwadreQAXnQ7oCoH982DjIA-QnZdO7ZoqkC0/edit#gid=884617569"",""S3 Totals!$A$2:$O$255""),11,FALSE)"),0.0)</f>
        <v>0</v>
      </c>
      <c r="O67" s="110">
        <f t="shared" si="3"/>
        <v>0.01369863014</v>
      </c>
      <c r="P67" s="16">
        <f>IFERROR(__xludf.DUMMYFUNCTION("VLOOKUP(A67,IMPORTRANGE(""1QZ5UxyNCwadreQAXnQ7oCoH982DjIA-QnZdO7ZoqkC0/edit#gid=884617569"",""S3 Totals!$A$2:$O$255""),13,FALSE)"),0.0)</f>
        <v>0</v>
      </c>
      <c r="Q67" s="15">
        <f>IFERROR(__xludf.DUMMYFUNCTION("VLOOKUP(A67,IMPORTRANGE(""1QZ5UxyNCwadreQAXnQ7oCoH982DjIA-QnZdO7ZoqkC0/edit#gid=884617569"",""S3 Totals!$A$2:$O$255""),14,FALSE)"),0.0)</f>
        <v>0</v>
      </c>
      <c r="R67" s="110">
        <f t="shared" si="4"/>
        <v>0.01369863014</v>
      </c>
      <c r="S67" s="144"/>
    </row>
    <row r="68">
      <c r="A68" s="128" t="s">
        <v>224</v>
      </c>
      <c r="B68" s="16">
        <f>IFERROR(__xludf.DUMMYFUNCTION("VLOOKUP(A68,IMPORTRANGE(""1aFCnJY1qhIj8-JckJhDJ18aqmVo17tofpQmOjcYa3u8/edit#gid=1878241338"",""S3 Totals!$A$2:$O$255""),2,FALSE)"),12.0)</f>
        <v>12</v>
      </c>
      <c r="C68" s="15">
        <f>IFERROR(__xludf.DUMMYFUNCTION("VLOOKUP(A68,IMPORTRANGE(""1aFCnJY1qhIj8-JckJhDJ18aqmVo17tofpQmOjcYa3u8/edit#gid=1878241338"",""S3 Totals!$A$2:$O$255""),3,FALSE)"),0.1643835616438356)</f>
        <v>0.1643835616</v>
      </c>
      <c r="D68" s="16">
        <f>IFERROR(__xludf.DUMMYFUNCTION("VLOOKUP(A68,IMPORTRANGE(""1QZ5UxyNCwadreQAXnQ7oCoH982DjIA-QnZdO7ZoqkC0/edit#gid=884617569"",""S3 Totals!$A$2:$O$255""),2,FALSE)"),14.0)</f>
        <v>14</v>
      </c>
      <c r="E68" s="15">
        <f>IFERROR(__xludf.DUMMYFUNCTION("VLOOKUP(A68,IMPORTRANGE(""1QZ5UxyNCwadreQAXnQ7oCoH982DjIA-QnZdO7ZoqkC0/edit#gid=884617569"",""S3 Totals!$A$2:$O$255""),3,FALSE)"),0.1891891891891892)</f>
        <v>0.1891891892</v>
      </c>
      <c r="F68" s="15">
        <f t="shared" si="1"/>
        <v>-0.02480562755</v>
      </c>
      <c r="G68" s="16">
        <f>IFERROR(__xludf.DUMMYFUNCTION("VLOOKUP(A68,IMPORTRANGE(""1QZ5UxyNCwadreQAXnQ7oCoH982DjIA-QnZdO7ZoqkC0/edit#gid=884617569"",""S3 Totals!$A$2:$O$255""),4,FALSE)"),16.0)</f>
        <v>16</v>
      </c>
      <c r="H68" s="15">
        <f>IFERROR(__xludf.DUMMYFUNCTION("VLOOKUP(A68,IMPORTRANGE(""1QZ5UxyNCwadreQAXnQ7oCoH982DjIA-QnZdO7ZoqkC0/edit#gid=884617569"",""S3 Totals!$A$2:$O$255""),5,FALSE)"),0.20253164556962025)</f>
        <v>0.2025316456</v>
      </c>
      <c r="I68" s="143">
        <f t="shared" si="2"/>
        <v>-0.03814808393</v>
      </c>
      <c r="J68" s="16" t="str">
        <f>IFERROR(__xludf.DUMMYFUNCTION("VLOOKUP(A68,IMPORTRANGE(""1QZ5UxyNCwadreQAXnQ7oCoH982DjIA-QnZdO7ZoqkC0/edit#gid=884617569"",""S3 Totals!$A$2:$O$255""),7,FALSE)"),"")</f>
        <v/>
      </c>
      <c r="K68" s="15" t="str">
        <f>IFERROR(__xludf.DUMMYFUNCTION("VLOOKUP(A68,IMPORTRANGE(""1QZ5UxyNCwadreQAXnQ7oCoH982DjIA-QnZdO7ZoqkC0/edit#gid=884617569"",""S3 Totals!$A$2:$O$255""),8,FALSE)"),"")</f>
        <v/>
      </c>
      <c r="L68" s="110">
        <f t="shared" si="5"/>
        <v>0.1891891892</v>
      </c>
      <c r="M68" s="16" t="str">
        <f>IFERROR(__xludf.DUMMYFUNCTION("VLOOKUP(A68,IMPORTRANGE(""1QZ5UxyNCwadreQAXnQ7oCoH982DjIA-QnZdO7ZoqkC0/edit#gid=884617569"",""S3 Totals!$A$2:$O$255""),10,FALSE)"),"")</f>
        <v/>
      </c>
      <c r="N68" s="15" t="str">
        <f>IFERROR(__xludf.DUMMYFUNCTION("VLOOKUP(A68,IMPORTRANGE(""1QZ5UxyNCwadreQAXnQ7oCoH982DjIA-QnZdO7ZoqkC0/edit#gid=884617569"",""S3 Totals!$A$2:$O$255""),11,FALSE)"),"")</f>
        <v/>
      </c>
      <c r="O68" s="110">
        <f t="shared" si="3"/>
        <v>0.1643835616</v>
      </c>
      <c r="P68" s="16" t="str">
        <f>IFERROR(__xludf.DUMMYFUNCTION("VLOOKUP(A68,IMPORTRANGE(""1QZ5UxyNCwadreQAXnQ7oCoH982DjIA-QnZdO7ZoqkC0/edit#gid=884617569"",""S3 Totals!$A$2:$O$255""),13,FALSE)"),"")</f>
        <v/>
      </c>
      <c r="Q68" s="15" t="str">
        <f>IFERROR(__xludf.DUMMYFUNCTION("VLOOKUP(A68,IMPORTRANGE(""1QZ5UxyNCwadreQAXnQ7oCoH982DjIA-QnZdO7ZoqkC0/edit#gid=884617569"",""S3 Totals!$A$2:$O$255""),14,FALSE)"),"")</f>
        <v/>
      </c>
      <c r="R68" s="110">
        <f t="shared" si="4"/>
        <v>0.1643835616</v>
      </c>
      <c r="S68" s="144"/>
    </row>
    <row r="69">
      <c r="A69" s="128" t="s">
        <v>225</v>
      </c>
      <c r="B69" s="16">
        <f>IFERROR(__xludf.DUMMYFUNCTION("VLOOKUP(A69,IMPORTRANGE(""1aFCnJY1qhIj8-JckJhDJ18aqmVo17tofpQmOjcYa3u8/edit#gid=1878241338"",""S3 Totals!$A$2:$O$255""),2,FALSE)"),0.0)</f>
        <v>0</v>
      </c>
      <c r="C69" s="15">
        <f>IFERROR(__xludf.DUMMYFUNCTION("VLOOKUP(A69,IMPORTRANGE(""1aFCnJY1qhIj8-JckJhDJ18aqmVo17tofpQmOjcYa3u8/edit#gid=1878241338"",""S3 Totals!$A$2:$O$255""),3,FALSE)"),0.0)</f>
        <v>0</v>
      </c>
      <c r="D69" s="16">
        <f>IFERROR(__xludf.DUMMYFUNCTION("VLOOKUP(A69,IMPORTRANGE(""1QZ5UxyNCwadreQAXnQ7oCoH982DjIA-QnZdO7ZoqkC0/edit#gid=884617569"",""S3 Totals!$A$2:$O$255""),2,FALSE)"),0.0)</f>
        <v>0</v>
      </c>
      <c r="E69" s="15">
        <f>IFERROR(__xludf.DUMMYFUNCTION("VLOOKUP(A69,IMPORTRANGE(""1QZ5UxyNCwadreQAXnQ7oCoH982DjIA-QnZdO7ZoqkC0/edit#gid=884617569"",""S3 Totals!$A$2:$O$255""),3,FALSE)"),0.0)</f>
        <v>0</v>
      </c>
      <c r="F69" s="15">
        <f t="shared" si="1"/>
        <v>0</v>
      </c>
      <c r="G69" s="16">
        <f>IFERROR(__xludf.DUMMYFUNCTION("VLOOKUP(A69,IMPORTRANGE(""1QZ5UxyNCwadreQAXnQ7oCoH982DjIA-QnZdO7ZoqkC0/edit#gid=884617569"",""S3 Totals!$A$2:$O$255""),4,FALSE)"),0.0)</f>
        <v>0</v>
      </c>
      <c r="H69" s="15">
        <f>IFERROR(__xludf.DUMMYFUNCTION("VLOOKUP(A69,IMPORTRANGE(""1QZ5UxyNCwadreQAXnQ7oCoH982DjIA-QnZdO7ZoqkC0/edit#gid=884617569"",""S3 Totals!$A$2:$O$255""),5,FALSE)"),0.0)</f>
        <v>0</v>
      </c>
      <c r="I69" s="143">
        <f t="shared" si="2"/>
        <v>0</v>
      </c>
      <c r="J69" s="16" t="str">
        <f>IFERROR(__xludf.DUMMYFUNCTION("VLOOKUP(A69,IMPORTRANGE(""1QZ5UxyNCwadreQAXnQ7oCoH982DjIA-QnZdO7ZoqkC0/edit#gid=884617569"",""S3 Totals!$A$2:$O$255""),7,FALSE)"),"")</f>
        <v/>
      </c>
      <c r="K69" s="15" t="str">
        <f>IFERROR(__xludf.DUMMYFUNCTION("VLOOKUP(A69,IMPORTRANGE(""1QZ5UxyNCwadreQAXnQ7oCoH982DjIA-QnZdO7ZoqkC0/edit#gid=884617569"",""S3 Totals!$A$2:$O$255""),8,FALSE)"),"")</f>
        <v/>
      </c>
      <c r="L69" s="110">
        <f t="shared" si="5"/>
        <v>0</v>
      </c>
      <c r="M69" s="16" t="str">
        <f>IFERROR(__xludf.DUMMYFUNCTION("VLOOKUP(A69,IMPORTRANGE(""1QZ5UxyNCwadreQAXnQ7oCoH982DjIA-QnZdO7ZoqkC0/edit#gid=884617569"",""S3 Totals!$A$2:$O$255""),10,FALSE)"),"")</f>
        <v/>
      </c>
      <c r="N69" s="15" t="str">
        <f>IFERROR(__xludf.DUMMYFUNCTION("VLOOKUP(A69,IMPORTRANGE(""1QZ5UxyNCwadreQAXnQ7oCoH982DjIA-QnZdO7ZoqkC0/edit#gid=884617569"",""S3 Totals!$A$2:$O$255""),11,FALSE)"),"")</f>
        <v/>
      </c>
      <c r="O69" s="110">
        <f t="shared" si="3"/>
        <v>0</v>
      </c>
      <c r="P69" s="16" t="str">
        <f>IFERROR(__xludf.DUMMYFUNCTION("VLOOKUP(A69,IMPORTRANGE(""1QZ5UxyNCwadreQAXnQ7oCoH982DjIA-QnZdO7ZoqkC0/edit#gid=884617569"",""S3 Totals!$A$2:$O$255""),13,FALSE)"),"")</f>
        <v/>
      </c>
      <c r="Q69" s="15" t="str">
        <f>IFERROR(__xludf.DUMMYFUNCTION("VLOOKUP(A69,IMPORTRANGE(""1QZ5UxyNCwadreQAXnQ7oCoH982DjIA-QnZdO7ZoqkC0/edit#gid=884617569"",""S3 Totals!$A$2:$O$255""),14,FALSE)"),"")</f>
        <v/>
      </c>
      <c r="R69" s="110">
        <f t="shared" si="4"/>
        <v>0</v>
      </c>
      <c r="S69" s="144"/>
    </row>
    <row r="70">
      <c r="A70" s="128" t="s">
        <v>123</v>
      </c>
      <c r="B70" s="16">
        <f>IFERROR(__xludf.DUMMYFUNCTION("VLOOKUP(A70,IMPORTRANGE(""1aFCnJY1qhIj8-JckJhDJ18aqmVo17tofpQmOjcYa3u8/edit#gid=1878241338"",""S3 Totals!$A$2:$O$255""),2,FALSE)"),0.0)</f>
        <v>0</v>
      </c>
      <c r="C70" s="15">
        <f>IFERROR(__xludf.DUMMYFUNCTION("VLOOKUP(A70,IMPORTRANGE(""1aFCnJY1qhIj8-JckJhDJ18aqmVo17tofpQmOjcYa3u8/edit#gid=1878241338"",""S3 Totals!$A$2:$O$255""),3,FALSE)"),0.0)</f>
        <v>0</v>
      </c>
      <c r="D70" s="16">
        <f>IFERROR(__xludf.DUMMYFUNCTION("VLOOKUP(A70,IMPORTRANGE(""1QZ5UxyNCwadreQAXnQ7oCoH982DjIA-QnZdO7ZoqkC0/edit#gid=884617569"",""S3 Totals!$A$2:$O$255""),2,FALSE)"),0.0)</f>
        <v>0</v>
      </c>
      <c r="E70" s="15">
        <f>IFERROR(__xludf.DUMMYFUNCTION("VLOOKUP(A70,IMPORTRANGE(""1QZ5UxyNCwadreQAXnQ7oCoH982DjIA-QnZdO7ZoqkC0/edit#gid=884617569"",""S3 Totals!$A$2:$O$255""),3,FALSE)"),0.0)</f>
        <v>0</v>
      </c>
      <c r="F70" s="15">
        <f t="shared" si="1"/>
        <v>0</v>
      </c>
      <c r="G70" s="16">
        <f>IFERROR(__xludf.DUMMYFUNCTION("VLOOKUP(A70,IMPORTRANGE(""1QZ5UxyNCwadreQAXnQ7oCoH982DjIA-QnZdO7ZoqkC0/edit#gid=884617569"",""S3 Totals!$A$2:$O$255""),4,FALSE)"),0.0)</f>
        <v>0</v>
      </c>
      <c r="H70" s="15">
        <f>IFERROR(__xludf.DUMMYFUNCTION("VLOOKUP(A70,IMPORTRANGE(""1QZ5UxyNCwadreQAXnQ7oCoH982DjIA-QnZdO7ZoqkC0/edit#gid=884617569"",""S3 Totals!$A$2:$O$255""),5,FALSE)"),0.0)</f>
        <v>0</v>
      </c>
      <c r="I70" s="143">
        <f t="shared" si="2"/>
        <v>0</v>
      </c>
      <c r="J70" s="16">
        <f>IFERROR(__xludf.DUMMYFUNCTION("VLOOKUP(A70,IMPORTRANGE(""1QZ5UxyNCwadreQAXnQ7oCoH982DjIA-QnZdO7ZoqkC0/edit#gid=884617569"",""S3 Totals!$A$2:$O$255""),7,FALSE)"),0.0)</f>
        <v>0</v>
      </c>
      <c r="K70" s="15">
        <f>IFERROR(__xludf.DUMMYFUNCTION("VLOOKUP(A70,IMPORTRANGE(""1QZ5UxyNCwadreQAXnQ7oCoH982DjIA-QnZdO7ZoqkC0/edit#gid=884617569"",""S3 Totals!$A$2:$O$255""),8,FALSE)"),0.0)</f>
        <v>0</v>
      </c>
      <c r="L70" s="110">
        <f t="shared" si="5"/>
        <v>0</v>
      </c>
      <c r="M70" s="16">
        <f>IFERROR(__xludf.DUMMYFUNCTION("VLOOKUP(A70,IMPORTRANGE(""1QZ5UxyNCwadreQAXnQ7oCoH982DjIA-QnZdO7ZoqkC0/edit#gid=884617569"",""S3 Totals!$A$2:$O$255""),10,FALSE)"),0.0)</f>
        <v>0</v>
      </c>
      <c r="N70" s="15">
        <f>IFERROR(__xludf.DUMMYFUNCTION("VLOOKUP(A70,IMPORTRANGE(""1QZ5UxyNCwadreQAXnQ7oCoH982DjIA-QnZdO7ZoqkC0/edit#gid=884617569"",""S3 Totals!$A$2:$O$255""),11,FALSE)"),0.0)</f>
        <v>0</v>
      </c>
      <c r="O70" s="110">
        <f t="shared" si="3"/>
        <v>0</v>
      </c>
      <c r="P70" s="16" t="str">
        <f>IFERROR(__xludf.DUMMYFUNCTION("VLOOKUP(A70,IMPORTRANGE(""1QZ5UxyNCwadreQAXnQ7oCoH982DjIA-QnZdO7ZoqkC0/edit#gid=884617569"",""S3 Totals!$A$2:$O$255""),13,FALSE)"),"")</f>
        <v/>
      </c>
      <c r="Q70" s="15" t="str">
        <f>IFERROR(__xludf.DUMMYFUNCTION("VLOOKUP(A70,IMPORTRANGE(""1QZ5UxyNCwadreQAXnQ7oCoH982DjIA-QnZdO7ZoqkC0/edit#gid=884617569"",""S3 Totals!$A$2:$O$255""),14,FALSE)"),"")</f>
        <v/>
      </c>
      <c r="R70" s="110">
        <f t="shared" si="4"/>
        <v>0</v>
      </c>
      <c r="S70" s="144"/>
    </row>
    <row r="71">
      <c r="A71" s="128" t="s">
        <v>226</v>
      </c>
      <c r="B71" s="16">
        <f>IFERROR(__xludf.DUMMYFUNCTION("VLOOKUP(A71,IMPORTRANGE(""1aFCnJY1qhIj8-JckJhDJ18aqmVo17tofpQmOjcYa3u8/edit#gid=1878241338"",""S3 Totals!$A$2:$O$255""),2,FALSE)"),18.0)</f>
        <v>18</v>
      </c>
      <c r="C71" s="15">
        <f>IFERROR(__xludf.DUMMYFUNCTION("VLOOKUP(A71,IMPORTRANGE(""1aFCnJY1qhIj8-JckJhDJ18aqmVo17tofpQmOjcYa3u8/edit#gid=1878241338"",""S3 Totals!$A$2:$O$255""),3,FALSE)"),0.2465753424657534)</f>
        <v>0.2465753425</v>
      </c>
      <c r="D71" s="16">
        <f>IFERROR(__xludf.DUMMYFUNCTION("VLOOKUP(A71,IMPORTRANGE(""1QZ5UxyNCwadreQAXnQ7oCoH982DjIA-QnZdO7ZoqkC0/edit#gid=884617569"",""S3 Totals!$A$2:$O$255""),2,FALSE)"),10.0)</f>
        <v>10</v>
      </c>
      <c r="E71" s="15">
        <f>IFERROR(__xludf.DUMMYFUNCTION("VLOOKUP(A71,IMPORTRANGE(""1QZ5UxyNCwadreQAXnQ7oCoH982DjIA-QnZdO7ZoqkC0/edit#gid=884617569"",""S3 Totals!$A$2:$O$255""),3,FALSE)"),0.13513513513513514)</f>
        <v>0.1351351351</v>
      </c>
      <c r="F71" s="15">
        <f t="shared" si="1"/>
        <v>0.1114402073</v>
      </c>
      <c r="G71" s="16">
        <f>IFERROR(__xludf.DUMMYFUNCTION("VLOOKUP(A71,IMPORTRANGE(""1QZ5UxyNCwadreQAXnQ7oCoH982DjIA-QnZdO7ZoqkC0/edit#gid=884617569"",""S3 Totals!$A$2:$O$255""),4,FALSE)"),1.0)</f>
        <v>1</v>
      </c>
      <c r="H71" s="15">
        <f>IFERROR(__xludf.DUMMYFUNCTION("VLOOKUP(A71,IMPORTRANGE(""1QZ5UxyNCwadreQAXnQ7oCoH982DjIA-QnZdO7ZoqkC0/edit#gid=884617569"",""S3 Totals!$A$2:$O$255""),5,FALSE)"),0.012658227848101266)</f>
        <v>0.01265822785</v>
      </c>
      <c r="I71" s="143">
        <f t="shared" si="2"/>
        <v>0.2339171146</v>
      </c>
      <c r="J71" s="16" t="str">
        <f>IFERROR(__xludf.DUMMYFUNCTION("VLOOKUP(A71,IMPORTRANGE(""1QZ5UxyNCwadreQAXnQ7oCoH982DjIA-QnZdO7ZoqkC0/edit#gid=884617569"",""S3 Totals!$A$2:$O$255""),7,FALSE)"),"")</f>
        <v/>
      </c>
      <c r="K71" s="15" t="str">
        <f>IFERROR(__xludf.DUMMYFUNCTION("VLOOKUP(A71,IMPORTRANGE(""1QZ5UxyNCwadreQAXnQ7oCoH982DjIA-QnZdO7ZoqkC0/edit#gid=884617569"",""S3 Totals!$A$2:$O$255""),8,FALSE)"),"")</f>
        <v/>
      </c>
      <c r="L71" s="110">
        <f t="shared" si="5"/>
        <v>0.1351351351</v>
      </c>
      <c r="M71" s="16" t="str">
        <f>IFERROR(__xludf.DUMMYFUNCTION("VLOOKUP(A71,IMPORTRANGE(""1QZ5UxyNCwadreQAXnQ7oCoH982DjIA-QnZdO7ZoqkC0/edit#gid=884617569"",""S3 Totals!$A$2:$O$255""),10,FALSE)"),"")</f>
        <v/>
      </c>
      <c r="N71" s="15" t="str">
        <f>IFERROR(__xludf.DUMMYFUNCTION("VLOOKUP(A71,IMPORTRANGE(""1QZ5UxyNCwadreQAXnQ7oCoH982DjIA-QnZdO7ZoqkC0/edit#gid=884617569"",""S3 Totals!$A$2:$O$255""),11,FALSE)"),"")</f>
        <v/>
      </c>
      <c r="O71" s="110">
        <f t="shared" si="3"/>
        <v>0.2465753425</v>
      </c>
      <c r="P71" s="16" t="str">
        <f>IFERROR(__xludf.DUMMYFUNCTION("VLOOKUP(A71,IMPORTRANGE(""1QZ5UxyNCwadreQAXnQ7oCoH982DjIA-QnZdO7ZoqkC0/edit#gid=884617569"",""S3 Totals!$A$2:$O$255""),13,FALSE)"),"")</f>
        <v/>
      </c>
      <c r="Q71" s="15" t="str">
        <f>IFERROR(__xludf.DUMMYFUNCTION("VLOOKUP(A71,IMPORTRANGE(""1QZ5UxyNCwadreQAXnQ7oCoH982DjIA-QnZdO7ZoqkC0/edit#gid=884617569"",""S3 Totals!$A$2:$O$255""),14,FALSE)"),"")</f>
        <v/>
      </c>
      <c r="R71" s="110">
        <f t="shared" si="4"/>
        <v>0.2465753425</v>
      </c>
      <c r="S71" s="144"/>
    </row>
    <row r="72">
      <c r="A72" s="128" t="s">
        <v>124</v>
      </c>
      <c r="B72" s="16">
        <f>IFERROR(__xludf.DUMMYFUNCTION("VLOOKUP(A72,IMPORTRANGE(""1aFCnJY1qhIj8-JckJhDJ18aqmVo17tofpQmOjcYa3u8/edit#gid=1878241338"",""S3 Totals!$A$2:$O$255""),2,FALSE)"),63.0)</f>
        <v>63</v>
      </c>
      <c r="C72" s="15">
        <f>IFERROR(__xludf.DUMMYFUNCTION("VLOOKUP(A72,IMPORTRANGE(""1aFCnJY1qhIj8-JckJhDJ18aqmVo17tofpQmOjcYa3u8/edit#gid=1878241338"",""S3 Totals!$A$2:$O$255""),3,FALSE)"),0.863013698630137)</f>
        <v>0.8630136986</v>
      </c>
      <c r="D72" s="16">
        <f>IFERROR(__xludf.DUMMYFUNCTION("VLOOKUP(A72,IMPORTRANGE(""1QZ5UxyNCwadreQAXnQ7oCoH982DjIA-QnZdO7ZoqkC0/edit#gid=884617569"",""S3 Totals!$A$2:$O$255""),2,FALSE)"),41.0)</f>
        <v>41</v>
      </c>
      <c r="E72" s="15">
        <f>IFERROR(__xludf.DUMMYFUNCTION("VLOOKUP(A72,IMPORTRANGE(""1QZ5UxyNCwadreQAXnQ7oCoH982DjIA-QnZdO7ZoqkC0/edit#gid=884617569"",""S3 Totals!$A$2:$O$255""),3,FALSE)"),0.5540540540540541)</f>
        <v>0.5540540541</v>
      </c>
      <c r="F72" s="15">
        <f t="shared" si="1"/>
        <v>0.3089596446</v>
      </c>
      <c r="G72" s="16">
        <f>IFERROR(__xludf.DUMMYFUNCTION("VLOOKUP(A72,IMPORTRANGE(""1QZ5UxyNCwadreQAXnQ7oCoH982DjIA-QnZdO7ZoqkC0/edit#gid=884617569"",""S3 Totals!$A$2:$O$255""),4,FALSE)"),42.0)</f>
        <v>42</v>
      </c>
      <c r="H72" s="15">
        <f>IFERROR(__xludf.DUMMYFUNCTION("VLOOKUP(A72,IMPORTRANGE(""1QZ5UxyNCwadreQAXnQ7oCoH982DjIA-QnZdO7ZoqkC0/edit#gid=884617569"",""S3 Totals!$A$2:$O$255""),5,FALSE)"),0.5316455696202531)</f>
        <v>0.5316455696</v>
      </c>
      <c r="I72" s="143">
        <f t="shared" si="2"/>
        <v>0.331368129</v>
      </c>
      <c r="J72" s="16">
        <f>IFERROR(__xludf.DUMMYFUNCTION("VLOOKUP(A72,IMPORTRANGE(""1QZ5UxyNCwadreQAXnQ7oCoH982DjIA-QnZdO7ZoqkC0/edit#gid=884617569"",""S3 Totals!$A$2:$O$255""),7,FALSE)"),12.0)</f>
        <v>12</v>
      </c>
      <c r="K72" s="15">
        <f>IFERROR(__xludf.DUMMYFUNCTION("VLOOKUP(A72,IMPORTRANGE(""1QZ5UxyNCwadreQAXnQ7oCoH982DjIA-QnZdO7ZoqkC0/edit#gid=884617569"",""S3 Totals!$A$2:$O$255""),8,FALSE)"),0.1411764705882353)</f>
        <v>0.1411764706</v>
      </c>
      <c r="L72" s="110">
        <f t="shared" si="5"/>
        <v>0.4128775835</v>
      </c>
      <c r="M72" s="16">
        <f>IFERROR(__xludf.DUMMYFUNCTION("VLOOKUP(A72,IMPORTRANGE(""1QZ5UxyNCwadreQAXnQ7oCoH982DjIA-QnZdO7ZoqkC0/edit#gid=884617569"",""S3 Totals!$A$2:$O$255""),10,FALSE)"),13.0)</f>
        <v>13</v>
      </c>
      <c r="N72" s="15">
        <f>IFERROR(__xludf.DUMMYFUNCTION("VLOOKUP(A72,IMPORTRANGE(""1QZ5UxyNCwadreQAXnQ7oCoH982DjIA-QnZdO7ZoqkC0/edit#gid=884617569"",""S3 Totals!$A$2:$O$255""),11,FALSE)"),0.15294117647058825)</f>
        <v>0.1529411765</v>
      </c>
      <c r="O72" s="110">
        <f t="shared" si="3"/>
        <v>0.7100725222</v>
      </c>
      <c r="P72" s="16" t="str">
        <f>IFERROR(__xludf.DUMMYFUNCTION("VLOOKUP(A72,IMPORTRANGE(""1QZ5UxyNCwadreQAXnQ7oCoH982DjIA-QnZdO7ZoqkC0/edit#gid=884617569"",""S3 Totals!$A$2:$O$255""),13,FALSE)"),"")</f>
        <v/>
      </c>
      <c r="Q72" s="15" t="str">
        <f>IFERROR(__xludf.DUMMYFUNCTION("VLOOKUP(A72,IMPORTRANGE(""1QZ5UxyNCwadreQAXnQ7oCoH982DjIA-QnZdO7ZoqkC0/edit#gid=884617569"",""S3 Totals!$A$2:$O$255""),14,FALSE)"),"")</f>
        <v/>
      </c>
      <c r="R72" s="110">
        <f t="shared" si="4"/>
        <v>0.8630136986</v>
      </c>
      <c r="S72" s="144"/>
    </row>
    <row r="73">
      <c r="A73" s="128" t="s">
        <v>172</v>
      </c>
      <c r="B73" s="16">
        <f>IFERROR(__xludf.DUMMYFUNCTION("VLOOKUP(A73,IMPORTRANGE(""1aFCnJY1qhIj8-JckJhDJ18aqmVo17tofpQmOjcYa3u8/edit#gid=1878241338"",""S3 Totals!$A$2:$O$255""),2,FALSE)"),0.0)</f>
        <v>0</v>
      </c>
      <c r="C73" s="15">
        <f>IFERROR(__xludf.DUMMYFUNCTION("VLOOKUP(A73,IMPORTRANGE(""1aFCnJY1qhIj8-JckJhDJ18aqmVo17tofpQmOjcYa3u8/edit#gid=1878241338"",""S3 Totals!$A$2:$O$255""),3,FALSE)"),0.0)</f>
        <v>0</v>
      </c>
      <c r="D73" s="16">
        <f>IFERROR(__xludf.DUMMYFUNCTION("VLOOKUP(A73,IMPORTRANGE(""1QZ5UxyNCwadreQAXnQ7oCoH982DjIA-QnZdO7ZoqkC0/edit#gid=884617569"",""S3 Totals!$A$2:$O$255""),2,FALSE)"),0.0)</f>
        <v>0</v>
      </c>
      <c r="E73" s="15">
        <f>IFERROR(__xludf.DUMMYFUNCTION("VLOOKUP(A73,IMPORTRANGE(""1QZ5UxyNCwadreQAXnQ7oCoH982DjIA-QnZdO7ZoqkC0/edit#gid=884617569"",""S3 Totals!$A$2:$O$255""),3,FALSE)"),0.0)</f>
        <v>0</v>
      </c>
      <c r="F73" s="15">
        <f t="shared" si="1"/>
        <v>0</v>
      </c>
      <c r="G73" s="16">
        <f>IFERROR(__xludf.DUMMYFUNCTION("VLOOKUP(A73,IMPORTRANGE(""1QZ5UxyNCwadreQAXnQ7oCoH982DjIA-QnZdO7ZoqkC0/edit#gid=884617569"",""S3 Totals!$A$2:$O$255""),4,FALSE)"),0.0)</f>
        <v>0</v>
      </c>
      <c r="H73" s="15">
        <f>IFERROR(__xludf.DUMMYFUNCTION("VLOOKUP(A73,IMPORTRANGE(""1QZ5UxyNCwadreQAXnQ7oCoH982DjIA-QnZdO7ZoqkC0/edit#gid=884617569"",""S3 Totals!$A$2:$O$255""),5,FALSE)"),0.0)</f>
        <v>0</v>
      </c>
      <c r="I73" s="143">
        <f t="shared" si="2"/>
        <v>0</v>
      </c>
      <c r="J73" s="16">
        <f>IFERROR(__xludf.DUMMYFUNCTION("VLOOKUP(A73,IMPORTRANGE(""1QZ5UxyNCwadreQAXnQ7oCoH982DjIA-QnZdO7ZoqkC0/edit#gid=884617569"",""S3 Totals!$A$2:$O$255""),7,FALSE)"),0.0)</f>
        <v>0</v>
      </c>
      <c r="K73" s="15">
        <f>IFERROR(__xludf.DUMMYFUNCTION("VLOOKUP(A73,IMPORTRANGE(""1QZ5UxyNCwadreQAXnQ7oCoH982DjIA-QnZdO7ZoqkC0/edit#gid=884617569"",""S3 Totals!$A$2:$O$255""),8,FALSE)"),0.0)</f>
        <v>0</v>
      </c>
      <c r="L73" s="110">
        <f t="shared" si="5"/>
        <v>0</v>
      </c>
      <c r="M73" s="16" t="str">
        <f>IFERROR(__xludf.DUMMYFUNCTION("VLOOKUP(A73,IMPORTRANGE(""1QZ5UxyNCwadreQAXnQ7oCoH982DjIA-QnZdO7ZoqkC0/edit#gid=884617569"",""S3 Totals!$A$2:$O$255""),10,FALSE)"),"")</f>
        <v/>
      </c>
      <c r="N73" s="15" t="str">
        <f>IFERROR(__xludf.DUMMYFUNCTION("VLOOKUP(A73,IMPORTRANGE(""1QZ5UxyNCwadreQAXnQ7oCoH982DjIA-QnZdO7ZoqkC0/edit#gid=884617569"",""S3 Totals!$A$2:$O$255""),11,FALSE)"),"")</f>
        <v/>
      </c>
      <c r="O73" s="110">
        <f t="shared" si="3"/>
        <v>0</v>
      </c>
      <c r="P73" s="16" t="str">
        <f>IFERROR(__xludf.DUMMYFUNCTION("VLOOKUP(A73,IMPORTRANGE(""1QZ5UxyNCwadreQAXnQ7oCoH982DjIA-QnZdO7ZoqkC0/edit#gid=884617569"",""S3 Totals!$A$2:$O$255""),13,FALSE)"),"")</f>
        <v/>
      </c>
      <c r="Q73" s="15" t="str">
        <f>IFERROR(__xludf.DUMMYFUNCTION("VLOOKUP(A73,IMPORTRANGE(""1QZ5UxyNCwadreQAXnQ7oCoH982DjIA-QnZdO7ZoqkC0/edit#gid=884617569"",""S3 Totals!$A$2:$O$255""),14,FALSE)"),"")</f>
        <v/>
      </c>
      <c r="R73" s="110">
        <f t="shared" si="4"/>
        <v>0</v>
      </c>
      <c r="S73" s="144"/>
    </row>
    <row r="74">
      <c r="A74" s="128" t="s">
        <v>173</v>
      </c>
      <c r="B74" s="16">
        <f>IFERROR(__xludf.DUMMYFUNCTION("VLOOKUP(A74,IMPORTRANGE(""1aFCnJY1qhIj8-JckJhDJ18aqmVo17tofpQmOjcYa3u8/edit#gid=1878241338"",""S3 Totals!$A$2:$O$255""),2,FALSE)"),1.0)</f>
        <v>1</v>
      </c>
      <c r="C74" s="15">
        <f>IFERROR(__xludf.DUMMYFUNCTION("VLOOKUP(A74,IMPORTRANGE(""1aFCnJY1qhIj8-JckJhDJ18aqmVo17tofpQmOjcYa3u8/edit#gid=1878241338"",""S3 Totals!$A$2:$O$255""),3,FALSE)"),0.0136986301369863)</f>
        <v>0.01369863014</v>
      </c>
      <c r="D74" s="16">
        <f>IFERROR(__xludf.DUMMYFUNCTION("VLOOKUP(A74,IMPORTRANGE(""1QZ5UxyNCwadreQAXnQ7oCoH982DjIA-QnZdO7ZoqkC0/edit#gid=884617569"",""S3 Totals!$A$2:$O$255""),2,FALSE)"),0.0)</f>
        <v>0</v>
      </c>
      <c r="E74" s="15">
        <f>IFERROR(__xludf.DUMMYFUNCTION("VLOOKUP(A74,IMPORTRANGE(""1QZ5UxyNCwadreQAXnQ7oCoH982DjIA-QnZdO7ZoqkC0/edit#gid=884617569"",""S3 Totals!$A$2:$O$255""),3,FALSE)"),0.0)</f>
        <v>0</v>
      </c>
      <c r="F74" s="15">
        <f t="shared" si="1"/>
        <v>0.01369863014</v>
      </c>
      <c r="G74" s="16">
        <f>IFERROR(__xludf.DUMMYFUNCTION("VLOOKUP(A74,IMPORTRANGE(""1QZ5UxyNCwadreQAXnQ7oCoH982DjIA-QnZdO7ZoqkC0/edit#gid=884617569"",""S3 Totals!$A$2:$O$255""),4,FALSE)"),0.0)</f>
        <v>0</v>
      </c>
      <c r="H74" s="15">
        <f>IFERROR(__xludf.DUMMYFUNCTION("VLOOKUP(A74,IMPORTRANGE(""1QZ5UxyNCwadreQAXnQ7oCoH982DjIA-QnZdO7ZoqkC0/edit#gid=884617569"",""S3 Totals!$A$2:$O$255""),5,FALSE)"),0.0)</f>
        <v>0</v>
      </c>
      <c r="I74" s="143">
        <f t="shared" si="2"/>
        <v>0.01369863014</v>
      </c>
      <c r="J74" s="16">
        <f>IFERROR(__xludf.DUMMYFUNCTION("VLOOKUP(A74,IMPORTRANGE(""1QZ5UxyNCwadreQAXnQ7oCoH982DjIA-QnZdO7ZoqkC0/edit#gid=884617569"",""S3 Totals!$A$2:$O$255""),7,FALSE)"),0.0)</f>
        <v>0</v>
      </c>
      <c r="K74" s="15">
        <f>IFERROR(__xludf.DUMMYFUNCTION("VLOOKUP(A74,IMPORTRANGE(""1QZ5UxyNCwadreQAXnQ7oCoH982DjIA-QnZdO7ZoqkC0/edit#gid=884617569"",""S3 Totals!$A$2:$O$255""),8,FALSE)"),0.0)</f>
        <v>0</v>
      </c>
      <c r="L74" s="110">
        <f t="shared" si="5"/>
        <v>0</v>
      </c>
      <c r="M74" s="16" t="str">
        <f>IFERROR(__xludf.DUMMYFUNCTION("VLOOKUP(A74,IMPORTRANGE(""1QZ5UxyNCwadreQAXnQ7oCoH982DjIA-QnZdO7ZoqkC0/edit#gid=884617569"",""S3 Totals!$A$2:$O$255""),10,FALSE)"),"")</f>
        <v/>
      </c>
      <c r="N74" s="15" t="str">
        <f>IFERROR(__xludf.DUMMYFUNCTION("VLOOKUP(A74,IMPORTRANGE(""1QZ5UxyNCwadreQAXnQ7oCoH982DjIA-QnZdO7ZoqkC0/edit#gid=884617569"",""S3 Totals!$A$2:$O$255""),11,FALSE)"),"")</f>
        <v/>
      </c>
      <c r="O74" s="110">
        <f t="shared" si="3"/>
        <v>0.01369863014</v>
      </c>
      <c r="P74" s="16" t="str">
        <f>IFERROR(__xludf.DUMMYFUNCTION("VLOOKUP(A74,IMPORTRANGE(""1QZ5UxyNCwadreQAXnQ7oCoH982DjIA-QnZdO7ZoqkC0/edit#gid=884617569"",""S3 Totals!$A$2:$O$255""),13,FALSE)"),"")</f>
        <v/>
      </c>
      <c r="Q74" s="15" t="str">
        <f>IFERROR(__xludf.DUMMYFUNCTION("VLOOKUP(A74,IMPORTRANGE(""1QZ5UxyNCwadreQAXnQ7oCoH982DjIA-QnZdO7ZoqkC0/edit#gid=884617569"",""S3 Totals!$A$2:$O$255""),14,FALSE)"),"")</f>
        <v/>
      </c>
      <c r="R74" s="110">
        <f t="shared" si="4"/>
        <v>0.01369863014</v>
      </c>
      <c r="S74" s="144"/>
    </row>
    <row r="75">
      <c r="A75" s="128" t="s">
        <v>125</v>
      </c>
      <c r="B75" s="16">
        <f>IFERROR(__xludf.DUMMYFUNCTION("VLOOKUP(A75,IMPORTRANGE(""1aFCnJY1qhIj8-JckJhDJ18aqmVo17tofpQmOjcYa3u8/edit#gid=1878241338"",""S3 Totals!$A$2:$O$255""),2,FALSE)"),9.0)</f>
        <v>9</v>
      </c>
      <c r="C75" s="15">
        <f>IFERROR(__xludf.DUMMYFUNCTION("VLOOKUP(A75,IMPORTRANGE(""1aFCnJY1qhIj8-JckJhDJ18aqmVo17tofpQmOjcYa3u8/edit#gid=1878241338"",""S3 Totals!$A$2:$O$255""),3,FALSE)"),0.1232876712328767)</f>
        <v>0.1232876712</v>
      </c>
      <c r="D75" s="16">
        <f>IFERROR(__xludf.DUMMYFUNCTION("VLOOKUP(A75,IMPORTRANGE(""1QZ5UxyNCwadreQAXnQ7oCoH982DjIA-QnZdO7ZoqkC0/edit#gid=884617569"",""S3 Totals!$A$2:$O$255""),2,FALSE)"),12.0)</f>
        <v>12</v>
      </c>
      <c r="E75" s="15">
        <f>IFERROR(__xludf.DUMMYFUNCTION("VLOOKUP(A75,IMPORTRANGE(""1QZ5UxyNCwadreQAXnQ7oCoH982DjIA-QnZdO7ZoqkC0/edit#gid=884617569"",""S3 Totals!$A$2:$O$255""),3,FALSE)"),0.16216216216216217)</f>
        <v>0.1621621622</v>
      </c>
      <c r="F75" s="15">
        <f t="shared" si="1"/>
        <v>-0.03887449093</v>
      </c>
      <c r="G75" s="16">
        <f>IFERROR(__xludf.DUMMYFUNCTION("VLOOKUP(A75,IMPORTRANGE(""1QZ5UxyNCwadreQAXnQ7oCoH982DjIA-QnZdO7ZoqkC0/edit#gid=884617569"",""S3 Totals!$A$2:$O$255""),4,FALSE)"),13.0)</f>
        <v>13</v>
      </c>
      <c r="H75" s="15">
        <f>IFERROR(__xludf.DUMMYFUNCTION("VLOOKUP(A75,IMPORTRANGE(""1QZ5UxyNCwadreQAXnQ7oCoH982DjIA-QnZdO7ZoqkC0/edit#gid=884617569"",""S3 Totals!$A$2:$O$255""),5,FALSE)"),0.16455696202531644)</f>
        <v>0.164556962</v>
      </c>
      <c r="I75" s="143">
        <f t="shared" si="2"/>
        <v>-0.04126929079</v>
      </c>
      <c r="J75" s="16">
        <f>IFERROR(__xludf.DUMMYFUNCTION("VLOOKUP(A75,IMPORTRANGE(""1QZ5UxyNCwadreQAXnQ7oCoH982DjIA-QnZdO7ZoqkC0/edit#gid=884617569"",""S3 Totals!$A$2:$O$255""),7,FALSE)"),0.0)</f>
        <v>0</v>
      </c>
      <c r="K75" s="15">
        <f>IFERROR(__xludf.DUMMYFUNCTION("VLOOKUP(A75,IMPORTRANGE(""1QZ5UxyNCwadreQAXnQ7oCoH982DjIA-QnZdO7ZoqkC0/edit#gid=884617569"",""S3 Totals!$A$2:$O$255""),8,FALSE)"),0.0)</f>
        <v>0</v>
      </c>
      <c r="L75" s="110">
        <f t="shared" si="5"/>
        <v>0.1621621622</v>
      </c>
      <c r="M75" s="16">
        <f>IFERROR(__xludf.DUMMYFUNCTION("VLOOKUP(A75,IMPORTRANGE(""1QZ5UxyNCwadreQAXnQ7oCoH982DjIA-QnZdO7ZoqkC0/edit#gid=884617569"",""S3 Totals!$A$2:$O$255""),10,FALSE)"),0.0)</f>
        <v>0</v>
      </c>
      <c r="N75" s="15">
        <f>IFERROR(__xludf.DUMMYFUNCTION("VLOOKUP(A75,IMPORTRANGE(""1QZ5UxyNCwadreQAXnQ7oCoH982DjIA-QnZdO7ZoqkC0/edit#gid=884617569"",""S3 Totals!$A$2:$O$255""),11,FALSE)"),0.0)</f>
        <v>0</v>
      </c>
      <c r="O75" s="110">
        <f t="shared" si="3"/>
        <v>0.1232876712</v>
      </c>
      <c r="P75" s="16" t="str">
        <f>IFERROR(__xludf.DUMMYFUNCTION("VLOOKUP(A75,IMPORTRANGE(""1QZ5UxyNCwadreQAXnQ7oCoH982DjIA-QnZdO7ZoqkC0/edit#gid=884617569"",""S3 Totals!$A$2:$O$255""),13,FALSE)"),"")</f>
        <v/>
      </c>
      <c r="Q75" s="15" t="str">
        <f>IFERROR(__xludf.DUMMYFUNCTION("VLOOKUP(A75,IMPORTRANGE(""1QZ5UxyNCwadreQAXnQ7oCoH982DjIA-QnZdO7ZoqkC0/edit#gid=884617569"",""S3 Totals!$A$2:$O$255""),14,FALSE)"),"")</f>
        <v/>
      </c>
      <c r="R75" s="110">
        <f t="shared" si="4"/>
        <v>0.1232876712</v>
      </c>
      <c r="S75" s="144"/>
    </row>
    <row r="76">
      <c r="A76" s="128" t="s">
        <v>299</v>
      </c>
      <c r="B76" s="16">
        <f>IFERROR(__xludf.DUMMYFUNCTION("VLOOKUP(A76,IMPORTRANGE(""1aFCnJY1qhIj8-JckJhDJ18aqmVo17tofpQmOjcYa3u8/edit#gid=1878241338"",""S3 Totals!$A$2:$O$255""),2,FALSE)"),0.0)</f>
        <v>0</v>
      </c>
      <c r="C76" s="15">
        <f>IFERROR(__xludf.DUMMYFUNCTION("VLOOKUP(A76,IMPORTRANGE(""1aFCnJY1qhIj8-JckJhDJ18aqmVo17tofpQmOjcYa3u8/edit#gid=1878241338"",""S3 Totals!$A$2:$O$255""),3,FALSE)"),0.0)</f>
        <v>0</v>
      </c>
      <c r="D76" s="16">
        <f>IFERROR(__xludf.DUMMYFUNCTION("VLOOKUP(A76,IMPORTRANGE(""1QZ5UxyNCwadreQAXnQ7oCoH982DjIA-QnZdO7ZoqkC0/edit#gid=884617569"",""S3 Totals!$A$2:$O$255""),2,FALSE)"),0.0)</f>
        <v>0</v>
      </c>
      <c r="E76" s="15">
        <f>IFERROR(__xludf.DUMMYFUNCTION("VLOOKUP(A76,IMPORTRANGE(""1QZ5UxyNCwadreQAXnQ7oCoH982DjIA-QnZdO7ZoqkC0/edit#gid=884617569"",""S3 Totals!$A$2:$O$255""),3,FALSE)"),0.0)</f>
        <v>0</v>
      </c>
      <c r="F76" s="15">
        <f t="shared" si="1"/>
        <v>0</v>
      </c>
      <c r="G76" s="16">
        <f>IFERROR(__xludf.DUMMYFUNCTION("VLOOKUP(A76,IMPORTRANGE(""1QZ5UxyNCwadreQAXnQ7oCoH982DjIA-QnZdO7ZoqkC0/edit#gid=884617569"",""S3 Totals!$A$2:$O$255""),4,FALSE)"),0.0)</f>
        <v>0</v>
      </c>
      <c r="H76" s="15">
        <f>IFERROR(__xludf.DUMMYFUNCTION("VLOOKUP(A76,IMPORTRANGE(""1QZ5UxyNCwadreQAXnQ7oCoH982DjIA-QnZdO7ZoqkC0/edit#gid=884617569"",""S3 Totals!$A$2:$O$255""),5,FALSE)"),0.0)</f>
        <v>0</v>
      </c>
      <c r="I76" s="143">
        <f t="shared" si="2"/>
        <v>0</v>
      </c>
      <c r="J76" s="16">
        <f>IFERROR(__xludf.DUMMYFUNCTION("VLOOKUP(A76,IMPORTRANGE(""1QZ5UxyNCwadreQAXnQ7oCoH982DjIA-QnZdO7ZoqkC0/edit#gid=884617569"",""S3 Totals!$A$2:$O$255""),7,FALSE)"),0.0)</f>
        <v>0</v>
      </c>
      <c r="K76" s="15">
        <f>IFERROR(__xludf.DUMMYFUNCTION("VLOOKUP(A76,IMPORTRANGE(""1QZ5UxyNCwadreQAXnQ7oCoH982DjIA-QnZdO7ZoqkC0/edit#gid=884617569"",""S3 Totals!$A$2:$O$255""),8,FALSE)"),0.0)</f>
        <v>0</v>
      </c>
      <c r="L76" s="110">
        <f t="shared" si="5"/>
        <v>0</v>
      </c>
      <c r="M76" s="16" t="str">
        <f>IFERROR(__xludf.DUMMYFUNCTION("VLOOKUP(A76,IMPORTRANGE(""1QZ5UxyNCwadreQAXnQ7oCoH982DjIA-QnZdO7ZoqkC0/edit#gid=884617569"",""S3 Totals!$A$2:$O$255""),10,FALSE)"),"")</f>
        <v/>
      </c>
      <c r="N76" s="15" t="str">
        <f>IFERROR(__xludf.DUMMYFUNCTION("VLOOKUP(A76,IMPORTRANGE(""1QZ5UxyNCwadreQAXnQ7oCoH982DjIA-QnZdO7ZoqkC0/edit#gid=884617569"",""S3 Totals!$A$2:$O$255""),11,FALSE)"),"")</f>
        <v/>
      </c>
      <c r="O76" s="110">
        <f t="shared" si="3"/>
        <v>0</v>
      </c>
      <c r="P76" s="16" t="str">
        <f>IFERROR(__xludf.DUMMYFUNCTION("VLOOKUP(A76,IMPORTRANGE(""1QZ5UxyNCwadreQAXnQ7oCoH982DjIA-QnZdO7ZoqkC0/edit#gid=884617569"",""S3 Totals!$A$2:$O$255""),13,FALSE)"),"")</f>
        <v/>
      </c>
      <c r="Q76" s="15" t="str">
        <f>IFERROR(__xludf.DUMMYFUNCTION("VLOOKUP(A76,IMPORTRANGE(""1QZ5UxyNCwadreQAXnQ7oCoH982DjIA-QnZdO7ZoqkC0/edit#gid=884617569"",""S3 Totals!$A$2:$O$255""),14,FALSE)"),"")</f>
        <v/>
      </c>
      <c r="R76" s="110">
        <f t="shared" si="4"/>
        <v>0</v>
      </c>
      <c r="S76" s="144"/>
    </row>
    <row r="77">
      <c r="A77" s="128" t="s">
        <v>47</v>
      </c>
      <c r="B77" s="16">
        <f>IFERROR(__xludf.DUMMYFUNCTION("VLOOKUP(A77,IMPORTRANGE(""1aFCnJY1qhIj8-JckJhDJ18aqmVo17tofpQmOjcYa3u8/edit#gid=1878241338"",""S3 Totals!$A$2:$O$255""),2,FALSE)"),60.0)</f>
        <v>60</v>
      </c>
      <c r="C77" s="15">
        <f>IFERROR(__xludf.DUMMYFUNCTION("VLOOKUP(A77,IMPORTRANGE(""1aFCnJY1qhIj8-JckJhDJ18aqmVo17tofpQmOjcYa3u8/edit#gid=1878241338"",""S3 Totals!$A$2:$O$255""),3,FALSE)"),0.821917808219178)</f>
        <v>0.8219178082</v>
      </c>
      <c r="D77" s="16">
        <f>IFERROR(__xludf.DUMMYFUNCTION("VLOOKUP(A77,IMPORTRANGE(""1QZ5UxyNCwadreQAXnQ7oCoH982DjIA-QnZdO7ZoqkC0/edit#gid=884617569"",""S3 Totals!$A$2:$O$255""),2,FALSE)"),58.0)</f>
        <v>58</v>
      </c>
      <c r="E77" s="15">
        <f>IFERROR(__xludf.DUMMYFUNCTION("VLOOKUP(A77,IMPORTRANGE(""1QZ5UxyNCwadreQAXnQ7oCoH982DjIA-QnZdO7ZoqkC0/edit#gid=884617569"",""S3 Totals!$A$2:$O$255""),3,FALSE)"),0.7837837837837838)</f>
        <v>0.7837837838</v>
      </c>
      <c r="F77" s="15">
        <f t="shared" si="1"/>
        <v>0.03813402444</v>
      </c>
      <c r="G77" s="16">
        <f>IFERROR(__xludf.DUMMYFUNCTION("VLOOKUP(A77,IMPORTRANGE(""1QZ5UxyNCwadreQAXnQ7oCoH982DjIA-QnZdO7ZoqkC0/edit#gid=884617569"",""S3 Totals!$A$2:$O$255""),4,FALSE)"),45.0)</f>
        <v>45</v>
      </c>
      <c r="H77" s="15">
        <f>IFERROR(__xludf.DUMMYFUNCTION("VLOOKUP(A77,IMPORTRANGE(""1QZ5UxyNCwadreQAXnQ7oCoH982DjIA-QnZdO7ZoqkC0/edit#gid=884617569"",""S3 Totals!$A$2:$O$255""),5,FALSE)"),0.569620253164557)</f>
        <v>0.5696202532</v>
      </c>
      <c r="I77" s="143">
        <f t="shared" si="2"/>
        <v>0.2522975551</v>
      </c>
      <c r="J77" s="16">
        <f>IFERROR(__xludf.DUMMYFUNCTION("VLOOKUP(A77,IMPORTRANGE(""1QZ5UxyNCwadreQAXnQ7oCoH982DjIA-QnZdO7ZoqkC0/edit#gid=884617569"",""S3 Totals!$A$2:$O$255""),7,FALSE)"),0.0)</f>
        <v>0</v>
      </c>
      <c r="K77" s="15">
        <f>IFERROR(__xludf.DUMMYFUNCTION("VLOOKUP(A77,IMPORTRANGE(""1QZ5UxyNCwadreQAXnQ7oCoH982DjIA-QnZdO7ZoqkC0/edit#gid=884617569"",""S3 Totals!$A$2:$O$255""),8,FALSE)"),0.0)</f>
        <v>0</v>
      </c>
      <c r="L77" s="110">
        <f t="shared" si="5"/>
        <v>0.7837837838</v>
      </c>
      <c r="M77" s="16">
        <f>IFERROR(__xludf.DUMMYFUNCTION("VLOOKUP(A77,IMPORTRANGE(""1QZ5UxyNCwadreQAXnQ7oCoH982DjIA-QnZdO7ZoqkC0/edit#gid=884617569"",""S3 Totals!$A$2:$O$255""),10,FALSE)"),0.0)</f>
        <v>0</v>
      </c>
      <c r="N77" s="15">
        <f>IFERROR(__xludf.DUMMYFUNCTION("VLOOKUP(A77,IMPORTRANGE(""1QZ5UxyNCwadreQAXnQ7oCoH982DjIA-QnZdO7ZoqkC0/edit#gid=884617569"",""S3 Totals!$A$2:$O$255""),11,FALSE)"),0.0)</f>
        <v>0</v>
      </c>
      <c r="O77" s="110">
        <f t="shared" si="3"/>
        <v>0.8219178082</v>
      </c>
      <c r="P77" s="16">
        <f>IFERROR(__xludf.DUMMYFUNCTION("VLOOKUP(A77,IMPORTRANGE(""1QZ5UxyNCwadreQAXnQ7oCoH982DjIA-QnZdO7ZoqkC0/edit#gid=884617569"",""S3 Totals!$A$2:$O$255""),13,FALSE)"),0.0)</f>
        <v>0</v>
      </c>
      <c r="Q77" s="15">
        <f>IFERROR(__xludf.DUMMYFUNCTION("VLOOKUP(A77,IMPORTRANGE(""1QZ5UxyNCwadreQAXnQ7oCoH982DjIA-QnZdO7ZoqkC0/edit#gid=884617569"",""S3 Totals!$A$2:$O$255""),14,FALSE)"),0.0)</f>
        <v>0</v>
      </c>
      <c r="R77" s="110">
        <f t="shared" si="4"/>
        <v>0.8219178082</v>
      </c>
      <c r="S77" s="144"/>
    </row>
    <row r="78">
      <c r="A78" s="128" t="s">
        <v>48</v>
      </c>
      <c r="B78" s="16">
        <f>IFERROR(__xludf.DUMMYFUNCTION("VLOOKUP(A78,IMPORTRANGE(""1aFCnJY1qhIj8-JckJhDJ18aqmVo17tofpQmOjcYa3u8/edit#gid=1878241338"",""S3 Totals!$A$2:$O$255""),2,FALSE)"),60.0)</f>
        <v>60</v>
      </c>
      <c r="C78" s="15">
        <f>IFERROR(__xludf.DUMMYFUNCTION("VLOOKUP(A78,IMPORTRANGE(""1aFCnJY1qhIj8-JckJhDJ18aqmVo17tofpQmOjcYa3u8/edit#gid=1878241338"",""S3 Totals!$A$2:$O$255""),3,FALSE)"),0.821917808219178)</f>
        <v>0.8219178082</v>
      </c>
      <c r="D78" s="16">
        <f>IFERROR(__xludf.DUMMYFUNCTION("VLOOKUP(A78,IMPORTRANGE(""1QZ5UxyNCwadreQAXnQ7oCoH982DjIA-QnZdO7ZoqkC0/edit#gid=884617569"",""S3 Totals!$A$2:$O$255""),2,FALSE)"),68.0)</f>
        <v>68</v>
      </c>
      <c r="E78" s="15">
        <f>IFERROR(__xludf.DUMMYFUNCTION("VLOOKUP(A78,IMPORTRANGE(""1QZ5UxyNCwadreQAXnQ7oCoH982DjIA-QnZdO7ZoqkC0/edit#gid=884617569"",""S3 Totals!$A$2:$O$255""),3,FALSE)"),0.918918918918919)</f>
        <v>0.9189189189</v>
      </c>
      <c r="F78" s="15">
        <f t="shared" si="1"/>
        <v>-0.0970011107</v>
      </c>
      <c r="G78" s="16">
        <f>IFERROR(__xludf.DUMMYFUNCTION("VLOOKUP(A78,IMPORTRANGE(""1QZ5UxyNCwadreQAXnQ7oCoH982DjIA-QnZdO7ZoqkC0/edit#gid=884617569"",""S3 Totals!$A$2:$O$255""),4,FALSE)"),65.0)</f>
        <v>65</v>
      </c>
      <c r="H78" s="15">
        <f>IFERROR(__xludf.DUMMYFUNCTION("VLOOKUP(A78,IMPORTRANGE(""1QZ5UxyNCwadreQAXnQ7oCoH982DjIA-QnZdO7ZoqkC0/edit#gid=884617569"",""S3 Totals!$A$2:$O$255""),5,FALSE)"),0.8227848101265823)</f>
        <v>0.8227848101</v>
      </c>
      <c r="I78" s="143">
        <f t="shared" si="2"/>
        <v>-0.0008670019074</v>
      </c>
      <c r="J78" s="16">
        <f>IFERROR(__xludf.DUMMYFUNCTION("VLOOKUP(A78,IMPORTRANGE(""1QZ5UxyNCwadreQAXnQ7oCoH982DjIA-QnZdO7ZoqkC0/edit#gid=884617569"",""S3 Totals!$A$2:$O$255""),7,FALSE)"),62.0)</f>
        <v>62</v>
      </c>
      <c r="K78" s="15">
        <f>IFERROR(__xludf.DUMMYFUNCTION("VLOOKUP(A78,IMPORTRANGE(""1QZ5UxyNCwadreQAXnQ7oCoH982DjIA-QnZdO7ZoqkC0/edit#gid=884617569"",""S3 Totals!$A$2:$O$255""),8,FALSE)"),0.7294117647058823)</f>
        <v>0.7294117647</v>
      </c>
      <c r="L78" s="110">
        <f t="shared" si="5"/>
        <v>0.1895071542</v>
      </c>
      <c r="M78" s="16">
        <f>IFERROR(__xludf.DUMMYFUNCTION("VLOOKUP(A78,IMPORTRANGE(""1QZ5UxyNCwadreQAXnQ7oCoH982DjIA-QnZdO7ZoqkC0/edit#gid=884617569"",""S3 Totals!$A$2:$O$255""),10,FALSE)"),41.0)</f>
        <v>41</v>
      </c>
      <c r="N78" s="15">
        <f>IFERROR(__xludf.DUMMYFUNCTION("VLOOKUP(A78,IMPORTRANGE(""1QZ5UxyNCwadreQAXnQ7oCoH982DjIA-QnZdO7ZoqkC0/edit#gid=884617569"",""S3 Totals!$A$2:$O$255""),11,FALSE)"),0.4823529411764706)</f>
        <v>0.4823529412</v>
      </c>
      <c r="O78" s="110">
        <f t="shared" si="3"/>
        <v>0.339564867</v>
      </c>
      <c r="P78" s="16">
        <f>IFERROR(__xludf.DUMMYFUNCTION("VLOOKUP(A78,IMPORTRANGE(""1QZ5UxyNCwadreQAXnQ7oCoH982DjIA-QnZdO7ZoqkC0/edit#gid=884617569"",""S3 Totals!$A$2:$O$255""),13,FALSE)"),19.0)</f>
        <v>19</v>
      </c>
      <c r="Q78" s="15">
        <f>IFERROR(__xludf.DUMMYFUNCTION("VLOOKUP(A78,IMPORTRANGE(""1QZ5UxyNCwadreQAXnQ7oCoH982DjIA-QnZdO7ZoqkC0/edit#gid=884617569"",""S3 Totals!$A$2:$O$255""),14,FALSE)"),0.2235294117647059)</f>
        <v>0.2235294118</v>
      </c>
      <c r="R78" s="110">
        <f t="shared" si="4"/>
        <v>0.5983883965</v>
      </c>
      <c r="S78" s="144"/>
    </row>
    <row r="79">
      <c r="A79" s="128" t="s">
        <v>71</v>
      </c>
      <c r="B79" s="16">
        <f>IFERROR(__xludf.DUMMYFUNCTION("VLOOKUP(A79,IMPORTRANGE(""1aFCnJY1qhIj8-JckJhDJ18aqmVo17tofpQmOjcYa3u8/edit#gid=1878241338"",""S3 Totals!$A$2:$O$255""),2,FALSE)"),0.0)</f>
        <v>0</v>
      </c>
      <c r="C79" s="15">
        <f>IFERROR(__xludf.DUMMYFUNCTION("VLOOKUP(A79,IMPORTRANGE(""1aFCnJY1qhIj8-JckJhDJ18aqmVo17tofpQmOjcYa3u8/edit#gid=1878241338"",""S3 Totals!$A$2:$O$255""),3,FALSE)"),0.0)</f>
        <v>0</v>
      </c>
      <c r="D79" s="16">
        <f>IFERROR(__xludf.DUMMYFUNCTION("VLOOKUP(A79,IMPORTRANGE(""1QZ5UxyNCwadreQAXnQ7oCoH982DjIA-QnZdO7ZoqkC0/edit#gid=884617569"",""S3 Totals!$A$2:$O$255""),2,FALSE)"),0.0)</f>
        <v>0</v>
      </c>
      <c r="E79" s="15">
        <f>IFERROR(__xludf.DUMMYFUNCTION("VLOOKUP(A79,IMPORTRANGE(""1QZ5UxyNCwadreQAXnQ7oCoH982DjIA-QnZdO7ZoqkC0/edit#gid=884617569"",""S3 Totals!$A$2:$O$255""),3,FALSE)"),0.0)</f>
        <v>0</v>
      </c>
      <c r="F79" s="15">
        <f t="shared" si="1"/>
        <v>0</v>
      </c>
      <c r="G79" s="16">
        <f>IFERROR(__xludf.DUMMYFUNCTION("VLOOKUP(A79,IMPORTRANGE(""1QZ5UxyNCwadreQAXnQ7oCoH982DjIA-QnZdO7ZoqkC0/edit#gid=884617569"",""S3 Totals!$A$2:$O$255""),4,FALSE)"),0.0)</f>
        <v>0</v>
      </c>
      <c r="H79" s="15">
        <f>IFERROR(__xludf.DUMMYFUNCTION("VLOOKUP(A79,IMPORTRANGE(""1QZ5UxyNCwadreQAXnQ7oCoH982DjIA-QnZdO7ZoqkC0/edit#gid=884617569"",""S3 Totals!$A$2:$O$255""),5,FALSE)"),0.0)</f>
        <v>0</v>
      </c>
      <c r="I79" s="143">
        <f t="shared" si="2"/>
        <v>0</v>
      </c>
      <c r="J79" s="16">
        <f>IFERROR(__xludf.DUMMYFUNCTION("VLOOKUP(A79,IMPORTRANGE(""1QZ5UxyNCwadreQAXnQ7oCoH982DjIA-QnZdO7ZoqkC0/edit#gid=884617569"",""S3 Totals!$A$2:$O$255""),7,FALSE)"),0.0)</f>
        <v>0</v>
      </c>
      <c r="K79" s="15">
        <f>IFERROR(__xludf.DUMMYFUNCTION("VLOOKUP(A79,IMPORTRANGE(""1QZ5UxyNCwadreQAXnQ7oCoH982DjIA-QnZdO7ZoqkC0/edit#gid=884617569"",""S3 Totals!$A$2:$O$255""),8,FALSE)"),0.0)</f>
        <v>0</v>
      </c>
      <c r="L79" s="110">
        <f t="shared" si="5"/>
        <v>0</v>
      </c>
      <c r="M79" s="16">
        <f>IFERROR(__xludf.DUMMYFUNCTION("VLOOKUP(A79,IMPORTRANGE(""1QZ5UxyNCwadreQAXnQ7oCoH982DjIA-QnZdO7ZoqkC0/edit#gid=884617569"",""S3 Totals!$A$2:$O$255""),10,FALSE)"),0.0)</f>
        <v>0</v>
      </c>
      <c r="N79" s="15">
        <f>IFERROR(__xludf.DUMMYFUNCTION("VLOOKUP(A79,IMPORTRANGE(""1QZ5UxyNCwadreQAXnQ7oCoH982DjIA-QnZdO7ZoqkC0/edit#gid=884617569"",""S3 Totals!$A$2:$O$255""),11,FALSE)"),0.0)</f>
        <v>0</v>
      </c>
      <c r="O79" s="110">
        <f t="shared" si="3"/>
        <v>0</v>
      </c>
      <c r="P79" s="16">
        <f>IFERROR(__xludf.DUMMYFUNCTION("VLOOKUP(A79,IMPORTRANGE(""1QZ5UxyNCwadreQAXnQ7oCoH982DjIA-QnZdO7ZoqkC0/edit#gid=884617569"",""S3 Totals!$A$2:$O$255""),13,FALSE)"),0.0)</f>
        <v>0</v>
      </c>
      <c r="Q79" s="15">
        <f>IFERROR(__xludf.DUMMYFUNCTION("VLOOKUP(A79,IMPORTRANGE(""1QZ5UxyNCwadreQAXnQ7oCoH982DjIA-QnZdO7ZoqkC0/edit#gid=884617569"",""S3 Totals!$A$2:$O$255""),14,FALSE)"),0.0)</f>
        <v>0</v>
      </c>
      <c r="R79" s="110">
        <f t="shared" si="4"/>
        <v>0</v>
      </c>
      <c r="S79" s="144"/>
    </row>
    <row r="80">
      <c r="A80" s="128" t="s">
        <v>126</v>
      </c>
      <c r="B80" s="16">
        <f>IFERROR(__xludf.DUMMYFUNCTION("VLOOKUP(A80,IMPORTRANGE(""1aFCnJY1qhIj8-JckJhDJ18aqmVo17tofpQmOjcYa3u8/edit#gid=1878241338"",""S3 Totals!$A$2:$O$255""),2,FALSE)"),0.0)</f>
        <v>0</v>
      </c>
      <c r="C80" s="15">
        <f>IFERROR(__xludf.DUMMYFUNCTION("VLOOKUP(A80,IMPORTRANGE(""1aFCnJY1qhIj8-JckJhDJ18aqmVo17tofpQmOjcYa3u8/edit#gid=1878241338"",""S3 Totals!$A$2:$O$255""),3,FALSE)"),0.0)</f>
        <v>0</v>
      </c>
      <c r="D80" s="16">
        <f>IFERROR(__xludf.DUMMYFUNCTION("VLOOKUP(A80,IMPORTRANGE(""1QZ5UxyNCwadreQAXnQ7oCoH982DjIA-QnZdO7ZoqkC0/edit#gid=884617569"",""S3 Totals!$A$2:$O$255""),2,FALSE)"),0.0)</f>
        <v>0</v>
      </c>
      <c r="E80" s="15">
        <f>IFERROR(__xludf.DUMMYFUNCTION("VLOOKUP(A80,IMPORTRANGE(""1QZ5UxyNCwadreQAXnQ7oCoH982DjIA-QnZdO7ZoqkC0/edit#gid=884617569"",""S3 Totals!$A$2:$O$255""),3,FALSE)"),0.0)</f>
        <v>0</v>
      </c>
      <c r="F80" s="15">
        <f t="shared" si="1"/>
        <v>0</v>
      </c>
      <c r="G80" s="16">
        <f>IFERROR(__xludf.DUMMYFUNCTION("VLOOKUP(A80,IMPORTRANGE(""1QZ5UxyNCwadreQAXnQ7oCoH982DjIA-QnZdO7ZoqkC0/edit#gid=884617569"",""S3 Totals!$A$2:$O$255""),4,FALSE)"),0.0)</f>
        <v>0</v>
      </c>
      <c r="H80" s="15">
        <f>IFERROR(__xludf.DUMMYFUNCTION("VLOOKUP(A80,IMPORTRANGE(""1QZ5UxyNCwadreQAXnQ7oCoH982DjIA-QnZdO7ZoqkC0/edit#gid=884617569"",""S3 Totals!$A$2:$O$255""),5,FALSE)"),0.0)</f>
        <v>0</v>
      </c>
      <c r="I80" s="143">
        <f t="shared" si="2"/>
        <v>0</v>
      </c>
      <c r="J80" s="16">
        <f>IFERROR(__xludf.DUMMYFUNCTION("VLOOKUP(A80,IMPORTRANGE(""1QZ5UxyNCwadreQAXnQ7oCoH982DjIA-QnZdO7ZoqkC0/edit#gid=884617569"",""S3 Totals!$A$2:$O$255""),7,FALSE)"),0.0)</f>
        <v>0</v>
      </c>
      <c r="K80" s="15">
        <f>IFERROR(__xludf.DUMMYFUNCTION("VLOOKUP(A80,IMPORTRANGE(""1QZ5UxyNCwadreQAXnQ7oCoH982DjIA-QnZdO7ZoqkC0/edit#gid=884617569"",""S3 Totals!$A$2:$O$255""),8,FALSE)"),0.0)</f>
        <v>0</v>
      </c>
      <c r="L80" s="110">
        <f t="shared" si="5"/>
        <v>0</v>
      </c>
      <c r="M80" s="16">
        <f>IFERROR(__xludf.DUMMYFUNCTION("VLOOKUP(A80,IMPORTRANGE(""1QZ5UxyNCwadreQAXnQ7oCoH982DjIA-QnZdO7ZoqkC0/edit#gid=884617569"",""S3 Totals!$A$2:$O$255""),10,FALSE)"),0.0)</f>
        <v>0</v>
      </c>
      <c r="N80" s="15">
        <f>IFERROR(__xludf.DUMMYFUNCTION("VLOOKUP(A80,IMPORTRANGE(""1QZ5UxyNCwadreQAXnQ7oCoH982DjIA-QnZdO7ZoqkC0/edit#gid=884617569"",""S3 Totals!$A$2:$O$255""),11,FALSE)"),0.0)</f>
        <v>0</v>
      </c>
      <c r="O80" s="110">
        <f t="shared" si="3"/>
        <v>0</v>
      </c>
      <c r="P80" s="16" t="str">
        <f>IFERROR(__xludf.DUMMYFUNCTION("VLOOKUP(A80,IMPORTRANGE(""1QZ5UxyNCwadreQAXnQ7oCoH982DjIA-QnZdO7ZoqkC0/edit#gid=884617569"",""S3 Totals!$A$2:$O$255""),13,FALSE)"),"")</f>
        <v/>
      </c>
      <c r="Q80" s="15" t="str">
        <f>IFERROR(__xludf.DUMMYFUNCTION("VLOOKUP(A80,IMPORTRANGE(""1QZ5UxyNCwadreQAXnQ7oCoH982DjIA-QnZdO7ZoqkC0/edit#gid=884617569"",""S3 Totals!$A$2:$O$255""),14,FALSE)"),"")</f>
        <v/>
      </c>
      <c r="R80" s="110">
        <f t="shared" si="4"/>
        <v>0</v>
      </c>
      <c r="S80" s="144"/>
    </row>
    <row r="81">
      <c r="A81" s="128" t="s">
        <v>174</v>
      </c>
      <c r="B81" s="16">
        <f>IFERROR(__xludf.DUMMYFUNCTION("VLOOKUP(A81,IMPORTRANGE(""1aFCnJY1qhIj8-JckJhDJ18aqmVo17tofpQmOjcYa3u8/edit#gid=1878241338"",""S3 Totals!$A$2:$O$255""),2,FALSE)"),1.0)</f>
        <v>1</v>
      </c>
      <c r="C81" s="15">
        <f>IFERROR(__xludf.DUMMYFUNCTION("VLOOKUP(A81,IMPORTRANGE(""1aFCnJY1qhIj8-JckJhDJ18aqmVo17tofpQmOjcYa3u8/edit#gid=1878241338"",""S3 Totals!$A$2:$O$255""),3,FALSE)"),0.0136986301369863)</f>
        <v>0.01369863014</v>
      </c>
      <c r="D81" s="16">
        <f>IFERROR(__xludf.DUMMYFUNCTION("VLOOKUP(A81,IMPORTRANGE(""1QZ5UxyNCwadreQAXnQ7oCoH982DjIA-QnZdO7ZoqkC0/edit#gid=884617569"",""S3 Totals!$A$2:$O$255""),2,FALSE)"),1.0)</f>
        <v>1</v>
      </c>
      <c r="E81" s="15">
        <f>IFERROR(__xludf.DUMMYFUNCTION("VLOOKUP(A81,IMPORTRANGE(""1QZ5UxyNCwadreQAXnQ7oCoH982DjIA-QnZdO7ZoqkC0/edit#gid=884617569"",""S3 Totals!$A$2:$O$255""),3,FALSE)"),0.013513513513513514)</f>
        <v>0.01351351351</v>
      </c>
      <c r="F81" s="15">
        <f t="shared" si="1"/>
        <v>0.0001851166235</v>
      </c>
      <c r="G81" s="16">
        <f>IFERROR(__xludf.DUMMYFUNCTION("VLOOKUP(A81,IMPORTRANGE(""1QZ5UxyNCwadreQAXnQ7oCoH982DjIA-QnZdO7ZoqkC0/edit#gid=884617569"",""S3 Totals!$A$2:$O$255""),4,FALSE)"),1.0)</f>
        <v>1</v>
      </c>
      <c r="H81" s="15">
        <f>IFERROR(__xludf.DUMMYFUNCTION("VLOOKUP(A81,IMPORTRANGE(""1QZ5UxyNCwadreQAXnQ7oCoH982DjIA-QnZdO7ZoqkC0/edit#gid=884617569"",""S3 Totals!$A$2:$O$255""),5,FALSE)"),0.012658227848101266)</f>
        <v>0.01265822785</v>
      </c>
      <c r="I81" s="143">
        <f t="shared" si="2"/>
        <v>0.001040402289</v>
      </c>
      <c r="J81" s="16">
        <f>IFERROR(__xludf.DUMMYFUNCTION("VLOOKUP(A81,IMPORTRANGE(""1QZ5UxyNCwadreQAXnQ7oCoH982DjIA-QnZdO7ZoqkC0/edit#gid=884617569"",""S3 Totals!$A$2:$O$255""),7,FALSE)"),0.0)</f>
        <v>0</v>
      </c>
      <c r="K81" s="15">
        <f>IFERROR(__xludf.DUMMYFUNCTION("VLOOKUP(A81,IMPORTRANGE(""1QZ5UxyNCwadreQAXnQ7oCoH982DjIA-QnZdO7ZoqkC0/edit#gid=884617569"",""S3 Totals!$A$2:$O$255""),8,FALSE)"),0.0)</f>
        <v>0</v>
      </c>
      <c r="L81" s="110">
        <f t="shared" si="5"/>
        <v>0.01351351351</v>
      </c>
      <c r="M81" s="16" t="str">
        <f>IFERROR(__xludf.DUMMYFUNCTION("VLOOKUP(A81,IMPORTRANGE(""1QZ5UxyNCwadreQAXnQ7oCoH982DjIA-QnZdO7ZoqkC0/edit#gid=884617569"",""S3 Totals!$A$2:$O$255""),10,FALSE)"),"")</f>
        <v/>
      </c>
      <c r="N81" s="15" t="str">
        <f>IFERROR(__xludf.DUMMYFUNCTION("VLOOKUP(A81,IMPORTRANGE(""1QZ5UxyNCwadreQAXnQ7oCoH982DjIA-QnZdO7ZoqkC0/edit#gid=884617569"",""S3 Totals!$A$2:$O$255""),11,FALSE)"),"")</f>
        <v/>
      </c>
      <c r="O81" s="110">
        <f t="shared" si="3"/>
        <v>0.01369863014</v>
      </c>
      <c r="P81" s="16" t="str">
        <f>IFERROR(__xludf.DUMMYFUNCTION("VLOOKUP(A81,IMPORTRANGE(""1QZ5UxyNCwadreQAXnQ7oCoH982DjIA-QnZdO7ZoqkC0/edit#gid=884617569"",""S3 Totals!$A$2:$O$255""),13,FALSE)"),"")</f>
        <v/>
      </c>
      <c r="Q81" s="15" t="str">
        <f>IFERROR(__xludf.DUMMYFUNCTION("VLOOKUP(A81,IMPORTRANGE(""1QZ5UxyNCwadreQAXnQ7oCoH982DjIA-QnZdO7ZoqkC0/edit#gid=884617569"",""S3 Totals!$A$2:$O$255""),14,FALSE)"),"")</f>
        <v/>
      </c>
      <c r="R81" s="110">
        <f t="shared" si="4"/>
        <v>0.01369863014</v>
      </c>
      <c r="S81" s="144"/>
    </row>
    <row r="82">
      <c r="A82" s="128" t="s">
        <v>175</v>
      </c>
      <c r="B82" s="16">
        <f>IFERROR(__xludf.DUMMYFUNCTION("VLOOKUP(A82,IMPORTRANGE(""1aFCnJY1qhIj8-JckJhDJ18aqmVo17tofpQmOjcYa3u8/edit#gid=1878241338"",""S3 Totals!$A$2:$O$255""),2,FALSE)"),18.0)</f>
        <v>18</v>
      </c>
      <c r="C82" s="15">
        <f>IFERROR(__xludf.DUMMYFUNCTION("VLOOKUP(A82,IMPORTRANGE(""1aFCnJY1qhIj8-JckJhDJ18aqmVo17tofpQmOjcYa3u8/edit#gid=1878241338"",""S3 Totals!$A$2:$O$255""),3,FALSE)"),0.2465753424657534)</f>
        <v>0.2465753425</v>
      </c>
      <c r="D82" s="16">
        <f>IFERROR(__xludf.DUMMYFUNCTION("VLOOKUP(A82,IMPORTRANGE(""1QZ5UxyNCwadreQAXnQ7oCoH982DjIA-QnZdO7ZoqkC0/edit#gid=884617569"",""S3 Totals!$A$2:$O$255""),2,FALSE)"),20.0)</f>
        <v>20</v>
      </c>
      <c r="E82" s="15">
        <f>IFERROR(__xludf.DUMMYFUNCTION("VLOOKUP(A82,IMPORTRANGE(""1QZ5UxyNCwadreQAXnQ7oCoH982DjIA-QnZdO7ZoqkC0/edit#gid=884617569"",""S3 Totals!$A$2:$O$255""),3,FALSE)"),0.2702702702702703)</f>
        <v>0.2702702703</v>
      </c>
      <c r="F82" s="15">
        <f t="shared" si="1"/>
        <v>-0.0236949278</v>
      </c>
      <c r="G82" s="16">
        <f>IFERROR(__xludf.DUMMYFUNCTION("VLOOKUP(A82,IMPORTRANGE(""1QZ5UxyNCwadreQAXnQ7oCoH982DjIA-QnZdO7ZoqkC0/edit#gid=884617569"",""S3 Totals!$A$2:$O$255""),4,FALSE)"),21.0)</f>
        <v>21</v>
      </c>
      <c r="H82" s="15">
        <f>IFERROR(__xludf.DUMMYFUNCTION("VLOOKUP(A82,IMPORTRANGE(""1QZ5UxyNCwadreQAXnQ7oCoH982DjIA-QnZdO7ZoqkC0/edit#gid=884617569"",""S3 Totals!$A$2:$O$255""),5,FALSE)"),0.26582278481012656)</f>
        <v>0.2658227848</v>
      </c>
      <c r="I82" s="143">
        <f t="shared" si="2"/>
        <v>-0.01924744234</v>
      </c>
      <c r="J82" s="16">
        <f>IFERROR(__xludf.DUMMYFUNCTION("VLOOKUP(A82,IMPORTRANGE(""1QZ5UxyNCwadreQAXnQ7oCoH982DjIA-QnZdO7ZoqkC0/edit#gid=884617569"",""S3 Totals!$A$2:$O$255""),7,FALSE)"),0.0)</f>
        <v>0</v>
      </c>
      <c r="K82" s="15">
        <f>IFERROR(__xludf.DUMMYFUNCTION("VLOOKUP(A82,IMPORTRANGE(""1QZ5UxyNCwadreQAXnQ7oCoH982DjIA-QnZdO7ZoqkC0/edit#gid=884617569"",""S3 Totals!$A$2:$O$255""),8,FALSE)"),0.0)</f>
        <v>0</v>
      </c>
      <c r="L82" s="110">
        <f t="shared" si="5"/>
        <v>0.2702702703</v>
      </c>
      <c r="M82" s="16" t="str">
        <f>IFERROR(__xludf.DUMMYFUNCTION("VLOOKUP(A82,IMPORTRANGE(""1QZ5UxyNCwadreQAXnQ7oCoH982DjIA-QnZdO7ZoqkC0/edit#gid=884617569"",""S3 Totals!$A$2:$O$255""),10,FALSE)"),"")</f>
        <v/>
      </c>
      <c r="N82" s="15" t="str">
        <f>IFERROR(__xludf.DUMMYFUNCTION("VLOOKUP(A82,IMPORTRANGE(""1QZ5UxyNCwadreQAXnQ7oCoH982DjIA-QnZdO7ZoqkC0/edit#gid=884617569"",""S3 Totals!$A$2:$O$255""),11,FALSE)"),"")</f>
        <v/>
      </c>
      <c r="O82" s="110">
        <f t="shared" si="3"/>
        <v>0.2465753425</v>
      </c>
      <c r="P82" s="16" t="str">
        <f>IFERROR(__xludf.DUMMYFUNCTION("VLOOKUP(A82,IMPORTRANGE(""1QZ5UxyNCwadreQAXnQ7oCoH982DjIA-QnZdO7ZoqkC0/edit#gid=884617569"",""S3 Totals!$A$2:$O$255""),13,FALSE)"),"")</f>
        <v/>
      </c>
      <c r="Q82" s="15" t="str">
        <f>IFERROR(__xludf.DUMMYFUNCTION("VLOOKUP(A82,IMPORTRANGE(""1QZ5UxyNCwadreQAXnQ7oCoH982DjIA-QnZdO7ZoqkC0/edit#gid=884617569"",""S3 Totals!$A$2:$O$255""),14,FALSE)"),"")</f>
        <v/>
      </c>
      <c r="R82" s="110">
        <f t="shared" si="4"/>
        <v>0.2465753425</v>
      </c>
      <c r="S82" s="144"/>
    </row>
    <row r="83">
      <c r="A83" s="128" t="s">
        <v>227</v>
      </c>
      <c r="B83" s="16">
        <f>IFERROR(__xludf.DUMMYFUNCTION("VLOOKUP(A83,IMPORTRANGE(""1aFCnJY1qhIj8-JckJhDJ18aqmVo17tofpQmOjcYa3u8/edit#gid=1878241338"",""S3 Totals!$A$2:$O$255""),2,FALSE)"),0.0)</f>
        <v>0</v>
      </c>
      <c r="C83" s="15">
        <f>IFERROR(__xludf.DUMMYFUNCTION("VLOOKUP(A83,IMPORTRANGE(""1aFCnJY1qhIj8-JckJhDJ18aqmVo17tofpQmOjcYa3u8/edit#gid=1878241338"",""S3 Totals!$A$2:$O$255""),3,FALSE)"),0.0)</f>
        <v>0</v>
      </c>
      <c r="D83" s="16">
        <f>IFERROR(__xludf.DUMMYFUNCTION("VLOOKUP(A83,IMPORTRANGE(""1QZ5UxyNCwadreQAXnQ7oCoH982DjIA-QnZdO7ZoqkC0/edit#gid=884617569"",""S3 Totals!$A$2:$O$255""),2,FALSE)"),0.0)</f>
        <v>0</v>
      </c>
      <c r="E83" s="15">
        <f>IFERROR(__xludf.DUMMYFUNCTION("VLOOKUP(A83,IMPORTRANGE(""1QZ5UxyNCwadreQAXnQ7oCoH982DjIA-QnZdO7ZoqkC0/edit#gid=884617569"",""S3 Totals!$A$2:$O$255""),3,FALSE)"),0.0)</f>
        <v>0</v>
      </c>
      <c r="F83" s="15">
        <f t="shared" si="1"/>
        <v>0</v>
      </c>
      <c r="G83" s="16">
        <f>IFERROR(__xludf.DUMMYFUNCTION("VLOOKUP(A83,IMPORTRANGE(""1QZ5UxyNCwadreQAXnQ7oCoH982DjIA-QnZdO7ZoqkC0/edit#gid=884617569"",""S3 Totals!$A$2:$O$255""),4,FALSE)"),0.0)</f>
        <v>0</v>
      </c>
      <c r="H83" s="15">
        <f>IFERROR(__xludf.DUMMYFUNCTION("VLOOKUP(A83,IMPORTRANGE(""1QZ5UxyNCwadreQAXnQ7oCoH982DjIA-QnZdO7ZoqkC0/edit#gid=884617569"",""S3 Totals!$A$2:$O$255""),5,FALSE)"),0.0)</f>
        <v>0</v>
      </c>
      <c r="I83" s="143">
        <f t="shared" si="2"/>
        <v>0</v>
      </c>
      <c r="J83" s="16" t="str">
        <f>IFERROR(__xludf.DUMMYFUNCTION("VLOOKUP(A83,IMPORTRANGE(""1QZ5UxyNCwadreQAXnQ7oCoH982DjIA-QnZdO7ZoqkC0/edit#gid=884617569"",""S3 Totals!$A$2:$O$255""),7,FALSE)"),"")</f>
        <v/>
      </c>
      <c r="K83" s="15" t="str">
        <f>IFERROR(__xludf.DUMMYFUNCTION("VLOOKUP(A83,IMPORTRANGE(""1QZ5UxyNCwadreQAXnQ7oCoH982DjIA-QnZdO7ZoqkC0/edit#gid=884617569"",""S3 Totals!$A$2:$O$255""),8,FALSE)"),"")</f>
        <v/>
      </c>
      <c r="L83" s="110">
        <f t="shared" si="5"/>
        <v>0</v>
      </c>
      <c r="M83" s="16" t="str">
        <f>IFERROR(__xludf.DUMMYFUNCTION("VLOOKUP(A83,IMPORTRANGE(""1QZ5UxyNCwadreQAXnQ7oCoH982DjIA-QnZdO7ZoqkC0/edit#gid=884617569"",""S3 Totals!$A$2:$O$255""),10,FALSE)"),"")</f>
        <v/>
      </c>
      <c r="N83" s="15" t="str">
        <f>IFERROR(__xludf.DUMMYFUNCTION("VLOOKUP(A83,IMPORTRANGE(""1QZ5UxyNCwadreQAXnQ7oCoH982DjIA-QnZdO7ZoqkC0/edit#gid=884617569"",""S3 Totals!$A$2:$O$255""),11,FALSE)"),"")</f>
        <v/>
      </c>
      <c r="O83" s="110">
        <f t="shared" si="3"/>
        <v>0</v>
      </c>
      <c r="P83" s="16" t="str">
        <f>IFERROR(__xludf.DUMMYFUNCTION("VLOOKUP(A83,IMPORTRANGE(""1QZ5UxyNCwadreQAXnQ7oCoH982DjIA-QnZdO7ZoqkC0/edit#gid=884617569"",""S3 Totals!$A$2:$O$255""),13,FALSE)"),"")</f>
        <v/>
      </c>
      <c r="Q83" s="15" t="str">
        <f>IFERROR(__xludf.DUMMYFUNCTION("VLOOKUP(A83,IMPORTRANGE(""1QZ5UxyNCwadreQAXnQ7oCoH982DjIA-QnZdO7ZoqkC0/edit#gid=884617569"",""S3 Totals!$A$2:$O$255""),14,FALSE)"),"")</f>
        <v/>
      </c>
      <c r="R83" s="110">
        <f t="shared" si="4"/>
        <v>0</v>
      </c>
      <c r="S83" s="144"/>
    </row>
    <row r="84">
      <c r="A84" s="128" t="s">
        <v>127</v>
      </c>
      <c r="B84" s="16">
        <f>IFERROR(__xludf.DUMMYFUNCTION("VLOOKUP(A84,IMPORTRANGE(""1aFCnJY1qhIj8-JckJhDJ18aqmVo17tofpQmOjcYa3u8/edit#gid=1878241338"",""S3 Totals!$A$2:$O$255""),2,FALSE)"),52.0)</f>
        <v>52</v>
      </c>
      <c r="C84" s="15">
        <f>IFERROR(__xludf.DUMMYFUNCTION("VLOOKUP(A84,IMPORTRANGE(""1aFCnJY1qhIj8-JckJhDJ18aqmVo17tofpQmOjcYa3u8/edit#gid=1878241338"",""S3 Totals!$A$2:$O$255""),3,FALSE)"),0.7123287671232876)</f>
        <v>0.7123287671</v>
      </c>
      <c r="D84" s="16">
        <f>IFERROR(__xludf.DUMMYFUNCTION("VLOOKUP(A84,IMPORTRANGE(""1QZ5UxyNCwadreQAXnQ7oCoH982DjIA-QnZdO7ZoqkC0/edit#gid=884617569"",""S3 Totals!$A$2:$O$255""),2,FALSE)"),49.0)</f>
        <v>49</v>
      </c>
      <c r="E84" s="15">
        <f>IFERROR(__xludf.DUMMYFUNCTION("VLOOKUP(A84,IMPORTRANGE(""1QZ5UxyNCwadreQAXnQ7oCoH982DjIA-QnZdO7ZoqkC0/edit#gid=884617569"",""S3 Totals!$A$2:$O$255""),3,FALSE)"),0.6621621621621622)</f>
        <v>0.6621621622</v>
      </c>
      <c r="F84" s="15">
        <f t="shared" si="1"/>
        <v>0.05016660496</v>
      </c>
      <c r="G84" s="16">
        <f>IFERROR(__xludf.DUMMYFUNCTION("VLOOKUP(A84,IMPORTRANGE(""1QZ5UxyNCwadreQAXnQ7oCoH982DjIA-QnZdO7ZoqkC0/edit#gid=884617569"",""S3 Totals!$A$2:$O$255""),4,FALSE)"),1.0)</f>
        <v>1</v>
      </c>
      <c r="H84" s="15">
        <f>IFERROR(__xludf.DUMMYFUNCTION("VLOOKUP(A84,IMPORTRANGE(""1QZ5UxyNCwadreQAXnQ7oCoH982DjIA-QnZdO7ZoqkC0/edit#gid=884617569"",""S3 Totals!$A$2:$O$255""),5,FALSE)"),0.012658227848101266)</f>
        <v>0.01265822785</v>
      </c>
      <c r="I84" s="143">
        <f t="shared" si="2"/>
        <v>0.6996705393</v>
      </c>
      <c r="J84" s="16">
        <f>IFERROR(__xludf.DUMMYFUNCTION("VLOOKUP(A84,IMPORTRANGE(""1QZ5UxyNCwadreQAXnQ7oCoH982DjIA-QnZdO7ZoqkC0/edit#gid=884617569"",""S3 Totals!$A$2:$O$255""),7,FALSE)"),1.0)</f>
        <v>1</v>
      </c>
      <c r="K84" s="15">
        <f>IFERROR(__xludf.DUMMYFUNCTION("VLOOKUP(A84,IMPORTRANGE(""1QZ5UxyNCwadreQAXnQ7oCoH982DjIA-QnZdO7ZoqkC0/edit#gid=884617569"",""S3 Totals!$A$2:$O$255""),8,FALSE)"),0.011764705882352941)</f>
        <v>0.01176470588</v>
      </c>
      <c r="L84" s="110">
        <f t="shared" si="5"/>
        <v>0.6503974563</v>
      </c>
      <c r="M84" s="16">
        <f>IFERROR(__xludf.DUMMYFUNCTION("VLOOKUP(A84,IMPORTRANGE(""1QZ5UxyNCwadreQAXnQ7oCoH982DjIA-QnZdO7ZoqkC0/edit#gid=884617569"",""S3 Totals!$A$2:$O$255""),10,FALSE)"),1.0)</f>
        <v>1</v>
      </c>
      <c r="N84" s="15">
        <f>IFERROR(__xludf.DUMMYFUNCTION("VLOOKUP(A84,IMPORTRANGE(""1QZ5UxyNCwadreQAXnQ7oCoH982DjIA-QnZdO7ZoqkC0/edit#gid=884617569"",""S3 Totals!$A$2:$O$255""),11,FALSE)"),0.011764705882352941)</f>
        <v>0.01176470588</v>
      </c>
      <c r="O84" s="110">
        <f t="shared" si="3"/>
        <v>0.7005640612</v>
      </c>
      <c r="P84" s="16" t="str">
        <f>IFERROR(__xludf.DUMMYFUNCTION("VLOOKUP(A84,IMPORTRANGE(""1QZ5UxyNCwadreQAXnQ7oCoH982DjIA-QnZdO7ZoqkC0/edit#gid=884617569"",""S3 Totals!$A$2:$O$255""),13,FALSE)"),"")</f>
        <v/>
      </c>
      <c r="Q84" s="15" t="str">
        <f>IFERROR(__xludf.DUMMYFUNCTION("VLOOKUP(A84,IMPORTRANGE(""1QZ5UxyNCwadreQAXnQ7oCoH982DjIA-QnZdO7ZoqkC0/edit#gid=884617569"",""S3 Totals!$A$2:$O$255""),14,FALSE)"),"")</f>
        <v/>
      </c>
      <c r="R84" s="110">
        <f t="shared" si="4"/>
        <v>0.7123287671</v>
      </c>
      <c r="S84" s="144"/>
    </row>
    <row r="85">
      <c r="A85" s="128" t="s">
        <v>228</v>
      </c>
      <c r="B85" s="16">
        <f>IFERROR(__xludf.DUMMYFUNCTION("VLOOKUP(A85,IMPORTRANGE(""1aFCnJY1qhIj8-JckJhDJ18aqmVo17tofpQmOjcYa3u8/edit#gid=1878241338"",""S3 Totals!$A$2:$O$255""),2,FALSE)"),1.0)</f>
        <v>1</v>
      </c>
      <c r="C85" s="15">
        <f>IFERROR(__xludf.DUMMYFUNCTION("VLOOKUP(A85,IMPORTRANGE(""1aFCnJY1qhIj8-JckJhDJ18aqmVo17tofpQmOjcYa3u8/edit#gid=1878241338"",""S3 Totals!$A$2:$O$255""),3,FALSE)"),0.0136986301369863)</f>
        <v>0.01369863014</v>
      </c>
      <c r="D85" s="16">
        <f>IFERROR(__xludf.DUMMYFUNCTION("VLOOKUP(A85,IMPORTRANGE(""1QZ5UxyNCwadreQAXnQ7oCoH982DjIA-QnZdO7ZoqkC0/edit#gid=884617569"",""S3 Totals!$A$2:$O$255""),2,FALSE)"),0.0)</f>
        <v>0</v>
      </c>
      <c r="E85" s="15">
        <f>IFERROR(__xludf.DUMMYFUNCTION("VLOOKUP(A85,IMPORTRANGE(""1QZ5UxyNCwadreQAXnQ7oCoH982DjIA-QnZdO7ZoqkC0/edit#gid=884617569"",""S3 Totals!$A$2:$O$255""),3,FALSE)"),0.0)</f>
        <v>0</v>
      </c>
      <c r="F85" s="15">
        <f t="shared" si="1"/>
        <v>0.01369863014</v>
      </c>
      <c r="G85" s="16">
        <f>IFERROR(__xludf.DUMMYFUNCTION("VLOOKUP(A85,IMPORTRANGE(""1QZ5UxyNCwadreQAXnQ7oCoH982DjIA-QnZdO7ZoqkC0/edit#gid=884617569"",""S3 Totals!$A$2:$O$255""),4,FALSE)"),0.0)</f>
        <v>0</v>
      </c>
      <c r="H85" s="15">
        <f>IFERROR(__xludf.DUMMYFUNCTION("VLOOKUP(A85,IMPORTRANGE(""1QZ5UxyNCwadreQAXnQ7oCoH982DjIA-QnZdO7ZoqkC0/edit#gid=884617569"",""S3 Totals!$A$2:$O$255""),5,FALSE)"),0.0)</f>
        <v>0</v>
      </c>
      <c r="I85" s="143">
        <f t="shared" si="2"/>
        <v>0.01369863014</v>
      </c>
      <c r="J85" s="16" t="str">
        <f>IFERROR(__xludf.DUMMYFUNCTION("VLOOKUP(A85,IMPORTRANGE(""1QZ5UxyNCwadreQAXnQ7oCoH982DjIA-QnZdO7ZoqkC0/edit#gid=884617569"",""S3 Totals!$A$2:$O$255""),7,FALSE)"),"")</f>
        <v/>
      </c>
      <c r="K85" s="15" t="str">
        <f>IFERROR(__xludf.DUMMYFUNCTION("VLOOKUP(A85,IMPORTRANGE(""1QZ5UxyNCwadreQAXnQ7oCoH982DjIA-QnZdO7ZoqkC0/edit#gid=884617569"",""S3 Totals!$A$2:$O$255""),8,FALSE)"),"")</f>
        <v/>
      </c>
      <c r="L85" s="110">
        <f t="shared" si="5"/>
        <v>0</v>
      </c>
      <c r="M85" s="16" t="str">
        <f>IFERROR(__xludf.DUMMYFUNCTION("VLOOKUP(A85,IMPORTRANGE(""1QZ5UxyNCwadreQAXnQ7oCoH982DjIA-QnZdO7ZoqkC0/edit#gid=884617569"",""S3 Totals!$A$2:$O$255""),10,FALSE)"),"")</f>
        <v/>
      </c>
      <c r="N85" s="15" t="str">
        <f>IFERROR(__xludf.DUMMYFUNCTION("VLOOKUP(A85,IMPORTRANGE(""1QZ5UxyNCwadreQAXnQ7oCoH982DjIA-QnZdO7ZoqkC0/edit#gid=884617569"",""S3 Totals!$A$2:$O$255""),11,FALSE)"),"")</f>
        <v/>
      </c>
      <c r="O85" s="110">
        <f t="shared" si="3"/>
        <v>0.01369863014</v>
      </c>
      <c r="P85" s="16" t="str">
        <f>IFERROR(__xludf.DUMMYFUNCTION("VLOOKUP(A85,IMPORTRANGE(""1QZ5UxyNCwadreQAXnQ7oCoH982DjIA-QnZdO7ZoqkC0/edit#gid=884617569"",""S3 Totals!$A$2:$O$255""),13,FALSE)"),"")</f>
        <v/>
      </c>
      <c r="Q85" s="15" t="str">
        <f>IFERROR(__xludf.DUMMYFUNCTION("VLOOKUP(A85,IMPORTRANGE(""1QZ5UxyNCwadreQAXnQ7oCoH982DjIA-QnZdO7ZoqkC0/edit#gid=884617569"",""S3 Totals!$A$2:$O$255""),14,FALSE)"),"")</f>
        <v/>
      </c>
      <c r="R85" s="110">
        <f t="shared" si="4"/>
        <v>0.01369863014</v>
      </c>
      <c r="S85" s="144"/>
    </row>
    <row r="86">
      <c r="A86" s="128" t="s">
        <v>229</v>
      </c>
      <c r="B86" s="16">
        <f>IFERROR(__xludf.DUMMYFUNCTION("VLOOKUP(A86,IMPORTRANGE(""1aFCnJY1qhIj8-JckJhDJ18aqmVo17tofpQmOjcYa3u8/edit#gid=1878241338"",""S3 Totals!$A$2:$O$255""),2,FALSE)"),16.0)</f>
        <v>16</v>
      </c>
      <c r="C86" s="15">
        <f>IFERROR(__xludf.DUMMYFUNCTION("VLOOKUP(A86,IMPORTRANGE(""1aFCnJY1qhIj8-JckJhDJ18aqmVo17tofpQmOjcYa3u8/edit#gid=1878241338"",""S3 Totals!$A$2:$O$255""),3,FALSE)"),0.2191780821917808)</f>
        <v>0.2191780822</v>
      </c>
      <c r="D86" s="16">
        <f>IFERROR(__xludf.DUMMYFUNCTION("VLOOKUP(A86,IMPORTRANGE(""1QZ5UxyNCwadreQAXnQ7oCoH982DjIA-QnZdO7ZoqkC0/edit#gid=884617569"",""S3 Totals!$A$2:$O$255""),2,FALSE)"),7.0)</f>
        <v>7</v>
      </c>
      <c r="E86" s="15">
        <f>IFERROR(__xludf.DUMMYFUNCTION("VLOOKUP(A86,IMPORTRANGE(""1QZ5UxyNCwadreQAXnQ7oCoH982DjIA-QnZdO7ZoqkC0/edit#gid=884617569"",""S3 Totals!$A$2:$O$255""),3,FALSE)"),0.0945945945945946)</f>
        <v>0.09459459459</v>
      </c>
      <c r="F86" s="15">
        <f t="shared" si="1"/>
        <v>0.1245834876</v>
      </c>
      <c r="G86" s="16">
        <f>IFERROR(__xludf.DUMMYFUNCTION("VLOOKUP(A86,IMPORTRANGE(""1QZ5UxyNCwadreQAXnQ7oCoH982DjIA-QnZdO7ZoqkC0/edit#gid=884617569"",""S3 Totals!$A$2:$O$255""),4,FALSE)"),6.0)</f>
        <v>6</v>
      </c>
      <c r="H86" s="15">
        <f>IFERROR(__xludf.DUMMYFUNCTION("VLOOKUP(A86,IMPORTRANGE(""1QZ5UxyNCwadreQAXnQ7oCoH982DjIA-QnZdO7ZoqkC0/edit#gid=884617569"",""S3 Totals!$A$2:$O$255""),5,FALSE)"),0.0759493670886076)</f>
        <v>0.07594936709</v>
      </c>
      <c r="I86" s="143">
        <f t="shared" si="2"/>
        <v>0.1432287151</v>
      </c>
      <c r="J86" s="16" t="str">
        <f>IFERROR(__xludf.DUMMYFUNCTION("VLOOKUP(A86,IMPORTRANGE(""1QZ5UxyNCwadreQAXnQ7oCoH982DjIA-QnZdO7ZoqkC0/edit#gid=884617569"",""S3 Totals!$A$2:$O$255""),7,FALSE)"),"")</f>
        <v/>
      </c>
      <c r="K86" s="15" t="str">
        <f>IFERROR(__xludf.DUMMYFUNCTION("VLOOKUP(A86,IMPORTRANGE(""1QZ5UxyNCwadreQAXnQ7oCoH982DjIA-QnZdO7ZoqkC0/edit#gid=884617569"",""S3 Totals!$A$2:$O$255""),8,FALSE)"),"")</f>
        <v/>
      </c>
      <c r="L86" s="110">
        <f t="shared" si="5"/>
        <v>0.09459459459</v>
      </c>
      <c r="M86" s="16" t="str">
        <f>IFERROR(__xludf.DUMMYFUNCTION("VLOOKUP(A86,IMPORTRANGE(""1QZ5UxyNCwadreQAXnQ7oCoH982DjIA-QnZdO7ZoqkC0/edit#gid=884617569"",""S3 Totals!$A$2:$O$255""),10,FALSE)"),"")</f>
        <v/>
      </c>
      <c r="N86" s="15" t="str">
        <f>IFERROR(__xludf.DUMMYFUNCTION("VLOOKUP(A86,IMPORTRANGE(""1QZ5UxyNCwadreQAXnQ7oCoH982DjIA-QnZdO7ZoqkC0/edit#gid=884617569"",""S3 Totals!$A$2:$O$255""),11,FALSE)"),"")</f>
        <v/>
      </c>
      <c r="O86" s="110">
        <f t="shared" si="3"/>
        <v>0.2191780822</v>
      </c>
      <c r="P86" s="16" t="str">
        <f>IFERROR(__xludf.DUMMYFUNCTION("VLOOKUP(A86,IMPORTRANGE(""1QZ5UxyNCwadreQAXnQ7oCoH982DjIA-QnZdO7ZoqkC0/edit#gid=884617569"",""S3 Totals!$A$2:$O$255""),13,FALSE)"),"")</f>
        <v/>
      </c>
      <c r="Q86" s="15" t="str">
        <f>IFERROR(__xludf.DUMMYFUNCTION("VLOOKUP(A86,IMPORTRANGE(""1QZ5UxyNCwadreQAXnQ7oCoH982DjIA-QnZdO7ZoqkC0/edit#gid=884617569"",""S3 Totals!$A$2:$O$255""),14,FALSE)"),"")</f>
        <v/>
      </c>
      <c r="R86" s="110">
        <f t="shared" si="4"/>
        <v>0.2191780822</v>
      </c>
      <c r="S86" s="144"/>
    </row>
    <row r="87">
      <c r="A87" s="128" t="s">
        <v>128</v>
      </c>
      <c r="B87" s="16">
        <f>IFERROR(__xludf.DUMMYFUNCTION("VLOOKUP(A87,IMPORTRANGE(""1aFCnJY1qhIj8-JckJhDJ18aqmVo17tofpQmOjcYa3u8/edit#gid=1878241338"",""S3 Totals!$A$2:$O$255""),2,FALSE)"),0.0)</f>
        <v>0</v>
      </c>
      <c r="C87" s="15">
        <f>IFERROR(__xludf.DUMMYFUNCTION("VLOOKUP(A87,IMPORTRANGE(""1aFCnJY1qhIj8-JckJhDJ18aqmVo17tofpQmOjcYa3u8/edit#gid=1878241338"",""S3 Totals!$A$2:$O$255""),3,FALSE)"),0.0)</f>
        <v>0</v>
      </c>
      <c r="D87" s="16">
        <f>IFERROR(__xludf.DUMMYFUNCTION("VLOOKUP(A87,IMPORTRANGE(""1QZ5UxyNCwadreQAXnQ7oCoH982DjIA-QnZdO7ZoqkC0/edit#gid=884617569"",""S3 Totals!$A$2:$O$255""),2,FALSE)"),0.0)</f>
        <v>0</v>
      </c>
      <c r="E87" s="15">
        <f>IFERROR(__xludf.DUMMYFUNCTION("VLOOKUP(A87,IMPORTRANGE(""1QZ5UxyNCwadreQAXnQ7oCoH982DjIA-QnZdO7ZoqkC0/edit#gid=884617569"",""S3 Totals!$A$2:$O$255""),3,FALSE)"),0.0)</f>
        <v>0</v>
      </c>
      <c r="F87" s="15">
        <f t="shared" si="1"/>
        <v>0</v>
      </c>
      <c r="G87" s="16">
        <f>IFERROR(__xludf.DUMMYFUNCTION("VLOOKUP(A87,IMPORTRANGE(""1QZ5UxyNCwadreQAXnQ7oCoH982DjIA-QnZdO7ZoqkC0/edit#gid=884617569"",""S3 Totals!$A$2:$O$255""),4,FALSE)"),0.0)</f>
        <v>0</v>
      </c>
      <c r="H87" s="15">
        <f>IFERROR(__xludf.DUMMYFUNCTION("VLOOKUP(A87,IMPORTRANGE(""1QZ5UxyNCwadreQAXnQ7oCoH982DjIA-QnZdO7ZoqkC0/edit#gid=884617569"",""S3 Totals!$A$2:$O$255""),5,FALSE)"),0.0)</f>
        <v>0</v>
      </c>
      <c r="I87" s="143">
        <f t="shared" si="2"/>
        <v>0</v>
      </c>
      <c r="J87" s="16">
        <f>IFERROR(__xludf.DUMMYFUNCTION("VLOOKUP(A87,IMPORTRANGE(""1QZ5UxyNCwadreQAXnQ7oCoH982DjIA-QnZdO7ZoqkC0/edit#gid=884617569"",""S3 Totals!$A$2:$O$255""),7,FALSE)"),0.0)</f>
        <v>0</v>
      </c>
      <c r="K87" s="15">
        <f>IFERROR(__xludf.DUMMYFUNCTION("VLOOKUP(A87,IMPORTRANGE(""1QZ5UxyNCwadreQAXnQ7oCoH982DjIA-QnZdO7ZoqkC0/edit#gid=884617569"",""S3 Totals!$A$2:$O$255""),8,FALSE)"),0.0)</f>
        <v>0</v>
      </c>
      <c r="L87" s="110">
        <f t="shared" si="5"/>
        <v>0</v>
      </c>
      <c r="M87" s="16">
        <f>IFERROR(__xludf.DUMMYFUNCTION("VLOOKUP(A87,IMPORTRANGE(""1QZ5UxyNCwadreQAXnQ7oCoH982DjIA-QnZdO7ZoqkC0/edit#gid=884617569"",""S3 Totals!$A$2:$O$255""),10,FALSE)"),0.0)</f>
        <v>0</v>
      </c>
      <c r="N87" s="15">
        <f>IFERROR(__xludf.DUMMYFUNCTION("VLOOKUP(A87,IMPORTRANGE(""1QZ5UxyNCwadreQAXnQ7oCoH982DjIA-QnZdO7ZoqkC0/edit#gid=884617569"",""S3 Totals!$A$2:$O$255""),11,FALSE)"),0.0)</f>
        <v>0</v>
      </c>
      <c r="O87" s="110">
        <f t="shared" si="3"/>
        <v>0</v>
      </c>
      <c r="P87" s="16" t="str">
        <f>IFERROR(__xludf.DUMMYFUNCTION("VLOOKUP(A87,IMPORTRANGE(""1QZ5UxyNCwadreQAXnQ7oCoH982DjIA-QnZdO7ZoqkC0/edit#gid=884617569"",""S3 Totals!$A$2:$O$255""),13,FALSE)"),"")</f>
        <v/>
      </c>
      <c r="Q87" s="15" t="str">
        <f>IFERROR(__xludf.DUMMYFUNCTION("VLOOKUP(A87,IMPORTRANGE(""1QZ5UxyNCwadreQAXnQ7oCoH982DjIA-QnZdO7ZoqkC0/edit#gid=884617569"",""S3 Totals!$A$2:$O$255""),14,FALSE)"),"")</f>
        <v/>
      </c>
      <c r="R87" s="110">
        <f t="shared" si="4"/>
        <v>0</v>
      </c>
      <c r="S87" s="144"/>
    </row>
    <row r="88">
      <c r="A88" s="128" t="s">
        <v>230</v>
      </c>
      <c r="B88" s="16">
        <f>IFERROR(__xludf.DUMMYFUNCTION("VLOOKUP(A88,IMPORTRANGE(""1aFCnJY1qhIj8-JckJhDJ18aqmVo17tofpQmOjcYa3u8/edit#gid=1878241338"",""S3 Totals!$A$2:$O$255""),2,FALSE)"),0.0)</f>
        <v>0</v>
      </c>
      <c r="C88" s="15">
        <f>IFERROR(__xludf.DUMMYFUNCTION("VLOOKUP(A88,IMPORTRANGE(""1aFCnJY1qhIj8-JckJhDJ18aqmVo17tofpQmOjcYa3u8/edit#gid=1878241338"",""S3 Totals!$A$2:$O$255""),3,FALSE)"),0.0)</f>
        <v>0</v>
      </c>
      <c r="D88" s="16">
        <f>IFERROR(__xludf.DUMMYFUNCTION("VLOOKUP(A88,IMPORTRANGE(""1QZ5UxyNCwadreQAXnQ7oCoH982DjIA-QnZdO7ZoqkC0/edit#gid=884617569"",""S3 Totals!$A$2:$O$255""),2,FALSE)"),10.0)</f>
        <v>10</v>
      </c>
      <c r="E88" s="15">
        <f>IFERROR(__xludf.DUMMYFUNCTION("VLOOKUP(A88,IMPORTRANGE(""1QZ5UxyNCwadreQAXnQ7oCoH982DjIA-QnZdO7ZoqkC0/edit#gid=884617569"",""S3 Totals!$A$2:$O$255""),3,FALSE)"),0.13513513513513514)</f>
        <v>0.1351351351</v>
      </c>
      <c r="F88" s="15">
        <f t="shared" si="1"/>
        <v>-0.1351351351</v>
      </c>
      <c r="G88" s="16">
        <f>IFERROR(__xludf.DUMMYFUNCTION("VLOOKUP(A88,IMPORTRANGE(""1QZ5UxyNCwadreQAXnQ7oCoH982DjIA-QnZdO7ZoqkC0/edit#gid=884617569"",""S3 Totals!$A$2:$O$255""),4,FALSE)"),0.0)</f>
        <v>0</v>
      </c>
      <c r="H88" s="15">
        <f>IFERROR(__xludf.DUMMYFUNCTION("VLOOKUP(A88,IMPORTRANGE(""1QZ5UxyNCwadreQAXnQ7oCoH982DjIA-QnZdO7ZoqkC0/edit#gid=884617569"",""S3 Totals!$A$2:$O$255""),5,FALSE)"),0.0)</f>
        <v>0</v>
      </c>
      <c r="I88" s="143">
        <f t="shared" si="2"/>
        <v>0</v>
      </c>
      <c r="J88" s="16" t="str">
        <f>IFERROR(__xludf.DUMMYFUNCTION("VLOOKUP(A88,IMPORTRANGE(""1QZ5UxyNCwadreQAXnQ7oCoH982DjIA-QnZdO7ZoqkC0/edit#gid=884617569"",""S3 Totals!$A$2:$O$255""),7,FALSE)"),"")</f>
        <v/>
      </c>
      <c r="K88" s="15" t="str">
        <f>IFERROR(__xludf.DUMMYFUNCTION("VLOOKUP(A88,IMPORTRANGE(""1QZ5UxyNCwadreQAXnQ7oCoH982DjIA-QnZdO7ZoqkC0/edit#gid=884617569"",""S3 Totals!$A$2:$O$255""),8,FALSE)"),"")</f>
        <v/>
      </c>
      <c r="L88" s="110">
        <f t="shared" si="5"/>
        <v>0.1351351351</v>
      </c>
      <c r="M88" s="16" t="str">
        <f>IFERROR(__xludf.DUMMYFUNCTION("VLOOKUP(A88,IMPORTRANGE(""1QZ5UxyNCwadreQAXnQ7oCoH982DjIA-QnZdO7ZoqkC0/edit#gid=884617569"",""S3 Totals!$A$2:$O$255""),10,FALSE)"),"")</f>
        <v/>
      </c>
      <c r="N88" s="15" t="str">
        <f>IFERROR(__xludf.DUMMYFUNCTION("VLOOKUP(A88,IMPORTRANGE(""1QZ5UxyNCwadreQAXnQ7oCoH982DjIA-QnZdO7ZoqkC0/edit#gid=884617569"",""S3 Totals!$A$2:$O$255""),11,FALSE)"),"")</f>
        <v/>
      </c>
      <c r="O88" s="110">
        <f t="shared" si="3"/>
        <v>0</v>
      </c>
      <c r="P88" s="16" t="str">
        <f>IFERROR(__xludf.DUMMYFUNCTION("VLOOKUP(A88,IMPORTRANGE(""1QZ5UxyNCwadreQAXnQ7oCoH982DjIA-QnZdO7ZoqkC0/edit#gid=884617569"",""S3 Totals!$A$2:$O$255""),13,FALSE)"),"")</f>
        <v/>
      </c>
      <c r="Q88" s="15" t="str">
        <f>IFERROR(__xludf.DUMMYFUNCTION("VLOOKUP(A88,IMPORTRANGE(""1QZ5UxyNCwadreQAXnQ7oCoH982DjIA-QnZdO7ZoqkC0/edit#gid=884617569"",""S3 Totals!$A$2:$O$255""),14,FALSE)"),"")</f>
        <v/>
      </c>
      <c r="R88" s="110">
        <f t="shared" si="4"/>
        <v>0</v>
      </c>
      <c r="S88" s="144"/>
    </row>
    <row r="89">
      <c r="A89" s="128" t="s">
        <v>176</v>
      </c>
      <c r="B89" s="16">
        <f>IFERROR(__xludf.DUMMYFUNCTION("VLOOKUP(A89,IMPORTRANGE(""1aFCnJY1qhIj8-JckJhDJ18aqmVo17tofpQmOjcYa3u8/edit#gid=1878241338"",""S3 Totals!$A$2:$O$255""),2,FALSE)"),9.0)</f>
        <v>9</v>
      </c>
      <c r="C89" s="15">
        <f>IFERROR(__xludf.DUMMYFUNCTION("VLOOKUP(A89,IMPORTRANGE(""1aFCnJY1qhIj8-JckJhDJ18aqmVo17tofpQmOjcYa3u8/edit#gid=1878241338"",""S3 Totals!$A$2:$O$255""),3,FALSE)"),0.1232876712328767)</f>
        <v>0.1232876712</v>
      </c>
      <c r="D89" s="16">
        <f>IFERROR(__xludf.DUMMYFUNCTION("VLOOKUP(A89,IMPORTRANGE(""1QZ5UxyNCwadreQAXnQ7oCoH982DjIA-QnZdO7ZoqkC0/edit#gid=884617569"",""S3 Totals!$A$2:$O$255""),2,FALSE)"),7.0)</f>
        <v>7</v>
      </c>
      <c r="E89" s="15">
        <f>IFERROR(__xludf.DUMMYFUNCTION("VLOOKUP(A89,IMPORTRANGE(""1QZ5UxyNCwadreQAXnQ7oCoH982DjIA-QnZdO7ZoqkC0/edit#gid=884617569"",""S3 Totals!$A$2:$O$255""),3,FALSE)"),0.0945945945945946)</f>
        <v>0.09459459459</v>
      </c>
      <c r="F89" s="15">
        <f t="shared" si="1"/>
        <v>0.02869307664</v>
      </c>
      <c r="G89" s="16">
        <f>IFERROR(__xludf.DUMMYFUNCTION("VLOOKUP(A89,IMPORTRANGE(""1QZ5UxyNCwadreQAXnQ7oCoH982DjIA-QnZdO7ZoqkC0/edit#gid=884617569"",""S3 Totals!$A$2:$O$255""),4,FALSE)"),1.0)</f>
        <v>1</v>
      </c>
      <c r="H89" s="15">
        <f>IFERROR(__xludf.DUMMYFUNCTION("VLOOKUP(A89,IMPORTRANGE(""1QZ5UxyNCwadreQAXnQ7oCoH982DjIA-QnZdO7ZoqkC0/edit#gid=884617569"",""S3 Totals!$A$2:$O$255""),5,FALSE)"),0.012658227848101266)</f>
        <v>0.01265822785</v>
      </c>
      <c r="I89" s="143">
        <f t="shared" si="2"/>
        <v>0.1106294434</v>
      </c>
      <c r="J89" s="16">
        <f>IFERROR(__xludf.DUMMYFUNCTION("VLOOKUP(A89,IMPORTRANGE(""1QZ5UxyNCwadreQAXnQ7oCoH982DjIA-QnZdO7ZoqkC0/edit#gid=884617569"",""S3 Totals!$A$2:$O$255""),7,FALSE)"),1.0)</f>
        <v>1</v>
      </c>
      <c r="K89" s="15">
        <f>IFERROR(__xludf.DUMMYFUNCTION("VLOOKUP(A89,IMPORTRANGE(""1QZ5UxyNCwadreQAXnQ7oCoH982DjIA-QnZdO7ZoqkC0/edit#gid=884617569"",""S3 Totals!$A$2:$O$255""),8,FALSE)"),0.011764705882352941)</f>
        <v>0.01176470588</v>
      </c>
      <c r="L89" s="110">
        <f t="shared" si="5"/>
        <v>0.08282988871</v>
      </c>
      <c r="M89" s="16" t="str">
        <f>IFERROR(__xludf.DUMMYFUNCTION("VLOOKUP(A89,IMPORTRANGE(""1QZ5UxyNCwadreQAXnQ7oCoH982DjIA-QnZdO7ZoqkC0/edit#gid=884617569"",""S3 Totals!$A$2:$O$255""),10,FALSE)"),"")</f>
        <v/>
      </c>
      <c r="N89" s="15" t="str">
        <f>IFERROR(__xludf.DUMMYFUNCTION("VLOOKUP(A89,IMPORTRANGE(""1QZ5UxyNCwadreQAXnQ7oCoH982DjIA-QnZdO7ZoqkC0/edit#gid=884617569"",""S3 Totals!$A$2:$O$255""),11,FALSE)"),"")</f>
        <v/>
      </c>
      <c r="O89" s="110">
        <f t="shared" si="3"/>
        <v>0.1232876712</v>
      </c>
      <c r="P89" s="16" t="str">
        <f>IFERROR(__xludf.DUMMYFUNCTION("VLOOKUP(A89,IMPORTRANGE(""1QZ5UxyNCwadreQAXnQ7oCoH982DjIA-QnZdO7ZoqkC0/edit#gid=884617569"",""S3 Totals!$A$2:$O$255""),13,FALSE)"),"")</f>
        <v/>
      </c>
      <c r="Q89" s="15" t="str">
        <f>IFERROR(__xludf.DUMMYFUNCTION("VLOOKUP(A89,IMPORTRANGE(""1QZ5UxyNCwadreQAXnQ7oCoH982DjIA-QnZdO7ZoqkC0/edit#gid=884617569"",""S3 Totals!$A$2:$O$255""),14,FALSE)"),"")</f>
        <v/>
      </c>
      <c r="R89" s="110">
        <f t="shared" si="4"/>
        <v>0.1232876712</v>
      </c>
      <c r="S89" s="144"/>
    </row>
    <row r="90">
      <c r="A90" s="128" t="s">
        <v>231</v>
      </c>
      <c r="B90" s="16">
        <f>IFERROR(__xludf.DUMMYFUNCTION("VLOOKUP(A90,IMPORTRANGE(""1aFCnJY1qhIj8-JckJhDJ18aqmVo17tofpQmOjcYa3u8/edit#gid=1878241338"",""S3 Totals!$A$2:$O$255""),2,FALSE)"),1.0)</f>
        <v>1</v>
      </c>
      <c r="C90" s="15">
        <f>IFERROR(__xludf.DUMMYFUNCTION("VLOOKUP(A90,IMPORTRANGE(""1aFCnJY1qhIj8-JckJhDJ18aqmVo17tofpQmOjcYa3u8/edit#gid=1878241338"",""S3 Totals!$A$2:$O$255""),3,FALSE)"),0.0136986301369863)</f>
        <v>0.01369863014</v>
      </c>
      <c r="D90" s="16">
        <f>IFERROR(__xludf.DUMMYFUNCTION("VLOOKUP(A90,IMPORTRANGE(""1QZ5UxyNCwadreQAXnQ7oCoH982DjIA-QnZdO7ZoqkC0/edit#gid=884617569"",""S3 Totals!$A$2:$O$255""),2,FALSE)"),0.0)</f>
        <v>0</v>
      </c>
      <c r="E90" s="15">
        <f>IFERROR(__xludf.DUMMYFUNCTION("VLOOKUP(A90,IMPORTRANGE(""1QZ5UxyNCwadreQAXnQ7oCoH982DjIA-QnZdO7ZoqkC0/edit#gid=884617569"",""S3 Totals!$A$2:$O$255""),3,FALSE)"),0.0)</f>
        <v>0</v>
      </c>
      <c r="F90" s="15">
        <f t="shared" si="1"/>
        <v>0.01369863014</v>
      </c>
      <c r="G90" s="16">
        <f>IFERROR(__xludf.DUMMYFUNCTION("VLOOKUP(A90,IMPORTRANGE(""1QZ5UxyNCwadreQAXnQ7oCoH982DjIA-QnZdO7ZoqkC0/edit#gid=884617569"",""S3 Totals!$A$2:$O$255""),4,FALSE)"),26.0)</f>
        <v>26</v>
      </c>
      <c r="H90" s="15">
        <f>IFERROR(__xludf.DUMMYFUNCTION("VLOOKUP(A90,IMPORTRANGE(""1QZ5UxyNCwadreQAXnQ7oCoH982DjIA-QnZdO7ZoqkC0/edit#gid=884617569"",""S3 Totals!$A$2:$O$255""),5,FALSE)"),0.3291139240506329)</f>
        <v>0.3291139241</v>
      </c>
      <c r="I90" s="143">
        <f t="shared" si="2"/>
        <v>-0.3154152939</v>
      </c>
      <c r="J90" s="16" t="str">
        <f>IFERROR(__xludf.DUMMYFUNCTION("VLOOKUP(A90,IMPORTRANGE(""1QZ5UxyNCwadreQAXnQ7oCoH982DjIA-QnZdO7ZoqkC0/edit#gid=884617569"",""S3 Totals!$A$2:$O$255""),7,FALSE)"),"")</f>
        <v/>
      </c>
      <c r="K90" s="15" t="str">
        <f>IFERROR(__xludf.DUMMYFUNCTION("VLOOKUP(A90,IMPORTRANGE(""1QZ5UxyNCwadreQAXnQ7oCoH982DjIA-QnZdO7ZoqkC0/edit#gid=884617569"",""S3 Totals!$A$2:$O$255""),8,FALSE)"),"")</f>
        <v/>
      </c>
      <c r="L90" s="110">
        <f t="shared" si="5"/>
        <v>0</v>
      </c>
      <c r="M90" s="16" t="str">
        <f>IFERROR(__xludf.DUMMYFUNCTION("VLOOKUP(A90,IMPORTRANGE(""1QZ5UxyNCwadreQAXnQ7oCoH982DjIA-QnZdO7ZoqkC0/edit#gid=884617569"",""S3 Totals!$A$2:$O$255""),10,FALSE)"),"")</f>
        <v/>
      </c>
      <c r="N90" s="15" t="str">
        <f>IFERROR(__xludf.DUMMYFUNCTION("VLOOKUP(A90,IMPORTRANGE(""1QZ5UxyNCwadreQAXnQ7oCoH982DjIA-QnZdO7ZoqkC0/edit#gid=884617569"",""S3 Totals!$A$2:$O$255""),11,FALSE)"),"")</f>
        <v/>
      </c>
      <c r="O90" s="110">
        <f t="shared" si="3"/>
        <v>0.01369863014</v>
      </c>
      <c r="P90" s="16" t="str">
        <f>IFERROR(__xludf.DUMMYFUNCTION("VLOOKUP(A90,IMPORTRANGE(""1QZ5UxyNCwadreQAXnQ7oCoH982DjIA-QnZdO7ZoqkC0/edit#gid=884617569"",""S3 Totals!$A$2:$O$255""),13,FALSE)"),"")</f>
        <v/>
      </c>
      <c r="Q90" s="15" t="str">
        <f>IFERROR(__xludf.DUMMYFUNCTION("VLOOKUP(A90,IMPORTRANGE(""1QZ5UxyNCwadreQAXnQ7oCoH982DjIA-QnZdO7ZoqkC0/edit#gid=884617569"",""S3 Totals!$A$2:$O$255""),14,FALSE)"),"")</f>
        <v/>
      </c>
      <c r="R90" s="110">
        <f t="shared" si="4"/>
        <v>0.01369863014</v>
      </c>
      <c r="S90" s="144"/>
    </row>
    <row r="91">
      <c r="A91" s="128" t="s">
        <v>265</v>
      </c>
      <c r="B91" s="16">
        <f>IFERROR(__xludf.DUMMYFUNCTION("VLOOKUP(A91,IMPORTRANGE(""1aFCnJY1qhIj8-JckJhDJ18aqmVo17tofpQmOjcYa3u8/edit#gid=1878241338"",""S3 Totals!$A$2:$O$255""),2,FALSE)"),36.0)</f>
        <v>36</v>
      </c>
      <c r="C91" s="15">
        <f>IFERROR(__xludf.DUMMYFUNCTION("VLOOKUP(A91,IMPORTRANGE(""1aFCnJY1qhIj8-JckJhDJ18aqmVo17tofpQmOjcYa3u8/edit#gid=1878241338"",""S3 Totals!$A$2:$O$255""),3,FALSE)"),0.4931506849315068)</f>
        <v>0.4931506849</v>
      </c>
      <c r="D91" s="16" t="str">
        <f>IFERROR(__xludf.DUMMYFUNCTION("VLOOKUP(A91,IMPORTRANGE(""1QZ5UxyNCwadreQAXnQ7oCoH982DjIA-QnZdO7ZoqkC0/edit#gid=884617569"",""S3 Totals!$A$2:$O$255""),2,FALSE)"),"#N/A")</f>
        <v>#N/A</v>
      </c>
      <c r="E91" s="15" t="str">
        <f>IFERROR(__xludf.DUMMYFUNCTION("VLOOKUP(A91,IMPORTRANGE(""1QZ5UxyNCwadreQAXnQ7oCoH982DjIA-QnZdO7ZoqkC0/edit#gid=884617569"",""S3 Totals!$A$2:$O$255""),3,FALSE)"),"#N/A")</f>
        <v>#N/A</v>
      </c>
      <c r="F91" s="16" t="str">
        <f t="shared" si="1"/>
        <v>#N/A</v>
      </c>
      <c r="G91" s="16" t="str">
        <f>IFERROR(__xludf.DUMMYFUNCTION("VLOOKUP(A91,IMPORTRANGE(""1QZ5UxyNCwadreQAXnQ7oCoH982DjIA-QnZdO7ZoqkC0/edit#gid=884617569"",""S3 Totals!$A$2:$O$255""),4,FALSE)"),"#N/A")</f>
        <v>#N/A</v>
      </c>
      <c r="H91" s="15" t="str">
        <f>IFERROR(__xludf.DUMMYFUNCTION("VLOOKUP(A91,IMPORTRANGE(""1QZ5UxyNCwadreQAXnQ7oCoH982DjIA-QnZdO7ZoqkC0/edit#gid=884617569"",""S3 Totals!$A$2:$O$255""),5,FALSE)"),"#N/A")</f>
        <v>#N/A</v>
      </c>
      <c r="I91" s="143" t="str">
        <f t="shared" si="2"/>
        <v>#N/A</v>
      </c>
      <c r="J91" s="16" t="str">
        <f>IFERROR(__xludf.DUMMYFUNCTION("VLOOKUP(A91,IMPORTRANGE(""1QZ5UxyNCwadreQAXnQ7oCoH982DjIA-QnZdO7ZoqkC0/edit#gid=884617569"",""S3 Totals!$A$2:$O$255""),7,FALSE)"),"#N/A")</f>
        <v>#N/A</v>
      </c>
      <c r="K91" s="15" t="str">
        <f>IFERROR(__xludf.DUMMYFUNCTION("VLOOKUP(A91,IMPORTRANGE(""1QZ5UxyNCwadreQAXnQ7oCoH982DjIA-QnZdO7ZoqkC0/edit#gid=884617569"",""S3 Totals!$A$2:$O$255""),8,FALSE)"),"#N/A")</f>
        <v>#N/A</v>
      </c>
      <c r="L91" s="110" t="str">
        <f t="shared" si="5"/>
        <v>#N/A</v>
      </c>
      <c r="M91" s="16" t="str">
        <f>IFERROR(__xludf.DUMMYFUNCTION("VLOOKUP(A91,IMPORTRANGE(""1QZ5UxyNCwadreQAXnQ7oCoH982DjIA-QnZdO7ZoqkC0/edit#gid=884617569"",""S3 Totals!$A$2:$O$255""),10,FALSE)"),"#N/A")</f>
        <v>#N/A</v>
      </c>
      <c r="N91" s="15" t="str">
        <f>IFERROR(__xludf.DUMMYFUNCTION("VLOOKUP(A91,IMPORTRANGE(""1QZ5UxyNCwadreQAXnQ7oCoH982DjIA-QnZdO7ZoqkC0/edit#gid=884617569"",""S3 Totals!$A$2:$O$255""),11,FALSE)"),"#N/A")</f>
        <v>#N/A</v>
      </c>
      <c r="O91" s="110" t="str">
        <f t="shared" si="3"/>
        <v>#N/A</v>
      </c>
      <c r="P91" s="16" t="str">
        <f>IFERROR(__xludf.DUMMYFUNCTION("VLOOKUP(A91,IMPORTRANGE(""1QZ5UxyNCwadreQAXnQ7oCoH982DjIA-QnZdO7ZoqkC0/edit#gid=884617569"",""S3 Totals!$A$2:$O$255""),13,FALSE)"),"#N/A")</f>
        <v>#N/A</v>
      </c>
      <c r="Q91" s="15" t="str">
        <f>IFERROR(__xludf.DUMMYFUNCTION("VLOOKUP(A91,IMPORTRANGE(""1QZ5UxyNCwadreQAXnQ7oCoH982DjIA-QnZdO7ZoqkC0/edit#gid=884617569"",""S3 Totals!$A$2:$O$255""),14,FALSE)"),"#N/A")</f>
        <v>#N/A</v>
      </c>
      <c r="R91" s="110" t="str">
        <f t="shared" si="4"/>
        <v>#N/A</v>
      </c>
      <c r="S91" s="144"/>
    </row>
    <row r="92">
      <c r="A92" s="128" t="s">
        <v>177</v>
      </c>
      <c r="B92" s="16">
        <f>IFERROR(__xludf.DUMMYFUNCTION("VLOOKUP(A92,IMPORTRANGE(""1aFCnJY1qhIj8-JckJhDJ18aqmVo17tofpQmOjcYa3u8/edit#gid=1878241338"",""S3 Totals!$A$2:$O$255""),2,FALSE)"),1.0)</f>
        <v>1</v>
      </c>
      <c r="C92" s="15">
        <f>IFERROR(__xludf.DUMMYFUNCTION("VLOOKUP(A92,IMPORTRANGE(""1aFCnJY1qhIj8-JckJhDJ18aqmVo17tofpQmOjcYa3u8/edit#gid=1878241338"",""S3 Totals!$A$2:$O$255""),3,FALSE)"),0.0136986301369863)</f>
        <v>0.01369863014</v>
      </c>
      <c r="D92" s="16">
        <f>IFERROR(__xludf.DUMMYFUNCTION("VLOOKUP(A92,IMPORTRANGE(""1QZ5UxyNCwadreQAXnQ7oCoH982DjIA-QnZdO7ZoqkC0/edit#gid=884617569"",""S3 Totals!$A$2:$O$255""),2,FALSE)"),0.0)</f>
        <v>0</v>
      </c>
      <c r="E92" s="15">
        <f>IFERROR(__xludf.DUMMYFUNCTION("VLOOKUP(A92,IMPORTRANGE(""1QZ5UxyNCwadreQAXnQ7oCoH982DjIA-QnZdO7ZoqkC0/edit#gid=884617569"",""S3 Totals!$A$2:$O$255""),3,FALSE)"),0.0)</f>
        <v>0</v>
      </c>
      <c r="F92" s="15">
        <f t="shared" si="1"/>
        <v>0.01369863014</v>
      </c>
      <c r="G92" s="16">
        <f>IFERROR(__xludf.DUMMYFUNCTION("VLOOKUP(A92,IMPORTRANGE(""1QZ5UxyNCwadreQAXnQ7oCoH982DjIA-QnZdO7ZoqkC0/edit#gid=884617569"",""S3 Totals!$A$2:$O$255""),4,FALSE)"),0.0)</f>
        <v>0</v>
      </c>
      <c r="H92" s="15">
        <f>IFERROR(__xludf.DUMMYFUNCTION("VLOOKUP(A92,IMPORTRANGE(""1QZ5UxyNCwadreQAXnQ7oCoH982DjIA-QnZdO7ZoqkC0/edit#gid=884617569"",""S3 Totals!$A$2:$O$255""),5,FALSE)"),0.0)</f>
        <v>0</v>
      </c>
      <c r="I92" s="143">
        <f t="shared" si="2"/>
        <v>0.01369863014</v>
      </c>
      <c r="J92" s="16">
        <f>IFERROR(__xludf.DUMMYFUNCTION("VLOOKUP(A92,IMPORTRANGE(""1QZ5UxyNCwadreQAXnQ7oCoH982DjIA-QnZdO7ZoqkC0/edit#gid=884617569"",""S3 Totals!$A$2:$O$255""),7,FALSE)"),0.0)</f>
        <v>0</v>
      </c>
      <c r="K92" s="15">
        <f>IFERROR(__xludf.DUMMYFUNCTION("VLOOKUP(A92,IMPORTRANGE(""1QZ5UxyNCwadreQAXnQ7oCoH982DjIA-QnZdO7ZoqkC0/edit#gid=884617569"",""S3 Totals!$A$2:$O$255""),8,FALSE)"),0.0)</f>
        <v>0</v>
      </c>
      <c r="L92" s="110">
        <f t="shared" si="5"/>
        <v>0</v>
      </c>
      <c r="M92" s="16" t="str">
        <f>IFERROR(__xludf.DUMMYFUNCTION("VLOOKUP(A92,IMPORTRANGE(""1QZ5UxyNCwadreQAXnQ7oCoH982DjIA-QnZdO7ZoqkC0/edit#gid=884617569"",""S3 Totals!$A$2:$O$255""),10,FALSE)"),"")</f>
        <v/>
      </c>
      <c r="N92" s="15" t="str">
        <f>IFERROR(__xludf.DUMMYFUNCTION("VLOOKUP(A92,IMPORTRANGE(""1QZ5UxyNCwadreQAXnQ7oCoH982DjIA-QnZdO7ZoqkC0/edit#gid=884617569"",""S3 Totals!$A$2:$O$255""),11,FALSE)"),"")</f>
        <v/>
      </c>
      <c r="O92" s="110">
        <f t="shared" si="3"/>
        <v>0.01369863014</v>
      </c>
      <c r="P92" s="16" t="str">
        <f>IFERROR(__xludf.DUMMYFUNCTION("VLOOKUP(A92,IMPORTRANGE(""1QZ5UxyNCwadreQAXnQ7oCoH982DjIA-QnZdO7ZoqkC0/edit#gid=884617569"",""S3 Totals!$A$2:$O$255""),13,FALSE)"),"")</f>
        <v/>
      </c>
      <c r="Q92" s="15" t="str">
        <f>IFERROR(__xludf.DUMMYFUNCTION("VLOOKUP(A92,IMPORTRANGE(""1QZ5UxyNCwadreQAXnQ7oCoH982DjIA-QnZdO7ZoqkC0/edit#gid=884617569"",""S3 Totals!$A$2:$O$255""),14,FALSE)"),"")</f>
        <v/>
      </c>
      <c r="R92" s="110">
        <f t="shared" si="4"/>
        <v>0.01369863014</v>
      </c>
      <c r="S92" s="144"/>
    </row>
    <row r="93">
      <c r="A93" s="128" t="s">
        <v>129</v>
      </c>
      <c r="B93" s="16">
        <f>IFERROR(__xludf.DUMMYFUNCTION("VLOOKUP(A93,IMPORTRANGE(""1aFCnJY1qhIj8-JckJhDJ18aqmVo17tofpQmOjcYa3u8/edit#gid=1878241338"",""S3 Totals!$A$2:$O$255""),2,FALSE)"),43.0)</f>
        <v>43</v>
      </c>
      <c r="C93" s="15">
        <f>IFERROR(__xludf.DUMMYFUNCTION("VLOOKUP(A93,IMPORTRANGE(""1aFCnJY1qhIj8-JckJhDJ18aqmVo17tofpQmOjcYa3u8/edit#gid=1878241338"",""S3 Totals!$A$2:$O$255""),3,FALSE)"),0.589041095890411)</f>
        <v>0.5890410959</v>
      </c>
      <c r="D93" s="16">
        <f>IFERROR(__xludf.DUMMYFUNCTION("VLOOKUP(A93,IMPORTRANGE(""1QZ5UxyNCwadreQAXnQ7oCoH982DjIA-QnZdO7ZoqkC0/edit#gid=884617569"",""S3 Totals!$A$2:$O$255""),2,FALSE)"),43.0)</f>
        <v>43</v>
      </c>
      <c r="E93" s="15">
        <f>IFERROR(__xludf.DUMMYFUNCTION("VLOOKUP(A93,IMPORTRANGE(""1QZ5UxyNCwadreQAXnQ7oCoH982DjIA-QnZdO7ZoqkC0/edit#gid=884617569"",""S3 Totals!$A$2:$O$255""),3,FALSE)"),0.581081081081081)</f>
        <v>0.5810810811</v>
      </c>
      <c r="F93" s="15">
        <f t="shared" si="1"/>
        <v>0.007960014809</v>
      </c>
      <c r="G93" s="16">
        <f>IFERROR(__xludf.DUMMYFUNCTION("VLOOKUP(A93,IMPORTRANGE(""1QZ5UxyNCwadreQAXnQ7oCoH982DjIA-QnZdO7ZoqkC0/edit#gid=884617569"",""S3 Totals!$A$2:$O$255""),4,FALSE)"),47.0)</f>
        <v>47</v>
      </c>
      <c r="H93" s="15">
        <f>IFERROR(__xludf.DUMMYFUNCTION("VLOOKUP(A93,IMPORTRANGE(""1QZ5UxyNCwadreQAXnQ7oCoH982DjIA-QnZdO7ZoqkC0/edit#gid=884617569"",""S3 Totals!$A$2:$O$255""),5,FALSE)"),0.5949367088607594)</f>
        <v>0.5949367089</v>
      </c>
      <c r="I93" s="143">
        <f t="shared" si="2"/>
        <v>-0.00589561297</v>
      </c>
      <c r="J93" s="16">
        <f>IFERROR(__xludf.DUMMYFUNCTION("VLOOKUP(A93,IMPORTRANGE(""1QZ5UxyNCwadreQAXnQ7oCoH982DjIA-QnZdO7ZoqkC0/edit#gid=884617569"",""S3 Totals!$A$2:$O$255""),7,FALSE)"),44.0)</f>
        <v>44</v>
      </c>
      <c r="K93" s="15">
        <f>IFERROR(__xludf.DUMMYFUNCTION("VLOOKUP(A93,IMPORTRANGE(""1QZ5UxyNCwadreQAXnQ7oCoH982DjIA-QnZdO7ZoqkC0/edit#gid=884617569"",""S3 Totals!$A$2:$O$255""),8,FALSE)"),0.5176470588235295)</f>
        <v>0.5176470588</v>
      </c>
      <c r="L93" s="110">
        <f t="shared" si="5"/>
        <v>0.06343402226</v>
      </c>
      <c r="M93" s="16">
        <f>IFERROR(__xludf.DUMMYFUNCTION("VLOOKUP(A93,IMPORTRANGE(""1QZ5UxyNCwadreQAXnQ7oCoH982DjIA-QnZdO7ZoqkC0/edit#gid=884617569"",""S3 Totals!$A$2:$O$255""),10,FALSE)"),42.0)</f>
        <v>42</v>
      </c>
      <c r="N93" s="15">
        <f>IFERROR(__xludf.DUMMYFUNCTION("VLOOKUP(A93,IMPORTRANGE(""1QZ5UxyNCwadreQAXnQ7oCoH982DjIA-QnZdO7ZoqkC0/edit#gid=884617569"",""S3 Totals!$A$2:$O$255""),11,FALSE)"),0.49411764705882355)</f>
        <v>0.4941176471</v>
      </c>
      <c r="O93" s="110">
        <f t="shared" si="3"/>
        <v>0.09492344883</v>
      </c>
      <c r="P93" s="16" t="str">
        <f>IFERROR(__xludf.DUMMYFUNCTION("VLOOKUP(A93,IMPORTRANGE(""1QZ5UxyNCwadreQAXnQ7oCoH982DjIA-QnZdO7ZoqkC0/edit#gid=884617569"",""S3 Totals!$A$2:$O$255""),13,FALSE)"),"")</f>
        <v/>
      </c>
      <c r="Q93" s="15" t="str">
        <f>IFERROR(__xludf.DUMMYFUNCTION("VLOOKUP(A93,IMPORTRANGE(""1QZ5UxyNCwadreQAXnQ7oCoH982DjIA-QnZdO7ZoqkC0/edit#gid=884617569"",""S3 Totals!$A$2:$O$255""),14,FALSE)"),"")</f>
        <v/>
      </c>
      <c r="R93" s="110">
        <f t="shared" si="4"/>
        <v>0.5890410959</v>
      </c>
      <c r="S93" s="144"/>
    </row>
    <row r="94">
      <c r="A94" s="128" t="s">
        <v>64</v>
      </c>
      <c r="B94" s="16">
        <f>IFERROR(__xludf.DUMMYFUNCTION("VLOOKUP(A94,IMPORTRANGE(""1aFCnJY1qhIj8-JckJhDJ18aqmVo17tofpQmOjcYa3u8/edit#gid=1878241338"",""S3 Totals!$A$2:$O$255""),2,FALSE)"),26.0)</f>
        <v>26</v>
      </c>
      <c r="C94" s="15">
        <f>IFERROR(__xludf.DUMMYFUNCTION("VLOOKUP(A94,IMPORTRANGE(""1aFCnJY1qhIj8-JckJhDJ18aqmVo17tofpQmOjcYa3u8/edit#gid=1878241338"",""S3 Totals!$A$2:$O$255""),3,FALSE)"),0.3561643835616438)</f>
        <v>0.3561643836</v>
      </c>
      <c r="D94" s="16">
        <f>IFERROR(__xludf.DUMMYFUNCTION("VLOOKUP(A94,IMPORTRANGE(""1QZ5UxyNCwadreQAXnQ7oCoH982DjIA-QnZdO7ZoqkC0/edit#gid=884617569"",""S3 Totals!$A$2:$O$255""),2,FALSE)"),33.0)</f>
        <v>33</v>
      </c>
      <c r="E94" s="15">
        <f>IFERROR(__xludf.DUMMYFUNCTION("VLOOKUP(A94,IMPORTRANGE(""1QZ5UxyNCwadreQAXnQ7oCoH982DjIA-QnZdO7ZoqkC0/edit#gid=884617569"",""S3 Totals!$A$2:$O$255""),3,FALSE)"),0.44594594594594594)</f>
        <v>0.4459459459</v>
      </c>
      <c r="F94" s="15">
        <f t="shared" si="1"/>
        <v>-0.08978156238</v>
      </c>
      <c r="G94" s="16">
        <f>IFERROR(__xludf.DUMMYFUNCTION("VLOOKUP(A94,IMPORTRANGE(""1QZ5UxyNCwadreQAXnQ7oCoH982DjIA-QnZdO7ZoqkC0/edit#gid=884617569"",""S3 Totals!$A$2:$O$255""),4,FALSE)"),36.0)</f>
        <v>36</v>
      </c>
      <c r="H94" s="15">
        <f>IFERROR(__xludf.DUMMYFUNCTION("VLOOKUP(A94,IMPORTRANGE(""1QZ5UxyNCwadreQAXnQ7oCoH982DjIA-QnZdO7ZoqkC0/edit#gid=884617569"",""S3 Totals!$A$2:$O$255""),5,FALSE)"),0.45569620253164556)</f>
        <v>0.4556962025</v>
      </c>
      <c r="I94" s="143">
        <f t="shared" si="2"/>
        <v>-0.09953181897</v>
      </c>
      <c r="J94" s="16">
        <f>IFERROR(__xludf.DUMMYFUNCTION("VLOOKUP(A94,IMPORTRANGE(""1QZ5UxyNCwadreQAXnQ7oCoH982DjIA-QnZdO7ZoqkC0/edit#gid=884617569"",""S3 Totals!$A$2:$O$255""),7,FALSE)"),38.0)</f>
        <v>38</v>
      </c>
      <c r="K94" s="15">
        <f>IFERROR(__xludf.DUMMYFUNCTION("VLOOKUP(A94,IMPORTRANGE(""1QZ5UxyNCwadreQAXnQ7oCoH982DjIA-QnZdO7ZoqkC0/edit#gid=884617569"",""S3 Totals!$A$2:$O$255""),8,FALSE)"),0.4470588235294118)</f>
        <v>0.4470588235</v>
      </c>
      <c r="L94" s="110">
        <f t="shared" si="5"/>
        <v>-0.001112877583</v>
      </c>
      <c r="M94" s="16">
        <f>IFERROR(__xludf.DUMMYFUNCTION("VLOOKUP(A94,IMPORTRANGE(""1QZ5UxyNCwadreQAXnQ7oCoH982DjIA-QnZdO7ZoqkC0/edit#gid=884617569"",""S3 Totals!$A$2:$O$255""),10,FALSE)"),41.0)</f>
        <v>41</v>
      </c>
      <c r="N94" s="15">
        <f>IFERROR(__xludf.DUMMYFUNCTION("VLOOKUP(A94,IMPORTRANGE(""1QZ5UxyNCwadreQAXnQ7oCoH982DjIA-QnZdO7ZoqkC0/edit#gid=884617569"",""S3 Totals!$A$2:$O$255""),11,FALSE)"),0.4823529411764706)</f>
        <v>0.4823529412</v>
      </c>
      <c r="O94" s="110">
        <f t="shared" si="3"/>
        <v>-0.1261885576</v>
      </c>
      <c r="P94" s="16">
        <f>IFERROR(__xludf.DUMMYFUNCTION("VLOOKUP(A94,IMPORTRANGE(""1QZ5UxyNCwadreQAXnQ7oCoH982DjIA-QnZdO7ZoqkC0/edit#gid=884617569"",""S3 Totals!$A$2:$O$255""),13,FALSE)"),37.0)</f>
        <v>37</v>
      </c>
      <c r="Q94" s="15">
        <f>IFERROR(__xludf.DUMMYFUNCTION("VLOOKUP(A94,IMPORTRANGE(""1QZ5UxyNCwadreQAXnQ7oCoH982DjIA-QnZdO7ZoqkC0/edit#gid=884617569"",""S3 Totals!$A$2:$O$255""),14,FALSE)"),0.43529411764705883)</f>
        <v>0.4352941176</v>
      </c>
      <c r="R94" s="110">
        <f t="shared" si="4"/>
        <v>-0.07912973409</v>
      </c>
      <c r="S94" s="144"/>
    </row>
    <row r="95">
      <c r="A95" s="128" t="s">
        <v>232</v>
      </c>
      <c r="B95" s="16">
        <f>IFERROR(__xludf.DUMMYFUNCTION("VLOOKUP(A95,IMPORTRANGE(""1aFCnJY1qhIj8-JckJhDJ18aqmVo17tofpQmOjcYa3u8/edit#gid=1878241338"",""S3 Totals!$A$2:$O$255""),2,FALSE)"),1.0)</f>
        <v>1</v>
      </c>
      <c r="C95" s="15">
        <f>IFERROR(__xludf.DUMMYFUNCTION("VLOOKUP(A95,IMPORTRANGE(""1aFCnJY1qhIj8-JckJhDJ18aqmVo17tofpQmOjcYa3u8/edit#gid=1878241338"",""S3 Totals!$A$2:$O$255""),3,FALSE)"),0.0136986301369863)</f>
        <v>0.01369863014</v>
      </c>
      <c r="D95" s="16">
        <f>IFERROR(__xludf.DUMMYFUNCTION("VLOOKUP(A95,IMPORTRANGE(""1QZ5UxyNCwadreQAXnQ7oCoH982DjIA-QnZdO7ZoqkC0/edit#gid=884617569"",""S3 Totals!$A$2:$O$255""),2,FALSE)"),1.0)</f>
        <v>1</v>
      </c>
      <c r="E95" s="15">
        <f>IFERROR(__xludf.DUMMYFUNCTION("VLOOKUP(A95,IMPORTRANGE(""1QZ5UxyNCwadreQAXnQ7oCoH982DjIA-QnZdO7ZoqkC0/edit#gid=884617569"",""S3 Totals!$A$2:$O$255""),3,FALSE)"),0.013513513513513514)</f>
        <v>0.01351351351</v>
      </c>
      <c r="F95" s="15">
        <f t="shared" si="1"/>
        <v>0.0001851166235</v>
      </c>
      <c r="G95" s="16">
        <f>IFERROR(__xludf.DUMMYFUNCTION("VLOOKUP(A95,IMPORTRANGE(""1QZ5UxyNCwadreQAXnQ7oCoH982DjIA-QnZdO7ZoqkC0/edit#gid=884617569"",""S3 Totals!$A$2:$O$255""),4,FALSE)"),1.0)</f>
        <v>1</v>
      </c>
      <c r="H95" s="15">
        <f>IFERROR(__xludf.DUMMYFUNCTION("VLOOKUP(A95,IMPORTRANGE(""1QZ5UxyNCwadreQAXnQ7oCoH982DjIA-QnZdO7ZoqkC0/edit#gid=884617569"",""S3 Totals!$A$2:$O$255""),5,FALSE)"),0.012658227848101266)</f>
        <v>0.01265822785</v>
      </c>
      <c r="I95" s="143">
        <f t="shared" si="2"/>
        <v>0.001040402289</v>
      </c>
      <c r="J95" s="16" t="str">
        <f>IFERROR(__xludf.DUMMYFUNCTION("VLOOKUP(A95,IMPORTRANGE(""1QZ5UxyNCwadreQAXnQ7oCoH982DjIA-QnZdO7ZoqkC0/edit#gid=884617569"",""S3 Totals!$A$2:$O$255""),7,FALSE)"),"")</f>
        <v/>
      </c>
      <c r="K95" s="15" t="str">
        <f>IFERROR(__xludf.DUMMYFUNCTION("VLOOKUP(A95,IMPORTRANGE(""1QZ5UxyNCwadreQAXnQ7oCoH982DjIA-QnZdO7ZoqkC0/edit#gid=884617569"",""S3 Totals!$A$2:$O$255""),8,FALSE)"),"")</f>
        <v/>
      </c>
      <c r="L95" s="110">
        <f t="shared" si="5"/>
        <v>0.01351351351</v>
      </c>
      <c r="M95" s="16" t="str">
        <f>IFERROR(__xludf.DUMMYFUNCTION("VLOOKUP(A95,IMPORTRANGE(""1QZ5UxyNCwadreQAXnQ7oCoH982DjIA-QnZdO7ZoqkC0/edit#gid=884617569"",""S3 Totals!$A$2:$O$255""),10,FALSE)"),"")</f>
        <v/>
      </c>
      <c r="N95" s="15" t="str">
        <f>IFERROR(__xludf.DUMMYFUNCTION("VLOOKUP(A95,IMPORTRANGE(""1QZ5UxyNCwadreQAXnQ7oCoH982DjIA-QnZdO7ZoqkC0/edit#gid=884617569"",""S3 Totals!$A$2:$O$255""),11,FALSE)"),"")</f>
        <v/>
      </c>
      <c r="O95" s="110">
        <f t="shared" si="3"/>
        <v>0.01369863014</v>
      </c>
      <c r="P95" s="16" t="str">
        <f>IFERROR(__xludf.DUMMYFUNCTION("VLOOKUP(A95,IMPORTRANGE(""1QZ5UxyNCwadreQAXnQ7oCoH982DjIA-QnZdO7ZoqkC0/edit#gid=884617569"",""S3 Totals!$A$2:$O$255""),13,FALSE)"),"")</f>
        <v/>
      </c>
      <c r="Q95" s="15" t="str">
        <f>IFERROR(__xludf.DUMMYFUNCTION("VLOOKUP(A95,IMPORTRANGE(""1QZ5UxyNCwadreQAXnQ7oCoH982DjIA-QnZdO7ZoqkC0/edit#gid=884617569"",""S3 Totals!$A$2:$O$255""),14,FALSE)"),"")</f>
        <v/>
      </c>
      <c r="R95" s="110">
        <f t="shared" si="4"/>
        <v>0.01369863014</v>
      </c>
      <c r="S95" s="144"/>
    </row>
    <row r="96">
      <c r="A96" s="128" t="s">
        <v>51</v>
      </c>
      <c r="B96" s="16">
        <f>IFERROR(__xludf.DUMMYFUNCTION("VLOOKUP(A96,IMPORTRANGE(""1aFCnJY1qhIj8-JckJhDJ18aqmVo17tofpQmOjcYa3u8/edit#gid=1878241338"",""S3 Totals!$A$2:$O$255""),2,FALSE)"),70.0)</f>
        <v>70</v>
      </c>
      <c r="C96" s="15">
        <f>IFERROR(__xludf.DUMMYFUNCTION("VLOOKUP(A96,IMPORTRANGE(""1aFCnJY1qhIj8-JckJhDJ18aqmVo17tofpQmOjcYa3u8/edit#gid=1878241338"",""S3 Totals!$A$2:$O$255""),3,FALSE)"),0.958904109589041)</f>
        <v>0.9589041096</v>
      </c>
      <c r="D96" s="16">
        <f>IFERROR(__xludf.DUMMYFUNCTION("VLOOKUP(A96,IMPORTRANGE(""1QZ5UxyNCwadreQAXnQ7oCoH982DjIA-QnZdO7ZoqkC0/edit#gid=884617569"",""S3 Totals!$A$2:$O$255""),2,FALSE)"),71.0)</f>
        <v>71</v>
      </c>
      <c r="E96" s="15">
        <f>IFERROR(__xludf.DUMMYFUNCTION("VLOOKUP(A96,IMPORTRANGE(""1QZ5UxyNCwadreQAXnQ7oCoH982DjIA-QnZdO7ZoqkC0/edit#gid=884617569"",""S3 Totals!$A$2:$O$255""),3,FALSE)"),0.9594594594594594)</f>
        <v>0.9594594595</v>
      </c>
      <c r="F96" s="15">
        <f t="shared" si="1"/>
        <v>-0.0005553498704</v>
      </c>
      <c r="G96" s="16">
        <f>IFERROR(__xludf.DUMMYFUNCTION("VLOOKUP(A96,IMPORTRANGE(""1QZ5UxyNCwadreQAXnQ7oCoH982DjIA-QnZdO7ZoqkC0/edit#gid=884617569"",""S3 Totals!$A$2:$O$255""),4,FALSE)"),41.0)</f>
        <v>41</v>
      </c>
      <c r="H96" s="15">
        <f>IFERROR(__xludf.DUMMYFUNCTION("VLOOKUP(A96,IMPORTRANGE(""1QZ5UxyNCwadreQAXnQ7oCoH982DjIA-QnZdO7ZoqkC0/edit#gid=884617569"",""S3 Totals!$A$2:$O$255""),5,FALSE)"),0.5189873417721519)</f>
        <v>0.5189873418</v>
      </c>
      <c r="I96" s="143">
        <f t="shared" si="2"/>
        <v>0.4399167678</v>
      </c>
      <c r="J96" s="16">
        <f>IFERROR(__xludf.DUMMYFUNCTION("VLOOKUP(A96,IMPORTRANGE(""1QZ5UxyNCwadreQAXnQ7oCoH982DjIA-QnZdO7ZoqkC0/edit#gid=884617569"",""S3 Totals!$A$2:$O$255""),7,FALSE)"),37.0)</f>
        <v>37</v>
      </c>
      <c r="K96" s="15">
        <f>IFERROR(__xludf.DUMMYFUNCTION("VLOOKUP(A96,IMPORTRANGE(""1QZ5UxyNCwadreQAXnQ7oCoH982DjIA-QnZdO7ZoqkC0/edit#gid=884617569"",""S3 Totals!$A$2:$O$255""),8,FALSE)"),0.43529411764705883)</f>
        <v>0.4352941176</v>
      </c>
      <c r="L96" s="110">
        <f t="shared" si="5"/>
        <v>0.5241653418</v>
      </c>
      <c r="M96" s="16">
        <f>IFERROR(__xludf.DUMMYFUNCTION("VLOOKUP(A96,IMPORTRANGE(""1QZ5UxyNCwadreQAXnQ7oCoH982DjIA-QnZdO7ZoqkC0/edit#gid=884617569"",""S3 Totals!$A$2:$O$255""),10,FALSE)"),9.0)</f>
        <v>9</v>
      </c>
      <c r="N96" s="15">
        <f>IFERROR(__xludf.DUMMYFUNCTION("VLOOKUP(A96,IMPORTRANGE(""1QZ5UxyNCwadreQAXnQ7oCoH982DjIA-QnZdO7ZoqkC0/edit#gid=884617569"",""S3 Totals!$A$2:$O$255""),11,FALSE)"),0.10588235294117647)</f>
        <v>0.1058823529</v>
      </c>
      <c r="O96" s="110">
        <f t="shared" si="3"/>
        <v>0.8530217566</v>
      </c>
      <c r="P96" s="16">
        <f>IFERROR(__xludf.DUMMYFUNCTION("VLOOKUP(A96,IMPORTRANGE(""1QZ5UxyNCwadreQAXnQ7oCoH982DjIA-QnZdO7ZoqkC0/edit#gid=884617569"",""S3 Totals!$A$2:$O$255""),13,FALSE)"),1.0)</f>
        <v>1</v>
      </c>
      <c r="Q96" s="15">
        <f>IFERROR(__xludf.DUMMYFUNCTION("VLOOKUP(A96,IMPORTRANGE(""1QZ5UxyNCwadreQAXnQ7oCoH982DjIA-QnZdO7ZoqkC0/edit#gid=884617569"",""S3 Totals!$A$2:$O$255""),14,FALSE)"),0.011764705882352941)</f>
        <v>0.01176470588</v>
      </c>
      <c r="R96" s="110">
        <f t="shared" si="4"/>
        <v>0.9471394037</v>
      </c>
      <c r="S96" s="144"/>
    </row>
    <row r="97">
      <c r="A97" s="128" t="s">
        <v>266</v>
      </c>
      <c r="B97" s="16">
        <f>IFERROR(__xludf.DUMMYFUNCTION("VLOOKUP(A97,IMPORTRANGE(""1aFCnJY1qhIj8-JckJhDJ18aqmVo17tofpQmOjcYa3u8/edit#gid=1878241338"",""S3 Totals!$A$2:$O$255""),2,FALSE)"),29.0)</f>
        <v>29</v>
      </c>
      <c r="C97" s="15">
        <f>IFERROR(__xludf.DUMMYFUNCTION("VLOOKUP(A97,IMPORTRANGE(""1aFCnJY1qhIj8-JckJhDJ18aqmVo17tofpQmOjcYa3u8/edit#gid=1878241338"",""S3 Totals!$A$2:$O$255""),3,FALSE)"),0.3972602739726027)</f>
        <v>0.397260274</v>
      </c>
      <c r="D97" s="16" t="str">
        <f>IFERROR(__xludf.DUMMYFUNCTION("VLOOKUP(A97,IMPORTRANGE(""1QZ5UxyNCwadreQAXnQ7oCoH982DjIA-QnZdO7ZoqkC0/edit#gid=884617569"",""S3 Totals!$A$2:$O$255""),2,FALSE)"),"#N/A")</f>
        <v>#N/A</v>
      </c>
      <c r="E97" s="15" t="str">
        <f>IFERROR(__xludf.DUMMYFUNCTION("VLOOKUP(A97,IMPORTRANGE(""1QZ5UxyNCwadreQAXnQ7oCoH982DjIA-QnZdO7ZoqkC0/edit#gid=884617569"",""S3 Totals!$A$2:$O$255""),3,FALSE)"),"#N/A")</f>
        <v>#N/A</v>
      </c>
      <c r="F97" s="16" t="str">
        <f t="shared" si="1"/>
        <v>#N/A</v>
      </c>
      <c r="G97" s="16" t="str">
        <f>IFERROR(__xludf.DUMMYFUNCTION("VLOOKUP(A97,IMPORTRANGE(""1QZ5UxyNCwadreQAXnQ7oCoH982DjIA-QnZdO7ZoqkC0/edit#gid=884617569"",""S3 Totals!$A$2:$O$255""),4,FALSE)"),"#N/A")</f>
        <v>#N/A</v>
      </c>
      <c r="H97" s="15" t="str">
        <f>IFERROR(__xludf.DUMMYFUNCTION("VLOOKUP(A97,IMPORTRANGE(""1QZ5UxyNCwadreQAXnQ7oCoH982DjIA-QnZdO7ZoqkC0/edit#gid=884617569"",""S3 Totals!$A$2:$O$255""),5,FALSE)"),"#N/A")</f>
        <v>#N/A</v>
      </c>
      <c r="I97" s="143" t="str">
        <f t="shared" si="2"/>
        <v>#N/A</v>
      </c>
      <c r="J97" s="16" t="str">
        <f>IFERROR(__xludf.DUMMYFUNCTION("VLOOKUP(A97,IMPORTRANGE(""1QZ5UxyNCwadreQAXnQ7oCoH982DjIA-QnZdO7ZoqkC0/edit#gid=884617569"",""S3 Totals!$A$2:$O$255""),7,FALSE)"),"#N/A")</f>
        <v>#N/A</v>
      </c>
      <c r="K97" s="15" t="str">
        <f>IFERROR(__xludf.DUMMYFUNCTION("VLOOKUP(A97,IMPORTRANGE(""1QZ5UxyNCwadreQAXnQ7oCoH982DjIA-QnZdO7ZoqkC0/edit#gid=884617569"",""S3 Totals!$A$2:$O$255""),8,FALSE)"),"#N/A")</f>
        <v>#N/A</v>
      </c>
      <c r="L97" s="110" t="str">
        <f t="shared" si="5"/>
        <v>#N/A</v>
      </c>
      <c r="M97" s="16" t="str">
        <f>IFERROR(__xludf.DUMMYFUNCTION("VLOOKUP(A97,IMPORTRANGE(""1QZ5UxyNCwadreQAXnQ7oCoH982DjIA-QnZdO7ZoqkC0/edit#gid=884617569"",""S3 Totals!$A$2:$O$255""),10,FALSE)"),"#N/A")</f>
        <v>#N/A</v>
      </c>
      <c r="N97" s="15" t="str">
        <f>IFERROR(__xludf.DUMMYFUNCTION("VLOOKUP(A97,IMPORTRANGE(""1QZ5UxyNCwadreQAXnQ7oCoH982DjIA-QnZdO7ZoqkC0/edit#gid=884617569"",""S3 Totals!$A$2:$O$255""),11,FALSE)"),"#N/A")</f>
        <v>#N/A</v>
      </c>
      <c r="O97" s="110" t="str">
        <f t="shared" si="3"/>
        <v>#N/A</v>
      </c>
      <c r="P97" s="16" t="str">
        <f>IFERROR(__xludf.DUMMYFUNCTION("VLOOKUP(A97,IMPORTRANGE(""1QZ5UxyNCwadreQAXnQ7oCoH982DjIA-QnZdO7ZoqkC0/edit#gid=884617569"",""S3 Totals!$A$2:$O$255""),13,FALSE)"),"#N/A")</f>
        <v>#N/A</v>
      </c>
      <c r="Q97" s="15" t="str">
        <f>IFERROR(__xludf.DUMMYFUNCTION("VLOOKUP(A97,IMPORTRANGE(""1QZ5UxyNCwadreQAXnQ7oCoH982DjIA-QnZdO7ZoqkC0/edit#gid=884617569"",""S3 Totals!$A$2:$O$255""),14,FALSE)"),"#N/A")</f>
        <v>#N/A</v>
      </c>
      <c r="R97" s="110" t="str">
        <f t="shared" si="4"/>
        <v>#N/A</v>
      </c>
      <c r="S97" s="144"/>
    </row>
    <row r="98">
      <c r="A98" s="128" t="s">
        <v>52</v>
      </c>
      <c r="B98" s="16">
        <f>IFERROR(__xludf.DUMMYFUNCTION("VLOOKUP(A98,IMPORTRANGE(""1aFCnJY1qhIj8-JckJhDJ18aqmVo17tofpQmOjcYa3u8/edit#gid=1878241338"",""S3 Totals!$A$2:$O$255""),2,FALSE)"),26.0)</f>
        <v>26</v>
      </c>
      <c r="C98" s="15">
        <f>IFERROR(__xludf.DUMMYFUNCTION("VLOOKUP(A98,IMPORTRANGE(""1aFCnJY1qhIj8-JckJhDJ18aqmVo17tofpQmOjcYa3u8/edit#gid=1878241338"",""S3 Totals!$A$2:$O$255""),3,FALSE)"),0.3561643835616438)</f>
        <v>0.3561643836</v>
      </c>
      <c r="D98" s="16">
        <f>IFERROR(__xludf.DUMMYFUNCTION("VLOOKUP(A98,IMPORTRANGE(""1QZ5UxyNCwadreQAXnQ7oCoH982DjIA-QnZdO7ZoqkC0/edit#gid=884617569"",""S3 Totals!$A$2:$O$255""),2,FALSE)"),23.0)</f>
        <v>23</v>
      </c>
      <c r="E98" s="15">
        <f>IFERROR(__xludf.DUMMYFUNCTION("VLOOKUP(A98,IMPORTRANGE(""1QZ5UxyNCwadreQAXnQ7oCoH982DjIA-QnZdO7ZoqkC0/edit#gid=884617569"",""S3 Totals!$A$2:$O$255""),3,FALSE)"),0.3108108108108108)</f>
        <v>0.3108108108</v>
      </c>
      <c r="F98" s="15">
        <f t="shared" si="1"/>
        <v>0.04535357275</v>
      </c>
      <c r="G98" s="16">
        <f>IFERROR(__xludf.DUMMYFUNCTION("VLOOKUP(A98,IMPORTRANGE(""1QZ5UxyNCwadreQAXnQ7oCoH982DjIA-QnZdO7ZoqkC0/edit#gid=884617569"",""S3 Totals!$A$2:$O$255""),4,FALSE)"),10.0)</f>
        <v>10</v>
      </c>
      <c r="H98" s="15">
        <f>IFERROR(__xludf.DUMMYFUNCTION("VLOOKUP(A98,IMPORTRANGE(""1QZ5UxyNCwadreQAXnQ7oCoH982DjIA-QnZdO7ZoqkC0/edit#gid=884617569"",""S3 Totals!$A$2:$O$255""),5,FALSE)"),0.12658227848101267)</f>
        <v>0.1265822785</v>
      </c>
      <c r="I98" s="143">
        <f t="shared" si="2"/>
        <v>0.2295821051</v>
      </c>
      <c r="J98" s="16">
        <f>IFERROR(__xludf.DUMMYFUNCTION("VLOOKUP(A98,IMPORTRANGE(""1QZ5UxyNCwadreQAXnQ7oCoH982DjIA-QnZdO7ZoqkC0/edit#gid=884617569"",""S3 Totals!$A$2:$O$255""),7,FALSE)"),1.0)</f>
        <v>1</v>
      </c>
      <c r="K98" s="15">
        <f>IFERROR(__xludf.DUMMYFUNCTION("VLOOKUP(A98,IMPORTRANGE(""1QZ5UxyNCwadreQAXnQ7oCoH982DjIA-QnZdO7ZoqkC0/edit#gid=884617569"",""S3 Totals!$A$2:$O$255""),8,FALSE)"),0.011764705882352941)</f>
        <v>0.01176470588</v>
      </c>
      <c r="L98" s="110">
        <f t="shared" si="5"/>
        <v>0.2990461049</v>
      </c>
      <c r="M98" s="16">
        <f>IFERROR(__xludf.DUMMYFUNCTION("VLOOKUP(A98,IMPORTRANGE(""1QZ5UxyNCwadreQAXnQ7oCoH982DjIA-QnZdO7ZoqkC0/edit#gid=884617569"",""S3 Totals!$A$2:$O$255""),10,FALSE)"),1.0)</f>
        <v>1</v>
      </c>
      <c r="N98" s="15">
        <f>IFERROR(__xludf.DUMMYFUNCTION("VLOOKUP(A98,IMPORTRANGE(""1QZ5UxyNCwadreQAXnQ7oCoH982DjIA-QnZdO7ZoqkC0/edit#gid=884617569"",""S3 Totals!$A$2:$O$255""),11,FALSE)"),0.011764705882352941)</f>
        <v>0.01176470588</v>
      </c>
      <c r="O98" s="110">
        <f t="shared" si="3"/>
        <v>0.3443996777</v>
      </c>
      <c r="P98" s="16">
        <f>IFERROR(__xludf.DUMMYFUNCTION("VLOOKUP(A98,IMPORTRANGE(""1QZ5UxyNCwadreQAXnQ7oCoH982DjIA-QnZdO7ZoqkC0/edit#gid=884617569"",""S3 Totals!$A$2:$O$255""),13,FALSE)"),1.0)</f>
        <v>1</v>
      </c>
      <c r="Q98" s="15">
        <f>IFERROR(__xludf.DUMMYFUNCTION("VLOOKUP(A98,IMPORTRANGE(""1QZ5UxyNCwadreQAXnQ7oCoH982DjIA-QnZdO7ZoqkC0/edit#gid=884617569"",""S3 Totals!$A$2:$O$255""),14,FALSE)"),0.011764705882352941)</f>
        <v>0.01176470588</v>
      </c>
      <c r="R98" s="110">
        <f t="shared" si="4"/>
        <v>0.3443996777</v>
      </c>
      <c r="S98" s="144"/>
    </row>
    <row r="99">
      <c r="A99" s="128" t="s">
        <v>53</v>
      </c>
      <c r="B99" s="16">
        <f>IFERROR(__xludf.DUMMYFUNCTION("VLOOKUP(A99,IMPORTRANGE(""1aFCnJY1qhIj8-JckJhDJ18aqmVo17tofpQmOjcYa3u8/edit#gid=1878241338"",""S3 Totals!$A$2:$O$255""),2,FALSE)"),21.0)</f>
        <v>21</v>
      </c>
      <c r="C99" s="15">
        <f>IFERROR(__xludf.DUMMYFUNCTION("VLOOKUP(A99,IMPORTRANGE(""1aFCnJY1qhIj8-JckJhDJ18aqmVo17tofpQmOjcYa3u8/edit#gid=1878241338"",""S3 Totals!$A$2:$O$255""),3,FALSE)"),0.2876712328767123)</f>
        <v>0.2876712329</v>
      </c>
      <c r="D99" s="16">
        <f>IFERROR(__xludf.DUMMYFUNCTION("VLOOKUP(A99,IMPORTRANGE(""1QZ5UxyNCwadreQAXnQ7oCoH982DjIA-QnZdO7ZoqkC0/edit#gid=884617569"",""S3 Totals!$A$2:$O$255""),2,FALSE)"),0.0)</f>
        <v>0</v>
      </c>
      <c r="E99" s="15">
        <f>IFERROR(__xludf.DUMMYFUNCTION("VLOOKUP(A99,IMPORTRANGE(""1QZ5UxyNCwadreQAXnQ7oCoH982DjIA-QnZdO7ZoqkC0/edit#gid=884617569"",""S3 Totals!$A$2:$O$255""),3,FALSE)"),0.0)</f>
        <v>0</v>
      </c>
      <c r="F99" s="15">
        <f t="shared" si="1"/>
        <v>0.2876712329</v>
      </c>
      <c r="G99" s="16">
        <f>IFERROR(__xludf.DUMMYFUNCTION("VLOOKUP(A99,IMPORTRANGE(""1QZ5UxyNCwadreQAXnQ7oCoH982DjIA-QnZdO7ZoqkC0/edit#gid=884617569"",""S3 Totals!$A$2:$O$255""),4,FALSE)"),0.0)</f>
        <v>0</v>
      </c>
      <c r="H99" s="15">
        <f>IFERROR(__xludf.DUMMYFUNCTION("VLOOKUP(A99,IMPORTRANGE(""1QZ5UxyNCwadreQAXnQ7oCoH982DjIA-QnZdO7ZoqkC0/edit#gid=884617569"",""S3 Totals!$A$2:$O$255""),5,FALSE)"),0.0)</f>
        <v>0</v>
      </c>
      <c r="I99" s="143">
        <f t="shared" si="2"/>
        <v>0.2876712329</v>
      </c>
      <c r="J99" s="16">
        <f>IFERROR(__xludf.DUMMYFUNCTION("VLOOKUP(A99,IMPORTRANGE(""1QZ5UxyNCwadreQAXnQ7oCoH982DjIA-QnZdO7ZoqkC0/edit#gid=884617569"",""S3 Totals!$A$2:$O$255""),7,FALSE)"),0.0)</f>
        <v>0</v>
      </c>
      <c r="K99" s="15">
        <f>IFERROR(__xludf.DUMMYFUNCTION("VLOOKUP(A99,IMPORTRANGE(""1QZ5UxyNCwadreQAXnQ7oCoH982DjIA-QnZdO7ZoqkC0/edit#gid=884617569"",""S3 Totals!$A$2:$O$255""),8,FALSE)"),0.0)</f>
        <v>0</v>
      </c>
      <c r="L99" s="110">
        <f t="shared" si="5"/>
        <v>0</v>
      </c>
      <c r="M99" s="16">
        <f>IFERROR(__xludf.DUMMYFUNCTION("VLOOKUP(A99,IMPORTRANGE(""1QZ5UxyNCwadreQAXnQ7oCoH982DjIA-QnZdO7ZoqkC0/edit#gid=884617569"",""S3 Totals!$A$2:$O$255""),10,FALSE)"),1.0)</f>
        <v>1</v>
      </c>
      <c r="N99" s="15">
        <f>IFERROR(__xludf.DUMMYFUNCTION("VLOOKUP(A99,IMPORTRANGE(""1QZ5UxyNCwadreQAXnQ7oCoH982DjIA-QnZdO7ZoqkC0/edit#gid=884617569"",""S3 Totals!$A$2:$O$255""),11,FALSE)"),0.011764705882352941)</f>
        <v>0.01176470588</v>
      </c>
      <c r="O99" s="110">
        <f t="shared" si="3"/>
        <v>0.275906527</v>
      </c>
      <c r="P99" s="16">
        <f>IFERROR(__xludf.DUMMYFUNCTION("VLOOKUP(A99,IMPORTRANGE(""1QZ5UxyNCwadreQAXnQ7oCoH982DjIA-QnZdO7ZoqkC0/edit#gid=884617569"",""S3 Totals!$A$2:$O$255""),13,FALSE)"),0.0)</f>
        <v>0</v>
      </c>
      <c r="Q99" s="15">
        <f>IFERROR(__xludf.DUMMYFUNCTION("VLOOKUP(A99,IMPORTRANGE(""1QZ5UxyNCwadreQAXnQ7oCoH982DjIA-QnZdO7ZoqkC0/edit#gid=884617569"",""S3 Totals!$A$2:$O$255""),14,FALSE)"),0.0)</f>
        <v>0</v>
      </c>
      <c r="R99" s="110">
        <f t="shared" si="4"/>
        <v>0.2876712329</v>
      </c>
      <c r="S99" s="144"/>
    </row>
    <row r="100">
      <c r="A100" s="128" t="s">
        <v>54</v>
      </c>
      <c r="B100" s="16">
        <f>IFERROR(__xludf.DUMMYFUNCTION("VLOOKUP(A100,IMPORTRANGE(""1aFCnJY1qhIj8-JckJhDJ18aqmVo17tofpQmOjcYa3u8/edit#gid=1878241338"",""S3 Totals!$A$2:$O$255""),2,FALSE)"),60.0)</f>
        <v>60</v>
      </c>
      <c r="C100" s="15">
        <f>IFERROR(__xludf.DUMMYFUNCTION("VLOOKUP(A100,IMPORTRANGE(""1aFCnJY1qhIj8-JckJhDJ18aqmVo17tofpQmOjcYa3u8/edit#gid=1878241338"",""S3 Totals!$A$2:$O$255""),3,FALSE)"),0.821917808219178)</f>
        <v>0.8219178082</v>
      </c>
      <c r="D100" s="16">
        <f>IFERROR(__xludf.DUMMYFUNCTION("VLOOKUP(A100,IMPORTRANGE(""1QZ5UxyNCwadreQAXnQ7oCoH982DjIA-QnZdO7ZoqkC0/edit#gid=884617569"",""S3 Totals!$A$2:$O$255""),2,FALSE)"),60.0)</f>
        <v>60</v>
      </c>
      <c r="E100" s="15">
        <f>IFERROR(__xludf.DUMMYFUNCTION("VLOOKUP(A100,IMPORTRANGE(""1QZ5UxyNCwadreQAXnQ7oCoH982DjIA-QnZdO7ZoqkC0/edit#gid=884617569"",""S3 Totals!$A$2:$O$255""),3,FALSE)"),0.8108108108108109)</f>
        <v>0.8108108108</v>
      </c>
      <c r="F100" s="15">
        <f t="shared" si="1"/>
        <v>0.01110699741</v>
      </c>
      <c r="G100" s="16">
        <f>IFERROR(__xludf.DUMMYFUNCTION("VLOOKUP(A100,IMPORTRANGE(""1QZ5UxyNCwadreQAXnQ7oCoH982DjIA-QnZdO7ZoqkC0/edit#gid=884617569"",""S3 Totals!$A$2:$O$255""),4,FALSE)"),61.0)</f>
        <v>61</v>
      </c>
      <c r="H100" s="15">
        <f>IFERROR(__xludf.DUMMYFUNCTION("VLOOKUP(A100,IMPORTRANGE(""1QZ5UxyNCwadreQAXnQ7oCoH982DjIA-QnZdO7ZoqkC0/edit#gid=884617569"",""S3 Totals!$A$2:$O$255""),5,FALSE)"),0.7721518987341772)</f>
        <v>0.7721518987</v>
      </c>
      <c r="I100" s="143">
        <f t="shared" si="2"/>
        <v>0.04976590949</v>
      </c>
      <c r="J100" s="16">
        <f>IFERROR(__xludf.DUMMYFUNCTION("VLOOKUP(A100,IMPORTRANGE(""1QZ5UxyNCwadreQAXnQ7oCoH982DjIA-QnZdO7ZoqkC0/edit#gid=884617569"",""S3 Totals!$A$2:$O$255""),7,FALSE)"),39.0)</f>
        <v>39</v>
      </c>
      <c r="K100" s="15">
        <f>IFERROR(__xludf.DUMMYFUNCTION("VLOOKUP(A100,IMPORTRANGE(""1QZ5UxyNCwadreQAXnQ7oCoH982DjIA-QnZdO7ZoqkC0/edit#gid=884617569"",""S3 Totals!$A$2:$O$255""),8,FALSE)"),0.4588235294117647)</f>
        <v>0.4588235294</v>
      </c>
      <c r="L100" s="110">
        <f t="shared" si="5"/>
        <v>0.3519872814</v>
      </c>
      <c r="M100" s="16">
        <f>IFERROR(__xludf.DUMMYFUNCTION("VLOOKUP(A100,IMPORTRANGE(""1QZ5UxyNCwadreQAXnQ7oCoH982DjIA-QnZdO7ZoqkC0/edit#gid=884617569"",""S3 Totals!$A$2:$O$255""),10,FALSE)"),40.0)</f>
        <v>40</v>
      </c>
      <c r="N100" s="15">
        <f>IFERROR(__xludf.DUMMYFUNCTION("VLOOKUP(A100,IMPORTRANGE(""1QZ5UxyNCwadreQAXnQ7oCoH982DjIA-QnZdO7ZoqkC0/edit#gid=884617569"",""S3 Totals!$A$2:$O$255""),11,FALSE)"),0.47058823529411764)</f>
        <v>0.4705882353</v>
      </c>
      <c r="O100" s="110">
        <f t="shared" si="3"/>
        <v>0.3513295729</v>
      </c>
      <c r="P100" s="16">
        <f>IFERROR(__xludf.DUMMYFUNCTION("VLOOKUP(A100,IMPORTRANGE(""1QZ5UxyNCwadreQAXnQ7oCoH982DjIA-QnZdO7ZoqkC0/edit#gid=884617569"",""S3 Totals!$A$2:$O$255""),13,FALSE)"),25.0)</f>
        <v>25</v>
      </c>
      <c r="Q100" s="15">
        <f>IFERROR(__xludf.DUMMYFUNCTION("VLOOKUP(A100,IMPORTRANGE(""1QZ5UxyNCwadreQAXnQ7oCoH982DjIA-QnZdO7ZoqkC0/edit#gid=884617569"",""S3 Totals!$A$2:$O$255""),14,FALSE)"),0.29411764705882354)</f>
        <v>0.2941176471</v>
      </c>
      <c r="R100" s="110">
        <f t="shared" si="4"/>
        <v>0.5278001612</v>
      </c>
      <c r="S100" s="144"/>
    </row>
    <row r="101">
      <c r="A101" s="128" t="s">
        <v>55</v>
      </c>
      <c r="B101" s="16">
        <f>IFERROR(__xludf.DUMMYFUNCTION("VLOOKUP(A101,IMPORTRANGE(""1aFCnJY1qhIj8-JckJhDJ18aqmVo17tofpQmOjcYa3u8/edit#gid=1878241338"",""S3 Totals!$A$2:$O$255""),2,FALSE)"),27.0)</f>
        <v>27</v>
      </c>
      <c r="C101" s="15">
        <f>IFERROR(__xludf.DUMMYFUNCTION("VLOOKUP(A101,IMPORTRANGE(""1aFCnJY1qhIj8-JckJhDJ18aqmVo17tofpQmOjcYa3u8/edit#gid=1878241338"",""S3 Totals!$A$2:$O$255""),3,FALSE)"),0.3698630136986301)</f>
        <v>0.3698630137</v>
      </c>
      <c r="D101" s="16">
        <f>IFERROR(__xludf.DUMMYFUNCTION("VLOOKUP(A101,IMPORTRANGE(""1QZ5UxyNCwadreQAXnQ7oCoH982DjIA-QnZdO7ZoqkC0/edit#gid=884617569"",""S3 Totals!$A$2:$O$255""),2,FALSE)"),29.0)</f>
        <v>29</v>
      </c>
      <c r="E101" s="15">
        <f>IFERROR(__xludf.DUMMYFUNCTION("VLOOKUP(A101,IMPORTRANGE(""1QZ5UxyNCwadreQAXnQ7oCoH982DjIA-QnZdO7ZoqkC0/edit#gid=884617569"",""S3 Totals!$A$2:$O$255""),3,FALSE)"),0.3918918918918919)</f>
        <v>0.3918918919</v>
      </c>
      <c r="F101" s="15">
        <f t="shared" si="1"/>
        <v>-0.02202887819</v>
      </c>
      <c r="G101" s="16">
        <f>IFERROR(__xludf.DUMMYFUNCTION("VLOOKUP(A101,IMPORTRANGE(""1QZ5UxyNCwadreQAXnQ7oCoH982DjIA-QnZdO7ZoqkC0/edit#gid=884617569"",""S3 Totals!$A$2:$O$255""),4,FALSE)"),40.0)</f>
        <v>40</v>
      </c>
      <c r="H101" s="15">
        <f>IFERROR(__xludf.DUMMYFUNCTION("VLOOKUP(A101,IMPORTRANGE(""1QZ5UxyNCwadreQAXnQ7oCoH982DjIA-QnZdO7ZoqkC0/edit#gid=884617569"",""S3 Totals!$A$2:$O$255""),5,FALSE)"),0.5063291139240507)</f>
        <v>0.5063291139</v>
      </c>
      <c r="I101" s="143">
        <f t="shared" si="2"/>
        <v>-0.1364661002</v>
      </c>
      <c r="J101" s="16">
        <f>IFERROR(__xludf.DUMMYFUNCTION("VLOOKUP(A101,IMPORTRANGE(""1QZ5UxyNCwadreQAXnQ7oCoH982DjIA-QnZdO7ZoqkC0/edit#gid=884617569"",""S3 Totals!$A$2:$O$255""),7,FALSE)"),38.0)</f>
        <v>38</v>
      </c>
      <c r="K101" s="15">
        <f>IFERROR(__xludf.DUMMYFUNCTION("VLOOKUP(A101,IMPORTRANGE(""1QZ5UxyNCwadreQAXnQ7oCoH982DjIA-QnZdO7ZoqkC0/edit#gid=884617569"",""S3 Totals!$A$2:$O$255""),8,FALSE)"),0.4470588235294118)</f>
        <v>0.4470588235</v>
      </c>
      <c r="L101" s="110">
        <f t="shared" si="5"/>
        <v>-0.05516693164</v>
      </c>
      <c r="M101" s="16">
        <f>IFERROR(__xludf.DUMMYFUNCTION("VLOOKUP(A101,IMPORTRANGE(""1QZ5UxyNCwadreQAXnQ7oCoH982DjIA-QnZdO7ZoqkC0/edit#gid=884617569"",""S3 Totals!$A$2:$O$255""),10,FALSE)"),17.0)</f>
        <v>17</v>
      </c>
      <c r="N101" s="15">
        <f>IFERROR(__xludf.DUMMYFUNCTION("VLOOKUP(A101,IMPORTRANGE(""1QZ5UxyNCwadreQAXnQ7oCoH982DjIA-QnZdO7ZoqkC0/edit#gid=884617569"",""S3 Totals!$A$2:$O$255""),11,FALSE)"),0.2)</f>
        <v>0.2</v>
      </c>
      <c r="O101" s="110">
        <f t="shared" si="3"/>
        <v>0.1698630137</v>
      </c>
      <c r="P101" s="16">
        <f>IFERROR(__xludf.DUMMYFUNCTION("VLOOKUP(A101,IMPORTRANGE(""1QZ5UxyNCwadreQAXnQ7oCoH982DjIA-QnZdO7ZoqkC0/edit#gid=884617569"",""S3 Totals!$A$2:$O$255""),13,FALSE)"),11.0)</f>
        <v>11</v>
      </c>
      <c r="Q101" s="15">
        <f>IFERROR(__xludf.DUMMYFUNCTION("VLOOKUP(A101,IMPORTRANGE(""1QZ5UxyNCwadreQAXnQ7oCoH982DjIA-QnZdO7ZoqkC0/edit#gid=884617569"",""S3 Totals!$A$2:$O$255""),14,FALSE)"),0.12941176470588237)</f>
        <v>0.1294117647</v>
      </c>
      <c r="R101" s="110">
        <f t="shared" si="4"/>
        <v>0.240451249</v>
      </c>
      <c r="S101" s="144"/>
    </row>
    <row r="102">
      <c r="A102" s="128" t="s">
        <v>50</v>
      </c>
      <c r="B102" s="16">
        <f>IFERROR(__xludf.DUMMYFUNCTION("VLOOKUP(A102,IMPORTRANGE(""1aFCnJY1qhIj8-JckJhDJ18aqmVo17tofpQmOjcYa3u8/edit#gid=1878241338"",""S3 Totals!$A$2:$O$255""),2,FALSE)"),0.0)</f>
        <v>0</v>
      </c>
      <c r="C102" s="15">
        <f>IFERROR(__xludf.DUMMYFUNCTION("VLOOKUP(A102,IMPORTRANGE(""1aFCnJY1qhIj8-JckJhDJ18aqmVo17tofpQmOjcYa3u8/edit#gid=1878241338"",""S3 Totals!$A$2:$O$255""),3,FALSE)"),0.0)</f>
        <v>0</v>
      </c>
      <c r="D102" s="16">
        <f>IFERROR(__xludf.DUMMYFUNCTION("VLOOKUP(A102,IMPORTRANGE(""1QZ5UxyNCwadreQAXnQ7oCoH982DjIA-QnZdO7ZoqkC0/edit#gid=884617569"",""S3 Totals!$A$2:$O$255""),2,FALSE)"),0.0)</f>
        <v>0</v>
      </c>
      <c r="E102" s="15">
        <f>IFERROR(__xludf.DUMMYFUNCTION("VLOOKUP(A102,IMPORTRANGE(""1QZ5UxyNCwadreQAXnQ7oCoH982DjIA-QnZdO7ZoqkC0/edit#gid=884617569"",""S3 Totals!$A$2:$O$255""),3,FALSE)"),0.0)</f>
        <v>0</v>
      </c>
      <c r="F102" s="15">
        <f t="shared" si="1"/>
        <v>0</v>
      </c>
      <c r="G102" s="16">
        <f>IFERROR(__xludf.DUMMYFUNCTION("VLOOKUP(A102,IMPORTRANGE(""1QZ5UxyNCwadreQAXnQ7oCoH982DjIA-QnZdO7ZoqkC0/edit#gid=884617569"",""S3 Totals!$A$2:$O$255""),4,FALSE)"),0.0)</f>
        <v>0</v>
      </c>
      <c r="H102" s="15">
        <f>IFERROR(__xludf.DUMMYFUNCTION("VLOOKUP(A102,IMPORTRANGE(""1QZ5UxyNCwadreQAXnQ7oCoH982DjIA-QnZdO7ZoqkC0/edit#gid=884617569"",""S3 Totals!$A$2:$O$255""),5,FALSE)"),0.0)</f>
        <v>0</v>
      </c>
      <c r="I102" s="143">
        <f t="shared" si="2"/>
        <v>0</v>
      </c>
      <c r="J102" s="16">
        <f>IFERROR(__xludf.DUMMYFUNCTION("VLOOKUP(A102,IMPORTRANGE(""1QZ5UxyNCwadreQAXnQ7oCoH982DjIA-QnZdO7ZoqkC0/edit#gid=884617569"",""S3 Totals!$A$2:$O$255""),7,FALSE)"),0.0)</f>
        <v>0</v>
      </c>
      <c r="K102" s="15">
        <f>IFERROR(__xludf.DUMMYFUNCTION("VLOOKUP(A102,IMPORTRANGE(""1QZ5UxyNCwadreQAXnQ7oCoH982DjIA-QnZdO7ZoqkC0/edit#gid=884617569"",""S3 Totals!$A$2:$O$255""),8,FALSE)"),0.0)</f>
        <v>0</v>
      </c>
      <c r="L102" s="110">
        <f t="shared" si="5"/>
        <v>0</v>
      </c>
      <c r="M102" s="16">
        <f>IFERROR(__xludf.DUMMYFUNCTION("VLOOKUP(A102,IMPORTRANGE(""1QZ5UxyNCwadreQAXnQ7oCoH982DjIA-QnZdO7ZoqkC0/edit#gid=884617569"",""S3 Totals!$A$2:$O$255""),10,FALSE)"),0.0)</f>
        <v>0</v>
      </c>
      <c r="N102" s="15">
        <f>IFERROR(__xludf.DUMMYFUNCTION("VLOOKUP(A102,IMPORTRANGE(""1QZ5UxyNCwadreQAXnQ7oCoH982DjIA-QnZdO7ZoqkC0/edit#gid=884617569"",""S3 Totals!$A$2:$O$255""),11,FALSE)"),0.0)</f>
        <v>0</v>
      </c>
      <c r="O102" s="110">
        <f t="shared" si="3"/>
        <v>0</v>
      </c>
      <c r="P102" s="16">
        <f>IFERROR(__xludf.DUMMYFUNCTION("VLOOKUP(A102,IMPORTRANGE(""1QZ5UxyNCwadreQAXnQ7oCoH982DjIA-QnZdO7ZoqkC0/edit#gid=884617569"",""S3 Totals!$A$2:$O$255""),13,FALSE)"),0.0)</f>
        <v>0</v>
      </c>
      <c r="Q102" s="15">
        <f>IFERROR(__xludf.DUMMYFUNCTION("VLOOKUP(A102,IMPORTRANGE(""1QZ5UxyNCwadreQAXnQ7oCoH982DjIA-QnZdO7ZoqkC0/edit#gid=884617569"",""S3 Totals!$A$2:$O$255""),14,FALSE)"),0.0)</f>
        <v>0</v>
      </c>
      <c r="R102" s="110">
        <f t="shared" si="4"/>
        <v>0</v>
      </c>
      <c r="S102" s="144"/>
    </row>
    <row r="103">
      <c r="A103" s="128" t="s">
        <v>233</v>
      </c>
      <c r="B103" s="16">
        <f>IFERROR(__xludf.DUMMYFUNCTION("VLOOKUP(A103,IMPORTRANGE(""1aFCnJY1qhIj8-JckJhDJ18aqmVo17tofpQmOjcYa3u8/edit#gid=1878241338"",""S3 Totals!$A$2:$O$255""),2,FALSE)"),34.0)</f>
        <v>34</v>
      </c>
      <c r="C103" s="15">
        <f>IFERROR(__xludf.DUMMYFUNCTION("VLOOKUP(A103,IMPORTRANGE(""1aFCnJY1qhIj8-JckJhDJ18aqmVo17tofpQmOjcYa3u8/edit#gid=1878241338"",""S3 Totals!$A$2:$O$255""),3,FALSE)"),0.4657534246575342)</f>
        <v>0.4657534247</v>
      </c>
      <c r="D103" s="16">
        <f>IFERROR(__xludf.DUMMYFUNCTION("VLOOKUP(A103,IMPORTRANGE(""1QZ5UxyNCwadreQAXnQ7oCoH982DjIA-QnZdO7ZoqkC0/edit#gid=884617569"",""S3 Totals!$A$2:$O$255""),2,FALSE)"),48.0)</f>
        <v>48</v>
      </c>
      <c r="E103" s="15">
        <f>IFERROR(__xludf.DUMMYFUNCTION("VLOOKUP(A103,IMPORTRANGE(""1QZ5UxyNCwadreQAXnQ7oCoH982DjIA-QnZdO7ZoqkC0/edit#gid=884617569"",""S3 Totals!$A$2:$O$255""),3,FALSE)"),0.6486486486486487)</f>
        <v>0.6486486486</v>
      </c>
      <c r="F103" s="15">
        <f t="shared" si="1"/>
        <v>-0.182895224</v>
      </c>
      <c r="G103" s="16">
        <f>IFERROR(__xludf.DUMMYFUNCTION("VLOOKUP(A103,IMPORTRANGE(""1QZ5UxyNCwadreQAXnQ7oCoH982DjIA-QnZdO7ZoqkC0/edit#gid=884617569"",""S3 Totals!$A$2:$O$255""),4,FALSE)"),37.0)</f>
        <v>37</v>
      </c>
      <c r="H103" s="15">
        <f>IFERROR(__xludf.DUMMYFUNCTION("VLOOKUP(A103,IMPORTRANGE(""1QZ5UxyNCwadreQAXnQ7oCoH982DjIA-QnZdO7ZoqkC0/edit#gid=884617569"",""S3 Totals!$A$2:$O$255""),5,FALSE)"),0.46835443037974683)</f>
        <v>0.4683544304</v>
      </c>
      <c r="I103" s="143">
        <f t="shared" si="2"/>
        <v>-0.002601005722</v>
      </c>
      <c r="J103" s="16" t="str">
        <f>IFERROR(__xludf.DUMMYFUNCTION("VLOOKUP(A103,IMPORTRANGE(""1QZ5UxyNCwadreQAXnQ7oCoH982DjIA-QnZdO7ZoqkC0/edit#gid=884617569"",""S3 Totals!$A$2:$O$255""),7,FALSE)"),"")</f>
        <v/>
      </c>
      <c r="K103" s="15" t="str">
        <f>IFERROR(__xludf.DUMMYFUNCTION("VLOOKUP(A103,IMPORTRANGE(""1QZ5UxyNCwadreQAXnQ7oCoH982DjIA-QnZdO7ZoqkC0/edit#gid=884617569"",""S3 Totals!$A$2:$O$255""),8,FALSE)"),"")</f>
        <v/>
      </c>
      <c r="L103" s="110">
        <f t="shared" si="5"/>
        <v>0.6486486486</v>
      </c>
      <c r="M103" s="16" t="str">
        <f>IFERROR(__xludf.DUMMYFUNCTION("VLOOKUP(A103,IMPORTRANGE(""1QZ5UxyNCwadreQAXnQ7oCoH982DjIA-QnZdO7ZoqkC0/edit#gid=884617569"",""S3 Totals!$A$2:$O$255""),10,FALSE)"),"")</f>
        <v/>
      </c>
      <c r="N103" s="15" t="str">
        <f>IFERROR(__xludf.DUMMYFUNCTION("VLOOKUP(A103,IMPORTRANGE(""1QZ5UxyNCwadreQAXnQ7oCoH982DjIA-QnZdO7ZoqkC0/edit#gid=884617569"",""S3 Totals!$A$2:$O$255""),11,FALSE)"),"")</f>
        <v/>
      </c>
      <c r="O103" s="110">
        <f t="shared" si="3"/>
        <v>0.4657534247</v>
      </c>
      <c r="P103" s="16" t="str">
        <f>IFERROR(__xludf.DUMMYFUNCTION("VLOOKUP(A103,IMPORTRANGE(""1QZ5UxyNCwadreQAXnQ7oCoH982DjIA-QnZdO7ZoqkC0/edit#gid=884617569"",""S3 Totals!$A$2:$O$255""),13,FALSE)"),"")</f>
        <v/>
      </c>
      <c r="Q103" s="15" t="str">
        <f>IFERROR(__xludf.DUMMYFUNCTION("VLOOKUP(A103,IMPORTRANGE(""1QZ5UxyNCwadreQAXnQ7oCoH982DjIA-QnZdO7ZoqkC0/edit#gid=884617569"",""S3 Totals!$A$2:$O$255""),14,FALSE)"),"")</f>
        <v/>
      </c>
      <c r="R103" s="110">
        <f t="shared" si="4"/>
        <v>0.4657534247</v>
      </c>
      <c r="S103" s="144"/>
    </row>
    <row r="104">
      <c r="A104" s="128" t="s">
        <v>234</v>
      </c>
      <c r="B104" s="16">
        <f>IFERROR(__xludf.DUMMYFUNCTION("VLOOKUP(A104,IMPORTRANGE(""1aFCnJY1qhIj8-JckJhDJ18aqmVo17tofpQmOjcYa3u8/edit#gid=1878241338"",""S3 Totals!$A$2:$O$255""),2,FALSE)"),30.0)</f>
        <v>30</v>
      </c>
      <c r="C104" s="15">
        <f>IFERROR(__xludf.DUMMYFUNCTION("VLOOKUP(A104,IMPORTRANGE(""1aFCnJY1qhIj8-JckJhDJ18aqmVo17tofpQmOjcYa3u8/edit#gid=1878241338"",""S3 Totals!$A$2:$O$255""),3,FALSE)"),0.410958904109589)</f>
        <v>0.4109589041</v>
      </c>
      <c r="D104" s="16">
        <f>IFERROR(__xludf.DUMMYFUNCTION("VLOOKUP(A104,IMPORTRANGE(""1QZ5UxyNCwadreQAXnQ7oCoH982DjIA-QnZdO7ZoqkC0/edit#gid=884617569"",""S3 Totals!$A$2:$O$255""),2,FALSE)"),35.0)</f>
        <v>35</v>
      </c>
      <c r="E104" s="15">
        <f>IFERROR(__xludf.DUMMYFUNCTION("VLOOKUP(A104,IMPORTRANGE(""1QZ5UxyNCwadreQAXnQ7oCoH982DjIA-QnZdO7ZoqkC0/edit#gid=884617569"",""S3 Totals!$A$2:$O$255""),3,FALSE)"),0.47297297297297297)</f>
        <v>0.472972973</v>
      </c>
      <c r="F104" s="15">
        <f t="shared" si="1"/>
        <v>-0.06201406886</v>
      </c>
      <c r="G104" s="16">
        <f>IFERROR(__xludf.DUMMYFUNCTION("VLOOKUP(A104,IMPORTRANGE(""1QZ5UxyNCwadreQAXnQ7oCoH982DjIA-QnZdO7ZoqkC0/edit#gid=884617569"",""S3 Totals!$A$2:$O$255""),4,FALSE)"),37.0)</f>
        <v>37</v>
      </c>
      <c r="H104" s="15">
        <f>IFERROR(__xludf.DUMMYFUNCTION("VLOOKUP(A104,IMPORTRANGE(""1QZ5UxyNCwadreQAXnQ7oCoH982DjIA-QnZdO7ZoqkC0/edit#gid=884617569"",""S3 Totals!$A$2:$O$255""),5,FALSE)"),0.46835443037974683)</f>
        <v>0.4683544304</v>
      </c>
      <c r="I104" s="143">
        <f t="shared" si="2"/>
        <v>-0.05739552627</v>
      </c>
      <c r="J104" s="16" t="str">
        <f>IFERROR(__xludf.DUMMYFUNCTION("VLOOKUP(A104,IMPORTRANGE(""1QZ5UxyNCwadreQAXnQ7oCoH982DjIA-QnZdO7ZoqkC0/edit#gid=884617569"",""S3 Totals!$A$2:$O$255""),7,FALSE)"),"")</f>
        <v/>
      </c>
      <c r="K104" s="15" t="str">
        <f>IFERROR(__xludf.DUMMYFUNCTION("VLOOKUP(A104,IMPORTRANGE(""1QZ5UxyNCwadreQAXnQ7oCoH982DjIA-QnZdO7ZoqkC0/edit#gid=884617569"",""S3 Totals!$A$2:$O$255""),8,FALSE)"),"")</f>
        <v/>
      </c>
      <c r="L104" s="110">
        <f t="shared" si="5"/>
        <v>0.472972973</v>
      </c>
      <c r="M104" s="16" t="str">
        <f>IFERROR(__xludf.DUMMYFUNCTION("VLOOKUP(A104,IMPORTRANGE(""1QZ5UxyNCwadreQAXnQ7oCoH982DjIA-QnZdO7ZoqkC0/edit#gid=884617569"",""S3 Totals!$A$2:$O$255""),10,FALSE)"),"")</f>
        <v/>
      </c>
      <c r="N104" s="15" t="str">
        <f>IFERROR(__xludf.DUMMYFUNCTION("VLOOKUP(A104,IMPORTRANGE(""1QZ5UxyNCwadreQAXnQ7oCoH982DjIA-QnZdO7ZoqkC0/edit#gid=884617569"",""S3 Totals!$A$2:$O$255""),11,FALSE)"),"")</f>
        <v/>
      </c>
      <c r="O104" s="110">
        <f t="shared" si="3"/>
        <v>0.4109589041</v>
      </c>
      <c r="P104" s="16" t="str">
        <f>IFERROR(__xludf.DUMMYFUNCTION("VLOOKUP(A104,IMPORTRANGE(""1QZ5UxyNCwadreQAXnQ7oCoH982DjIA-QnZdO7ZoqkC0/edit#gid=884617569"",""S3 Totals!$A$2:$O$255""),13,FALSE)"),"")</f>
        <v/>
      </c>
      <c r="Q104" s="15" t="str">
        <f>IFERROR(__xludf.DUMMYFUNCTION("VLOOKUP(A104,IMPORTRANGE(""1QZ5UxyNCwadreQAXnQ7oCoH982DjIA-QnZdO7ZoqkC0/edit#gid=884617569"",""S3 Totals!$A$2:$O$255""),14,FALSE)"),"")</f>
        <v/>
      </c>
      <c r="R104" s="110">
        <f t="shared" si="4"/>
        <v>0.4109589041</v>
      </c>
      <c r="S104" s="144"/>
    </row>
    <row r="105">
      <c r="A105" s="128" t="s">
        <v>98</v>
      </c>
      <c r="B105" s="16">
        <f>IFERROR(__xludf.DUMMYFUNCTION("VLOOKUP(A105,IMPORTRANGE(""1aFCnJY1qhIj8-JckJhDJ18aqmVo17tofpQmOjcYa3u8/edit#gid=1878241338"",""S3 Totals!$A$2:$O$255""),2,FALSE)"),17.0)</f>
        <v>17</v>
      </c>
      <c r="C105" s="15">
        <f>IFERROR(__xludf.DUMMYFUNCTION("VLOOKUP(A105,IMPORTRANGE(""1aFCnJY1qhIj8-JckJhDJ18aqmVo17tofpQmOjcYa3u8/edit#gid=1878241338"",""S3 Totals!$A$2:$O$255""),3,FALSE)"),0.2328767123287671)</f>
        <v>0.2328767123</v>
      </c>
      <c r="D105" s="16">
        <f>IFERROR(__xludf.DUMMYFUNCTION("VLOOKUP(A105,IMPORTRANGE(""1QZ5UxyNCwadreQAXnQ7oCoH982DjIA-QnZdO7ZoqkC0/edit#gid=884617569"",""S3 Totals!$A$2:$O$255""),2,FALSE)"),17.0)</f>
        <v>17</v>
      </c>
      <c r="E105" s="15">
        <f>IFERROR(__xludf.DUMMYFUNCTION("VLOOKUP(A105,IMPORTRANGE(""1QZ5UxyNCwadreQAXnQ7oCoH982DjIA-QnZdO7ZoqkC0/edit#gid=884617569"",""S3 Totals!$A$2:$O$255""),3,FALSE)"),0.22972972972972974)</f>
        <v>0.2297297297</v>
      </c>
      <c r="F105" s="15">
        <f t="shared" si="1"/>
        <v>0.003146982599</v>
      </c>
      <c r="G105" s="16">
        <f>IFERROR(__xludf.DUMMYFUNCTION("VLOOKUP(A105,IMPORTRANGE(""1QZ5UxyNCwadreQAXnQ7oCoH982DjIA-QnZdO7ZoqkC0/edit#gid=884617569"",""S3 Totals!$A$2:$O$255""),4,FALSE)"),21.0)</f>
        <v>21</v>
      </c>
      <c r="H105" s="15">
        <f>IFERROR(__xludf.DUMMYFUNCTION("VLOOKUP(A105,IMPORTRANGE(""1QZ5UxyNCwadreQAXnQ7oCoH982DjIA-QnZdO7ZoqkC0/edit#gid=884617569"",""S3 Totals!$A$2:$O$255""),5,FALSE)"),0.26582278481012656)</f>
        <v>0.2658227848</v>
      </c>
      <c r="I105" s="143">
        <f t="shared" si="2"/>
        <v>-0.03294607248</v>
      </c>
      <c r="J105" s="16">
        <f>IFERROR(__xludf.DUMMYFUNCTION("VLOOKUP(A105,IMPORTRANGE(""1QZ5UxyNCwadreQAXnQ7oCoH982DjIA-QnZdO7ZoqkC0/edit#gid=884617569"",""S3 Totals!$A$2:$O$255""),7,FALSE)"),21.0)</f>
        <v>21</v>
      </c>
      <c r="K105" s="15">
        <f>IFERROR(__xludf.DUMMYFUNCTION("VLOOKUP(A105,IMPORTRANGE(""1QZ5UxyNCwadreQAXnQ7oCoH982DjIA-QnZdO7ZoqkC0/edit#gid=884617569"",""S3 Totals!$A$2:$O$255""),8,FALSE)"),0.24705882352941178)</f>
        <v>0.2470588235</v>
      </c>
      <c r="L105" s="110">
        <f t="shared" si="5"/>
        <v>-0.0173290938</v>
      </c>
      <c r="M105" s="16">
        <f>IFERROR(__xludf.DUMMYFUNCTION("VLOOKUP(A105,IMPORTRANGE(""1QZ5UxyNCwadreQAXnQ7oCoH982DjIA-QnZdO7ZoqkC0/edit#gid=884617569"",""S3 Totals!$A$2:$O$255""),10,FALSE)"),25.0)</f>
        <v>25</v>
      </c>
      <c r="N105" s="15">
        <f>IFERROR(__xludf.DUMMYFUNCTION("VLOOKUP(A105,IMPORTRANGE(""1QZ5UxyNCwadreQAXnQ7oCoH982DjIA-QnZdO7ZoqkC0/edit#gid=884617569"",""S3 Totals!$A$2:$O$255""),11,FALSE)"),0.29411764705882354)</f>
        <v>0.2941176471</v>
      </c>
      <c r="O105" s="110">
        <f t="shared" si="3"/>
        <v>-0.06124093473</v>
      </c>
      <c r="P105" s="16">
        <f>IFERROR(__xludf.DUMMYFUNCTION("VLOOKUP(A105,IMPORTRANGE(""1QZ5UxyNCwadreQAXnQ7oCoH982DjIA-QnZdO7ZoqkC0/edit#gid=884617569"",""S3 Totals!$A$2:$O$255""),13,FALSE)"),25.0)</f>
        <v>25</v>
      </c>
      <c r="Q105" s="15">
        <f>IFERROR(__xludf.DUMMYFUNCTION("VLOOKUP(A105,IMPORTRANGE(""1QZ5UxyNCwadreQAXnQ7oCoH982DjIA-QnZdO7ZoqkC0/edit#gid=884617569"",""S3 Totals!$A$2:$O$255""),14,FALSE)"),0.29411764705882354)</f>
        <v>0.2941176471</v>
      </c>
      <c r="R105" s="110">
        <f t="shared" si="4"/>
        <v>-0.06124093473</v>
      </c>
      <c r="S105" s="144"/>
    </row>
    <row r="106">
      <c r="A106" s="128" t="s">
        <v>235</v>
      </c>
      <c r="B106" s="16">
        <f>IFERROR(__xludf.DUMMYFUNCTION("VLOOKUP(A106,IMPORTRANGE(""1aFCnJY1qhIj8-JckJhDJ18aqmVo17tofpQmOjcYa3u8/edit#gid=1878241338"",""S3 Totals!$A$2:$O$255""),2,FALSE)"),6.0)</f>
        <v>6</v>
      </c>
      <c r="C106" s="15">
        <f>IFERROR(__xludf.DUMMYFUNCTION("VLOOKUP(A106,IMPORTRANGE(""1aFCnJY1qhIj8-JckJhDJ18aqmVo17tofpQmOjcYa3u8/edit#gid=1878241338"",""S3 Totals!$A$2:$O$255""),3,FALSE)"),0.0821917808219178)</f>
        <v>0.08219178082</v>
      </c>
      <c r="D106" s="16">
        <f>IFERROR(__xludf.DUMMYFUNCTION("VLOOKUP(A106,IMPORTRANGE(""1QZ5UxyNCwadreQAXnQ7oCoH982DjIA-QnZdO7ZoqkC0/edit#gid=884617569"",""S3 Totals!$A$2:$O$255""),2,FALSE)"),7.0)</f>
        <v>7</v>
      </c>
      <c r="E106" s="15">
        <f>IFERROR(__xludf.DUMMYFUNCTION("VLOOKUP(A106,IMPORTRANGE(""1QZ5UxyNCwadreQAXnQ7oCoH982DjIA-QnZdO7ZoqkC0/edit#gid=884617569"",""S3 Totals!$A$2:$O$255""),3,FALSE)"),0.0945945945945946)</f>
        <v>0.09459459459</v>
      </c>
      <c r="F106" s="15">
        <f t="shared" si="1"/>
        <v>-0.01240281377</v>
      </c>
      <c r="G106" s="16">
        <f>IFERROR(__xludf.DUMMYFUNCTION("VLOOKUP(A106,IMPORTRANGE(""1QZ5UxyNCwadreQAXnQ7oCoH982DjIA-QnZdO7ZoqkC0/edit#gid=884617569"",""S3 Totals!$A$2:$O$255""),4,FALSE)"),5.0)</f>
        <v>5</v>
      </c>
      <c r="H106" s="15">
        <f>IFERROR(__xludf.DUMMYFUNCTION("VLOOKUP(A106,IMPORTRANGE(""1QZ5UxyNCwadreQAXnQ7oCoH982DjIA-QnZdO7ZoqkC0/edit#gid=884617569"",""S3 Totals!$A$2:$O$255""),5,FALSE)"),0.06329113924050633)</f>
        <v>0.06329113924</v>
      </c>
      <c r="I106" s="143">
        <f t="shared" si="2"/>
        <v>0.01890064158</v>
      </c>
      <c r="J106" s="16" t="str">
        <f>IFERROR(__xludf.DUMMYFUNCTION("VLOOKUP(A106,IMPORTRANGE(""1QZ5UxyNCwadreQAXnQ7oCoH982DjIA-QnZdO7ZoqkC0/edit#gid=884617569"",""S3 Totals!$A$2:$O$255""),7,FALSE)"),"")</f>
        <v/>
      </c>
      <c r="K106" s="15" t="str">
        <f>IFERROR(__xludf.DUMMYFUNCTION("VLOOKUP(A106,IMPORTRANGE(""1QZ5UxyNCwadreQAXnQ7oCoH982DjIA-QnZdO7ZoqkC0/edit#gid=884617569"",""S3 Totals!$A$2:$O$255""),8,FALSE)"),"")</f>
        <v/>
      </c>
      <c r="L106" s="110">
        <f t="shared" si="5"/>
        <v>0.09459459459</v>
      </c>
      <c r="M106" s="16" t="str">
        <f>IFERROR(__xludf.DUMMYFUNCTION("VLOOKUP(A106,IMPORTRANGE(""1QZ5UxyNCwadreQAXnQ7oCoH982DjIA-QnZdO7ZoqkC0/edit#gid=884617569"",""S3 Totals!$A$2:$O$255""),10,FALSE)"),"")</f>
        <v/>
      </c>
      <c r="N106" s="15" t="str">
        <f>IFERROR(__xludf.DUMMYFUNCTION("VLOOKUP(A106,IMPORTRANGE(""1QZ5UxyNCwadreQAXnQ7oCoH982DjIA-QnZdO7ZoqkC0/edit#gid=884617569"",""S3 Totals!$A$2:$O$255""),11,FALSE)"),"")</f>
        <v/>
      </c>
      <c r="O106" s="110">
        <f t="shared" si="3"/>
        <v>0.08219178082</v>
      </c>
      <c r="P106" s="16" t="str">
        <f>IFERROR(__xludf.DUMMYFUNCTION("VLOOKUP(A106,IMPORTRANGE(""1QZ5UxyNCwadreQAXnQ7oCoH982DjIA-QnZdO7ZoqkC0/edit#gid=884617569"",""S3 Totals!$A$2:$O$255""),13,FALSE)"),"")</f>
        <v/>
      </c>
      <c r="Q106" s="15" t="str">
        <f>IFERROR(__xludf.DUMMYFUNCTION("VLOOKUP(A106,IMPORTRANGE(""1QZ5UxyNCwadreQAXnQ7oCoH982DjIA-QnZdO7ZoqkC0/edit#gid=884617569"",""S3 Totals!$A$2:$O$255""),14,FALSE)"),"")</f>
        <v/>
      </c>
      <c r="R106" s="110">
        <f t="shared" si="4"/>
        <v>0.08219178082</v>
      </c>
      <c r="S106" s="144"/>
    </row>
    <row r="107">
      <c r="A107" s="128" t="s">
        <v>58</v>
      </c>
      <c r="B107" s="16">
        <f>IFERROR(__xludf.DUMMYFUNCTION("VLOOKUP(A107,IMPORTRANGE(""1aFCnJY1qhIj8-JckJhDJ18aqmVo17tofpQmOjcYa3u8/edit#gid=1878241338"",""S3 Totals!$A$2:$O$255""),2,FALSE)"),0.0)</f>
        <v>0</v>
      </c>
      <c r="C107" s="15">
        <f>IFERROR(__xludf.DUMMYFUNCTION("VLOOKUP(A107,IMPORTRANGE(""1aFCnJY1qhIj8-JckJhDJ18aqmVo17tofpQmOjcYa3u8/edit#gid=1878241338"",""S3 Totals!$A$2:$O$255""),3,FALSE)"),0.0)</f>
        <v>0</v>
      </c>
      <c r="D107" s="16">
        <f>IFERROR(__xludf.DUMMYFUNCTION("VLOOKUP(A107,IMPORTRANGE(""1QZ5UxyNCwadreQAXnQ7oCoH982DjIA-QnZdO7ZoqkC0/edit#gid=884617569"",""S3 Totals!$A$2:$O$255""),2,FALSE)"),7.0)</f>
        <v>7</v>
      </c>
      <c r="E107" s="15">
        <f>IFERROR(__xludf.DUMMYFUNCTION("VLOOKUP(A107,IMPORTRANGE(""1QZ5UxyNCwadreQAXnQ7oCoH982DjIA-QnZdO7ZoqkC0/edit#gid=884617569"",""S3 Totals!$A$2:$O$255""),3,FALSE)"),0.0945945945945946)</f>
        <v>0.09459459459</v>
      </c>
      <c r="F107" s="15">
        <f t="shared" si="1"/>
        <v>-0.09459459459</v>
      </c>
      <c r="G107" s="16">
        <f>IFERROR(__xludf.DUMMYFUNCTION("VLOOKUP(A107,IMPORTRANGE(""1QZ5UxyNCwadreQAXnQ7oCoH982DjIA-QnZdO7ZoqkC0/edit#gid=884617569"",""S3 Totals!$A$2:$O$255""),4,FALSE)"),9.0)</f>
        <v>9</v>
      </c>
      <c r="H107" s="15">
        <f>IFERROR(__xludf.DUMMYFUNCTION("VLOOKUP(A107,IMPORTRANGE(""1QZ5UxyNCwadreQAXnQ7oCoH982DjIA-QnZdO7ZoqkC0/edit#gid=884617569"",""S3 Totals!$A$2:$O$255""),5,FALSE)"),0.11392405063291139)</f>
        <v>0.1139240506</v>
      </c>
      <c r="I107" s="143">
        <f t="shared" si="2"/>
        <v>-0.1139240506</v>
      </c>
      <c r="J107" s="16">
        <f>IFERROR(__xludf.DUMMYFUNCTION("VLOOKUP(A107,IMPORTRANGE(""1QZ5UxyNCwadreQAXnQ7oCoH982DjIA-QnZdO7ZoqkC0/edit#gid=884617569"",""S3 Totals!$A$2:$O$255""),7,FALSE)"),9.0)</f>
        <v>9</v>
      </c>
      <c r="K107" s="15">
        <f>IFERROR(__xludf.DUMMYFUNCTION("VLOOKUP(A107,IMPORTRANGE(""1QZ5UxyNCwadreQAXnQ7oCoH982DjIA-QnZdO7ZoqkC0/edit#gid=884617569"",""S3 Totals!$A$2:$O$255""),8,FALSE)"),0.10588235294117647)</f>
        <v>0.1058823529</v>
      </c>
      <c r="L107" s="110">
        <f t="shared" si="5"/>
        <v>-0.01128775835</v>
      </c>
      <c r="M107" s="16">
        <f>IFERROR(__xludf.DUMMYFUNCTION("VLOOKUP(A107,IMPORTRANGE(""1QZ5UxyNCwadreQAXnQ7oCoH982DjIA-QnZdO7ZoqkC0/edit#gid=884617569"",""S3 Totals!$A$2:$O$255""),10,FALSE)"),8.0)</f>
        <v>8</v>
      </c>
      <c r="N107" s="15">
        <f>IFERROR(__xludf.DUMMYFUNCTION("VLOOKUP(A107,IMPORTRANGE(""1QZ5UxyNCwadreQAXnQ7oCoH982DjIA-QnZdO7ZoqkC0/edit#gid=884617569"",""S3 Totals!$A$2:$O$255""),11,FALSE)"),0.09411764705882353)</f>
        <v>0.09411764706</v>
      </c>
      <c r="O107" s="110">
        <f t="shared" si="3"/>
        <v>-0.09411764706</v>
      </c>
      <c r="P107" s="16">
        <f>IFERROR(__xludf.DUMMYFUNCTION("VLOOKUP(A107,IMPORTRANGE(""1QZ5UxyNCwadreQAXnQ7oCoH982DjIA-QnZdO7ZoqkC0/edit#gid=884617569"",""S3 Totals!$A$2:$O$255""),13,FALSE)"),9.0)</f>
        <v>9</v>
      </c>
      <c r="Q107" s="15">
        <f>IFERROR(__xludf.DUMMYFUNCTION("VLOOKUP(A107,IMPORTRANGE(""1QZ5UxyNCwadreQAXnQ7oCoH982DjIA-QnZdO7ZoqkC0/edit#gid=884617569"",""S3 Totals!$A$2:$O$255""),14,FALSE)"),0.10588235294117647)</f>
        <v>0.1058823529</v>
      </c>
      <c r="R107" s="110">
        <f t="shared" si="4"/>
        <v>-0.1058823529</v>
      </c>
      <c r="S107" s="144"/>
    </row>
    <row r="108">
      <c r="A108" s="128" t="s">
        <v>59</v>
      </c>
      <c r="B108" s="16">
        <f>IFERROR(__xludf.DUMMYFUNCTION("VLOOKUP(A108,IMPORTRANGE(""1aFCnJY1qhIj8-JckJhDJ18aqmVo17tofpQmOjcYa3u8/edit#gid=1878241338"",""S3 Totals!$A$2:$O$255""),2,FALSE)"),34.0)</f>
        <v>34</v>
      </c>
      <c r="C108" s="15">
        <f>IFERROR(__xludf.DUMMYFUNCTION("VLOOKUP(A108,IMPORTRANGE(""1aFCnJY1qhIj8-JckJhDJ18aqmVo17tofpQmOjcYa3u8/edit#gid=1878241338"",""S3 Totals!$A$2:$O$255""),3,FALSE)"),0.4657534246575342)</f>
        <v>0.4657534247</v>
      </c>
      <c r="D108" s="16">
        <f>IFERROR(__xludf.DUMMYFUNCTION("VLOOKUP(A108,IMPORTRANGE(""1QZ5UxyNCwadreQAXnQ7oCoH982DjIA-QnZdO7ZoqkC0/edit#gid=884617569"",""S3 Totals!$A$2:$O$255""),2,FALSE)"),18.0)</f>
        <v>18</v>
      </c>
      <c r="E108" s="15">
        <f>IFERROR(__xludf.DUMMYFUNCTION("VLOOKUP(A108,IMPORTRANGE(""1QZ5UxyNCwadreQAXnQ7oCoH982DjIA-QnZdO7ZoqkC0/edit#gid=884617569"",""S3 Totals!$A$2:$O$255""),3,FALSE)"),0.24324324324324326)</f>
        <v>0.2432432432</v>
      </c>
      <c r="F108" s="15">
        <f t="shared" si="1"/>
        <v>0.2225101814</v>
      </c>
      <c r="G108" s="16">
        <f>IFERROR(__xludf.DUMMYFUNCTION("VLOOKUP(A108,IMPORTRANGE(""1QZ5UxyNCwadreQAXnQ7oCoH982DjIA-QnZdO7ZoqkC0/edit#gid=884617569"",""S3 Totals!$A$2:$O$255""),4,FALSE)"),19.0)</f>
        <v>19</v>
      </c>
      <c r="H108" s="15">
        <f>IFERROR(__xludf.DUMMYFUNCTION("VLOOKUP(A108,IMPORTRANGE(""1QZ5UxyNCwadreQAXnQ7oCoH982DjIA-QnZdO7ZoqkC0/edit#gid=884617569"",""S3 Totals!$A$2:$O$255""),5,FALSE)"),0.24050632911392406)</f>
        <v>0.2405063291</v>
      </c>
      <c r="I108" s="143">
        <f t="shared" si="2"/>
        <v>0.2252470955</v>
      </c>
      <c r="J108" s="16">
        <f>IFERROR(__xludf.DUMMYFUNCTION("VLOOKUP(A108,IMPORTRANGE(""1QZ5UxyNCwadreQAXnQ7oCoH982DjIA-QnZdO7ZoqkC0/edit#gid=884617569"",""S3 Totals!$A$2:$O$255""),7,FALSE)"),19.0)</f>
        <v>19</v>
      </c>
      <c r="K108" s="15">
        <f>IFERROR(__xludf.DUMMYFUNCTION("VLOOKUP(A108,IMPORTRANGE(""1QZ5UxyNCwadreQAXnQ7oCoH982DjIA-QnZdO7ZoqkC0/edit#gid=884617569"",""S3 Totals!$A$2:$O$255""),8,FALSE)"),0.2235294117647059)</f>
        <v>0.2235294118</v>
      </c>
      <c r="L108" s="110">
        <f t="shared" si="5"/>
        <v>0.01971383148</v>
      </c>
      <c r="M108" s="16">
        <f>IFERROR(__xludf.DUMMYFUNCTION("VLOOKUP(A108,IMPORTRANGE(""1QZ5UxyNCwadreQAXnQ7oCoH982DjIA-QnZdO7ZoqkC0/edit#gid=884617569"",""S3 Totals!$A$2:$O$255""),10,FALSE)"),20.0)</f>
        <v>20</v>
      </c>
      <c r="N108" s="15">
        <f>IFERROR(__xludf.DUMMYFUNCTION("VLOOKUP(A108,IMPORTRANGE(""1QZ5UxyNCwadreQAXnQ7oCoH982DjIA-QnZdO7ZoqkC0/edit#gid=884617569"",""S3 Totals!$A$2:$O$255""),11,FALSE)"),0.23529411764705882)</f>
        <v>0.2352941176</v>
      </c>
      <c r="O108" s="110">
        <f t="shared" si="3"/>
        <v>0.230459307</v>
      </c>
      <c r="P108" s="16">
        <f>IFERROR(__xludf.DUMMYFUNCTION("VLOOKUP(A108,IMPORTRANGE(""1QZ5UxyNCwadreQAXnQ7oCoH982DjIA-QnZdO7ZoqkC0/edit#gid=884617569"",""S3 Totals!$A$2:$O$255""),13,FALSE)"),1.0)</f>
        <v>1</v>
      </c>
      <c r="Q108" s="15">
        <f>IFERROR(__xludf.DUMMYFUNCTION("VLOOKUP(A108,IMPORTRANGE(""1QZ5UxyNCwadreQAXnQ7oCoH982DjIA-QnZdO7ZoqkC0/edit#gid=884617569"",""S3 Totals!$A$2:$O$255""),14,FALSE)"),0.011764705882352941)</f>
        <v>0.01176470588</v>
      </c>
      <c r="R108" s="110">
        <f t="shared" si="4"/>
        <v>0.4539887188</v>
      </c>
      <c r="S108" s="144"/>
    </row>
    <row r="109">
      <c r="A109" s="128" t="s">
        <v>178</v>
      </c>
      <c r="B109" s="16">
        <f>IFERROR(__xludf.DUMMYFUNCTION("VLOOKUP(A109,IMPORTRANGE(""1aFCnJY1qhIj8-JckJhDJ18aqmVo17tofpQmOjcYa3u8/edit#gid=1878241338"",""S3 Totals!$A$2:$O$255""),2,FALSE)"),71.0)</f>
        <v>71</v>
      </c>
      <c r="C109" s="15">
        <f>IFERROR(__xludf.DUMMYFUNCTION("VLOOKUP(A109,IMPORTRANGE(""1aFCnJY1qhIj8-JckJhDJ18aqmVo17tofpQmOjcYa3u8/edit#gid=1878241338"",""S3 Totals!$A$2:$O$255""),3,FALSE)"),0.9726027397260274)</f>
        <v>0.9726027397</v>
      </c>
      <c r="D109" s="16">
        <f>IFERROR(__xludf.DUMMYFUNCTION("VLOOKUP(A109,IMPORTRANGE(""1QZ5UxyNCwadreQAXnQ7oCoH982DjIA-QnZdO7ZoqkC0/edit#gid=884617569"",""S3 Totals!$A$2:$O$255""),2,FALSE)"),0.0)</f>
        <v>0</v>
      </c>
      <c r="E109" s="15">
        <f>IFERROR(__xludf.DUMMYFUNCTION("VLOOKUP(A109,IMPORTRANGE(""1QZ5UxyNCwadreQAXnQ7oCoH982DjIA-QnZdO7ZoqkC0/edit#gid=884617569"",""S3 Totals!$A$2:$O$255""),3,FALSE)"),0.0)</f>
        <v>0</v>
      </c>
      <c r="F109" s="15">
        <f t="shared" si="1"/>
        <v>0.9726027397</v>
      </c>
      <c r="G109" s="16">
        <f>IFERROR(__xludf.DUMMYFUNCTION("VLOOKUP(A109,IMPORTRANGE(""1QZ5UxyNCwadreQAXnQ7oCoH982DjIA-QnZdO7ZoqkC0/edit#gid=884617569"",""S3 Totals!$A$2:$O$255""),4,FALSE)"),0.0)</f>
        <v>0</v>
      </c>
      <c r="H109" s="15">
        <f>IFERROR(__xludf.DUMMYFUNCTION("VLOOKUP(A109,IMPORTRANGE(""1QZ5UxyNCwadreQAXnQ7oCoH982DjIA-QnZdO7ZoqkC0/edit#gid=884617569"",""S3 Totals!$A$2:$O$255""),5,FALSE)"),0.0)</f>
        <v>0</v>
      </c>
      <c r="I109" s="143">
        <f t="shared" si="2"/>
        <v>0.9726027397</v>
      </c>
      <c r="J109" s="16">
        <f>IFERROR(__xludf.DUMMYFUNCTION("VLOOKUP(A109,IMPORTRANGE(""1QZ5UxyNCwadreQAXnQ7oCoH982DjIA-QnZdO7ZoqkC0/edit#gid=884617569"",""S3 Totals!$A$2:$O$255""),7,FALSE)"),0.0)</f>
        <v>0</v>
      </c>
      <c r="K109" s="15">
        <f>IFERROR(__xludf.DUMMYFUNCTION("VLOOKUP(A109,IMPORTRANGE(""1QZ5UxyNCwadreQAXnQ7oCoH982DjIA-QnZdO7ZoqkC0/edit#gid=884617569"",""S3 Totals!$A$2:$O$255""),8,FALSE)"),0.0)</f>
        <v>0</v>
      </c>
      <c r="L109" s="110">
        <f t="shared" si="5"/>
        <v>0</v>
      </c>
      <c r="M109" s="16" t="str">
        <f>IFERROR(__xludf.DUMMYFUNCTION("VLOOKUP(A109,IMPORTRANGE(""1QZ5UxyNCwadreQAXnQ7oCoH982DjIA-QnZdO7ZoqkC0/edit#gid=884617569"",""S3 Totals!$A$2:$O$255""),10,FALSE)"),"")</f>
        <v/>
      </c>
      <c r="N109" s="15" t="str">
        <f>IFERROR(__xludf.DUMMYFUNCTION("VLOOKUP(A109,IMPORTRANGE(""1QZ5UxyNCwadreQAXnQ7oCoH982DjIA-QnZdO7ZoqkC0/edit#gid=884617569"",""S3 Totals!$A$2:$O$255""),11,FALSE)"),"")</f>
        <v/>
      </c>
      <c r="O109" s="110">
        <f t="shared" si="3"/>
        <v>0.9726027397</v>
      </c>
      <c r="P109" s="16" t="str">
        <f>IFERROR(__xludf.DUMMYFUNCTION("VLOOKUP(A109,IMPORTRANGE(""1QZ5UxyNCwadreQAXnQ7oCoH982DjIA-QnZdO7ZoqkC0/edit#gid=884617569"",""S3 Totals!$A$2:$O$255""),13,FALSE)"),"")</f>
        <v/>
      </c>
      <c r="Q109" s="15" t="str">
        <f>IFERROR(__xludf.DUMMYFUNCTION("VLOOKUP(A109,IMPORTRANGE(""1QZ5UxyNCwadreQAXnQ7oCoH982DjIA-QnZdO7ZoqkC0/edit#gid=884617569"",""S3 Totals!$A$2:$O$255""),14,FALSE)"),"")</f>
        <v/>
      </c>
      <c r="R109" s="110">
        <f t="shared" si="4"/>
        <v>0.9726027397</v>
      </c>
      <c r="S109" s="144"/>
    </row>
    <row r="110">
      <c r="A110" s="128" t="s">
        <v>179</v>
      </c>
      <c r="B110" s="16">
        <f>IFERROR(__xludf.DUMMYFUNCTION("VLOOKUP(A110,IMPORTRANGE(""1aFCnJY1qhIj8-JckJhDJ18aqmVo17tofpQmOjcYa3u8/edit#gid=1878241338"",""S3 Totals!$A$2:$O$255""),2,FALSE)"),1.0)</f>
        <v>1</v>
      </c>
      <c r="C110" s="15">
        <f>IFERROR(__xludf.DUMMYFUNCTION("VLOOKUP(A110,IMPORTRANGE(""1aFCnJY1qhIj8-JckJhDJ18aqmVo17tofpQmOjcYa3u8/edit#gid=1878241338"",""S3 Totals!$A$2:$O$255""),3,FALSE)"),0.0136986301369863)</f>
        <v>0.01369863014</v>
      </c>
      <c r="D110" s="16">
        <f>IFERROR(__xludf.DUMMYFUNCTION("VLOOKUP(A110,IMPORTRANGE(""1QZ5UxyNCwadreQAXnQ7oCoH982DjIA-QnZdO7ZoqkC0/edit#gid=884617569"",""S3 Totals!$A$2:$O$255""),2,FALSE)"),1.0)</f>
        <v>1</v>
      </c>
      <c r="E110" s="15">
        <f>IFERROR(__xludf.DUMMYFUNCTION("VLOOKUP(A110,IMPORTRANGE(""1QZ5UxyNCwadreQAXnQ7oCoH982DjIA-QnZdO7ZoqkC0/edit#gid=884617569"",""S3 Totals!$A$2:$O$255""),3,FALSE)"),0.013513513513513514)</f>
        <v>0.01351351351</v>
      </c>
      <c r="F110" s="15">
        <f t="shared" si="1"/>
        <v>0.0001851166235</v>
      </c>
      <c r="G110" s="16">
        <f>IFERROR(__xludf.DUMMYFUNCTION("VLOOKUP(A110,IMPORTRANGE(""1QZ5UxyNCwadreQAXnQ7oCoH982DjIA-QnZdO7ZoqkC0/edit#gid=884617569"",""S3 Totals!$A$2:$O$255""),4,FALSE)"),1.0)</f>
        <v>1</v>
      </c>
      <c r="H110" s="15">
        <f>IFERROR(__xludf.DUMMYFUNCTION("VLOOKUP(A110,IMPORTRANGE(""1QZ5UxyNCwadreQAXnQ7oCoH982DjIA-QnZdO7ZoqkC0/edit#gid=884617569"",""S3 Totals!$A$2:$O$255""),5,FALSE)"),0.012658227848101266)</f>
        <v>0.01265822785</v>
      </c>
      <c r="I110" s="143">
        <f t="shared" si="2"/>
        <v>0.001040402289</v>
      </c>
      <c r="J110" s="16">
        <f>IFERROR(__xludf.DUMMYFUNCTION("VLOOKUP(A110,IMPORTRANGE(""1QZ5UxyNCwadreQAXnQ7oCoH982DjIA-QnZdO7ZoqkC0/edit#gid=884617569"",""S3 Totals!$A$2:$O$255""),7,FALSE)"),1.0)</f>
        <v>1</v>
      </c>
      <c r="K110" s="15">
        <f>IFERROR(__xludf.DUMMYFUNCTION("VLOOKUP(A110,IMPORTRANGE(""1QZ5UxyNCwadreQAXnQ7oCoH982DjIA-QnZdO7ZoqkC0/edit#gid=884617569"",""S3 Totals!$A$2:$O$255""),8,FALSE)"),0.011764705882352941)</f>
        <v>0.01176470588</v>
      </c>
      <c r="L110" s="110">
        <f t="shared" si="5"/>
        <v>0.001748807631</v>
      </c>
      <c r="M110" s="16" t="str">
        <f>IFERROR(__xludf.DUMMYFUNCTION("VLOOKUP(A110,IMPORTRANGE(""1QZ5UxyNCwadreQAXnQ7oCoH982DjIA-QnZdO7ZoqkC0/edit#gid=884617569"",""S3 Totals!$A$2:$O$255""),10,FALSE)"),"")</f>
        <v/>
      </c>
      <c r="N110" s="15" t="str">
        <f>IFERROR(__xludf.DUMMYFUNCTION("VLOOKUP(A110,IMPORTRANGE(""1QZ5UxyNCwadreQAXnQ7oCoH982DjIA-QnZdO7ZoqkC0/edit#gid=884617569"",""S3 Totals!$A$2:$O$255""),11,FALSE)"),"")</f>
        <v/>
      </c>
      <c r="O110" s="110">
        <f t="shared" si="3"/>
        <v>0.01369863014</v>
      </c>
      <c r="P110" s="16" t="str">
        <f>IFERROR(__xludf.DUMMYFUNCTION("VLOOKUP(A110,IMPORTRANGE(""1QZ5UxyNCwadreQAXnQ7oCoH982DjIA-QnZdO7ZoqkC0/edit#gid=884617569"",""S3 Totals!$A$2:$O$255""),13,FALSE)"),"")</f>
        <v/>
      </c>
      <c r="Q110" s="15" t="str">
        <f>IFERROR(__xludf.DUMMYFUNCTION("VLOOKUP(A110,IMPORTRANGE(""1QZ5UxyNCwadreQAXnQ7oCoH982DjIA-QnZdO7ZoqkC0/edit#gid=884617569"",""S3 Totals!$A$2:$O$255""),14,FALSE)"),"")</f>
        <v/>
      </c>
      <c r="R110" s="110">
        <f t="shared" si="4"/>
        <v>0.01369863014</v>
      </c>
      <c r="S110" s="144"/>
    </row>
    <row r="111">
      <c r="A111" s="128" t="s">
        <v>60</v>
      </c>
      <c r="B111" s="16">
        <f>IFERROR(__xludf.DUMMYFUNCTION("VLOOKUP(A111,IMPORTRANGE(""1aFCnJY1qhIj8-JckJhDJ18aqmVo17tofpQmOjcYa3u8/edit#gid=1878241338"",""S3 Totals!$A$2:$O$255""),2,FALSE)"),29.0)</f>
        <v>29</v>
      </c>
      <c r="C111" s="15">
        <f>IFERROR(__xludf.DUMMYFUNCTION("VLOOKUP(A111,IMPORTRANGE(""1aFCnJY1qhIj8-JckJhDJ18aqmVo17tofpQmOjcYa3u8/edit#gid=1878241338"",""S3 Totals!$A$2:$O$255""),3,FALSE)"),0.3972602739726027)</f>
        <v>0.397260274</v>
      </c>
      <c r="D111" s="16">
        <f>IFERROR(__xludf.DUMMYFUNCTION("VLOOKUP(A111,IMPORTRANGE(""1QZ5UxyNCwadreQAXnQ7oCoH982DjIA-QnZdO7ZoqkC0/edit#gid=884617569"",""S3 Totals!$A$2:$O$255""),2,FALSE)"),19.0)</f>
        <v>19</v>
      </c>
      <c r="E111" s="15">
        <f>IFERROR(__xludf.DUMMYFUNCTION("VLOOKUP(A111,IMPORTRANGE(""1QZ5UxyNCwadreQAXnQ7oCoH982DjIA-QnZdO7ZoqkC0/edit#gid=884617569"",""S3 Totals!$A$2:$O$255""),3,FALSE)"),0.25675675675675674)</f>
        <v>0.2567567568</v>
      </c>
      <c r="F111" s="15">
        <f t="shared" si="1"/>
        <v>0.1405035172</v>
      </c>
      <c r="G111" s="16">
        <f>IFERROR(__xludf.DUMMYFUNCTION("VLOOKUP(A111,IMPORTRANGE(""1QZ5UxyNCwadreQAXnQ7oCoH982DjIA-QnZdO7ZoqkC0/edit#gid=884617569"",""S3 Totals!$A$2:$O$255""),4,FALSE)"),20.0)</f>
        <v>20</v>
      </c>
      <c r="H111" s="15">
        <f>IFERROR(__xludf.DUMMYFUNCTION("VLOOKUP(A111,IMPORTRANGE(""1QZ5UxyNCwadreQAXnQ7oCoH982DjIA-QnZdO7ZoqkC0/edit#gid=884617569"",""S3 Totals!$A$2:$O$255""),5,FALSE)"),0.25316455696202533)</f>
        <v>0.253164557</v>
      </c>
      <c r="I111" s="143">
        <f t="shared" si="2"/>
        <v>0.144095717</v>
      </c>
      <c r="J111" s="16">
        <f>IFERROR(__xludf.DUMMYFUNCTION("VLOOKUP(A111,IMPORTRANGE(""1QZ5UxyNCwadreQAXnQ7oCoH982DjIA-QnZdO7ZoqkC0/edit#gid=884617569"",""S3 Totals!$A$2:$O$255""),7,FALSE)"),20.0)</f>
        <v>20</v>
      </c>
      <c r="K111" s="15">
        <f>IFERROR(__xludf.DUMMYFUNCTION("VLOOKUP(A111,IMPORTRANGE(""1QZ5UxyNCwadreQAXnQ7oCoH982DjIA-QnZdO7ZoqkC0/edit#gid=884617569"",""S3 Totals!$A$2:$O$255""),8,FALSE)"),0.23529411764705882)</f>
        <v>0.2352941176</v>
      </c>
      <c r="L111" s="110">
        <f t="shared" si="5"/>
        <v>0.02146263911</v>
      </c>
      <c r="M111" s="16">
        <f>IFERROR(__xludf.DUMMYFUNCTION("VLOOKUP(A111,IMPORTRANGE(""1QZ5UxyNCwadreQAXnQ7oCoH982DjIA-QnZdO7ZoqkC0/edit#gid=884617569"",""S3 Totals!$A$2:$O$255""),10,FALSE)"),14.0)</f>
        <v>14</v>
      </c>
      <c r="N111" s="15">
        <f>IFERROR(__xludf.DUMMYFUNCTION("VLOOKUP(A111,IMPORTRANGE(""1QZ5UxyNCwadreQAXnQ7oCoH982DjIA-QnZdO7ZoqkC0/edit#gid=884617569"",""S3 Totals!$A$2:$O$255""),11,FALSE)"),0.16470588235294117)</f>
        <v>0.1647058824</v>
      </c>
      <c r="O111" s="110">
        <f t="shared" si="3"/>
        <v>0.2325543916</v>
      </c>
      <c r="P111" s="16">
        <f>IFERROR(__xludf.DUMMYFUNCTION("VLOOKUP(A111,IMPORTRANGE(""1QZ5UxyNCwadreQAXnQ7oCoH982DjIA-QnZdO7ZoqkC0/edit#gid=884617569"",""S3 Totals!$A$2:$O$255""),13,FALSE)"),0.0)</f>
        <v>0</v>
      </c>
      <c r="Q111" s="15">
        <f>IFERROR(__xludf.DUMMYFUNCTION("VLOOKUP(A111,IMPORTRANGE(""1QZ5UxyNCwadreQAXnQ7oCoH982DjIA-QnZdO7ZoqkC0/edit#gid=884617569"",""S3 Totals!$A$2:$O$255""),14,FALSE)"),0.0)</f>
        <v>0</v>
      </c>
      <c r="R111" s="110">
        <f t="shared" si="4"/>
        <v>0.397260274</v>
      </c>
      <c r="S111" s="144"/>
    </row>
    <row r="112">
      <c r="A112" s="134" t="s">
        <v>275</v>
      </c>
      <c r="B112" s="16">
        <f>IFERROR(__xludf.DUMMYFUNCTION("VLOOKUP(A112,IMPORTRANGE(""1aFCnJY1qhIj8-JckJhDJ18aqmVo17tofpQmOjcYa3u8/edit#gid=1878241338"",""S3 Totals!$A$2:$O$255""),2,FALSE)"),19.0)</f>
        <v>19</v>
      </c>
      <c r="C112" s="15">
        <f>IFERROR(__xludf.DUMMYFUNCTION("VLOOKUP(A112,IMPORTRANGE(""1aFCnJY1qhIj8-JckJhDJ18aqmVo17tofpQmOjcYa3u8/edit#gid=1878241338"",""S3 Totals!$A$2:$O$255""),3,FALSE)"),0.2602739726027397)</f>
        <v>0.2602739726</v>
      </c>
      <c r="D112" s="16" t="str">
        <f>IFERROR(__xludf.DUMMYFUNCTION("VLOOKUP(A112,IMPORTRANGE(""1QZ5UxyNCwadreQAXnQ7oCoH982DjIA-QnZdO7ZoqkC0/edit#gid=884617569"",""S3 Totals!$A$2:$O$255""),2,FALSE)"),"#N/A")</f>
        <v>#N/A</v>
      </c>
      <c r="E112" s="15" t="str">
        <f>IFERROR(__xludf.DUMMYFUNCTION("VLOOKUP(A112,IMPORTRANGE(""1QZ5UxyNCwadreQAXnQ7oCoH982DjIA-QnZdO7ZoqkC0/edit#gid=884617569"",""S3 Totals!$A$2:$O$255""),3,FALSE)"),"#N/A")</f>
        <v>#N/A</v>
      </c>
      <c r="F112" s="16" t="str">
        <f t="shared" si="1"/>
        <v>#N/A</v>
      </c>
      <c r="G112" s="16" t="str">
        <f>IFERROR(__xludf.DUMMYFUNCTION("VLOOKUP(A112,IMPORTRANGE(""1QZ5UxyNCwadreQAXnQ7oCoH982DjIA-QnZdO7ZoqkC0/edit#gid=884617569"",""S3 Totals!$A$2:$O$255""),4,FALSE)"),"#N/A")</f>
        <v>#N/A</v>
      </c>
      <c r="H112" s="15" t="str">
        <f>IFERROR(__xludf.DUMMYFUNCTION("VLOOKUP(A112,IMPORTRANGE(""1QZ5UxyNCwadreQAXnQ7oCoH982DjIA-QnZdO7ZoqkC0/edit#gid=884617569"",""S3 Totals!$A$2:$O$255""),5,FALSE)"),"#N/A")</f>
        <v>#N/A</v>
      </c>
      <c r="I112" s="143" t="str">
        <f t="shared" si="2"/>
        <v>#N/A</v>
      </c>
      <c r="J112" s="16" t="str">
        <f>IFERROR(__xludf.DUMMYFUNCTION("VLOOKUP(A112,IMPORTRANGE(""1QZ5UxyNCwadreQAXnQ7oCoH982DjIA-QnZdO7ZoqkC0/edit#gid=884617569"",""S3 Totals!$A$2:$O$255""),7,FALSE)"),"#N/A")</f>
        <v>#N/A</v>
      </c>
      <c r="K112" s="15" t="str">
        <f>IFERROR(__xludf.DUMMYFUNCTION("VLOOKUP(A112,IMPORTRANGE(""1QZ5UxyNCwadreQAXnQ7oCoH982DjIA-QnZdO7ZoqkC0/edit#gid=884617569"",""S3 Totals!$A$2:$O$255""),8,FALSE)"),"#N/A")</f>
        <v>#N/A</v>
      </c>
      <c r="L112" s="110" t="str">
        <f t="shared" si="5"/>
        <v>#N/A</v>
      </c>
      <c r="M112" s="16" t="str">
        <f>IFERROR(__xludf.DUMMYFUNCTION("VLOOKUP(A112,IMPORTRANGE(""1QZ5UxyNCwadreQAXnQ7oCoH982DjIA-QnZdO7ZoqkC0/edit#gid=884617569"",""S3 Totals!$A$2:$O$255""),10,FALSE)"),"#N/A")</f>
        <v>#N/A</v>
      </c>
      <c r="N112" s="15" t="str">
        <f>IFERROR(__xludf.DUMMYFUNCTION("VLOOKUP(A112,IMPORTRANGE(""1QZ5UxyNCwadreQAXnQ7oCoH982DjIA-QnZdO7ZoqkC0/edit#gid=884617569"",""S3 Totals!$A$2:$O$255""),11,FALSE)"),"#N/A")</f>
        <v>#N/A</v>
      </c>
      <c r="O112" s="110" t="str">
        <f t="shared" si="3"/>
        <v>#N/A</v>
      </c>
      <c r="P112" s="16" t="str">
        <f>IFERROR(__xludf.DUMMYFUNCTION("VLOOKUP(A112,IMPORTRANGE(""1QZ5UxyNCwadreQAXnQ7oCoH982DjIA-QnZdO7ZoqkC0/edit#gid=884617569"",""S3 Totals!$A$2:$O$255""),13,FALSE)"),"#N/A")</f>
        <v>#N/A</v>
      </c>
      <c r="Q112" s="15" t="str">
        <f>IFERROR(__xludf.DUMMYFUNCTION("VLOOKUP(A112,IMPORTRANGE(""1QZ5UxyNCwadreQAXnQ7oCoH982DjIA-QnZdO7ZoqkC0/edit#gid=884617569"",""S3 Totals!$A$2:$O$255""),14,FALSE)"),"#N/A")</f>
        <v>#N/A</v>
      </c>
      <c r="R112" s="110" t="str">
        <f t="shared" si="4"/>
        <v>#N/A</v>
      </c>
      <c r="S112" s="144"/>
    </row>
    <row r="113">
      <c r="A113" s="128" t="s">
        <v>130</v>
      </c>
      <c r="B113" s="16">
        <f>IFERROR(__xludf.DUMMYFUNCTION("VLOOKUP(A113,IMPORTRANGE(""1aFCnJY1qhIj8-JckJhDJ18aqmVo17tofpQmOjcYa3u8/edit#gid=1878241338"",""S3 Totals!$A$2:$O$255""),2,FALSE)"),17.0)</f>
        <v>17</v>
      </c>
      <c r="C113" s="15">
        <f>IFERROR(__xludf.DUMMYFUNCTION("VLOOKUP(A113,IMPORTRANGE(""1aFCnJY1qhIj8-JckJhDJ18aqmVo17tofpQmOjcYa3u8/edit#gid=1878241338"",""S3 Totals!$A$2:$O$255""),3,FALSE)"),0.2328767123287671)</f>
        <v>0.2328767123</v>
      </c>
      <c r="D113" s="16">
        <f>IFERROR(__xludf.DUMMYFUNCTION("VLOOKUP(A113,IMPORTRANGE(""1QZ5UxyNCwadreQAXnQ7oCoH982DjIA-QnZdO7ZoqkC0/edit#gid=884617569"",""S3 Totals!$A$2:$O$255""),2,FALSE)"),17.0)</f>
        <v>17</v>
      </c>
      <c r="E113" s="15">
        <f>IFERROR(__xludf.DUMMYFUNCTION("VLOOKUP(A113,IMPORTRANGE(""1QZ5UxyNCwadreQAXnQ7oCoH982DjIA-QnZdO7ZoqkC0/edit#gid=884617569"",""S3 Totals!$A$2:$O$255""),3,FALSE)"),0.22972972972972974)</f>
        <v>0.2297297297</v>
      </c>
      <c r="F113" s="15">
        <f t="shared" si="1"/>
        <v>0.003146982599</v>
      </c>
      <c r="G113" s="16">
        <f>IFERROR(__xludf.DUMMYFUNCTION("VLOOKUP(A113,IMPORTRANGE(""1QZ5UxyNCwadreQAXnQ7oCoH982DjIA-QnZdO7ZoqkC0/edit#gid=884617569"",""S3 Totals!$A$2:$O$255""),4,FALSE)"),0.0)</f>
        <v>0</v>
      </c>
      <c r="H113" s="15">
        <f>IFERROR(__xludf.DUMMYFUNCTION("VLOOKUP(A113,IMPORTRANGE(""1QZ5UxyNCwadreQAXnQ7oCoH982DjIA-QnZdO7ZoqkC0/edit#gid=884617569"",""S3 Totals!$A$2:$O$255""),5,FALSE)"),0.0)</f>
        <v>0</v>
      </c>
      <c r="I113" s="143">
        <f t="shared" si="2"/>
        <v>0.2328767123</v>
      </c>
      <c r="J113" s="16">
        <f>IFERROR(__xludf.DUMMYFUNCTION("VLOOKUP(A113,IMPORTRANGE(""1QZ5UxyNCwadreQAXnQ7oCoH982DjIA-QnZdO7ZoqkC0/edit#gid=884617569"",""S3 Totals!$A$2:$O$255""),7,FALSE)"),0.0)</f>
        <v>0</v>
      </c>
      <c r="K113" s="15">
        <f>IFERROR(__xludf.DUMMYFUNCTION("VLOOKUP(A113,IMPORTRANGE(""1QZ5UxyNCwadreQAXnQ7oCoH982DjIA-QnZdO7ZoqkC0/edit#gid=884617569"",""S3 Totals!$A$2:$O$255""),8,FALSE)"),0.0)</f>
        <v>0</v>
      </c>
      <c r="L113" s="110">
        <f t="shared" si="5"/>
        <v>0.2297297297</v>
      </c>
      <c r="M113" s="16">
        <f>IFERROR(__xludf.DUMMYFUNCTION("VLOOKUP(A113,IMPORTRANGE(""1QZ5UxyNCwadreQAXnQ7oCoH982DjIA-QnZdO7ZoqkC0/edit#gid=884617569"",""S3 Totals!$A$2:$O$255""),10,FALSE)"),0.0)</f>
        <v>0</v>
      </c>
      <c r="N113" s="15">
        <f>IFERROR(__xludf.DUMMYFUNCTION("VLOOKUP(A113,IMPORTRANGE(""1QZ5UxyNCwadreQAXnQ7oCoH982DjIA-QnZdO7ZoqkC0/edit#gid=884617569"",""S3 Totals!$A$2:$O$255""),11,FALSE)"),0.0)</f>
        <v>0</v>
      </c>
      <c r="O113" s="110">
        <f t="shared" si="3"/>
        <v>0.2328767123</v>
      </c>
      <c r="P113" s="16" t="str">
        <f>IFERROR(__xludf.DUMMYFUNCTION("VLOOKUP(A113,IMPORTRANGE(""1QZ5UxyNCwadreQAXnQ7oCoH982DjIA-QnZdO7ZoqkC0/edit#gid=884617569"",""S3 Totals!$A$2:$O$255""),13,FALSE)"),"")</f>
        <v/>
      </c>
      <c r="Q113" s="15" t="str">
        <f>IFERROR(__xludf.DUMMYFUNCTION("VLOOKUP(A113,IMPORTRANGE(""1QZ5UxyNCwadreQAXnQ7oCoH982DjIA-QnZdO7ZoqkC0/edit#gid=884617569"",""S3 Totals!$A$2:$O$255""),14,FALSE)"),"")</f>
        <v/>
      </c>
      <c r="R113" s="110">
        <f t="shared" si="4"/>
        <v>0.2328767123</v>
      </c>
      <c r="S113" s="144"/>
    </row>
    <row r="114">
      <c r="A114" s="128" t="s">
        <v>236</v>
      </c>
      <c r="B114" s="16">
        <f>IFERROR(__xludf.DUMMYFUNCTION("VLOOKUP(A114,IMPORTRANGE(""1aFCnJY1qhIj8-JckJhDJ18aqmVo17tofpQmOjcYa3u8/edit#gid=1878241338"",""S3 Totals!$A$2:$O$255""),2,FALSE)"),0.0)</f>
        <v>0</v>
      </c>
      <c r="C114" s="15">
        <f>IFERROR(__xludf.DUMMYFUNCTION("VLOOKUP(A114,IMPORTRANGE(""1aFCnJY1qhIj8-JckJhDJ18aqmVo17tofpQmOjcYa3u8/edit#gid=1878241338"",""S3 Totals!$A$2:$O$255""),3,FALSE)"),0.0)</f>
        <v>0</v>
      </c>
      <c r="D114" s="16">
        <f>IFERROR(__xludf.DUMMYFUNCTION("VLOOKUP(A114,IMPORTRANGE(""1QZ5UxyNCwadreQAXnQ7oCoH982DjIA-QnZdO7ZoqkC0/edit#gid=884617569"",""S3 Totals!$A$2:$O$255""),2,FALSE)"),0.0)</f>
        <v>0</v>
      </c>
      <c r="E114" s="15">
        <f>IFERROR(__xludf.DUMMYFUNCTION("VLOOKUP(A114,IMPORTRANGE(""1QZ5UxyNCwadreQAXnQ7oCoH982DjIA-QnZdO7ZoqkC0/edit#gid=884617569"",""S3 Totals!$A$2:$O$255""),3,FALSE)"),0.0)</f>
        <v>0</v>
      </c>
      <c r="F114" s="15">
        <f t="shared" si="1"/>
        <v>0</v>
      </c>
      <c r="G114" s="16">
        <f>IFERROR(__xludf.DUMMYFUNCTION("VLOOKUP(A114,IMPORTRANGE(""1QZ5UxyNCwadreQAXnQ7oCoH982DjIA-QnZdO7ZoqkC0/edit#gid=884617569"",""S3 Totals!$A$2:$O$255""),4,FALSE)"),0.0)</f>
        <v>0</v>
      </c>
      <c r="H114" s="15">
        <f>IFERROR(__xludf.DUMMYFUNCTION("VLOOKUP(A114,IMPORTRANGE(""1QZ5UxyNCwadreQAXnQ7oCoH982DjIA-QnZdO7ZoqkC0/edit#gid=884617569"",""S3 Totals!$A$2:$O$255""),5,FALSE)"),0.0)</f>
        <v>0</v>
      </c>
      <c r="I114" s="143">
        <f t="shared" si="2"/>
        <v>0</v>
      </c>
      <c r="J114" s="16" t="str">
        <f>IFERROR(__xludf.DUMMYFUNCTION("VLOOKUP(A114,IMPORTRANGE(""1QZ5UxyNCwadreQAXnQ7oCoH982DjIA-QnZdO7ZoqkC0/edit#gid=884617569"",""S3 Totals!$A$2:$O$255""),7,FALSE)"),"")</f>
        <v/>
      </c>
      <c r="K114" s="15" t="str">
        <f>IFERROR(__xludf.DUMMYFUNCTION("VLOOKUP(A114,IMPORTRANGE(""1QZ5UxyNCwadreQAXnQ7oCoH982DjIA-QnZdO7ZoqkC0/edit#gid=884617569"",""S3 Totals!$A$2:$O$255""),8,FALSE)"),"")</f>
        <v/>
      </c>
      <c r="L114" s="110">
        <f t="shared" si="5"/>
        <v>0</v>
      </c>
      <c r="M114" s="16" t="str">
        <f>IFERROR(__xludf.DUMMYFUNCTION("VLOOKUP(A114,IMPORTRANGE(""1QZ5UxyNCwadreQAXnQ7oCoH982DjIA-QnZdO7ZoqkC0/edit#gid=884617569"",""S3 Totals!$A$2:$O$255""),10,FALSE)"),"")</f>
        <v/>
      </c>
      <c r="N114" s="15" t="str">
        <f>IFERROR(__xludf.DUMMYFUNCTION("VLOOKUP(A114,IMPORTRANGE(""1QZ5UxyNCwadreQAXnQ7oCoH982DjIA-QnZdO7ZoqkC0/edit#gid=884617569"",""S3 Totals!$A$2:$O$255""),11,FALSE)"),"")</f>
        <v/>
      </c>
      <c r="O114" s="110">
        <f t="shared" si="3"/>
        <v>0</v>
      </c>
      <c r="P114" s="16" t="str">
        <f>IFERROR(__xludf.DUMMYFUNCTION("VLOOKUP(A114,IMPORTRANGE(""1QZ5UxyNCwadreQAXnQ7oCoH982DjIA-QnZdO7ZoqkC0/edit#gid=884617569"",""S3 Totals!$A$2:$O$255""),13,FALSE)"),"")</f>
        <v/>
      </c>
      <c r="Q114" s="15" t="str">
        <f>IFERROR(__xludf.DUMMYFUNCTION("VLOOKUP(A114,IMPORTRANGE(""1QZ5UxyNCwadreQAXnQ7oCoH982DjIA-QnZdO7ZoqkC0/edit#gid=884617569"",""S3 Totals!$A$2:$O$255""),14,FALSE)"),"")</f>
        <v/>
      </c>
      <c r="R114" s="110">
        <f t="shared" si="4"/>
        <v>0</v>
      </c>
      <c r="S114" s="144"/>
    </row>
    <row r="115">
      <c r="A115" s="128" t="s">
        <v>237</v>
      </c>
      <c r="B115" s="16">
        <f>IFERROR(__xludf.DUMMYFUNCTION("VLOOKUP(A115,IMPORTRANGE(""1aFCnJY1qhIj8-JckJhDJ18aqmVo17tofpQmOjcYa3u8/edit#gid=1878241338"",""S3 Totals!$A$2:$O$255""),2,FALSE)"),0.0)</f>
        <v>0</v>
      </c>
      <c r="C115" s="15">
        <f>IFERROR(__xludf.DUMMYFUNCTION("VLOOKUP(A115,IMPORTRANGE(""1aFCnJY1qhIj8-JckJhDJ18aqmVo17tofpQmOjcYa3u8/edit#gid=1878241338"",""S3 Totals!$A$2:$O$255""),3,FALSE)"),0.0)</f>
        <v>0</v>
      </c>
      <c r="D115" s="16">
        <f>IFERROR(__xludf.DUMMYFUNCTION("VLOOKUP(A115,IMPORTRANGE(""1QZ5UxyNCwadreQAXnQ7oCoH982DjIA-QnZdO7ZoqkC0/edit#gid=884617569"",""S3 Totals!$A$2:$O$255""),2,FALSE)"),0.0)</f>
        <v>0</v>
      </c>
      <c r="E115" s="15">
        <f>IFERROR(__xludf.DUMMYFUNCTION("VLOOKUP(A115,IMPORTRANGE(""1QZ5UxyNCwadreQAXnQ7oCoH982DjIA-QnZdO7ZoqkC0/edit#gid=884617569"",""S3 Totals!$A$2:$O$255""),3,FALSE)"),0.0)</f>
        <v>0</v>
      </c>
      <c r="F115" s="15">
        <f t="shared" si="1"/>
        <v>0</v>
      </c>
      <c r="G115" s="16">
        <f>IFERROR(__xludf.DUMMYFUNCTION("VLOOKUP(A115,IMPORTRANGE(""1QZ5UxyNCwadreQAXnQ7oCoH982DjIA-QnZdO7ZoqkC0/edit#gid=884617569"",""S3 Totals!$A$2:$O$255""),4,FALSE)"),0.0)</f>
        <v>0</v>
      </c>
      <c r="H115" s="15">
        <f>IFERROR(__xludf.DUMMYFUNCTION("VLOOKUP(A115,IMPORTRANGE(""1QZ5UxyNCwadreQAXnQ7oCoH982DjIA-QnZdO7ZoqkC0/edit#gid=884617569"",""S3 Totals!$A$2:$O$255""),5,FALSE)"),0.0)</f>
        <v>0</v>
      </c>
      <c r="I115" s="143">
        <f t="shared" si="2"/>
        <v>0</v>
      </c>
      <c r="J115" s="16" t="str">
        <f>IFERROR(__xludf.DUMMYFUNCTION("VLOOKUP(A115,IMPORTRANGE(""1QZ5UxyNCwadreQAXnQ7oCoH982DjIA-QnZdO7ZoqkC0/edit#gid=884617569"",""S3 Totals!$A$2:$O$255""),7,FALSE)"),"")</f>
        <v/>
      </c>
      <c r="K115" s="15" t="str">
        <f>IFERROR(__xludf.DUMMYFUNCTION("VLOOKUP(A115,IMPORTRANGE(""1QZ5UxyNCwadreQAXnQ7oCoH982DjIA-QnZdO7ZoqkC0/edit#gid=884617569"",""S3 Totals!$A$2:$O$255""),8,FALSE)"),"")</f>
        <v/>
      </c>
      <c r="L115" s="110">
        <f t="shared" si="5"/>
        <v>0</v>
      </c>
      <c r="M115" s="16" t="str">
        <f>IFERROR(__xludf.DUMMYFUNCTION("VLOOKUP(A115,IMPORTRANGE(""1QZ5UxyNCwadreQAXnQ7oCoH982DjIA-QnZdO7ZoqkC0/edit#gid=884617569"",""S3 Totals!$A$2:$O$255""),10,FALSE)"),"")</f>
        <v/>
      </c>
      <c r="N115" s="15" t="str">
        <f>IFERROR(__xludf.DUMMYFUNCTION("VLOOKUP(A115,IMPORTRANGE(""1QZ5UxyNCwadreQAXnQ7oCoH982DjIA-QnZdO7ZoqkC0/edit#gid=884617569"",""S3 Totals!$A$2:$O$255""),11,FALSE)"),"")</f>
        <v/>
      </c>
      <c r="O115" s="110">
        <f t="shared" si="3"/>
        <v>0</v>
      </c>
      <c r="P115" s="16" t="str">
        <f>IFERROR(__xludf.DUMMYFUNCTION("VLOOKUP(A115,IMPORTRANGE(""1QZ5UxyNCwadreQAXnQ7oCoH982DjIA-QnZdO7ZoqkC0/edit#gid=884617569"",""S3 Totals!$A$2:$O$255""),13,FALSE)"),"")</f>
        <v/>
      </c>
      <c r="Q115" s="15" t="str">
        <f>IFERROR(__xludf.DUMMYFUNCTION("VLOOKUP(A115,IMPORTRANGE(""1QZ5UxyNCwadreQAXnQ7oCoH982DjIA-QnZdO7ZoqkC0/edit#gid=884617569"",""S3 Totals!$A$2:$O$255""),14,FALSE)"),"")</f>
        <v/>
      </c>
      <c r="R115" s="110">
        <f t="shared" si="4"/>
        <v>0</v>
      </c>
      <c r="S115" s="144"/>
    </row>
    <row r="116">
      <c r="A116" s="135" t="s">
        <v>131</v>
      </c>
      <c r="B116" s="16">
        <f>IFERROR(__xludf.DUMMYFUNCTION("VLOOKUP(A116,IMPORTRANGE(""1aFCnJY1qhIj8-JckJhDJ18aqmVo17tofpQmOjcYa3u8/edit#gid=1878241338"",""S3 Totals!$A$2:$O$255""),2,FALSE)"),7.0)</f>
        <v>7</v>
      </c>
      <c r="C116" s="15">
        <f>IFERROR(__xludf.DUMMYFUNCTION("VLOOKUP(A116,IMPORTRANGE(""1aFCnJY1qhIj8-JckJhDJ18aqmVo17tofpQmOjcYa3u8/edit#gid=1878241338"",""S3 Totals!$A$2:$O$255""),3,FALSE)"),0.0958904109589041)</f>
        <v>0.09589041096</v>
      </c>
      <c r="D116" s="16">
        <f>IFERROR(__xludf.DUMMYFUNCTION("VLOOKUP(A116,IMPORTRANGE(""1QZ5UxyNCwadreQAXnQ7oCoH982DjIA-QnZdO7ZoqkC0/edit#gid=884617569"",""S3 Totals!$A$2:$O$255""),2,FALSE)"),4.0)</f>
        <v>4</v>
      </c>
      <c r="E116" s="15">
        <f>IFERROR(__xludf.DUMMYFUNCTION("VLOOKUP(A116,IMPORTRANGE(""1QZ5UxyNCwadreQAXnQ7oCoH982DjIA-QnZdO7ZoqkC0/edit#gid=884617569"",""S3 Totals!$A$2:$O$255""),3,FALSE)"),0.05405405405405406)</f>
        <v>0.05405405405</v>
      </c>
      <c r="F116" s="15">
        <f t="shared" si="1"/>
        <v>0.0418363569</v>
      </c>
      <c r="G116" s="16">
        <f>IFERROR(__xludf.DUMMYFUNCTION("VLOOKUP(A116,IMPORTRANGE(""1QZ5UxyNCwadreQAXnQ7oCoH982DjIA-QnZdO7ZoqkC0/edit#gid=884617569"",""S3 Totals!$A$2:$O$255""),4,FALSE)"),5.0)</f>
        <v>5</v>
      </c>
      <c r="H116" s="15">
        <f>IFERROR(__xludf.DUMMYFUNCTION("VLOOKUP(A116,IMPORTRANGE(""1QZ5UxyNCwadreQAXnQ7oCoH982DjIA-QnZdO7ZoqkC0/edit#gid=884617569"",""S3 Totals!$A$2:$O$255""),5,FALSE)"),0.06329113924050633)</f>
        <v>0.06329113924</v>
      </c>
      <c r="I116" s="143">
        <f t="shared" si="2"/>
        <v>0.03259927172</v>
      </c>
      <c r="J116" s="16">
        <f>IFERROR(__xludf.DUMMYFUNCTION("VLOOKUP(A116,IMPORTRANGE(""1QZ5UxyNCwadreQAXnQ7oCoH982DjIA-QnZdO7ZoqkC0/edit#gid=884617569"",""S3 Totals!$A$2:$O$255""),7,FALSE)"),5.0)</f>
        <v>5</v>
      </c>
      <c r="K116" s="15">
        <f>IFERROR(__xludf.DUMMYFUNCTION("VLOOKUP(A116,IMPORTRANGE(""1QZ5UxyNCwadreQAXnQ7oCoH982DjIA-QnZdO7ZoqkC0/edit#gid=884617569"",""S3 Totals!$A$2:$O$255""),8,FALSE)"),0.058823529411764705)</f>
        <v>0.05882352941</v>
      </c>
      <c r="L116" s="110">
        <f t="shared" si="5"/>
        <v>-0.004769475358</v>
      </c>
      <c r="M116" s="16">
        <f>IFERROR(__xludf.DUMMYFUNCTION("VLOOKUP(A116,IMPORTRANGE(""1QZ5UxyNCwadreQAXnQ7oCoH982DjIA-QnZdO7ZoqkC0/edit#gid=884617569"",""S3 Totals!$A$2:$O$255""),10,FALSE)"),5.0)</f>
        <v>5</v>
      </c>
      <c r="N116" s="15">
        <f>IFERROR(__xludf.DUMMYFUNCTION("VLOOKUP(A116,IMPORTRANGE(""1QZ5UxyNCwadreQAXnQ7oCoH982DjIA-QnZdO7ZoqkC0/edit#gid=884617569"",""S3 Totals!$A$2:$O$255""),11,FALSE)"),0.058823529411764705)</f>
        <v>0.05882352941</v>
      </c>
      <c r="O116" s="110">
        <f t="shared" si="3"/>
        <v>0.03706688155</v>
      </c>
      <c r="P116" s="16" t="str">
        <f>IFERROR(__xludf.DUMMYFUNCTION("VLOOKUP(A116,IMPORTRANGE(""1QZ5UxyNCwadreQAXnQ7oCoH982DjIA-QnZdO7ZoqkC0/edit#gid=884617569"",""S3 Totals!$A$2:$O$255""),13,FALSE)"),"")</f>
        <v/>
      </c>
      <c r="Q116" s="15" t="str">
        <f>IFERROR(__xludf.DUMMYFUNCTION("VLOOKUP(A116,IMPORTRANGE(""1QZ5UxyNCwadreQAXnQ7oCoH982DjIA-QnZdO7ZoqkC0/edit#gid=884617569"",""S3 Totals!$A$2:$O$255""),14,FALSE)"),"")</f>
        <v/>
      </c>
      <c r="R116" s="110">
        <f t="shared" si="4"/>
        <v>0.09589041096</v>
      </c>
      <c r="S116" s="144"/>
    </row>
    <row r="117">
      <c r="A117" s="128" t="s">
        <v>132</v>
      </c>
      <c r="B117" s="16">
        <f>IFERROR(__xludf.DUMMYFUNCTION("VLOOKUP(A117,IMPORTRANGE(""1aFCnJY1qhIj8-JckJhDJ18aqmVo17tofpQmOjcYa3u8/edit#gid=1878241338"",""S3 Totals!$A$2:$O$255""),2,FALSE)"),18.0)</f>
        <v>18</v>
      </c>
      <c r="C117" s="15">
        <f>IFERROR(__xludf.DUMMYFUNCTION("VLOOKUP(A117,IMPORTRANGE(""1aFCnJY1qhIj8-JckJhDJ18aqmVo17tofpQmOjcYa3u8/edit#gid=1878241338"",""S3 Totals!$A$2:$O$255""),3,FALSE)"),0.2465753424657534)</f>
        <v>0.2465753425</v>
      </c>
      <c r="D117" s="16">
        <f>IFERROR(__xludf.DUMMYFUNCTION("VLOOKUP(A117,IMPORTRANGE(""1QZ5UxyNCwadreQAXnQ7oCoH982DjIA-QnZdO7ZoqkC0/edit#gid=884617569"",""S3 Totals!$A$2:$O$255""),2,FALSE)"),18.0)</f>
        <v>18</v>
      </c>
      <c r="E117" s="15">
        <f>IFERROR(__xludf.DUMMYFUNCTION("VLOOKUP(A117,IMPORTRANGE(""1QZ5UxyNCwadreQAXnQ7oCoH982DjIA-QnZdO7ZoqkC0/edit#gid=884617569"",""S3 Totals!$A$2:$O$255""),3,FALSE)"),0.24324324324324326)</f>
        <v>0.2432432432</v>
      </c>
      <c r="F117" s="15">
        <f t="shared" si="1"/>
        <v>0.003332099223</v>
      </c>
      <c r="G117" s="16">
        <f>IFERROR(__xludf.DUMMYFUNCTION("VLOOKUP(A117,IMPORTRANGE(""1QZ5UxyNCwadreQAXnQ7oCoH982DjIA-QnZdO7ZoqkC0/edit#gid=884617569"",""S3 Totals!$A$2:$O$255""),4,FALSE)"),25.0)</f>
        <v>25</v>
      </c>
      <c r="H117" s="15">
        <f>IFERROR(__xludf.DUMMYFUNCTION("VLOOKUP(A117,IMPORTRANGE(""1QZ5UxyNCwadreQAXnQ7oCoH982DjIA-QnZdO7ZoqkC0/edit#gid=884617569"",""S3 Totals!$A$2:$O$255""),5,FALSE)"),0.31645569620253167)</f>
        <v>0.3164556962</v>
      </c>
      <c r="I117" s="143">
        <f t="shared" si="2"/>
        <v>-0.06988035374</v>
      </c>
      <c r="J117" s="16">
        <f>IFERROR(__xludf.DUMMYFUNCTION("VLOOKUP(A117,IMPORTRANGE(""1QZ5UxyNCwadreQAXnQ7oCoH982DjIA-QnZdO7ZoqkC0/edit#gid=884617569"",""S3 Totals!$A$2:$O$255""),7,FALSE)"),23.0)</f>
        <v>23</v>
      </c>
      <c r="K117" s="15">
        <f>IFERROR(__xludf.DUMMYFUNCTION("VLOOKUP(A117,IMPORTRANGE(""1QZ5UxyNCwadreQAXnQ7oCoH982DjIA-QnZdO7ZoqkC0/edit#gid=884617569"",""S3 Totals!$A$2:$O$255""),8,FALSE)"),0.27058823529411763)</f>
        <v>0.2705882353</v>
      </c>
      <c r="L117" s="110">
        <f t="shared" si="5"/>
        <v>-0.02734499205</v>
      </c>
      <c r="M117" s="16">
        <f>IFERROR(__xludf.DUMMYFUNCTION("VLOOKUP(A117,IMPORTRANGE(""1QZ5UxyNCwadreQAXnQ7oCoH982DjIA-QnZdO7ZoqkC0/edit#gid=884617569"",""S3 Totals!$A$2:$O$255""),10,FALSE)"),19.0)</f>
        <v>19</v>
      </c>
      <c r="N117" s="15">
        <f>IFERROR(__xludf.DUMMYFUNCTION("VLOOKUP(A117,IMPORTRANGE(""1QZ5UxyNCwadreQAXnQ7oCoH982DjIA-QnZdO7ZoqkC0/edit#gid=884617569"",""S3 Totals!$A$2:$O$255""),11,FALSE)"),0.2235294117647059)</f>
        <v>0.2235294118</v>
      </c>
      <c r="O117" s="110">
        <f t="shared" si="3"/>
        <v>0.0230459307</v>
      </c>
      <c r="P117" s="16" t="str">
        <f>IFERROR(__xludf.DUMMYFUNCTION("VLOOKUP(A117,IMPORTRANGE(""1QZ5UxyNCwadreQAXnQ7oCoH982DjIA-QnZdO7ZoqkC0/edit#gid=884617569"",""S3 Totals!$A$2:$O$255""),13,FALSE)"),"")</f>
        <v/>
      </c>
      <c r="Q117" s="15" t="str">
        <f>IFERROR(__xludf.DUMMYFUNCTION("VLOOKUP(A117,IMPORTRANGE(""1QZ5UxyNCwadreQAXnQ7oCoH982DjIA-QnZdO7ZoqkC0/edit#gid=884617569"",""S3 Totals!$A$2:$O$255""),14,FALSE)"),"")</f>
        <v/>
      </c>
      <c r="R117" s="110">
        <f t="shared" si="4"/>
        <v>0.2465753425</v>
      </c>
      <c r="S117" s="144"/>
    </row>
    <row r="118">
      <c r="A118" s="128" t="s">
        <v>61</v>
      </c>
      <c r="B118" s="16">
        <f>IFERROR(__xludf.DUMMYFUNCTION("VLOOKUP(A118,IMPORTRANGE(""1aFCnJY1qhIj8-JckJhDJ18aqmVo17tofpQmOjcYa3u8/edit#gid=1878241338"",""S3 Totals!$A$2:$O$255""),2,FALSE)"),41.0)</f>
        <v>41</v>
      </c>
      <c r="C118" s="15">
        <f>IFERROR(__xludf.DUMMYFUNCTION("VLOOKUP(A118,IMPORTRANGE(""1aFCnJY1qhIj8-JckJhDJ18aqmVo17tofpQmOjcYa3u8/edit#gid=1878241338"",""S3 Totals!$A$2:$O$255""),3,FALSE)"),0.5616438356164384)</f>
        <v>0.5616438356</v>
      </c>
      <c r="D118" s="16">
        <f>IFERROR(__xludf.DUMMYFUNCTION("VLOOKUP(A118,IMPORTRANGE(""1QZ5UxyNCwadreQAXnQ7oCoH982DjIA-QnZdO7ZoqkC0/edit#gid=884617569"",""S3 Totals!$A$2:$O$255""),2,FALSE)"),45.0)</f>
        <v>45</v>
      </c>
      <c r="E118" s="15">
        <f>IFERROR(__xludf.DUMMYFUNCTION("VLOOKUP(A118,IMPORTRANGE(""1QZ5UxyNCwadreQAXnQ7oCoH982DjIA-QnZdO7ZoqkC0/edit#gid=884617569"",""S3 Totals!$A$2:$O$255""),3,FALSE)"),0.6081081081081081)</f>
        <v>0.6081081081</v>
      </c>
      <c r="F118" s="15">
        <f t="shared" si="1"/>
        <v>-0.04646427249</v>
      </c>
      <c r="G118" s="16">
        <f>IFERROR(__xludf.DUMMYFUNCTION("VLOOKUP(A118,IMPORTRANGE(""1QZ5UxyNCwadreQAXnQ7oCoH982DjIA-QnZdO7ZoqkC0/edit#gid=884617569"",""S3 Totals!$A$2:$O$255""),4,FALSE)"),47.0)</f>
        <v>47</v>
      </c>
      <c r="H118" s="15">
        <f>IFERROR(__xludf.DUMMYFUNCTION("VLOOKUP(A118,IMPORTRANGE(""1QZ5UxyNCwadreQAXnQ7oCoH982DjIA-QnZdO7ZoqkC0/edit#gid=884617569"",""S3 Totals!$A$2:$O$255""),5,FALSE)"),0.5949367088607594)</f>
        <v>0.5949367089</v>
      </c>
      <c r="I118" s="143">
        <f t="shared" si="2"/>
        <v>-0.03329287324</v>
      </c>
      <c r="J118" s="16">
        <f>IFERROR(__xludf.DUMMYFUNCTION("VLOOKUP(A118,IMPORTRANGE(""1QZ5UxyNCwadreQAXnQ7oCoH982DjIA-QnZdO7ZoqkC0/edit#gid=884617569"",""S3 Totals!$A$2:$O$255""),7,FALSE)"),53.0)</f>
        <v>53</v>
      </c>
      <c r="K118" s="15">
        <f>IFERROR(__xludf.DUMMYFUNCTION("VLOOKUP(A118,IMPORTRANGE(""1QZ5UxyNCwadreQAXnQ7oCoH982DjIA-QnZdO7ZoqkC0/edit#gid=884617569"",""S3 Totals!$A$2:$O$255""),8,FALSE)"),0.6235294117647059)</f>
        <v>0.6235294118</v>
      </c>
      <c r="L118" s="110">
        <f t="shared" si="5"/>
        <v>-0.01542130366</v>
      </c>
      <c r="M118" s="16">
        <f>IFERROR(__xludf.DUMMYFUNCTION("VLOOKUP(A118,IMPORTRANGE(""1QZ5UxyNCwadreQAXnQ7oCoH982DjIA-QnZdO7ZoqkC0/edit#gid=884617569"",""S3 Totals!$A$2:$O$255""),10,FALSE)"),27.0)</f>
        <v>27</v>
      </c>
      <c r="N118" s="15">
        <f>IFERROR(__xludf.DUMMYFUNCTION("VLOOKUP(A118,IMPORTRANGE(""1QZ5UxyNCwadreQAXnQ7oCoH982DjIA-QnZdO7ZoqkC0/edit#gid=884617569"",""S3 Totals!$A$2:$O$255""),11,FALSE)"),0.3176470588235294)</f>
        <v>0.3176470588</v>
      </c>
      <c r="O118" s="110">
        <f t="shared" si="3"/>
        <v>0.2439967768</v>
      </c>
      <c r="P118" s="16">
        <f>IFERROR(__xludf.DUMMYFUNCTION("VLOOKUP(A118,IMPORTRANGE(""1QZ5UxyNCwadreQAXnQ7oCoH982DjIA-QnZdO7ZoqkC0/edit#gid=884617569"",""S3 Totals!$A$2:$O$255""),13,FALSE)"),27.0)</f>
        <v>27</v>
      </c>
      <c r="Q118" s="15">
        <f>IFERROR(__xludf.DUMMYFUNCTION("VLOOKUP(A118,IMPORTRANGE(""1QZ5UxyNCwadreQAXnQ7oCoH982DjIA-QnZdO7ZoqkC0/edit#gid=884617569"",""S3 Totals!$A$2:$O$255""),14,FALSE)"),0.3176470588235294)</f>
        <v>0.3176470588</v>
      </c>
      <c r="R118" s="110">
        <f t="shared" si="4"/>
        <v>0.2439967768</v>
      </c>
      <c r="S118" s="144"/>
    </row>
    <row r="119">
      <c r="A119" s="128" t="s">
        <v>300</v>
      </c>
      <c r="B119" s="16">
        <f>IFERROR(__xludf.DUMMYFUNCTION("VLOOKUP(A119,IMPORTRANGE(""1aFCnJY1qhIj8-JckJhDJ18aqmVo17tofpQmOjcYa3u8/edit#gid=1878241338"",""S3 Totals!$A$2:$O$255""),2,FALSE)"),0.0)</f>
        <v>0</v>
      </c>
      <c r="C119" s="15">
        <f>IFERROR(__xludf.DUMMYFUNCTION("VLOOKUP(A119,IMPORTRANGE(""1aFCnJY1qhIj8-JckJhDJ18aqmVo17tofpQmOjcYa3u8/edit#gid=1878241338"",""S3 Totals!$A$2:$O$255""),3,FALSE)"),0.0)</f>
        <v>0</v>
      </c>
      <c r="D119" s="16">
        <f>IFERROR(__xludf.DUMMYFUNCTION("VLOOKUP(A119,IMPORTRANGE(""1QZ5UxyNCwadreQAXnQ7oCoH982DjIA-QnZdO7ZoqkC0/edit#gid=884617569"",""S3 Totals!$A$2:$O$255""),2,FALSE)"),0.0)</f>
        <v>0</v>
      </c>
      <c r="E119" s="15">
        <f>IFERROR(__xludf.DUMMYFUNCTION("VLOOKUP(A119,IMPORTRANGE(""1QZ5UxyNCwadreQAXnQ7oCoH982DjIA-QnZdO7ZoqkC0/edit#gid=884617569"",""S3 Totals!$A$2:$O$255""),3,FALSE)"),0.0)</f>
        <v>0</v>
      </c>
      <c r="F119" s="15">
        <f t="shared" si="1"/>
        <v>0</v>
      </c>
      <c r="G119" s="16">
        <f>IFERROR(__xludf.DUMMYFUNCTION("VLOOKUP(A119,IMPORTRANGE(""1QZ5UxyNCwadreQAXnQ7oCoH982DjIA-QnZdO7ZoqkC0/edit#gid=884617569"",""S3 Totals!$A$2:$O$255""),4,FALSE)"),0.0)</f>
        <v>0</v>
      </c>
      <c r="H119" s="15">
        <f>IFERROR(__xludf.DUMMYFUNCTION("VLOOKUP(A119,IMPORTRANGE(""1QZ5UxyNCwadreQAXnQ7oCoH982DjIA-QnZdO7ZoqkC0/edit#gid=884617569"",""S3 Totals!$A$2:$O$255""),5,FALSE)"),0.0)</f>
        <v>0</v>
      </c>
      <c r="I119" s="143">
        <f t="shared" si="2"/>
        <v>0</v>
      </c>
      <c r="J119" s="16" t="str">
        <f>IFERROR(__xludf.DUMMYFUNCTION("VLOOKUP(A119,IMPORTRANGE(""1QZ5UxyNCwadreQAXnQ7oCoH982DjIA-QnZdO7ZoqkC0/edit#gid=884617569"",""S3 Totals!$A$2:$O$255""),7,FALSE)"),"")</f>
        <v/>
      </c>
      <c r="K119" s="15" t="str">
        <f>IFERROR(__xludf.DUMMYFUNCTION("VLOOKUP(A119,IMPORTRANGE(""1QZ5UxyNCwadreQAXnQ7oCoH982DjIA-QnZdO7ZoqkC0/edit#gid=884617569"",""S3 Totals!$A$2:$O$255""),8,FALSE)"),"")</f>
        <v/>
      </c>
      <c r="L119" s="110">
        <f t="shared" si="5"/>
        <v>0</v>
      </c>
      <c r="M119" s="16" t="str">
        <f>IFERROR(__xludf.DUMMYFUNCTION("VLOOKUP(A119,IMPORTRANGE(""1QZ5UxyNCwadreQAXnQ7oCoH982DjIA-QnZdO7ZoqkC0/edit#gid=884617569"",""S3 Totals!$A$2:$O$255""),10,FALSE)"),"")</f>
        <v/>
      </c>
      <c r="N119" s="15" t="str">
        <f>IFERROR(__xludf.DUMMYFUNCTION("VLOOKUP(A119,IMPORTRANGE(""1QZ5UxyNCwadreQAXnQ7oCoH982DjIA-QnZdO7ZoqkC0/edit#gid=884617569"",""S3 Totals!$A$2:$O$255""),11,FALSE)"),"")</f>
        <v/>
      </c>
      <c r="O119" s="110">
        <f t="shared" si="3"/>
        <v>0</v>
      </c>
      <c r="P119" s="16" t="str">
        <f>IFERROR(__xludf.DUMMYFUNCTION("VLOOKUP(A119,IMPORTRANGE(""1QZ5UxyNCwadreQAXnQ7oCoH982DjIA-QnZdO7ZoqkC0/edit#gid=884617569"",""S3 Totals!$A$2:$O$255""),13,FALSE)"),"")</f>
        <v/>
      </c>
      <c r="Q119" s="15" t="str">
        <f>IFERROR(__xludf.DUMMYFUNCTION("VLOOKUP(A119,IMPORTRANGE(""1QZ5UxyNCwadreQAXnQ7oCoH982DjIA-QnZdO7ZoqkC0/edit#gid=884617569"",""S3 Totals!$A$2:$O$255""),14,FALSE)"),"")</f>
        <v/>
      </c>
      <c r="R119" s="110">
        <f t="shared" si="4"/>
        <v>0</v>
      </c>
      <c r="S119" s="144"/>
    </row>
    <row r="120">
      <c r="A120" s="132" t="s">
        <v>180</v>
      </c>
      <c r="B120" s="16">
        <f>IFERROR(__xludf.DUMMYFUNCTION("VLOOKUP(A120,IMPORTRANGE(""1aFCnJY1qhIj8-JckJhDJ18aqmVo17tofpQmOjcYa3u8/edit#gid=1878241338"",""S3 Totals!$A$2:$O$255""),2,FALSE)"),0.0)</f>
        <v>0</v>
      </c>
      <c r="C120" s="15">
        <f>IFERROR(__xludf.DUMMYFUNCTION("VLOOKUP(A120,IMPORTRANGE(""1aFCnJY1qhIj8-JckJhDJ18aqmVo17tofpQmOjcYa3u8/edit#gid=1878241338"",""S3 Totals!$A$2:$O$255""),3,FALSE)"),0.0)</f>
        <v>0</v>
      </c>
      <c r="D120" s="16">
        <f>IFERROR(__xludf.DUMMYFUNCTION("VLOOKUP(A120,IMPORTRANGE(""1QZ5UxyNCwadreQAXnQ7oCoH982DjIA-QnZdO7ZoqkC0/edit#gid=884617569"",""S3 Totals!$A$2:$O$255""),2,FALSE)"),0.0)</f>
        <v>0</v>
      </c>
      <c r="E120" s="15">
        <f>IFERROR(__xludf.DUMMYFUNCTION("VLOOKUP(A120,IMPORTRANGE(""1QZ5UxyNCwadreQAXnQ7oCoH982DjIA-QnZdO7ZoqkC0/edit#gid=884617569"",""S3 Totals!$A$2:$O$255""),3,FALSE)"),0.0)</f>
        <v>0</v>
      </c>
      <c r="F120" s="15">
        <f t="shared" si="1"/>
        <v>0</v>
      </c>
      <c r="G120" s="16">
        <f>IFERROR(__xludf.DUMMYFUNCTION("VLOOKUP(A120,IMPORTRANGE(""1QZ5UxyNCwadreQAXnQ7oCoH982DjIA-QnZdO7ZoqkC0/edit#gid=884617569"",""S3 Totals!$A$2:$O$255""),4,FALSE)"),0.0)</f>
        <v>0</v>
      </c>
      <c r="H120" s="15">
        <f>IFERROR(__xludf.DUMMYFUNCTION("VLOOKUP(A120,IMPORTRANGE(""1QZ5UxyNCwadreQAXnQ7oCoH982DjIA-QnZdO7ZoqkC0/edit#gid=884617569"",""S3 Totals!$A$2:$O$255""),5,FALSE)"),0.0)</f>
        <v>0</v>
      </c>
      <c r="I120" s="143">
        <f t="shared" si="2"/>
        <v>0</v>
      </c>
      <c r="J120" s="16">
        <f>IFERROR(__xludf.DUMMYFUNCTION("VLOOKUP(A120,IMPORTRANGE(""1QZ5UxyNCwadreQAXnQ7oCoH982DjIA-QnZdO7ZoqkC0/edit#gid=884617569"",""S3 Totals!$A$2:$O$255""),7,FALSE)"),0.0)</f>
        <v>0</v>
      </c>
      <c r="K120" s="15">
        <f>IFERROR(__xludf.DUMMYFUNCTION("VLOOKUP(A120,IMPORTRANGE(""1QZ5UxyNCwadreQAXnQ7oCoH982DjIA-QnZdO7ZoqkC0/edit#gid=884617569"",""S3 Totals!$A$2:$O$255""),8,FALSE)"),0.0)</f>
        <v>0</v>
      </c>
      <c r="L120" s="110">
        <f t="shared" si="5"/>
        <v>0</v>
      </c>
      <c r="M120" s="16" t="str">
        <f>IFERROR(__xludf.DUMMYFUNCTION("VLOOKUP(A120,IMPORTRANGE(""1QZ5UxyNCwadreQAXnQ7oCoH982DjIA-QnZdO7ZoqkC0/edit#gid=884617569"",""S3 Totals!$A$2:$O$255""),10,FALSE)"),"")</f>
        <v/>
      </c>
      <c r="N120" s="15" t="str">
        <f>IFERROR(__xludf.DUMMYFUNCTION("VLOOKUP(A120,IMPORTRANGE(""1QZ5UxyNCwadreQAXnQ7oCoH982DjIA-QnZdO7ZoqkC0/edit#gid=884617569"",""S3 Totals!$A$2:$O$255""),11,FALSE)"),"")</f>
        <v/>
      </c>
      <c r="O120" s="110">
        <f t="shared" si="3"/>
        <v>0</v>
      </c>
      <c r="P120" s="16" t="str">
        <f>IFERROR(__xludf.DUMMYFUNCTION("VLOOKUP(A120,IMPORTRANGE(""1QZ5UxyNCwadreQAXnQ7oCoH982DjIA-QnZdO7ZoqkC0/edit#gid=884617569"",""S3 Totals!$A$2:$O$255""),13,FALSE)"),"")</f>
        <v/>
      </c>
      <c r="Q120" s="15" t="str">
        <f>IFERROR(__xludf.DUMMYFUNCTION("VLOOKUP(A120,IMPORTRANGE(""1QZ5UxyNCwadreQAXnQ7oCoH982DjIA-QnZdO7ZoqkC0/edit#gid=884617569"",""S3 Totals!$A$2:$O$255""),14,FALSE)"),"")</f>
        <v/>
      </c>
      <c r="R120" s="110">
        <f t="shared" si="4"/>
        <v>0</v>
      </c>
      <c r="S120" s="144"/>
    </row>
    <row r="121">
      <c r="A121" s="128" t="s">
        <v>133</v>
      </c>
      <c r="B121" s="16">
        <f>IFERROR(__xludf.DUMMYFUNCTION("VLOOKUP(A121,IMPORTRANGE(""1aFCnJY1qhIj8-JckJhDJ18aqmVo17tofpQmOjcYa3u8/edit#gid=1878241338"",""S3 Totals!$A$2:$O$255""),2,FALSE)"),1.0)</f>
        <v>1</v>
      </c>
      <c r="C121" s="15">
        <f>IFERROR(__xludf.DUMMYFUNCTION("VLOOKUP(A121,IMPORTRANGE(""1aFCnJY1qhIj8-JckJhDJ18aqmVo17tofpQmOjcYa3u8/edit#gid=1878241338"",""S3 Totals!$A$2:$O$255""),3,FALSE)"),0.0136986301369863)</f>
        <v>0.01369863014</v>
      </c>
      <c r="D121" s="16">
        <f>IFERROR(__xludf.DUMMYFUNCTION("VLOOKUP(A121,IMPORTRANGE(""1QZ5UxyNCwadreQAXnQ7oCoH982DjIA-QnZdO7ZoqkC0/edit#gid=884617569"",""S3 Totals!$A$2:$O$255""),2,FALSE)"),7.0)</f>
        <v>7</v>
      </c>
      <c r="E121" s="15">
        <f>IFERROR(__xludf.DUMMYFUNCTION("VLOOKUP(A121,IMPORTRANGE(""1QZ5UxyNCwadreQAXnQ7oCoH982DjIA-QnZdO7ZoqkC0/edit#gid=884617569"",""S3 Totals!$A$2:$O$255""),3,FALSE)"),0.0945945945945946)</f>
        <v>0.09459459459</v>
      </c>
      <c r="F121" s="15">
        <f t="shared" si="1"/>
        <v>-0.08089596446</v>
      </c>
      <c r="G121" s="16">
        <f>IFERROR(__xludf.DUMMYFUNCTION("VLOOKUP(A121,IMPORTRANGE(""1QZ5UxyNCwadreQAXnQ7oCoH982DjIA-QnZdO7ZoqkC0/edit#gid=884617569"",""S3 Totals!$A$2:$O$255""),4,FALSE)"),1.0)</f>
        <v>1</v>
      </c>
      <c r="H121" s="15">
        <f>IFERROR(__xludf.DUMMYFUNCTION("VLOOKUP(A121,IMPORTRANGE(""1QZ5UxyNCwadreQAXnQ7oCoH982DjIA-QnZdO7ZoqkC0/edit#gid=884617569"",""S3 Totals!$A$2:$O$255""),5,FALSE)"),0.012658227848101266)</f>
        <v>0.01265822785</v>
      </c>
      <c r="I121" s="143">
        <f t="shared" si="2"/>
        <v>0.001040402289</v>
      </c>
      <c r="J121" s="16">
        <f>IFERROR(__xludf.DUMMYFUNCTION("VLOOKUP(A121,IMPORTRANGE(""1QZ5UxyNCwadreQAXnQ7oCoH982DjIA-QnZdO7ZoqkC0/edit#gid=884617569"",""S3 Totals!$A$2:$O$255""),7,FALSE)"),1.0)</f>
        <v>1</v>
      </c>
      <c r="K121" s="15">
        <f>IFERROR(__xludf.DUMMYFUNCTION("VLOOKUP(A121,IMPORTRANGE(""1QZ5UxyNCwadreQAXnQ7oCoH982DjIA-QnZdO7ZoqkC0/edit#gid=884617569"",""S3 Totals!$A$2:$O$255""),8,FALSE)"),0.011764705882352941)</f>
        <v>0.01176470588</v>
      </c>
      <c r="L121" s="110">
        <f t="shared" si="5"/>
        <v>0.08282988871</v>
      </c>
      <c r="M121" s="16">
        <f>IFERROR(__xludf.DUMMYFUNCTION("VLOOKUP(A121,IMPORTRANGE(""1QZ5UxyNCwadreQAXnQ7oCoH982DjIA-QnZdO7ZoqkC0/edit#gid=884617569"",""S3 Totals!$A$2:$O$255""),10,FALSE)"),0.0)</f>
        <v>0</v>
      </c>
      <c r="N121" s="15">
        <f>IFERROR(__xludf.DUMMYFUNCTION("VLOOKUP(A121,IMPORTRANGE(""1QZ5UxyNCwadreQAXnQ7oCoH982DjIA-QnZdO7ZoqkC0/edit#gid=884617569"",""S3 Totals!$A$2:$O$255""),11,FALSE)"),0.0)</f>
        <v>0</v>
      </c>
      <c r="O121" s="110">
        <f t="shared" si="3"/>
        <v>0.01369863014</v>
      </c>
      <c r="P121" s="16" t="str">
        <f>IFERROR(__xludf.DUMMYFUNCTION("VLOOKUP(A121,IMPORTRANGE(""1QZ5UxyNCwadreQAXnQ7oCoH982DjIA-QnZdO7ZoqkC0/edit#gid=884617569"",""S3 Totals!$A$2:$O$255""),13,FALSE)"),"")</f>
        <v/>
      </c>
      <c r="Q121" s="15" t="str">
        <f>IFERROR(__xludf.DUMMYFUNCTION("VLOOKUP(A121,IMPORTRANGE(""1QZ5UxyNCwadreQAXnQ7oCoH982DjIA-QnZdO7ZoqkC0/edit#gid=884617569"",""S3 Totals!$A$2:$O$255""),14,FALSE)"),"")</f>
        <v/>
      </c>
      <c r="R121" s="110">
        <f t="shared" si="4"/>
        <v>0.01369863014</v>
      </c>
      <c r="S121" s="144"/>
    </row>
    <row r="122">
      <c r="A122" s="128" t="s">
        <v>238</v>
      </c>
      <c r="B122" s="16">
        <f>IFERROR(__xludf.DUMMYFUNCTION("VLOOKUP(A122,IMPORTRANGE(""1aFCnJY1qhIj8-JckJhDJ18aqmVo17tofpQmOjcYa3u8/edit#gid=1878241338"",""S3 Totals!$A$2:$O$255""),2,FALSE)"),19.0)</f>
        <v>19</v>
      </c>
      <c r="C122" s="15">
        <f>IFERROR(__xludf.DUMMYFUNCTION("VLOOKUP(A122,IMPORTRANGE(""1aFCnJY1qhIj8-JckJhDJ18aqmVo17tofpQmOjcYa3u8/edit#gid=1878241338"",""S3 Totals!$A$2:$O$255""),3,FALSE)"),0.2602739726027397)</f>
        <v>0.2602739726</v>
      </c>
      <c r="D122" s="16">
        <f>IFERROR(__xludf.DUMMYFUNCTION("VLOOKUP(A122,IMPORTRANGE(""1QZ5UxyNCwadreQAXnQ7oCoH982DjIA-QnZdO7ZoqkC0/edit#gid=884617569"",""S3 Totals!$A$2:$O$255""),2,FALSE)"),20.0)</f>
        <v>20</v>
      </c>
      <c r="E122" s="15">
        <f>IFERROR(__xludf.DUMMYFUNCTION("VLOOKUP(A122,IMPORTRANGE(""1QZ5UxyNCwadreQAXnQ7oCoH982DjIA-QnZdO7ZoqkC0/edit#gid=884617569"",""S3 Totals!$A$2:$O$255""),3,FALSE)"),0.2702702702702703)</f>
        <v>0.2702702703</v>
      </c>
      <c r="F122" s="15">
        <f t="shared" si="1"/>
        <v>-0.009996297668</v>
      </c>
      <c r="G122" s="16">
        <f>IFERROR(__xludf.DUMMYFUNCTION("VLOOKUP(A122,IMPORTRANGE(""1QZ5UxyNCwadreQAXnQ7oCoH982DjIA-QnZdO7ZoqkC0/edit#gid=884617569"",""S3 Totals!$A$2:$O$255""),4,FALSE)"),20.0)</f>
        <v>20</v>
      </c>
      <c r="H122" s="15">
        <f>IFERROR(__xludf.DUMMYFUNCTION("VLOOKUP(A122,IMPORTRANGE(""1QZ5UxyNCwadreQAXnQ7oCoH982DjIA-QnZdO7ZoqkC0/edit#gid=884617569"",""S3 Totals!$A$2:$O$255""),5,FALSE)"),0.25316455696202533)</f>
        <v>0.253164557</v>
      </c>
      <c r="I122" s="143">
        <f t="shared" si="2"/>
        <v>0.007109415641</v>
      </c>
      <c r="J122" s="16" t="str">
        <f>IFERROR(__xludf.DUMMYFUNCTION("VLOOKUP(A122,IMPORTRANGE(""1QZ5UxyNCwadreQAXnQ7oCoH982DjIA-QnZdO7ZoqkC0/edit#gid=884617569"",""S3 Totals!$A$2:$O$255""),7,FALSE)"),"")</f>
        <v/>
      </c>
      <c r="K122" s="15" t="str">
        <f>IFERROR(__xludf.DUMMYFUNCTION("VLOOKUP(A122,IMPORTRANGE(""1QZ5UxyNCwadreQAXnQ7oCoH982DjIA-QnZdO7ZoqkC0/edit#gid=884617569"",""S3 Totals!$A$2:$O$255""),8,FALSE)"),"")</f>
        <v/>
      </c>
      <c r="L122" s="110">
        <f t="shared" si="5"/>
        <v>0.2702702703</v>
      </c>
      <c r="M122" s="16" t="str">
        <f>IFERROR(__xludf.DUMMYFUNCTION("VLOOKUP(A122,IMPORTRANGE(""1QZ5UxyNCwadreQAXnQ7oCoH982DjIA-QnZdO7ZoqkC0/edit#gid=884617569"",""S3 Totals!$A$2:$O$255""),10,FALSE)"),"")</f>
        <v/>
      </c>
      <c r="N122" s="15" t="str">
        <f>IFERROR(__xludf.DUMMYFUNCTION("VLOOKUP(A122,IMPORTRANGE(""1QZ5UxyNCwadreQAXnQ7oCoH982DjIA-QnZdO7ZoqkC0/edit#gid=884617569"",""S3 Totals!$A$2:$O$255""),11,FALSE)"),"")</f>
        <v/>
      </c>
      <c r="O122" s="110">
        <f t="shared" si="3"/>
        <v>0.2602739726</v>
      </c>
      <c r="P122" s="16" t="str">
        <f>IFERROR(__xludf.DUMMYFUNCTION("VLOOKUP(A122,IMPORTRANGE(""1QZ5UxyNCwadreQAXnQ7oCoH982DjIA-QnZdO7ZoqkC0/edit#gid=884617569"",""S3 Totals!$A$2:$O$255""),13,FALSE)"),"")</f>
        <v/>
      </c>
      <c r="Q122" s="15" t="str">
        <f>IFERROR(__xludf.DUMMYFUNCTION("VLOOKUP(A122,IMPORTRANGE(""1QZ5UxyNCwadreQAXnQ7oCoH982DjIA-QnZdO7ZoqkC0/edit#gid=884617569"",""S3 Totals!$A$2:$O$255""),14,FALSE)"),"")</f>
        <v/>
      </c>
      <c r="R122" s="110">
        <f t="shared" si="4"/>
        <v>0.2602739726</v>
      </c>
      <c r="S122" s="144"/>
    </row>
    <row r="123">
      <c r="A123" s="128" t="s">
        <v>239</v>
      </c>
      <c r="B123" s="16">
        <f>IFERROR(__xludf.DUMMYFUNCTION("VLOOKUP(A123,IMPORTRANGE(""1aFCnJY1qhIj8-JckJhDJ18aqmVo17tofpQmOjcYa3u8/edit#gid=1878241338"",""S3 Totals!$A$2:$O$255""),2,FALSE)"),17.0)</f>
        <v>17</v>
      </c>
      <c r="C123" s="15">
        <f>IFERROR(__xludf.DUMMYFUNCTION("VLOOKUP(A123,IMPORTRANGE(""1aFCnJY1qhIj8-JckJhDJ18aqmVo17tofpQmOjcYa3u8/edit#gid=1878241338"",""S3 Totals!$A$2:$O$255""),3,FALSE)"),0.2328767123287671)</f>
        <v>0.2328767123</v>
      </c>
      <c r="D123" s="16">
        <f>IFERROR(__xludf.DUMMYFUNCTION("VLOOKUP(A123,IMPORTRANGE(""1QZ5UxyNCwadreQAXnQ7oCoH982DjIA-QnZdO7ZoqkC0/edit#gid=884617569"",""S3 Totals!$A$2:$O$255""),2,FALSE)"),15.0)</f>
        <v>15</v>
      </c>
      <c r="E123" s="15">
        <f>IFERROR(__xludf.DUMMYFUNCTION("VLOOKUP(A123,IMPORTRANGE(""1QZ5UxyNCwadreQAXnQ7oCoH982DjIA-QnZdO7ZoqkC0/edit#gid=884617569"",""S3 Totals!$A$2:$O$255""),3,FALSE)"),0.20270270270270271)</f>
        <v>0.2027027027</v>
      </c>
      <c r="F123" s="15">
        <f t="shared" si="1"/>
        <v>0.03017400963</v>
      </c>
      <c r="G123" s="16">
        <f>IFERROR(__xludf.DUMMYFUNCTION("VLOOKUP(A123,IMPORTRANGE(""1QZ5UxyNCwadreQAXnQ7oCoH982DjIA-QnZdO7ZoqkC0/edit#gid=884617569"",""S3 Totals!$A$2:$O$255""),4,FALSE)"),17.0)</f>
        <v>17</v>
      </c>
      <c r="H123" s="15">
        <f>IFERROR(__xludf.DUMMYFUNCTION("VLOOKUP(A123,IMPORTRANGE(""1QZ5UxyNCwadreQAXnQ7oCoH982DjIA-QnZdO7ZoqkC0/edit#gid=884617569"",""S3 Totals!$A$2:$O$255""),5,FALSE)"),0.21518987341772153)</f>
        <v>0.2151898734</v>
      </c>
      <c r="I123" s="143">
        <f t="shared" si="2"/>
        <v>0.01768683891</v>
      </c>
      <c r="J123" s="16" t="str">
        <f>IFERROR(__xludf.DUMMYFUNCTION("VLOOKUP(A123,IMPORTRANGE(""1QZ5UxyNCwadreQAXnQ7oCoH982DjIA-QnZdO7ZoqkC0/edit#gid=884617569"",""S3 Totals!$A$2:$O$255""),7,FALSE)"),"")</f>
        <v/>
      </c>
      <c r="K123" s="15" t="str">
        <f>IFERROR(__xludf.DUMMYFUNCTION("VLOOKUP(A123,IMPORTRANGE(""1QZ5UxyNCwadreQAXnQ7oCoH982DjIA-QnZdO7ZoqkC0/edit#gid=884617569"",""S3 Totals!$A$2:$O$255""),8,FALSE)"),"")</f>
        <v/>
      </c>
      <c r="L123" s="110">
        <f t="shared" si="5"/>
        <v>0.2027027027</v>
      </c>
      <c r="M123" s="16" t="str">
        <f>IFERROR(__xludf.DUMMYFUNCTION("VLOOKUP(A123,IMPORTRANGE(""1QZ5UxyNCwadreQAXnQ7oCoH982DjIA-QnZdO7ZoqkC0/edit#gid=884617569"",""S3 Totals!$A$2:$O$255""),10,FALSE)"),"")</f>
        <v/>
      </c>
      <c r="N123" s="15" t="str">
        <f>IFERROR(__xludf.DUMMYFUNCTION("VLOOKUP(A123,IMPORTRANGE(""1QZ5UxyNCwadreQAXnQ7oCoH982DjIA-QnZdO7ZoqkC0/edit#gid=884617569"",""S3 Totals!$A$2:$O$255""),11,FALSE)"),"")</f>
        <v/>
      </c>
      <c r="O123" s="110">
        <f t="shared" si="3"/>
        <v>0.2328767123</v>
      </c>
      <c r="P123" s="16" t="str">
        <f>IFERROR(__xludf.DUMMYFUNCTION("VLOOKUP(A123,IMPORTRANGE(""1QZ5UxyNCwadreQAXnQ7oCoH982DjIA-QnZdO7ZoqkC0/edit#gid=884617569"",""S3 Totals!$A$2:$O$255""),13,FALSE)"),"")</f>
        <v/>
      </c>
      <c r="Q123" s="15" t="str">
        <f>IFERROR(__xludf.DUMMYFUNCTION("VLOOKUP(A123,IMPORTRANGE(""1QZ5UxyNCwadreQAXnQ7oCoH982DjIA-QnZdO7ZoqkC0/edit#gid=884617569"",""S3 Totals!$A$2:$O$255""),14,FALSE)"),"")</f>
        <v/>
      </c>
      <c r="R123" s="110">
        <f t="shared" si="4"/>
        <v>0.2328767123</v>
      </c>
      <c r="S123" s="144"/>
    </row>
    <row r="124">
      <c r="A124" s="128" t="s">
        <v>267</v>
      </c>
      <c r="B124" s="16">
        <f>IFERROR(__xludf.DUMMYFUNCTION("VLOOKUP(A124,IMPORTRANGE(""1aFCnJY1qhIj8-JckJhDJ18aqmVo17tofpQmOjcYa3u8/edit#gid=1878241338"",""S3 Totals!$A$2:$O$255""),2,FALSE)"),10.0)</f>
        <v>10</v>
      </c>
      <c r="C124" s="15">
        <f>IFERROR(__xludf.DUMMYFUNCTION("VLOOKUP(A124,IMPORTRANGE(""1aFCnJY1qhIj8-JckJhDJ18aqmVo17tofpQmOjcYa3u8/edit#gid=1878241338"",""S3 Totals!$A$2:$O$255""),3,FALSE)"),0.136986301369863)</f>
        <v>0.1369863014</v>
      </c>
      <c r="D124" s="16" t="str">
        <f>IFERROR(__xludf.DUMMYFUNCTION("VLOOKUP(A124,IMPORTRANGE(""1QZ5UxyNCwadreQAXnQ7oCoH982DjIA-QnZdO7ZoqkC0/edit#gid=884617569"",""S3 Totals!$A$2:$O$255""),2,FALSE)"),"#N/A")</f>
        <v>#N/A</v>
      </c>
      <c r="E124" s="15" t="str">
        <f>IFERROR(__xludf.DUMMYFUNCTION("VLOOKUP(A124,IMPORTRANGE(""1QZ5UxyNCwadreQAXnQ7oCoH982DjIA-QnZdO7ZoqkC0/edit#gid=884617569"",""S3 Totals!$A$2:$O$255""),3,FALSE)"),"#N/A")</f>
        <v>#N/A</v>
      </c>
      <c r="F124" s="16" t="str">
        <f t="shared" si="1"/>
        <v>#N/A</v>
      </c>
      <c r="G124" s="16" t="str">
        <f>IFERROR(__xludf.DUMMYFUNCTION("VLOOKUP(A124,IMPORTRANGE(""1QZ5UxyNCwadreQAXnQ7oCoH982DjIA-QnZdO7ZoqkC0/edit#gid=884617569"",""S3 Totals!$A$2:$O$255""),4,FALSE)"),"#N/A")</f>
        <v>#N/A</v>
      </c>
      <c r="H124" s="15" t="str">
        <f>IFERROR(__xludf.DUMMYFUNCTION("VLOOKUP(A124,IMPORTRANGE(""1QZ5UxyNCwadreQAXnQ7oCoH982DjIA-QnZdO7ZoqkC0/edit#gid=884617569"",""S3 Totals!$A$2:$O$255""),5,FALSE)"),"#N/A")</f>
        <v>#N/A</v>
      </c>
      <c r="I124" s="143" t="str">
        <f t="shared" si="2"/>
        <v>#N/A</v>
      </c>
      <c r="J124" s="16" t="str">
        <f>IFERROR(__xludf.DUMMYFUNCTION("VLOOKUP(A124,IMPORTRANGE(""1QZ5UxyNCwadreQAXnQ7oCoH982DjIA-QnZdO7ZoqkC0/edit#gid=884617569"",""S3 Totals!$A$2:$O$255""),7,FALSE)"),"#N/A")</f>
        <v>#N/A</v>
      </c>
      <c r="K124" s="15" t="str">
        <f>IFERROR(__xludf.DUMMYFUNCTION("VLOOKUP(A124,IMPORTRANGE(""1QZ5UxyNCwadreQAXnQ7oCoH982DjIA-QnZdO7ZoqkC0/edit#gid=884617569"",""S3 Totals!$A$2:$O$255""),8,FALSE)"),"#N/A")</f>
        <v>#N/A</v>
      </c>
      <c r="L124" s="110" t="str">
        <f t="shared" si="5"/>
        <v>#N/A</v>
      </c>
      <c r="M124" s="16" t="str">
        <f>IFERROR(__xludf.DUMMYFUNCTION("VLOOKUP(A124,IMPORTRANGE(""1QZ5UxyNCwadreQAXnQ7oCoH982DjIA-QnZdO7ZoqkC0/edit#gid=884617569"",""S3 Totals!$A$2:$O$255""),10,FALSE)"),"#N/A")</f>
        <v>#N/A</v>
      </c>
      <c r="N124" s="15" t="str">
        <f>IFERROR(__xludf.DUMMYFUNCTION("VLOOKUP(A124,IMPORTRANGE(""1QZ5UxyNCwadreQAXnQ7oCoH982DjIA-QnZdO7ZoqkC0/edit#gid=884617569"",""S3 Totals!$A$2:$O$255""),11,FALSE)"),"#N/A")</f>
        <v>#N/A</v>
      </c>
      <c r="O124" s="110" t="str">
        <f t="shared" si="3"/>
        <v>#N/A</v>
      </c>
      <c r="P124" s="16" t="str">
        <f>IFERROR(__xludf.DUMMYFUNCTION("VLOOKUP(A124,IMPORTRANGE(""1QZ5UxyNCwadreQAXnQ7oCoH982DjIA-QnZdO7ZoqkC0/edit#gid=884617569"",""S3 Totals!$A$2:$O$255""),13,FALSE)"),"#N/A")</f>
        <v>#N/A</v>
      </c>
      <c r="Q124" s="15" t="str">
        <f>IFERROR(__xludf.DUMMYFUNCTION("VLOOKUP(A124,IMPORTRANGE(""1QZ5UxyNCwadreQAXnQ7oCoH982DjIA-QnZdO7ZoqkC0/edit#gid=884617569"",""S3 Totals!$A$2:$O$255""),14,FALSE)"),"#N/A")</f>
        <v>#N/A</v>
      </c>
      <c r="R124" s="110" t="str">
        <f t="shared" si="4"/>
        <v>#N/A</v>
      </c>
      <c r="S124" s="144"/>
    </row>
    <row r="125">
      <c r="A125" s="128" t="s">
        <v>134</v>
      </c>
      <c r="B125" s="16">
        <f>IFERROR(__xludf.DUMMYFUNCTION("VLOOKUP(A125,IMPORTRANGE(""1aFCnJY1qhIj8-JckJhDJ18aqmVo17tofpQmOjcYa3u8/edit#gid=1878241338"",""S3 Totals!$A$2:$O$255""),2,FALSE)"),1.0)</f>
        <v>1</v>
      </c>
      <c r="C125" s="15">
        <f>IFERROR(__xludf.DUMMYFUNCTION("VLOOKUP(A125,IMPORTRANGE(""1aFCnJY1qhIj8-JckJhDJ18aqmVo17tofpQmOjcYa3u8/edit#gid=1878241338"",""S3 Totals!$A$2:$O$255""),3,FALSE)"),0.0136986301369863)</f>
        <v>0.01369863014</v>
      </c>
      <c r="D125" s="16">
        <f>IFERROR(__xludf.DUMMYFUNCTION("VLOOKUP(A125,IMPORTRANGE(""1QZ5UxyNCwadreQAXnQ7oCoH982DjIA-QnZdO7ZoqkC0/edit#gid=884617569"",""S3 Totals!$A$2:$O$255""),2,FALSE)"),1.0)</f>
        <v>1</v>
      </c>
      <c r="E125" s="15">
        <f>IFERROR(__xludf.DUMMYFUNCTION("VLOOKUP(A125,IMPORTRANGE(""1QZ5UxyNCwadreQAXnQ7oCoH982DjIA-QnZdO7ZoqkC0/edit#gid=884617569"",""S3 Totals!$A$2:$O$255""),3,FALSE)"),0.013513513513513514)</f>
        <v>0.01351351351</v>
      </c>
      <c r="F125" s="15">
        <f t="shared" si="1"/>
        <v>0.0001851166235</v>
      </c>
      <c r="G125" s="16">
        <f>IFERROR(__xludf.DUMMYFUNCTION("VLOOKUP(A125,IMPORTRANGE(""1QZ5UxyNCwadreQAXnQ7oCoH982DjIA-QnZdO7ZoqkC0/edit#gid=884617569"",""S3 Totals!$A$2:$O$255""),4,FALSE)"),1.0)</f>
        <v>1</v>
      </c>
      <c r="H125" s="15">
        <f>IFERROR(__xludf.DUMMYFUNCTION("VLOOKUP(A125,IMPORTRANGE(""1QZ5UxyNCwadreQAXnQ7oCoH982DjIA-QnZdO7ZoqkC0/edit#gid=884617569"",""S3 Totals!$A$2:$O$255""),5,FALSE)"),0.012658227848101266)</f>
        <v>0.01265822785</v>
      </c>
      <c r="I125" s="143">
        <f t="shared" si="2"/>
        <v>0.001040402289</v>
      </c>
      <c r="J125" s="16">
        <f>IFERROR(__xludf.DUMMYFUNCTION("VLOOKUP(A125,IMPORTRANGE(""1QZ5UxyNCwadreQAXnQ7oCoH982DjIA-QnZdO7ZoqkC0/edit#gid=884617569"",""S3 Totals!$A$2:$O$255""),7,FALSE)"),0.0)</f>
        <v>0</v>
      </c>
      <c r="K125" s="15">
        <f>IFERROR(__xludf.DUMMYFUNCTION("VLOOKUP(A125,IMPORTRANGE(""1QZ5UxyNCwadreQAXnQ7oCoH982DjIA-QnZdO7ZoqkC0/edit#gid=884617569"",""S3 Totals!$A$2:$O$255""),8,FALSE)"),0.0)</f>
        <v>0</v>
      </c>
      <c r="L125" s="110">
        <f t="shared" si="5"/>
        <v>0.01351351351</v>
      </c>
      <c r="M125" s="16">
        <f>IFERROR(__xludf.DUMMYFUNCTION("VLOOKUP(A125,IMPORTRANGE(""1QZ5UxyNCwadreQAXnQ7oCoH982DjIA-QnZdO7ZoqkC0/edit#gid=884617569"",""S3 Totals!$A$2:$O$255""),10,FALSE)"),0.0)</f>
        <v>0</v>
      </c>
      <c r="N125" s="15">
        <f>IFERROR(__xludf.DUMMYFUNCTION("VLOOKUP(A125,IMPORTRANGE(""1QZ5UxyNCwadreQAXnQ7oCoH982DjIA-QnZdO7ZoqkC0/edit#gid=884617569"",""S3 Totals!$A$2:$O$255""),11,FALSE)"),0.0)</f>
        <v>0</v>
      </c>
      <c r="O125" s="110">
        <f t="shared" si="3"/>
        <v>0.01369863014</v>
      </c>
      <c r="P125" s="16" t="str">
        <f>IFERROR(__xludf.DUMMYFUNCTION("VLOOKUP(A125,IMPORTRANGE(""1QZ5UxyNCwadreQAXnQ7oCoH982DjIA-QnZdO7ZoqkC0/edit#gid=884617569"",""S3 Totals!$A$2:$O$255""),13,FALSE)"),"")</f>
        <v/>
      </c>
      <c r="Q125" s="15" t="str">
        <f>IFERROR(__xludf.DUMMYFUNCTION("VLOOKUP(A125,IMPORTRANGE(""1QZ5UxyNCwadreQAXnQ7oCoH982DjIA-QnZdO7ZoqkC0/edit#gid=884617569"",""S3 Totals!$A$2:$O$255""),14,FALSE)"),"")</f>
        <v/>
      </c>
      <c r="R125" s="110">
        <f t="shared" si="4"/>
        <v>0.01369863014</v>
      </c>
      <c r="S125" s="144"/>
    </row>
    <row r="126">
      <c r="A126" s="128" t="s">
        <v>240</v>
      </c>
      <c r="B126" s="16">
        <f>IFERROR(__xludf.DUMMYFUNCTION("VLOOKUP(A126,IMPORTRANGE(""1aFCnJY1qhIj8-JckJhDJ18aqmVo17tofpQmOjcYa3u8/edit#gid=1878241338"",""S3 Totals!$A$2:$O$255""),2,FALSE)"),0.0)</f>
        <v>0</v>
      </c>
      <c r="C126" s="15">
        <f>IFERROR(__xludf.DUMMYFUNCTION("VLOOKUP(A126,IMPORTRANGE(""1aFCnJY1qhIj8-JckJhDJ18aqmVo17tofpQmOjcYa3u8/edit#gid=1878241338"",""S3 Totals!$A$2:$O$255""),3,FALSE)"),0.0)</f>
        <v>0</v>
      </c>
      <c r="D126" s="16">
        <f>IFERROR(__xludf.DUMMYFUNCTION("VLOOKUP(A126,IMPORTRANGE(""1QZ5UxyNCwadreQAXnQ7oCoH982DjIA-QnZdO7ZoqkC0/edit#gid=884617569"",""S3 Totals!$A$2:$O$255""),2,FALSE)"),0.0)</f>
        <v>0</v>
      </c>
      <c r="E126" s="15">
        <f>IFERROR(__xludf.DUMMYFUNCTION("VLOOKUP(A126,IMPORTRANGE(""1QZ5UxyNCwadreQAXnQ7oCoH982DjIA-QnZdO7ZoqkC0/edit#gid=884617569"",""S3 Totals!$A$2:$O$255""),3,FALSE)"),0.0)</f>
        <v>0</v>
      </c>
      <c r="F126" s="15">
        <f t="shared" si="1"/>
        <v>0</v>
      </c>
      <c r="G126" s="16">
        <f>IFERROR(__xludf.DUMMYFUNCTION("VLOOKUP(A126,IMPORTRANGE(""1QZ5UxyNCwadreQAXnQ7oCoH982DjIA-QnZdO7ZoqkC0/edit#gid=884617569"",""S3 Totals!$A$2:$O$255""),4,FALSE)"),0.0)</f>
        <v>0</v>
      </c>
      <c r="H126" s="15">
        <f>IFERROR(__xludf.DUMMYFUNCTION("VLOOKUP(A126,IMPORTRANGE(""1QZ5UxyNCwadreQAXnQ7oCoH982DjIA-QnZdO7ZoqkC0/edit#gid=884617569"",""S3 Totals!$A$2:$O$255""),5,FALSE)"),0.0)</f>
        <v>0</v>
      </c>
      <c r="I126" s="143">
        <f t="shared" si="2"/>
        <v>0</v>
      </c>
      <c r="J126" s="16">
        <f>IFERROR(__xludf.DUMMYFUNCTION("VLOOKUP(A126,IMPORTRANGE(""1QZ5UxyNCwadreQAXnQ7oCoH982DjIA-QnZdO7ZoqkC0/edit#gid=884617569"",""S3 Totals!$A$2:$O$255""),7,FALSE)"),0.0)</f>
        <v>0</v>
      </c>
      <c r="K126" s="15">
        <f>IFERROR(__xludf.DUMMYFUNCTION("VLOOKUP(A126,IMPORTRANGE(""1QZ5UxyNCwadreQAXnQ7oCoH982DjIA-QnZdO7ZoqkC0/edit#gid=884617569"",""S3 Totals!$A$2:$O$255""),8,FALSE)"),0.0)</f>
        <v>0</v>
      </c>
      <c r="L126" s="110">
        <f t="shared" si="5"/>
        <v>0</v>
      </c>
      <c r="M126" s="16" t="str">
        <f>IFERROR(__xludf.DUMMYFUNCTION("VLOOKUP(A126,IMPORTRANGE(""1QZ5UxyNCwadreQAXnQ7oCoH982DjIA-QnZdO7ZoqkC0/edit#gid=884617569"",""S3 Totals!$A$2:$O$255""),10,FALSE)"),"")</f>
        <v/>
      </c>
      <c r="N126" s="15" t="str">
        <f>IFERROR(__xludf.DUMMYFUNCTION("VLOOKUP(A126,IMPORTRANGE(""1QZ5UxyNCwadreQAXnQ7oCoH982DjIA-QnZdO7ZoqkC0/edit#gid=884617569"",""S3 Totals!$A$2:$O$255""),11,FALSE)"),"")</f>
        <v/>
      </c>
      <c r="O126" s="110">
        <f t="shared" si="3"/>
        <v>0</v>
      </c>
      <c r="P126" s="16" t="str">
        <f>IFERROR(__xludf.DUMMYFUNCTION("VLOOKUP(A126,IMPORTRANGE(""1QZ5UxyNCwadreQAXnQ7oCoH982DjIA-QnZdO7ZoqkC0/edit#gid=884617569"",""S3 Totals!$A$2:$O$255""),13,FALSE)"),"")</f>
        <v/>
      </c>
      <c r="Q126" s="15" t="str">
        <f>IFERROR(__xludf.DUMMYFUNCTION("VLOOKUP(A126,IMPORTRANGE(""1QZ5UxyNCwadreQAXnQ7oCoH982DjIA-QnZdO7ZoqkC0/edit#gid=884617569"",""S3 Totals!$A$2:$O$255""),14,FALSE)"),"")</f>
        <v/>
      </c>
      <c r="R126" s="110">
        <f t="shared" si="4"/>
        <v>0</v>
      </c>
      <c r="S126" s="144"/>
    </row>
    <row r="127">
      <c r="A127" s="128" t="s">
        <v>241</v>
      </c>
      <c r="B127" s="16">
        <f>IFERROR(__xludf.DUMMYFUNCTION("VLOOKUP(A127,IMPORTRANGE(""1aFCnJY1qhIj8-JckJhDJ18aqmVo17tofpQmOjcYa3u8/edit#gid=1878241338"",""S3 Totals!$A$2:$O$255""),2,FALSE)"),67.0)</f>
        <v>67</v>
      </c>
      <c r="C127" s="15">
        <f>IFERROR(__xludf.DUMMYFUNCTION("VLOOKUP(A127,IMPORTRANGE(""1aFCnJY1qhIj8-JckJhDJ18aqmVo17tofpQmOjcYa3u8/edit#gid=1878241338"",""S3 Totals!$A$2:$O$255""),3,FALSE)"),0.9178082191780822)</f>
        <v>0.9178082192</v>
      </c>
      <c r="D127" s="16">
        <f>IFERROR(__xludf.DUMMYFUNCTION("VLOOKUP(A127,IMPORTRANGE(""1QZ5UxyNCwadreQAXnQ7oCoH982DjIA-QnZdO7ZoqkC0/edit#gid=884617569"",""S3 Totals!$A$2:$O$255""),2,FALSE)"),41.0)</f>
        <v>41</v>
      </c>
      <c r="E127" s="15">
        <f>IFERROR(__xludf.DUMMYFUNCTION("VLOOKUP(A127,IMPORTRANGE(""1QZ5UxyNCwadreQAXnQ7oCoH982DjIA-QnZdO7ZoqkC0/edit#gid=884617569"",""S3 Totals!$A$2:$O$255""),3,FALSE)"),0.5540540540540541)</f>
        <v>0.5540540541</v>
      </c>
      <c r="F127" s="15">
        <f t="shared" si="1"/>
        <v>0.3637541651</v>
      </c>
      <c r="G127" s="16">
        <f>IFERROR(__xludf.DUMMYFUNCTION("VLOOKUP(A127,IMPORTRANGE(""1QZ5UxyNCwadreQAXnQ7oCoH982DjIA-QnZdO7ZoqkC0/edit#gid=884617569"",""S3 Totals!$A$2:$O$255""),4,FALSE)"),12.0)</f>
        <v>12</v>
      </c>
      <c r="H127" s="15">
        <f>IFERROR(__xludf.DUMMYFUNCTION("VLOOKUP(A127,IMPORTRANGE(""1QZ5UxyNCwadreQAXnQ7oCoH982DjIA-QnZdO7ZoqkC0/edit#gid=884617569"",""S3 Totals!$A$2:$O$255""),5,FALSE)"),0.1518987341772152)</f>
        <v>0.1518987342</v>
      </c>
      <c r="I127" s="143">
        <f t="shared" si="2"/>
        <v>0.765909485</v>
      </c>
      <c r="J127" s="16" t="str">
        <f>IFERROR(__xludf.DUMMYFUNCTION("VLOOKUP(A127,IMPORTRANGE(""1QZ5UxyNCwadreQAXnQ7oCoH982DjIA-QnZdO7ZoqkC0/edit#gid=884617569"",""S3 Totals!$A$2:$O$255""),7,FALSE)"),"")</f>
        <v/>
      </c>
      <c r="K127" s="15" t="str">
        <f>IFERROR(__xludf.DUMMYFUNCTION("VLOOKUP(A127,IMPORTRANGE(""1QZ5UxyNCwadreQAXnQ7oCoH982DjIA-QnZdO7ZoqkC0/edit#gid=884617569"",""S3 Totals!$A$2:$O$255""),8,FALSE)"),"")</f>
        <v/>
      </c>
      <c r="L127" s="110">
        <f t="shared" si="5"/>
        <v>0.5540540541</v>
      </c>
      <c r="M127" s="16" t="str">
        <f>IFERROR(__xludf.DUMMYFUNCTION("VLOOKUP(A127,IMPORTRANGE(""1QZ5UxyNCwadreQAXnQ7oCoH982DjIA-QnZdO7ZoqkC0/edit#gid=884617569"",""S3 Totals!$A$2:$O$255""),10,FALSE)"),"")</f>
        <v/>
      </c>
      <c r="N127" s="15" t="str">
        <f>IFERROR(__xludf.DUMMYFUNCTION("VLOOKUP(A127,IMPORTRANGE(""1QZ5UxyNCwadreQAXnQ7oCoH982DjIA-QnZdO7ZoqkC0/edit#gid=884617569"",""S3 Totals!$A$2:$O$255""),11,FALSE)"),"")</f>
        <v/>
      </c>
      <c r="O127" s="110">
        <f t="shared" si="3"/>
        <v>0.9178082192</v>
      </c>
      <c r="P127" s="16" t="str">
        <f>IFERROR(__xludf.DUMMYFUNCTION("VLOOKUP(A127,IMPORTRANGE(""1QZ5UxyNCwadreQAXnQ7oCoH982DjIA-QnZdO7ZoqkC0/edit#gid=884617569"",""S3 Totals!$A$2:$O$255""),13,FALSE)"),"")</f>
        <v/>
      </c>
      <c r="Q127" s="15" t="str">
        <f>IFERROR(__xludf.DUMMYFUNCTION("VLOOKUP(A127,IMPORTRANGE(""1QZ5UxyNCwadreQAXnQ7oCoH982DjIA-QnZdO7ZoqkC0/edit#gid=884617569"",""S3 Totals!$A$2:$O$255""),14,FALSE)"),"")</f>
        <v/>
      </c>
      <c r="R127" s="110">
        <f t="shared" si="4"/>
        <v>0.9178082192</v>
      </c>
      <c r="S127" s="144"/>
    </row>
    <row r="128">
      <c r="A128" s="128" t="s">
        <v>74</v>
      </c>
      <c r="B128" s="16">
        <f>IFERROR(__xludf.DUMMYFUNCTION("VLOOKUP(A128,IMPORTRANGE(""1aFCnJY1qhIj8-JckJhDJ18aqmVo17tofpQmOjcYa3u8/edit#gid=1878241338"",""S3 Totals!$A$2:$O$255""),2,FALSE)"),1.0)</f>
        <v>1</v>
      </c>
      <c r="C128" s="15">
        <f>IFERROR(__xludf.DUMMYFUNCTION("VLOOKUP(A128,IMPORTRANGE(""1aFCnJY1qhIj8-JckJhDJ18aqmVo17tofpQmOjcYa3u8/edit#gid=1878241338"",""S3 Totals!$A$2:$O$255""),3,FALSE)"),0.0136986301369863)</f>
        <v>0.01369863014</v>
      </c>
      <c r="D128" s="16">
        <f>IFERROR(__xludf.DUMMYFUNCTION("VLOOKUP(A128,IMPORTRANGE(""1QZ5UxyNCwadreQAXnQ7oCoH982DjIA-QnZdO7ZoqkC0/edit#gid=884617569"",""S3 Totals!$A$2:$O$255""),2,FALSE)"),1.0)</f>
        <v>1</v>
      </c>
      <c r="E128" s="15">
        <f>IFERROR(__xludf.DUMMYFUNCTION("VLOOKUP(A128,IMPORTRANGE(""1QZ5UxyNCwadreQAXnQ7oCoH982DjIA-QnZdO7ZoqkC0/edit#gid=884617569"",""S3 Totals!$A$2:$O$255""),3,FALSE)"),0.013513513513513514)</f>
        <v>0.01351351351</v>
      </c>
      <c r="F128" s="15">
        <f t="shared" si="1"/>
        <v>0.0001851166235</v>
      </c>
      <c r="G128" s="16">
        <f>IFERROR(__xludf.DUMMYFUNCTION("VLOOKUP(A128,IMPORTRANGE(""1QZ5UxyNCwadreQAXnQ7oCoH982DjIA-QnZdO7ZoqkC0/edit#gid=884617569"",""S3 Totals!$A$2:$O$255""),4,FALSE)"),0.0)</f>
        <v>0</v>
      </c>
      <c r="H128" s="15">
        <f>IFERROR(__xludf.DUMMYFUNCTION("VLOOKUP(A128,IMPORTRANGE(""1QZ5UxyNCwadreQAXnQ7oCoH982DjIA-QnZdO7ZoqkC0/edit#gid=884617569"",""S3 Totals!$A$2:$O$255""),5,FALSE)"),0.0)</f>
        <v>0</v>
      </c>
      <c r="I128" s="143">
        <f t="shared" si="2"/>
        <v>0.01369863014</v>
      </c>
      <c r="J128" s="16">
        <f>IFERROR(__xludf.DUMMYFUNCTION("VLOOKUP(A128,IMPORTRANGE(""1QZ5UxyNCwadreQAXnQ7oCoH982DjIA-QnZdO7ZoqkC0/edit#gid=884617569"",""S3 Totals!$A$2:$O$255""),7,FALSE)"),0.0)</f>
        <v>0</v>
      </c>
      <c r="K128" s="15">
        <f>IFERROR(__xludf.DUMMYFUNCTION("VLOOKUP(A128,IMPORTRANGE(""1QZ5UxyNCwadreQAXnQ7oCoH982DjIA-QnZdO7ZoqkC0/edit#gid=884617569"",""S3 Totals!$A$2:$O$255""),8,FALSE)"),0.0)</f>
        <v>0</v>
      </c>
      <c r="L128" s="110">
        <f t="shared" si="5"/>
        <v>0.01351351351</v>
      </c>
      <c r="M128" s="16">
        <f>IFERROR(__xludf.DUMMYFUNCTION("VLOOKUP(A128,IMPORTRANGE(""1QZ5UxyNCwadreQAXnQ7oCoH982DjIA-QnZdO7ZoqkC0/edit#gid=884617569"",""S3 Totals!$A$2:$O$255""),10,FALSE)"),0.0)</f>
        <v>0</v>
      </c>
      <c r="N128" s="15">
        <f>IFERROR(__xludf.DUMMYFUNCTION("VLOOKUP(A128,IMPORTRANGE(""1QZ5UxyNCwadreQAXnQ7oCoH982DjIA-QnZdO7ZoqkC0/edit#gid=884617569"",""S3 Totals!$A$2:$O$255""),11,FALSE)"),0.0)</f>
        <v>0</v>
      </c>
      <c r="O128" s="110">
        <f t="shared" si="3"/>
        <v>0.01369863014</v>
      </c>
      <c r="P128" s="16">
        <f>IFERROR(__xludf.DUMMYFUNCTION("VLOOKUP(A128,IMPORTRANGE(""1QZ5UxyNCwadreQAXnQ7oCoH982DjIA-QnZdO7ZoqkC0/edit#gid=884617569"",""S3 Totals!$A$2:$O$255""),13,FALSE)"),1.0)</f>
        <v>1</v>
      </c>
      <c r="Q128" s="15">
        <f>IFERROR(__xludf.DUMMYFUNCTION("VLOOKUP(A128,IMPORTRANGE(""1QZ5UxyNCwadreQAXnQ7oCoH982DjIA-QnZdO7ZoqkC0/edit#gid=884617569"",""S3 Totals!$A$2:$O$255""),14,FALSE)"),0.011764705882352941)</f>
        <v>0.01176470588</v>
      </c>
      <c r="R128" s="110">
        <f t="shared" si="4"/>
        <v>0.001933924255</v>
      </c>
      <c r="S128" s="144"/>
    </row>
    <row r="129">
      <c r="A129" s="128" t="s">
        <v>242</v>
      </c>
      <c r="B129" s="16">
        <f>IFERROR(__xludf.DUMMYFUNCTION("VLOOKUP(A129,IMPORTRANGE(""1aFCnJY1qhIj8-JckJhDJ18aqmVo17tofpQmOjcYa3u8/edit#gid=1878241338"",""S3 Totals!$A$2:$O$255""),2,FALSE)"),0.0)</f>
        <v>0</v>
      </c>
      <c r="C129" s="15">
        <f>IFERROR(__xludf.DUMMYFUNCTION("VLOOKUP(A129,IMPORTRANGE(""1aFCnJY1qhIj8-JckJhDJ18aqmVo17tofpQmOjcYa3u8/edit#gid=1878241338"",""S3 Totals!$A$2:$O$255""),3,FALSE)"),0.0)</f>
        <v>0</v>
      </c>
      <c r="D129" s="16">
        <f>IFERROR(__xludf.DUMMYFUNCTION("VLOOKUP(A129,IMPORTRANGE(""1QZ5UxyNCwadreQAXnQ7oCoH982DjIA-QnZdO7ZoqkC0/edit#gid=884617569"",""S3 Totals!$A$2:$O$255""),2,FALSE)"),0.0)</f>
        <v>0</v>
      </c>
      <c r="E129" s="15">
        <f>IFERROR(__xludf.DUMMYFUNCTION("VLOOKUP(A129,IMPORTRANGE(""1QZ5UxyNCwadreQAXnQ7oCoH982DjIA-QnZdO7ZoqkC0/edit#gid=884617569"",""S3 Totals!$A$2:$O$255""),3,FALSE)"),0.0)</f>
        <v>0</v>
      </c>
      <c r="F129" s="15">
        <f t="shared" si="1"/>
        <v>0</v>
      </c>
      <c r="G129" s="16">
        <f>IFERROR(__xludf.DUMMYFUNCTION("VLOOKUP(A129,IMPORTRANGE(""1QZ5UxyNCwadreQAXnQ7oCoH982DjIA-QnZdO7ZoqkC0/edit#gid=884617569"",""S3 Totals!$A$2:$O$255""),4,FALSE)"),0.0)</f>
        <v>0</v>
      </c>
      <c r="H129" s="15">
        <f>IFERROR(__xludf.DUMMYFUNCTION("VLOOKUP(A129,IMPORTRANGE(""1QZ5UxyNCwadreQAXnQ7oCoH982DjIA-QnZdO7ZoqkC0/edit#gid=884617569"",""S3 Totals!$A$2:$O$255""),5,FALSE)"),0.0)</f>
        <v>0</v>
      </c>
      <c r="I129" s="143">
        <f t="shared" si="2"/>
        <v>0</v>
      </c>
      <c r="J129" s="16" t="str">
        <f>IFERROR(__xludf.DUMMYFUNCTION("VLOOKUP(A129,IMPORTRANGE(""1QZ5UxyNCwadreQAXnQ7oCoH982DjIA-QnZdO7ZoqkC0/edit#gid=884617569"",""S3 Totals!$A$2:$O$255""),7,FALSE)"),"")</f>
        <v/>
      </c>
      <c r="K129" s="15" t="str">
        <f>IFERROR(__xludf.DUMMYFUNCTION("VLOOKUP(A129,IMPORTRANGE(""1QZ5UxyNCwadreQAXnQ7oCoH982DjIA-QnZdO7ZoqkC0/edit#gid=884617569"",""S3 Totals!$A$2:$O$255""),8,FALSE)"),"")</f>
        <v/>
      </c>
      <c r="L129" s="110">
        <f t="shared" si="5"/>
        <v>0</v>
      </c>
      <c r="M129" s="16" t="str">
        <f>IFERROR(__xludf.DUMMYFUNCTION("VLOOKUP(A129,IMPORTRANGE(""1QZ5UxyNCwadreQAXnQ7oCoH982DjIA-QnZdO7ZoqkC0/edit#gid=884617569"",""S3 Totals!$A$2:$O$255""),10,FALSE)"),"")</f>
        <v/>
      </c>
      <c r="N129" s="15" t="str">
        <f>IFERROR(__xludf.DUMMYFUNCTION("VLOOKUP(A129,IMPORTRANGE(""1QZ5UxyNCwadreQAXnQ7oCoH982DjIA-QnZdO7ZoqkC0/edit#gid=884617569"",""S3 Totals!$A$2:$O$255""),11,FALSE)"),"")</f>
        <v/>
      </c>
      <c r="O129" s="110">
        <f t="shared" si="3"/>
        <v>0</v>
      </c>
      <c r="P129" s="16" t="str">
        <f>IFERROR(__xludf.DUMMYFUNCTION("VLOOKUP(A129,IMPORTRANGE(""1QZ5UxyNCwadreQAXnQ7oCoH982DjIA-QnZdO7ZoqkC0/edit#gid=884617569"",""S3 Totals!$A$2:$O$255""),13,FALSE)"),"")</f>
        <v/>
      </c>
      <c r="Q129" s="15" t="str">
        <f>IFERROR(__xludf.DUMMYFUNCTION("VLOOKUP(A129,IMPORTRANGE(""1QZ5UxyNCwadreQAXnQ7oCoH982DjIA-QnZdO7ZoqkC0/edit#gid=884617569"",""S3 Totals!$A$2:$O$255""),14,FALSE)"),"")</f>
        <v/>
      </c>
      <c r="R129" s="110">
        <f t="shared" si="4"/>
        <v>0</v>
      </c>
      <c r="S129" s="144"/>
    </row>
    <row r="130">
      <c r="A130" s="128" t="s">
        <v>243</v>
      </c>
      <c r="B130" s="16">
        <f>IFERROR(__xludf.DUMMYFUNCTION("VLOOKUP(A130,IMPORTRANGE(""1aFCnJY1qhIj8-JckJhDJ18aqmVo17tofpQmOjcYa3u8/edit#gid=1878241338"",""S3 Totals!$A$2:$O$255""),2,FALSE)"),1.0)</f>
        <v>1</v>
      </c>
      <c r="C130" s="15">
        <f>IFERROR(__xludf.DUMMYFUNCTION("VLOOKUP(A130,IMPORTRANGE(""1aFCnJY1qhIj8-JckJhDJ18aqmVo17tofpQmOjcYa3u8/edit#gid=1878241338"",""S3 Totals!$A$2:$O$255""),3,FALSE)"),0.0136986301369863)</f>
        <v>0.01369863014</v>
      </c>
      <c r="D130" s="16">
        <f>IFERROR(__xludf.DUMMYFUNCTION("VLOOKUP(A130,IMPORTRANGE(""1QZ5UxyNCwadreQAXnQ7oCoH982DjIA-QnZdO7ZoqkC0/edit#gid=884617569"",""S3 Totals!$A$2:$O$255""),2,FALSE)"),1.0)</f>
        <v>1</v>
      </c>
      <c r="E130" s="15">
        <f>IFERROR(__xludf.DUMMYFUNCTION("VLOOKUP(A130,IMPORTRANGE(""1QZ5UxyNCwadreQAXnQ7oCoH982DjIA-QnZdO7ZoqkC0/edit#gid=884617569"",""S3 Totals!$A$2:$O$255""),3,FALSE)"),0.013513513513513514)</f>
        <v>0.01351351351</v>
      </c>
      <c r="F130" s="15">
        <f t="shared" si="1"/>
        <v>0.0001851166235</v>
      </c>
      <c r="G130" s="16">
        <f>IFERROR(__xludf.DUMMYFUNCTION("VLOOKUP(A130,IMPORTRANGE(""1QZ5UxyNCwadreQAXnQ7oCoH982DjIA-QnZdO7ZoqkC0/edit#gid=884617569"",""S3 Totals!$A$2:$O$255""),4,FALSE)"),0.0)</f>
        <v>0</v>
      </c>
      <c r="H130" s="15">
        <f>IFERROR(__xludf.DUMMYFUNCTION("VLOOKUP(A130,IMPORTRANGE(""1QZ5UxyNCwadreQAXnQ7oCoH982DjIA-QnZdO7ZoqkC0/edit#gid=884617569"",""S3 Totals!$A$2:$O$255""),5,FALSE)"),0.0)</f>
        <v>0</v>
      </c>
      <c r="I130" s="143">
        <f t="shared" si="2"/>
        <v>0.01369863014</v>
      </c>
      <c r="J130" s="16" t="str">
        <f>IFERROR(__xludf.DUMMYFUNCTION("VLOOKUP(A130,IMPORTRANGE(""1QZ5UxyNCwadreQAXnQ7oCoH982DjIA-QnZdO7ZoqkC0/edit#gid=884617569"",""S3 Totals!$A$2:$O$255""),7,FALSE)"),"")</f>
        <v/>
      </c>
      <c r="K130" s="15" t="str">
        <f>IFERROR(__xludf.DUMMYFUNCTION("VLOOKUP(A130,IMPORTRANGE(""1QZ5UxyNCwadreQAXnQ7oCoH982DjIA-QnZdO7ZoqkC0/edit#gid=884617569"",""S3 Totals!$A$2:$O$255""),8,FALSE)"),"")</f>
        <v/>
      </c>
      <c r="L130" s="110">
        <f t="shared" si="5"/>
        <v>0.01351351351</v>
      </c>
      <c r="M130" s="16" t="str">
        <f>IFERROR(__xludf.DUMMYFUNCTION("VLOOKUP(A130,IMPORTRANGE(""1QZ5UxyNCwadreQAXnQ7oCoH982DjIA-QnZdO7ZoqkC0/edit#gid=884617569"",""S3 Totals!$A$2:$O$255""),10,FALSE)"),"")</f>
        <v/>
      </c>
      <c r="N130" s="15" t="str">
        <f>IFERROR(__xludf.DUMMYFUNCTION("VLOOKUP(A130,IMPORTRANGE(""1QZ5UxyNCwadreQAXnQ7oCoH982DjIA-QnZdO7ZoqkC0/edit#gid=884617569"",""S3 Totals!$A$2:$O$255""),11,FALSE)"),"")</f>
        <v/>
      </c>
      <c r="O130" s="110">
        <f t="shared" si="3"/>
        <v>0.01369863014</v>
      </c>
      <c r="P130" s="16" t="str">
        <f>IFERROR(__xludf.DUMMYFUNCTION("VLOOKUP(A130,IMPORTRANGE(""1QZ5UxyNCwadreQAXnQ7oCoH982DjIA-QnZdO7ZoqkC0/edit#gid=884617569"",""S3 Totals!$A$2:$O$255""),13,FALSE)"),"")</f>
        <v/>
      </c>
      <c r="Q130" s="15" t="str">
        <f>IFERROR(__xludf.DUMMYFUNCTION("VLOOKUP(A130,IMPORTRANGE(""1QZ5UxyNCwadreQAXnQ7oCoH982DjIA-QnZdO7ZoqkC0/edit#gid=884617569"",""S3 Totals!$A$2:$O$255""),14,FALSE)"),"")</f>
        <v/>
      </c>
      <c r="R130" s="110">
        <f t="shared" si="4"/>
        <v>0.01369863014</v>
      </c>
      <c r="S130" s="144"/>
    </row>
    <row r="131">
      <c r="A131" s="128" t="s">
        <v>63</v>
      </c>
      <c r="B131" s="16">
        <f>IFERROR(__xludf.DUMMYFUNCTION("VLOOKUP(A131,IMPORTRANGE(""1aFCnJY1qhIj8-JckJhDJ18aqmVo17tofpQmOjcYa3u8/edit#gid=1878241338"",""S3 Totals!$A$2:$O$255""),2,FALSE)"),39.0)</f>
        <v>39</v>
      </c>
      <c r="C131" s="15">
        <f>IFERROR(__xludf.DUMMYFUNCTION("VLOOKUP(A131,IMPORTRANGE(""1aFCnJY1qhIj8-JckJhDJ18aqmVo17tofpQmOjcYa3u8/edit#gid=1878241338"",""S3 Totals!$A$2:$O$255""),3,FALSE)"),0.5342465753424658)</f>
        <v>0.5342465753</v>
      </c>
      <c r="D131" s="16">
        <f>IFERROR(__xludf.DUMMYFUNCTION("VLOOKUP(A131,IMPORTRANGE(""1QZ5UxyNCwadreQAXnQ7oCoH982DjIA-QnZdO7ZoqkC0/edit#gid=884617569"",""S3 Totals!$A$2:$O$255""),2,FALSE)"),41.0)</f>
        <v>41</v>
      </c>
      <c r="E131" s="15">
        <f>IFERROR(__xludf.DUMMYFUNCTION("VLOOKUP(A131,IMPORTRANGE(""1QZ5UxyNCwadreQAXnQ7oCoH982DjIA-QnZdO7ZoqkC0/edit#gid=884617569"",""S3 Totals!$A$2:$O$255""),3,FALSE)"),0.5540540540540541)</f>
        <v>0.5540540541</v>
      </c>
      <c r="F131" s="15">
        <f t="shared" si="1"/>
        <v>-0.01980747871</v>
      </c>
      <c r="G131" s="16">
        <f>IFERROR(__xludf.DUMMYFUNCTION("VLOOKUP(A131,IMPORTRANGE(""1QZ5UxyNCwadreQAXnQ7oCoH982DjIA-QnZdO7ZoqkC0/edit#gid=884617569"",""S3 Totals!$A$2:$O$255""),4,FALSE)"),18.0)</f>
        <v>18</v>
      </c>
      <c r="H131" s="15">
        <f>IFERROR(__xludf.DUMMYFUNCTION("VLOOKUP(A131,IMPORTRANGE(""1QZ5UxyNCwadreQAXnQ7oCoH982DjIA-QnZdO7ZoqkC0/edit#gid=884617569"",""S3 Totals!$A$2:$O$255""),5,FALSE)"),0.22784810126582278)</f>
        <v>0.2278481013</v>
      </c>
      <c r="I131" s="143">
        <f t="shared" si="2"/>
        <v>0.3063984741</v>
      </c>
      <c r="J131" s="16">
        <f>IFERROR(__xludf.DUMMYFUNCTION("VLOOKUP(A131,IMPORTRANGE(""1QZ5UxyNCwadreQAXnQ7oCoH982DjIA-QnZdO7ZoqkC0/edit#gid=884617569"",""S3 Totals!$A$2:$O$255""),7,FALSE)"),0.0)</f>
        <v>0</v>
      </c>
      <c r="K131" s="15">
        <f>IFERROR(__xludf.DUMMYFUNCTION("VLOOKUP(A131,IMPORTRANGE(""1QZ5UxyNCwadreQAXnQ7oCoH982DjIA-QnZdO7ZoqkC0/edit#gid=884617569"",""S3 Totals!$A$2:$O$255""),8,FALSE)"),0.0)</f>
        <v>0</v>
      </c>
      <c r="L131" s="110">
        <f t="shared" si="5"/>
        <v>0.5540540541</v>
      </c>
      <c r="M131" s="16">
        <f>IFERROR(__xludf.DUMMYFUNCTION("VLOOKUP(A131,IMPORTRANGE(""1QZ5UxyNCwadreQAXnQ7oCoH982DjIA-QnZdO7ZoqkC0/edit#gid=884617569"",""S3 Totals!$A$2:$O$255""),10,FALSE)"),0.0)</f>
        <v>0</v>
      </c>
      <c r="N131" s="15">
        <f>IFERROR(__xludf.DUMMYFUNCTION("VLOOKUP(A131,IMPORTRANGE(""1QZ5UxyNCwadreQAXnQ7oCoH982DjIA-QnZdO7ZoqkC0/edit#gid=884617569"",""S3 Totals!$A$2:$O$255""),11,FALSE)"),0.0)</f>
        <v>0</v>
      </c>
      <c r="O131" s="110">
        <f t="shared" si="3"/>
        <v>0.5342465753</v>
      </c>
      <c r="P131" s="16">
        <f>IFERROR(__xludf.DUMMYFUNCTION("VLOOKUP(A131,IMPORTRANGE(""1QZ5UxyNCwadreQAXnQ7oCoH982DjIA-QnZdO7ZoqkC0/edit#gid=884617569"",""S3 Totals!$A$2:$O$255""),13,FALSE)"),0.0)</f>
        <v>0</v>
      </c>
      <c r="Q131" s="15">
        <f>IFERROR(__xludf.DUMMYFUNCTION("VLOOKUP(A131,IMPORTRANGE(""1QZ5UxyNCwadreQAXnQ7oCoH982DjIA-QnZdO7ZoqkC0/edit#gid=884617569"",""S3 Totals!$A$2:$O$255""),14,FALSE)"),0.0)</f>
        <v>0</v>
      </c>
      <c r="R131" s="110">
        <f t="shared" si="4"/>
        <v>0.5342465753</v>
      </c>
      <c r="S131" s="144"/>
    </row>
    <row r="132">
      <c r="A132" s="128" t="s">
        <v>34</v>
      </c>
      <c r="B132" s="16">
        <f>IFERROR(__xludf.DUMMYFUNCTION("VLOOKUP(A132,IMPORTRANGE(""1aFCnJY1qhIj8-JckJhDJ18aqmVo17tofpQmOjcYa3u8/edit#gid=1878241338"",""S3 Totals!$A$2:$O$255""),2,FALSE)"),1.0)</f>
        <v>1</v>
      </c>
      <c r="C132" s="15">
        <f>IFERROR(__xludf.DUMMYFUNCTION("VLOOKUP(A132,IMPORTRANGE(""1aFCnJY1qhIj8-JckJhDJ18aqmVo17tofpQmOjcYa3u8/edit#gid=1878241338"",""S3 Totals!$A$2:$O$255""),3,FALSE)"),0.0136986301369863)</f>
        <v>0.01369863014</v>
      </c>
      <c r="D132" s="16">
        <f>IFERROR(__xludf.DUMMYFUNCTION("VLOOKUP(A132,IMPORTRANGE(""1QZ5UxyNCwadreQAXnQ7oCoH982DjIA-QnZdO7ZoqkC0/edit#gid=884617569"",""S3 Totals!$A$2:$O$255""),2,FALSE)"),1.0)</f>
        <v>1</v>
      </c>
      <c r="E132" s="15">
        <f>IFERROR(__xludf.DUMMYFUNCTION("VLOOKUP(A132,IMPORTRANGE(""1QZ5UxyNCwadreQAXnQ7oCoH982DjIA-QnZdO7ZoqkC0/edit#gid=884617569"",""S3 Totals!$A$2:$O$255""),3,FALSE)"),0.013513513513513514)</f>
        <v>0.01351351351</v>
      </c>
      <c r="F132" s="15">
        <f t="shared" si="1"/>
        <v>0.0001851166235</v>
      </c>
      <c r="G132" s="16">
        <f>IFERROR(__xludf.DUMMYFUNCTION("VLOOKUP(A132,IMPORTRANGE(""1QZ5UxyNCwadreQAXnQ7oCoH982DjIA-QnZdO7ZoqkC0/edit#gid=884617569"",""S3 Totals!$A$2:$O$255""),4,FALSE)"),1.0)</f>
        <v>1</v>
      </c>
      <c r="H132" s="15">
        <f>IFERROR(__xludf.DUMMYFUNCTION("VLOOKUP(A132,IMPORTRANGE(""1QZ5UxyNCwadreQAXnQ7oCoH982DjIA-QnZdO7ZoqkC0/edit#gid=884617569"",""S3 Totals!$A$2:$O$255""),5,FALSE)"),0.012658227848101266)</f>
        <v>0.01265822785</v>
      </c>
      <c r="I132" s="143">
        <f t="shared" si="2"/>
        <v>0.001040402289</v>
      </c>
      <c r="J132" s="16">
        <f>IFERROR(__xludf.DUMMYFUNCTION("VLOOKUP(A132,IMPORTRANGE(""1QZ5UxyNCwadreQAXnQ7oCoH982DjIA-QnZdO7ZoqkC0/edit#gid=884617569"",""S3 Totals!$A$2:$O$255""),7,FALSE)"),1.0)</f>
        <v>1</v>
      </c>
      <c r="K132" s="15">
        <f>IFERROR(__xludf.DUMMYFUNCTION("VLOOKUP(A132,IMPORTRANGE(""1QZ5UxyNCwadreQAXnQ7oCoH982DjIA-QnZdO7ZoqkC0/edit#gid=884617569"",""S3 Totals!$A$2:$O$255""),8,FALSE)"),0.011764705882352941)</f>
        <v>0.01176470588</v>
      </c>
      <c r="L132" s="110">
        <f t="shared" si="5"/>
        <v>0.001748807631</v>
      </c>
      <c r="M132" s="16">
        <f>IFERROR(__xludf.DUMMYFUNCTION("VLOOKUP(A132,IMPORTRANGE(""1QZ5UxyNCwadreQAXnQ7oCoH982DjIA-QnZdO7ZoqkC0/edit#gid=884617569"",""S3 Totals!$A$2:$O$255""),10,FALSE)"),1.0)</f>
        <v>1</v>
      </c>
      <c r="N132" s="15">
        <f>IFERROR(__xludf.DUMMYFUNCTION("VLOOKUP(A132,IMPORTRANGE(""1QZ5UxyNCwadreQAXnQ7oCoH982DjIA-QnZdO7ZoqkC0/edit#gid=884617569"",""S3 Totals!$A$2:$O$255""),11,FALSE)"),0.011764705882352941)</f>
        <v>0.01176470588</v>
      </c>
      <c r="O132" s="110">
        <f t="shared" si="3"/>
        <v>0.001933924255</v>
      </c>
      <c r="P132" s="16">
        <f>IFERROR(__xludf.DUMMYFUNCTION("VLOOKUP(A132,IMPORTRANGE(""1QZ5UxyNCwadreQAXnQ7oCoH982DjIA-QnZdO7ZoqkC0/edit#gid=884617569"",""S3 Totals!$A$2:$O$255""),13,FALSE)"),0.0)</f>
        <v>0</v>
      </c>
      <c r="Q132" s="15">
        <f>IFERROR(__xludf.DUMMYFUNCTION("VLOOKUP(A132,IMPORTRANGE(""1QZ5UxyNCwadreQAXnQ7oCoH982DjIA-QnZdO7ZoqkC0/edit#gid=884617569"",""S3 Totals!$A$2:$O$255""),14,FALSE)"),0.0)</f>
        <v>0</v>
      </c>
      <c r="R132" s="110">
        <f t="shared" si="4"/>
        <v>0.01369863014</v>
      </c>
      <c r="S132" s="144"/>
    </row>
    <row r="133">
      <c r="A133" s="128" t="s">
        <v>268</v>
      </c>
      <c r="B133" s="16">
        <f>IFERROR(__xludf.DUMMYFUNCTION("VLOOKUP(A133,IMPORTRANGE(""1aFCnJY1qhIj8-JckJhDJ18aqmVo17tofpQmOjcYa3u8/edit#gid=1878241338"",""S3 Totals!$A$2:$O$255""),2,FALSE)"),1.0)</f>
        <v>1</v>
      </c>
      <c r="C133" s="15">
        <f>IFERROR(__xludf.DUMMYFUNCTION("VLOOKUP(A133,IMPORTRANGE(""1aFCnJY1qhIj8-JckJhDJ18aqmVo17tofpQmOjcYa3u8/edit#gid=1878241338"",""S3 Totals!$A$2:$O$255""),3,FALSE)"),0.0136986301369863)</f>
        <v>0.01369863014</v>
      </c>
      <c r="D133" s="16" t="str">
        <f>IFERROR(__xludf.DUMMYFUNCTION("VLOOKUP(A133,IMPORTRANGE(""1QZ5UxyNCwadreQAXnQ7oCoH982DjIA-QnZdO7ZoqkC0/edit#gid=884617569"",""S3 Totals!$A$2:$O$255""),2,FALSE)"),"#N/A")</f>
        <v>#N/A</v>
      </c>
      <c r="E133" s="15" t="str">
        <f>IFERROR(__xludf.DUMMYFUNCTION("VLOOKUP(A133,IMPORTRANGE(""1QZ5UxyNCwadreQAXnQ7oCoH982DjIA-QnZdO7ZoqkC0/edit#gid=884617569"",""S3 Totals!$A$2:$O$255""),3,FALSE)"),"#N/A")</f>
        <v>#N/A</v>
      </c>
      <c r="F133" s="16" t="str">
        <f t="shared" si="1"/>
        <v>#N/A</v>
      </c>
      <c r="G133" s="16" t="str">
        <f>IFERROR(__xludf.DUMMYFUNCTION("VLOOKUP(A133,IMPORTRANGE(""1QZ5UxyNCwadreQAXnQ7oCoH982DjIA-QnZdO7ZoqkC0/edit#gid=884617569"",""S3 Totals!$A$2:$O$255""),4,FALSE)"),"#N/A")</f>
        <v>#N/A</v>
      </c>
      <c r="H133" s="15" t="str">
        <f>IFERROR(__xludf.DUMMYFUNCTION("VLOOKUP(A133,IMPORTRANGE(""1QZ5UxyNCwadreQAXnQ7oCoH982DjIA-QnZdO7ZoqkC0/edit#gid=884617569"",""S3 Totals!$A$2:$O$255""),5,FALSE)"),"#N/A")</f>
        <v>#N/A</v>
      </c>
      <c r="I133" s="143" t="str">
        <f t="shared" si="2"/>
        <v>#N/A</v>
      </c>
      <c r="J133" s="16" t="str">
        <f>IFERROR(__xludf.DUMMYFUNCTION("VLOOKUP(A133,IMPORTRANGE(""1QZ5UxyNCwadreQAXnQ7oCoH982DjIA-QnZdO7ZoqkC0/edit#gid=884617569"",""S3 Totals!$A$2:$O$255""),7,FALSE)"),"#N/A")</f>
        <v>#N/A</v>
      </c>
      <c r="K133" s="15" t="str">
        <f>IFERROR(__xludf.DUMMYFUNCTION("VLOOKUP(A133,IMPORTRANGE(""1QZ5UxyNCwadreQAXnQ7oCoH982DjIA-QnZdO7ZoqkC0/edit#gid=884617569"",""S3 Totals!$A$2:$O$255""),8,FALSE)"),"#N/A")</f>
        <v>#N/A</v>
      </c>
      <c r="L133" s="110" t="str">
        <f t="shared" si="5"/>
        <v>#N/A</v>
      </c>
      <c r="M133" s="16" t="str">
        <f>IFERROR(__xludf.DUMMYFUNCTION("VLOOKUP(A133,IMPORTRANGE(""1QZ5UxyNCwadreQAXnQ7oCoH982DjIA-QnZdO7ZoqkC0/edit#gid=884617569"",""S3 Totals!$A$2:$O$255""),10,FALSE)"),"#N/A")</f>
        <v>#N/A</v>
      </c>
      <c r="N133" s="15" t="str">
        <f>IFERROR(__xludf.DUMMYFUNCTION("VLOOKUP(A133,IMPORTRANGE(""1QZ5UxyNCwadreQAXnQ7oCoH982DjIA-QnZdO7ZoqkC0/edit#gid=884617569"",""S3 Totals!$A$2:$O$255""),11,FALSE)"),"#N/A")</f>
        <v>#N/A</v>
      </c>
      <c r="O133" s="110" t="str">
        <f t="shared" si="3"/>
        <v>#N/A</v>
      </c>
      <c r="P133" s="16" t="str">
        <f>IFERROR(__xludf.DUMMYFUNCTION("VLOOKUP(A133,IMPORTRANGE(""1QZ5UxyNCwadreQAXnQ7oCoH982DjIA-QnZdO7ZoqkC0/edit#gid=884617569"",""S3 Totals!$A$2:$O$255""),13,FALSE)"),"#N/A")</f>
        <v>#N/A</v>
      </c>
      <c r="Q133" s="15" t="str">
        <f>IFERROR(__xludf.DUMMYFUNCTION("VLOOKUP(A133,IMPORTRANGE(""1QZ5UxyNCwadreQAXnQ7oCoH982DjIA-QnZdO7ZoqkC0/edit#gid=884617569"",""S3 Totals!$A$2:$O$255""),14,FALSE)"),"#N/A")</f>
        <v>#N/A</v>
      </c>
      <c r="R133" s="110" t="str">
        <f t="shared" si="4"/>
        <v>#N/A</v>
      </c>
      <c r="S133" s="144"/>
    </row>
    <row r="134">
      <c r="A134" s="128" t="s">
        <v>65</v>
      </c>
      <c r="B134" s="16">
        <f>IFERROR(__xludf.DUMMYFUNCTION("VLOOKUP(A134,IMPORTRANGE(""1aFCnJY1qhIj8-JckJhDJ18aqmVo17tofpQmOjcYa3u8/edit#gid=1878241338"",""S3 Totals!$A$2:$O$255""),2,FALSE)"),40.0)</f>
        <v>40</v>
      </c>
      <c r="C134" s="15">
        <f>IFERROR(__xludf.DUMMYFUNCTION("VLOOKUP(A134,IMPORTRANGE(""1aFCnJY1qhIj8-JckJhDJ18aqmVo17tofpQmOjcYa3u8/edit#gid=1878241338"",""S3 Totals!$A$2:$O$255""),3,FALSE)"),0.547945205479452)</f>
        <v>0.5479452055</v>
      </c>
      <c r="D134" s="16">
        <f>IFERROR(__xludf.DUMMYFUNCTION("VLOOKUP(A134,IMPORTRANGE(""1QZ5UxyNCwadreQAXnQ7oCoH982DjIA-QnZdO7ZoqkC0/edit#gid=884617569"",""S3 Totals!$A$2:$O$255""),2,FALSE)"),32.0)</f>
        <v>32</v>
      </c>
      <c r="E134" s="15">
        <f>IFERROR(__xludf.DUMMYFUNCTION("VLOOKUP(A134,IMPORTRANGE(""1QZ5UxyNCwadreQAXnQ7oCoH982DjIA-QnZdO7ZoqkC0/edit#gid=884617569"",""S3 Totals!$A$2:$O$255""),3,FALSE)"),0.43243243243243246)</f>
        <v>0.4324324324</v>
      </c>
      <c r="F134" s="15">
        <f t="shared" si="1"/>
        <v>0.115512773</v>
      </c>
      <c r="G134" s="16">
        <f>IFERROR(__xludf.DUMMYFUNCTION("VLOOKUP(A134,IMPORTRANGE(""1QZ5UxyNCwadreQAXnQ7oCoH982DjIA-QnZdO7ZoqkC0/edit#gid=884617569"",""S3 Totals!$A$2:$O$255""),4,FALSE)"),30.0)</f>
        <v>30</v>
      </c>
      <c r="H134" s="15">
        <f>IFERROR(__xludf.DUMMYFUNCTION("VLOOKUP(A134,IMPORTRANGE(""1QZ5UxyNCwadreQAXnQ7oCoH982DjIA-QnZdO7ZoqkC0/edit#gid=884617569"",""S3 Totals!$A$2:$O$255""),5,FALSE)"),0.379746835443038)</f>
        <v>0.3797468354</v>
      </c>
      <c r="I134" s="143">
        <f t="shared" si="2"/>
        <v>0.16819837</v>
      </c>
      <c r="J134" s="16">
        <f>IFERROR(__xludf.DUMMYFUNCTION("VLOOKUP(A134,IMPORTRANGE(""1QZ5UxyNCwadreQAXnQ7oCoH982DjIA-QnZdO7ZoqkC0/edit#gid=884617569"",""S3 Totals!$A$2:$O$255""),7,FALSE)"),41.0)</f>
        <v>41</v>
      </c>
      <c r="K134" s="15">
        <f>IFERROR(__xludf.DUMMYFUNCTION("VLOOKUP(A134,IMPORTRANGE(""1QZ5UxyNCwadreQAXnQ7oCoH982DjIA-QnZdO7ZoqkC0/edit#gid=884617569"",""S3 Totals!$A$2:$O$255""),8,FALSE)"),0.4823529411764706)</f>
        <v>0.4823529412</v>
      </c>
      <c r="L134" s="110">
        <f t="shared" si="5"/>
        <v>-0.04992050874</v>
      </c>
      <c r="M134" s="16">
        <f>IFERROR(__xludf.DUMMYFUNCTION("VLOOKUP(A134,IMPORTRANGE(""1QZ5UxyNCwadreQAXnQ7oCoH982DjIA-QnZdO7ZoqkC0/edit#gid=884617569"",""S3 Totals!$A$2:$O$255""),10,FALSE)"),39.0)</f>
        <v>39</v>
      </c>
      <c r="N134" s="15">
        <f>IFERROR(__xludf.DUMMYFUNCTION("VLOOKUP(A134,IMPORTRANGE(""1QZ5UxyNCwadreQAXnQ7oCoH982DjIA-QnZdO7ZoqkC0/edit#gid=884617569"",""S3 Totals!$A$2:$O$255""),11,FALSE)"),0.4588235294117647)</f>
        <v>0.4588235294</v>
      </c>
      <c r="O134" s="110">
        <f t="shared" si="3"/>
        <v>0.08912167607</v>
      </c>
      <c r="P134" s="16">
        <f>IFERROR(__xludf.DUMMYFUNCTION("VLOOKUP(A134,IMPORTRANGE(""1QZ5UxyNCwadreQAXnQ7oCoH982DjIA-QnZdO7ZoqkC0/edit#gid=884617569"",""S3 Totals!$A$2:$O$255""),13,FALSE)"),23.0)</f>
        <v>23</v>
      </c>
      <c r="Q134" s="15">
        <f>IFERROR(__xludf.DUMMYFUNCTION("VLOOKUP(A134,IMPORTRANGE(""1QZ5UxyNCwadreQAXnQ7oCoH982DjIA-QnZdO7ZoqkC0/edit#gid=884617569"",""S3 Totals!$A$2:$O$255""),14,FALSE)"),0.27058823529411763)</f>
        <v>0.2705882353</v>
      </c>
      <c r="R134" s="110">
        <f t="shared" si="4"/>
        <v>0.2773569702</v>
      </c>
      <c r="S134" s="144"/>
    </row>
    <row r="135">
      <c r="A135" s="128" t="s">
        <v>181</v>
      </c>
      <c r="B135" s="16">
        <f>IFERROR(__xludf.DUMMYFUNCTION("VLOOKUP(A135,IMPORTRANGE(""1aFCnJY1qhIj8-JckJhDJ18aqmVo17tofpQmOjcYa3u8/edit#gid=1878241338"",""S3 Totals!$A$2:$O$255""),2,FALSE)"),0.0)</f>
        <v>0</v>
      </c>
      <c r="C135" s="15">
        <f>IFERROR(__xludf.DUMMYFUNCTION("VLOOKUP(A135,IMPORTRANGE(""1aFCnJY1qhIj8-JckJhDJ18aqmVo17tofpQmOjcYa3u8/edit#gid=1878241338"",""S3 Totals!$A$2:$O$255""),3,FALSE)"),0.0)</f>
        <v>0</v>
      </c>
      <c r="D135" s="16">
        <f>IFERROR(__xludf.DUMMYFUNCTION("VLOOKUP(A135,IMPORTRANGE(""1QZ5UxyNCwadreQAXnQ7oCoH982DjIA-QnZdO7ZoqkC0/edit#gid=884617569"",""S3 Totals!$A$2:$O$255""),2,FALSE)"),0.0)</f>
        <v>0</v>
      </c>
      <c r="E135" s="15">
        <f>IFERROR(__xludf.DUMMYFUNCTION("VLOOKUP(A135,IMPORTRANGE(""1QZ5UxyNCwadreQAXnQ7oCoH982DjIA-QnZdO7ZoqkC0/edit#gid=884617569"",""S3 Totals!$A$2:$O$255""),3,FALSE)"),0.0)</f>
        <v>0</v>
      </c>
      <c r="F135" s="15">
        <f t="shared" si="1"/>
        <v>0</v>
      </c>
      <c r="G135" s="16">
        <f>IFERROR(__xludf.DUMMYFUNCTION("VLOOKUP(A135,IMPORTRANGE(""1QZ5UxyNCwadreQAXnQ7oCoH982DjIA-QnZdO7ZoqkC0/edit#gid=884617569"",""S3 Totals!$A$2:$O$255""),4,FALSE)"),0.0)</f>
        <v>0</v>
      </c>
      <c r="H135" s="15">
        <f>IFERROR(__xludf.DUMMYFUNCTION("VLOOKUP(A135,IMPORTRANGE(""1QZ5UxyNCwadreQAXnQ7oCoH982DjIA-QnZdO7ZoqkC0/edit#gid=884617569"",""S3 Totals!$A$2:$O$255""),5,FALSE)"),0.0)</f>
        <v>0</v>
      </c>
      <c r="I135" s="143">
        <f t="shared" si="2"/>
        <v>0</v>
      </c>
      <c r="J135" s="16">
        <f>IFERROR(__xludf.DUMMYFUNCTION("VLOOKUP(A135,IMPORTRANGE(""1QZ5UxyNCwadreQAXnQ7oCoH982DjIA-QnZdO7ZoqkC0/edit#gid=884617569"",""S3 Totals!$A$2:$O$255""),7,FALSE)"),0.0)</f>
        <v>0</v>
      </c>
      <c r="K135" s="15">
        <f>IFERROR(__xludf.DUMMYFUNCTION("VLOOKUP(A135,IMPORTRANGE(""1QZ5UxyNCwadreQAXnQ7oCoH982DjIA-QnZdO7ZoqkC0/edit#gid=884617569"",""S3 Totals!$A$2:$O$255""),8,FALSE)"),0.0)</f>
        <v>0</v>
      </c>
      <c r="L135" s="110">
        <f t="shared" si="5"/>
        <v>0</v>
      </c>
      <c r="M135" s="16" t="str">
        <f>IFERROR(__xludf.DUMMYFUNCTION("VLOOKUP(A135,IMPORTRANGE(""1QZ5UxyNCwadreQAXnQ7oCoH982DjIA-QnZdO7ZoqkC0/edit#gid=884617569"",""S3 Totals!$A$2:$O$255""),10,FALSE)"),"")</f>
        <v/>
      </c>
      <c r="N135" s="15" t="str">
        <f>IFERROR(__xludf.DUMMYFUNCTION("VLOOKUP(A135,IMPORTRANGE(""1QZ5UxyNCwadreQAXnQ7oCoH982DjIA-QnZdO7ZoqkC0/edit#gid=884617569"",""S3 Totals!$A$2:$O$255""),11,FALSE)"),"")</f>
        <v/>
      </c>
      <c r="O135" s="110">
        <f t="shared" si="3"/>
        <v>0</v>
      </c>
      <c r="P135" s="16" t="str">
        <f>IFERROR(__xludf.DUMMYFUNCTION("VLOOKUP(A135,IMPORTRANGE(""1QZ5UxyNCwadreQAXnQ7oCoH982DjIA-QnZdO7ZoqkC0/edit#gid=884617569"",""S3 Totals!$A$2:$O$255""),13,FALSE)"),"")</f>
        <v/>
      </c>
      <c r="Q135" s="15" t="str">
        <f>IFERROR(__xludf.DUMMYFUNCTION("VLOOKUP(A135,IMPORTRANGE(""1QZ5UxyNCwadreQAXnQ7oCoH982DjIA-QnZdO7ZoqkC0/edit#gid=884617569"",""S3 Totals!$A$2:$O$255""),14,FALSE)"),"")</f>
        <v/>
      </c>
      <c r="R135" s="110">
        <f t="shared" si="4"/>
        <v>0</v>
      </c>
      <c r="S135" s="144"/>
    </row>
    <row r="136">
      <c r="A136" s="128" t="s">
        <v>135</v>
      </c>
      <c r="B136" s="16">
        <f>IFERROR(__xludf.DUMMYFUNCTION("VLOOKUP(A136,IMPORTRANGE(""1aFCnJY1qhIj8-JckJhDJ18aqmVo17tofpQmOjcYa3u8/edit#gid=1878241338"",""S3 Totals!$A$2:$O$255""),2,FALSE)"),9.0)</f>
        <v>9</v>
      </c>
      <c r="C136" s="15">
        <f>IFERROR(__xludf.DUMMYFUNCTION("VLOOKUP(A136,IMPORTRANGE(""1aFCnJY1qhIj8-JckJhDJ18aqmVo17tofpQmOjcYa3u8/edit#gid=1878241338"",""S3 Totals!$A$2:$O$255""),3,FALSE)"),0.1232876712328767)</f>
        <v>0.1232876712</v>
      </c>
      <c r="D136" s="16">
        <f>IFERROR(__xludf.DUMMYFUNCTION("VLOOKUP(A136,IMPORTRANGE(""1QZ5UxyNCwadreQAXnQ7oCoH982DjIA-QnZdO7ZoqkC0/edit#gid=884617569"",""S3 Totals!$A$2:$O$255""),2,FALSE)"),13.0)</f>
        <v>13</v>
      </c>
      <c r="E136" s="15">
        <f>IFERROR(__xludf.DUMMYFUNCTION("VLOOKUP(A136,IMPORTRANGE(""1QZ5UxyNCwadreQAXnQ7oCoH982DjIA-QnZdO7ZoqkC0/edit#gid=884617569"",""S3 Totals!$A$2:$O$255""),3,FALSE)"),0.17567567567567569)</f>
        <v>0.1756756757</v>
      </c>
      <c r="F136" s="15">
        <f t="shared" si="1"/>
        <v>-0.05238800444</v>
      </c>
      <c r="G136" s="16">
        <f>IFERROR(__xludf.DUMMYFUNCTION("VLOOKUP(A136,IMPORTRANGE(""1QZ5UxyNCwadreQAXnQ7oCoH982DjIA-QnZdO7ZoqkC0/edit#gid=884617569"",""S3 Totals!$A$2:$O$255""),4,FALSE)"),10.0)</f>
        <v>10</v>
      </c>
      <c r="H136" s="15">
        <f>IFERROR(__xludf.DUMMYFUNCTION("VLOOKUP(A136,IMPORTRANGE(""1QZ5UxyNCwadreQAXnQ7oCoH982DjIA-QnZdO7ZoqkC0/edit#gid=884617569"",""S3 Totals!$A$2:$O$255""),5,FALSE)"),0.12658227848101267)</f>
        <v>0.1265822785</v>
      </c>
      <c r="I136" s="143">
        <f t="shared" si="2"/>
        <v>-0.003294607248</v>
      </c>
      <c r="J136" s="16">
        <f>IFERROR(__xludf.DUMMYFUNCTION("VLOOKUP(A136,IMPORTRANGE(""1QZ5UxyNCwadreQAXnQ7oCoH982DjIA-QnZdO7ZoqkC0/edit#gid=884617569"",""S3 Totals!$A$2:$O$255""),7,FALSE)"),9.0)</f>
        <v>9</v>
      </c>
      <c r="K136" s="15">
        <f>IFERROR(__xludf.DUMMYFUNCTION("VLOOKUP(A136,IMPORTRANGE(""1QZ5UxyNCwadreQAXnQ7oCoH982DjIA-QnZdO7ZoqkC0/edit#gid=884617569"",""S3 Totals!$A$2:$O$255""),8,FALSE)"),0.10588235294117647)</f>
        <v>0.1058823529</v>
      </c>
      <c r="L136" s="110">
        <f t="shared" si="5"/>
        <v>0.06979332273</v>
      </c>
      <c r="M136" s="16">
        <f>IFERROR(__xludf.DUMMYFUNCTION("VLOOKUP(A136,IMPORTRANGE(""1QZ5UxyNCwadreQAXnQ7oCoH982DjIA-QnZdO7ZoqkC0/edit#gid=884617569"",""S3 Totals!$A$2:$O$255""),10,FALSE)"),9.0)</f>
        <v>9</v>
      </c>
      <c r="N136" s="15">
        <f>IFERROR(__xludf.DUMMYFUNCTION("VLOOKUP(A136,IMPORTRANGE(""1QZ5UxyNCwadreQAXnQ7oCoH982DjIA-QnZdO7ZoqkC0/edit#gid=884617569"",""S3 Totals!$A$2:$O$255""),11,FALSE)"),0.10588235294117647)</f>
        <v>0.1058823529</v>
      </c>
      <c r="O136" s="110">
        <f t="shared" si="3"/>
        <v>0.01740531829</v>
      </c>
      <c r="P136" s="16" t="str">
        <f>IFERROR(__xludf.DUMMYFUNCTION("VLOOKUP(A136,IMPORTRANGE(""1QZ5UxyNCwadreQAXnQ7oCoH982DjIA-QnZdO7ZoqkC0/edit#gid=884617569"",""S3 Totals!$A$2:$O$255""),13,FALSE)"),"")</f>
        <v/>
      </c>
      <c r="Q136" s="15" t="str">
        <f>IFERROR(__xludf.DUMMYFUNCTION("VLOOKUP(A136,IMPORTRANGE(""1QZ5UxyNCwadreQAXnQ7oCoH982DjIA-QnZdO7ZoqkC0/edit#gid=884617569"",""S3 Totals!$A$2:$O$255""),14,FALSE)"),"")</f>
        <v/>
      </c>
      <c r="R136" s="110">
        <f t="shared" si="4"/>
        <v>0.1232876712</v>
      </c>
      <c r="S136" s="144"/>
    </row>
    <row r="137">
      <c r="A137" s="128" t="s">
        <v>136</v>
      </c>
      <c r="B137" s="16">
        <f>IFERROR(__xludf.DUMMYFUNCTION("VLOOKUP(A137,IMPORTRANGE(""1aFCnJY1qhIj8-JckJhDJ18aqmVo17tofpQmOjcYa3u8/edit#gid=1878241338"",""S3 Totals!$A$2:$O$255""),2,FALSE)"),39.0)</f>
        <v>39</v>
      </c>
      <c r="C137" s="15">
        <f>IFERROR(__xludf.DUMMYFUNCTION("VLOOKUP(A137,IMPORTRANGE(""1aFCnJY1qhIj8-JckJhDJ18aqmVo17tofpQmOjcYa3u8/edit#gid=1878241338"",""S3 Totals!$A$2:$O$255""),3,FALSE)"),0.5342465753424658)</f>
        <v>0.5342465753</v>
      </c>
      <c r="D137" s="16">
        <f>IFERROR(__xludf.DUMMYFUNCTION("VLOOKUP(A137,IMPORTRANGE(""1QZ5UxyNCwadreQAXnQ7oCoH982DjIA-QnZdO7ZoqkC0/edit#gid=884617569"",""S3 Totals!$A$2:$O$255""),2,FALSE)"),61.0)</f>
        <v>61</v>
      </c>
      <c r="E137" s="15">
        <f>IFERROR(__xludf.DUMMYFUNCTION("VLOOKUP(A137,IMPORTRANGE(""1QZ5UxyNCwadreQAXnQ7oCoH982DjIA-QnZdO7ZoqkC0/edit#gid=884617569"",""S3 Totals!$A$2:$O$255""),3,FALSE)"),0.8243243243243243)</f>
        <v>0.8243243243</v>
      </c>
      <c r="F137" s="15">
        <f t="shared" si="1"/>
        <v>-0.290077749</v>
      </c>
      <c r="G137" s="16">
        <f>IFERROR(__xludf.DUMMYFUNCTION("VLOOKUP(A137,IMPORTRANGE(""1QZ5UxyNCwadreQAXnQ7oCoH982DjIA-QnZdO7ZoqkC0/edit#gid=884617569"",""S3 Totals!$A$2:$O$255""),4,FALSE)"),47.0)</f>
        <v>47</v>
      </c>
      <c r="H137" s="15">
        <f>IFERROR(__xludf.DUMMYFUNCTION("VLOOKUP(A137,IMPORTRANGE(""1QZ5UxyNCwadreQAXnQ7oCoH982DjIA-QnZdO7ZoqkC0/edit#gid=884617569"",""S3 Totals!$A$2:$O$255""),5,FALSE)"),0.5949367088607594)</f>
        <v>0.5949367089</v>
      </c>
      <c r="I137" s="143">
        <f t="shared" si="2"/>
        <v>-0.06069013352</v>
      </c>
      <c r="J137" s="16">
        <f>IFERROR(__xludf.DUMMYFUNCTION("VLOOKUP(A137,IMPORTRANGE(""1QZ5UxyNCwadreQAXnQ7oCoH982DjIA-QnZdO7ZoqkC0/edit#gid=884617569"",""S3 Totals!$A$2:$O$255""),7,FALSE)"),41.0)</f>
        <v>41</v>
      </c>
      <c r="K137" s="15">
        <f>IFERROR(__xludf.DUMMYFUNCTION("VLOOKUP(A137,IMPORTRANGE(""1QZ5UxyNCwadreQAXnQ7oCoH982DjIA-QnZdO7ZoqkC0/edit#gid=884617569"",""S3 Totals!$A$2:$O$255""),8,FALSE)"),0.4823529411764706)</f>
        <v>0.4823529412</v>
      </c>
      <c r="L137" s="110">
        <f t="shared" si="5"/>
        <v>0.3419713831</v>
      </c>
      <c r="M137" s="16">
        <f>IFERROR(__xludf.DUMMYFUNCTION("VLOOKUP(A137,IMPORTRANGE(""1QZ5UxyNCwadreQAXnQ7oCoH982DjIA-QnZdO7ZoqkC0/edit#gid=884617569"",""S3 Totals!$A$2:$O$255""),10,FALSE)"),33.0)</f>
        <v>33</v>
      </c>
      <c r="N137" s="15">
        <f>IFERROR(__xludf.DUMMYFUNCTION("VLOOKUP(A137,IMPORTRANGE(""1QZ5UxyNCwadreQAXnQ7oCoH982DjIA-QnZdO7ZoqkC0/edit#gid=884617569"",""S3 Totals!$A$2:$O$255""),11,FALSE)"),0.38823529411764707)</f>
        <v>0.3882352941</v>
      </c>
      <c r="O137" s="110">
        <f t="shared" si="3"/>
        <v>0.1460112812</v>
      </c>
      <c r="P137" s="16" t="str">
        <f>IFERROR(__xludf.DUMMYFUNCTION("VLOOKUP(A137,IMPORTRANGE(""1QZ5UxyNCwadreQAXnQ7oCoH982DjIA-QnZdO7ZoqkC0/edit#gid=884617569"",""S3 Totals!$A$2:$O$255""),13,FALSE)"),"")</f>
        <v/>
      </c>
      <c r="Q137" s="15" t="str">
        <f>IFERROR(__xludf.DUMMYFUNCTION("VLOOKUP(A137,IMPORTRANGE(""1QZ5UxyNCwadreQAXnQ7oCoH982DjIA-QnZdO7ZoqkC0/edit#gid=884617569"",""S3 Totals!$A$2:$O$255""),14,FALSE)"),"")</f>
        <v/>
      </c>
      <c r="R137" s="110">
        <f t="shared" si="4"/>
        <v>0.5342465753</v>
      </c>
      <c r="S137" s="144"/>
    </row>
    <row r="138">
      <c r="A138" s="128" t="s">
        <v>88</v>
      </c>
      <c r="B138" s="16">
        <f>IFERROR(__xludf.DUMMYFUNCTION("VLOOKUP(A138,IMPORTRANGE(""1aFCnJY1qhIj8-JckJhDJ18aqmVo17tofpQmOjcYa3u8/edit#gid=1878241338"",""S3 Totals!$A$2:$O$255""),2,FALSE)"),11.0)</f>
        <v>11</v>
      </c>
      <c r="C138" s="15">
        <f>IFERROR(__xludf.DUMMYFUNCTION("VLOOKUP(A138,IMPORTRANGE(""1aFCnJY1qhIj8-JckJhDJ18aqmVo17tofpQmOjcYa3u8/edit#gid=1878241338"",""S3 Totals!$A$2:$O$255""),3,FALSE)"),0.1506849315068493)</f>
        <v>0.1506849315</v>
      </c>
      <c r="D138" s="16">
        <f>IFERROR(__xludf.DUMMYFUNCTION("VLOOKUP(A138,IMPORTRANGE(""1QZ5UxyNCwadreQAXnQ7oCoH982DjIA-QnZdO7ZoqkC0/edit#gid=884617569"",""S3 Totals!$A$2:$O$255""),2,FALSE)"),14.0)</f>
        <v>14</v>
      </c>
      <c r="E138" s="15">
        <f>IFERROR(__xludf.DUMMYFUNCTION("VLOOKUP(A138,IMPORTRANGE(""1QZ5UxyNCwadreQAXnQ7oCoH982DjIA-QnZdO7ZoqkC0/edit#gid=884617569"",""S3 Totals!$A$2:$O$255""),3,FALSE)"),0.1891891891891892)</f>
        <v>0.1891891892</v>
      </c>
      <c r="F138" s="15">
        <f t="shared" si="1"/>
        <v>-0.03850425768</v>
      </c>
      <c r="G138" s="16">
        <f>IFERROR(__xludf.DUMMYFUNCTION("VLOOKUP(A138,IMPORTRANGE(""1QZ5UxyNCwadreQAXnQ7oCoH982DjIA-QnZdO7ZoqkC0/edit#gid=884617569"",""S3 Totals!$A$2:$O$255""),4,FALSE)"),1.0)</f>
        <v>1</v>
      </c>
      <c r="H138" s="15">
        <f>IFERROR(__xludf.DUMMYFUNCTION("VLOOKUP(A138,IMPORTRANGE(""1QZ5UxyNCwadreQAXnQ7oCoH982DjIA-QnZdO7ZoqkC0/edit#gid=884617569"",""S3 Totals!$A$2:$O$255""),5,FALSE)"),0.012658227848101266)</f>
        <v>0.01265822785</v>
      </c>
      <c r="I138" s="143">
        <f t="shared" si="2"/>
        <v>0.1380267037</v>
      </c>
      <c r="J138" s="16">
        <f>IFERROR(__xludf.DUMMYFUNCTION("VLOOKUP(A138,IMPORTRANGE(""1QZ5UxyNCwadreQAXnQ7oCoH982DjIA-QnZdO7ZoqkC0/edit#gid=884617569"",""S3 Totals!$A$2:$O$255""),7,FALSE)"),0.0)</f>
        <v>0</v>
      </c>
      <c r="K138" s="15">
        <f>IFERROR(__xludf.DUMMYFUNCTION("VLOOKUP(A138,IMPORTRANGE(""1QZ5UxyNCwadreQAXnQ7oCoH982DjIA-QnZdO7ZoqkC0/edit#gid=884617569"",""S3 Totals!$A$2:$O$255""),8,FALSE)"),0.0)</f>
        <v>0</v>
      </c>
      <c r="L138" s="110">
        <f t="shared" si="5"/>
        <v>0.1891891892</v>
      </c>
      <c r="M138" s="16">
        <f>IFERROR(__xludf.DUMMYFUNCTION("VLOOKUP(A138,IMPORTRANGE(""1QZ5UxyNCwadreQAXnQ7oCoH982DjIA-QnZdO7ZoqkC0/edit#gid=884617569"",""S3 Totals!$A$2:$O$255""),10,FALSE)"),0.0)</f>
        <v>0</v>
      </c>
      <c r="N138" s="15">
        <f>IFERROR(__xludf.DUMMYFUNCTION("VLOOKUP(A138,IMPORTRANGE(""1QZ5UxyNCwadreQAXnQ7oCoH982DjIA-QnZdO7ZoqkC0/edit#gid=884617569"",""S3 Totals!$A$2:$O$255""),11,FALSE)"),0.0)</f>
        <v>0</v>
      </c>
      <c r="O138" s="110">
        <f t="shared" si="3"/>
        <v>0.1506849315</v>
      </c>
      <c r="P138" s="16">
        <f>IFERROR(__xludf.DUMMYFUNCTION("VLOOKUP(A138,IMPORTRANGE(""1QZ5UxyNCwadreQAXnQ7oCoH982DjIA-QnZdO7ZoqkC0/edit#gid=884617569"",""S3 Totals!$A$2:$O$255""),13,FALSE)"),0.0)</f>
        <v>0</v>
      </c>
      <c r="Q138" s="15">
        <f>IFERROR(__xludf.DUMMYFUNCTION("VLOOKUP(A138,IMPORTRANGE(""1QZ5UxyNCwadreQAXnQ7oCoH982DjIA-QnZdO7ZoqkC0/edit#gid=884617569"",""S3 Totals!$A$2:$O$255""),14,FALSE)"),0.0)</f>
        <v>0</v>
      </c>
      <c r="R138" s="110">
        <f t="shared" si="4"/>
        <v>0.1506849315</v>
      </c>
      <c r="S138" s="144"/>
    </row>
    <row r="139">
      <c r="A139" s="128" t="s">
        <v>137</v>
      </c>
      <c r="B139" s="16">
        <f>IFERROR(__xludf.DUMMYFUNCTION("VLOOKUP(A139,IMPORTRANGE(""1aFCnJY1qhIj8-JckJhDJ18aqmVo17tofpQmOjcYa3u8/edit#gid=1878241338"",""S3 Totals!$A$2:$O$255""),2,FALSE)"),1.0)</f>
        <v>1</v>
      </c>
      <c r="C139" s="15">
        <f>IFERROR(__xludf.DUMMYFUNCTION("VLOOKUP(A139,IMPORTRANGE(""1aFCnJY1qhIj8-JckJhDJ18aqmVo17tofpQmOjcYa3u8/edit#gid=1878241338"",""S3 Totals!$A$2:$O$255""),3,FALSE)"),0.0136986301369863)</f>
        <v>0.01369863014</v>
      </c>
      <c r="D139" s="16">
        <f>IFERROR(__xludf.DUMMYFUNCTION("VLOOKUP(A139,IMPORTRANGE(""1QZ5UxyNCwadreQAXnQ7oCoH982DjIA-QnZdO7ZoqkC0/edit#gid=884617569"",""S3 Totals!$A$2:$O$255""),2,FALSE)"),0.0)</f>
        <v>0</v>
      </c>
      <c r="E139" s="15">
        <f>IFERROR(__xludf.DUMMYFUNCTION("VLOOKUP(A139,IMPORTRANGE(""1QZ5UxyNCwadreQAXnQ7oCoH982DjIA-QnZdO7ZoqkC0/edit#gid=884617569"",""S3 Totals!$A$2:$O$255""),3,FALSE)"),0.0)</f>
        <v>0</v>
      </c>
      <c r="F139" s="15">
        <f t="shared" si="1"/>
        <v>0.01369863014</v>
      </c>
      <c r="G139" s="16">
        <f>IFERROR(__xludf.DUMMYFUNCTION("VLOOKUP(A139,IMPORTRANGE(""1QZ5UxyNCwadreQAXnQ7oCoH982DjIA-QnZdO7ZoqkC0/edit#gid=884617569"",""S3 Totals!$A$2:$O$255""),4,FALSE)"),0.0)</f>
        <v>0</v>
      </c>
      <c r="H139" s="15">
        <f>IFERROR(__xludf.DUMMYFUNCTION("VLOOKUP(A139,IMPORTRANGE(""1QZ5UxyNCwadreQAXnQ7oCoH982DjIA-QnZdO7ZoqkC0/edit#gid=884617569"",""S3 Totals!$A$2:$O$255""),5,FALSE)"),0.0)</f>
        <v>0</v>
      </c>
      <c r="I139" s="143">
        <f t="shared" si="2"/>
        <v>0.01369863014</v>
      </c>
      <c r="J139" s="16">
        <f>IFERROR(__xludf.DUMMYFUNCTION("VLOOKUP(A139,IMPORTRANGE(""1QZ5UxyNCwadreQAXnQ7oCoH982DjIA-QnZdO7ZoqkC0/edit#gid=884617569"",""S3 Totals!$A$2:$O$255""),7,FALSE)"),0.0)</f>
        <v>0</v>
      </c>
      <c r="K139" s="15">
        <f>IFERROR(__xludf.DUMMYFUNCTION("VLOOKUP(A139,IMPORTRANGE(""1QZ5UxyNCwadreQAXnQ7oCoH982DjIA-QnZdO7ZoqkC0/edit#gid=884617569"",""S3 Totals!$A$2:$O$255""),8,FALSE)"),0.0)</f>
        <v>0</v>
      </c>
      <c r="L139" s="110">
        <f t="shared" si="5"/>
        <v>0</v>
      </c>
      <c r="M139" s="16">
        <f>IFERROR(__xludf.DUMMYFUNCTION("VLOOKUP(A139,IMPORTRANGE(""1QZ5UxyNCwadreQAXnQ7oCoH982DjIA-QnZdO7ZoqkC0/edit#gid=884617569"",""S3 Totals!$A$2:$O$255""),10,FALSE)"),0.0)</f>
        <v>0</v>
      </c>
      <c r="N139" s="15">
        <f>IFERROR(__xludf.DUMMYFUNCTION("VLOOKUP(A139,IMPORTRANGE(""1QZ5UxyNCwadreQAXnQ7oCoH982DjIA-QnZdO7ZoqkC0/edit#gid=884617569"",""S3 Totals!$A$2:$O$255""),11,FALSE)"),0.0)</f>
        <v>0</v>
      </c>
      <c r="O139" s="110">
        <f t="shared" si="3"/>
        <v>0.01369863014</v>
      </c>
      <c r="P139" s="16" t="str">
        <f>IFERROR(__xludf.DUMMYFUNCTION("VLOOKUP(A139,IMPORTRANGE(""1QZ5UxyNCwadreQAXnQ7oCoH982DjIA-QnZdO7ZoqkC0/edit#gid=884617569"",""S3 Totals!$A$2:$O$255""),13,FALSE)"),"")</f>
        <v/>
      </c>
      <c r="Q139" s="15" t="str">
        <f>IFERROR(__xludf.DUMMYFUNCTION("VLOOKUP(A139,IMPORTRANGE(""1QZ5UxyNCwadreQAXnQ7oCoH982DjIA-QnZdO7ZoqkC0/edit#gid=884617569"",""S3 Totals!$A$2:$O$255""),14,FALSE)"),"")</f>
        <v/>
      </c>
      <c r="R139" s="110">
        <f t="shared" si="4"/>
        <v>0.01369863014</v>
      </c>
      <c r="S139" s="144"/>
    </row>
    <row r="140">
      <c r="A140" s="128" t="s">
        <v>67</v>
      </c>
      <c r="B140" s="16">
        <f>IFERROR(__xludf.DUMMYFUNCTION("VLOOKUP(A140,IMPORTRANGE(""1aFCnJY1qhIj8-JckJhDJ18aqmVo17tofpQmOjcYa3u8/edit#gid=1878241338"",""S3 Totals!$A$2:$O$255""),2,FALSE)"),1.0)</f>
        <v>1</v>
      </c>
      <c r="C140" s="15">
        <f>IFERROR(__xludf.DUMMYFUNCTION("VLOOKUP(A140,IMPORTRANGE(""1aFCnJY1qhIj8-JckJhDJ18aqmVo17tofpQmOjcYa3u8/edit#gid=1878241338"",""S3 Totals!$A$2:$O$255""),3,FALSE)"),0.0136986301369863)</f>
        <v>0.01369863014</v>
      </c>
      <c r="D140" s="16">
        <f>IFERROR(__xludf.DUMMYFUNCTION("VLOOKUP(A140,IMPORTRANGE(""1QZ5UxyNCwadreQAXnQ7oCoH982DjIA-QnZdO7ZoqkC0/edit#gid=884617569"",""S3 Totals!$A$2:$O$255""),2,FALSE)"),1.0)</f>
        <v>1</v>
      </c>
      <c r="E140" s="15">
        <f>IFERROR(__xludf.DUMMYFUNCTION("VLOOKUP(A140,IMPORTRANGE(""1QZ5UxyNCwadreQAXnQ7oCoH982DjIA-QnZdO7ZoqkC0/edit#gid=884617569"",""S3 Totals!$A$2:$O$255""),3,FALSE)"),0.013513513513513514)</f>
        <v>0.01351351351</v>
      </c>
      <c r="F140" s="15">
        <f t="shared" si="1"/>
        <v>0.0001851166235</v>
      </c>
      <c r="G140" s="16">
        <f>IFERROR(__xludf.DUMMYFUNCTION("VLOOKUP(A140,IMPORTRANGE(""1QZ5UxyNCwadreQAXnQ7oCoH982DjIA-QnZdO7ZoqkC0/edit#gid=884617569"",""S3 Totals!$A$2:$O$255""),4,FALSE)"),1.0)</f>
        <v>1</v>
      </c>
      <c r="H140" s="15">
        <f>IFERROR(__xludf.DUMMYFUNCTION("VLOOKUP(A140,IMPORTRANGE(""1QZ5UxyNCwadreQAXnQ7oCoH982DjIA-QnZdO7ZoqkC0/edit#gid=884617569"",""S3 Totals!$A$2:$O$255""),5,FALSE)"),0.012658227848101266)</f>
        <v>0.01265822785</v>
      </c>
      <c r="I140" s="143">
        <f t="shared" si="2"/>
        <v>0.001040402289</v>
      </c>
      <c r="J140" s="16">
        <f>IFERROR(__xludf.DUMMYFUNCTION("VLOOKUP(A140,IMPORTRANGE(""1QZ5UxyNCwadreQAXnQ7oCoH982DjIA-QnZdO7ZoqkC0/edit#gid=884617569"",""S3 Totals!$A$2:$O$255""),7,FALSE)"),1.0)</f>
        <v>1</v>
      </c>
      <c r="K140" s="15">
        <f>IFERROR(__xludf.DUMMYFUNCTION("VLOOKUP(A140,IMPORTRANGE(""1QZ5UxyNCwadreQAXnQ7oCoH982DjIA-QnZdO7ZoqkC0/edit#gid=884617569"",""S3 Totals!$A$2:$O$255""),8,FALSE)"),0.011764705882352941)</f>
        <v>0.01176470588</v>
      </c>
      <c r="L140" s="110">
        <f t="shared" si="5"/>
        <v>0.001748807631</v>
      </c>
      <c r="M140" s="16">
        <f>IFERROR(__xludf.DUMMYFUNCTION("VLOOKUP(A140,IMPORTRANGE(""1QZ5UxyNCwadreQAXnQ7oCoH982DjIA-QnZdO7ZoqkC0/edit#gid=884617569"",""S3 Totals!$A$2:$O$255""),10,FALSE)"),1.0)</f>
        <v>1</v>
      </c>
      <c r="N140" s="15">
        <f>IFERROR(__xludf.DUMMYFUNCTION("VLOOKUP(A140,IMPORTRANGE(""1QZ5UxyNCwadreQAXnQ7oCoH982DjIA-QnZdO7ZoqkC0/edit#gid=884617569"",""S3 Totals!$A$2:$O$255""),11,FALSE)"),0.011764705882352941)</f>
        <v>0.01176470588</v>
      </c>
      <c r="O140" s="110">
        <f t="shared" si="3"/>
        <v>0.001933924255</v>
      </c>
      <c r="P140" s="16">
        <f>IFERROR(__xludf.DUMMYFUNCTION("VLOOKUP(A140,IMPORTRANGE(""1QZ5UxyNCwadreQAXnQ7oCoH982DjIA-QnZdO7ZoqkC0/edit#gid=884617569"",""S3 Totals!$A$2:$O$255""),13,FALSE)"),0.0)</f>
        <v>0</v>
      </c>
      <c r="Q140" s="15">
        <f>IFERROR(__xludf.DUMMYFUNCTION("VLOOKUP(A140,IMPORTRANGE(""1QZ5UxyNCwadreQAXnQ7oCoH982DjIA-QnZdO7ZoqkC0/edit#gid=884617569"",""S3 Totals!$A$2:$O$255""),14,FALSE)"),0.0)</f>
        <v>0</v>
      </c>
      <c r="R140" s="110">
        <f t="shared" si="4"/>
        <v>0.01369863014</v>
      </c>
      <c r="S140" s="144"/>
    </row>
    <row r="141">
      <c r="A141" s="128" t="s">
        <v>68</v>
      </c>
      <c r="B141" s="16">
        <f>IFERROR(__xludf.DUMMYFUNCTION("VLOOKUP(A141,IMPORTRANGE(""1aFCnJY1qhIj8-JckJhDJ18aqmVo17tofpQmOjcYa3u8/edit#gid=1878241338"",""S3 Totals!$A$2:$O$255""),2,FALSE)"),39.0)</f>
        <v>39</v>
      </c>
      <c r="C141" s="15">
        <f>IFERROR(__xludf.DUMMYFUNCTION("VLOOKUP(A141,IMPORTRANGE(""1aFCnJY1qhIj8-JckJhDJ18aqmVo17tofpQmOjcYa3u8/edit#gid=1878241338"",""S3 Totals!$A$2:$O$255""),3,FALSE)"),0.5342465753424658)</f>
        <v>0.5342465753</v>
      </c>
      <c r="D141" s="16">
        <f>IFERROR(__xludf.DUMMYFUNCTION("VLOOKUP(A141,IMPORTRANGE(""1QZ5UxyNCwadreQAXnQ7oCoH982DjIA-QnZdO7ZoqkC0/edit#gid=884617569"",""S3 Totals!$A$2:$O$255""),2,FALSE)"),44.0)</f>
        <v>44</v>
      </c>
      <c r="E141" s="15">
        <f>IFERROR(__xludf.DUMMYFUNCTION("VLOOKUP(A141,IMPORTRANGE(""1QZ5UxyNCwadreQAXnQ7oCoH982DjIA-QnZdO7ZoqkC0/edit#gid=884617569"",""S3 Totals!$A$2:$O$255""),3,FALSE)"),0.5945945945945946)</f>
        <v>0.5945945946</v>
      </c>
      <c r="F141" s="15">
        <f t="shared" si="1"/>
        <v>-0.06034801925</v>
      </c>
      <c r="G141" s="16">
        <f>IFERROR(__xludf.DUMMYFUNCTION("VLOOKUP(A141,IMPORTRANGE(""1QZ5UxyNCwadreQAXnQ7oCoH982DjIA-QnZdO7ZoqkC0/edit#gid=884617569"",""S3 Totals!$A$2:$O$255""),4,FALSE)"),45.0)</f>
        <v>45</v>
      </c>
      <c r="H141" s="15">
        <f>IFERROR(__xludf.DUMMYFUNCTION("VLOOKUP(A141,IMPORTRANGE(""1QZ5UxyNCwadreQAXnQ7oCoH982DjIA-QnZdO7ZoqkC0/edit#gid=884617569"",""S3 Totals!$A$2:$O$255""),5,FALSE)"),0.569620253164557)</f>
        <v>0.5696202532</v>
      </c>
      <c r="I141" s="143">
        <f t="shared" si="2"/>
        <v>-0.03537367782</v>
      </c>
      <c r="J141" s="16">
        <f>IFERROR(__xludf.DUMMYFUNCTION("VLOOKUP(A141,IMPORTRANGE(""1QZ5UxyNCwadreQAXnQ7oCoH982DjIA-QnZdO7ZoqkC0/edit#gid=884617569"",""S3 Totals!$A$2:$O$255""),7,FALSE)"),34.0)</f>
        <v>34</v>
      </c>
      <c r="K141" s="15">
        <f>IFERROR(__xludf.DUMMYFUNCTION("VLOOKUP(A141,IMPORTRANGE(""1QZ5UxyNCwadreQAXnQ7oCoH982DjIA-QnZdO7ZoqkC0/edit#gid=884617569"",""S3 Totals!$A$2:$O$255""),8,FALSE)"),0.4)</f>
        <v>0.4</v>
      </c>
      <c r="L141" s="110">
        <f t="shared" si="5"/>
        <v>0.1945945946</v>
      </c>
      <c r="M141" s="16">
        <f>IFERROR(__xludf.DUMMYFUNCTION("VLOOKUP(A141,IMPORTRANGE(""1QZ5UxyNCwadreQAXnQ7oCoH982DjIA-QnZdO7ZoqkC0/edit#gid=884617569"",""S3 Totals!$A$2:$O$255""),10,FALSE)"),21.0)</f>
        <v>21</v>
      </c>
      <c r="N141" s="15">
        <f>IFERROR(__xludf.DUMMYFUNCTION("VLOOKUP(A141,IMPORTRANGE(""1QZ5UxyNCwadreQAXnQ7oCoH982DjIA-QnZdO7ZoqkC0/edit#gid=884617569"",""S3 Totals!$A$2:$O$255""),11,FALSE)"),0.24705882352941178)</f>
        <v>0.2470588235</v>
      </c>
      <c r="O141" s="110">
        <f t="shared" si="3"/>
        <v>0.2871877518</v>
      </c>
      <c r="P141" s="16">
        <f>IFERROR(__xludf.DUMMYFUNCTION("VLOOKUP(A141,IMPORTRANGE(""1QZ5UxyNCwadreQAXnQ7oCoH982DjIA-QnZdO7ZoqkC0/edit#gid=884617569"",""S3 Totals!$A$2:$O$255""),13,FALSE)"),11.0)</f>
        <v>11</v>
      </c>
      <c r="Q141" s="15">
        <f>IFERROR(__xludf.DUMMYFUNCTION("VLOOKUP(A141,IMPORTRANGE(""1QZ5UxyNCwadreQAXnQ7oCoH982DjIA-QnZdO7ZoqkC0/edit#gid=884617569"",""S3 Totals!$A$2:$O$255""),14,FALSE)"),0.12941176470588237)</f>
        <v>0.1294117647</v>
      </c>
      <c r="R141" s="110">
        <f t="shared" si="4"/>
        <v>0.4048348106</v>
      </c>
      <c r="S141" s="144"/>
    </row>
    <row r="142">
      <c r="A142" s="128" t="s">
        <v>69</v>
      </c>
      <c r="B142" s="16">
        <f>IFERROR(__xludf.DUMMYFUNCTION("VLOOKUP(A142,IMPORTRANGE(""1aFCnJY1qhIj8-JckJhDJ18aqmVo17tofpQmOjcYa3u8/edit#gid=1878241338"",""S3 Totals!$A$2:$O$255""),2,FALSE)"),0.0)</f>
        <v>0</v>
      </c>
      <c r="C142" s="15">
        <f>IFERROR(__xludf.DUMMYFUNCTION("VLOOKUP(A142,IMPORTRANGE(""1aFCnJY1qhIj8-JckJhDJ18aqmVo17tofpQmOjcYa3u8/edit#gid=1878241338"",""S3 Totals!$A$2:$O$255""),3,FALSE)"),0.0)</f>
        <v>0</v>
      </c>
      <c r="D142" s="16">
        <f>IFERROR(__xludf.DUMMYFUNCTION("VLOOKUP(A142,IMPORTRANGE(""1QZ5UxyNCwadreQAXnQ7oCoH982DjIA-QnZdO7ZoqkC0/edit#gid=884617569"",""S3 Totals!$A$2:$O$255""),2,FALSE)"),0.0)</f>
        <v>0</v>
      </c>
      <c r="E142" s="15">
        <f>IFERROR(__xludf.DUMMYFUNCTION("VLOOKUP(A142,IMPORTRANGE(""1QZ5UxyNCwadreQAXnQ7oCoH982DjIA-QnZdO7ZoqkC0/edit#gid=884617569"",""S3 Totals!$A$2:$O$255""),3,FALSE)"),0.0)</f>
        <v>0</v>
      </c>
      <c r="F142" s="15">
        <f t="shared" si="1"/>
        <v>0</v>
      </c>
      <c r="G142" s="16">
        <f>IFERROR(__xludf.DUMMYFUNCTION("VLOOKUP(A142,IMPORTRANGE(""1QZ5UxyNCwadreQAXnQ7oCoH982DjIA-QnZdO7ZoqkC0/edit#gid=884617569"",""S3 Totals!$A$2:$O$255""),4,FALSE)"),1.0)</f>
        <v>1</v>
      </c>
      <c r="H142" s="15">
        <f>IFERROR(__xludf.DUMMYFUNCTION("VLOOKUP(A142,IMPORTRANGE(""1QZ5UxyNCwadreQAXnQ7oCoH982DjIA-QnZdO7ZoqkC0/edit#gid=884617569"",""S3 Totals!$A$2:$O$255""),5,FALSE)"),0.012658227848101266)</f>
        <v>0.01265822785</v>
      </c>
      <c r="I142" s="143">
        <f t="shared" si="2"/>
        <v>-0.01265822785</v>
      </c>
      <c r="J142" s="16">
        <f>IFERROR(__xludf.DUMMYFUNCTION("VLOOKUP(A142,IMPORTRANGE(""1QZ5UxyNCwadreQAXnQ7oCoH982DjIA-QnZdO7ZoqkC0/edit#gid=884617569"",""S3 Totals!$A$2:$O$255""),7,FALSE)"),0.0)</f>
        <v>0</v>
      </c>
      <c r="K142" s="15">
        <f>IFERROR(__xludf.DUMMYFUNCTION("VLOOKUP(A142,IMPORTRANGE(""1QZ5UxyNCwadreQAXnQ7oCoH982DjIA-QnZdO7ZoqkC0/edit#gid=884617569"",""S3 Totals!$A$2:$O$255""),8,FALSE)"),0.0)</f>
        <v>0</v>
      </c>
      <c r="L142" s="110">
        <f t="shared" si="5"/>
        <v>0</v>
      </c>
      <c r="M142" s="16">
        <f>IFERROR(__xludf.DUMMYFUNCTION("VLOOKUP(A142,IMPORTRANGE(""1QZ5UxyNCwadreQAXnQ7oCoH982DjIA-QnZdO7ZoqkC0/edit#gid=884617569"",""S3 Totals!$A$2:$O$255""),10,FALSE)"),0.0)</f>
        <v>0</v>
      </c>
      <c r="N142" s="15">
        <f>IFERROR(__xludf.DUMMYFUNCTION("VLOOKUP(A142,IMPORTRANGE(""1QZ5UxyNCwadreQAXnQ7oCoH982DjIA-QnZdO7ZoqkC0/edit#gid=884617569"",""S3 Totals!$A$2:$O$255""),11,FALSE)"),0.0)</f>
        <v>0</v>
      </c>
      <c r="O142" s="110">
        <f t="shared" si="3"/>
        <v>0</v>
      </c>
      <c r="P142" s="16">
        <f>IFERROR(__xludf.DUMMYFUNCTION("VLOOKUP(A142,IMPORTRANGE(""1QZ5UxyNCwadreQAXnQ7oCoH982DjIA-QnZdO7ZoqkC0/edit#gid=884617569"",""S3 Totals!$A$2:$O$255""),13,FALSE)"),1.0)</f>
        <v>1</v>
      </c>
      <c r="Q142" s="15">
        <f>IFERROR(__xludf.DUMMYFUNCTION("VLOOKUP(A142,IMPORTRANGE(""1QZ5UxyNCwadreQAXnQ7oCoH982DjIA-QnZdO7ZoqkC0/edit#gid=884617569"",""S3 Totals!$A$2:$O$255""),14,FALSE)"),0.011764705882352941)</f>
        <v>0.01176470588</v>
      </c>
      <c r="R142" s="110">
        <f t="shared" si="4"/>
        <v>-0.01176470588</v>
      </c>
      <c r="S142" s="144"/>
    </row>
    <row r="143">
      <c r="A143" s="128" t="s">
        <v>182</v>
      </c>
      <c r="B143" s="16">
        <f>IFERROR(__xludf.DUMMYFUNCTION("VLOOKUP(A143,IMPORTRANGE(""1aFCnJY1qhIj8-JckJhDJ18aqmVo17tofpQmOjcYa3u8/edit#gid=1878241338"",""S3 Totals!$A$2:$O$255""),2,FALSE)"),21.0)</f>
        <v>21</v>
      </c>
      <c r="C143" s="15">
        <f>IFERROR(__xludf.DUMMYFUNCTION("VLOOKUP(A143,IMPORTRANGE(""1aFCnJY1qhIj8-JckJhDJ18aqmVo17tofpQmOjcYa3u8/edit#gid=1878241338"",""S3 Totals!$A$2:$O$255""),3,FALSE)"),0.2876712328767123)</f>
        <v>0.2876712329</v>
      </c>
      <c r="D143" s="16">
        <f>IFERROR(__xludf.DUMMYFUNCTION("VLOOKUP(A143,IMPORTRANGE(""1QZ5UxyNCwadreQAXnQ7oCoH982DjIA-QnZdO7ZoqkC0/edit#gid=884617569"",""S3 Totals!$A$2:$O$255""),2,FALSE)"),23.0)</f>
        <v>23</v>
      </c>
      <c r="E143" s="15">
        <f>IFERROR(__xludf.DUMMYFUNCTION("VLOOKUP(A143,IMPORTRANGE(""1QZ5UxyNCwadreQAXnQ7oCoH982DjIA-QnZdO7ZoqkC0/edit#gid=884617569"",""S3 Totals!$A$2:$O$255""),3,FALSE)"),0.3108108108108108)</f>
        <v>0.3108108108</v>
      </c>
      <c r="F143" s="15">
        <f t="shared" si="1"/>
        <v>-0.02313957793</v>
      </c>
      <c r="G143" s="16">
        <f>IFERROR(__xludf.DUMMYFUNCTION("VLOOKUP(A143,IMPORTRANGE(""1QZ5UxyNCwadreQAXnQ7oCoH982DjIA-QnZdO7ZoqkC0/edit#gid=884617569"",""S3 Totals!$A$2:$O$255""),4,FALSE)"),21.0)</f>
        <v>21</v>
      </c>
      <c r="H143" s="15">
        <f>IFERROR(__xludf.DUMMYFUNCTION("VLOOKUP(A143,IMPORTRANGE(""1QZ5UxyNCwadreQAXnQ7oCoH982DjIA-QnZdO7ZoqkC0/edit#gid=884617569"",""S3 Totals!$A$2:$O$255""),5,FALSE)"),0.26582278481012656)</f>
        <v>0.2658227848</v>
      </c>
      <c r="I143" s="143">
        <f t="shared" si="2"/>
        <v>0.02184844807</v>
      </c>
      <c r="J143" s="16">
        <f>IFERROR(__xludf.DUMMYFUNCTION("VLOOKUP(A143,IMPORTRANGE(""1QZ5UxyNCwadreQAXnQ7oCoH982DjIA-QnZdO7ZoqkC0/edit#gid=884617569"",""S3 Totals!$A$2:$O$255""),7,FALSE)"),11.0)</f>
        <v>11</v>
      </c>
      <c r="K143" s="15">
        <f>IFERROR(__xludf.DUMMYFUNCTION("VLOOKUP(A143,IMPORTRANGE(""1QZ5UxyNCwadreQAXnQ7oCoH982DjIA-QnZdO7ZoqkC0/edit#gid=884617569"",""S3 Totals!$A$2:$O$255""),8,FALSE)"),0.12941176470588237)</f>
        <v>0.1294117647</v>
      </c>
      <c r="L143" s="110">
        <f t="shared" si="5"/>
        <v>0.1813990461</v>
      </c>
      <c r="M143" s="16" t="str">
        <f>IFERROR(__xludf.DUMMYFUNCTION("VLOOKUP(A143,IMPORTRANGE(""1QZ5UxyNCwadreQAXnQ7oCoH982DjIA-QnZdO7ZoqkC0/edit#gid=884617569"",""S3 Totals!$A$2:$O$255""),10,FALSE)"),"")</f>
        <v/>
      </c>
      <c r="N143" s="15" t="str">
        <f>IFERROR(__xludf.DUMMYFUNCTION("VLOOKUP(A143,IMPORTRANGE(""1QZ5UxyNCwadreQAXnQ7oCoH982DjIA-QnZdO7ZoqkC0/edit#gid=884617569"",""S3 Totals!$A$2:$O$255""),11,FALSE)"),"")</f>
        <v/>
      </c>
      <c r="O143" s="110">
        <f t="shared" si="3"/>
        <v>0.2876712329</v>
      </c>
      <c r="P143" s="16" t="str">
        <f>IFERROR(__xludf.DUMMYFUNCTION("VLOOKUP(A143,IMPORTRANGE(""1QZ5UxyNCwadreQAXnQ7oCoH982DjIA-QnZdO7ZoqkC0/edit#gid=884617569"",""S3 Totals!$A$2:$O$255""),13,FALSE)"),"")</f>
        <v/>
      </c>
      <c r="Q143" s="15" t="str">
        <f>IFERROR(__xludf.DUMMYFUNCTION("VLOOKUP(A143,IMPORTRANGE(""1QZ5UxyNCwadreQAXnQ7oCoH982DjIA-QnZdO7ZoqkC0/edit#gid=884617569"",""S3 Totals!$A$2:$O$255""),14,FALSE)"),"")</f>
        <v/>
      </c>
      <c r="R143" s="110">
        <f t="shared" si="4"/>
        <v>0.2876712329</v>
      </c>
      <c r="S143" s="144"/>
    </row>
    <row r="144">
      <c r="A144" s="128" t="s">
        <v>70</v>
      </c>
      <c r="B144" s="16">
        <f>IFERROR(__xludf.DUMMYFUNCTION("VLOOKUP(A144,IMPORTRANGE(""1aFCnJY1qhIj8-JckJhDJ18aqmVo17tofpQmOjcYa3u8/edit#gid=1878241338"",""S3 Totals!$A$2:$O$255""),2,FALSE)"),31.0)</f>
        <v>31</v>
      </c>
      <c r="C144" s="15">
        <f>IFERROR(__xludf.DUMMYFUNCTION("VLOOKUP(A144,IMPORTRANGE(""1aFCnJY1qhIj8-JckJhDJ18aqmVo17tofpQmOjcYa3u8/edit#gid=1878241338"",""S3 Totals!$A$2:$O$255""),3,FALSE)"),0.4246575342465753)</f>
        <v>0.4246575342</v>
      </c>
      <c r="D144" s="16">
        <f>IFERROR(__xludf.DUMMYFUNCTION("VLOOKUP(A144,IMPORTRANGE(""1QZ5UxyNCwadreQAXnQ7oCoH982DjIA-QnZdO7ZoqkC0/edit#gid=884617569"",""S3 Totals!$A$2:$O$255""),2,FALSE)"),11.0)</f>
        <v>11</v>
      </c>
      <c r="E144" s="15">
        <f>IFERROR(__xludf.DUMMYFUNCTION("VLOOKUP(A144,IMPORTRANGE(""1QZ5UxyNCwadreQAXnQ7oCoH982DjIA-QnZdO7ZoqkC0/edit#gid=884617569"",""S3 Totals!$A$2:$O$255""),3,FALSE)"),0.14864864864864866)</f>
        <v>0.1486486486</v>
      </c>
      <c r="F144" s="15">
        <f t="shared" si="1"/>
        <v>0.2760088856</v>
      </c>
      <c r="G144" s="16">
        <f>IFERROR(__xludf.DUMMYFUNCTION("VLOOKUP(A144,IMPORTRANGE(""1QZ5UxyNCwadreQAXnQ7oCoH982DjIA-QnZdO7ZoqkC0/edit#gid=884617569"",""S3 Totals!$A$2:$O$255""),4,FALSE)"),0.0)</f>
        <v>0</v>
      </c>
      <c r="H144" s="15">
        <f>IFERROR(__xludf.DUMMYFUNCTION("VLOOKUP(A144,IMPORTRANGE(""1QZ5UxyNCwadreQAXnQ7oCoH982DjIA-QnZdO7ZoqkC0/edit#gid=884617569"",""S3 Totals!$A$2:$O$255""),5,FALSE)"),0.0)</f>
        <v>0</v>
      </c>
      <c r="I144" s="143">
        <f t="shared" si="2"/>
        <v>0.4246575342</v>
      </c>
      <c r="J144" s="16">
        <f>IFERROR(__xludf.DUMMYFUNCTION("VLOOKUP(A144,IMPORTRANGE(""1QZ5UxyNCwadreQAXnQ7oCoH982DjIA-QnZdO7ZoqkC0/edit#gid=884617569"",""S3 Totals!$A$2:$O$255""),7,FALSE)"),0.0)</f>
        <v>0</v>
      </c>
      <c r="K144" s="15">
        <f>IFERROR(__xludf.DUMMYFUNCTION("VLOOKUP(A144,IMPORTRANGE(""1QZ5UxyNCwadreQAXnQ7oCoH982DjIA-QnZdO7ZoqkC0/edit#gid=884617569"",""S3 Totals!$A$2:$O$255""),8,FALSE)"),0.0)</f>
        <v>0</v>
      </c>
      <c r="L144" s="110">
        <f t="shared" si="5"/>
        <v>0.1486486486</v>
      </c>
      <c r="M144" s="16">
        <f>IFERROR(__xludf.DUMMYFUNCTION("VLOOKUP(A144,IMPORTRANGE(""1QZ5UxyNCwadreQAXnQ7oCoH982DjIA-QnZdO7ZoqkC0/edit#gid=884617569"",""S3 Totals!$A$2:$O$255""),10,FALSE)"),0.0)</f>
        <v>0</v>
      </c>
      <c r="N144" s="15">
        <f>IFERROR(__xludf.DUMMYFUNCTION("VLOOKUP(A144,IMPORTRANGE(""1QZ5UxyNCwadreQAXnQ7oCoH982DjIA-QnZdO7ZoqkC0/edit#gid=884617569"",""S3 Totals!$A$2:$O$255""),11,FALSE)"),0.0)</f>
        <v>0</v>
      </c>
      <c r="O144" s="110">
        <f t="shared" si="3"/>
        <v>0.4246575342</v>
      </c>
      <c r="P144" s="16">
        <f>IFERROR(__xludf.DUMMYFUNCTION("VLOOKUP(A144,IMPORTRANGE(""1QZ5UxyNCwadreQAXnQ7oCoH982DjIA-QnZdO7ZoqkC0/edit#gid=884617569"",""S3 Totals!$A$2:$O$255""),13,FALSE)"),0.0)</f>
        <v>0</v>
      </c>
      <c r="Q144" s="15">
        <f>IFERROR(__xludf.DUMMYFUNCTION("VLOOKUP(A144,IMPORTRANGE(""1QZ5UxyNCwadreQAXnQ7oCoH982DjIA-QnZdO7ZoqkC0/edit#gid=884617569"",""S3 Totals!$A$2:$O$255""),14,FALSE)"),0.0)</f>
        <v>0</v>
      </c>
      <c r="R144" s="110">
        <f t="shared" si="4"/>
        <v>0.4246575342</v>
      </c>
      <c r="S144" s="144"/>
    </row>
    <row r="145">
      <c r="A145" s="128" t="s">
        <v>138</v>
      </c>
      <c r="B145" s="16">
        <f>IFERROR(__xludf.DUMMYFUNCTION("VLOOKUP(A145,IMPORTRANGE(""1aFCnJY1qhIj8-JckJhDJ18aqmVo17tofpQmOjcYa3u8/edit#gid=1878241338"",""S3 Totals!$A$2:$O$255""),2,FALSE)"),1.0)</f>
        <v>1</v>
      </c>
      <c r="C145" s="15">
        <f>IFERROR(__xludf.DUMMYFUNCTION("VLOOKUP(A145,IMPORTRANGE(""1aFCnJY1qhIj8-JckJhDJ18aqmVo17tofpQmOjcYa3u8/edit#gid=1878241338"",""S3 Totals!$A$2:$O$255""),3,FALSE)"),0.0136986301369863)</f>
        <v>0.01369863014</v>
      </c>
      <c r="D145" s="16">
        <f>IFERROR(__xludf.DUMMYFUNCTION("VLOOKUP(A145,IMPORTRANGE(""1QZ5UxyNCwadreQAXnQ7oCoH982DjIA-QnZdO7ZoqkC0/edit#gid=884617569"",""S3 Totals!$A$2:$O$255""),2,FALSE)"),1.0)</f>
        <v>1</v>
      </c>
      <c r="E145" s="15">
        <f>IFERROR(__xludf.DUMMYFUNCTION("VLOOKUP(A145,IMPORTRANGE(""1QZ5UxyNCwadreQAXnQ7oCoH982DjIA-QnZdO7ZoqkC0/edit#gid=884617569"",""S3 Totals!$A$2:$O$255""),3,FALSE)"),0.013513513513513514)</f>
        <v>0.01351351351</v>
      </c>
      <c r="F145" s="15">
        <f t="shared" si="1"/>
        <v>0.0001851166235</v>
      </c>
      <c r="G145" s="16">
        <f>IFERROR(__xludf.DUMMYFUNCTION("VLOOKUP(A145,IMPORTRANGE(""1QZ5UxyNCwadreQAXnQ7oCoH982DjIA-QnZdO7ZoqkC0/edit#gid=884617569"",""S3 Totals!$A$2:$O$255""),4,FALSE)"),1.0)</f>
        <v>1</v>
      </c>
      <c r="H145" s="15">
        <f>IFERROR(__xludf.DUMMYFUNCTION("VLOOKUP(A145,IMPORTRANGE(""1QZ5UxyNCwadreQAXnQ7oCoH982DjIA-QnZdO7ZoqkC0/edit#gid=884617569"",""S3 Totals!$A$2:$O$255""),5,FALSE)"),0.012658227848101266)</f>
        <v>0.01265822785</v>
      </c>
      <c r="I145" s="143">
        <f t="shared" si="2"/>
        <v>0.001040402289</v>
      </c>
      <c r="J145" s="16">
        <f>IFERROR(__xludf.DUMMYFUNCTION("VLOOKUP(A145,IMPORTRANGE(""1QZ5UxyNCwadreQAXnQ7oCoH982DjIA-QnZdO7ZoqkC0/edit#gid=884617569"",""S3 Totals!$A$2:$O$255""),7,FALSE)"),1.0)</f>
        <v>1</v>
      </c>
      <c r="K145" s="15">
        <f>IFERROR(__xludf.DUMMYFUNCTION("VLOOKUP(A145,IMPORTRANGE(""1QZ5UxyNCwadreQAXnQ7oCoH982DjIA-QnZdO7ZoqkC0/edit#gid=884617569"",""S3 Totals!$A$2:$O$255""),8,FALSE)"),0.011764705882352941)</f>
        <v>0.01176470588</v>
      </c>
      <c r="L145" s="110">
        <f t="shared" si="5"/>
        <v>0.001748807631</v>
      </c>
      <c r="M145" s="16">
        <f>IFERROR(__xludf.DUMMYFUNCTION("VLOOKUP(A145,IMPORTRANGE(""1QZ5UxyNCwadreQAXnQ7oCoH982DjIA-QnZdO7ZoqkC0/edit#gid=884617569"",""S3 Totals!$A$2:$O$255""),10,FALSE)"),0.0)</f>
        <v>0</v>
      </c>
      <c r="N145" s="15">
        <f>IFERROR(__xludf.DUMMYFUNCTION("VLOOKUP(A145,IMPORTRANGE(""1QZ5UxyNCwadreQAXnQ7oCoH982DjIA-QnZdO7ZoqkC0/edit#gid=884617569"",""S3 Totals!$A$2:$O$255""),11,FALSE)"),0.0)</f>
        <v>0</v>
      </c>
      <c r="O145" s="110">
        <f t="shared" si="3"/>
        <v>0.01369863014</v>
      </c>
      <c r="P145" s="16" t="str">
        <f>IFERROR(__xludf.DUMMYFUNCTION("VLOOKUP(A145,IMPORTRANGE(""1QZ5UxyNCwadreQAXnQ7oCoH982DjIA-QnZdO7ZoqkC0/edit#gid=884617569"",""S3 Totals!$A$2:$O$255""),13,FALSE)"),"")</f>
        <v/>
      </c>
      <c r="Q145" s="15" t="str">
        <f>IFERROR(__xludf.DUMMYFUNCTION("VLOOKUP(A145,IMPORTRANGE(""1QZ5UxyNCwadreQAXnQ7oCoH982DjIA-QnZdO7ZoqkC0/edit#gid=884617569"",""S3 Totals!$A$2:$O$255""),14,FALSE)"),"")</f>
        <v/>
      </c>
      <c r="R145" s="110">
        <f t="shared" si="4"/>
        <v>0.01369863014</v>
      </c>
      <c r="S145" s="144"/>
    </row>
    <row r="146">
      <c r="A146" s="128" t="s">
        <v>21</v>
      </c>
      <c r="B146" s="16">
        <f>IFERROR(__xludf.DUMMYFUNCTION("VLOOKUP(A146,IMPORTRANGE(""1aFCnJY1qhIj8-JckJhDJ18aqmVo17tofpQmOjcYa3u8/edit#gid=1878241338"",""S3 Totals!$A$2:$O$255""),2,FALSE)"),29.0)</f>
        <v>29</v>
      </c>
      <c r="C146" s="15">
        <f>IFERROR(__xludf.DUMMYFUNCTION("VLOOKUP(A146,IMPORTRANGE(""1aFCnJY1qhIj8-JckJhDJ18aqmVo17tofpQmOjcYa3u8/edit#gid=1878241338"",""S3 Totals!$A$2:$O$255""),3,FALSE)"),0.3972602739726027)</f>
        <v>0.397260274</v>
      </c>
      <c r="D146" s="16">
        <f>IFERROR(__xludf.DUMMYFUNCTION("VLOOKUP(A146,IMPORTRANGE(""1QZ5UxyNCwadreQAXnQ7oCoH982DjIA-QnZdO7ZoqkC0/edit#gid=884617569"",""S3 Totals!$A$2:$O$255""),2,FALSE)"),40.0)</f>
        <v>40</v>
      </c>
      <c r="E146" s="15">
        <f>IFERROR(__xludf.DUMMYFUNCTION("VLOOKUP(A146,IMPORTRANGE(""1QZ5UxyNCwadreQAXnQ7oCoH982DjIA-QnZdO7ZoqkC0/edit#gid=884617569"",""S3 Totals!$A$2:$O$255""),3,FALSE)"),0.5405405405405406)</f>
        <v>0.5405405405</v>
      </c>
      <c r="F146" s="15">
        <f t="shared" si="1"/>
        <v>-0.1432802666</v>
      </c>
      <c r="G146" s="16">
        <f>IFERROR(__xludf.DUMMYFUNCTION("VLOOKUP(A146,IMPORTRANGE(""1QZ5UxyNCwadreQAXnQ7oCoH982DjIA-QnZdO7ZoqkC0/edit#gid=884617569"",""S3 Totals!$A$2:$O$255""),4,FALSE)"),42.0)</f>
        <v>42</v>
      </c>
      <c r="H146" s="15">
        <f>IFERROR(__xludf.DUMMYFUNCTION("VLOOKUP(A146,IMPORTRANGE(""1QZ5UxyNCwadreQAXnQ7oCoH982DjIA-QnZdO7ZoqkC0/edit#gid=884617569"",""S3 Totals!$A$2:$O$255""),5,FALSE)"),0.5316455696202531)</f>
        <v>0.5316455696</v>
      </c>
      <c r="I146" s="143">
        <f t="shared" si="2"/>
        <v>-0.1343852956</v>
      </c>
      <c r="J146" s="16">
        <f>IFERROR(__xludf.DUMMYFUNCTION("VLOOKUP(A146,IMPORTRANGE(""1QZ5UxyNCwadreQAXnQ7oCoH982DjIA-QnZdO7ZoqkC0/edit#gid=884617569"",""S3 Totals!$A$2:$O$255""),7,FALSE)"),41.0)</f>
        <v>41</v>
      </c>
      <c r="K146" s="15">
        <f>IFERROR(__xludf.DUMMYFUNCTION("VLOOKUP(A146,IMPORTRANGE(""1QZ5UxyNCwadreQAXnQ7oCoH982DjIA-QnZdO7ZoqkC0/edit#gid=884617569"",""S3 Totals!$A$2:$O$255""),8,FALSE)"),0.4823529411764706)</f>
        <v>0.4823529412</v>
      </c>
      <c r="L146" s="110">
        <f t="shared" si="5"/>
        <v>0.05818759936</v>
      </c>
      <c r="M146" s="16">
        <f>IFERROR(__xludf.DUMMYFUNCTION("VLOOKUP(A146,IMPORTRANGE(""1QZ5UxyNCwadreQAXnQ7oCoH982DjIA-QnZdO7ZoqkC0/edit#gid=884617569"",""S3 Totals!$A$2:$O$255""),10,FALSE)"),23.0)</f>
        <v>23</v>
      </c>
      <c r="N146" s="15">
        <f>IFERROR(__xludf.DUMMYFUNCTION("VLOOKUP(A146,IMPORTRANGE(""1QZ5UxyNCwadreQAXnQ7oCoH982DjIA-QnZdO7ZoqkC0/edit#gid=884617569"",""S3 Totals!$A$2:$O$255""),11,FALSE)"),0.27058823529411763)</f>
        <v>0.2705882353</v>
      </c>
      <c r="O146" s="110">
        <f t="shared" si="3"/>
        <v>0.1266720387</v>
      </c>
      <c r="P146" s="16">
        <f>IFERROR(__xludf.DUMMYFUNCTION("VLOOKUP(A146,IMPORTRANGE(""1QZ5UxyNCwadreQAXnQ7oCoH982DjIA-QnZdO7ZoqkC0/edit#gid=884617569"",""S3 Totals!$A$2:$O$255""),13,FALSE)"),19.0)</f>
        <v>19</v>
      </c>
      <c r="Q146" s="15">
        <f>IFERROR(__xludf.DUMMYFUNCTION("VLOOKUP(A146,IMPORTRANGE(""1QZ5UxyNCwadreQAXnQ7oCoH982DjIA-QnZdO7ZoqkC0/edit#gid=884617569"",""S3 Totals!$A$2:$O$255""),14,FALSE)"),0.2235294117647059)</f>
        <v>0.2235294118</v>
      </c>
      <c r="R146" s="110">
        <f t="shared" si="4"/>
        <v>0.1737308622</v>
      </c>
      <c r="S146" s="144"/>
    </row>
    <row r="147">
      <c r="A147" s="128" t="s">
        <v>183</v>
      </c>
      <c r="B147" s="16">
        <f>IFERROR(__xludf.DUMMYFUNCTION("VLOOKUP(A147,IMPORTRANGE(""1aFCnJY1qhIj8-JckJhDJ18aqmVo17tofpQmOjcYa3u8/edit#gid=1878241338"",""S3 Totals!$A$2:$O$255""),2,FALSE)"),0.0)</f>
        <v>0</v>
      </c>
      <c r="C147" s="15">
        <f>IFERROR(__xludf.DUMMYFUNCTION("VLOOKUP(A147,IMPORTRANGE(""1aFCnJY1qhIj8-JckJhDJ18aqmVo17tofpQmOjcYa3u8/edit#gid=1878241338"",""S3 Totals!$A$2:$O$255""),3,FALSE)"),0.0)</f>
        <v>0</v>
      </c>
      <c r="D147" s="16">
        <f>IFERROR(__xludf.DUMMYFUNCTION("VLOOKUP(A147,IMPORTRANGE(""1QZ5UxyNCwadreQAXnQ7oCoH982DjIA-QnZdO7ZoqkC0/edit#gid=884617569"",""S3 Totals!$A$2:$O$255""),2,FALSE)"),0.0)</f>
        <v>0</v>
      </c>
      <c r="E147" s="15">
        <f>IFERROR(__xludf.DUMMYFUNCTION("VLOOKUP(A147,IMPORTRANGE(""1QZ5UxyNCwadreQAXnQ7oCoH982DjIA-QnZdO7ZoqkC0/edit#gid=884617569"",""S3 Totals!$A$2:$O$255""),3,FALSE)"),0.0)</f>
        <v>0</v>
      </c>
      <c r="F147" s="15">
        <f t="shared" si="1"/>
        <v>0</v>
      </c>
      <c r="G147" s="16">
        <f>IFERROR(__xludf.DUMMYFUNCTION("VLOOKUP(A147,IMPORTRANGE(""1QZ5UxyNCwadreQAXnQ7oCoH982DjIA-QnZdO7ZoqkC0/edit#gid=884617569"",""S3 Totals!$A$2:$O$255""),4,FALSE)"),0.0)</f>
        <v>0</v>
      </c>
      <c r="H147" s="15">
        <f>IFERROR(__xludf.DUMMYFUNCTION("VLOOKUP(A147,IMPORTRANGE(""1QZ5UxyNCwadreQAXnQ7oCoH982DjIA-QnZdO7ZoqkC0/edit#gid=884617569"",""S3 Totals!$A$2:$O$255""),5,FALSE)"),0.0)</f>
        <v>0</v>
      </c>
      <c r="I147" s="143">
        <f t="shared" si="2"/>
        <v>0</v>
      </c>
      <c r="J147" s="16">
        <f>IFERROR(__xludf.DUMMYFUNCTION("VLOOKUP(A147,IMPORTRANGE(""1QZ5UxyNCwadreQAXnQ7oCoH982DjIA-QnZdO7ZoqkC0/edit#gid=884617569"",""S3 Totals!$A$2:$O$255""),7,FALSE)"),0.0)</f>
        <v>0</v>
      </c>
      <c r="K147" s="15">
        <f>IFERROR(__xludf.DUMMYFUNCTION("VLOOKUP(A147,IMPORTRANGE(""1QZ5UxyNCwadreQAXnQ7oCoH982DjIA-QnZdO7ZoqkC0/edit#gid=884617569"",""S3 Totals!$A$2:$O$255""),8,FALSE)"),0.0)</f>
        <v>0</v>
      </c>
      <c r="L147" s="110">
        <f t="shared" si="5"/>
        <v>0</v>
      </c>
      <c r="M147" s="16" t="str">
        <f>IFERROR(__xludf.DUMMYFUNCTION("VLOOKUP(A147,IMPORTRANGE(""1QZ5UxyNCwadreQAXnQ7oCoH982DjIA-QnZdO7ZoqkC0/edit#gid=884617569"",""S3 Totals!$A$2:$O$255""),10,FALSE)"),"")</f>
        <v/>
      </c>
      <c r="N147" s="15" t="str">
        <f>IFERROR(__xludf.DUMMYFUNCTION("VLOOKUP(A147,IMPORTRANGE(""1QZ5UxyNCwadreQAXnQ7oCoH982DjIA-QnZdO7ZoqkC0/edit#gid=884617569"",""S3 Totals!$A$2:$O$255""),11,FALSE)"),"")</f>
        <v/>
      </c>
      <c r="O147" s="110">
        <f t="shared" si="3"/>
        <v>0</v>
      </c>
      <c r="P147" s="16" t="str">
        <f>IFERROR(__xludf.DUMMYFUNCTION("VLOOKUP(A147,IMPORTRANGE(""1QZ5UxyNCwadreQAXnQ7oCoH982DjIA-QnZdO7ZoqkC0/edit#gid=884617569"",""S3 Totals!$A$2:$O$255""),13,FALSE)"),"")</f>
        <v/>
      </c>
      <c r="Q147" s="15" t="str">
        <f>IFERROR(__xludf.DUMMYFUNCTION("VLOOKUP(A147,IMPORTRANGE(""1QZ5UxyNCwadreQAXnQ7oCoH982DjIA-QnZdO7ZoqkC0/edit#gid=884617569"",""S3 Totals!$A$2:$O$255""),14,FALSE)"),"")</f>
        <v/>
      </c>
      <c r="R147" s="110">
        <f t="shared" si="4"/>
        <v>0</v>
      </c>
      <c r="S147" s="144"/>
    </row>
    <row r="148">
      <c r="A148" s="128" t="s">
        <v>72</v>
      </c>
      <c r="B148" s="16">
        <f>IFERROR(__xludf.DUMMYFUNCTION("VLOOKUP(A148,IMPORTRANGE(""1aFCnJY1qhIj8-JckJhDJ18aqmVo17tofpQmOjcYa3u8/edit#gid=1878241338"",""S3 Totals!$A$2:$O$255""),2,FALSE)"),1.0)</f>
        <v>1</v>
      </c>
      <c r="C148" s="15">
        <f>IFERROR(__xludf.DUMMYFUNCTION("VLOOKUP(A148,IMPORTRANGE(""1aFCnJY1qhIj8-JckJhDJ18aqmVo17tofpQmOjcYa3u8/edit#gid=1878241338"",""S3 Totals!$A$2:$O$255""),3,FALSE)"),0.0136986301369863)</f>
        <v>0.01369863014</v>
      </c>
      <c r="D148" s="16">
        <f>IFERROR(__xludf.DUMMYFUNCTION("VLOOKUP(A148,IMPORTRANGE(""1QZ5UxyNCwadreQAXnQ7oCoH982DjIA-QnZdO7ZoqkC0/edit#gid=884617569"",""S3 Totals!$A$2:$O$255""),2,FALSE)"),1.0)</f>
        <v>1</v>
      </c>
      <c r="E148" s="15">
        <f>IFERROR(__xludf.DUMMYFUNCTION("VLOOKUP(A148,IMPORTRANGE(""1QZ5UxyNCwadreQAXnQ7oCoH982DjIA-QnZdO7ZoqkC0/edit#gid=884617569"",""S3 Totals!$A$2:$O$255""),3,FALSE)"),0.013513513513513514)</f>
        <v>0.01351351351</v>
      </c>
      <c r="F148" s="15">
        <f t="shared" si="1"/>
        <v>0.0001851166235</v>
      </c>
      <c r="G148" s="16">
        <f>IFERROR(__xludf.DUMMYFUNCTION("VLOOKUP(A148,IMPORTRANGE(""1QZ5UxyNCwadreQAXnQ7oCoH982DjIA-QnZdO7ZoqkC0/edit#gid=884617569"",""S3 Totals!$A$2:$O$255""),4,FALSE)"),15.0)</f>
        <v>15</v>
      </c>
      <c r="H148" s="15">
        <f>IFERROR(__xludf.DUMMYFUNCTION("VLOOKUP(A148,IMPORTRANGE(""1QZ5UxyNCwadreQAXnQ7oCoH982DjIA-QnZdO7ZoqkC0/edit#gid=884617569"",""S3 Totals!$A$2:$O$255""),5,FALSE)"),0.189873417721519)</f>
        <v>0.1898734177</v>
      </c>
      <c r="I148" s="143">
        <f t="shared" si="2"/>
        <v>-0.1761747876</v>
      </c>
      <c r="J148" s="16">
        <f>IFERROR(__xludf.DUMMYFUNCTION("VLOOKUP(A148,IMPORTRANGE(""1QZ5UxyNCwadreQAXnQ7oCoH982DjIA-QnZdO7ZoqkC0/edit#gid=884617569"",""S3 Totals!$A$2:$O$255""),7,FALSE)"),16.0)</f>
        <v>16</v>
      </c>
      <c r="K148" s="15">
        <f>IFERROR(__xludf.DUMMYFUNCTION("VLOOKUP(A148,IMPORTRANGE(""1QZ5UxyNCwadreQAXnQ7oCoH982DjIA-QnZdO7ZoqkC0/edit#gid=884617569"",""S3 Totals!$A$2:$O$255""),8,FALSE)"),0.18823529411764706)</f>
        <v>0.1882352941</v>
      </c>
      <c r="L148" s="110">
        <f t="shared" si="5"/>
        <v>-0.1747217806</v>
      </c>
      <c r="M148" s="16">
        <f>IFERROR(__xludf.DUMMYFUNCTION("VLOOKUP(A148,IMPORTRANGE(""1QZ5UxyNCwadreQAXnQ7oCoH982DjIA-QnZdO7ZoqkC0/edit#gid=884617569"",""S3 Totals!$A$2:$O$255""),10,FALSE)"),11.0)</f>
        <v>11</v>
      </c>
      <c r="N148" s="15">
        <f>IFERROR(__xludf.DUMMYFUNCTION("VLOOKUP(A148,IMPORTRANGE(""1QZ5UxyNCwadreQAXnQ7oCoH982DjIA-QnZdO7ZoqkC0/edit#gid=884617569"",""S3 Totals!$A$2:$O$255""),11,FALSE)"),0.12941176470588237)</f>
        <v>0.1294117647</v>
      </c>
      <c r="O148" s="110">
        <f t="shared" si="3"/>
        <v>-0.1157131346</v>
      </c>
      <c r="P148" s="16">
        <f>IFERROR(__xludf.DUMMYFUNCTION("VLOOKUP(A148,IMPORTRANGE(""1QZ5UxyNCwadreQAXnQ7oCoH982DjIA-QnZdO7ZoqkC0/edit#gid=884617569"",""S3 Totals!$A$2:$O$255""),13,FALSE)"),10.0)</f>
        <v>10</v>
      </c>
      <c r="Q148" s="15">
        <f>IFERROR(__xludf.DUMMYFUNCTION("VLOOKUP(A148,IMPORTRANGE(""1QZ5UxyNCwadreQAXnQ7oCoH982DjIA-QnZdO7ZoqkC0/edit#gid=884617569"",""S3 Totals!$A$2:$O$255""),14,FALSE)"),0.11764705882352941)</f>
        <v>0.1176470588</v>
      </c>
      <c r="R148" s="110">
        <f t="shared" si="4"/>
        <v>-0.1039484287</v>
      </c>
      <c r="S148" s="144"/>
    </row>
    <row r="149">
      <c r="A149" s="128" t="s">
        <v>73</v>
      </c>
      <c r="B149" s="16">
        <f>IFERROR(__xludf.DUMMYFUNCTION("VLOOKUP(A149,IMPORTRANGE(""1aFCnJY1qhIj8-JckJhDJ18aqmVo17tofpQmOjcYa3u8/edit#gid=1878241338"",""S3 Totals!$A$2:$O$255""),2,FALSE)"),25.0)</f>
        <v>25</v>
      </c>
      <c r="C149" s="15">
        <f>IFERROR(__xludf.DUMMYFUNCTION("VLOOKUP(A149,IMPORTRANGE(""1aFCnJY1qhIj8-JckJhDJ18aqmVo17tofpQmOjcYa3u8/edit#gid=1878241338"",""S3 Totals!$A$2:$O$255""),3,FALSE)"),0.3424657534246575)</f>
        <v>0.3424657534</v>
      </c>
      <c r="D149" s="16">
        <f>IFERROR(__xludf.DUMMYFUNCTION("VLOOKUP(A149,IMPORTRANGE(""1QZ5UxyNCwadreQAXnQ7oCoH982DjIA-QnZdO7ZoqkC0/edit#gid=884617569"",""S3 Totals!$A$2:$O$255""),2,FALSE)"),13.0)</f>
        <v>13</v>
      </c>
      <c r="E149" s="15">
        <f>IFERROR(__xludf.DUMMYFUNCTION("VLOOKUP(A149,IMPORTRANGE(""1QZ5UxyNCwadreQAXnQ7oCoH982DjIA-QnZdO7ZoqkC0/edit#gid=884617569"",""S3 Totals!$A$2:$O$255""),3,FALSE)"),0.17567567567567569)</f>
        <v>0.1756756757</v>
      </c>
      <c r="F149" s="15">
        <f t="shared" si="1"/>
        <v>0.1667900777</v>
      </c>
      <c r="G149" s="16">
        <f>IFERROR(__xludf.DUMMYFUNCTION("VLOOKUP(A149,IMPORTRANGE(""1QZ5UxyNCwadreQAXnQ7oCoH982DjIA-QnZdO7ZoqkC0/edit#gid=884617569"",""S3 Totals!$A$2:$O$255""),4,FALSE)"),13.0)</f>
        <v>13</v>
      </c>
      <c r="H149" s="15">
        <f>IFERROR(__xludf.DUMMYFUNCTION("VLOOKUP(A149,IMPORTRANGE(""1QZ5UxyNCwadreQAXnQ7oCoH982DjIA-QnZdO7ZoqkC0/edit#gid=884617569"",""S3 Totals!$A$2:$O$255""),5,FALSE)"),0.16455696202531644)</f>
        <v>0.164556962</v>
      </c>
      <c r="I149" s="143">
        <f t="shared" si="2"/>
        <v>0.1779087914</v>
      </c>
      <c r="J149" s="16">
        <f>IFERROR(__xludf.DUMMYFUNCTION("VLOOKUP(A149,IMPORTRANGE(""1QZ5UxyNCwadreQAXnQ7oCoH982DjIA-QnZdO7ZoqkC0/edit#gid=884617569"",""S3 Totals!$A$2:$O$255""),7,FALSE)"),9.0)</f>
        <v>9</v>
      </c>
      <c r="K149" s="15">
        <f>IFERROR(__xludf.DUMMYFUNCTION("VLOOKUP(A149,IMPORTRANGE(""1QZ5UxyNCwadreQAXnQ7oCoH982DjIA-QnZdO7ZoqkC0/edit#gid=884617569"",""S3 Totals!$A$2:$O$255""),8,FALSE)"),0.10588235294117647)</f>
        <v>0.1058823529</v>
      </c>
      <c r="L149" s="110">
        <f t="shared" si="5"/>
        <v>0.06979332273</v>
      </c>
      <c r="M149" s="16">
        <f>IFERROR(__xludf.DUMMYFUNCTION("VLOOKUP(A149,IMPORTRANGE(""1QZ5UxyNCwadreQAXnQ7oCoH982DjIA-QnZdO7ZoqkC0/edit#gid=884617569"",""S3 Totals!$A$2:$O$255""),10,FALSE)"),0.0)</f>
        <v>0</v>
      </c>
      <c r="N149" s="15">
        <f>IFERROR(__xludf.DUMMYFUNCTION("VLOOKUP(A149,IMPORTRANGE(""1QZ5UxyNCwadreQAXnQ7oCoH982DjIA-QnZdO7ZoqkC0/edit#gid=884617569"",""S3 Totals!$A$2:$O$255""),11,FALSE)"),0.0)</f>
        <v>0</v>
      </c>
      <c r="O149" s="110">
        <f t="shared" si="3"/>
        <v>0.3424657534</v>
      </c>
      <c r="P149" s="16">
        <f>IFERROR(__xludf.DUMMYFUNCTION("VLOOKUP(A149,IMPORTRANGE(""1QZ5UxyNCwadreQAXnQ7oCoH982DjIA-QnZdO7ZoqkC0/edit#gid=884617569"",""S3 Totals!$A$2:$O$255""),13,FALSE)"),0.0)</f>
        <v>0</v>
      </c>
      <c r="Q149" s="15">
        <f>IFERROR(__xludf.DUMMYFUNCTION("VLOOKUP(A149,IMPORTRANGE(""1QZ5UxyNCwadreQAXnQ7oCoH982DjIA-QnZdO7ZoqkC0/edit#gid=884617569"",""S3 Totals!$A$2:$O$255""),14,FALSE)"),0.0)</f>
        <v>0</v>
      </c>
      <c r="R149" s="110">
        <f t="shared" si="4"/>
        <v>0.3424657534</v>
      </c>
      <c r="S149" s="144"/>
    </row>
    <row r="150">
      <c r="A150" s="134" t="s">
        <v>276</v>
      </c>
      <c r="B150" s="16" t="str">
        <f>IFERROR(__xludf.DUMMYFUNCTION("VLOOKUP(A150,IMPORTRANGE(""1aFCnJY1qhIj8-JckJhDJ18aqmVo17tofpQmOjcYa3u8/edit#gid=1878241338"",""S3 Totals!$A$2:$O$255""),2,FALSE)"),"#N/A")</f>
        <v>#N/A</v>
      </c>
      <c r="C150" s="15" t="str">
        <f>IFERROR(__xludf.DUMMYFUNCTION("VLOOKUP(A150,IMPORTRANGE(""1aFCnJY1qhIj8-JckJhDJ18aqmVo17tofpQmOjcYa3u8/edit#gid=1878241338"",""S3 Totals!$A$2:$O$255""),3,FALSE)"),"#N/A")</f>
        <v>#N/A</v>
      </c>
      <c r="D150" s="16" t="str">
        <f>IFERROR(__xludf.DUMMYFUNCTION("VLOOKUP(A150,IMPORTRANGE(""1QZ5UxyNCwadreQAXnQ7oCoH982DjIA-QnZdO7ZoqkC0/edit#gid=884617569"",""S3 Totals!$A$2:$O$255""),2,FALSE)"),"#N/A")</f>
        <v>#N/A</v>
      </c>
      <c r="E150" s="15" t="str">
        <f>IFERROR(__xludf.DUMMYFUNCTION("VLOOKUP(A150,IMPORTRANGE(""1QZ5UxyNCwadreQAXnQ7oCoH982DjIA-QnZdO7ZoqkC0/edit#gid=884617569"",""S3 Totals!$A$2:$O$255""),3,FALSE)"),"#N/A")</f>
        <v>#N/A</v>
      </c>
      <c r="F150" s="16" t="str">
        <f t="shared" si="1"/>
        <v>#N/A</v>
      </c>
      <c r="G150" s="16" t="str">
        <f>IFERROR(__xludf.DUMMYFUNCTION("VLOOKUP(A150,IMPORTRANGE(""1QZ5UxyNCwadreQAXnQ7oCoH982DjIA-QnZdO7ZoqkC0/edit#gid=884617569"",""S3 Totals!$A$2:$O$255""),4,FALSE)"),"#N/A")</f>
        <v>#N/A</v>
      </c>
      <c r="H150" s="15" t="str">
        <f>IFERROR(__xludf.DUMMYFUNCTION("VLOOKUP(A150,IMPORTRANGE(""1QZ5UxyNCwadreQAXnQ7oCoH982DjIA-QnZdO7ZoqkC0/edit#gid=884617569"",""S3 Totals!$A$2:$O$255""),5,FALSE)"),"#N/A")</f>
        <v>#N/A</v>
      </c>
      <c r="I150" s="143" t="str">
        <f t="shared" si="2"/>
        <v>#N/A</v>
      </c>
      <c r="J150" s="16" t="str">
        <f>IFERROR(__xludf.DUMMYFUNCTION("VLOOKUP(A150,IMPORTRANGE(""1QZ5UxyNCwadreQAXnQ7oCoH982DjIA-QnZdO7ZoqkC0/edit#gid=884617569"",""S3 Totals!$A$2:$O$255""),7,FALSE)"),"#N/A")</f>
        <v>#N/A</v>
      </c>
      <c r="K150" s="15" t="str">
        <f>IFERROR(__xludf.DUMMYFUNCTION("VLOOKUP(A150,IMPORTRANGE(""1QZ5UxyNCwadreQAXnQ7oCoH982DjIA-QnZdO7ZoqkC0/edit#gid=884617569"",""S3 Totals!$A$2:$O$255""),8,FALSE)"),"#N/A")</f>
        <v>#N/A</v>
      </c>
      <c r="L150" s="110" t="str">
        <f t="shared" si="5"/>
        <v>#N/A</v>
      </c>
      <c r="M150" s="16" t="str">
        <f>IFERROR(__xludf.DUMMYFUNCTION("VLOOKUP(A150,IMPORTRANGE(""1QZ5UxyNCwadreQAXnQ7oCoH982DjIA-QnZdO7ZoqkC0/edit#gid=884617569"",""S3 Totals!$A$2:$O$255""),10,FALSE)"),"#N/A")</f>
        <v>#N/A</v>
      </c>
      <c r="N150" s="15" t="str">
        <f>IFERROR(__xludf.DUMMYFUNCTION("VLOOKUP(A150,IMPORTRANGE(""1QZ5UxyNCwadreQAXnQ7oCoH982DjIA-QnZdO7ZoqkC0/edit#gid=884617569"",""S3 Totals!$A$2:$O$255""),11,FALSE)"),"#N/A")</f>
        <v>#N/A</v>
      </c>
      <c r="O150" s="110" t="str">
        <f t="shared" si="3"/>
        <v>#N/A</v>
      </c>
      <c r="P150" s="16" t="str">
        <f>IFERROR(__xludf.DUMMYFUNCTION("VLOOKUP(A150,IMPORTRANGE(""1QZ5UxyNCwadreQAXnQ7oCoH982DjIA-QnZdO7ZoqkC0/edit#gid=884617569"",""S3 Totals!$A$2:$O$255""),13,FALSE)"),"#N/A")</f>
        <v>#N/A</v>
      </c>
      <c r="Q150" s="15" t="str">
        <f>IFERROR(__xludf.DUMMYFUNCTION("VLOOKUP(A150,IMPORTRANGE(""1QZ5UxyNCwadreQAXnQ7oCoH982DjIA-QnZdO7ZoqkC0/edit#gid=884617569"",""S3 Totals!$A$2:$O$255""),14,FALSE)"),"#N/A")</f>
        <v>#N/A</v>
      </c>
      <c r="R150" s="110" t="str">
        <f t="shared" si="4"/>
        <v>#N/A</v>
      </c>
      <c r="S150" s="144"/>
    </row>
    <row r="151">
      <c r="A151" s="128" t="s">
        <v>139</v>
      </c>
      <c r="B151" s="16">
        <f>IFERROR(__xludf.DUMMYFUNCTION("VLOOKUP(A151,IMPORTRANGE(""1aFCnJY1qhIj8-JckJhDJ18aqmVo17tofpQmOjcYa3u8/edit#gid=1878241338"",""S3 Totals!$A$2:$O$255""),2,FALSE)"),0.0)</f>
        <v>0</v>
      </c>
      <c r="C151" s="15">
        <f>IFERROR(__xludf.DUMMYFUNCTION("VLOOKUP(A151,IMPORTRANGE(""1aFCnJY1qhIj8-JckJhDJ18aqmVo17tofpQmOjcYa3u8/edit#gid=1878241338"",""S3 Totals!$A$2:$O$255""),3,FALSE)"),0.0)</f>
        <v>0</v>
      </c>
      <c r="D151" s="16">
        <f>IFERROR(__xludf.DUMMYFUNCTION("VLOOKUP(A151,IMPORTRANGE(""1QZ5UxyNCwadreQAXnQ7oCoH982DjIA-QnZdO7ZoqkC0/edit#gid=884617569"",""S3 Totals!$A$2:$O$255""),2,FALSE)"),0.0)</f>
        <v>0</v>
      </c>
      <c r="E151" s="15">
        <f>IFERROR(__xludf.DUMMYFUNCTION("VLOOKUP(A151,IMPORTRANGE(""1QZ5UxyNCwadreQAXnQ7oCoH982DjIA-QnZdO7ZoqkC0/edit#gid=884617569"",""S3 Totals!$A$2:$O$255""),3,FALSE)"),0.0)</f>
        <v>0</v>
      </c>
      <c r="F151" s="15">
        <f t="shared" si="1"/>
        <v>0</v>
      </c>
      <c r="G151" s="16">
        <f>IFERROR(__xludf.DUMMYFUNCTION("VLOOKUP(A151,IMPORTRANGE(""1QZ5UxyNCwadreQAXnQ7oCoH982DjIA-QnZdO7ZoqkC0/edit#gid=884617569"",""S3 Totals!$A$2:$O$255""),4,FALSE)"),0.0)</f>
        <v>0</v>
      </c>
      <c r="H151" s="15">
        <f>IFERROR(__xludf.DUMMYFUNCTION("VLOOKUP(A151,IMPORTRANGE(""1QZ5UxyNCwadreQAXnQ7oCoH982DjIA-QnZdO7ZoqkC0/edit#gid=884617569"",""S3 Totals!$A$2:$O$255""),5,FALSE)"),0.0)</f>
        <v>0</v>
      </c>
      <c r="I151" s="143">
        <f t="shared" si="2"/>
        <v>0</v>
      </c>
      <c r="J151" s="16">
        <f>IFERROR(__xludf.DUMMYFUNCTION("VLOOKUP(A151,IMPORTRANGE(""1QZ5UxyNCwadreQAXnQ7oCoH982DjIA-QnZdO7ZoqkC0/edit#gid=884617569"",""S3 Totals!$A$2:$O$255""),7,FALSE)"),0.0)</f>
        <v>0</v>
      </c>
      <c r="K151" s="15">
        <f>IFERROR(__xludf.DUMMYFUNCTION("VLOOKUP(A151,IMPORTRANGE(""1QZ5UxyNCwadreQAXnQ7oCoH982DjIA-QnZdO7ZoqkC0/edit#gid=884617569"",""S3 Totals!$A$2:$O$255""),8,FALSE)"),0.0)</f>
        <v>0</v>
      </c>
      <c r="L151" s="110">
        <f t="shared" si="5"/>
        <v>0</v>
      </c>
      <c r="M151" s="16">
        <f>IFERROR(__xludf.DUMMYFUNCTION("VLOOKUP(A151,IMPORTRANGE(""1QZ5UxyNCwadreQAXnQ7oCoH982DjIA-QnZdO7ZoqkC0/edit#gid=884617569"",""S3 Totals!$A$2:$O$255""),10,FALSE)"),0.0)</f>
        <v>0</v>
      </c>
      <c r="N151" s="15">
        <f>IFERROR(__xludf.DUMMYFUNCTION("VLOOKUP(A151,IMPORTRANGE(""1QZ5UxyNCwadreQAXnQ7oCoH982DjIA-QnZdO7ZoqkC0/edit#gid=884617569"",""S3 Totals!$A$2:$O$255""),11,FALSE)"),0.0)</f>
        <v>0</v>
      </c>
      <c r="O151" s="110">
        <f t="shared" si="3"/>
        <v>0</v>
      </c>
      <c r="P151" s="16" t="str">
        <f>IFERROR(__xludf.DUMMYFUNCTION("VLOOKUP(A151,IMPORTRANGE(""1QZ5UxyNCwadreQAXnQ7oCoH982DjIA-QnZdO7ZoqkC0/edit#gid=884617569"",""S3 Totals!$A$2:$O$255""),13,FALSE)"),"")</f>
        <v/>
      </c>
      <c r="Q151" s="15" t="str">
        <f>IFERROR(__xludf.DUMMYFUNCTION("VLOOKUP(A151,IMPORTRANGE(""1QZ5UxyNCwadreQAXnQ7oCoH982DjIA-QnZdO7ZoqkC0/edit#gid=884617569"",""S3 Totals!$A$2:$O$255""),14,FALSE)"),"")</f>
        <v/>
      </c>
      <c r="R151" s="110">
        <f t="shared" si="4"/>
        <v>0</v>
      </c>
      <c r="S151" s="144"/>
    </row>
    <row r="152">
      <c r="A152" s="128" t="s">
        <v>184</v>
      </c>
      <c r="B152" s="16">
        <f>IFERROR(__xludf.DUMMYFUNCTION("VLOOKUP(A152,IMPORTRANGE(""1aFCnJY1qhIj8-JckJhDJ18aqmVo17tofpQmOjcYa3u8/edit#gid=1878241338"",""S3 Totals!$A$2:$O$255""),2,FALSE)"),1.0)</f>
        <v>1</v>
      </c>
      <c r="C152" s="15">
        <f>IFERROR(__xludf.DUMMYFUNCTION("VLOOKUP(A152,IMPORTRANGE(""1aFCnJY1qhIj8-JckJhDJ18aqmVo17tofpQmOjcYa3u8/edit#gid=1878241338"",""S3 Totals!$A$2:$O$255""),3,FALSE)"),0.0136986301369863)</f>
        <v>0.01369863014</v>
      </c>
      <c r="D152" s="16">
        <f>IFERROR(__xludf.DUMMYFUNCTION("VLOOKUP(A152,IMPORTRANGE(""1QZ5UxyNCwadreQAXnQ7oCoH982DjIA-QnZdO7ZoqkC0/edit#gid=884617569"",""S3 Totals!$A$2:$O$255""),2,FALSE)"),1.0)</f>
        <v>1</v>
      </c>
      <c r="E152" s="15">
        <f>IFERROR(__xludf.DUMMYFUNCTION("VLOOKUP(A152,IMPORTRANGE(""1QZ5UxyNCwadreQAXnQ7oCoH982DjIA-QnZdO7ZoqkC0/edit#gid=884617569"",""S3 Totals!$A$2:$O$255""),3,FALSE)"),0.013513513513513514)</f>
        <v>0.01351351351</v>
      </c>
      <c r="F152" s="15">
        <f t="shared" si="1"/>
        <v>0.0001851166235</v>
      </c>
      <c r="G152" s="16">
        <f>IFERROR(__xludf.DUMMYFUNCTION("VLOOKUP(A152,IMPORTRANGE(""1QZ5UxyNCwadreQAXnQ7oCoH982DjIA-QnZdO7ZoqkC0/edit#gid=884617569"",""S3 Totals!$A$2:$O$255""),4,FALSE)"),1.0)</f>
        <v>1</v>
      </c>
      <c r="H152" s="15">
        <f>IFERROR(__xludf.DUMMYFUNCTION("VLOOKUP(A152,IMPORTRANGE(""1QZ5UxyNCwadreQAXnQ7oCoH982DjIA-QnZdO7ZoqkC0/edit#gid=884617569"",""S3 Totals!$A$2:$O$255""),5,FALSE)"),0.012658227848101266)</f>
        <v>0.01265822785</v>
      </c>
      <c r="I152" s="143">
        <f t="shared" si="2"/>
        <v>0.001040402289</v>
      </c>
      <c r="J152" s="16">
        <f>IFERROR(__xludf.DUMMYFUNCTION("VLOOKUP(A152,IMPORTRANGE(""1QZ5UxyNCwadreQAXnQ7oCoH982DjIA-QnZdO7ZoqkC0/edit#gid=884617569"",""S3 Totals!$A$2:$O$255""),7,FALSE)"),1.0)</f>
        <v>1</v>
      </c>
      <c r="K152" s="15">
        <f>IFERROR(__xludf.DUMMYFUNCTION("VLOOKUP(A152,IMPORTRANGE(""1QZ5UxyNCwadreQAXnQ7oCoH982DjIA-QnZdO7ZoqkC0/edit#gid=884617569"",""S3 Totals!$A$2:$O$255""),8,FALSE)"),0.011764705882352941)</f>
        <v>0.01176470588</v>
      </c>
      <c r="L152" s="110">
        <f t="shared" si="5"/>
        <v>0.001748807631</v>
      </c>
      <c r="M152" s="16" t="str">
        <f>IFERROR(__xludf.DUMMYFUNCTION("VLOOKUP(A152,IMPORTRANGE(""1QZ5UxyNCwadreQAXnQ7oCoH982DjIA-QnZdO7ZoqkC0/edit#gid=884617569"",""S3 Totals!$A$2:$O$255""),10,FALSE)"),"")</f>
        <v/>
      </c>
      <c r="N152" s="15" t="str">
        <f>IFERROR(__xludf.DUMMYFUNCTION("VLOOKUP(A152,IMPORTRANGE(""1QZ5UxyNCwadreQAXnQ7oCoH982DjIA-QnZdO7ZoqkC0/edit#gid=884617569"",""S3 Totals!$A$2:$O$255""),11,FALSE)"),"")</f>
        <v/>
      </c>
      <c r="O152" s="110">
        <f t="shared" si="3"/>
        <v>0.01369863014</v>
      </c>
      <c r="P152" s="16" t="str">
        <f>IFERROR(__xludf.DUMMYFUNCTION("VLOOKUP(A152,IMPORTRANGE(""1QZ5UxyNCwadreQAXnQ7oCoH982DjIA-QnZdO7ZoqkC0/edit#gid=884617569"",""S3 Totals!$A$2:$O$255""),13,FALSE)"),"")</f>
        <v/>
      </c>
      <c r="Q152" s="15" t="str">
        <f>IFERROR(__xludf.DUMMYFUNCTION("VLOOKUP(A152,IMPORTRANGE(""1QZ5UxyNCwadreQAXnQ7oCoH982DjIA-QnZdO7ZoqkC0/edit#gid=884617569"",""S3 Totals!$A$2:$O$255""),14,FALSE)"),"")</f>
        <v/>
      </c>
      <c r="R152" s="110">
        <f t="shared" si="4"/>
        <v>0.01369863014</v>
      </c>
      <c r="S152" s="144"/>
    </row>
    <row r="153">
      <c r="A153" s="128" t="s">
        <v>185</v>
      </c>
      <c r="B153" s="16">
        <f>IFERROR(__xludf.DUMMYFUNCTION("VLOOKUP(A153,IMPORTRANGE(""1aFCnJY1qhIj8-JckJhDJ18aqmVo17tofpQmOjcYa3u8/edit#gid=1878241338"",""S3 Totals!$A$2:$O$255""),2,FALSE)"),0.0)</f>
        <v>0</v>
      </c>
      <c r="C153" s="15">
        <f>IFERROR(__xludf.DUMMYFUNCTION("VLOOKUP(A153,IMPORTRANGE(""1aFCnJY1qhIj8-JckJhDJ18aqmVo17tofpQmOjcYa3u8/edit#gid=1878241338"",""S3 Totals!$A$2:$O$255""),3,FALSE)"),0.0)</f>
        <v>0</v>
      </c>
      <c r="D153" s="16">
        <f>IFERROR(__xludf.DUMMYFUNCTION("VLOOKUP(A153,IMPORTRANGE(""1QZ5UxyNCwadreQAXnQ7oCoH982DjIA-QnZdO7ZoqkC0/edit#gid=884617569"",""S3 Totals!$A$2:$O$255""),2,FALSE)"),0.0)</f>
        <v>0</v>
      </c>
      <c r="E153" s="15">
        <f>IFERROR(__xludf.DUMMYFUNCTION("VLOOKUP(A153,IMPORTRANGE(""1QZ5UxyNCwadreQAXnQ7oCoH982DjIA-QnZdO7ZoqkC0/edit#gid=884617569"",""S3 Totals!$A$2:$O$255""),3,FALSE)"),0.0)</f>
        <v>0</v>
      </c>
      <c r="F153" s="15">
        <f t="shared" si="1"/>
        <v>0</v>
      </c>
      <c r="G153" s="16">
        <f>IFERROR(__xludf.DUMMYFUNCTION("VLOOKUP(A153,IMPORTRANGE(""1QZ5UxyNCwadreQAXnQ7oCoH982DjIA-QnZdO7ZoqkC0/edit#gid=884617569"",""S3 Totals!$A$2:$O$255""),4,FALSE)"),0.0)</f>
        <v>0</v>
      </c>
      <c r="H153" s="15">
        <f>IFERROR(__xludf.DUMMYFUNCTION("VLOOKUP(A153,IMPORTRANGE(""1QZ5UxyNCwadreQAXnQ7oCoH982DjIA-QnZdO7ZoqkC0/edit#gid=884617569"",""S3 Totals!$A$2:$O$255""),5,FALSE)"),0.0)</f>
        <v>0</v>
      </c>
      <c r="I153" s="143">
        <f t="shared" si="2"/>
        <v>0</v>
      </c>
      <c r="J153" s="16">
        <f>IFERROR(__xludf.DUMMYFUNCTION("VLOOKUP(A153,IMPORTRANGE(""1QZ5UxyNCwadreQAXnQ7oCoH982DjIA-QnZdO7ZoqkC0/edit#gid=884617569"",""S3 Totals!$A$2:$O$255""),7,FALSE)"),0.0)</f>
        <v>0</v>
      </c>
      <c r="K153" s="15">
        <f>IFERROR(__xludf.DUMMYFUNCTION("VLOOKUP(A153,IMPORTRANGE(""1QZ5UxyNCwadreQAXnQ7oCoH982DjIA-QnZdO7ZoqkC0/edit#gid=884617569"",""S3 Totals!$A$2:$O$255""),8,FALSE)"),0.0)</f>
        <v>0</v>
      </c>
      <c r="L153" s="110">
        <f t="shared" si="5"/>
        <v>0</v>
      </c>
      <c r="M153" s="16" t="str">
        <f>IFERROR(__xludf.DUMMYFUNCTION("VLOOKUP(A153,IMPORTRANGE(""1QZ5UxyNCwadreQAXnQ7oCoH982DjIA-QnZdO7ZoqkC0/edit#gid=884617569"",""S3 Totals!$A$2:$O$255""),10,FALSE)"),"")</f>
        <v/>
      </c>
      <c r="N153" s="15" t="str">
        <f>IFERROR(__xludf.DUMMYFUNCTION("VLOOKUP(A153,IMPORTRANGE(""1QZ5UxyNCwadreQAXnQ7oCoH982DjIA-QnZdO7ZoqkC0/edit#gid=884617569"",""S3 Totals!$A$2:$O$255""),11,FALSE)"),"")</f>
        <v/>
      </c>
      <c r="O153" s="110">
        <f t="shared" si="3"/>
        <v>0</v>
      </c>
      <c r="P153" s="16" t="str">
        <f>IFERROR(__xludf.DUMMYFUNCTION("VLOOKUP(A153,IMPORTRANGE(""1QZ5UxyNCwadreQAXnQ7oCoH982DjIA-QnZdO7ZoqkC0/edit#gid=884617569"",""S3 Totals!$A$2:$O$255""),13,FALSE)"),"")</f>
        <v/>
      </c>
      <c r="Q153" s="15" t="str">
        <f>IFERROR(__xludf.DUMMYFUNCTION("VLOOKUP(A153,IMPORTRANGE(""1QZ5UxyNCwadreQAXnQ7oCoH982DjIA-QnZdO7ZoqkC0/edit#gid=884617569"",""S3 Totals!$A$2:$O$255""),14,FALSE)"),"")</f>
        <v/>
      </c>
      <c r="R153" s="110">
        <f t="shared" si="4"/>
        <v>0</v>
      </c>
      <c r="S153" s="144"/>
    </row>
    <row r="154">
      <c r="A154" s="128" t="s">
        <v>22</v>
      </c>
      <c r="B154" s="16">
        <f>IFERROR(__xludf.DUMMYFUNCTION("VLOOKUP(A154,IMPORTRANGE(""1aFCnJY1qhIj8-JckJhDJ18aqmVo17tofpQmOjcYa3u8/edit#gid=1878241338"",""S3 Totals!$A$2:$O$255""),2,FALSE)"),0.0)</f>
        <v>0</v>
      </c>
      <c r="C154" s="15">
        <f>IFERROR(__xludf.DUMMYFUNCTION("VLOOKUP(A154,IMPORTRANGE(""1aFCnJY1qhIj8-JckJhDJ18aqmVo17tofpQmOjcYa3u8/edit#gid=1878241338"",""S3 Totals!$A$2:$O$255""),3,FALSE)"),0.0)</f>
        <v>0</v>
      </c>
      <c r="D154" s="16">
        <f>IFERROR(__xludf.DUMMYFUNCTION("VLOOKUP(A154,IMPORTRANGE(""1QZ5UxyNCwadreQAXnQ7oCoH982DjIA-QnZdO7ZoqkC0/edit#gid=884617569"",""S3 Totals!$A$2:$O$255""),2,FALSE)"),0.0)</f>
        <v>0</v>
      </c>
      <c r="E154" s="15">
        <f>IFERROR(__xludf.DUMMYFUNCTION("VLOOKUP(A154,IMPORTRANGE(""1QZ5UxyNCwadreQAXnQ7oCoH982DjIA-QnZdO7ZoqkC0/edit#gid=884617569"",""S3 Totals!$A$2:$O$255""),3,FALSE)"),0.0)</f>
        <v>0</v>
      </c>
      <c r="F154" s="15">
        <f t="shared" si="1"/>
        <v>0</v>
      </c>
      <c r="G154" s="16">
        <f>IFERROR(__xludf.DUMMYFUNCTION("VLOOKUP(A154,IMPORTRANGE(""1QZ5UxyNCwadreQAXnQ7oCoH982DjIA-QnZdO7ZoqkC0/edit#gid=884617569"",""S3 Totals!$A$2:$O$255""),4,FALSE)"),0.0)</f>
        <v>0</v>
      </c>
      <c r="H154" s="15">
        <f>IFERROR(__xludf.DUMMYFUNCTION("VLOOKUP(A154,IMPORTRANGE(""1QZ5UxyNCwadreQAXnQ7oCoH982DjIA-QnZdO7ZoqkC0/edit#gid=884617569"",""S3 Totals!$A$2:$O$255""),5,FALSE)"),0.0)</f>
        <v>0</v>
      </c>
      <c r="I154" s="143">
        <f t="shared" si="2"/>
        <v>0</v>
      </c>
      <c r="J154" s="16">
        <f>IFERROR(__xludf.DUMMYFUNCTION("VLOOKUP(A154,IMPORTRANGE(""1QZ5UxyNCwadreQAXnQ7oCoH982DjIA-QnZdO7ZoqkC0/edit#gid=884617569"",""S3 Totals!$A$2:$O$255""),7,FALSE)"),0.0)</f>
        <v>0</v>
      </c>
      <c r="K154" s="15">
        <f>IFERROR(__xludf.DUMMYFUNCTION("VLOOKUP(A154,IMPORTRANGE(""1QZ5UxyNCwadreQAXnQ7oCoH982DjIA-QnZdO7ZoqkC0/edit#gid=884617569"",""S3 Totals!$A$2:$O$255""),8,FALSE)"),0.0)</f>
        <v>0</v>
      </c>
      <c r="L154" s="110">
        <f t="shared" si="5"/>
        <v>0</v>
      </c>
      <c r="M154" s="16">
        <f>IFERROR(__xludf.DUMMYFUNCTION("VLOOKUP(A154,IMPORTRANGE(""1QZ5UxyNCwadreQAXnQ7oCoH982DjIA-QnZdO7ZoqkC0/edit#gid=884617569"",""S3 Totals!$A$2:$O$255""),10,FALSE)"),0.0)</f>
        <v>0</v>
      </c>
      <c r="N154" s="15">
        <f>IFERROR(__xludf.DUMMYFUNCTION("VLOOKUP(A154,IMPORTRANGE(""1QZ5UxyNCwadreQAXnQ7oCoH982DjIA-QnZdO7ZoqkC0/edit#gid=884617569"",""S3 Totals!$A$2:$O$255""),11,FALSE)"),0.0)</f>
        <v>0</v>
      </c>
      <c r="O154" s="110">
        <f t="shared" si="3"/>
        <v>0</v>
      </c>
      <c r="P154" s="16">
        <f>IFERROR(__xludf.DUMMYFUNCTION("VLOOKUP(A154,IMPORTRANGE(""1QZ5UxyNCwadreQAXnQ7oCoH982DjIA-QnZdO7ZoqkC0/edit#gid=884617569"",""S3 Totals!$A$2:$O$255""),13,FALSE)"),0.0)</f>
        <v>0</v>
      </c>
      <c r="Q154" s="15">
        <f>IFERROR(__xludf.DUMMYFUNCTION("VLOOKUP(A154,IMPORTRANGE(""1QZ5UxyNCwadreQAXnQ7oCoH982DjIA-QnZdO7ZoqkC0/edit#gid=884617569"",""S3 Totals!$A$2:$O$255""),14,FALSE)"),0.0)</f>
        <v>0</v>
      </c>
      <c r="R154" s="110">
        <f t="shared" si="4"/>
        <v>0</v>
      </c>
      <c r="S154" s="144"/>
    </row>
    <row r="155">
      <c r="A155" s="128" t="s">
        <v>100</v>
      </c>
      <c r="B155" s="16">
        <f>IFERROR(__xludf.DUMMYFUNCTION("VLOOKUP(A155,IMPORTRANGE(""1aFCnJY1qhIj8-JckJhDJ18aqmVo17tofpQmOjcYa3u8/edit#gid=1878241338"",""S3 Totals!$A$2:$O$255""),2,FALSE)"),1.0)</f>
        <v>1</v>
      </c>
      <c r="C155" s="15">
        <f>IFERROR(__xludf.DUMMYFUNCTION("VLOOKUP(A155,IMPORTRANGE(""1aFCnJY1qhIj8-JckJhDJ18aqmVo17tofpQmOjcYa3u8/edit#gid=1878241338"",""S3 Totals!$A$2:$O$255""),3,FALSE)"),0.0136986301369863)</f>
        <v>0.01369863014</v>
      </c>
      <c r="D155" s="16">
        <f>IFERROR(__xludf.DUMMYFUNCTION("VLOOKUP(A155,IMPORTRANGE(""1QZ5UxyNCwadreQAXnQ7oCoH982DjIA-QnZdO7ZoqkC0/edit#gid=884617569"",""S3 Totals!$A$2:$O$255""),2,FALSE)"),1.0)</f>
        <v>1</v>
      </c>
      <c r="E155" s="15">
        <f>IFERROR(__xludf.DUMMYFUNCTION("VLOOKUP(A155,IMPORTRANGE(""1QZ5UxyNCwadreQAXnQ7oCoH982DjIA-QnZdO7ZoqkC0/edit#gid=884617569"",""S3 Totals!$A$2:$O$255""),3,FALSE)"),0.013513513513513514)</f>
        <v>0.01351351351</v>
      </c>
      <c r="F155" s="15">
        <f t="shared" si="1"/>
        <v>0.0001851166235</v>
      </c>
      <c r="G155" s="16">
        <f>IFERROR(__xludf.DUMMYFUNCTION("VLOOKUP(A155,IMPORTRANGE(""1QZ5UxyNCwadreQAXnQ7oCoH982DjIA-QnZdO7ZoqkC0/edit#gid=884617569"",""S3 Totals!$A$2:$O$255""),4,FALSE)"),0.0)</f>
        <v>0</v>
      </c>
      <c r="H155" s="15">
        <f>IFERROR(__xludf.DUMMYFUNCTION("VLOOKUP(A155,IMPORTRANGE(""1QZ5UxyNCwadreQAXnQ7oCoH982DjIA-QnZdO7ZoqkC0/edit#gid=884617569"",""S3 Totals!$A$2:$O$255""),5,FALSE)"),0.0)</f>
        <v>0</v>
      </c>
      <c r="I155" s="143">
        <f t="shared" si="2"/>
        <v>0.01369863014</v>
      </c>
      <c r="J155" s="16">
        <f>IFERROR(__xludf.DUMMYFUNCTION("VLOOKUP(A155,IMPORTRANGE(""1QZ5UxyNCwadreQAXnQ7oCoH982DjIA-QnZdO7ZoqkC0/edit#gid=884617569"",""S3 Totals!$A$2:$O$255""),7,FALSE)"),0.0)</f>
        <v>0</v>
      </c>
      <c r="K155" s="15">
        <f>IFERROR(__xludf.DUMMYFUNCTION("VLOOKUP(A155,IMPORTRANGE(""1QZ5UxyNCwadreQAXnQ7oCoH982DjIA-QnZdO7ZoqkC0/edit#gid=884617569"",""S3 Totals!$A$2:$O$255""),8,FALSE)"),0.0)</f>
        <v>0</v>
      </c>
      <c r="L155" s="110">
        <f t="shared" si="5"/>
        <v>0.01351351351</v>
      </c>
      <c r="M155" s="16">
        <f>IFERROR(__xludf.DUMMYFUNCTION("VLOOKUP(A155,IMPORTRANGE(""1QZ5UxyNCwadreQAXnQ7oCoH982DjIA-QnZdO7ZoqkC0/edit#gid=884617569"",""S3 Totals!$A$2:$O$255""),10,FALSE)"),0.0)</f>
        <v>0</v>
      </c>
      <c r="N155" s="15">
        <f>IFERROR(__xludf.DUMMYFUNCTION("VLOOKUP(A155,IMPORTRANGE(""1QZ5UxyNCwadreQAXnQ7oCoH982DjIA-QnZdO7ZoqkC0/edit#gid=884617569"",""S3 Totals!$A$2:$O$255""),11,FALSE)"),0.0)</f>
        <v>0</v>
      </c>
      <c r="O155" s="110">
        <f t="shared" si="3"/>
        <v>0.01369863014</v>
      </c>
      <c r="P155" s="16">
        <f>IFERROR(__xludf.DUMMYFUNCTION("VLOOKUP(A155,IMPORTRANGE(""1QZ5UxyNCwadreQAXnQ7oCoH982DjIA-QnZdO7ZoqkC0/edit#gid=884617569"",""S3 Totals!$A$2:$O$255""),13,FALSE)"),1.0)</f>
        <v>1</v>
      </c>
      <c r="Q155" s="15">
        <f>IFERROR(__xludf.DUMMYFUNCTION("VLOOKUP(A155,IMPORTRANGE(""1QZ5UxyNCwadreQAXnQ7oCoH982DjIA-QnZdO7ZoqkC0/edit#gid=884617569"",""S3 Totals!$A$2:$O$255""),14,FALSE)"),0.011764705882352941)</f>
        <v>0.01176470588</v>
      </c>
      <c r="R155" s="110">
        <f t="shared" si="4"/>
        <v>0.001933924255</v>
      </c>
      <c r="S155" s="144"/>
    </row>
    <row r="156">
      <c r="A156" s="128" t="s">
        <v>76</v>
      </c>
      <c r="B156" s="16">
        <f>IFERROR(__xludf.DUMMYFUNCTION("VLOOKUP(A156,IMPORTRANGE(""1aFCnJY1qhIj8-JckJhDJ18aqmVo17tofpQmOjcYa3u8/edit#gid=1878241338"",""S3 Totals!$A$2:$O$255""),2,FALSE)"),9.0)</f>
        <v>9</v>
      </c>
      <c r="C156" s="15">
        <f>IFERROR(__xludf.DUMMYFUNCTION("VLOOKUP(A156,IMPORTRANGE(""1aFCnJY1qhIj8-JckJhDJ18aqmVo17tofpQmOjcYa3u8/edit#gid=1878241338"",""S3 Totals!$A$2:$O$255""),3,FALSE)"),0.1232876712328767)</f>
        <v>0.1232876712</v>
      </c>
      <c r="D156" s="16">
        <f>IFERROR(__xludf.DUMMYFUNCTION("VLOOKUP(A156,IMPORTRANGE(""1QZ5UxyNCwadreQAXnQ7oCoH982DjIA-QnZdO7ZoqkC0/edit#gid=884617569"",""S3 Totals!$A$2:$O$255""),2,FALSE)"),11.0)</f>
        <v>11</v>
      </c>
      <c r="E156" s="15">
        <f>IFERROR(__xludf.DUMMYFUNCTION("VLOOKUP(A156,IMPORTRANGE(""1QZ5UxyNCwadreQAXnQ7oCoH982DjIA-QnZdO7ZoqkC0/edit#gid=884617569"",""S3 Totals!$A$2:$O$255""),3,FALSE)"),0.14864864864864866)</f>
        <v>0.1486486486</v>
      </c>
      <c r="F156" s="15">
        <f t="shared" si="1"/>
        <v>-0.02536097742</v>
      </c>
      <c r="G156" s="16">
        <f>IFERROR(__xludf.DUMMYFUNCTION("VLOOKUP(A156,IMPORTRANGE(""1QZ5UxyNCwadreQAXnQ7oCoH982DjIA-QnZdO7ZoqkC0/edit#gid=884617569"",""S3 Totals!$A$2:$O$255""),4,FALSE)"),1.0)</f>
        <v>1</v>
      </c>
      <c r="H156" s="15">
        <f>IFERROR(__xludf.DUMMYFUNCTION("VLOOKUP(A156,IMPORTRANGE(""1QZ5UxyNCwadreQAXnQ7oCoH982DjIA-QnZdO7ZoqkC0/edit#gid=884617569"",""S3 Totals!$A$2:$O$255""),5,FALSE)"),0.012658227848101266)</f>
        <v>0.01265822785</v>
      </c>
      <c r="I156" s="143">
        <f t="shared" si="2"/>
        <v>0.1106294434</v>
      </c>
      <c r="J156" s="16">
        <f>IFERROR(__xludf.DUMMYFUNCTION("VLOOKUP(A156,IMPORTRANGE(""1QZ5UxyNCwadreQAXnQ7oCoH982DjIA-QnZdO7ZoqkC0/edit#gid=884617569"",""S3 Totals!$A$2:$O$255""),7,FALSE)"),1.0)</f>
        <v>1</v>
      </c>
      <c r="K156" s="15">
        <f>IFERROR(__xludf.DUMMYFUNCTION("VLOOKUP(A156,IMPORTRANGE(""1QZ5UxyNCwadreQAXnQ7oCoH982DjIA-QnZdO7ZoqkC0/edit#gid=884617569"",""S3 Totals!$A$2:$O$255""),8,FALSE)"),0.011764705882352941)</f>
        <v>0.01176470588</v>
      </c>
      <c r="L156" s="110">
        <f t="shared" si="5"/>
        <v>0.1368839428</v>
      </c>
      <c r="M156" s="16">
        <f>IFERROR(__xludf.DUMMYFUNCTION("VLOOKUP(A156,IMPORTRANGE(""1QZ5UxyNCwadreQAXnQ7oCoH982DjIA-QnZdO7ZoqkC0/edit#gid=884617569"",""S3 Totals!$A$2:$O$255""),10,FALSE)"),1.0)</f>
        <v>1</v>
      </c>
      <c r="N156" s="15">
        <f>IFERROR(__xludf.DUMMYFUNCTION("VLOOKUP(A156,IMPORTRANGE(""1QZ5UxyNCwadreQAXnQ7oCoH982DjIA-QnZdO7ZoqkC0/edit#gid=884617569"",""S3 Totals!$A$2:$O$255""),11,FALSE)"),0.011764705882352941)</f>
        <v>0.01176470588</v>
      </c>
      <c r="O156" s="110">
        <f t="shared" si="3"/>
        <v>0.1115229654</v>
      </c>
      <c r="P156" s="16">
        <f>IFERROR(__xludf.DUMMYFUNCTION("VLOOKUP(A156,IMPORTRANGE(""1QZ5UxyNCwadreQAXnQ7oCoH982DjIA-QnZdO7ZoqkC0/edit#gid=884617569"",""S3 Totals!$A$2:$O$255""),13,FALSE)"),0.0)</f>
        <v>0</v>
      </c>
      <c r="Q156" s="15">
        <f>IFERROR(__xludf.DUMMYFUNCTION("VLOOKUP(A156,IMPORTRANGE(""1QZ5UxyNCwadreQAXnQ7oCoH982DjIA-QnZdO7ZoqkC0/edit#gid=884617569"",""S3 Totals!$A$2:$O$255""),14,FALSE)"),0.0)</f>
        <v>0</v>
      </c>
      <c r="R156" s="110">
        <f t="shared" si="4"/>
        <v>0.1232876712</v>
      </c>
      <c r="S156" s="144"/>
    </row>
    <row r="157">
      <c r="A157" s="128" t="s">
        <v>186</v>
      </c>
      <c r="B157" s="16">
        <f>IFERROR(__xludf.DUMMYFUNCTION("VLOOKUP(A157,IMPORTRANGE(""1aFCnJY1qhIj8-JckJhDJ18aqmVo17tofpQmOjcYa3u8/edit#gid=1878241338"",""S3 Totals!$A$2:$O$255""),2,FALSE)"),13.0)</f>
        <v>13</v>
      </c>
      <c r="C157" s="15">
        <f>IFERROR(__xludf.DUMMYFUNCTION("VLOOKUP(A157,IMPORTRANGE(""1aFCnJY1qhIj8-JckJhDJ18aqmVo17tofpQmOjcYa3u8/edit#gid=1878241338"",""S3 Totals!$A$2:$O$255""),3,FALSE)"),0.1780821917808219)</f>
        <v>0.1780821918</v>
      </c>
      <c r="D157" s="16">
        <f>IFERROR(__xludf.DUMMYFUNCTION("VLOOKUP(A157,IMPORTRANGE(""1QZ5UxyNCwadreQAXnQ7oCoH982DjIA-QnZdO7ZoqkC0/edit#gid=884617569"",""S3 Totals!$A$2:$O$255""),2,FALSE)"),17.0)</f>
        <v>17</v>
      </c>
      <c r="E157" s="15">
        <f>IFERROR(__xludf.DUMMYFUNCTION("VLOOKUP(A157,IMPORTRANGE(""1QZ5UxyNCwadreQAXnQ7oCoH982DjIA-QnZdO7ZoqkC0/edit#gid=884617569"",""S3 Totals!$A$2:$O$255""),3,FALSE)"),0.22972972972972974)</f>
        <v>0.2297297297</v>
      </c>
      <c r="F157" s="15">
        <f t="shared" si="1"/>
        <v>-0.05164753795</v>
      </c>
      <c r="G157" s="16">
        <f>IFERROR(__xludf.DUMMYFUNCTION("VLOOKUP(A157,IMPORTRANGE(""1QZ5UxyNCwadreQAXnQ7oCoH982DjIA-QnZdO7ZoqkC0/edit#gid=884617569"",""S3 Totals!$A$2:$O$255""),4,FALSE)"),18.0)</f>
        <v>18</v>
      </c>
      <c r="H157" s="15">
        <f>IFERROR(__xludf.DUMMYFUNCTION("VLOOKUP(A157,IMPORTRANGE(""1QZ5UxyNCwadreQAXnQ7oCoH982DjIA-QnZdO7ZoqkC0/edit#gid=884617569"",""S3 Totals!$A$2:$O$255""),5,FALSE)"),0.22784810126582278)</f>
        <v>0.2278481013</v>
      </c>
      <c r="I157" s="143">
        <f t="shared" si="2"/>
        <v>-0.04976590949</v>
      </c>
      <c r="J157" s="16">
        <f>IFERROR(__xludf.DUMMYFUNCTION("VLOOKUP(A157,IMPORTRANGE(""1QZ5UxyNCwadreQAXnQ7oCoH982DjIA-QnZdO7ZoqkC0/edit#gid=884617569"",""S3 Totals!$A$2:$O$255""),7,FALSE)"),18.0)</f>
        <v>18</v>
      </c>
      <c r="K157" s="15">
        <f>IFERROR(__xludf.DUMMYFUNCTION("VLOOKUP(A157,IMPORTRANGE(""1QZ5UxyNCwadreQAXnQ7oCoH982DjIA-QnZdO7ZoqkC0/edit#gid=884617569"",""S3 Totals!$A$2:$O$255""),8,FALSE)"),0.21176470588235294)</f>
        <v>0.2117647059</v>
      </c>
      <c r="L157" s="110">
        <f t="shared" si="5"/>
        <v>0.01796502385</v>
      </c>
      <c r="M157" s="16" t="str">
        <f>IFERROR(__xludf.DUMMYFUNCTION("VLOOKUP(A157,IMPORTRANGE(""1QZ5UxyNCwadreQAXnQ7oCoH982DjIA-QnZdO7ZoqkC0/edit#gid=884617569"",""S3 Totals!$A$2:$O$255""),10,FALSE)"),"")</f>
        <v/>
      </c>
      <c r="N157" s="15" t="str">
        <f>IFERROR(__xludf.DUMMYFUNCTION("VLOOKUP(A157,IMPORTRANGE(""1QZ5UxyNCwadreQAXnQ7oCoH982DjIA-QnZdO7ZoqkC0/edit#gid=884617569"",""S3 Totals!$A$2:$O$255""),11,FALSE)"),"")</f>
        <v/>
      </c>
      <c r="O157" s="110">
        <f t="shared" si="3"/>
        <v>0.1780821918</v>
      </c>
      <c r="P157" s="16" t="str">
        <f>IFERROR(__xludf.DUMMYFUNCTION("VLOOKUP(A157,IMPORTRANGE(""1QZ5UxyNCwadreQAXnQ7oCoH982DjIA-QnZdO7ZoqkC0/edit#gid=884617569"",""S3 Totals!$A$2:$O$255""),13,FALSE)"),"")</f>
        <v/>
      </c>
      <c r="Q157" s="15" t="str">
        <f>IFERROR(__xludf.DUMMYFUNCTION("VLOOKUP(A157,IMPORTRANGE(""1QZ5UxyNCwadreQAXnQ7oCoH982DjIA-QnZdO7ZoqkC0/edit#gid=884617569"",""S3 Totals!$A$2:$O$255""),14,FALSE)"),"")</f>
        <v/>
      </c>
      <c r="R157" s="110">
        <f t="shared" si="4"/>
        <v>0.1780821918</v>
      </c>
      <c r="S157" s="144"/>
    </row>
    <row r="158">
      <c r="A158" s="128" t="s">
        <v>187</v>
      </c>
      <c r="B158" s="16">
        <f>IFERROR(__xludf.DUMMYFUNCTION("VLOOKUP(A158,IMPORTRANGE(""1aFCnJY1qhIj8-JckJhDJ18aqmVo17tofpQmOjcYa3u8/edit#gid=1878241338"",""S3 Totals!$A$2:$O$255""),2,FALSE)"),1.0)</f>
        <v>1</v>
      </c>
      <c r="C158" s="15">
        <f>IFERROR(__xludf.DUMMYFUNCTION("VLOOKUP(A158,IMPORTRANGE(""1aFCnJY1qhIj8-JckJhDJ18aqmVo17tofpQmOjcYa3u8/edit#gid=1878241338"",""S3 Totals!$A$2:$O$255""),3,FALSE)"),0.0136986301369863)</f>
        <v>0.01369863014</v>
      </c>
      <c r="D158" s="16">
        <f>IFERROR(__xludf.DUMMYFUNCTION("VLOOKUP(A158,IMPORTRANGE(""1QZ5UxyNCwadreQAXnQ7oCoH982DjIA-QnZdO7ZoqkC0/edit#gid=884617569"",""S3 Totals!$A$2:$O$255""),2,FALSE)"),1.0)</f>
        <v>1</v>
      </c>
      <c r="E158" s="15">
        <f>IFERROR(__xludf.DUMMYFUNCTION("VLOOKUP(A158,IMPORTRANGE(""1QZ5UxyNCwadreQAXnQ7oCoH982DjIA-QnZdO7ZoqkC0/edit#gid=884617569"",""S3 Totals!$A$2:$O$255""),3,FALSE)"),0.013513513513513514)</f>
        <v>0.01351351351</v>
      </c>
      <c r="F158" s="15">
        <f t="shared" si="1"/>
        <v>0.0001851166235</v>
      </c>
      <c r="G158" s="16">
        <f>IFERROR(__xludf.DUMMYFUNCTION("VLOOKUP(A158,IMPORTRANGE(""1QZ5UxyNCwadreQAXnQ7oCoH982DjIA-QnZdO7ZoqkC0/edit#gid=884617569"",""S3 Totals!$A$2:$O$255""),4,FALSE)"),1.0)</f>
        <v>1</v>
      </c>
      <c r="H158" s="15">
        <f>IFERROR(__xludf.DUMMYFUNCTION("VLOOKUP(A158,IMPORTRANGE(""1QZ5UxyNCwadreQAXnQ7oCoH982DjIA-QnZdO7ZoqkC0/edit#gid=884617569"",""S3 Totals!$A$2:$O$255""),5,FALSE)"),0.012658227848101266)</f>
        <v>0.01265822785</v>
      </c>
      <c r="I158" s="143">
        <f t="shared" si="2"/>
        <v>0.001040402289</v>
      </c>
      <c r="J158" s="16">
        <f>IFERROR(__xludf.DUMMYFUNCTION("VLOOKUP(A158,IMPORTRANGE(""1QZ5UxyNCwadreQAXnQ7oCoH982DjIA-QnZdO7ZoqkC0/edit#gid=884617569"",""S3 Totals!$A$2:$O$255""),7,FALSE)"),1.0)</f>
        <v>1</v>
      </c>
      <c r="K158" s="15">
        <f>IFERROR(__xludf.DUMMYFUNCTION("VLOOKUP(A158,IMPORTRANGE(""1QZ5UxyNCwadreQAXnQ7oCoH982DjIA-QnZdO7ZoqkC0/edit#gid=884617569"",""S3 Totals!$A$2:$O$255""),8,FALSE)"),0.011764705882352941)</f>
        <v>0.01176470588</v>
      </c>
      <c r="L158" s="110">
        <f t="shared" si="5"/>
        <v>0.001748807631</v>
      </c>
      <c r="M158" s="16" t="str">
        <f>IFERROR(__xludf.DUMMYFUNCTION("VLOOKUP(A158,IMPORTRANGE(""1QZ5UxyNCwadreQAXnQ7oCoH982DjIA-QnZdO7ZoqkC0/edit#gid=884617569"",""S3 Totals!$A$2:$O$255""),10,FALSE)"),"")</f>
        <v/>
      </c>
      <c r="N158" s="15" t="str">
        <f>IFERROR(__xludf.DUMMYFUNCTION("VLOOKUP(A158,IMPORTRANGE(""1QZ5UxyNCwadreQAXnQ7oCoH982DjIA-QnZdO7ZoqkC0/edit#gid=884617569"",""S3 Totals!$A$2:$O$255""),11,FALSE)"),"")</f>
        <v/>
      </c>
      <c r="O158" s="110">
        <f t="shared" si="3"/>
        <v>0.01369863014</v>
      </c>
      <c r="P158" s="16" t="str">
        <f>IFERROR(__xludf.DUMMYFUNCTION("VLOOKUP(A158,IMPORTRANGE(""1QZ5UxyNCwadreQAXnQ7oCoH982DjIA-QnZdO7ZoqkC0/edit#gid=884617569"",""S3 Totals!$A$2:$O$255""),13,FALSE)"),"")</f>
        <v/>
      </c>
      <c r="Q158" s="15" t="str">
        <f>IFERROR(__xludf.DUMMYFUNCTION("VLOOKUP(A158,IMPORTRANGE(""1QZ5UxyNCwadreQAXnQ7oCoH982DjIA-QnZdO7ZoqkC0/edit#gid=884617569"",""S3 Totals!$A$2:$O$255""),14,FALSE)"),"")</f>
        <v/>
      </c>
      <c r="R158" s="110">
        <f t="shared" si="4"/>
        <v>0.01369863014</v>
      </c>
      <c r="S158" s="144"/>
    </row>
    <row r="159">
      <c r="A159" s="128" t="s">
        <v>140</v>
      </c>
      <c r="B159" s="16">
        <f>IFERROR(__xludf.DUMMYFUNCTION("VLOOKUP(A159,IMPORTRANGE(""1aFCnJY1qhIj8-JckJhDJ18aqmVo17tofpQmOjcYa3u8/edit#gid=1878241338"",""S3 Totals!$A$2:$O$255""),2,FALSE)"),0.0)</f>
        <v>0</v>
      </c>
      <c r="C159" s="15">
        <f>IFERROR(__xludf.DUMMYFUNCTION("VLOOKUP(A159,IMPORTRANGE(""1aFCnJY1qhIj8-JckJhDJ18aqmVo17tofpQmOjcYa3u8/edit#gid=1878241338"",""S3 Totals!$A$2:$O$255""),3,FALSE)"),0.0)</f>
        <v>0</v>
      </c>
      <c r="D159" s="16">
        <f>IFERROR(__xludf.DUMMYFUNCTION("VLOOKUP(A159,IMPORTRANGE(""1QZ5UxyNCwadreQAXnQ7oCoH982DjIA-QnZdO7ZoqkC0/edit#gid=884617569"",""S3 Totals!$A$2:$O$255""),2,FALSE)"),0.0)</f>
        <v>0</v>
      </c>
      <c r="E159" s="15">
        <f>IFERROR(__xludf.DUMMYFUNCTION("VLOOKUP(A159,IMPORTRANGE(""1QZ5UxyNCwadreQAXnQ7oCoH982DjIA-QnZdO7ZoqkC0/edit#gid=884617569"",""S3 Totals!$A$2:$O$255""),3,FALSE)"),0.0)</f>
        <v>0</v>
      </c>
      <c r="F159" s="15">
        <f t="shared" si="1"/>
        <v>0</v>
      </c>
      <c r="G159" s="16">
        <f>IFERROR(__xludf.DUMMYFUNCTION("VLOOKUP(A159,IMPORTRANGE(""1QZ5UxyNCwadreQAXnQ7oCoH982DjIA-QnZdO7ZoqkC0/edit#gid=884617569"",""S3 Totals!$A$2:$O$255""),4,FALSE)"),0.0)</f>
        <v>0</v>
      </c>
      <c r="H159" s="15">
        <f>IFERROR(__xludf.DUMMYFUNCTION("VLOOKUP(A159,IMPORTRANGE(""1QZ5UxyNCwadreQAXnQ7oCoH982DjIA-QnZdO7ZoqkC0/edit#gid=884617569"",""S3 Totals!$A$2:$O$255""),5,FALSE)"),0.0)</f>
        <v>0</v>
      </c>
      <c r="I159" s="143">
        <f t="shared" si="2"/>
        <v>0</v>
      </c>
      <c r="J159" s="16">
        <f>IFERROR(__xludf.DUMMYFUNCTION("VLOOKUP(A159,IMPORTRANGE(""1QZ5UxyNCwadreQAXnQ7oCoH982DjIA-QnZdO7ZoqkC0/edit#gid=884617569"",""S3 Totals!$A$2:$O$255""),7,FALSE)"),0.0)</f>
        <v>0</v>
      </c>
      <c r="K159" s="15">
        <f>IFERROR(__xludf.DUMMYFUNCTION("VLOOKUP(A159,IMPORTRANGE(""1QZ5UxyNCwadreQAXnQ7oCoH982DjIA-QnZdO7ZoqkC0/edit#gid=884617569"",""S3 Totals!$A$2:$O$255""),8,FALSE)"),0.0)</f>
        <v>0</v>
      </c>
      <c r="L159" s="110">
        <f t="shared" si="5"/>
        <v>0</v>
      </c>
      <c r="M159" s="16">
        <f>IFERROR(__xludf.DUMMYFUNCTION("VLOOKUP(A159,IMPORTRANGE(""1QZ5UxyNCwadreQAXnQ7oCoH982DjIA-QnZdO7ZoqkC0/edit#gid=884617569"",""S3 Totals!$A$2:$O$255""),10,FALSE)"),0.0)</f>
        <v>0</v>
      </c>
      <c r="N159" s="15">
        <f>IFERROR(__xludf.DUMMYFUNCTION("VLOOKUP(A159,IMPORTRANGE(""1QZ5UxyNCwadreQAXnQ7oCoH982DjIA-QnZdO7ZoqkC0/edit#gid=884617569"",""S3 Totals!$A$2:$O$255""),11,FALSE)"),0.0)</f>
        <v>0</v>
      </c>
      <c r="O159" s="110">
        <f t="shared" si="3"/>
        <v>0</v>
      </c>
      <c r="P159" s="16" t="str">
        <f>IFERROR(__xludf.DUMMYFUNCTION("VLOOKUP(A159,IMPORTRANGE(""1QZ5UxyNCwadreQAXnQ7oCoH982DjIA-QnZdO7ZoqkC0/edit#gid=884617569"",""S3 Totals!$A$2:$O$255""),13,FALSE)"),"")</f>
        <v/>
      </c>
      <c r="Q159" s="15" t="str">
        <f>IFERROR(__xludf.DUMMYFUNCTION("VLOOKUP(A159,IMPORTRANGE(""1QZ5UxyNCwadreQAXnQ7oCoH982DjIA-QnZdO7ZoqkC0/edit#gid=884617569"",""S3 Totals!$A$2:$O$255""),14,FALSE)"),"")</f>
        <v/>
      </c>
      <c r="R159" s="110">
        <f t="shared" si="4"/>
        <v>0</v>
      </c>
      <c r="S159" s="144"/>
    </row>
    <row r="160">
      <c r="A160" s="128" t="s">
        <v>244</v>
      </c>
      <c r="B160" s="16">
        <f>IFERROR(__xludf.DUMMYFUNCTION("VLOOKUP(A160,IMPORTRANGE(""1aFCnJY1qhIj8-JckJhDJ18aqmVo17tofpQmOjcYa3u8/edit#gid=1878241338"",""S3 Totals!$A$2:$O$255""),2,FALSE)"),18.0)</f>
        <v>18</v>
      </c>
      <c r="C160" s="15">
        <f>IFERROR(__xludf.DUMMYFUNCTION("VLOOKUP(A160,IMPORTRANGE(""1aFCnJY1qhIj8-JckJhDJ18aqmVo17tofpQmOjcYa3u8/edit#gid=1878241338"",""S3 Totals!$A$2:$O$255""),3,FALSE)"),0.2465753424657534)</f>
        <v>0.2465753425</v>
      </c>
      <c r="D160" s="16">
        <f>IFERROR(__xludf.DUMMYFUNCTION("VLOOKUP(A160,IMPORTRANGE(""1QZ5UxyNCwadreQAXnQ7oCoH982DjIA-QnZdO7ZoqkC0/edit#gid=884617569"",""S3 Totals!$A$2:$O$255""),2,FALSE)"),15.0)</f>
        <v>15</v>
      </c>
      <c r="E160" s="15">
        <f>IFERROR(__xludf.DUMMYFUNCTION("VLOOKUP(A160,IMPORTRANGE(""1QZ5UxyNCwadreQAXnQ7oCoH982DjIA-QnZdO7ZoqkC0/edit#gid=884617569"",""S3 Totals!$A$2:$O$255""),3,FALSE)"),0.20270270270270271)</f>
        <v>0.2027027027</v>
      </c>
      <c r="F160" s="15">
        <f t="shared" si="1"/>
        <v>0.04387263976</v>
      </c>
      <c r="G160" s="16">
        <f>IFERROR(__xludf.DUMMYFUNCTION("VLOOKUP(A160,IMPORTRANGE(""1QZ5UxyNCwadreQAXnQ7oCoH982DjIA-QnZdO7ZoqkC0/edit#gid=884617569"",""S3 Totals!$A$2:$O$255""),4,FALSE)"),24.0)</f>
        <v>24</v>
      </c>
      <c r="H160" s="15">
        <f>IFERROR(__xludf.DUMMYFUNCTION("VLOOKUP(A160,IMPORTRANGE(""1QZ5UxyNCwadreQAXnQ7oCoH982DjIA-QnZdO7ZoqkC0/edit#gid=884617569"",""S3 Totals!$A$2:$O$255""),5,FALSE)"),0.3037974683544304)</f>
        <v>0.3037974684</v>
      </c>
      <c r="I160" s="143">
        <f t="shared" si="2"/>
        <v>-0.05722212589</v>
      </c>
      <c r="J160" s="16" t="str">
        <f>IFERROR(__xludf.DUMMYFUNCTION("VLOOKUP(A160,IMPORTRANGE(""1QZ5UxyNCwadreQAXnQ7oCoH982DjIA-QnZdO7ZoqkC0/edit#gid=884617569"",""S3 Totals!$A$2:$O$255""),7,FALSE)"),"")</f>
        <v/>
      </c>
      <c r="K160" s="15" t="str">
        <f>IFERROR(__xludf.DUMMYFUNCTION("VLOOKUP(A160,IMPORTRANGE(""1QZ5UxyNCwadreQAXnQ7oCoH982DjIA-QnZdO7ZoqkC0/edit#gid=884617569"",""S3 Totals!$A$2:$O$255""),8,FALSE)"),"")</f>
        <v/>
      </c>
      <c r="L160" s="110">
        <f t="shared" si="5"/>
        <v>0.2027027027</v>
      </c>
      <c r="M160" s="16" t="str">
        <f>IFERROR(__xludf.DUMMYFUNCTION("VLOOKUP(A160,IMPORTRANGE(""1QZ5UxyNCwadreQAXnQ7oCoH982DjIA-QnZdO7ZoqkC0/edit#gid=884617569"",""S3 Totals!$A$2:$O$255""),10,FALSE)"),"")</f>
        <v/>
      </c>
      <c r="N160" s="15" t="str">
        <f>IFERROR(__xludf.DUMMYFUNCTION("VLOOKUP(A160,IMPORTRANGE(""1QZ5UxyNCwadreQAXnQ7oCoH982DjIA-QnZdO7ZoqkC0/edit#gid=884617569"",""S3 Totals!$A$2:$O$255""),11,FALSE)"),"")</f>
        <v/>
      </c>
      <c r="O160" s="110">
        <f t="shared" si="3"/>
        <v>0.2465753425</v>
      </c>
      <c r="P160" s="16" t="str">
        <f>IFERROR(__xludf.DUMMYFUNCTION("VLOOKUP(A160,IMPORTRANGE(""1QZ5UxyNCwadreQAXnQ7oCoH982DjIA-QnZdO7ZoqkC0/edit#gid=884617569"",""S3 Totals!$A$2:$O$255""),13,FALSE)"),"")</f>
        <v/>
      </c>
      <c r="Q160" s="15" t="str">
        <f>IFERROR(__xludf.DUMMYFUNCTION("VLOOKUP(A160,IMPORTRANGE(""1QZ5UxyNCwadreQAXnQ7oCoH982DjIA-QnZdO7ZoqkC0/edit#gid=884617569"",""S3 Totals!$A$2:$O$255""),14,FALSE)"),"")</f>
        <v/>
      </c>
      <c r="R160" s="110">
        <f t="shared" si="4"/>
        <v>0.2465753425</v>
      </c>
      <c r="S160" s="144"/>
    </row>
    <row r="161">
      <c r="A161" s="128" t="s">
        <v>188</v>
      </c>
      <c r="B161" s="16">
        <f>IFERROR(__xludf.DUMMYFUNCTION("VLOOKUP(A161,IMPORTRANGE(""1aFCnJY1qhIj8-JckJhDJ18aqmVo17tofpQmOjcYa3u8/edit#gid=1878241338"",""S3 Totals!$A$2:$O$255""),2,FALSE)"),1.0)</f>
        <v>1</v>
      </c>
      <c r="C161" s="15">
        <f>IFERROR(__xludf.DUMMYFUNCTION("VLOOKUP(A161,IMPORTRANGE(""1aFCnJY1qhIj8-JckJhDJ18aqmVo17tofpQmOjcYa3u8/edit#gid=1878241338"",""S3 Totals!$A$2:$O$255""),3,FALSE)"),0.0136986301369863)</f>
        <v>0.01369863014</v>
      </c>
      <c r="D161" s="16">
        <f>IFERROR(__xludf.DUMMYFUNCTION("VLOOKUP(A161,IMPORTRANGE(""1QZ5UxyNCwadreQAXnQ7oCoH982DjIA-QnZdO7ZoqkC0/edit#gid=884617569"",""S3 Totals!$A$2:$O$255""),2,FALSE)"),1.0)</f>
        <v>1</v>
      </c>
      <c r="E161" s="15">
        <f>IFERROR(__xludf.DUMMYFUNCTION("VLOOKUP(A161,IMPORTRANGE(""1QZ5UxyNCwadreQAXnQ7oCoH982DjIA-QnZdO7ZoqkC0/edit#gid=884617569"",""S3 Totals!$A$2:$O$255""),3,FALSE)"),0.013513513513513514)</f>
        <v>0.01351351351</v>
      </c>
      <c r="F161" s="15">
        <f t="shared" si="1"/>
        <v>0.0001851166235</v>
      </c>
      <c r="G161" s="16">
        <f>IFERROR(__xludf.DUMMYFUNCTION("VLOOKUP(A161,IMPORTRANGE(""1QZ5UxyNCwadreQAXnQ7oCoH982DjIA-QnZdO7ZoqkC0/edit#gid=884617569"",""S3 Totals!$A$2:$O$255""),4,FALSE)"),1.0)</f>
        <v>1</v>
      </c>
      <c r="H161" s="15">
        <f>IFERROR(__xludf.DUMMYFUNCTION("VLOOKUP(A161,IMPORTRANGE(""1QZ5UxyNCwadreQAXnQ7oCoH982DjIA-QnZdO7ZoqkC0/edit#gid=884617569"",""S3 Totals!$A$2:$O$255""),5,FALSE)"),0.012658227848101266)</f>
        <v>0.01265822785</v>
      </c>
      <c r="I161" s="143">
        <f t="shared" si="2"/>
        <v>0.001040402289</v>
      </c>
      <c r="J161" s="16">
        <f>IFERROR(__xludf.DUMMYFUNCTION("VLOOKUP(A161,IMPORTRANGE(""1QZ5UxyNCwadreQAXnQ7oCoH982DjIA-QnZdO7ZoqkC0/edit#gid=884617569"",""S3 Totals!$A$2:$O$255""),7,FALSE)"),0.0)</f>
        <v>0</v>
      </c>
      <c r="K161" s="15">
        <f>IFERROR(__xludf.DUMMYFUNCTION("VLOOKUP(A161,IMPORTRANGE(""1QZ5UxyNCwadreQAXnQ7oCoH982DjIA-QnZdO7ZoqkC0/edit#gid=884617569"",""S3 Totals!$A$2:$O$255""),8,FALSE)"),0.0)</f>
        <v>0</v>
      </c>
      <c r="L161" s="110">
        <f t="shared" si="5"/>
        <v>0.01351351351</v>
      </c>
      <c r="M161" s="16" t="str">
        <f>IFERROR(__xludf.DUMMYFUNCTION("VLOOKUP(A161,IMPORTRANGE(""1QZ5UxyNCwadreQAXnQ7oCoH982DjIA-QnZdO7ZoqkC0/edit#gid=884617569"",""S3 Totals!$A$2:$O$255""),10,FALSE)"),"")</f>
        <v/>
      </c>
      <c r="N161" s="15" t="str">
        <f>IFERROR(__xludf.DUMMYFUNCTION("VLOOKUP(A161,IMPORTRANGE(""1QZ5UxyNCwadreQAXnQ7oCoH982DjIA-QnZdO7ZoqkC0/edit#gid=884617569"",""S3 Totals!$A$2:$O$255""),11,FALSE)"),"")</f>
        <v/>
      </c>
      <c r="O161" s="110">
        <f t="shared" si="3"/>
        <v>0.01369863014</v>
      </c>
      <c r="P161" s="16" t="str">
        <f>IFERROR(__xludf.DUMMYFUNCTION("VLOOKUP(A161,IMPORTRANGE(""1QZ5UxyNCwadreQAXnQ7oCoH982DjIA-QnZdO7ZoqkC0/edit#gid=884617569"",""S3 Totals!$A$2:$O$255""),13,FALSE)"),"")</f>
        <v/>
      </c>
      <c r="Q161" s="15" t="str">
        <f>IFERROR(__xludf.DUMMYFUNCTION("VLOOKUP(A161,IMPORTRANGE(""1QZ5UxyNCwadreQAXnQ7oCoH982DjIA-QnZdO7ZoqkC0/edit#gid=884617569"",""S3 Totals!$A$2:$O$255""),14,FALSE)"),"")</f>
        <v/>
      </c>
      <c r="R161" s="110">
        <f t="shared" si="4"/>
        <v>0.01369863014</v>
      </c>
      <c r="S161" s="144"/>
    </row>
    <row r="162">
      <c r="A162" s="128" t="s">
        <v>189</v>
      </c>
      <c r="B162" s="16">
        <f>IFERROR(__xludf.DUMMYFUNCTION("VLOOKUP(A162,IMPORTRANGE(""1aFCnJY1qhIj8-JckJhDJ18aqmVo17tofpQmOjcYa3u8/edit#gid=1878241338"",""S3 Totals!$A$2:$O$255""),2,FALSE)"),0.0)</f>
        <v>0</v>
      </c>
      <c r="C162" s="15">
        <f>IFERROR(__xludf.DUMMYFUNCTION("VLOOKUP(A162,IMPORTRANGE(""1aFCnJY1qhIj8-JckJhDJ18aqmVo17tofpQmOjcYa3u8/edit#gid=1878241338"",""S3 Totals!$A$2:$O$255""),3,FALSE)"),0.0)</f>
        <v>0</v>
      </c>
      <c r="D162" s="16">
        <f>IFERROR(__xludf.DUMMYFUNCTION("VLOOKUP(A162,IMPORTRANGE(""1QZ5UxyNCwadreQAXnQ7oCoH982DjIA-QnZdO7ZoqkC0/edit#gid=884617569"",""S3 Totals!$A$2:$O$255""),2,FALSE)"),1.0)</f>
        <v>1</v>
      </c>
      <c r="E162" s="15">
        <f>IFERROR(__xludf.DUMMYFUNCTION("VLOOKUP(A162,IMPORTRANGE(""1QZ5UxyNCwadreQAXnQ7oCoH982DjIA-QnZdO7ZoqkC0/edit#gid=884617569"",""S3 Totals!$A$2:$O$255""),3,FALSE)"),0.013513513513513514)</f>
        <v>0.01351351351</v>
      </c>
      <c r="F162" s="15">
        <f t="shared" si="1"/>
        <v>-0.01351351351</v>
      </c>
      <c r="G162" s="16">
        <f>IFERROR(__xludf.DUMMYFUNCTION("VLOOKUP(A162,IMPORTRANGE(""1QZ5UxyNCwadreQAXnQ7oCoH982DjIA-QnZdO7ZoqkC0/edit#gid=884617569"",""S3 Totals!$A$2:$O$255""),4,FALSE)"),0.0)</f>
        <v>0</v>
      </c>
      <c r="H162" s="15">
        <f>IFERROR(__xludf.DUMMYFUNCTION("VLOOKUP(A162,IMPORTRANGE(""1QZ5UxyNCwadreQAXnQ7oCoH982DjIA-QnZdO7ZoqkC0/edit#gid=884617569"",""S3 Totals!$A$2:$O$255""),5,FALSE)"),0.0)</f>
        <v>0</v>
      </c>
      <c r="I162" s="143">
        <f t="shared" si="2"/>
        <v>0</v>
      </c>
      <c r="J162" s="16">
        <f>IFERROR(__xludf.DUMMYFUNCTION("VLOOKUP(A162,IMPORTRANGE(""1QZ5UxyNCwadreQAXnQ7oCoH982DjIA-QnZdO7ZoqkC0/edit#gid=884617569"",""S3 Totals!$A$2:$O$255""),7,FALSE)"),0.0)</f>
        <v>0</v>
      </c>
      <c r="K162" s="15">
        <f>IFERROR(__xludf.DUMMYFUNCTION("VLOOKUP(A162,IMPORTRANGE(""1QZ5UxyNCwadreQAXnQ7oCoH982DjIA-QnZdO7ZoqkC0/edit#gid=884617569"",""S3 Totals!$A$2:$O$255""),8,FALSE)"),0.0)</f>
        <v>0</v>
      </c>
      <c r="L162" s="110">
        <f t="shared" si="5"/>
        <v>0.01351351351</v>
      </c>
      <c r="M162" s="16" t="str">
        <f>IFERROR(__xludf.DUMMYFUNCTION("VLOOKUP(A162,IMPORTRANGE(""1QZ5UxyNCwadreQAXnQ7oCoH982DjIA-QnZdO7ZoqkC0/edit#gid=884617569"",""S3 Totals!$A$2:$O$255""),10,FALSE)"),"")</f>
        <v/>
      </c>
      <c r="N162" s="15" t="str">
        <f>IFERROR(__xludf.DUMMYFUNCTION("VLOOKUP(A162,IMPORTRANGE(""1QZ5UxyNCwadreQAXnQ7oCoH982DjIA-QnZdO7ZoqkC0/edit#gid=884617569"",""S3 Totals!$A$2:$O$255""),11,FALSE)"),"")</f>
        <v/>
      </c>
      <c r="O162" s="110">
        <f t="shared" si="3"/>
        <v>0</v>
      </c>
      <c r="P162" s="16" t="str">
        <f>IFERROR(__xludf.DUMMYFUNCTION("VLOOKUP(A162,IMPORTRANGE(""1QZ5UxyNCwadreQAXnQ7oCoH982DjIA-QnZdO7ZoqkC0/edit#gid=884617569"",""S3 Totals!$A$2:$O$255""),13,FALSE)"),"")</f>
        <v/>
      </c>
      <c r="Q162" s="15" t="str">
        <f>IFERROR(__xludf.DUMMYFUNCTION("VLOOKUP(A162,IMPORTRANGE(""1QZ5UxyNCwadreQAXnQ7oCoH982DjIA-QnZdO7ZoqkC0/edit#gid=884617569"",""S3 Totals!$A$2:$O$255""),14,FALSE)"),"")</f>
        <v/>
      </c>
      <c r="R162" s="110">
        <f t="shared" si="4"/>
        <v>0</v>
      </c>
      <c r="S162" s="144"/>
    </row>
    <row r="163">
      <c r="A163" s="128" t="s">
        <v>77</v>
      </c>
      <c r="B163" s="16">
        <f>IFERROR(__xludf.DUMMYFUNCTION("VLOOKUP(A163,IMPORTRANGE(""1aFCnJY1qhIj8-JckJhDJ18aqmVo17tofpQmOjcYa3u8/edit#gid=1878241338"",""S3 Totals!$A$2:$O$255""),2,FALSE)"),36.0)</f>
        <v>36</v>
      </c>
      <c r="C163" s="15">
        <f>IFERROR(__xludf.DUMMYFUNCTION("VLOOKUP(A163,IMPORTRANGE(""1aFCnJY1qhIj8-JckJhDJ18aqmVo17tofpQmOjcYa3u8/edit#gid=1878241338"",""S3 Totals!$A$2:$O$255""),3,FALSE)"),0.4931506849315068)</f>
        <v>0.4931506849</v>
      </c>
      <c r="D163" s="16">
        <f>IFERROR(__xludf.DUMMYFUNCTION("VLOOKUP(A163,IMPORTRANGE(""1QZ5UxyNCwadreQAXnQ7oCoH982DjIA-QnZdO7ZoqkC0/edit#gid=884617569"",""S3 Totals!$A$2:$O$255""),2,FALSE)"),35.0)</f>
        <v>35</v>
      </c>
      <c r="E163" s="15">
        <f>IFERROR(__xludf.DUMMYFUNCTION("VLOOKUP(A163,IMPORTRANGE(""1QZ5UxyNCwadreQAXnQ7oCoH982DjIA-QnZdO7ZoqkC0/edit#gid=884617569"",""S3 Totals!$A$2:$O$255""),3,FALSE)"),0.47297297297297297)</f>
        <v>0.472972973</v>
      </c>
      <c r="F163" s="15">
        <f t="shared" si="1"/>
        <v>0.02017771196</v>
      </c>
      <c r="G163" s="16">
        <f>IFERROR(__xludf.DUMMYFUNCTION("VLOOKUP(A163,IMPORTRANGE(""1QZ5UxyNCwadreQAXnQ7oCoH982DjIA-QnZdO7ZoqkC0/edit#gid=884617569"",""S3 Totals!$A$2:$O$255""),4,FALSE)"),36.0)</f>
        <v>36</v>
      </c>
      <c r="H163" s="15">
        <f>IFERROR(__xludf.DUMMYFUNCTION("VLOOKUP(A163,IMPORTRANGE(""1QZ5UxyNCwadreQAXnQ7oCoH982DjIA-QnZdO7ZoqkC0/edit#gid=884617569"",""S3 Totals!$A$2:$O$255""),5,FALSE)"),0.45569620253164556)</f>
        <v>0.4556962025</v>
      </c>
      <c r="I163" s="143">
        <f t="shared" si="2"/>
        <v>0.0374544824</v>
      </c>
      <c r="J163" s="16">
        <f>IFERROR(__xludf.DUMMYFUNCTION("VLOOKUP(A163,IMPORTRANGE(""1QZ5UxyNCwadreQAXnQ7oCoH982DjIA-QnZdO7ZoqkC0/edit#gid=884617569"",""S3 Totals!$A$2:$O$255""),7,FALSE)"),39.0)</f>
        <v>39</v>
      </c>
      <c r="K163" s="15">
        <f>IFERROR(__xludf.DUMMYFUNCTION("VLOOKUP(A163,IMPORTRANGE(""1QZ5UxyNCwadreQAXnQ7oCoH982DjIA-QnZdO7ZoqkC0/edit#gid=884617569"",""S3 Totals!$A$2:$O$255""),8,FALSE)"),0.4588235294117647)</f>
        <v>0.4588235294</v>
      </c>
      <c r="L163" s="110">
        <f t="shared" si="5"/>
        <v>0.01414944356</v>
      </c>
      <c r="M163" s="16">
        <f>IFERROR(__xludf.DUMMYFUNCTION("VLOOKUP(A163,IMPORTRANGE(""1QZ5UxyNCwadreQAXnQ7oCoH982DjIA-QnZdO7ZoqkC0/edit#gid=884617569"",""S3 Totals!$A$2:$O$255""),10,FALSE)"),30.0)</f>
        <v>30</v>
      </c>
      <c r="N163" s="15">
        <f>IFERROR(__xludf.DUMMYFUNCTION("VLOOKUP(A163,IMPORTRANGE(""1QZ5UxyNCwadreQAXnQ7oCoH982DjIA-QnZdO7ZoqkC0/edit#gid=884617569"",""S3 Totals!$A$2:$O$255""),11,FALSE)"),0.35294117647058826)</f>
        <v>0.3529411765</v>
      </c>
      <c r="O163" s="110">
        <f t="shared" si="3"/>
        <v>0.1402095085</v>
      </c>
      <c r="P163" s="16">
        <f>IFERROR(__xludf.DUMMYFUNCTION("VLOOKUP(A163,IMPORTRANGE(""1QZ5UxyNCwadreQAXnQ7oCoH982DjIA-QnZdO7ZoqkC0/edit#gid=884617569"",""S3 Totals!$A$2:$O$255""),13,FALSE)"),10.0)</f>
        <v>10</v>
      </c>
      <c r="Q163" s="15">
        <f>IFERROR(__xludf.DUMMYFUNCTION("VLOOKUP(A163,IMPORTRANGE(""1QZ5UxyNCwadreQAXnQ7oCoH982DjIA-QnZdO7ZoqkC0/edit#gid=884617569"",""S3 Totals!$A$2:$O$255""),14,FALSE)"),0.11764705882352941)</f>
        <v>0.1176470588</v>
      </c>
      <c r="R163" s="110">
        <f t="shared" si="4"/>
        <v>0.3755036261</v>
      </c>
      <c r="S163" s="144"/>
    </row>
    <row r="164">
      <c r="A164" s="128" t="s">
        <v>78</v>
      </c>
      <c r="B164" s="16">
        <f>IFERROR(__xludf.DUMMYFUNCTION("VLOOKUP(A164,IMPORTRANGE(""1aFCnJY1qhIj8-JckJhDJ18aqmVo17tofpQmOjcYa3u8/edit#gid=1878241338"",""S3 Totals!$A$2:$O$255""),2,FALSE)"),36.0)</f>
        <v>36</v>
      </c>
      <c r="C164" s="15">
        <f>IFERROR(__xludf.DUMMYFUNCTION("VLOOKUP(A164,IMPORTRANGE(""1aFCnJY1qhIj8-JckJhDJ18aqmVo17tofpQmOjcYa3u8/edit#gid=1878241338"",""S3 Totals!$A$2:$O$255""),3,FALSE)"),0.4931506849315068)</f>
        <v>0.4931506849</v>
      </c>
      <c r="D164" s="16">
        <f>IFERROR(__xludf.DUMMYFUNCTION("VLOOKUP(A164,IMPORTRANGE(""1QZ5UxyNCwadreQAXnQ7oCoH982DjIA-QnZdO7ZoqkC0/edit#gid=884617569"",""S3 Totals!$A$2:$O$255""),2,FALSE)"),30.0)</f>
        <v>30</v>
      </c>
      <c r="E164" s="15">
        <f>IFERROR(__xludf.DUMMYFUNCTION("VLOOKUP(A164,IMPORTRANGE(""1QZ5UxyNCwadreQAXnQ7oCoH982DjIA-QnZdO7ZoqkC0/edit#gid=884617569"",""S3 Totals!$A$2:$O$255""),3,FALSE)"),0.40540540540540543)</f>
        <v>0.4054054054</v>
      </c>
      <c r="F164" s="15">
        <f t="shared" si="1"/>
        <v>0.08774527953</v>
      </c>
      <c r="G164" s="16">
        <f>IFERROR(__xludf.DUMMYFUNCTION("VLOOKUP(A164,IMPORTRANGE(""1QZ5UxyNCwadreQAXnQ7oCoH982DjIA-QnZdO7ZoqkC0/edit#gid=884617569"",""S3 Totals!$A$2:$O$255""),4,FALSE)"),34.0)</f>
        <v>34</v>
      </c>
      <c r="H164" s="15">
        <f>IFERROR(__xludf.DUMMYFUNCTION("VLOOKUP(A164,IMPORTRANGE(""1QZ5UxyNCwadreQAXnQ7oCoH982DjIA-QnZdO7ZoqkC0/edit#gid=884617569"",""S3 Totals!$A$2:$O$255""),5,FALSE)"),0.43037974683544306)</f>
        <v>0.4303797468</v>
      </c>
      <c r="I164" s="143">
        <f t="shared" si="2"/>
        <v>0.0627709381</v>
      </c>
      <c r="J164" s="16">
        <f>IFERROR(__xludf.DUMMYFUNCTION("VLOOKUP(A164,IMPORTRANGE(""1QZ5UxyNCwadreQAXnQ7oCoH982DjIA-QnZdO7ZoqkC0/edit#gid=884617569"",""S3 Totals!$A$2:$O$255""),7,FALSE)"),21.0)</f>
        <v>21</v>
      </c>
      <c r="K164" s="15">
        <f>IFERROR(__xludf.DUMMYFUNCTION("VLOOKUP(A164,IMPORTRANGE(""1QZ5UxyNCwadreQAXnQ7oCoH982DjIA-QnZdO7ZoqkC0/edit#gid=884617569"",""S3 Totals!$A$2:$O$255""),8,FALSE)"),0.24705882352941178)</f>
        <v>0.2470588235</v>
      </c>
      <c r="L164" s="110">
        <f t="shared" si="5"/>
        <v>0.1583465819</v>
      </c>
      <c r="M164" s="16">
        <f>IFERROR(__xludf.DUMMYFUNCTION("VLOOKUP(A164,IMPORTRANGE(""1QZ5UxyNCwadreQAXnQ7oCoH982DjIA-QnZdO7ZoqkC0/edit#gid=884617569"",""S3 Totals!$A$2:$O$255""),10,FALSE)"),20.0)</f>
        <v>20</v>
      </c>
      <c r="N164" s="15">
        <f>IFERROR(__xludf.DUMMYFUNCTION("VLOOKUP(A164,IMPORTRANGE(""1QZ5UxyNCwadreQAXnQ7oCoH982DjIA-QnZdO7ZoqkC0/edit#gid=884617569"",""S3 Totals!$A$2:$O$255""),11,FALSE)"),0.23529411764705882)</f>
        <v>0.2352941176</v>
      </c>
      <c r="O164" s="110">
        <f t="shared" si="3"/>
        <v>0.2578565673</v>
      </c>
      <c r="P164" s="16">
        <f>IFERROR(__xludf.DUMMYFUNCTION("VLOOKUP(A164,IMPORTRANGE(""1QZ5UxyNCwadreQAXnQ7oCoH982DjIA-QnZdO7ZoqkC0/edit#gid=884617569"",""S3 Totals!$A$2:$O$255""),13,FALSE)"),0.0)</f>
        <v>0</v>
      </c>
      <c r="Q164" s="15">
        <f>IFERROR(__xludf.DUMMYFUNCTION("VLOOKUP(A164,IMPORTRANGE(""1QZ5UxyNCwadreQAXnQ7oCoH982DjIA-QnZdO7ZoqkC0/edit#gid=884617569"",""S3 Totals!$A$2:$O$255""),14,FALSE)"),0.0)</f>
        <v>0</v>
      </c>
      <c r="R164" s="110">
        <f t="shared" si="4"/>
        <v>0.4931506849</v>
      </c>
      <c r="S164" s="144"/>
    </row>
    <row r="165">
      <c r="A165" s="128" t="s">
        <v>141</v>
      </c>
      <c r="B165" s="16">
        <f>IFERROR(__xludf.DUMMYFUNCTION("VLOOKUP(A165,IMPORTRANGE(""1aFCnJY1qhIj8-JckJhDJ18aqmVo17tofpQmOjcYa3u8/edit#gid=1878241338"",""S3 Totals!$A$2:$O$255""),2,FALSE)"),0.0)</f>
        <v>0</v>
      </c>
      <c r="C165" s="15">
        <f>IFERROR(__xludf.DUMMYFUNCTION("VLOOKUP(A165,IMPORTRANGE(""1aFCnJY1qhIj8-JckJhDJ18aqmVo17tofpQmOjcYa3u8/edit#gid=1878241338"",""S3 Totals!$A$2:$O$255""),3,FALSE)"),0.0)</f>
        <v>0</v>
      </c>
      <c r="D165" s="16">
        <f>IFERROR(__xludf.DUMMYFUNCTION("VLOOKUP(A165,IMPORTRANGE(""1QZ5UxyNCwadreQAXnQ7oCoH982DjIA-QnZdO7ZoqkC0/edit#gid=884617569"",""S3 Totals!$A$2:$O$255""),2,FALSE)"),0.0)</f>
        <v>0</v>
      </c>
      <c r="E165" s="15">
        <f>IFERROR(__xludf.DUMMYFUNCTION("VLOOKUP(A165,IMPORTRANGE(""1QZ5UxyNCwadreQAXnQ7oCoH982DjIA-QnZdO7ZoqkC0/edit#gid=884617569"",""S3 Totals!$A$2:$O$255""),3,FALSE)"),0.0)</f>
        <v>0</v>
      </c>
      <c r="F165" s="15">
        <f t="shared" si="1"/>
        <v>0</v>
      </c>
      <c r="G165" s="16">
        <f>IFERROR(__xludf.DUMMYFUNCTION("VLOOKUP(A165,IMPORTRANGE(""1QZ5UxyNCwadreQAXnQ7oCoH982DjIA-QnZdO7ZoqkC0/edit#gid=884617569"",""S3 Totals!$A$2:$O$255""),4,FALSE)"),0.0)</f>
        <v>0</v>
      </c>
      <c r="H165" s="15">
        <f>IFERROR(__xludf.DUMMYFUNCTION("VLOOKUP(A165,IMPORTRANGE(""1QZ5UxyNCwadreQAXnQ7oCoH982DjIA-QnZdO7ZoqkC0/edit#gid=884617569"",""S3 Totals!$A$2:$O$255""),5,FALSE)"),0.0)</f>
        <v>0</v>
      </c>
      <c r="I165" s="143">
        <f t="shared" si="2"/>
        <v>0</v>
      </c>
      <c r="J165" s="16">
        <f>IFERROR(__xludf.DUMMYFUNCTION("VLOOKUP(A165,IMPORTRANGE(""1QZ5UxyNCwadreQAXnQ7oCoH982DjIA-QnZdO7ZoqkC0/edit#gid=884617569"",""S3 Totals!$A$2:$O$255""),7,FALSE)"),0.0)</f>
        <v>0</v>
      </c>
      <c r="K165" s="15">
        <f>IFERROR(__xludf.DUMMYFUNCTION("VLOOKUP(A165,IMPORTRANGE(""1QZ5UxyNCwadreQAXnQ7oCoH982DjIA-QnZdO7ZoqkC0/edit#gid=884617569"",""S3 Totals!$A$2:$O$255""),8,FALSE)"),0.0)</f>
        <v>0</v>
      </c>
      <c r="L165" s="110">
        <f t="shared" si="5"/>
        <v>0</v>
      </c>
      <c r="M165" s="16">
        <f>IFERROR(__xludf.DUMMYFUNCTION("VLOOKUP(A165,IMPORTRANGE(""1QZ5UxyNCwadreQAXnQ7oCoH982DjIA-QnZdO7ZoqkC0/edit#gid=884617569"",""S3 Totals!$A$2:$O$255""),10,FALSE)"),0.0)</f>
        <v>0</v>
      </c>
      <c r="N165" s="15">
        <f>IFERROR(__xludf.DUMMYFUNCTION("VLOOKUP(A165,IMPORTRANGE(""1QZ5UxyNCwadreQAXnQ7oCoH982DjIA-QnZdO7ZoqkC0/edit#gid=884617569"",""S3 Totals!$A$2:$O$255""),11,FALSE)"),0.0)</f>
        <v>0</v>
      </c>
      <c r="O165" s="110">
        <f t="shared" si="3"/>
        <v>0</v>
      </c>
      <c r="P165" s="16" t="str">
        <f>IFERROR(__xludf.DUMMYFUNCTION("VLOOKUP(A165,IMPORTRANGE(""1QZ5UxyNCwadreQAXnQ7oCoH982DjIA-QnZdO7ZoqkC0/edit#gid=884617569"",""S3 Totals!$A$2:$O$255""),13,FALSE)"),"")</f>
        <v/>
      </c>
      <c r="Q165" s="15" t="str">
        <f>IFERROR(__xludf.DUMMYFUNCTION("VLOOKUP(A165,IMPORTRANGE(""1QZ5UxyNCwadreQAXnQ7oCoH982DjIA-QnZdO7ZoqkC0/edit#gid=884617569"",""S3 Totals!$A$2:$O$255""),14,FALSE)"),"")</f>
        <v/>
      </c>
      <c r="R165" s="110">
        <f t="shared" si="4"/>
        <v>0</v>
      </c>
      <c r="S165" s="144"/>
    </row>
    <row r="166">
      <c r="A166" s="128" t="s">
        <v>79</v>
      </c>
      <c r="B166" s="16">
        <f>IFERROR(__xludf.DUMMYFUNCTION("VLOOKUP(A166,IMPORTRANGE(""1aFCnJY1qhIj8-JckJhDJ18aqmVo17tofpQmOjcYa3u8/edit#gid=1878241338"",""S3 Totals!$A$2:$O$255""),2,FALSE)"),26.0)</f>
        <v>26</v>
      </c>
      <c r="C166" s="15">
        <f>IFERROR(__xludf.DUMMYFUNCTION("VLOOKUP(A166,IMPORTRANGE(""1aFCnJY1qhIj8-JckJhDJ18aqmVo17tofpQmOjcYa3u8/edit#gid=1878241338"",""S3 Totals!$A$2:$O$255""),3,FALSE)"),0.3561643835616438)</f>
        <v>0.3561643836</v>
      </c>
      <c r="D166" s="16">
        <f>IFERROR(__xludf.DUMMYFUNCTION("VLOOKUP(A166,IMPORTRANGE(""1QZ5UxyNCwadreQAXnQ7oCoH982DjIA-QnZdO7ZoqkC0/edit#gid=884617569"",""S3 Totals!$A$2:$O$255""),2,FALSE)"),27.0)</f>
        <v>27</v>
      </c>
      <c r="E166" s="15">
        <f>IFERROR(__xludf.DUMMYFUNCTION("VLOOKUP(A166,IMPORTRANGE(""1QZ5UxyNCwadreQAXnQ7oCoH982DjIA-QnZdO7ZoqkC0/edit#gid=884617569"",""S3 Totals!$A$2:$O$255""),3,FALSE)"),0.36486486486486486)</f>
        <v>0.3648648649</v>
      </c>
      <c r="F166" s="15">
        <f t="shared" si="1"/>
        <v>-0.008700481303</v>
      </c>
      <c r="G166" s="16">
        <f>IFERROR(__xludf.DUMMYFUNCTION("VLOOKUP(A166,IMPORTRANGE(""1QZ5UxyNCwadreQAXnQ7oCoH982DjIA-QnZdO7ZoqkC0/edit#gid=884617569"",""S3 Totals!$A$2:$O$255""),4,FALSE)"),20.0)</f>
        <v>20</v>
      </c>
      <c r="H166" s="15">
        <f>IFERROR(__xludf.DUMMYFUNCTION("VLOOKUP(A166,IMPORTRANGE(""1QZ5UxyNCwadreQAXnQ7oCoH982DjIA-QnZdO7ZoqkC0/edit#gid=884617569"",""S3 Totals!$A$2:$O$255""),5,FALSE)"),0.25316455696202533)</f>
        <v>0.253164557</v>
      </c>
      <c r="I166" s="143">
        <f t="shared" si="2"/>
        <v>0.1029998266</v>
      </c>
      <c r="J166" s="16">
        <f>IFERROR(__xludf.DUMMYFUNCTION("VLOOKUP(A166,IMPORTRANGE(""1QZ5UxyNCwadreQAXnQ7oCoH982DjIA-QnZdO7ZoqkC0/edit#gid=884617569"",""S3 Totals!$A$2:$O$255""),7,FALSE)"),18.0)</f>
        <v>18</v>
      </c>
      <c r="K166" s="15">
        <f>IFERROR(__xludf.DUMMYFUNCTION("VLOOKUP(A166,IMPORTRANGE(""1QZ5UxyNCwadreQAXnQ7oCoH982DjIA-QnZdO7ZoqkC0/edit#gid=884617569"",""S3 Totals!$A$2:$O$255""),8,FALSE)"),0.21176470588235294)</f>
        <v>0.2117647059</v>
      </c>
      <c r="L166" s="110">
        <f t="shared" si="5"/>
        <v>0.153100159</v>
      </c>
      <c r="M166" s="16">
        <f>IFERROR(__xludf.DUMMYFUNCTION("VLOOKUP(A166,IMPORTRANGE(""1QZ5UxyNCwadreQAXnQ7oCoH982DjIA-QnZdO7ZoqkC0/edit#gid=884617569"",""S3 Totals!$A$2:$O$255""),10,FALSE)"),19.0)</f>
        <v>19</v>
      </c>
      <c r="N166" s="15">
        <f>IFERROR(__xludf.DUMMYFUNCTION("VLOOKUP(A166,IMPORTRANGE(""1QZ5UxyNCwadreQAXnQ7oCoH982DjIA-QnZdO7ZoqkC0/edit#gid=884617569"",""S3 Totals!$A$2:$O$255""),11,FALSE)"),0.2235294117647059)</f>
        <v>0.2235294118</v>
      </c>
      <c r="O166" s="110">
        <f t="shared" si="3"/>
        <v>0.1326349718</v>
      </c>
      <c r="P166" s="16">
        <f>IFERROR(__xludf.DUMMYFUNCTION("VLOOKUP(A166,IMPORTRANGE(""1QZ5UxyNCwadreQAXnQ7oCoH982DjIA-QnZdO7ZoqkC0/edit#gid=884617569"",""S3 Totals!$A$2:$O$255""),13,FALSE)"),1.0)</f>
        <v>1</v>
      </c>
      <c r="Q166" s="15">
        <f>IFERROR(__xludf.DUMMYFUNCTION("VLOOKUP(A166,IMPORTRANGE(""1QZ5UxyNCwadreQAXnQ7oCoH982DjIA-QnZdO7ZoqkC0/edit#gid=884617569"",""S3 Totals!$A$2:$O$255""),14,FALSE)"),0.011764705882352941)</f>
        <v>0.01176470588</v>
      </c>
      <c r="R166" s="110">
        <f t="shared" si="4"/>
        <v>0.3443996777</v>
      </c>
      <c r="S166" s="144"/>
    </row>
    <row r="167">
      <c r="A167" s="128" t="s">
        <v>80</v>
      </c>
      <c r="B167" s="16">
        <f>IFERROR(__xludf.DUMMYFUNCTION("VLOOKUP(A167,IMPORTRANGE(""1aFCnJY1qhIj8-JckJhDJ18aqmVo17tofpQmOjcYa3u8/edit#gid=1878241338"",""S3 Totals!$A$2:$O$255""),2,FALSE)"),41.0)</f>
        <v>41</v>
      </c>
      <c r="C167" s="15">
        <f>IFERROR(__xludf.DUMMYFUNCTION("VLOOKUP(A167,IMPORTRANGE(""1aFCnJY1qhIj8-JckJhDJ18aqmVo17tofpQmOjcYa3u8/edit#gid=1878241338"",""S3 Totals!$A$2:$O$255""),3,FALSE)"),0.5616438356164384)</f>
        <v>0.5616438356</v>
      </c>
      <c r="D167" s="16">
        <f>IFERROR(__xludf.DUMMYFUNCTION("VLOOKUP(A167,IMPORTRANGE(""1QZ5UxyNCwadreQAXnQ7oCoH982DjIA-QnZdO7ZoqkC0/edit#gid=884617569"",""S3 Totals!$A$2:$O$255""),2,FALSE)"),45.0)</f>
        <v>45</v>
      </c>
      <c r="E167" s="15">
        <f>IFERROR(__xludf.DUMMYFUNCTION("VLOOKUP(A167,IMPORTRANGE(""1QZ5UxyNCwadreQAXnQ7oCoH982DjIA-QnZdO7ZoqkC0/edit#gid=884617569"",""S3 Totals!$A$2:$O$255""),3,FALSE)"),0.6081081081081081)</f>
        <v>0.6081081081</v>
      </c>
      <c r="F167" s="15">
        <f t="shared" si="1"/>
        <v>-0.04646427249</v>
      </c>
      <c r="G167" s="16">
        <f>IFERROR(__xludf.DUMMYFUNCTION("VLOOKUP(A167,IMPORTRANGE(""1QZ5UxyNCwadreQAXnQ7oCoH982DjIA-QnZdO7ZoqkC0/edit#gid=884617569"",""S3 Totals!$A$2:$O$255""),4,FALSE)"),47.0)</f>
        <v>47</v>
      </c>
      <c r="H167" s="15">
        <f>IFERROR(__xludf.DUMMYFUNCTION("VLOOKUP(A167,IMPORTRANGE(""1QZ5UxyNCwadreQAXnQ7oCoH982DjIA-QnZdO7ZoqkC0/edit#gid=884617569"",""S3 Totals!$A$2:$O$255""),5,FALSE)"),0.5949367088607594)</f>
        <v>0.5949367089</v>
      </c>
      <c r="I167" s="143">
        <f t="shared" si="2"/>
        <v>-0.03329287324</v>
      </c>
      <c r="J167" s="16">
        <f>IFERROR(__xludf.DUMMYFUNCTION("VLOOKUP(A167,IMPORTRANGE(""1QZ5UxyNCwadreQAXnQ7oCoH982DjIA-QnZdO7ZoqkC0/edit#gid=884617569"",""S3 Totals!$A$2:$O$255""),7,FALSE)"),53.0)</f>
        <v>53</v>
      </c>
      <c r="K167" s="15">
        <f>IFERROR(__xludf.DUMMYFUNCTION("VLOOKUP(A167,IMPORTRANGE(""1QZ5UxyNCwadreQAXnQ7oCoH982DjIA-QnZdO7ZoqkC0/edit#gid=884617569"",""S3 Totals!$A$2:$O$255""),8,FALSE)"),0.6235294117647059)</f>
        <v>0.6235294118</v>
      </c>
      <c r="L167" s="110">
        <f t="shared" si="5"/>
        <v>-0.01542130366</v>
      </c>
      <c r="M167" s="16">
        <f>IFERROR(__xludf.DUMMYFUNCTION("VLOOKUP(A167,IMPORTRANGE(""1QZ5UxyNCwadreQAXnQ7oCoH982DjIA-QnZdO7ZoqkC0/edit#gid=884617569"",""S3 Totals!$A$2:$O$255""),10,FALSE)"),27.0)</f>
        <v>27</v>
      </c>
      <c r="N167" s="15">
        <f>IFERROR(__xludf.DUMMYFUNCTION("VLOOKUP(A167,IMPORTRANGE(""1QZ5UxyNCwadreQAXnQ7oCoH982DjIA-QnZdO7ZoqkC0/edit#gid=884617569"",""S3 Totals!$A$2:$O$255""),11,FALSE)"),0.3176470588235294)</f>
        <v>0.3176470588</v>
      </c>
      <c r="O167" s="110">
        <f t="shared" si="3"/>
        <v>0.2439967768</v>
      </c>
      <c r="P167" s="16">
        <f>IFERROR(__xludf.DUMMYFUNCTION("VLOOKUP(A167,IMPORTRANGE(""1QZ5UxyNCwadreQAXnQ7oCoH982DjIA-QnZdO7ZoqkC0/edit#gid=884617569"",""S3 Totals!$A$2:$O$255""),13,FALSE)"),27.0)</f>
        <v>27</v>
      </c>
      <c r="Q167" s="15">
        <f>IFERROR(__xludf.DUMMYFUNCTION("VLOOKUP(A167,IMPORTRANGE(""1QZ5UxyNCwadreQAXnQ7oCoH982DjIA-QnZdO7ZoqkC0/edit#gid=884617569"",""S3 Totals!$A$2:$O$255""),14,FALSE)"),0.3176470588235294)</f>
        <v>0.3176470588</v>
      </c>
      <c r="R167" s="110">
        <f t="shared" si="4"/>
        <v>0.2439967768</v>
      </c>
      <c r="S167" s="144"/>
    </row>
    <row r="168">
      <c r="A168" s="128" t="s">
        <v>142</v>
      </c>
      <c r="B168" s="16">
        <f>IFERROR(__xludf.DUMMYFUNCTION("VLOOKUP(A168,IMPORTRANGE(""1aFCnJY1qhIj8-JckJhDJ18aqmVo17tofpQmOjcYa3u8/edit#gid=1878241338"",""S3 Totals!$A$2:$O$255""),2,FALSE)"),0.0)</f>
        <v>0</v>
      </c>
      <c r="C168" s="15">
        <f>IFERROR(__xludf.DUMMYFUNCTION("VLOOKUP(A168,IMPORTRANGE(""1aFCnJY1qhIj8-JckJhDJ18aqmVo17tofpQmOjcYa3u8/edit#gid=1878241338"",""S3 Totals!$A$2:$O$255""),3,FALSE)"),0.0)</f>
        <v>0</v>
      </c>
      <c r="D168" s="16">
        <f>IFERROR(__xludf.DUMMYFUNCTION("VLOOKUP(A168,IMPORTRANGE(""1QZ5UxyNCwadreQAXnQ7oCoH982DjIA-QnZdO7ZoqkC0/edit#gid=884617569"",""S3 Totals!$A$2:$O$255""),2,FALSE)"),0.0)</f>
        <v>0</v>
      </c>
      <c r="E168" s="15">
        <f>IFERROR(__xludf.DUMMYFUNCTION("VLOOKUP(A168,IMPORTRANGE(""1QZ5UxyNCwadreQAXnQ7oCoH982DjIA-QnZdO7ZoqkC0/edit#gid=884617569"",""S3 Totals!$A$2:$O$255""),3,FALSE)"),0.0)</f>
        <v>0</v>
      </c>
      <c r="F168" s="15">
        <f t="shared" si="1"/>
        <v>0</v>
      </c>
      <c r="G168" s="16">
        <f>IFERROR(__xludf.DUMMYFUNCTION("VLOOKUP(A168,IMPORTRANGE(""1QZ5UxyNCwadreQAXnQ7oCoH982DjIA-QnZdO7ZoqkC0/edit#gid=884617569"",""S3 Totals!$A$2:$O$255""),4,FALSE)"),0.0)</f>
        <v>0</v>
      </c>
      <c r="H168" s="15">
        <f>IFERROR(__xludf.DUMMYFUNCTION("VLOOKUP(A168,IMPORTRANGE(""1QZ5UxyNCwadreQAXnQ7oCoH982DjIA-QnZdO7ZoqkC0/edit#gid=884617569"",""S3 Totals!$A$2:$O$255""),5,FALSE)"),0.0)</f>
        <v>0</v>
      </c>
      <c r="I168" s="143">
        <f t="shared" si="2"/>
        <v>0</v>
      </c>
      <c r="J168" s="16">
        <f>IFERROR(__xludf.DUMMYFUNCTION("VLOOKUP(A168,IMPORTRANGE(""1QZ5UxyNCwadreQAXnQ7oCoH982DjIA-QnZdO7ZoqkC0/edit#gid=884617569"",""S3 Totals!$A$2:$O$255""),7,FALSE)"),0.0)</f>
        <v>0</v>
      </c>
      <c r="K168" s="15">
        <f>IFERROR(__xludf.DUMMYFUNCTION("VLOOKUP(A168,IMPORTRANGE(""1QZ5UxyNCwadreQAXnQ7oCoH982DjIA-QnZdO7ZoqkC0/edit#gid=884617569"",""S3 Totals!$A$2:$O$255""),8,FALSE)"),0.0)</f>
        <v>0</v>
      </c>
      <c r="L168" s="110">
        <f t="shared" si="5"/>
        <v>0</v>
      </c>
      <c r="M168" s="16">
        <f>IFERROR(__xludf.DUMMYFUNCTION("VLOOKUP(A168,IMPORTRANGE(""1QZ5UxyNCwadreQAXnQ7oCoH982DjIA-QnZdO7ZoqkC0/edit#gid=884617569"",""S3 Totals!$A$2:$O$255""),10,FALSE)"),0.0)</f>
        <v>0</v>
      </c>
      <c r="N168" s="15">
        <f>IFERROR(__xludf.DUMMYFUNCTION("VLOOKUP(A168,IMPORTRANGE(""1QZ5UxyNCwadreQAXnQ7oCoH982DjIA-QnZdO7ZoqkC0/edit#gid=884617569"",""S3 Totals!$A$2:$O$255""),11,FALSE)"),0.0)</f>
        <v>0</v>
      </c>
      <c r="O168" s="110">
        <f t="shared" si="3"/>
        <v>0</v>
      </c>
      <c r="P168" s="16" t="str">
        <f>IFERROR(__xludf.DUMMYFUNCTION("VLOOKUP(A168,IMPORTRANGE(""1QZ5UxyNCwadreQAXnQ7oCoH982DjIA-QnZdO7ZoqkC0/edit#gid=884617569"",""S3 Totals!$A$2:$O$255""),13,FALSE)"),"")</f>
        <v/>
      </c>
      <c r="Q168" s="15" t="str">
        <f>IFERROR(__xludf.DUMMYFUNCTION("VLOOKUP(A168,IMPORTRANGE(""1QZ5UxyNCwadreQAXnQ7oCoH982DjIA-QnZdO7ZoqkC0/edit#gid=884617569"",""S3 Totals!$A$2:$O$255""),14,FALSE)"),"")</f>
        <v/>
      </c>
      <c r="R168" s="110">
        <f t="shared" si="4"/>
        <v>0</v>
      </c>
      <c r="S168" s="144"/>
    </row>
    <row r="169">
      <c r="A169" s="128" t="s">
        <v>82</v>
      </c>
      <c r="B169" s="16">
        <f>IFERROR(__xludf.DUMMYFUNCTION("VLOOKUP(A169,IMPORTRANGE(""1aFCnJY1qhIj8-JckJhDJ18aqmVo17tofpQmOjcYa3u8/edit#gid=1878241338"",""S3 Totals!$A$2:$O$255""),2,FALSE)"),0.0)</f>
        <v>0</v>
      </c>
      <c r="C169" s="15">
        <f>IFERROR(__xludf.DUMMYFUNCTION("VLOOKUP(A169,IMPORTRANGE(""1aFCnJY1qhIj8-JckJhDJ18aqmVo17tofpQmOjcYa3u8/edit#gid=1878241338"",""S3 Totals!$A$2:$O$255""),3,FALSE)"),0.0)</f>
        <v>0</v>
      </c>
      <c r="D169" s="16">
        <f>IFERROR(__xludf.DUMMYFUNCTION("VLOOKUP(A169,IMPORTRANGE(""1QZ5UxyNCwadreQAXnQ7oCoH982DjIA-QnZdO7ZoqkC0/edit#gid=884617569"",""S3 Totals!$A$2:$O$255""),2,FALSE)"),15.0)</f>
        <v>15</v>
      </c>
      <c r="E169" s="15">
        <f>IFERROR(__xludf.DUMMYFUNCTION("VLOOKUP(A169,IMPORTRANGE(""1QZ5UxyNCwadreQAXnQ7oCoH982DjIA-QnZdO7ZoqkC0/edit#gid=884617569"",""S3 Totals!$A$2:$O$255""),3,FALSE)"),0.20270270270270271)</f>
        <v>0.2027027027</v>
      </c>
      <c r="F169" s="15">
        <f t="shared" si="1"/>
        <v>-0.2027027027</v>
      </c>
      <c r="G169" s="16">
        <f>IFERROR(__xludf.DUMMYFUNCTION("VLOOKUP(A169,IMPORTRANGE(""1QZ5UxyNCwadreQAXnQ7oCoH982DjIA-QnZdO7ZoqkC0/edit#gid=884617569"",""S3 Totals!$A$2:$O$255""),4,FALSE)"),1.0)</f>
        <v>1</v>
      </c>
      <c r="H169" s="15">
        <f>IFERROR(__xludf.DUMMYFUNCTION("VLOOKUP(A169,IMPORTRANGE(""1QZ5UxyNCwadreQAXnQ7oCoH982DjIA-QnZdO7ZoqkC0/edit#gid=884617569"",""S3 Totals!$A$2:$O$255""),5,FALSE)"),0.012658227848101266)</f>
        <v>0.01265822785</v>
      </c>
      <c r="I169" s="143">
        <f t="shared" si="2"/>
        <v>-0.01265822785</v>
      </c>
      <c r="J169" s="16">
        <f>IFERROR(__xludf.DUMMYFUNCTION("VLOOKUP(A169,IMPORTRANGE(""1QZ5UxyNCwadreQAXnQ7oCoH982DjIA-QnZdO7ZoqkC0/edit#gid=884617569"",""S3 Totals!$A$2:$O$255""),7,FALSE)"),0.0)</f>
        <v>0</v>
      </c>
      <c r="K169" s="15">
        <f>IFERROR(__xludf.DUMMYFUNCTION("VLOOKUP(A169,IMPORTRANGE(""1QZ5UxyNCwadreQAXnQ7oCoH982DjIA-QnZdO7ZoqkC0/edit#gid=884617569"",""S3 Totals!$A$2:$O$255""),8,FALSE)"),0.0)</f>
        <v>0</v>
      </c>
      <c r="L169" s="110">
        <f t="shared" si="5"/>
        <v>0.2027027027</v>
      </c>
      <c r="M169" s="16">
        <f>IFERROR(__xludf.DUMMYFUNCTION("VLOOKUP(A169,IMPORTRANGE(""1QZ5UxyNCwadreQAXnQ7oCoH982DjIA-QnZdO7ZoqkC0/edit#gid=884617569"",""S3 Totals!$A$2:$O$255""),10,FALSE)"),0.0)</f>
        <v>0</v>
      </c>
      <c r="N169" s="15">
        <f>IFERROR(__xludf.DUMMYFUNCTION("VLOOKUP(A169,IMPORTRANGE(""1QZ5UxyNCwadreQAXnQ7oCoH982DjIA-QnZdO7ZoqkC0/edit#gid=884617569"",""S3 Totals!$A$2:$O$255""),11,FALSE)"),0.0)</f>
        <v>0</v>
      </c>
      <c r="O169" s="110">
        <f t="shared" si="3"/>
        <v>0</v>
      </c>
      <c r="P169" s="16">
        <f>IFERROR(__xludf.DUMMYFUNCTION("VLOOKUP(A169,IMPORTRANGE(""1QZ5UxyNCwadreQAXnQ7oCoH982DjIA-QnZdO7ZoqkC0/edit#gid=884617569"",""S3 Totals!$A$2:$O$255""),13,FALSE)"),0.0)</f>
        <v>0</v>
      </c>
      <c r="Q169" s="15">
        <f>IFERROR(__xludf.DUMMYFUNCTION("VLOOKUP(A169,IMPORTRANGE(""1QZ5UxyNCwadreQAXnQ7oCoH982DjIA-QnZdO7ZoqkC0/edit#gid=884617569"",""S3 Totals!$A$2:$O$255""),14,FALSE)"),0.0)</f>
        <v>0</v>
      </c>
      <c r="R169" s="110">
        <f t="shared" si="4"/>
        <v>0</v>
      </c>
      <c r="S169" s="144"/>
    </row>
    <row r="170">
      <c r="A170" s="128" t="s">
        <v>66</v>
      </c>
      <c r="B170" s="16">
        <f>IFERROR(__xludf.DUMMYFUNCTION("VLOOKUP(A170,IMPORTRANGE(""1aFCnJY1qhIj8-JckJhDJ18aqmVo17tofpQmOjcYa3u8/edit#gid=1878241338"",""S3 Totals!$A$2:$O$255""),2,FALSE)"),26.0)</f>
        <v>26</v>
      </c>
      <c r="C170" s="15">
        <f>IFERROR(__xludf.DUMMYFUNCTION("VLOOKUP(A170,IMPORTRANGE(""1aFCnJY1qhIj8-JckJhDJ18aqmVo17tofpQmOjcYa3u8/edit#gid=1878241338"",""S3 Totals!$A$2:$O$255""),3,FALSE)"),0.3561643835616438)</f>
        <v>0.3561643836</v>
      </c>
      <c r="D170" s="16">
        <f>IFERROR(__xludf.DUMMYFUNCTION("VLOOKUP(A170,IMPORTRANGE(""1QZ5UxyNCwadreQAXnQ7oCoH982DjIA-QnZdO7ZoqkC0/edit#gid=884617569"",""S3 Totals!$A$2:$O$255""),2,FALSE)"),33.0)</f>
        <v>33</v>
      </c>
      <c r="E170" s="15">
        <f>IFERROR(__xludf.DUMMYFUNCTION("VLOOKUP(A170,IMPORTRANGE(""1QZ5UxyNCwadreQAXnQ7oCoH982DjIA-QnZdO7ZoqkC0/edit#gid=884617569"",""S3 Totals!$A$2:$O$255""),3,FALSE)"),0.44594594594594594)</f>
        <v>0.4459459459</v>
      </c>
      <c r="F170" s="15">
        <f t="shared" si="1"/>
        <v>-0.08978156238</v>
      </c>
      <c r="G170" s="16">
        <f>IFERROR(__xludf.DUMMYFUNCTION("VLOOKUP(A170,IMPORTRANGE(""1QZ5UxyNCwadreQAXnQ7oCoH982DjIA-QnZdO7ZoqkC0/edit#gid=884617569"",""S3 Totals!$A$2:$O$255""),4,FALSE)"),36.0)</f>
        <v>36</v>
      </c>
      <c r="H170" s="15">
        <f>IFERROR(__xludf.DUMMYFUNCTION("VLOOKUP(A170,IMPORTRANGE(""1QZ5UxyNCwadreQAXnQ7oCoH982DjIA-QnZdO7ZoqkC0/edit#gid=884617569"",""S3 Totals!$A$2:$O$255""),5,FALSE)"),0.45569620253164556)</f>
        <v>0.4556962025</v>
      </c>
      <c r="I170" s="143">
        <f t="shared" si="2"/>
        <v>-0.09953181897</v>
      </c>
      <c r="J170" s="16">
        <f>IFERROR(__xludf.DUMMYFUNCTION("VLOOKUP(A170,IMPORTRANGE(""1QZ5UxyNCwadreQAXnQ7oCoH982DjIA-QnZdO7ZoqkC0/edit#gid=884617569"",""S3 Totals!$A$2:$O$255""),7,FALSE)"),38.0)</f>
        <v>38</v>
      </c>
      <c r="K170" s="15">
        <f>IFERROR(__xludf.DUMMYFUNCTION("VLOOKUP(A170,IMPORTRANGE(""1QZ5UxyNCwadreQAXnQ7oCoH982DjIA-QnZdO7ZoqkC0/edit#gid=884617569"",""S3 Totals!$A$2:$O$255""),8,FALSE)"),0.4470588235294118)</f>
        <v>0.4470588235</v>
      </c>
      <c r="L170" s="110">
        <f t="shared" si="5"/>
        <v>-0.001112877583</v>
      </c>
      <c r="M170" s="16">
        <f>IFERROR(__xludf.DUMMYFUNCTION("VLOOKUP(A170,IMPORTRANGE(""1QZ5UxyNCwadreQAXnQ7oCoH982DjIA-QnZdO7ZoqkC0/edit#gid=884617569"",""S3 Totals!$A$2:$O$255""),10,FALSE)"),41.0)</f>
        <v>41</v>
      </c>
      <c r="N170" s="15">
        <f>IFERROR(__xludf.DUMMYFUNCTION("VLOOKUP(A170,IMPORTRANGE(""1QZ5UxyNCwadreQAXnQ7oCoH982DjIA-QnZdO7ZoqkC0/edit#gid=884617569"",""S3 Totals!$A$2:$O$255""),11,FALSE)"),0.4823529411764706)</f>
        <v>0.4823529412</v>
      </c>
      <c r="O170" s="110">
        <f t="shared" si="3"/>
        <v>-0.1261885576</v>
      </c>
      <c r="P170" s="16">
        <f>IFERROR(__xludf.DUMMYFUNCTION("VLOOKUP(A170,IMPORTRANGE(""1QZ5UxyNCwadreQAXnQ7oCoH982DjIA-QnZdO7ZoqkC0/edit#gid=884617569"",""S3 Totals!$A$2:$O$255""),13,FALSE)"),37.0)</f>
        <v>37</v>
      </c>
      <c r="Q170" s="15">
        <f>IFERROR(__xludf.DUMMYFUNCTION("VLOOKUP(A170,IMPORTRANGE(""1QZ5UxyNCwadreQAXnQ7oCoH982DjIA-QnZdO7ZoqkC0/edit#gid=884617569"",""S3 Totals!$A$2:$O$255""),14,FALSE)"),0.43529411764705883)</f>
        <v>0.4352941176</v>
      </c>
      <c r="R170" s="110">
        <f t="shared" si="4"/>
        <v>-0.07912973409</v>
      </c>
      <c r="S170" s="144"/>
    </row>
    <row r="171">
      <c r="A171" s="128" t="s">
        <v>245</v>
      </c>
      <c r="B171" s="16">
        <f>IFERROR(__xludf.DUMMYFUNCTION("VLOOKUP(A171,IMPORTRANGE(""1aFCnJY1qhIj8-JckJhDJ18aqmVo17tofpQmOjcYa3u8/edit#gid=1878241338"",""S3 Totals!$A$2:$O$255""),2,FALSE)"),6.0)</f>
        <v>6</v>
      </c>
      <c r="C171" s="15">
        <f>IFERROR(__xludf.DUMMYFUNCTION("VLOOKUP(A171,IMPORTRANGE(""1aFCnJY1qhIj8-JckJhDJ18aqmVo17tofpQmOjcYa3u8/edit#gid=1878241338"",""S3 Totals!$A$2:$O$255""),3,FALSE)"),0.0821917808219178)</f>
        <v>0.08219178082</v>
      </c>
      <c r="D171" s="16">
        <f>IFERROR(__xludf.DUMMYFUNCTION("VLOOKUP(A171,IMPORTRANGE(""1QZ5UxyNCwadreQAXnQ7oCoH982DjIA-QnZdO7ZoqkC0/edit#gid=884617569"",""S3 Totals!$A$2:$O$255""),2,FALSE)"),10.0)</f>
        <v>10</v>
      </c>
      <c r="E171" s="15">
        <f>IFERROR(__xludf.DUMMYFUNCTION("VLOOKUP(A171,IMPORTRANGE(""1QZ5UxyNCwadreQAXnQ7oCoH982DjIA-QnZdO7ZoqkC0/edit#gid=884617569"",""S3 Totals!$A$2:$O$255""),3,FALSE)"),0.13513513513513514)</f>
        <v>0.1351351351</v>
      </c>
      <c r="F171" s="15">
        <f t="shared" si="1"/>
        <v>-0.05294335431</v>
      </c>
      <c r="G171" s="16">
        <f>IFERROR(__xludf.DUMMYFUNCTION("VLOOKUP(A171,IMPORTRANGE(""1QZ5UxyNCwadreQAXnQ7oCoH982DjIA-QnZdO7ZoqkC0/edit#gid=884617569"",""S3 Totals!$A$2:$O$255""),4,FALSE)"),1.0)</f>
        <v>1</v>
      </c>
      <c r="H171" s="15">
        <f>IFERROR(__xludf.DUMMYFUNCTION("VLOOKUP(A171,IMPORTRANGE(""1QZ5UxyNCwadreQAXnQ7oCoH982DjIA-QnZdO7ZoqkC0/edit#gid=884617569"",""S3 Totals!$A$2:$O$255""),5,FALSE)"),0.012658227848101266)</f>
        <v>0.01265822785</v>
      </c>
      <c r="I171" s="143">
        <f t="shared" si="2"/>
        <v>0.06953355297</v>
      </c>
      <c r="J171" s="16" t="str">
        <f>IFERROR(__xludf.DUMMYFUNCTION("VLOOKUP(A171,IMPORTRANGE(""1QZ5UxyNCwadreQAXnQ7oCoH982DjIA-QnZdO7ZoqkC0/edit#gid=884617569"",""S3 Totals!$A$2:$O$255""),7,FALSE)"),"")</f>
        <v/>
      </c>
      <c r="K171" s="15" t="str">
        <f>IFERROR(__xludf.DUMMYFUNCTION("VLOOKUP(A171,IMPORTRANGE(""1QZ5UxyNCwadreQAXnQ7oCoH982DjIA-QnZdO7ZoqkC0/edit#gid=884617569"",""S3 Totals!$A$2:$O$255""),8,FALSE)"),"")</f>
        <v/>
      </c>
      <c r="L171" s="110">
        <f t="shared" si="5"/>
        <v>0.1351351351</v>
      </c>
      <c r="M171" s="16" t="str">
        <f>IFERROR(__xludf.DUMMYFUNCTION("VLOOKUP(A171,IMPORTRANGE(""1QZ5UxyNCwadreQAXnQ7oCoH982DjIA-QnZdO7ZoqkC0/edit#gid=884617569"",""S3 Totals!$A$2:$O$255""),10,FALSE)"),"")</f>
        <v/>
      </c>
      <c r="N171" s="15" t="str">
        <f>IFERROR(__xludf.DUMMYFUNCTION("VLOOKUP(A171,IMPORTRANGE(""1QZ5UxyNCwadreQAXnQ7oCoH982DjIA-QnZdO7ZoqkC0/edit#gid=884617569"",""S3 Totals!$A$2:$O$255""),11,FALSE)"),"")</f>
        <v/>
      </c>
      <c r="O171" s="110">
        <f t="shared" si="3"/>
        <v>0.08219178082</v>
      </c>
      <c r="P171" s="16" t="str">
        <f>IFERROR(__xludf.DUMMYFUNCTION("VLOOKUP(A171,IMPORTRANGE(""1QZ5UxyNCwadreQAXnQ7oCoH982DjIA-QnZdO7ZoqkC0/edit#gid=884617569"",""S3 Totals!$A$2:$O$255""),13,FALSE)"),"")</f>
        <v/>
      </c>
      <c r="Q171" s="15" t="str">
        <f>IFERROR(__xludf.DUMMYFUNCTION("VLOOKUP(A171,IMPORTRANGE(""1QZ5UxyNCwadreQAXnQ7oCoH982DjIA-QnZdO7ZoqkC0/edit#gid=884617569"",""S3 Totals!$A$2:$O$255""),14,FALSE)"),"")</f>
        <v/>
      </c>
      <c r="R171" s="110">
        <f t="shared" si="4"/>
        <v>0.08219178082</v>
      </c>
      <c r="S171" s="144"/>
    </row>
    <row r="172">
      <c r="A172" s="128" t="s">
        <v>143</v>
      </c>
      <c r="B172" s="16">
        <f>IFERROR(__xludf.DUMMYFUNCTION("VLOOKUP(A172,IMPORTRANGE(""1aFCnJY1qhIj8-JckJhDJ18aqmVo17tofpQmOjcYa3u8/edit#gid=1878241338"",""S3 Totals!$A$2:$O$255""),2,FALSE)"),73.0)</f>
        <v>73</v>
      </c>
      <c r="C172" s="15">
        <f>IFERROR(__xludf.DUMMYFUNCTION("VLOOKUP(A172,IMPORTRANGE(""1aFCnJY1qhIj8-JckJhDJ18aqmVo17tofpQmOjcYa3u8/edit#gid=1878241338"",""S3 Totals!$A$2:$O$255""),3,FALSE)"),1.0)</f>
        <v>1</v>
      </c>
      <c r="D172" s="16">
        <f>IFERROR(__xludf.DUMMYFUNCTION("VLOOKUP(A172,IMPORTRANGE(""1QZ5UxyNCwadreQAXnQ7oCoH982DjIA-QnZdO7ZoqkC0/edit#gid=884617569"",""S3 Totals!$A$2:$O$255""),2,FALSE)"),69.0)</f>
        <v>69</v>
      </c>
      <c r="E172" s="15">
        <f>IFERROR(__xludf.DUMMYFUNCTION("VLOOKUP(A172,IMPORTRANGE(""1QZ5UxyNCwadreQAXnQ7oCoH982DjIA-QnZdO7ZoqkC0/edit#gid=884617569"",""S3 Totals!$A$2:$O$255""),3,FALSE)"),0.9324324324324325)</f>
        <v>0.9324324324</v>
      </c>
      <c r="F172" s="15">
        <f t="shared" si="1"/>
        <v>0.06756756757</v>
      </c>
      <c r="G172" s="16">
        <f>IFERROR(__xludf.DUMMYFUNCTION("VLOOKUP(A172,IMPORTRANGE(""1QZ5UxyNCwadreQAXnQ7oCoH982DjIA-QnZdO7ZoqkC0/edit#gid=884617569"",""S3 Totals!$A$2:$O$255""),4,FALSE)"),18.0)</f>
        <v>18</v>
      </c>
      <c r="H172" s="15">
        <f>IFERROR(__xludf.DUMMYFUNCTION("VLOOKUP(A172,IMPORTRANGE(""1QZ5UxyNCwadreQAXnQ7oCoH982DjIA-QnZdO7ZoqkC0/edit#gid=884617569"",""S3 Totals!$A$2:$O$255""),5,FALSE)"),0.22784810126582278)</f>
        <v>0.2278481013</v>
      </c>
      <c r="I172" s="143">
        <f t="shared" si="2"/>
        <v>0.7721518987</v>
      </c>
      <c r="J172" s="16">
        <f>IFERROR(__xludf.DUMMYFUNCTION("VLOOKUP(A172,IMPORTRANGE(""1QZ5UxyNCwadreQAXnQ7oCoH982DjIA-QnZdO7ZoqkC0/edit#gid=884617569"",""S3 Totals!$A$2:$O$255""),7,FALSE)"),1.0)</f>
        <v>1</v>
      </c>
      <c r="K172" s="15">
        <f>IFERROR(__xludf.DUMMYFUNCTION("VLOOKUP(A172,IMPORTRANGE(""1QZ5UxyNCwadreQAXnQ7oCoH982DjIA-QnZdO7ZoqkC0/edit#gid=884617569"",""S3 Totals!$A$2:$O$255""),8,FALSE)"),0.011764705882352941)</f>
        <v>0.01176470588</v>
      </c>
      <c r="L172" s="110">
        <f t="shared" si="5"/>
        <v>0.9206677266</v>
      </c>
      <c r="M172" s="16">
        <f>IFERROR(__xludf.DUMMYFUNCTION("VLOOKUP(A172,IMPORTRANGE(""1QZ5UxyNCwadreQAXnQ7oCoH982DjIA-QnZdO7ZoqkC0/edit#gid=884617569"",""S3 Totals!$A$2:$O$255""),10,FALSE)"),1.0)</f>
        <v>1</v>
      </c>
      <c r="N172" s="15">
        <f>IFERROR(__xludf.DUMMYFUNCTION("VLOOKUP(A172,IMPORTRANGE(""1QZ5UxyNCwadreQAXnQ7oCoH982DjIA-QnZdO7ZoqkC0/edit#gid=884617569"",""S3 Totals!$A$2:$O$255""),11,FALSE)"),0.011764705882352941)</f>
        <v>0.01176470588</v>
      </c>
      <c r="O172" s="110">
        <f t="shared" si="3"/>
        <v>0.9882352941</v>
      </c>
      <c r="P172" s="16" t="str">
        <f>IFERROR(__xludf.DUMMYFUNCTION("VLOOKUP(A172,IMPORTRANGE(""1QZ5UxyNCwadreQAXnQ7oCoH982DjIA-QnZdO7ZoqkC0/edit#gid=884617569"",""S3 Totals!$A$2:$O$255""),13,FALSE)"),"")</f>
        <v/>
      </c>
      <c r="Q172" s="15" t="str">
        <f>IFERROR(__xludf.DUMMYFUNCTION("VLOOKUP(A172,IMPORTRANGE(""1QZ5UxyNCwadreQAXnQ7oCoH982DjIA-QnZdO7ZoqkC0/edit#gid=884617569"",""S3 Totals!$A$2:$O$255""),14,FALSE)"),"")</f>
        <v/>
      </c>
      <c r="R172" s="110">
        <f t="shared" si="4"/>
        <v>1</v>
      </c>
      <c r="S172" s="144"/>
    </row>
    <row r="173">
      <c r="A173" s="128" t="s">
        <v>269</v>
      </c>
      <c r="B173" s="16">
        <f>IFERROR(__xludf.DUMMYFUNCTION("VLOOKUP(A173,IMPORTRANGE(""1aFCnJY1qhIj8-JckJhDJ18aqmVo17tofpQmOjcYa3u8/edit#gid=1878241338"",""S3 Totals!$A$2:$O$255""),2,FALSE)"),14.0)</f>
        <v>14</v>
      </c>
      <c r="C173" s="15">
        <f>IFERROR(__xludf.DUMMYFUNCTION("VLOOKUP(A173,IMPORTRANGE(""1aFCnJY1qhIj8-JckJhDJ18aqmVo17tofpQmOjcYa3u8/edit#gid=1878241338"",""S3 Totals!$A$2:$O$255""),3,FALSE)"),0.1917808219178082)</f>
        <v>0.1917808219</v>
      </c>
      <c r="D173" s="16" t="str">
        <f>IFERROR(__xludf.DUMMYFUNCTION("VLOOKUP(A173,IMPORTRANGE(""1QZ5UxyNCwadreQAXnQ7oCoH982DjIA-QnZdO7ZoqkC0/edit#gid=884617569"",""S3 Totals!$A$2:$O$255""),2,FALSE)"),"#N/A")</f>
        <v>#N/A</v>
      </c>
      <c r="E173" s="15" t="str">
        <f>IFERROR(__xludf.DUMMYFUNCTION("VLOOKUP(A173,IMPORTRANGE(""1QZ5UxyNCwadreQAXnQ7oCoH982DjIA-QnZdO7ZoqkC0/edit#gid=884617569"",""S3 Totals!$A$2:$O$255""),3,FALSE)"),"#N/A")</f>
        <v>#N/A</v>
      </c>
      <c r="F173" s="16" t="str">
        <f t="shared" si="1"/>
        <v>#N/A</v>
      </c>
      <c r="G173" s="16" t="str">
        <f>IFERROR(__xludf.DUMMYFUNCTION("VLOOKUP(A173,IMPORTRANGE(""1QZ5UxyNCwadreQAXnQ7oCoH982DjIA-QnZdO7ZoqkC0/edit#gid=884617569"",""S3 Totals!$A$2:$O$255""),4,FALSE)"),"#N/A")</f>
        <v>#N/A</v>
      </c>
      <c r="H173" s="15" t="str">
        <f>IFERROR(__xludf.DUMMYFUNCTION("VLOOKUP(A173,IMPORTRANGE(""1QZ5UxyNCwadreQAXnQ7oCoH982DjIA-QnZdO7ZoqkC0/edit#gid=884617569"",""S3 Totals!$A$2:$O$255""),5,FALSE)"),"#N/A")</f>
        <v>#N/A</v>
      </c>
      <c r="I173" s="143" t="str">
        <f t="shared" si="2"/>
        <v>#N/A</v>
      </c>
      <c r="J173" s="16" t="str">
        <f>IFERROR(__xludf.DUMMYFUNCTION("VLOOKUP(A173,IMPORTRANGE(""1QZ5UxyNCwadreQAXnQ7oCoH982DjIA-QnZdO7ZoqkC0/edit#gid=884617569"",""S3 Totals!$A$2:$O$255""),7,FALSE)"),"#N/A")</f>
        <v>#N/A</v>
      </c>
      <c r="K173" s="15" t="str">
        <f>IFERROR(__xludf.DUMMYFUNCTION("VLOOKUP(A173,IMPORTRANGE(""1QZ5UxyNCwadreQAXnQ7oCoH982DjIA-QnZdO7ZoqkC0/edit#gid=884617569"",""S3 Totals!$A$2:$O$255""),8,FALSE)"),"#N/A")</f>
        <v>#N/A</v>
      </c>
      <c r="L173" s="110" t="str">
        <f t="shared" si="5"/>
        <v>#N/A</v>
      </c>
      <c r="M173" s="16" t="str">
        <f>IFERROR(__xludf.DUMMYFUNCTION("VLOOKUP(A173,IMPORTRANGE(""1QZ5UxyNCwadreQAXnQ7oCoH982DjIA-QnZdO7ZoqkC0/edit#gid=884617569"",""S3 Totals!$A$2:$O$255""),10,FALSE)"),"#N/A")</f>
        <v>#N/A</v>
      </c>
      <c r="N173" s="15" t="str">
        <f>IFERROR(__xludf.DUMMYFUNCTION("VLOOKUP(A173,IMPORTRANGE(""1QZ5UxyNCwadreQAXnQ7oCoH982DjIA-QnZdO7ZoqkC0/edit#gid=884617569"",""S3 Totals!$A$2:$O$255""),11,FALSE)"),"#N/A")</f>
        <v>#N/A</v>
      </c>
      <c r="O173" s="110" t="str">
        <f t="shared" si="3"/>
        <v>#N/A</v>
      </c>
      <c r="P173" s="16" t="str">
        <f>IFERROR(__xludf.DUMMYFUNCTION("VLOOKUP(A173,IMPORTRANGE(""1QZ5UxyNCwadreQAXnQ7oCoH982DjIA-QnZdO7ZoqkC0/edit#gid=884617569"",""S3 Totals!$A$2:$O$255""),13,FALSE)"),"#N/A")</f>
        <v>#N/A</v>
      </c>
      <c r="Q173" s="15" t="str">
        <f>IFERROR(__xludf.DUMMYFUNCTION("VLOOKUP(A173,IMPORTRANGE(""1QZ5UxyNCwadreQAXnQ7oCoH982DjIA-QnZdO7ZoqkC0/edit#gid=884617569"",""S3 Totals!$A$2:$O$255""),14,FALSE)"),"#N/A")</f>
        <v>#N/A</v>
      </c>
      <c r="R173" s="110" t="str">
        <f t="shared" si="4"/>
        <v>#N/A</v>
      </c>
      <c r="S173" s="144"/>
    </row>
    <row r="174">
      <c r="A174" s="128" t="s">
        <v>190</v>
      </c>
      <c r="B174" s="16">
        <f>IFERROR(__xludf.DUMMYFUNCTION("VLOOKUP(A174,IMPORTRANGE(""1aFCnJY1qhIj8-JckJhDJ18aqmVo17tofpQmOjcYa3u8/edit#gid=1878241338"",""S3 Totals!$A$2:$O$255""),2,FALSE)"),37.0)</f>
        <v>37</v>
      </c>
      <c r="C174" s="15">
        <f>IFERROR(__xludf.DUMMYFUNCTION("VLOOKUP(A174,IMPORTRANGE(""1aFCnJY1qhIj8-JckJhDJ18aqmVo17tofpQmOjcYa3u8/edit#gid=1878241338"",""S3 Totals!$A$2:$O$255""),3,FALSE)"),0.5068493150684932)</f>
        <v>0.5068493151</v>
      </c>
      <c r="D174" s="16">
        <f>IFERROR(__xludf.DUMMYFUNCTION("VLOOKUP(A174,IMPORTRANGE(""1QZ5UxyNCwadreQAXnQ7oCoH982DjIA-QnZdO7ZoqkC0/edit#gid=884617569"",""S3 Totals!$A$2:$O$255""),2,FALSE)"),50.0)</f>
        <v>50</v>
      </c>
      <c r="E174" s="15">
        <f>IFERROR(__xludf.DUMMYFUNCTION("VLOOKUP(A174,IMPORTRANGE(""1QZ5UxyNCwadreQAXnQ7oCoH982DjIA-QnZdO7ZoqkC0/edit#gid=884617569"",""S3 Totals!$A$2:$O$255""),3,FALSE)"),0.6756756756756757)</f>
        <v>0.6756756757</v>
      </c>
      <c r="F174" s="15">
        <f t="shared" si="1"/>
        <v>-0.1688263606</v>
      </c>
      <c r="G174" s="16">
        <f>IFERROR(__xludf.DUMMYFUNCTION("VLOOKUP(A174,IMPORTRANGE(""1QZ5UxyNCwadreQAXnQ7oCoH982DjIA-QnZdO7ZoqkC0/edit#gid=884617569"",""S3 Totals!$A$2:$O$255""),4,FALSE)"),48.0)</f>
        <v>48</v>
      </c>
      <c r="H174" s="15">
        <f>IFERROR(__xludf.DUMMYFUNCTION("VLOOKUP(A174,IMPORTRANGE(""1QZ5UxyNCwadreQAXnQ7oCoH982DjIA-QnZdO7ZoqkC0/edit#gid=884617569"",""S3 Totals!$A$2:$O$255""),5,FALSE)"),0.6075949367088608)</f>
        <v>0.6075949367</v>
      </c>
      <c r="I174" s="143">
        <f t="shared" si="2"/>
        <v>-0.1007456216</v>
      </c>
      <c r="J174" s="16">
        <f>IFERROR(__xludf.DUMMYFUNCTION("VLOOKUP(A174,IMPORTRANGE(""1QZ5UxyNCwadreQAXnQ7oCoH982DjIA-QnZdO7ZoqkC0/edit#gid=884617569"",""S3 Totals!$A$2:$O$255""),7,FALSE)"),66.0)</f>
        <v>66</v>
      </c>
      <c r="K174" s="15">
        <f>IFERROR(__xludf.DUMMYFUNCTION("VLOOKUP(A174,IMPORTRANGE(""1QZ5UxyNCwadreQAXnQ7oCoH982DjIA-QnZdO7ZoqkC0/edit#gid=884617569"",""S3 Totals!$A$2:$O$255""),8,FALSE)"),0.7764705882352941)</f>
        <v>0.7764705882</v>
      </c>
      <c r="L174" s="110">
        <f t="shared" si="5"/>
        <v>-0.1007949126</v>
      </c>
      <c r="M174" s="16" t="str">
        <f>IFERROR(__xludf.DUMMYFUNCTION("VLOOKUP(A174,IMPORTRANGE(""1QZ5UxyNCwadreQAXnQ7oCoH982DjIA-QnZdO7ZoqkC0/edit#gid=884617569"",""S3 Totals!$A$2:$O$255""),10,FALSE)"),"")</f>
        <v/>
      </c>
      <c r="N174" s="15" t="str">
        <f>IFERROR(__xludf.DUMMYFUNCTION("VLOOKUP(A174,IMPORTRANGE(""1QZ5UxyNCwadreQAXnQ7oCoH982DjIA-QnZdO7ZoqkC0/edit#gid=884617569"",""S3 Totals!$A$2:$O$255""),11,FALSE)"),"")</f>
        <v/>
      </c>
      <c r="O174" s="110">
        <f t="shared" si="3"/>
        <v>0.5068493151</v>
      </c>
      <c r="P174" s="16" t="str">
        <f>IFERROR(__xludf.DUMMYFUNCTION("VLOOKUP(A174,IMPORTRANGE(""1QZ5UxyNCwadreQAXnQ7oCoH982DjIA-QnZdO7ZoqkC0/edit#gid=884617569"",""S3 Totals!$A$2:$O$255""),13,FALSE)"),"")</f>
        <v/>
      </c>
      <c r="Q174" s="15" t="str">
        <f>IFERROR(__xludf.DUMMYFUNCTION("VLOOKUP(A174,IMPORTRANGE(""1QZ5UxyNCwadreQAXnQ7oCoH982DjIA-QnZdO7ZoqkC0/edit#gid=884617569"",""S3 Totals!$A$2:$O$255""),14,FALSE)"),"")</f>
        <v/>
      </c>
      <c r="R174" s="110">
        <f t="shared" si="4"/>
        <v>0.5068493151</v>
      </c>
      <c r="S174" s="144"/>
    </row>
    <row r="175">
      <c r="A175" s="128" t="s">
        <v>246</v>
      </c>
      <c r="B175" s="16">
        <f>IFERROR(__xludf.DUMMYFUNCTION("VLOOKUP(A175,IMPORTRANGE(""1aFCnJY1qhIj8-JckJhDJ18aqmVo17tofpQmOjcYa3u8/edit#gid=1878241338"",""S3 Totals!$A$2:$O$255""),2,FALSE)"),0.0)</f>
        <v>0</v>
      </c>
      <c r="C175" s="15">
        <f>IFERROR(__xludf.DUMMYFUNCTION("VLOOKUP(A175,IMPORTRANGE(""1aFCnJY1qhIj8-JckJhDJ18aqmVo17tofpQmOjcYa3u8/edit#gid=1878241338"",""S3 Totals!$A$2:$O$255""),3,FALSE)"),0.0)</f>
        <v>0</v>
      </c>
      <c r="D175" s="16">
        <f>IFERROR(__xludf.DUMMYFUNCTION("VLOOKUP(A175,IMPORTRANGE(""1QZ5UxyNCwadreQAXnQ7oCoH982DjIA-QnZdO7ZoqkC0/edit#gid=884617569"",""S3 Totals!$A$2:$O$255""),2,FALSE)"),0.0)</f>
        <v>0</v>
      </c>
      <c r="E175" s="15">
        <f>IFERROR(__xludf.DUMMYFUNCTION("VLOOKUP(A175,IMPORTRANGE(""1QZ5UxyNCwadreQAXnQ7oCoH982DjIA-QnZdO7ZoqkC0/edit#gid=884617569"",""S3 Totals!$A$2:$O$255""),3,FALSE)"),0.0)</f>
        <v>0</v>
      </c>
      <c r="F175" s="15">
        <f t="shared" si="1"/>
        <v>0</v>
      </c>
      <c r="G175" s="16">
        <f>IFERROR(__xludf.DUMMYFUNCTION("VLOOKUP(A175,IMPORTRANGE(""1QZ5UxyNCwadreQAXnQ7oCoH982DjIA-QnZdO7ZoqkC0/edit#gid=884617569"",""S3 Totals!$A$2:$O$255""),4,FALSE)"),0.0)</f>
        <v>0</v>
      </c>
      <c r="H175" s="15">
        <f>IFERROR(__xludf.DUMMYFUNCTION("VLOOKUP(A175,IMPORTRANGE(""1QZ5UxyNCwadreQAXnQ7oCoH982DjIA-QnZdO7ZoqkC0/edit#gid=884617569"",""S3 Totals!$A$2:$O$255""),5,FALSE)"),0.0)</f>
        <v>0</v>
      </c>
      <c r="I175" s="143">
        <f t="shared" si="2"/>
        <v>0</v>
      </c>
      <c r="J175" s="16" t="str">
        <f>IFERROR(__xludf.DUMMYFUNCTION("VLOOKUP(A175,IMPORTRANGE(""1QZ5UxyNCwadreQAXnQ7oCoH982DjIA-QnZdO7ZoqkC0/edit#gid=884617569"",""S3 Totals!$A$2:$O$255""),7,FALSE)"),"")</f>
        <v/>
      </c>
      <c r="K175" s="15" t="str">
        <f>IFERROR(__xludf.DUMMYFUNCTION("VLOOKUP(A175,IMPORTRANGE(""1QZ5UxyNCwadreQAXnQ7oCoH982DjIA-QnZdO7ZoqkC0/edit#gid=884617569"",""S3 Totals!$A$2:$O$255""),8,FALSE)"),"")</f>
        <v/>
      </c>
      <c r="L175" s="110">
        <f t="shared" si="5"/>
        <v>0</v>
      </c>
      <c r="M175" s="16" t="str">
        <f>IFERROR(__xludf.DUMMYFUNCTION("VLOOKUP(A175,IMPORTRANGE(""1QZ5UxyNCwadreQAXnQ7oCoH982DjIA-QnZdO7ZoqkC0/edit#gid=884617569"",""S3 Totals!$A$2:$O$255""),10,FALSE)"),"")</f>
        <v/>
      </c>
      <c r="N175" s="15" t="str">
        <f>IFERROR(__xludf.DUMMYFUNCTION("VLOOKUP(A175,IMPORTRANGE(""1QZ5UxyNCwadreQAXnQ7oCoH982DjIA-QnZdO7ZoqkC0/edit#gid=884617569"",""S3 Totals!$A$2:$O$255""),11,FALSE)"),"")</f>
        <v/>
      </c>
      <c r="O175" s="110">
        <f t="shared" si="3"/>
        <v>0</v>
      </c>
      <c r="P175" s="16" t="str">
        <f>IFERROR(__xludf.DUMMYFUNCTION("VLOOKUP(A175,IMPORTRANGE(""1QZ5UxyNCwadreQAXnQ7oCoH982DjIA-QnZdO7ZoqkC0/edit#gid=884617569"",""S3 Totals!$A$2:$O$255""),13,FALSE)"),"")</f>
        <v/>
      </c>
      <c r="Q175" s="15" t="str">
        <f>IFERROR(__xludf.DUMMYFUNCTION("VLOOKUP(A175,IMPORTRANGE(""1QZ5UxyNCwadreQAXnQ7oCoH982DjIA-QnZdO7ZoqkC0/edit#gid=884617569"",""S3 Totals!$A$2:$O$255""),14,FALSE)"),"")</f>
        <v/>
      </c>
      <c r="R175" s="110">
        <f t="shared" si="4"/>
        <v>0</v>
      </c>
      <c r="S175" s="144"/>
    </row>
    <row r="176">
      <c r="A176" s="128" t="s">
        <v>191</v>
      </c>
      <c r="B176" s="16">
        <f>IFERROR(__xludf.DUMMYFUNCTION("VLOOKUP(A176,IMPORTRANGE(""1aFCnJY1qhIj8-JckJhDJ18aqmVo17tofpQmOjcYa3u8/edit#gid=1878241338"",""S3 Totals!$A$2:$O$255""),2,FALSE)"),15.0)</f>
        <v>15</v>
      </c>
      <c r="C176" s="15">
        <f>IFERROR(__xludf.DUMMYFUNCTION("VLOOKUP(A176,IMPORTRANGE(""1aFCnJY1qhIj8-JckJhDJ18aqmVo17tofpQmOjcYa3u8/edit#gid=1878241338"",""S3 Totals!$A$2:$O$255""),3,FALSE)"),0.2054794520547945)</f>
        <v>0.2054794521</v>
      </c>
      <c r="D176" s="16">
        <f>IFERROR(__xludf.DUMMYFUNCTION("VLOOKUP(A176,IMPORTRANGE(""1QZ5UxyNCwadreQAXnQ7oCoH982DjIA-QnZdO7ZoqkC0/edit#gid=884617569"",""S3 Totals!$A$2:$O$255""),2,FALSE)"),18.0)</f>
        <v>18</v>
      </c>
      <c r="E176" s="15">
        <f>IFERROR(__xludf.DUMMYFUNCTION("VLOOKUP(A176,IMPORTRANGE(""1QZ5UxyNCwadreQAXnQ7oCoH982DjIA-QnZdO7ZoqkC0/edit#gid=884617569"",""S3 Totals!$A$2:$O$255""),3,FALSE)"),0.24324324324324326)</f>
        <v>0.2432432432</v>
      </c>
      <c r="F176" s="15">
        <f t="shared" si="1"/>
        <v>-0.03776379119</v>
      </c>
      <c r="G176" s="16">
        <f>IFERROR(__xludf.DUMMYFUNCTION("VLOOKUP(A176,IMPORTRANGE(""1QZ5UxyNCwadreQAXnQ7oCoH982DjIA-QnZdO7ZoqkC0/edit#gid=884617569"",""S3 Totals!$A$2:$O$255""),4,FALSE)"),19.0)</f>
        <v>19</v>
      </c>
      <c r="H176" s="15">
        <f>IFERROR(__xludf.DUMMYFUNCTION("VLOOKUP(A176,IMPORTRANGE(""1QZ5UxyNCwadreQAXnQ7oCoH982DjIA-QnZdO7ZoqkC0/edit#gid=884617569"",""S3 Totals!$A$2:$O$255""),5,FALSE)"),0.24050632911392406)</f>
        <v>0.2405063291</v>
      </c>
      <c r="I176" s="143">
        <f t="shared" si="2"/>
        <v>-0.03502687706</v>
      </c>
      <c r="J176" s="16">
        <f>IFERROR(__xludf.DUMMYFUNCTION("VLOOKUP(A176,IMPORTRANGE(""1QZ5UxyNCwadreQAXnQ7oCoH982DjIA-QnZdO7ZoqkC0/edit#gid=884617569"",""S3 Totals!$A$2:$O$255""),7,FALSE)"),10.0)</f>
        <v>10</v>
      </c>
      <c r="K176" s="15">
        <f>IFERROR(__xludf.DUMMYFUNCTION("VLOOKUP(A176,IMPORTRANGE(""1QZ5UxyNCwadreQAXnQ7oCoH982DjIA-QnZdO7ZoqkC0/edit#gid=884617569"",""S3 Totals!$A$2:$O$255""),8,FALSE)"),0.11764705882352941)</f>
        <v>0.1176470588</v>
      </c>
      <c r="L176" s="110">
        <f t="shared" si="5"/>
        <v>0.1255961844</v>
      </c>
      <c r="M176" s="16" t="str">
        <f>IFERROR(__xludf.DUMMYFUNCTION("VLOOKUP(A176,IMPORTRANGE(""1QZ5UxyNCwadreQAXnQ7oCoH982DjIA-QnZdO7ZoqkC0/edit#gid=884617569"",""S3 Totals!$A$2:$O$255""),10,FALSE)"),"")</f>
        <v/>
      </c>
      <c r="N176" s="15" t="str">
        <f>IFERROR(__xludf.DUMMYFUNCTION("VLOOKUP(A176,IMPORTRANGE(""1QZ5UxyNCwadreQAXnQ7oCoH982DjIA-QnZdO7ZoqkC0/edit#gid=884617569"",""S3 Totals!$A$2:$O$255""),11,FALSE)"),"")</f>
        <v/>
      </c>
      <c r="O176" s="110">
        <f t="shared" si="3"/>
        <v>0.2054794521</v>
      </c>
      <c r="P176" s="16" t="str">
        <f>IFERROR(__xludf.DUMMYFUNCTION("VLOOKUP(A176,IMPORTRANGE(""1QZ5UxyNCwadreQAXnQ7oCoH982DjIA-QnZdO7ZoqkC0/edit#gid=884617569"",""S3 Totals!$A$2:$O$255""),13,FALSE)"),"")</f>
        <v/>
      </c>
      <c r="Q176" s="15" t="str">
        <f>IFERROR(__xludf.DUMMYFUNCTION("VLOOKUP(A176,IMPORTRANGE(""1QZ5UxyNCwadreQAXnQ7oCoH982DjIA-QnZdO7ZoqkC0/edit#gid=884617569"",""S3 Totals!$A$2:$O$255""),14,FALSE)"),"")</f>
        <v/>
      </c>
      <c r="R176" s="110">
        <f t="shared" si="4"/>
        <v>0.2054794521</v>
      </c>
      <c r="S176" s="144"/>
    </row>
    <row r="177">
      <c r="A177" s="128" t="s">
        <v>83</v>
      </c>
      <c r="B177" s="16">
        <f>IFERROR(__xludf.DUMMYFUNCTION("VLOOKUP(A177,IMPORTRANGE(""1aFCnJY1qhIj8-JckJhDJ18aqmVo17tofpQmOjcYa3u8/edit#gid=1878241338"",""S3 Totals!$A$2:$O$255""),2,FALSE)"),9.0)</f>
        <v>9</v>
      </c>
      <c r="C177" s="15">
        <f>IFERROR(__xludf.DUMMYFUNCTION("VLOOKUP(A177,IMPORTRANGE(""1aFCnJY1qhIj8-JckJhDJ18aqmVo17tofpQmOjcYa3u8/edit#gid=1878241338"",""S3 Totals!$A$2:$O$255""),3,FALSE)"),0.1232876712328767)</f>
        <v>0.1232876712</v>
      </c>
      <c r="D177" s="16">
        <f>IFERROR(__xludf.DUMMYFUNCTION("VLOOKUP(A177,IMPORTRANGE(""1QZ5UxyNCwadreQAXnQ7oCoH982DjIA-QnZdO7ZoqkC0/edit#gid=884617569"",""S3 Totals!$A$2:$O$255""),2,FALSE)"),11.0)</f>
        <v>11</v>
      </c>
      <c r="E177" s="15">
        <f>IFERROR(__xludf.DUMMYFUNCTION("VLOOKUP(A177,IMPORTRANGE(""1QZ5UxyNCwadreQAXnQ7oCoH982DjIA-QnZdO7ZoqkC0/edit#gid=884617569"",""S3 Totals!$A$2:$O$255""),3,FALSE)"),0.14864864864864866)</f>
        <v>0.1486486486</v>
      </c>
      <c r="F177" s="15">
        <f t="shared" si="1"/>
        <v>-0.02536097742</v>
      </c>
      <c r="G177" s="16">
        <f>IFERROR(__xludf.DUMMYFUNCTION("VLOOKUP(A177,IMPORTRANGE(""1QZ5UxyNCwadreQAXnQ7oCoH982DjIA-QnZdO7ZoqkC0/edit#gid=884617569"",""S3 Totals!$A$2:$O$255""),4,FALSE)"),1.0)</f>
        <v>1</v>
      </c>
      <c r="H177" s="15">
        <f>IFERROR(__xludf.DUMMYFUNCTION("VLOOKUP(A177,IMPORTRANGE(""1QZ5UxyNCwadreQAXnQ7oCoH982DjIA-QnZdO7ZoqkC0/edit#gid=884617569"",""S3 Totals!$A$2:$O$255""),5,FALSE)"),0.012658227848101266)</f>
        <v>0.01265822785</v>
      </c>
      <c r="I177" s="143">
        <f t="shared" si="2"/>
        <v>0.1106294434</v>
      </c>
      <c r="J177" s="16">
        <f>IFERROR(__xludf.DUMMYFUNCTION("VLOOKUP(A177,IMPORTRANGE(""1QZ5UxyNCwadreQAXnQ7oCoH982DjIA-QnZdO7ZoqkC0/edit#gid=884617569"",""S3 Totals!$A$2:$O$255""),7,FALSE)"),1.0)</f>
        <v>1</v>
      </c>
      <c r="K177" s="15">
        <f>IFERROR(__xludf.DUMMYFUNCTION("VLOOKUP(A177,IMPORTRANGE(""1QZ5UxyNCwadreQAXnQ7oCoH982DjIA-QnZdO7ZoqkC0/edit#gid=884617569"",""S3 Totals!$A$2:$O$255""),8,FALSE)"),0.011764705882352941)</f>
        <v>0.01176470588</v>
      </c>
      <c r="L177" s="110">
        <f t="shared" si="5"/>
        <v>0.1368839428</v>
      </c>
      <c r="M177" s="16">
        <f>IFERROR(__xludf.DUMMYFUNCTION("VLOOKUP(A177,IMPORTRANGE(""1QZ5UxyNCwadreQAXnQ7oCoH982DjIA-QnZdO7ZoqkC0/edit#gid=884617569"",""S3 Totals!$A$2:$O$255""),10,FALSE)"),1.0)</f>
        <v>1</v>
      </c>
      <c r="N177" s="15">
        <f>IFERROR(__xludf.DUMMYFUNCTION("VLOOKUP(A177,IMPORTRANGE(""1QZ5UxyNCwadreQAXnQ7oCoH982DjIA-QnZdO7ZoqkC0/edit#gid=884617569"",""S3 Totals!$A$2:$O$255""),11,FALSE)"),0.011764705882352941)</f>
        <v>0.01176470588</v>
      </c>
      <c r="O177" s="110">
        <f t="shared" si="3"/>
        <v>0.1115229654</v>
      </c>
      <c r="P177" s="16">
        <f>IFERROR(__xludf.DUMMYFUNCTION("VLOOKUP(A177,IMPORTRANGE(""1QZ5UxyNCwadreQAXnQ7oCoH982DjIA-QnZdO7ZoqkC0/edit#gid=884617569"",""S3 Totals!$A$2:$O$255""),13,FALSE)"),0.0)</f>
        <v>0</v>
      </c>
      <c r="Q177" s="15">
        <f>IFERROR(__xludf.DUMMYFUNCTION("VLOOKUP(A177,IMPORTRANGE(""1QZ5UxyNCwadreQAXnQ7oCoH982DjIA-QnZdO7ZoqkC0/edit#gid=884617569"",""S3 Totals!$A$2:$O$255""),14,FALSE)"),0.0)</f>
        <v>0</v>
      </c>
      <c r="R177" s="110">
        <f t="shared" si="4"/>
        <v>0.1232876712</v>
      </c>
      <c r="S177" s="144"/>
    </row>
    <row r="178">
      <c r="A178" s="128" t="s">
        <v>247</v>
      </c>
      <c r="B178" s="16">
        <f>IFERROR(__xludf.DUMMYFUNCTION("VLOOKUP(A178,IMPORTRANGE(""1aFCnJY1qhIj8-JckJhDJ18aqmVo17tofpQmOjcYa3u8/edit#gid=1878241338"",""S3 Totals!$A$2:$O$255""),2,FALSE)"),14.0)</f>
        <v>14</v>
      </c>
      <c r="C178" s="15">
        <f>IFERROR(__xludf.DUMMYFUNCTION("VLOOKUP(A178,IMPORTRANGE(""1aFCnJY1qhIj8-JckJhDJ18aqmVo17tofpQmOjcYa3u8/edit#gid=1878241338"",""S3 Totals!$A$2:$O$255""),3,FALSE)"),0.1917808219178082)</f>
        <v>0.1917808219</v>
      </c>
      <c r="D178" s="16">
        <f>IFERROR(__xludf.DUMMYFUNCTION("VLOOKUP(A178,IMPORTRANGE(""1QZ5UxyNCwadreQAXnQ7oCoH982DjIA-QnZdO7ZoqkC0/edit#gid=884617569"",""S3 Totals!$A$2:$O$255""),2,FALSE)"),13.0)</f>
        <v>13</v>
      </c>
      <c r="E178" s="15">
        <f>IFERROR(__xludf.DUMMYFUNCTION("VLOOKUP(A178,IMPORTRANGE(""1QZ5UxyNCwadreQAXnQ7oCoH982DjIA-QnZdO7ZoqkC0/edit#gid=884617569"",""S3 Totals!$A$2:$O$255""),3,FALSE)"),0.17567567567567569)</f>
        <v>0.1756756757</v>
      </c>
      <c r="F178" s="15">
        <f t="shared" si="1"/>
        <v>0.01610514624</v>
      </c>
      <c r="G178" s="16">
        <f>IFERROR(__xludf.DUMMYFUNCTION("VLOOKUP(A178,IMPORTRANGE(""1QZ5UxyNCwadreQAXnQ7oCoH982DjIA-QnZdO7ZoqkC0/edit#gid=884617569"",""S3 Totals!$A$2:$O$255""),4,FALSE)"),0.0)</f>
        <v>0</v>
      </c>
      <c r="H178" s="15">
        <f>IFERROR(__xludf.DUMMYFUNCTION("VLOOKUP(A178,IMPORTRANGE(""1QZ5UxyNCwadreQAXnQ7oCoH982DjIA-QnZdO7ZoqkC0/edit#gid=884617569"",""S3 Totals!$A$2:$O$255""),5,FALSE)"),0.0)</f>
        <v>0</v>
      </c>
      <c r="I178" s="143">
        <f t="shared" si="2"/>
        <v>0.1917808219</v>
      </c>
      <c r="J178" s="16" t="str">
        <f>IFERROR(__xludf.DUMMYFUNCTION("VLOOKUP(A178,IMPORTRANGE(""1QZ5UxyNCwadreQAXnQ7oCoH982DjIA-QnZdO7ZoqkC0/edit#gid=884617569"",""S3 Totals!$A$2:$O$255""),7,FALSE)"),"")</f>
        <v/>
      </c>
      <c r="K178" s="15" t="str">
        <f>IFERROR(__xludf.DUMMYFUNCTION("VLOOKUP(A178,IMPORTRANGE(""1QZ5UxyNCwadreQAXnQ7oCoH982DjIA-QnZdO7ZoqkC0/edit#gid=884617569"",""S3 Totals!$A$2:$O$255""),8,FALSE)"),"")</f>
        <v/>
      </c>
      <c r="L178" s="110">
        <f t="shared" si="5"/>
        <v>0.1756756757</v>
      </c>
      <c r="M178" s="16" t="str">
        <f>IFERROR(__xludf.DUMMYFUNCTION("VLOOKUP(A178,IMPORTRANGE(""1QZ5UxyNCwadreQAXnQ7oCoH982DjIA-QnZdO7ZoqkC0/edit#gid=884617569"",""S3 Totals!$A$2:$O$255""),10,FALSE)"),"")</f>
        <v/>
      </c>
      <c r="N178" s="15" t="str">
        <f>IFERROR(__xludf.DUMMYFUNCTION("VLOOKUP(A178,IMPORTRANGE(""1QZ5UxyNCwadreQAXnQ7oCoH982DjIA-QnZdO7ZoqkC0/edit#gid=884617569"",""S3 Totals!$A$2:$O$255""),11,FALSE)"),"")</f>
        <v/>
      </c>
      <c r="O178" s="110">
        <f t="shared" si="3"/>
        <v>0.1917808219</v>
      </c>
      <c r="P178" s="16" t="str">
        <f>IFERROR(__xludf.DUMMYFUNCTION("VLOOKUP(A178,IMPORTRANGE(""1QZ5UxyNCwadreQAXnQ7oCoH982DjIA-QnZdO7ZoqkC0/edit#gid=884617569"",""S3 Totals!$A$2:$O$255""),13,FALSE)"),"")</f>
        <v/>
      </c>
      <c r="Q178" s="15" t="str">
        <f>IFERROR(__xludf.DUMMYFUNCTION("VLOOKUP(A178,IMPORTRANGE(""1QZ5UxyNCwadreQAXnQ7oCoH982DjIA-QnZdO7ZoqkC0/edit#gid=884617569"",""S3 Totals!$A$2:$O$255""),14,FALSE)"),"")</f>
        <v/>
      </c>
      <c r="R178" s="110">
        <f t="shared" si="4"/>
        <v>0.1917808219</v>
      </c>
      <c r="S178" s="144"/>
    </row>
    <row r="179">
      <c r="A179" s="128" t="s">
        <v>84</v>
      </c>
      <c r="B179" s="16">
        <f>IFERROR(__xludf.DUMMYFUNCTION("VLOOKUP(A179,IMPORTRANGE(""1aFCnJY1qhIj8-JckJhDJ18aqmVo17tofpQmOjcYa3u8/edit#gid=1878241338"",""S3 Totals!$A$2:$O$255""),2,FALSE)"),13.0)</f>
        <v>13</v>
      </c>
      <c r="C179" s="15">
        <f>IFERROR(__xludf.DUMMYFUNCTION("VLOOKUP(A179,IMPORTRANGE(""1aFCnJY1qhIj8-JckJhDJ18aqmVo17tofpQmOjcYa3u8/edit#gid=1878241338"",""S3 Totals!$A$2:$O$255""),3,FALSE)"),0.1780821917808219)</f>
        <v>0.1780821918</v>
      </c>
      <c r="D179" s="16">
        <f>IFERROR(__xludf.DUMMYFUNCTION("VLOOKUP(A179,IMPORTRANGE(""1QZ5UxyNCwadreQAXnQ7oCoH982DjIA-QnZdO7ZoqkC0/edit#gid=884617569"",""S3 Totals!$A$2:$O$255""),2,FALSE)"),17.0)</f>
        <v>17</v>
      </c>
      <c r="E179" s="15">
        <f>IFERROR(__xludf.DUMMYFUNCTION("VLOOKUP(A179,IMPORTRANGE(""1QZ5UxyNCwadreQAXnQ7oCoH982DjIA-QnZdO7ZoqkC0/edit#gid=884617569"",""S3 Totals!$A$2:$O$255""),3,FALSE)"),0.22972972972972974)</f>
        <v>0.2297297297</v>
      </c>
      <c r="F179" s="15">
        <f t="shared" si="1"/>
        <v>-0.05164753795</v>
      </c>
      <c r="G179" s="16">
        <f>IFERROR(__xludf.DUMMYFUNCTION("VLOOKUP(A179,IMPORTRANGE(""1QZ5UxyNCwadreQAXnQ7oCoH982DjIA-QnZdO7ZoqkC0/edit#gid=884617569"",""S3 Totals!$A$2:$O$255""),4,FALSE)"),18.0)</f>
        <v>18</v>
      </c>
      <c r="H179" s="15">
        <f>IFERROR(__xludf.DUMMYFUNCTION("VLOOKUP(A179,IMPORTRANGE(""1QZ5UxyNCwadreQAXnQ7oCoH982DjIA-QnZdO7ZoqkC0/edit#gid=884617569"",""S3 Totals!$A$2:$O$255""),5,FALSE)"),0.22784810126582278)</f>
        <v>0.2278481013</v>
      </c>
      <c r="I179" s="143">
        <f t="shared" si="2"/>
        <v>-0.04976590949</v>
      </c>
      <c r="J179" s="16">
        <f>IFERROR(__xludf.DUMMYFUNCTION("VLOOKUP(A179,IMPORTRANGE(""1QZ5UxyNCwadreQAXnQ7oCoH982DjIA-QnZdO7ZoqkC0/edit#gid=884617569"",""S3 Totals!$A$2:$O$255""),7,FALSE)"),16.0)</f>
        <v>16</v>
      </c>
      <c r="K179" s="15">
        <f>IFERROR(__xludf.DUMMYFUNCTION("VLOOKUP(A179,IMPORTRANGE(""1QZ5UxyNCwadreQAXnQ7oCoH982DjIA-QnZdO7ZoqkC0/edit#gid=884617569"",""S3 Totals!$A$2:$O$255""),8,FALSE)"),0.18823529411764706)</f>
        <v>0.1882352941</v>
      </c>
      <c r="L179" s="110">
        <f t="shared" si="5"/>
        <v>0.04149443561</v>
      </c>
      <c r="M179" s="16">
        <f>IFERROR(__xludf.DUMMYFUNCTION("VLOOKUP(A179,IMPORTRANGE(""1QZ5UxyNCwadreQAXnQ7oCoH982DjIA-QnZdO7ZoqkC0/edit#gid=884617569"",""S3 Totals!$A$2:$O$255""),10,FALSE)"),17.0)</f>
        <v>17</v>
      </c>
      <c r="N179" s="15">
        <f>IFERROR(__xludf.DUMMYFUNCTION("VLOOKUP(A179,IMPORTRANGE(""1QZ5UxyNCwadreQAXnQ7oCoH982DjIA-QnZdO7ZoqkC0/edit#gid=884617569"",""S3 Totals!$A$2:$O$255""),11,FALSE)"),0.2)</f>
        <v>0.2</v>
      </c>
      <c r="O179" s="110">
        <f t="shared" si="3"/>
        <v>-0.02191780822</v>
      </c>
      <c r="P179" s="16">
        <f>IFERROR(__xludf.DUMMYFUNCTION("VLOOKUP(A179,IMPORTRANGE(""1QZ5UxyNCwadreQAXnQ7oCoH982DjIA-QnZdO7ZoqkC0/edit#gid=884617569"",""S3 Totals!$A$2:$O$255""),13,FALSE)"),1.0)</f>
        <v>1</v>
      </c>
      <c r="Q179" s="15">
        <f>IFERROR(__xludf.DUMMYFUNCTION("VLOOKUP(A179,IMPORTRANGE(""1QZ5UxyNCwadreQAXnQ7oCoH982DjIA-QnZdO7ZoqkC0/edit#gid=884617569"",""S3 Totals!$A$2:$O$255""),14,FALSE)"),0.011764705882352941)</f>
        <v>0.01176470588</v>
      </c>
      <c r="R179" s="110">
        <f t="shared" si="4"/>
        <v>0.1663174859</v>
      </c>
      <c r="S179" s="144"/>
    </row>
    <row r="180">
      <c r="A180" s="128" t="s">
        <v>192</v>
      </c>
      <c r="B180" s="16">
        <f>IFERROR(__xludf.DUMMYFUNCTION("VLOOKUP(A180,IMPORTRANGE(""1aFCnJY1qhIj8-JckJhDJ18aqmVo17tofpQmOjcYa3u8/edit#gid=1878241338"",""S3 Totals!$A$2:$O$255""),2,FALSE)"),10.0)</f>
        <v>10</v>
      </c>
      <c r="C180" s="15">
        <f>IFERROR(__xludf.DUMMYFUNCTION("VLOOKUP(A180,IMPORTRANGE(""1aFCnJY1qhIj8-JckJhDJ18aqmVo17tofpQmOjcYa3u8/edit#gid=1878241338"",""S3 Totals!$A$2:$O$255""),3,FALSE)"),0.136986301369863)</f>
        <v>0.1369863014</v>
      </c>
      <c r="D180" s="16">
        <f>IFERROR(__xludf.DUMMYFUNCTION("VLOOKUP(A180,IMPORTRANGE(""1QZ5UxyNCwadreQAXnQ7oCoH982DjIA-QnZdO7ZoqkC0/edit#gid=884617569"",""S3 Totals!$A$2:$O$255""),2,FALSE)"),15.0)</f>
        <v>15</v>
      </c>
      <c r="E180" s="15">
        <f>IFERROR(__xludf.DUMMYFUNCTION("VLOOKUP(A180,IMPORTRANGE(""1QZ5UxyNCwadreQAXnQ7oCoH982DjIA-QnZdO7ZoqkC0/edit#gid=884617569"",""S3 Totals!$A$2:$O$255""),3,FALSE)"),0.20270270270270271)</f>
        <v>0.2027027027</v>
      </c>
      <c r="F180" s="15">
        <f t="shared" si="1"/>
        <v>-0.06571640133</v>
      </c>
      <c r="G180" s="16">
        <f>IFERROR(__xludf.DUMMYFUNCTION("VLOOKUP(A180,IMPORTRANGE(""1QZ5UxyNCwadreQAXnQ7oCoH982DjIA-QnZdO7ZoqkC0/edit#gid=884617569"",""S3 Totals!$A$2:$O$255""),4,FALSE)"),6.0)</f>
        <v>6</v>
      </c>
      <c r="H180" s="15">
        <f>IFERROR(__xludf.DUMMYFUNCTION("VLOOKUP(A180,IMPORTRANGE(""1QZ5UxyNCwadreQAXnQ7oCoH982DjIA-QnZdO7ZoqkC0/edit#gid=884617569"",""S3 Totals!$A$2:$O$255""),5,FALSE)"),0.0759493670886076)</f>
        <v>0.07594936709</v>
      </c>
      <c r="I180" s="143">
        <f t="shared" si="2"/>
        <v>0.06103693428</v>
      </c>
      <c r="J180" s="16">
        <f>IFERROR(__xludf.DUMMYFUNCTION("VLOOKUP(A180,IMPORTRANGE(""1QZ5UxyNCwadreQAXnQ7oCoH982DjIA-QnZdO7ZoqkC0/edit#gid=884617569"",""S3 Totals!$A$2:$O$255""),7,FALSE)"),6.0)</f>
        <v>6</v>
      </c>
      <c r="K180" s="15">
        <f>IFERROR(__xludf.DUMMYFUNCTION("VLOOKUP(A180,IMPORTRANGE(""1QZ5UxyNCwadreQAXnQ7oCoH982DjIA-QnZdO7ZoqkC0/edit#gid=884617569"",""S3 Totals!$A$2:$O$255""),8,FALSE)"),0.07058823529411765)</f>
        <v>0.07058823529</v>
      </c>
      <c r="L180" s="110">
        <f t="shared" si="5"/>
        <v>0.1321144674</v>
      </c>
      <c r="M180" s="16" t="str">
        <f>IFERROR(__xludf.DUMMYFUNCTION("VLOOKUP(A180,IMPORTRANGE(""1QZ5UxyNCwadreQAXnQ7oCoH982DjIA-QnZdO7ZoqkC0/edit#gid=884617569"",""S3 Totals!$A$2:$O$255""),10,FALSE)"),"")</f>
        <v/>
      </c>
      <c r="N180" s="15" t="str">
        <f>IFERROR(__xludf.DUMMYFUNCTION("VLOOKUP(A180,IMPORTRANGE(""1QZ5UxyNCwadreQAXnQ7oCoH982DjIA-QnZdO7ZoqkC0/edit#gid=884617569"",""S3 Totals!$A$2:$O$255""),11,FALSE)"),"")</f>
        <v/>
      </c>
      <c r="O180" s="110">
        <f t="shared" si="3"/>
        <v>0.1369863014</v>
      </c>
      <c r="P180" s="16" t="str">
        <f>IFERROR(__xludf.DUMMYFUNCTION("VLOOKUP(A180,IMPORTRANGE(""1QZ5UxyNCwadreQAXnQ7oCoH982DjIA-QnZdO7ZoqkC0/edit#gid=884617569"",""S3 Totals!$A$2:$O$255""),13,FALSE)"),"")</f>
        <v/>
      </c>
      <c r="Q180" s="15" t="str">
        <f>IFERROR(__xludf.DUMMYFUNCTION("VLOOKUP(A180,IMPORTRANGE(""1QZ5UxyNCwadreQAXnQ7oCoH982DjIA-QnZdO7ZoqkC0/edit#gid=884617569"",""S3 Totals!$A$2:$O$255""),14,FALSE)"),"")</f>
        <v/>
      </c>
      <c r="R180" s="110">
        <f t="shared" si="4"/>
        <v>0.1369863014</v>
      </c>
      <c r="S180" s="144"/>
    </row>
    <row r="181">
      <c r="A181" s="128" t="s">
        <v>85</v>
      </c>
      <c r="B181" s="16">
        <f>IFERROR(__xludf.DUMMYFUNCTION("VLOOKUP(A181,IMPORTRANGE(""1aFCnJY1qhIj8-JckJhDJ18aqmVo17tofpQmOjcYa3u8/edit#gid=1878241338"",""S3 Totals!$A$2:$O$255""),2,FALSE)"),1.0)</f>
        <v>1</v>
      </c>
      <c r="C181" s="15">
        <f>IFERROR(__xludf.DUMMYFUNCTION("VLOOKUP(A181,IMPORTRANGE(""1aFCnJY1qhIj8-JckJhDJ18aqmVo17tofpQmOjcYa3u8/edit#gid=1878241338"",""S3 Totals!$A$2:$O$255""),3,FALSE)"),0.0136986301369863)</f>
        <v>0.01369863014</v>
      </c>
      <c r="D181" s="16">
        <f>IFERROR(__xludf.DUMMYFUNCTION("VLOOKUP(A181,IMPORTRANGE(""1QZ5UxyNCwadreQAXnQ7oCoH982DjIA-QnZdO7ZoqkC0/edit#gid=884617569"",""S3 Totals!$A$2:$O$255""),2,FALSE)"),1.0)</f>
        <v>1</v>
      </c>
      <c r="E181" s="15">
        <f>IFERROR(__xludf.DUMMYFUNCTION("VLOOKUP(A181,IMPORTRANGE(""1QZ5UxyNCwadreQAXnQ7oCoH982DjIA-QnZdO7ZoqkC0/edit#gid=884617569"",""S3 Totals!$A$2:$O$255""),3,FALSE)"),0.013513513513513514)</f>
        <v>0.01351351351</v>
      </c>
      <c r="F181" s="15">
        <f t="shared" si="1"/>
        <v>0.0001851166235</v>
      </c>
      <c r="G181" s="16">
        <f>IFERROR(__xludf.DUMMYFUNCTION("VLOOKUP(A181,IMPORTRANGE(""1QZ5UxyNCwadreQAXnQ7oCoH982DjIA-QnZdO7ZoqkC0/edit#gid=884617569"",""S3 Totals!$A$2:$O$255""),4,FALSE)"),15.0)</f>
        <v>15</v>
      </c>
      <c r="H181" s="15">
        <f>IFERROR(__xludf.DUMMYFUNCTION("VLOOKUP(A181,IMPORTRANGE(""1QZ5UxyNCwadreQAXnQ7oCoH982DjIA-QnZdO7ZoqkC0/edit#gid=884617569"",""S3 Totals!$A$2:$O$255""),5,FALSE)"),0.189873417721519)</f>
        <v>0.1898734177</v>
      </c>
      <c r="I181" s="143">
        <f t="shared" si="2"/>
        <v>-0.1761747876</v>
      </c>
      <c r="J181" s="16">
        <f>IFERROR(__xludf.DUMMYFUNCTION("VLOOKUP(A181,IMPORTRANGE(""1QZ5UxyNCwadreQAXnQ7oCoH982DjIA-QnZdO7ZoqkC0/edit#gid=884617569"",""S3 Totals!$A$2:$O$255""),7,FALSE)"),16.0)</f>
        <v>16</v>
      </c>
      <c r="K181" s="15">
        <f>IFERROR(__xludf.DUMMYFUNCTION("VLOOKUP(A181,IMPORTRANGE(""1QZ5UxyNCwadreQAXnQ7oCoH982DjIA-QnZdO7ZoqkC0/edit#gid=884617569"",""S3 Totals!$A$2:$O$255""),8,FALSE)"),0.18823529411764706)</f>
        <v>0.1882352941</v>
      </c>
      <c r="L181" s="110">
        <f t="shared" si="5"/>
        <v>-0.1747217806</v>
      </c>
      <c r="M181" s="16">
        <f>IFERROR(__xludf.DUMMYFUNCTION("VLOOKUP(A181,IMPORTRANGE(""1QZ5UxyNCwadreQAXnQ7oCoH982DjIA-QnZdO7ZoqkC0/edit#gid=884617569"",""S3 Totals!$A$2:$O$255""),10,FALSE)"),11.0)</f>
        <v>11</v>
      </c>
      <c r="N181" s="15">
        <f>IFERROR(__xludf.DUMMYFUNCTION("VLOOKUP(A181,IMPORTRANGE(""1QZ5UxyNCwadreQAXnQ7oCoH982DjIA-QnZdO7ZoqkC0/edit#gid=884617569"",""S3 Totals!$A$2:$O$255""),11,FALSE)"),0.12941176470588237)</f>
        <v>0.1294117647</v>
      </c>
      <c r="O181" s="110">
        <f t="shared" si="3"/>
        <v>-0.1157131346</v>
      </c>
      <c r="P181" s="16">
        <f>IFERROR(__xludf.DUMMYFUNCTION("VLOOKUP(A181,IMPORTRANGE(""1QZ5UxyNCwadreQAXnQ7oCoH982DjIA-QnZdO7ZoqkC0/edit#gid=884617569"",""S3 Totals!$A$2:$O$255""),13,FALSE)"),10.0)</f>
        <v>10</v>
      </c>
      <c r="Q181" s="15">
        <f>IFERROR(__xludf.DUMMYFUNCTION("VLOOKUP(A181,IMPORTRANGE(""1QZ5UxyNCwadreQAXnQ7oCoH982DjIA-QnZdO7ZoqkC0/edit#gid=884617569"",""S3 Totals!$A$2:$O$255""),14,FALSE)"),0.11764705882352941)</f>
        <v>0.1176470588</v>
      </c>
      <c r="R181" s="110">
        <f t="shared" si="4"/>
        <v>-0.1039484287</v>
      </c>
      <c r="S181" s="144"/>
    </row>
    <row r="182">
      <c r="A182" s="128" t="s">
        <v>86</v>
      </c>
      <c r="B182" s="16">
        <f>IFERROR(__xludf.DUMMYFUNCTION("VLOOKUP(A182,IMPORTRANGE(""1aFCnJY1qhIj8-JckJhDJ18aqmVo17tofpQmOjcYa3u8/edit#gid=1878241338"",""S3 Totals!$A$2:$O$255""),2,FALSE)"),35.0)</f>
        <v>35</v>
      </c>
      <c r="C182" s="15">
        <f>IFERROR(__xludf.DUMMYFUNCTION("VLOOKUP(A182,IMPORTRANGE(""1aFCnJY1qhIj8-JckJhDJ18aqmVo17tofpQmOjcYa3u8/edit#gid=1878241338"",""S3 Totals!$A$2:$O$255""),3,FALSE)"),0.4794520547945205)</f>
        <v>0.4794520548</v>
      </c>
      <c r="D182" s="16">
        <f>IFERROR(__xludf.DUMMYFUNCTION("VLOOKUP(A182,IMPORTRANGE(""1QZ5UxyNCwadreQAXnQ7oCoH982DjIA-QnZdO7ZoqkC0/edit#gid=884617569"",""S3 Totals!$A$2:$O$255""),2,FALSE)"),30.0)</f>
        <v>30</v>
      </c>
      <c r="E182" s="15">
        <f>IFERROR(__xludf.DUMMYFUNCTION("VLOOKUP(A182,IMPORTRANGE(""1QZ5UxyNCwadreQAXnQ7oCoH982DjIA-QnZdO7ZoqkC0/edit#gid=884617569"",""S3 Totals!$A$2:$O$255""),3,FALSE)"),0.40540540540540543)</f>
        <v>0.4054054054</v>
      </c>
      <c r="F182" s="15">
        <f t="shared" si="1"/>
        <v>0.07404664939</v>
      </c>
      <c r="G182" s="16">
        <f>IFERROR(__xludf.DUMMYFUNCTION("VLOOKUP(A182,IMPORTRANGE(""1QZ5UxyNCwadreQAXnQ7oCoH982DjIA-QnZdO7ZoqkC0/edit#gid=884617569"",""S3 Totals!$A$2:$O$255""),4,FALSE)"),37.0)</f>
        <v>37</v>
      </c>
      <c r="H182" s="15">
        <f>IFERROR(__xludf.DUMMYFUNCTION("VLOOKUP(A182,IMPORTRANGE(""1QZ5UxyNCwadreQAXnQ7oCoH982DjIA-QnZdO7ZoqkC0/edit#gid=884617569"",""S3 Totals!$A$2:$O$255""),5,FALSE)"),0.46835443037974683)</f>
        <v>0.4683544304</v>
      </c>
      <c r="I182" s="143">
        <f t="shared" si="2"/>
        <v>0.01109762441</v>
      </c>
      <c r="J182" s="16">
        <f>IFERROR(__xludf.DUMMYFUNCTION("VLOOKUP(A182,IMPORTRANGE(""1QZ5UxyNCwadreQAXnQ7oCoH982DjIA-QnZdO7ZoqkC0/edit#gid=884617569"",""S3 Totals!$A$2:$O$255""),7,FALSE)"),37.0)</f>
        <v>37</v>
      </c>
      <c r="K182" s="15">
        <f>IFERROR(__xludf.DUMMYFUNCTION("VLOOKUP(A182,IMPORTRANGE(""1QZ5UxyNCwadreQAXnQ7oCoH982DjIA-QnZdO7ZoqkC0/edit#gid=884617569"",""S3 Totals!$A$2:$O$255""),8,FALSE)"),0.43529411764705883)</f>
        <v>0.4352941176</v>
      </c>
      <c r="L182" s="110">
        <f t="shared" si="5"/>
        <v>-0.02988871224</v>
      </c>
      <c r="M182" s="16">
        <f>IFERROR(__xludf.DUMMYFUNCTION("VLOOKUP(A182,IMPORTRANGE(""1QZ5UxyNCwadreQAXnQ7oCoH982DjIA-QnZdO7ZoqkC0/edit#gid=884617569"",""S3 Totals!$A$2:$O$255""),10,FALSE)"),39.0)</f>
        <v>39</v>
      </c>
      <c r="N182" s="15">
        <f>IFERROR(__xludf.DUMMYFUNCTION("VLOOKUP(A182,IMPORTRANGE(""1QZ5UxyNCwadreQAXnQ7oCoH982DjIA-QnZdO7ZoqkC0/edit#gid=884617569"",""S3 Totals!$A$2:$O$255""),11,FALSE)"),0.4588235294117647)</f>
        <v>0.4588235294</v>
      </c>
      <c r="O182" s="110">
        <f t="shared" si="3"/>
        <v>0.02062852538</v>
      </c>
      <c r="P182" s="16">
        <f>IFERROR(__xludf.DUMMYFUNCTION("VLOOKUP(A182,IMPORTRANGE(""1QZ5UxyNCwadreQAXnQ7oCoH982DjIA-QnZdO7ZoqkC0/edit#gid=884617569"",""S3 Totals!$A$2:$O$255""),13,FALSE)"),22.0)</f>
        <v>22</v>
      </c>
      <c r="Q182" s="15">
        <f>IFERROR(__xludf.DUMMYFUNCTION("VLOOKUP(A182,IMPORTRANGE(""1QZ5UxyNCwadreQAXnQ7oCoH982DjIA-QnZdO7ZoqkC0/edit#gid=884617569"",""S3 Totals!$A$2:$O$255""),14,FALSE)"),0.25882352941176473)</f>
        <v>0.2588235294</v>
      </c>
      <c r="R182" s="110">
        <f t="shared" si="4"/>
        <v>0.2206285254</v>
      </c>
      <c r="S182" s="144"/>
    </row>
    <row r="183">
      <c r="A183" s="128" t="s">
        <v>248</v>
      </c>
      <c r="B183" s="16">
        <f>IFERROR(__xludf.DUMMYFUNCTION("VLOOKUP(A183,IMPORTRANGE(""1aFCnJY1qhIj8-JckJhDJ18aqmVo17tofpQmOjcYa3u8/edit#gid=1878241338"",""S3 Totals!$A$2:$O$255""),2,FALSE)"),0.0)</f>
        <v>0</v>
      </c>
      <c r="C183" s="15">
        <f>IFERROR(__xludf.DUMMYFUNCTION("VLOOKUP(A183,IMPORTRANGE(""1aFCnJY1qhIj8-JckJhDJ18aqmVo17tofpQmOjcYa3u8/edit#gid=1878241338"",""S3 Totals!$A$2:$O$255""),3,FALSE)"),0.0)</f>
        <v>0</v>
      </c>
      <c r="D183" s="16">
        <f>IFERROR(__xludf.DUMMYFUNCTION("VLOOKUP(A183,IMPORTRANGE(""1QZ5UxyNCwadreQAXnQ7oCoH982DjIA-QnZdO7ZoqkC0/edit#gid=884617569"",""S3 Totals!$A$2:$O$255""),2,FALSE)"),0.0)</f>
        <v>0</v>
      </c>
      <c r="E183" s="15">
        <f>IFERROR(__xludf.DUMMYFUNCTION("VLOOKUP(A183,IMPORTRANGE(""1QZ5UxyNCwadreQAXnQ7oCoH982DjIA-QnZdO7ZoqkC0/edit#gid=884617569"",""S3 Totals!$A$2:$O$255""),3,FALSE)"),0.0)</f>
        <v>0</v>
      </c>
      <c r="F183" s="15">
        <f t="shared" si="1"/>
        <v>0</v>
      </c>
      <c r="G183" s="16">
        <f>IFERROR(__xludf.DUMMYFUNCTION("VLOOKUP(A183,IMPORTRANGE(""1QZ5UxyNCwadreQAXnQ7oCoH982DjIA-QnZdO7ZoqkC0/edit#gid=884617569"",""S3 Totals!$A$2:$O$255""),4,FALSE)"),0.0)</f>
        <v>0</v>
      </c>
      <c r="H183" s="15">
        <f>IFERROR(__xludf.DUMMYFUNCTION("VLOOKUP(A183,IMPORTRANGE(""1QZ5UxyNCwadreQAXnQ7oCoH982DjIA-QnZdO7ZoqkC0/edit#gid=884617569"",""S3 Totals!$A$2:$O$255""),5,FALSE)"),0.0)</f>
        <v>0</v>
      </c>
      <c r="I183" s="143">
        <f t="shared" si="2"/>
        <v>0</v>
      </c>
      <c r="J183" s="16" t="str">
        <f>IFERROR(__xludf.DUMMYFUNCTION("VLOOKUP(A183,IMPORTRANGE(""1QZ5UxyNCwadreQAXnQ7oCoH982DjIA-QnZdO7ZoqkC0/edit#gid=884617569"",""S3 Totals!$A$2:$O$255""),7,FALSE)"),"")</f>
        <v/>
      </c>
      <c r="K183" s="15" t="str">
        <f>IFERROR(__xludf.DUMMYFUNCTION("VLOOKUP(A183,IMPORTRANGE(""1QZ5UxyNCwadreQAXnQ7oCoH982DjIA-QnZdO7ZoqkC0/edit#gid=884617569"",""S3 Totals!$A$2:$O$255""),8,FALSE)"),"")</f>
        <v/>
      </c>
      <c r="L183" s="110">
        <f t="shared" si="5"/>
        <v>0</v>
      </c>
      <c r="M183" s="16" t="str">
        <f>IFERROR(__xludf.DUMMYFUNCTION("VLOOKUP(A183,IMPORTRANGE(""1QZ5UxyNCwadreQAXnQ7oCoH982DjIA-QnZdO7ZoqkC0/edit#gid=884617569"",""S3 Totals!$A$2:$O$255""),10,FALSE)"),"")</f>
        <v/>
      </c>
      <c r="N183" s="15" t="str">
        <f>IFERROR(__xludf.DUMMYFUNCTION("VLOOKUP(A183,IMPORTRANGE(""1QZ5UxyNCwadreQAXnQ7oCoH982DjIA-QnZdO7ZoqkC0/edit#gid=884617569"",""S3 Totals!$A$2:$O$255""),11,FALSE)"),"")</f>
        <v/>
      </c>
      <c r="O183" s="110">
        <f t="shared" si="3"/>
        <v>0</v>
      </c>
      <c r="P183" s="16" t="str">
        <f>IFERROR(__xludf.DUMMYFUNCTION("VLOOKUP(A183,IMPORTRANGE(""1QZ5UxyNCwadreQAXnQ7oCoH982DjIA-QnZdO7ZoqkC0/edit#gid=884617569"",""S3 Totals!$A$2:$O$255""),13,FALSE)"),"")</f>
        <v/>
      </c>
      <c r="Q183" s="15" t="str">
        <f>IFERROR(__xludf.DUMMYFUNCTION("VLOOKUP(A183,IMPORTRANGE(""1QZ5UxyNCwadreQAXnQ7oCoH982DjIA-QnZdO7ZoqkC0/edit#gid=884617569"",""S3 Totals!$A$2:$O$255""),14,FALSE)"),"")</f>
        <v/>
      </c>
      <c r="R183" s="110">
        <f t="shared" si="4"/>
        <v>0</v>
      </c>
      <c r="S183" s="144"/>
    </row>
    <row r="184">
      <c r="A184" s="128" t="s">
        <v>87</v>
      </c>
      <c r="B184" s="16">
        <f>IFERROR(__xludf.DUMMYFUNCTION("VLOOKUP(A184,IMPORTRANGE(""1aFCnJY1qhIj8-JckJhDJ18aqmVo17tofpQmOjcYa3u8/edit#gid=1878241338"",""S3 Totals!$A$2:$O$255""),2,FALSE)"),36.0)</f>
        <v>36</v>
      </c>
      <c r="C184" s="15">
        <f>IFERROR(__xludf.DUMMYFUNCTION("VLOOKUP(A184,IMPORTRANGE(""1aFCnJY1qhIj8-JckJhDJ18aqmVo17tofpQmOjcYa3u8/edit#gid=1878241338"",""S3 Totals!$A$2:$O$255""),3,FALSE)"),0.4931506849315068)</f>
        <v>0.4931506849</v>
      </c>
      <c r="D184" s="16">
        <f>IFERROR(__xludf.DUMMYFUNCTION("VLOOKUP(A184,IMPORTRANGE(""1QZ5UxyNCwadreQAXnQ7oCoH982DjIA-QnZdO7ZoqkC0/edit#gid=884617569"",""S3 Totals!$A$2:$O$255""),2,FALSE)"),1.0)</f>
        <v>1</v>
      </c>
      <c r="E184" s="15">
        <f>IFERROR(__xludf.DUMMYFUNCTION("VLOOKUP(A184,IMPORTRANGE(""1QZ5UxyNCwadreQAXnQ7oCoH982DjIA-QnZdO7ZoqkC0/edit#gid=884617569"",""S3 Totals!$A$2:$O$255""),3,FALSE)"),0.013513513513513514)</f>
        <v>0.01351351351</v>
      </c>
      <c r="F184" s="15">
        <f t="shared" si="1"/>
        <v>0.4796371714</v>
      </c>
      <c r="G184" s="16">
        <f>IFERROR(__xludf.DUMMYFUNCTION("VLOOKUP(A184,IMPORTRANGE(""1QZ5UxyNCwadreQAXnQ7oCoH982DjIA-QnZdO7ZoqkC0/edit#gid=884617569"",""S3 Totals!$A$2:$O$255""),4,FALSE)"),1.0)</f>
        <v>1</v>
      </c>
      <c r="H184" s="15">
        <f>IFERROR(__xludf.DUMMYFUNCTION("VLOOKUP(A184,IMPORTRANGE(""1QZ5UxyNCwadreQAXnQ7oCoH982DjIA-QnZdO7ZoqkC0/edit#gid=884617569"",""S3 Totals!$A$2:$O$255""),5,FALSE)"),0.012658227848101266)</f>
        <v>0.01265822785</v>
      </c>
      <c r="I184" s="143">
        <f t="shared" si="2"/>
        <v>0.4804924571</v>
      </c>
      <c r="J184" s="16">
        <f>IFERROR(__xludf.DUMMYFUNCTION("VLOOKUP(A184,IMPORTRANGE(""1QZ5UxyNCwadreQAXnQ7oCoH982DjIA-QnZdO7ZoqkC0/edit#gid=884617569"",""S3 Totals!$A$2:$O$255""),7,FALSE)"),1.0)</f>
        <v>1</v>
      </c>
      <c r="K184" s="15">
        <f>IFERROR(__xludf.DUMMYFUNCTION("VLOOKUP(A184,IMPORTRANGE(""1QZ5UxyNCwadreQAXnQ7oCoH982DjIA-QnZdO7ZoqkC0/edit#gid=884617569"",""S3 Totals!$A$2:$O$255""),8,FALSE)"),0.011764705882352941)</f>
        <v>0.01176470588</v>
      </c>
      <c r="L184" s="110">
        <f t="shared" si="5"/>
        <v>0.001748807631</v>
      </c>
      <c r="M184" s="16">
        <f>IFERROR(__xludf.DUMMYFUNCTION("VLOOKUP(A184,IMPORTRANGE(""1QZ5UxyNCwadreQAXnQ7oCoH982DjIA-QnZdO7ZoqkC0/edit#gid=884617569"",""S3 Totals!$A$2:$O$255""),10,FALSE)"),1.0)</f>
        <v>1</v>
      </c>
      <c r="N184" s="15">
        <f>IFERROR(__xludf.DUMMYFUNCTION("VLOOKUP(A184,IMPORTRANGE(""1QZ5UxyNCwadreQAXnQ7oCoH982DjIA-QnZdO7ZoqkC0/edit#gid=884617569"",""S3 Totals!$A$2:$O$255""),11,FALSE)"),0.011764705882352941)</f>
        <v>0.01176470588</v>
      </c>
      <c r="O184" s="110">
        <f t="shared" si="3"/>
        <v>0.481385979</v>
      </c>
      <c r="P184" s="16">
        <f>IFERROR(__xludf.DUMMYFUNCTION("VLOOKUP(A184,IMPORTRANGE(""1QZ5UxyNCwadreQAXnQ7oCoH982DjIA-QnZdO7ZoqkC0/edit#gid=884617569"",""S3 Totals!$A$2:$O$255""),13,FALSE)"),1.0)</f>
        <v>1</v>
      </c>
      <c r="Q184" s="15">
        <f>IFERROR(__xludf.DUMMYFUNCTION("VLOOKUP(A184,IMPORTRANGE(""1QZ5UxyNCwadreQAXnQ7oCoH982DjIA-QnZdO7ZoqkC0/edit#gid=884617569"",""S3 Totals!$A$2:$O$255""),14,FALSE)"),0.011764705882352941)</f>
        <v>0.01176470588</v>
      </c>
      <c r="R184" s="110">
        <f t="shared" si="4"/>
        <v>0.481385979</v>
      </c>
      <c r="S184" s="144"/>
    </row>
    <row r="185">
      <c r="A185" s="128" t="s">
        <v>62</v>
      </c>
      <c r="B185" s="16">
        <f>IFERROR(__xludf.DUMMYFUNCTION("VLOOKUP(A185,IMPORTRANGE(""1aFCnJY1qhIj8-JckJhDJ18aqmVo17tofpQmOjcYa3u8/edit#gid=1878241338"",""S3 Totals!$A$2:$O$255""),2,FALSE)"),40.0)</f>
        <v>40</v>
      </c>
      <c r="C185" s="15">
        <f>IFERROR(__xludf.DUMMYFUNCTION("VLOOKUP(A185,IMPORTRANGE(""1aFCnJY1qhIj8-JckJhDJ18aqmVo17tofpQmOjcYa3u8/edit#gid=1878241338"",""S3 Totals!$A$2:$O$255""),3,FALSE)"),0.547945205479452)</f>
        <v>0.5479452055</v>
      </c>
      <c r="D185" s="16">
        <f>IFERROR(__xludf.DUMMYFUNCTION("VLOOKUP(A185,IMPORTRANGE(""1QZ5UxyNCwadreQAXnQ7oCoH982DjIA-QnZdO7ZoqkC0/edit#gid=884617569"",""S3 Totals!$A$2:$O$255""),2,FALSE)"),43.0)</f>
        <v>43</v>
      </c>
      <c r="E185" s="15">
        <f>IFERROR(__xludf.DUMMYFUNCTION("VLOOKUP(A185,IMPORTRANGE(""1QZ5UxyNCwadreQAXnQ7oCoH982DjIA-QnZdO7ZoqkC0/edit#gid=884617569"",""S3 Totals!$A$2:$O$255""),3,FALSE)"),0.581081081081081)</f>
        <v>0.5810810811</v>
      </c>
      <c r="F185" s="15">
        <f t="shared" si="1"/>
        <v>-0.0331358756</v>
      </c>
      <c r="G185" s="16">
        <f>IFERROR(__xludf.DUMMYFUNCTION("VLOOKUP(A185,IMPORTRANGE(""1QZ5UxyNCwadreQAXnQ7oCoH982DjIA-QnZdO7ZoqkC0/edit#gid=884617569"",""S3 Totals!$A$2:$O$255""),4,FALSE)"),49.0)</f>
        <v>49</v>
      </c>
      <c r="H185" s="15">
        <f>IFERROR(__xludf.DUMMYFUNCTION("VLOOKUP(A185,IMPORTRANGE(""1QZ5UxyNCwadreQAXnQ7oCoH982DjIA-QnZdO7ZoqkC0/edit#gid=884617569"",""S3 Totals!$A$2:$O$255""),5,FALSE)"),0.620253164556962)</f>
        <v>0.6202531646</v>
      </c>
      <c r="I185" s="143">
        <f t="shared" si="2"/>
        <v>-0.07230795908</v>
      </c>
      <c r="J185" s="16">
        <f>IFERROR(__xludf.DUMMYFUNCTION("VLOOKUP(A185,IMPORTRANGE(""1QZ5UxyNCwadreQAXnQ7oCoH982DjIA-QnZdO7ZoqkC0/edit#gid=884617569"",""S3 Totals!$A$2:$O$255""),7,FALSE)"),43.0)</f>
        <v>43</v>
      </c>
      <c r="K185" s="15">
        <f>IFERROR(__xludf.DUMMYFUNCTION("VLOOKUP(A185,IMPORTRANGE(""1QZ5UxyNCwadreQAXnQ7oCoH982DjIA-QnZdO7ZoqkC0/edit#gid=884617569"",""S3 Totals!$A$2:$O$255""),8,FALSE)"),0.5058823529411764)</f>
        <v>0.5058823529</v>
      </c>
      <c r="L185" s="110">
        <f t="shared" si="5"/>
        <v>0.07519872814</v>
      </c>
      <c r="M185" s="16">
        <f>IFERROR(__xludf.DUMMYFUNCTION("VLOOKUP(A185,IMPORTRANGE(""1QZ5UxyNCwadreQAXnQ7oCoH982DjIA-QnZdO7ZoqkC0/edit#gid=884617569"",""S3 Totals!$A$2:$O$255""),10,FALSE)"),39.0)</f>
        <v>39</v>
      </c>
      <c r="N185" s="15">
        <f>IFERROR(__xludf.DUMMYFUNCTION("VLOOKUP(A185,IMPORTRANGE(""1QZ5UxyNCwadreQAXnQ7oCoH982DjIA-QnZdO7ZoqkC0/edit#gid=884617569"",""S3 Totals!$A$2:$O$255""),11,FALSE)"),0.4588235294117647)</f>
        <v>0.4588235294</v>
      </c>
      <c r="O185" s="110">
        <f t="shared" si="3"/>
        <v>0.08912167607</v>
      </c>
      <c r="P185" s="16">
        <f>IFERROR(__xludf.DUMMYFUNCTION("VLOOKUP(A185,IMPORTRANGE(""1QZ5UxyNCwadreQAXnQ7oCoH982DjIA-QnZdO7ZoqkC0/edit#gid=884617569"",""S3 Totals!$A$2:$O$255""),13,FALSE)"),29.0)</f>
        <v>29</v>
      </c>
      <c r="Q185" s="15">
        <f>IFERROR(__xludf.DUMMYFUNCTION("VLOOKUP(A185,IMPORTRANGE(""1QZ5UxyNCwadreQAXnQ7oCoH982DjIA-QnZdO7ZoqkC0/edit#gid=884617569"",""S3 Totals!$A$2:$O$255""),14,FALSE)"),0.3411764705882353)</f>
        <v>0.3411764706</v>
      </c>
      <c r="R185" s="110">
        <f t="shared" si="4"/>
        <v>0.2067687349</v>
      </c>
      <c r="S185" s="144"/>
    </row>
    <row r="186">
      <c r="A186" s="128" t="s">
        <v>249</v>
      </c>
      <c r="B186" s="16">
        <f>IFERROR(__xludf.DUMMYFUNCTION("VLOOKUP(A186,IMPORTRANGE(""1aFCnJY1qhIj8-JckJhDJ18aqmVo17tofpQmOjcYa3u8/edit#gid=1878241338"",""S3 Totals!$A$2:$O$255""),2,FALSE)"),15.0)</f>
        <v>15</v>
      </c>
      <c r="C186" s="15">
        <f>IFERROR(__xludf.DUMMYFUNCTION("VLOOKUP(A186,IMPORTRANGE(""1aFCnJY1qhIj8-JckJhDJ18aqmVo17tofpQmOjcYa3u8/edit#gid=1878241338"",""S3 Totals!$A$2:$O$255""),3,FALSE)"),0.2054794520547945)</f>
        <v>0.2054794521</v>
      </c>
      <c r="D186" s="16">
        <f>IFERROR(__xludf.DUMMYFUNCTION("VLOOKUP(A186,IMPORTRANGE(""1QZ5UxyNCwadreQAXnQ7oCoH982DjIA-QnZdO7ZoqkC0/edit#gid=884617569"",""S3 Totals!$A$2:$O$255""),2,FALSE)"),11.0)</f>
        <v>11</v>
      </c>
      <c r="E186" s="15">
        <f>IFERROR(__xludf.DUMMYFUNCTION("VLOOKUP(A186,IMPORTRANGE(""1QZ5UxyNCwadreQAXnQ7oCoH982DjIA-QnZdO7ZoqkC0/edit#gid=884617569"",""S3 Totals!$A$2:$O$255""),3,FALSE)"),0.14864864864864866)</f>
        <v>0.1486486486</v>
      </c>
      <c r="F186" s="15">
        <f t="shared" si="1"/>
        <v>0.05683080341</v>
      </c>
      <c r="G186" s="16">
        <f>IFERROR(__xludf.DUMMYFUNCTION("VLOOKUP(A186,IMPORTRANGE(""1QZ5UxyNCwadreQAXnQ7oCoH982DjIA-QnZdO7ZoqkC0/edit#gid=884617569"",""S3 Totals!$A$2:$O$255""),4,FALSE)"),11.0)</f>
        <v>11</v>
      </c>
      <c r="H186" s="15">
        <f>IFERROR(__xludf.DUMMYFUNCTION("VLOOKUP(A186,IMPORTRANGE(""1QZ5UxyNCwadreQAXnQ7oCoH982DjIA-QnZdO7ZoqkC0/edit#gid=884617569"",""S3 Totals!$A$2:$O$255""),5,FALSE)"),0.13924050632911392)</f>
        <v>0.1392405063</v>
      </c>
      <c r="I186" s="143">
        <f t="shared" si="2"/>
        <v>0.06623894573</v>
      </c>
      <c r="J186" s="16" t="str">
        <f>IFERROR(__xludf.DUMMYFUNCTION("VLOOKUP(A186,IMPORTRANGE(""1QZ5UxyNCwadreQAXnQ7oCoH982DjIA-QnZdO7ZoqkC0/edit#gid=884617569"",""S3 Totals!$A$2:$O$255""),7,FALSE)"),"")</f>
        <v/>
      </c>
      <c r="K186" s="15" t="str">
        <f>IFERROR(__xludf.DUMMYFUNCTION("VLOOKUP(A186,IMPORTRANGE(""1QZ5UxyNCwadreQAXnQ7oCoH982DjIA-QnZdO7ZoqkC0/edit#gid=884617569"",""S3 Totals!$A$2:$O$255""),8,FALSE)"),"")</f>
        <v/>
      </c>
      <c r="L186" s="110">
        <f t="shared" si="5"/>
        <v>0.1486486486</v>
      </c>
      <c r="M186" s="16" t="str">
        <f>IFERROR(__xludf.DUMMYFUNCTION("VLOOKUP(A186,IMPORTRANGE(""1QZ5UxyNCwadreQAXnQ7oCoH982DjIA-QnZdO7ZoqkC0/edit#gid=884617569"",""S3 Totals!$A$2:$O$255""),10,FALSE)"),"")</f>
        <v/>
      </c>
      <c r="N186" s="15" t="str">
        <f>IFERROR(__xludf.DUMMYFUNCTION("VLOOKUP(A186,IMPORTRANGE(""1QZ5UxyNCwadreQAXnQ7oCoH982DjIA-QnZdO7ZoqkC0/edit#gid=884617569"",""S3 Totals!$A$2:$O$255""),11,FALSE)"),"")</f>
        <v/>
      </c>
      <c r="O186" s="110">
        <f t="shared" si="3"/>
        <v>0.2054794521</v>
      </c>
      <c r="P186" s="16" t="str">
        <f>IFERROR(__xludf.DUMMYFUNCTION("VLOOKUP(A186,IMPORTRANGE(""1QZ5UxyNCwadreQAXnQ7oCoH982DjIA-QnZdO7ZoqkC0/edit#gid=884617569"",""S3 Totals!$A$2:$O$255""),13,FALSE)"),"")</f>
        <v/>
      </c>
      <c r="Q186" s="15" t="str">
        <f>IFERROR(__xludf.DUMMYFUNCTION("VLOOKUP(A186,IMPORTRANGE(""1QZ5UxyNCwadreQAXnQ7oCoH982DjIA-QnZdO7ZoqkC0/edit#gid=884617569"",""S3 Totals!$A$2:$O$255""),14,FALSE)"),"")</f>
        <v/>
      </c>
      <c r="R186" s="110">
        <f t="shared" si="4"/>
        <v>0.2054794521</v>
      </c>
      <c r="S186" s="144"/>
    </row>
    <row r="187">
      <c r="A187" s="128" t="s">
        <v>250</v>
      </c>
      <c r="B187" s="16">
        <f>IFERROR(__xludf.DUMMYFUNCTION("VLOOKUP(A187,IMPORTRANGE(""1aFCnJY1qhIj8-JckJhDJ18aqmVo17tofpQmOjcYa3u8/edit#gid=1878241338"",""S3 Totals!$A$2:$O$255""),2,FALSE)"),0.0)</f>
        <v>0</v>
      </c>
      <c r="C187" s="15">
        <f>IFERROR(__xludf.DUMMYFUNCTION("VLOOKUP(A187,IMPORTRANGE(""1aFCnJY1qhIj8-JckJhDJ18aqmVo17tofpQmOjcYa3u8/edit#gid=1878241338"",""S3 Totals!$A$2:$O$255""),3,FALSE)"),0.0)</f>
        <v>0</v>
      </c>
      <c r="D187" s="16">
        <f>IFERROR(__xludf.DUMMYFUNCTION("VLOOKUP(A187,IMPORTRANGE(""1QZ5UxyNCwadreQAXnQ7oCoH982DjIA-QnZdO7ZoqkC0/edit#gid=884617569"",""S3 Totals!$A$2:$O$255""),2,FALSE)"),0.0)</f>
        <v>0</v>
      </c>
      <c r="E187" s="15">
        <f>IFERROR(__xludf.DUMMYFUNCTION("VLOOKUP(A187,IMPORTRANGE(""1QZ5UxyNCwadreQAXnQ7oCoH982DjIA-QnZdO7ZoqkC0/edit#gid=884617569"",""S3 Totals!$A$2:$O$255""),3,FALSE)"),0.0)</f>
        <v>0</v>
      </c>
      <c r="F187" s="15">
        <f t="shared" si="1"/>
        <v>0</v>
      </c>
      <c r="G187" s="16">
        <f>IFERROR(__xludf.DUMMYFUNCTION("VLOOKUP(A187,IMPORTRANGE(""1QZ5UxyNCwadreQAXnQ7oCoH982DjIA-QnZdO7ZoqkC0/edit#gid=884617569"",""S3 Totals!$A$2:$O$255""),4,FALSE)"),0.0)</f>
        <v>0</v>
      </c>
      <c r="H187" s="15">
        <f>IFERROR(__xludf.DUMMYFUNCTION("VLOOKUP(A187,IMPORTRANGE(""1QZ5UxyNCwadreQAXnQ7oCoH982DjIA-QnZdO7ZoqkC0/edit#gid=884617569"",""S3 Totals!$A$2:$O$255""),5,FALSE)"),0.0)</f>
        <v>0</v>
      </c>
      <c r="I187" s="143">
        <f t="shared" si="2"/>
        <v>0</v>
      </c>
      <c r="J187" s="16" t="str">
        <f>IFERROR(__xludf.DUMMYFUNCTION("VLOOKUP(A187,IMPORTRANGE(""1QZ5UxyNCwadreQAXnQ7oCoH982DjIA-QnZdO7ZoqkC0/edit#gid=884617569"",""S3 Totals!$A$2:$O$255""),7,FALSE)"),"")</f>
        <v/>
      </c>
      <c r="K187" s="15" t="str">
        <f>IFERROR(__xludf.DUMMYFUNCTION("VLOOKUP(A187,IMPORTRANGE(""1QZ5UxyNCwadreQAXnQ7oCoH982DjIA-QnZdO7ZoqkC0/edit#gid=884617569"",""S3 Totals!$A$2:$O$255""),8,FALSE)"),"")</f>
        <v/>
      </c>
      <c r="L187" s="110">
        <f t="shared" si="5"/>
        <v>0</v>
      </c>
      <c r="M187" s="16" t="str">
        <f>IFERROR(__xludf.DUMMYFUNCTION("VLOOKUP(A187,IMPORTRANGE(""1QZ5UxyNCwadreQAXnQ7oCoH982DjIA-QnZdO7ZoqkC0/edit#gid=884617569"",""S3 Totals!$A$2:$O$255""),10,FALSE)"),"")</f>
        <v/>
      </c>
      <c r="N187" s="15" t="str">
        <f>IFERROR(__xludf.DUMMYFUNCTION("VLOOKUP(A187,IMPORTRANGE(""1QZ5UxyNCwadreQAXnQ7oCoH982DjIA-QnZdO7ZoqkC0/edit#gid=884617569"",""S3 Totals!$A$2:$O$255""),11,FALSE)"),"")</f>
        <v/>
      </c>
      <c r="O187" s="110">
        <f t="shared" si="3"/>
        <v>0</v>
      </c>
      <c r="P187" s="16" t="str">
        <f>IFERROR(__xludf.DUMMYFUNCTION("VLOOKUP(A187,IMPORTRANGE(""1QZ5UxyNCwadreQAXnQ7oCoH982DjIA-QnZdO7ZoqkC0/edit#gid=884617569"",""S3 Totals!$A$2:$O$255""),13,FALSE)"),"")</f>
        <v/>
      </c>
      <c r="Q187" s="15" t="str">
        <f>IFERROR(__xludf.DUMMYFUNCTION("VLOOKUP(A187,IMPORTRANGE(""1QZ5UxyNCwadreQAXnQ7oCoH982DjIA-QnZdO7ZoqkC0/edit#gid=884617569"",""S3 Totals!$A$2:$O$255""),14,FALSE)"),"")</f>
        <v/>
      </c>
      <c r="R187" s="110">
        <f t="shared" si="4"/>
        <v>0</v>
      </c>
      <c r="S187" s="144"/>
    </row>
    <row r="188">
      <c r="A188" s="128" t="s">
        <v>251</v>
      </c>
      <c r="B188" s="16">
        <f>IFERROR(__xludf.DUMMYFUNCTION("VLOOKUP(A188,IMPORTRANGE(""1aFCnJY1qhIj8-JckJhDJ18aqmVo17tofpQmOjcYa3u8/edit#gid=1878241338"",""S3 Totals!$A$2:$O$255""),2,FALSE)"),1.0)</f>
        <v>1</v>
      </c>
      <c r="C188" s="15">
        <f>IFERROR(__xludf.DUMMYFUNCTION("VLOOKUP(A188,IMPORTRANGE(""1aFCnJY1qhIj8-JckJhDJ18aqmVo17tofpQmOjcYa3u8/edit#gid=1878241338"",""S3 Totals!$A$2:$O$255""),3,FALSE)"),0.0136986301369863)</f>
        <v>0.01369863014</v>
      </c>
      <c r="D188" s="16">
        <f>IFERROR(__xludf.DUMMYFUNCTION("VLOOKUP(A188,IMPORTRANGE(""1QZ5UxyNCwadreQAXnQ7oCoH982DjIA-QnZdO7ZoqkC0/edit#gid=884617569"",""S3 Totals!$A$2:$O$255""),2,FALSE)"),1.0)</f>
        <v>1</v>
      </c>
      <c r="E188" s="15">
        <f>IFERROR(__xludf.DUMMYFUNCTION("VLOOKUP(A188,IMPORTRANGE(""1QZ5UxyNCwadreQAXnQ7oCoH982DjIA-QnZdO7ZoqkC0/edit#gid=884617569"",""S3 Totals!$A$2:$O$255""),3,FALSE)"),0.013513513513513514)</f>
        <v>0.01351351351</v>
      </c>
      <c r="F188" s="15">
        <f t="shared" si="1"/>
        <v>0.0001851166235</v>
      </c>
      <c r="G188" s="16">
        <f>IFERROR(__xludf.DUMMYFUNCTION("VLOOKUP(A188,IMPORTRANGE(""1QZ5UxyNCwadreQAXnQ7oCoH982DjIA-QnZdO7ZoqkC0/edit#gid=884617569"",""S3 Totals!$A$2:$O$255""),4,FALSE)"),1.0)</f>
        <v>1</v>
      </c>
      <c r="H188" s="15">
        <f>IFERROR(__xludf.DUMMYFUNCTION("VLOOKUP(A188,IMPORTRANGE(""1QZ5UxyNCwadreQAXnQ7oCoH982DjIA-QnZdO7ZoqkC0/edit#gid=884617569"",""S3 Totals!$A$2:$O$255""),5,FALSE)"),0.012658227848101266)</f>
        <v>0.01265822785</v>
      </c>
      <c r="I188" s="143">
        <f t="shared" si="2"/>
        <v>0.001040402289</v>
      </c>
      <c r="J188" s="16" t="str">
        <f>IFERROR(__xludf.DUMMYFUNCTION("VLOOKUP(A188,IMPORTRANGE(""1QZ5UxyNCwadreQAXnQ7oCoH982DjIA-QnZdO7ZoqkC0/edit#gid=884617569"",""S3 Totals!$A$2:$O$255""),7,FALSE)"),"")</f>
        <v/>
      </c>
      <c r="K188" s="15" t="str">
        <f>IFERROR(__xludf.DUMMYFUNCTION("VLOOKUP(A188,IMPORTRANGE(""1QZ5UxyNCwadreQAXnQ7oCoH982DjIA-QnZdO7ZoqkC0/edit#gid=884617569"",""S3 Totals!$A$2:$O$255""),8,FALSE)"),"")</f>
        <v/>
      </c>
      <c r="L188" s="110">
        <f t="shared" si="5"/>
        <v>0.01351351351</v>
      </c>
      <c r="M188" s="16" t="str">
        <f>IFERROR(__xludf.DUMMYFUNCTION("VLOOKUP(A188,IMPORTRANGE(""1QZ5UxyNCwadreQAXnQ7oCoH982DjIA-QnZdO7ZoqkC0/edit#gid=884617569"",""S3 Totals!$A$2:$O$255""),10,FALSE)"),"")</f>
        <v/>
      </c>
      <c r="N188" s="15" t="str">
        <f>IFERROR(__xludf.DUMMYFUNCTION("VLOOKUP(A188,IMPORTRANGE(""1QZ5UxyNCwadreQAXnQ7oCoH982DjIA-QnZdO7ZoqkC0/edit#gid=884617569"",""S3 Totals!$A$2:$O$255""),11,FALSE)"),"")</f>
        <v/>
      </c>
      <c r="O188" s="110">
        <f t="shared" si="3"/>
        <v>0.01369863014</v>
      </c>
      <c r="P188" s="16" t="str">
        <f>IFERROR(__xludf.DUMMYFUNCTION("VLOOKUP(A188,IMPORTRANGE(""1QZ5UxyNCwadreQAXnQ7oCoH982DjIA-QnZdO7ZoqkC0/edit#gid=884617569"",""S3 Totals!$A$2:$O$255""),13,FALSE)"),"")</f>
        <v/>
      </c>
      <c r="Q188" s="15" t="str">
        <f>IFERROR(__xludf.DUMMYFUNCTION("VLOOKUP(A188,IMPORTRANGE(""1QZ5UxyNCwadreQAXnQ7oCoH982DjIA-QnZdO7ZoqkC0/edit#gid=884617569"",""S3 Totals!$A$2:$O$255""),14,FALSE)"),"")</f>
        <v/>
      </c>
      <c r="R188" s="110">
        <f t="shared" si="4"/>
        <v>0.01369863014</v>
      </c>
      <c r="S188" s="144"/>
    </row>
    <row r="189">
      <c r="A189" s="128" t="s">
        <v>193</v>
      </c>
      <c r="B189" s="16">
        <f>IFERROR(__xludf.DUMMYFUNCTION("VLOOKUP(A189,IMPORTRANGE(""1aFCnJY1qhIj8-JckJhDJ18aqmVo17tofpQmOjcYa3u8/edit#gid=1878241338"",""S3 Totals!$A$2:$O$255""),2,FALSE)"),0.0)</f>
        <v>0</v>
      </c>
      <c r="C189" s="15">
        <f>IFERROR(__xludf.DUMMYFUNCTION("VLOOKUP(A189,IMPORTRANGE(""1aFCnJY1qhIj8-JckJhDJ18aqmVo17tofpQmOjcYa3u8/edit#gid=1878241338"",""S3 Totals!$A$2:$O$255""),3,FALSE)"),0.0)</f>
        <v>0</v>
      </c>
      <c r="D189" s="16">
        <f>IFERROR(__xludf.DUMMYFUNCTION("VLOOKUP(A189,IMPORTRANGE(""1QZ5UxyNCwadreQAXnQ7oCoH982DjIA-QnZdO7ZoqkC0/edit#gid=884617569"",""S3 Totals!$A$2:$O$255""),2,FALSE)"),0.0)</f>
        <v>0</v>
      </c>
      <c r="E189" s="15">
        <f>IFERROR(__xludf.DUMMYFUNCTION("VLOOKUP(A189,IMPORTRANGE(""1QZ5UxyNCwadreQAXnQ7oCoH982DjIA-QnZdO7ZoqkC0/edit#gid=884617569"",""S3 Totals!$A$2:$O$255""),3,FALSE)"),0.0)</f>
        <v>0</v>
      </c>
      <c r="F189" s="15">
        <f t="shared" si="1"/>
        <v>0</v>
      </c>
      <c r="G189" s="16">
        <f>IFERROR(__xludf.DUMMYFUNCTION("VLOOKUP(A189,IMPORTRANGE(""1QZ5UxyNCwadreQAXnQ7oCoH982DjIA-QnZdO7ZoqkC0/edit#gid=884617569"",""S3 Totals!$A$2:$O$255""),4,FALSE)"),0.0)</f>
        <v>0</v>
      </c>
      <c r="H189" s="15">
        <f>IFERROR(__xludf.DUMMYFUNCTION("VLOOKUP(A189,IMPORTRANGE(""1QZ5UxyNCwadreQAXnQ7oCoH982DjIA-QnZdO7ZoqkC0/edit#gid=884617569"",""S3 Totals!$A$2:$O$255""),5,FALSE)"),0.0)</f>
        <v>0</v>
      </c>
      <c r="I189" s="143">
        <f t="shared" si="2"/>
        <v>0</v>
      </c>
      <c r="J189" s="16">
        <f>IFERROR(__xludf.DUMMYFUNCTION("VLOOKUP(A189,IMPORTRANGE(""1QZ5UxyNCwadreQAXnQ7oCoH982DjIA-QnZdO7ZoqkC0/edit#gid=884617569"",""S3 Totals!$A$2:$O$255""),7,FALSE)"),0.0)</f>
        <v>0</v>
      </c>
      <c r="K189" s="15">
        <f>IFERROR(__xludf.DUMMYFUNCTION("VLOOKUP(A189,IMPORTRANGE(""1QZ5UxyNCwadreQAXnQ7oCoH982DjIA-QnZdO7ZoqkC0/edit#gid=884617569"",""S3 Totals!$A$2:$O$255""),8,FALSE)"),0.0)</f>
        <v>0</v>
      </c>
      <c r="L189" s="110">
        <f t="shared" si="5"/>
        <v>0</v>
      </c>
      <c r="M189" s="16" t="str">
        <f>IFERROR(__xludf.DUMMYFUNCTION("VLOOKUP(A189,IMPORTRANGE(""1QZ5UxyNCwadreQAXnQ7oCoH982DjIA-QnZdO7ZoqkC0/edit#gid=884617569"",""S3 Totals!$A$2:$O$255""),10,FALSE)"),"")</f>
        <v/>
      </c>
      <c r="N189" s="15" t="str">
        <f>IFERROR(__xludf.DUMMYFUNCTION("VLOOKUP(A189,IMPORTRANGE(""1QZ5UxyNCwadreQAXnQ7oCoH982DjIA-QnZdO7ZoqkC0/edit#gid=884617569"",""S3 Totals!$A$2:$O$255""),11,FALSE)"),"")</f>
        <v/>
      </c>
      <c r="O189" s="110">
        <f t="shared" si="3"/>
        <v>0</v>
      </c>
      <c r="P189" s="16" t="str">
        <f>IFERROR(__xludf.DUMMYFUNCTION("VLOOKUP(A189,IMPORTRANGE(""1QZ5UxyNCwadreQAXnQ7oCoH982DjIA-QnZdO7ZoqkC0/edit#gid=884617569"",""S3 Totals!$A$2:$O$255""),13,FALSE)"),"")</f>
        <v/>
      </c>
      <c r="Q189" s="15" t="str">
        <f>IFERROR(__xludf.DUMMYFUNCTION("VLOOKUP(A189,IMPORTRANGE(""1QZ5UxyNCwadreQAXnQ7oCoH982DjIA-QnZdO7ZoqkC0/edit#gid=884617569"",""S3 Totals!$A$2:$O$255""),14,FALSE)"),"")</f>
        <v/>
      </c>
      <c r="R189" s="110">
        <f t="shared" si="4"/>
        <v>0</v>
      </c>
      <c r="S189" s="144"/>
    </row>
    <row r="190">
      <c r="A190" s="128" t="s">
        <v>194</v>
      </c>
      <c r="B190" s="16">
        <f>IFERROR(__xludf.DUMMYFUNCTION("VLOOKUP(A190,IMPORTRANGE(""1aFCnJY1qhIj8-JckJhDJ18aqmVo17tofpQmOjcYa3u8/edit#gid=1878241338"",""S3 Totals!$A$2:$O$255""),2,FALSE)"),17.0)</f>
        <v>17</v>
      </c>
      <c r="C190" s="15">
        <f>IFERROR(__xludf.DUMMYFUNCTION("VLOOKUP(A190,IMPORTRANGE(""1aFCnJY1qhIj8-JckJhDJ18aqmVo17tofpQmOjcYa3u8/edit#gid=1878241338"",""S3 Totals!$A$2:$O$255""),3,FALSE)"),0.2328767123287671)</f>
        <v>0.2328767123</v>
      </c>
      <c r="D190" s="16">
        <f>IFERROR(__xludf.DUMMYFUNCTION("VLOOKUP(A190,IMPORTRANGE(""1QZ5UxyNCwadreQAXnQ7oCoH982DjIA-QnZdO7ZoqkC0/edit#gid=884617569"",""S3 Totals!$A$2:$O$255""),2,FALSE)"),19.0)</f>
        <v>19</v>
      </c>
      <c r="E190" s="15">
        <f>IFERROR(__xludf.DUMMYFUNCTION("VLOOKUP(A190,IMPORTRANGE(""1QZ5UxyNCwadreQAXnQ7oCoH982DjIA-QnZdO7ZoqkC0/edit#gid=884617569"",""S3 Totals!$A$2:$O$255""),3,FALSE)"),0.25675675675675674)</f>
        <v>0.2567567568</v>
      </c>
      <c r="F190" s="15">
        <f t="shared" si="1"/>
        <v>-0.02388004443</v>
      </c>
      <c r="G190" s="16">
        <f>IFERROR(__xludf.DUMMYFUNCTION("VLOOKUP(A190,IMPORTRANGE(""1QZ5UxyNCwadreQAXnQ7oCoH982DjIA-QnZdO7ZoqkC0/edit#gid=884617569"",""S3 Totals!$A$2:$O$255""),4,FALSE)"),21.0)</f>
        <v>21</v>
      </c>
      <c r="H190" s="15">
        <f>IFERROR(__xludf.DUMMYFUNCTION("VLOOKUP(A190,IMPORTRANGE(""1QZ5UxyNCwadreQAXnQ7oCoH982DjIA-QnZdO7ZoqkC0/edit#gid=884617569"",""S3 Totals!$A$2:$O$255""),5,FALSE)"),0.26582278481012656)</f>
        <v>0.2658227848</v>
      </c>
      <c r="I190" s="143">
        <f t="shared" si="2"/>
        <v>-0.03294607248</v>
      </c>
      <c r="J190" s="16">
        <f>IFERROR(__xludf.DUMMYFUNCTION("VLOOKUP(A190,IMPORTRANGE(""1QZ5UxyNCwadreQAXnQ7oCoH982DjIA-QnZdO7ZoqkC0/edit#gid=884617569"",""S3 Totals!$A$2:$O$255""),7,FALSE)"),0.0)</f>
        <v>0</v>
      </c>
      <c r="K190" s="15">
        <f>IFERROR(__xludf.DUMMYFUNCTION("VLOOKUP(A190,IMPORTRANGE(""1QZ5UxyNCwadreQAXnQ7oCoH982DjIA-QnZdO7ZoqkC0/edit#gid=884617569"",""S3 Totals!$A$2:$O$255""),8,FALSE)"),0.0)</f>
        <v>0</v>
      </c>
      <c r="L190" s="110">
        <f t="shared" si="5"/>
        <v>0.2567567568</v>
      </c>
      <c r="M190" s="16" t="str">
        <f>IFERROR(__xludf.DUMMYFUNCTION("VLOOKUP(A190,IMPORTRANGE(""1QZ5UxyNCwadreQAXnQ7oCoH982DjIA-QnZdO7ZoqkC0/edit#gid=884617569"",""S3 Totals!$A$2:$O$255""),10,FALSE)"),"")</f>
        <v/>
      </c>
      <c r="N190" s="15" t="str">
        <f>IFERROR(__xludf.DUMMYFUNCTION("VLOOKUP(A190,IMPORTRANGE(""1QZ5UxyNCwadreQAXnQ7oCoH982DjIA-QnZdO7ZoqkC0/edit#gid=884617569"",""S3 Totals!$A$2:$O$255""),11,FALSE)"),"")</f>
        <v/>
      </c>
      <c r="O190" s="110">
        <f t="shared" si="3"/>
        <v>0.2328767123</v>
      </c>
      <c r="P190" s="16" t="str">
        <f>IFERROR(__xludf.DUMMYFUNCTION("VLOOKUP(A190,IMPORTRANGE(""1QZ5UxyNCwadreQAXnQ7oCoH982DjIA-QnZdO7ZoqkC0/edit#gid=884617569"",""S3 Totals!$A$2:$O$255""),13,FALSE)"),"")</f>
        <v/>
      </c>
      <c r="Q190" s="15" t="str">
        <f>IFERROR(__xludf.DUMMYFUNCTION("VLOOKUP(A190,IMPORTRANGE(""1QZ5UxyNCwadreQAXnQ7oCoH982DjIA-QnZdO7ZoqkC0/edit#gid=884617569"",""S3 Totals!$A$2:$O$255""),14,FALSE)"),"")</f>
        <v/>
      </c>
      <c r="R190" s="110">
        <f t="shared" si="4"/>
        <v>0.2328767123</v>
      </c>
      <c r="S190" s="144"/>
    </row>
    <row r="191">
      <c r="A191" s="134" t="s">
        <v>277</v>
      </c>
      <c r="B191" s="16">
        <f>IFERROR(__xludf.DUMMYFUNCTION("VLOOKUP(A191,IMPORTRANGE(""1aFCnJY1qhIj8-JckJhDJ18aqmVo17tofpQmOjcYa3u8/edit#gid=1878241338"",""S3 Totals!$A$2:$O$255""),2,FALSE)"),0.0)</f>
        <v>0</v>
      </c>
      <c r="C191" s="15">
        <f>IFERROR(__xludf.DUMMYFUNCTION("VLOOKUP(A191,IMPORTRANGE(""1aFCnJY1qhIj8-JckJhDJ18aqmVo17tofpQmOjcYa3u8/edit#gid=1878241338"",""S3 Totals!$A$2:$O$255""),3,FALSE)"),0.0)</f>
        <v>0</v>
      </c>
      <c r="D191" s="16" t="str">
        <f>IFERROR(__xludf.DUMMYFUNCTION("VLOOKUP(A191,IMPORTRANGE(""1QZ5UxyNCwadreQAXnQ7oCoH982DjIA-QnZdO7ZoqkC0/edit#gid=884617569"",""S3 Totals!$A$2:$O$255""),2,FALSE)"),"#N/A")</f>
        <v>#N/A</v>
      </c>
      <c r="E191" s="15" t="str">
        <f>IFERROR(__xludf.DUMMYFUNCTION("VLOOKUP(A191,IMPORTRANGE(""1QZ5UxyNCwadreQAXnQ7oCoH982DjIA-QnZdO7ZoqkC0/edit#gid=884617569"",""S3 Totals!$A$2:$O$255""),3,FALSE)"),"#N/A")</f>
        <v>#N/A</v>
      </c>
      <c r="F191" s="16" t="str">
        <f t="shared" si="1"/>
        <v>#N/A</v>
      </c>
      <c r="G191" s="16" t="str">
        <f>IFERROR(__xludf.DUMMYFUNCTION("VLOOKUP(A191,IMPORTRANGE(""1QZ5UxyNCwadreQAXnQ7oCoH982DjIA-QnZdO7ZoqkC0/edit#gid=884617569"",""S3 Totals!$A$2:$O$255""),4,FALSE)"),"#N/A")</f>
        <v>#N/A</v>
      </c>
      <c r="H191" s="15" t="str">
        <f>IFERROR(__xludf.DUMMYFUNCTION("VLOOKUP(A191,IMPORTRANGE(""1QZ5UxyNCwadreQAXnQ7oCoH982DjIA-QnZdO7ZoqkC0/edit#gid=884617569"",""S3 Totals!$A$2:$O$255""),5,FALSE)"),"#N/A")</f>
        <v>#N/A</v>
      </c>
      <c r="I191" s="143" t="str">
        <f t="shared" si="2"/>
        <v>#N/A</v>
      </c>
      <c r="J191" s="16" t="str">
        <f>IFERROR(__xludf.DUMMYFUNCTION("VLOOKUP(A191,IMPORTRANGE(""1QZ5UxyNCwadreQAXnQ7oCoH982DjIA-QnZdO7ZoqkC0/edit#gid=884617569"",""S3 Totals!$A$2:$O$255""),7,FALSE)"),"#N/A")</f>
        <v>#N/A</v>
      </c>
      <c r="K191" s="15" t="str">
        <f>IFERROR(__xludf.DUMMYFUNCTION("VLOOKUP(A191,IMPORTRANGE(""1QZ5UxyNCwadreQAXnQ7oCoH982DjIA-QnZdO7ZoqkC0/edit#gid=884617569"",""S3 Totals!$A$2:$O$255""),8,FALSE)"),"#N/A")</f>
        <v>#N/A</v>
      </c>
      <c r="L191" s="110" t="str">
        <f t="shared" si="5"/>
        <v>#N/A</v>
      </c>
      <c r="M191" s="16" t="str">
        <f>IFERROR(__xludf.DUMMYFUNCTION("VLOOKUP(A191,IMPORTRANGE(""1QZ5UxyNCwadreQAXnQ7oCoH982DjIA-QnZdO7ZoqkC0/edit#gid=884617569"",""S3 Totals!$A$2:$O$255""),10,FALSE)"),"#N/A")</f>
        <v>#N/A</v>
      </c>
      <c r="N191" s="15" t="str">
        <f>IFERROR(__xludf.DUMMYFUNCTION("VLOOKUP(A191,IMPORTRANGE(""1QZ5UxyNCwadreQAXnQ7oCoH982DjIA-QnZdO7ZoqkC0/edit#gid=884617569"",""S3 Totals!$A$2:$O$255""),11,FALSE)"),"#N/A")</f>
        <v>#N/A</v>
      </c>
      <c r="O191" s="110" t="str">
        <f t="shared" si="3"/>
        <v>#N/A</v>
      </c>
      <c r="P191" s="16" t="str">
        <f>IFERROR(__xludf.DUMMYFUNCTION("VLOOKUP(A191,IMPORTRANGE(""1QZ5UxyNCwadreQAXnQ7oCoH982DjIA-QnZdO7ZoqkC0/edit#gid=884617569"",""S3 Totals!$A$2:$O$255""),13,FALSE)"),"#N/A")</f>
        <v>#N/A</v>
      </c>
      <c r="Q191" s="15" t="str">
        <f>IFERROR(__xludf.DUMMYFUNCTION("VLOOKUP(A191,IMPORTRANGE(""1QZ5UxyNCwadreQAXnQ7oCoH982DjIA-QnZdO7ZoqkC0/edit#gid=884617569"",""S3 Totals!$A$2:$O$255""),14,FALSE)"),"#N/A")</f>
        <v>#N/A</v>
      </c>
      <c r="R191" s="110" t="str">
        <f t="shared" si="4"/>
        <v>#N/A</v>
      </c>
      <c r="S191" s="144"/>
    </row>
    <row r="192">
      <c r="A192" s="128" t="s">
        <v>44</v>
      </c>
      <c r="B192" s="16">
        <f>IFERROR(__xludf.DUMMYFUNCTION("VLOOKUP(A192,IMPORTRANGE(""1aFCnJY1qhIj8-JckJhDJ18aqmVo17tofpQmOjcYa3u8/edit#gid=1878241338"",""S3 Totals!$A$2:$O$255""),2,FALSE)"),0.0)</f>
        <v>0</v>
      </c>
      <c r="C192" s="15">
        <f>IFERROR(__xludf.DUMMYFUNCTION("VLOOKUP(A192,IMPORTRANGE(""1aFCnJY1qhIj8-JckJhDJ18aqmVo17tofpQmOjcYa3u8/edit#gid=1878241338"",""S3 Totals!$A$2:$O$255""),3,FALSE)"),0.0)</f>
        <v>0</v>
      </c>
      <c r="D192" s="16">
        <f>IFERROR(__xludf.DUMMYFUNCTION("VLOOKUP(A192,IMPORTRANGE(""1QZ5UxyNCwadreQAXnQ7oCoH982DjIA-QnZdO7ZoqkC0/edit#gid=884617569"",""S3 Totals!$A$2:$O$255""),2,FALSE)"),0.0)</f>
        <v>0</v>
      </c>
      <c r="E192" s="15">
        <f>IFERROR(__xludf.DUMMYFUNCTION("VLOOKUP(A192,IMPORTRANGE(""1QZ5UxyNCwadreQAXnQ7oCoH982DjIA-QnZdO7ZoqkC0/edit#gid=884617569"",""S3 Totals!$A$2:$O$255""),3,FALSE)"),0.0)</f>
        <v>0</v>
      </c>
      <c r="F192" s="15">
        <f t="shared" si="1"/>
        <v>0</v>
      </c>
      <c r="G192" s="16">
        <f>IFERROR(__xludf.DUMMYFUNCTION("VLOOKUP(A192,IMPORTRANGE(""1QZ5UxyNCwadreQAXnQ7oCoH982DjIA-QnZdO7ZoqkC0/edit#gid=884617569"",""S3 Totals!$A$2:$O$255""),4,FALSE)"),0.0)</f>
        <v>0</v>
      </c>
      <c r="H192" s="15">
        <f>IFERROR(__xludf.DUMMYFUNCTION("VLOOKUP(A192,IMPORTRANGE(""1QZ5UxyNCwadreQAXnQ7oCoH982DjIA-QnZdO7ZoqkC0/edit#gid=884617569"",""S3 Totals!$A$2:$O$255""),5,FALSE)"),0.0)</f>
        <v>0</v>
      </c>
      <c r="I192" s="143">
        <f t="shared" si="2"/>
        <v>0</v>
      </c>
      <c r="J192" s="16">
        <f>IFERROR(__xludf.DUMMYFUNCTION("VLOOKUP(A192,IMPORTRANGE(""1QZ5UxyNCwadreQAXnQ7oCoH982DjIA-QnZdO7ZoqkC0/edit#gid=884617569"",""S3 Totals!$A$2:$O$255""),7,FALSE)"),0.0)</f>
        <v>0</v>
      </c>
      <c r="K192" s="15">
        <f>IFERROR(__xludf.DUMMYFUNCTION("VLOOKUP(A192,IMPORTRANGE(""1QZ5UxyNCwadreQAXnQ7oCoH982DjIA-QnZdO7ZoqkC0/edit#gid=884617569"",""S3 Totals!$A$2:$O$255""),8,FALSE)"),0.0)</f>
        <v>0</v>
      </c>
      <c r="L192" s="110">
        <f t="shared" si="5"/>
        <v>0</v>
      </c>
      <c r="M192" s="16">
        <f>IFERROR(__xludf.DUMMYFUNCTION("VLOOKUP(A192,IMPORTRANGE(""1QZ5UxyNCwadreQAXnQ7oCoH982DjIA-QnZdO7ZoqkC0/edit#gid=884617569"",""S3 Totals!$A$2:$O$255""),10,FALSE)"),0.0)</f>
        <v>0</v>
      </c>
      <c r="N192" s="15">
        <f>IFERROR(__xludf.DUMMYFUNCTION("VLOOKUP(A192,IMPORTRANGE(""1QZ5UxyNCwadreQAXnQ7oCoH982DjIA-QnZdO7ZoqkC0/edit#gid=884617569"",""S3 Totals!$A$2:$O$255""),11,FALSE)"),0.0)</f>
        <v>0</v>
      </c>
      <c r="O192" s="110">
        <f t="shared" si="3"/>
        <v>0</v>
      </c>
      <c r="P192" s="16">
        <f>IFERROR(__xludf.DUMMYFUNCTION("VLOOKUP(A192,IMPORTRANGE(""1QZ5UxyNCwadreQAXnQ7oCoH982DjIA-QnZdO7ZoqkC0/edit#gid=884617569"",""S3 Totals!$A$2:$O$255""),13,FALSE)"),0.0)</f>
        <v>0</v>
      </c>
      <c r="Q192" s="15">
        <f>IFERROR(__xludf.DUMMYFUNCTION("VLOOKUP(A192,IMPORTRANGE(""1QZ5UxyNCwadreQAXnQ7oCoH982DjIA-QnZdO7ZoqkC0/edit#gid=884617569"",""S3 Totals!$A$2:$O$255""),14,FALSE)"),0.0)</f>
        <v>0</v>
      </c>
      <c r="R192" s="110">
        <f t="shared" si="4"/>
        <v>0</v>
      </c>
      <c r="S192" s="144"/>
    </row>
    <row r="193">
      <c r="A193" s="128" t="s">
        <v>252</v>
      </c>
      <c r="B193" s="16">
        <f>IFERROR(__xludf.DUMMYFUNCTION("VLOOKUP(A193,IMPORTRANGE(""1aFCnJY1qhIj8-JckJhDJ18aqmVo17tofpQmOjcYa3u8/edit#gid=1878241338"",""S3 Totals!$A$2:$O$255""),2,FALSE)"),0.0)</f>
        <v>0</v>
      </c>
      <c r="C193" s="15">
        <f>IFERROR(__xludf.DUMMYFUNCTION("VLOOKUP(A193,IMPORTRANGE(""1aFCnJY1qhIj8-JckJhDJ18aqmVo17tofpQmOjcYa3u8/edit#gid=1878241338"",""S3 Totals!$A$2:$O$255""),3,FALSE)"),0.0)</f>
        <v>0</v>
      </c>
      <c r="D193" s="16">
        <f>IFERROR(__xludf.DUMMYFUNCTION("VLOOKUP(A193,IMPORTRANGE(""1QZ5UxyNCwadreQAXnQ7oCoH982DjIA-QnZdO7ZoqkC0/edit#gid=884617569"",""S3 Totals!$A$2:$O$255""),2,FALSE)"),0.0)</f>
        <v>0</v>
      </c>
      <c r="E193" s="15">
        <f>IFERROR(__xludf.DUMMYFUNCTION("VLOOKUP(A193,IMPORTRANGE(""1QZ5UxyNCwadreQAXnQ7oCoH982DjIA-QnZdO7ZoqkC0/edit#gid=884617569"",""S3 Totals!$A$2:$O$255""),3,FALSE)"),0.0)</f>
        <v>0</v>
      </c>
      <c r="F193" s="15">
        <f t="shared" si="1"/>
        <v>0</v>
      </c>
      <c r="G193" s="16">
        <f>IFERROR(__xludf.DUMMYFUNCTION("VLOOKUP(A193,IMPORTRANGE(""1QZ5UxyNCwadreQAXnQ7oCoH982DjIA-QnZdO7ZoqkC0/edit#gid=884617569"",""S3 Totals!$A$2:$O$255""),4,FALSE)"),0.0)</f>
        <v>0</v>
      </c>
      <c r="H193" s="15">
        <f>IFERROR(__xludf.DUMMYFUNCTION("VLOOKUP(A193,IMPORTRANGE(""1QZ5UxyNCwadreQAXnQ7oCoH982DjIA-QnZdO7ZoqkC0/edit#gid=884617569"",""S3 Totals!$A$2:$O$255""),5,FALSE)"),0.0)</f>
        <v>0</v>
      </c>
      <c r="I193" s="143">
        <f t="shared" si="2"/>
        <v>0</v>
      </c>
      <c r="J193" s="16" t="str">
        <f>IFERROR(__xludf.DUMMYFUNCTION("VLOOKUP(A193,IMPORTRANGE(""1QZ5UxyNCwadreQAXnQ7oCoH982DjIA-QnZdO7ZoqkC0/edit#gid=884617569"",""S3 Totals!$A$2:$O$255""),7,FALSE)"),"")</f>
        <v/>
      </c>
      <c r="K193" s="15" t="str">
        <f>IFERROR(__xludf.DUMMYFUNCTION("VLOOKUP(A193,IMPORTRANGE(""1QZ5UxyNCwadreQAXnQ7oCoH982DjIA-QnZdO7ZoqkC0/edit#gid=884617569"",""S3 Totals!$A$2:$O$255""),8,FALSE)"),"")</f>
        <v/>
      </c>
      <c r="L193" s="110">
        <f t="shared" si="5"/>
        <v>0</v>
      </c>
      <c r="M193" s="16" t="str">
        <f>IFERROR(__xludf.DUMMYFUNCTION("VLOOKUP(A193,IMPORTRANGE(""1QZ5UxyNCwadreQAXnQ7oCoH982DjIA-QnZdO7ZoqkC0/edit#gid=884617569"",""S3 Totals!$A$2:$O$255""),10,FALSE)"),"")</f>
        <v/>
      </c>
      <c r="N193" s="15" t="str">
        <f>IFERROR(__xludf.DUMMYFUNCTION("VLOOKUP(A193,IMPORTRANGE(""1QZ5UxyNCwadreQAXnQ7oCoH982DjIA-QnZdO7ZoqkC0/edit#gid=884617569"",""S3 Totals!$A$2:$O$255""),11,FALSE)"),"")</f>
        <v/>
      </c>
      <c r="O193" s="110">
        <f t="shared" si="3"/>
        <v>0</v>
      </c>
      <c r="P193" s="16" t="str">
        <f>IFERROR(__xludf.DUMMYFUNCTION("VLOOKUP(A193,IMPORTRANGE(""1QZ5UxyNCwadreQAXnQ7oCoH982DjIA-QnZdO7ZoqkC0/edit#gid=884617569"",""S3 Totals!$A$2:$O$255""),13,FALSE)"),"")</f>
        <v/>
      </c>
      <c r="Q193" s="15" t="str">
        <f>IFERROR(__xludf.DUMMYFUNCTION("VLOOKUP(A193,IMPORTRANGE(""1QZ5UxyNCwadreQAXnQ7oCoH982DjIA-QnZdO7ZoqkC0/edit#gid=884617569"",""S3 Totals!$A$2:$O$255""),14,FALSE)"),"")</f>
        <v/>
      </c>
      <c r="R193" s="110">
        <f t="shared" si="4"/>
        <v>0</v>
      </c>
      <c r="S193" s="144"/>
    </row>
    <row r="194">
      <c r="A194" s="128" t="s">
        <v>90</v>
      </c>
      <c r="B194" s="16">
        <f>IFERROR(__xludf.DUMMYFUNCTION("VLOOKUP(A194,IMPORTRANGE(""1aFCnJY1qhIj8-JckJhDJ18aqmVo17tofpQmOjcYa3u8/edit#gid=1878241338"",""S3 Totals!$A$2:$O$255""),2,FALSE)"),36.0)</f>
        <v>36</v>
      </c>
      <c r="C194" s="15">
        <f>IFERROR(__xludf.DUMMYFUNCTION("VLOOKUP(A194,IMPORTRANGE(""1aFCnJY1qhIj8-JckJhDJ18aqmVo17tofpQmOjcYa3u8/edit#gid=1878241338"",""S3 Totals!$A$2:$O$255""),3,FALSE)"),0.4931506849315068)</f>
        <v>0.4931506849</v>
      </c>
      <c r="D194" s="16">
        <f>IFERROR(__xludf.DUMMYFUNCTION("VLOOKUP(A194,IMPORTRANGE(""1QZ5UxyNCwadreQAXnQ7oCoH982DjIA-QnZdO7ZoqkC0/edit#gid=884617569"",""S3 Totals!$A$2:$O$255""),2,FALSE)"),26.0)</f>
        <v>26</v>
      </c>
      <c r="E194" s="15">
        <f>IFERROR(__xludf.DUMMYFUNCTION("VLOOKUP(A194,IMPORTRANGE(""1QZ5UxyNCwadreQAXnQ7oCoH982DjIA-QnZdO7ZoqkC0/edit#gid=884617569"",""S3 Totals!$A$2:$O$255""),3,FALSE)"),0.35135135135135137)</f>
        <v>0.3513513514</v>
      </c>
      <c r="F194" s="15">
        <f t="shared" si="1"/>
        <v>0.1417993336</v>
      </c>
      <c r="G194" s="16">
        <f>IFERROR(__xludf.DUMMYFUNCTION("VLOOKUP(A194,IMPORTRANGE(""1QZ5UxyNCwadreQAXnQ7oCoH982DjIA-QnZdO7ZoqkC0/edit#gid=884617569"",""S3 Totals!$A$2:$O$255""),4,FALSE)"),39.0)</f>
        <v>39</v>
      </c>
      <c r="H194" s="15">
        <f>IFERROR(__xludf.DUMMYFUNCTION("VLOOKUP(A194,IMPORTRANGE(""1QZ5UxyNCwadreQAXnQ7oCoH982DjIA-QnZdO7ZoqkC0/edit#gid=884617569"",""S3 Totals!$A$2:$O$255""),5,FALSE)"),0.4936708860759494)</f>
        <v>0.4936708861</v>
      </c>
      <c r="I194" s="143">
        <f t="shared" si="2"/>
        <v>-0.0005202011444</v>
      </c>
      <c r="J194" s="16">
        <f>IFERROR(__xludf.DUMMYFUNCTION("VLOOKUP(A194,IMPORTRANGE(""1QZ5UxyNCwadreQAXnQ7oCoH982DjIA-QnZdO7ZoqkC0/edit#gid=884617569"",""S3 Totals!$A$2:$O$255""),7,FALSE)"),20.0)</f>
        <v>20</v>
      </c>
      <c r="K194" s="15">
        <f>IFERROR(__xludf.DUMMYFUNCTION("VLOOKUP(A194,IMPORTRANGE(""1QZ5UxyNCwadreQAXnQ7oCoH982DjIA-QnZdO7ZoqkC0/edit#gid=884617569"",""S3 Totals!$A$2:$O$255""),8,FALSE)"),0.23529411764705882)</f>
        <v>0.2352941176</v>
      </c>
      <c r="L194" s="110">
        <f t="shared" si="5"/>
        <v>0.1160572337</v>
      </c>
      <c r="M194" s="16">
        <f>IFERROR(__xludf.DUMMYFUNCTION("VLOOKUP(A194,IMPORTRANGE(""1QZ5UxyNCwadreQAXnQ7oCoH982DjIA-QnZdO7ZoqkC0/edit#gid=884617569"",""S3 Totals!$A$2:$O$255""),10,FALSE)"),8.0)</f>
        <v>8</v>
      </c>
      <c r="N194" s="15">
        <f>IFERROR(__xludf.DUMMYFUNCTION("VLOOKUP(A194,IMPORTRANGE(""1QZ5UxyNCwadreQAXnQ7oCoH982DjIA-QnZdO7ZoqkC0/edit#gid=884617569"",""S3 Totals!$A$2:$O$255""),11,FALSE)"),0.09411764705882353)</f>
        <v>0.09411764706</v>
      </c>
      <c r="O194" s="110">
        <f t="shared" si="3"/>
        <v>0.3990330379</v>
      </c>
      <c r="P194" s="16">
        <f>IFERROR(__xludf.DUMMYFUNCTION("VLOOKUP(A194,IMPORTRANGE(""1QZ5UxyNCwadreQAXnQ7oCoH982DjIA-QnZdO7ZoqkC0/edit#gid=884617569"",""S3 Totals!$A$2:$O$255""),13,FALSE)"),8.0)</f>
        <v>8</v>
      </c>
      <c r="Q194" s="15">
        <f>IFERROR(__xludf.DUMMYFUNCTION("VLOOKUP(A194,IMPORTRANGE(""1QZ5UxyNCwadreQAXnQ7oCoH982DjIA-QnZdO7ZoqkC0/edit#gid=884617569"",""S3 Totals!$A$2:$O$255""),14,FALSE)"),0.09411764705882353)</f>
        <v>0.09411764706</v>
      </c>
      <c r="R194" s="110">
        <f t="shared" si="4"/>
        <v>0.3990330379</v>
      </c>
      <c r="S194" s="144"/>
    </row>
    <row r="195">
      <c r="A195" s="128" t="s">
        <v>91</v>
      </c>
      <c r="B195" s="16">
        <f>IFERROR(__xludf.DUMMYFUNCTION("VLOOKUP(A195,IMPORTRANGE(""1aFCnJY1qhIj8-JckJhDJ18aqmVo17tofpQmOjcYa3u8/edit#gid=1878241338"",""S3 Totals!$A$2:$O$255""),2,FALSE)"),24.0)</f>
        <v>24</v>
      </c>
      <c r="C195" s="15">
        <f>IFERROR(__xludf.DUMMYFUNCTION("VLOOKUP(A195,IMPORTRANGE(""1aFCnJY1qhIj8-JckJhDJ18aqmVo17tofpQmOjcYa3u8/edit#gid=1878241338"",""S3 Totals!$A$2:$O$255""),3,FALSE)"),0.3287671232876712)</f>
        <v>0.3287671233</v>
      </c>
      <c r="D195" s="16">
        <f>IFERROR(__xludf.DUMMYFUNCTION("VLOOKUP(A195,IMPORTRANGE(""1QZ5UxyNCwadreQAXnQ7oCoH982DjIA-QnZdO7ZoqkC0/edit#gid=884617569"",""S3 Totals!$A$2:$O$255""),2,FALSE)"),1.0)</f>
        <v>1</v>
      </c>
      <c r="E195" s="15">
        <f>IFERROR(__xludf.DUMMYFUNCTION("VLOOKUP(A195,IMPORTRANGE(""1QZ5UxyNCwadreQAXnQ7oCoH982DjIA-QnZdO7ZoqkC0/edit#gid=884617569"",""S3 Totals!$A$2:$O$255""),3,FALSE)"),0.013513513513513514)</f>
        <v>0.01351351351</v>
      </c>
      <c r="F195" s="15">
        <f t="shared" si="1"/>
        <v>0.3152536098</v>
      </c>
      <c r="G195" s="16">
        <f>IFERROR(__xludf.DUMMYFUNCTION("VLOOKUP(A195,IMPORTRANGE(""1QZ5UxyNCwadreQAXnQ7oCoH982DjIA-QnZdO7ZoqkC0/edit#gid=884617569"",""S3 Totals!$A$2:$O$255""),4,FALSE)"),1.0)</f>
        <v>1</v>
      </c>
      <c r="H195" s="15">
        <f>IFERROR(__xludf.DUMMYFUNCTION("VLOOKUP(A195,IMPORTRANGE(""1QZ5UxyNCwadreQAXnQ7oCoH982DjIA-QnZdO7ZoqkC0/edit#gid=884617569"",""S3 Totals!$A$2:$O$255""),5,FALSE)"),0.012658227848101266)</f>
        <v>0.01265822785</v>
      </c>
      <c r="I195" s="143">
        <f t="shared" si="2"/>
        <v>0.3161088954</v>
      </c>
      <c r="J195" s="16">
        <f>IFERROR(__xludf.DUMMYFUNCTION("VLOOKUP(A195,IMPORTRANGE(""1QZ5UxyNCwadreQAXnQ7oCoH982DjIA-QnZdO7ZoqkC0/edit#gid=884617569"",""S3 Totals!$A$2:$O$255""),7,FALSE)"),1.0)</f>
        <v>1</v>
      </c>
      <c r="K195" s="15">
        <f>IFERROR(__xludf.DUMMYFUNCTION("VLOOKUP(A195,IMPORTRANGE(""1QZ5UxyNCwadreQAXnQ7oCoH982DjIA-QnZdO7ZoqkC0/edit#gid=884617569"",""S3 Totals!$A$2:$O$255""),8,FALSE)"),0.011764705882352941)</f>
        <v>0.01176470588</v>
      </c>
      <c r="L195" s="110">
        <f t="shared" si="5"/>
        <v>0.001748807631</v>
      </c>
      <c r="M195" s="16">
        <f>IFERROR(__xludf.DUMMYFUNCTION("VLOOKUP(A195,IMPORTRANGE(""1QZ5UxyNCwadreQAXnQ7oCoH982DjIA-QnZdO7ZoqkC0/edit#gid=884617569"",""S3 Totals!$A$2:$O$255""),10,FALSE)"),0.0)</f>
        <v>0</v>
      </c>
      <c r="N195" s="15">
        <f>IFERROR(__xludf.DUMMYFUNCTION("VLOOKUP(A195,IMPORTRANGE(""1QZ5UxyNCwadreQAXnQ7oCoH982DjIA-QnZdO7ZoqkC0/edit#gid=884617569"",""S3 Totals!$A$2:$O$255""),11,FALSE)"),0.0)</f>
        <v>0</v>
      </c>
      <c r="O195" s="110">
        <f t="shared" si="3"/>
        <v>0.3287671233</v>
      </c>
      <c r="P195" s="16">
        <f>IFERROR(__xludf.DUMMYFUNCTION("VLOOKUP(A195,IMPORTRANGE(""1QZ5UxyNCwadreQAXnQ7oCoH982DjIA-QnZdO7ZoqkC0/edit#gid=884617569"",""S3 Totals!$A$2:$O$255""),13,FALSE)"),0.0)</f>
        <v>0</v>
      </c>
      <c r="Q195" s="15">
        <f>IFERROR(__xludf.DUMMYFUNCTION("VLOOKUP(A195,IMPORTRANGE(""1QZ5UxyNCwadreQAXnQ7oCoH982DjIA-QnZdO7ZoqkC0/edit#gid=884617569"",""S3 Totals!$A$2:$O$255""),14,FALSE)"),0.0)</f>
        <v>0</v>
      </c>
      <c r="R195" s="110">
        <f t="shared" si="4"/>
        <v>0.3287671233</v>
      </c>
      <c r="S195" s="144"/>
    </row>
    <row r="196">
      <c r="A196" s="128" t="s">
        <v>144</v>
      </c>
      <c r="B196" s="16">
        <f>IFERROR(__xludf.DUMMYFUNCTION("VLOOKUP(A196,IMPORTRANGE(""1aFCnJY1qhIj8-JckJhDJ18aqmVo17tofpQmOjcYa3u8/edit#gid=1878241338"",""S3 Totals!$A$2:$O$255""),2,FALSE)"),40.0)</f>
        <v>40</v>
      </c>
      <c r="C196" s="15">
        <f>IFERROR(__xludf.DUMMYFUNCTION("VLOOKUP(A196,IMPORTRANGE(""1aFCnJY1qhIj8-JckJhDJ18aqmVo17tofpQmOjcYa3u8/edit#gid=1878241338"",""S3 Totals!$A$2:$O$255""),3,FALSE)"),0.547945205479452)</f>
        <v>0.5479452055</v>
      </c>
      <c r="D196" s="16">
        <f>IFERROR(__xludf.DUMMYFUNCTION("VLOOKUP(A196,IMPORTRANGE(""1QZ5UxyNCwadreQAXnQ7oCoH982DjIA-QnZdO7ZoqkC0/edit#gid=884617569"",""S3 Totals!$A$2:$O$255""),2,FALSE)"),48.0)</f>
        <v>48</v>
      </c>
      <c r="E196" s="15">
        <f>IFERROR(__xludf.DUMMYFUNCTION("VLOOKUP(A196,IMPORTRANGE(""1QZ5UxyNCwadreQAXnQ7oCoH982DjIA-QnZdO7ZoqkC0/edit#gid=884617569"",""S3 Totals!$A$2:$O$255""),3,FALSE)"),0.6486486486486487)</f>
        <v>0.6486486486</v>
      </c>
      <c r="F196" s="15">
        <f t="shared" si="1"/>
        <v>-0.1007034432</v>
      </c>
      <c r="G196" s="16">
        <f>IFERROR(__xludf.DUMMYFUNCTION("VLOOKUP(A196,IMPORTRANGE(""1QZ5UxyNCwadreQAXnQ7oCoH982DjIA-QnZdO7ZoqkC0/edit#gid=884617569"",""S3 Totals!$A$2:$O$255""),4,FALSE)"),43.0)</f>
        <v>43</v>
      </c>
      <c r="H196" s="15">
        <f>IFERROR(__xludf.DUMMYFUNCTION("VLOOKUP(A196,IMPORTRANGE(""1QZ5UxyNCwadreQAXnQ7oCoH982DjIA-QnZdO7ZoqkC0/edit#gid=884617569"",""S3 Totals!$A$2:$O$255""),5,FALSE)"),0.5443037974683544)</f>
        <v>0.5443037975</v>
      </c>
      <c r="I196" s="143">
        <f t="shared" si="2"/>
        <v>0.003641408011</v>
      </c>
      <c r="J196" s="16">
        <f>IFERROR(__xludf.DUMMYFUNCTION("VLOOKUP(A196,IMPORTRANGE(""1QZ5UxyNCwadreQAXnQ7oCoH982DjIA-QnZdO7ZoqkC0/edit#gid=884617569"",""S3 Totals!$A$2:$O$255""),7,FALSE)"),23.0)</f>
        <v>23</v>
      </c>
      <c r="K196" s="15">
        <f>IFERROR(__xludf.DUMMYFUNCTION("VLOOKUP(A196,IMPORTRANGE(""1QZ5UxyNCwadreQAXnQ7oCoH982DjIA-QnZdO7ZoqkC0/edit#gid=884617569"",""S3 Totals!$A$2:$O$255""),8,FALSE)"),0.27058823529411763)</f>
        <v>0.2705882353</v>
      </c>
      <c r="L196" s="110">
        <f t="shared" si="5"/>
        <v>0.3780604134</v>
      </c>
      <c r="M196" s="16">
        <f>IFERROR(__xludf.DUMMYFUNCTION("VLOOKUP(A196,IMPORTRANGE(""1QZ5UxyNCwadreQAXnQ7oCoH982DjIA-QnZdO7ZoqkC0/edit#gid=884617569"",""S3 Totals!$A$2:$O$255""),10,FALSE)"),0.0)</f>
        <v>0</v>
      </c>
      <c r="N196" s="15">
        <f>IFERROR(__xludf.DUMMYFUNCTION("VLOOKUP(A196,IMPORTRANGE(""1QZ5UxyNCwadreQAXnQ7oCoH982DjIA-QnZdO7ZoqkC0/edit#gid=884617569"",""S3 Totals!$A$2:$O$255""),11,FALSE)"),0.0)</f>
        <v>0</v>
      </c>
      <c r="O196" s="110">
        <f t="shared" si="3"/>
        <v>0.5479452055</v>
      </c>
      <c r="P196" s="16" t="str">
        <f>IFERROR(__xludf.DUMMYFUNCTION("VLOOKUP(A196,IMPORTRANGE(""1QZ5UxyNCwadreQAXnQ7oCoH982DjIA-QnZdO7ZoqkC0/edit#gid=884617569"",""S3 Totals!$A$2:$O$255""),13,FALSE)"),"")</f>
        <v/>
      </c>
      <c r="Q196" s="15" t="str">
        <f>IFERROR(__xludf.DUMMYFUNCTION("VLOOKUP(A196,IMPORTRANGE(""1QZ5UxyNCwadreQAXnQ7oCoH982DjIA-QnZdO7ZoqkC0/edit#gid=884617569"",""S3 Totals!$A$2:$O$255""),14,FALSE)"),"")</f>
        <v/>
      </c>
      <c r="R196" s="110">
        <f t="shared" si="4"/>
        <v>0.5479452055</v>
      </c>
      <c r="S196" s="144"/>
    </row>
    <row r="197">
      <c r="A197" s="128" t="s">
        <v>92</v>
      </c>
      <c r="B197" s="16">
        <f>IFERROR(__xludf.DUMMYFUNCTION("VLOOKUP(A197,IMPORTRANGE(""1aFCnJY1qhIj8-JckJhDJ18aqmVo17tofpQmOjcYa3u8/edit#gid=1878241338"",""S3 Totals!$A$2:$O$255""),2,FALSE)"),8.0)</f>
        <v>8</v>
      </c>
      <c r="C197" s="15">
        <f>IFERROR(__xludf.DUMMYFUNCTION("VLOOKUP(A197,IMPORTRANGE(""1aFCnJY1qhIj8-JckJhDJ18aqmVo17tofpQmOjcYa3u8/edit#gid=1878241338"",""S3 Totals!$A$2:$O$255""),3,FALSE)"),0.1095890410958904)</f>
        <v>0.1095890411</v>
      </c>
      <c r="D197" s="16">
        <f>IFERROR(__xludf.DUMMYFUNCTION("VLOOKUP(A197,IMPORTRANGE(""1QZ5UxyNCwadreQAXnQ7oCoH982DjIA-QnZdO7ZoqkC0/edit#gid=884617569"",""S3 Totals!$A$2:$O$255""),2,FALSE)"),8.0)</f>
        <v>8</v>
      </c>
      <c r="E197" s="15">
        <f>IFERROR(__xludf.DUMMYFUNCTION("VLOOKUP(A197,IMPORTRANGE(""1QZ5UxyNCwadreQAXnQ7oCoH982DjIA-QnZdO7ZoqkC0/edit#gid=884617569"",""S3 Totals!$A$2:$O$255""),3,FALSE)"),0.10810810810810811)</f>
        <v>0.1081081081</v>
      </c>
      <c r="F197" s="15">
        <f t="shared" si="1"/>
        <v>0.001480932988</v>
      </c>
      <c r="G197" s="16">
        <f>IFERROR(__xludf.DUMMYFUNCTION("VLOOKUP(A197,IMPORTRANGE(""1QZ5UxyNCwadreQAXnQ7oCoH982DjIA-QnZdO7ZoqkC0/edit#gid=884617569"",""S3 Totals!$A$2:$O$255""),4,FALSE)"),10.0)</f>
        <v>10</v>
      </c>
      <c r="H197" s="15">
        <f>IFERROR(__xludf.DUMMYFUNCTION("VLOOKUP(A197,IMPORTRANGE(""1QZ5UxyNCwadreQAXnQ7oCoH982DjIA-QnZdO7ZoqkC0/edit#gid=884617569"",""S3 Totals!$A$2:$O$255""),5,FALSE)"),0.12658227848101267)</f>
        <v>0.1265822785</v>
      </c>
      <c r="I197" s="143">
        <f t="shared" si="2"/>
        <v>-0.01699323739</v>
      </c>
      <c r="J197" s="16">
        <f>IFERROR(__xludf.DUMMYFUNCTION("VLOOKUP(A197,IMPORTRANGE(""1QZ5UxyNCwadreQAXnQ7oCoH982DjIA-QnZdO7ZoqkC0/edit#gid=884617569"",""S3 Totals!$A$2:$O$255""),7,FALSE)"),1.0)</f>
        <v>1</v>
      </c>
      <c r="K197" s="15">
        <f>IFERROR(__xludf.DUMMYFUNCTION("VLOOKUP(A197,IMPORTRANGE(""1QZ5UxyNCwadreQAXnQ7oCoH982DjIA-QnZdO7ZoqkC0/edit#gid=884617569"",""S3 Totals!$A$2:$O$255""),8,FALSE)"),0.011764705882352941)</f>
        <v>0.01176470588</v>
      </c>
      <c r="L197" s="110">
        <f t="shared" si="5"/>
        <v>0.09634340223</v>
      </c>
      <c r="M197" s="16">
        <f>IFERROR(__xludf.DUMMYFUNCTION("VLOOKUP(A197,IMPORTRANGE(""1QZ5UxyNCwadreQAXnQ7oCoH982DjIA-QnZdO7ZoqkC0/edit#gid=884617569"",""S3 Totals!$A$2:$O$255""),10,FALSE)"),1.0)</f>
        <v>1</v>
      </c>
      <c r="N197" s="15">
        <f>IFERROR(__xludf.DUMMYFUNCTION("VLOOKUP(A197,IMPORTRANGE(""1QZ5UxyNCwadreQAXnQ7oCoH982DjIA-QnZdO7ZoqkC0/edit#gid=884617569"",""S3 Totals!$A$2:$O$255""),11,FALSE)"),0.011764705882352941)</f>
        <v>0.01176470588</v>
      </c>
      <c r="O197" s="110">
        <f t="shared" si="3"/>
        <v>0.09782433521</v>
      </c>
      <c r="P197" s="16">
        <f>IFERROR(__xludf.DUMMYFUNCTION("VLOOKUP(A197,IMPORTRANGE(""1QZ5UxyNCwadreQAXnQ7oCoH982DjIA-QnZdO7ZoqkC0/edit#gid=884617569"",""S3 Totals!$A$2:$O$255""),13,FALSE)"),1.0)</f>
        <v>1</v>
      </c>
      <c r="Q197" s="15">
        <f>IFERROR(__xludf.DUMMYFUNCTION("VLOOKUP(A197,IMPORTRANGE(""1QZ5UxyNCwadreQAXnQ7oCoH982DjIA-QnZdO7ZoqkC0/edit#gid=884617569"",""S3 Totals!$A$2:$O$255""),14,FALSE)"),0.011764705882352941)</f>
        <v>0.01176470588</v>
      </c>
      <c r="R197" s="110">
        <f t="shared" si="4"/>
        <v>0.09782433521</v>
      </c>
      <c r="S197" s="144"/>
    </row>
    <row r="198">
      <c r="A198" s="128" t="s">
        <v>93</v>
      </c>
      <c r="B198" s="16">
        <f>IFERROR(__xludf.DUMMYFUNCTION("VLOOKUP(A198,IMPORTRANGE(""1aFCnJY1qhIj8-JckJhDJ18aqmVo17tofpQmOjcYa3u8/edit#gid=1878241338"",""S3 Totals!$A$2:$O$255""),2,FALSE)"),0.0)</f>
        <v>0</v>
      </c>
      <c r="C198" s="15">
        <f>IFERROR(__xludf.DUMMYFUNCTION("VLOOKUP(A198,IMPORTRANGE(""1aFCnJY1qhIj8-JckJhDJ18aqmVo17tofpQmOjcYa3u8/edit#gid=1878241338"",""S3 Totals!$A$2:$O$255""),3,FALSE)"),0.0)</f>
        <v>0</v>
      </c>
      <c r="D198" s="16">
        <f>IFERROR(__xludf.DUMMYFUNCTION("VLOOKUP(A198,IMPORTRANGE(""1QZ5UxyNCwadreQAXnQ7oCoH982DjIA-QnZdO7ZoqkC0/edit#gid=884617569"",""S3 Totals!$A$2:$O$255""),2,FALSE)"),7.0)</f>
        <v>7</v>
      </c>
      <c r="E198" s="15">
        <f>IFERROR(__xludf.DUMMYFUNCTION("VLOOKUP(A198,IMPORTRANGE(""1QZ5UxyNCwadreQAXnQ7oCoH982DjIA-QnZdO7ZoqkC0/edit#gid=884617569"",""S3 Totals!$A$2:$O$255""),3,FALSE)"),0.0945945945945946)</f>
        <v>0.09459459459</v>
      </c>
      <c r="F198" s="15">
        <f t="shared" si="1"/>
        <v>-0.09459459459</v>
      </c>
      <c r="G198" s="16">
        <f>IFERROR(__xludf.DUMMYFUNCTION("VLOOKUP(A198,IMPORTRANGE(""1QZ5UxyNCwadreQAXnQ7oCoH982DjIA-QnZdO7ZoqkC0/edit#gid=884617569"",""S3 Totals!$A$2:$O$255""),4,FALSE)"),9.0)</f>
        <v>9</v>
      </c>
      <c r="H198" s="15">
        <f>IFERROR(__xludf.DUMMYFUNCTION("VLOOKUP(A198,IMPORTRANGE(""1QZ5UxyNCwadreQAXnQ7oCoH982DjIA-QnZdO7ZoqkC0/edit#gid=884617569"",""S3 Totals!$A$2:$O$255""),5,FALSE)"),0.11392405063291139)</f>
        <v>0.1139240506</v>
      </c>
      <c r="I198" s="143">
        <f t="shared" si="2"/>
        <v>-0.1139240506</v>
      </c>
      <c r="J198" s="16">
        <f>IFERROR(__xludf.DUMMYFUNCTION("VLOOKUP(A198,IMPORTRANGE(""1QZ5UxyNCwadreQAXnQ7oCoH982DjIA-QnZdO7ZoqkC0/edit#gid=884617569"",""S3 Totals!$A$2:$O$255""),7,FALSE)"),9.0)</f>
        <v>9</v>
      </c>
      <c r="K198" s="15">
        <f>IFERROR(__xludf.DUMMYFUNCTION("VLOOKUP(A198,IMPORTRANGE(""1QZ5UxyNCwadreQAXnQ7oCoH982DjIA-QnZdO7ZoqkC0/edit#gid=884617569"",""S3 Totals!$A$2:$O$255""),8,FALSE)"),0.10588235294117647)</f>
        <v>0.1058823529</v>
      </c>
      <c r="L198" s="110">
        <f t="shared" si="5"/>
        <v>-0.01128775835</v>
      </c>
      <c r="M198" s="16">
        <f>IFERROR(__xludf.DUMMYFUNCTION("VLOOKUP(A198,IMPORTRANGE(""1QZ5UxyNCwadreQAXnQ7oCoH982DjIA-QnZdO7ZoqkC0/edit#gid=884617569"",""S3 Totals!$A$2:$O$255""),10,FALSE)"),8.0)</f>
        <v>8</v>
      </c>
      <c r="N198" s="15">
        <f>IFERROR(__xludf.DUMMYFUNCTION("VLOOKUP(A198,IMPORTRANGE(""1QZ5UxyNCwadreQAXnQ7oCoH982DjIA-QnZdO7ZoqkC0/edit#gid=884617569"",""S3 Totals!$A$2:$O$255""),11,FALSE)"),0.09411764705882353)</f>
        <v>0.09411764706</v>
      </c>
      <c r="O198" s="110">
        <f t="shared" si="3"/>
        <v>-0.09411764706</v>
      </c>
      <c r="P198" s="16">
        <f>IFERROR(__xludf.DUMMYFUNCTION("VLOOKUP(A198,IMPORTRANGE(""1QZ5UxyNCwadreQAXnQ7oCoH982DjIA-QnZdO7ZoqkC0/edit#gid=884617569"",""S3 Totals!$A$2:$O$255""),13,FALSE)"),9.0)</f>
        <v>9</v>
      </c>
      <c r="Q198" s="15">
        <f>IFERROR(__xludf.DUMMYFUNCTION("VLOOKUP(A198,IMPORTRANGE(""1QZ5UxyNCwadreQAXnQ7oCoH982DjIA-QnZdO7ZoqkC0/edit#gid=884617569"",""S3 Totals!$A$2:$O$255""),14,FALSE)"),0.10588235294117647)</f>
        <v>0.1058823529</v>
      </c>
      <c r="R198" s="110">
        <f t="shared" si="4"/>
        <v>-0.1058823529</v>
      </c>
      <c r="S198" s="144"/>
    </row>
    <row r="199">
      <c r="A199" s="128" t="s">
        <v>145</v>
      </c>
      <c r="B199" s="16">
        <f>IFERROR(__xludf.DUMMYFUNCTION("VLOOKUP(A199,IMPORTRANGE(""1aFCnJY1qhIj8-JckJhDJ18aqmVo17tofpQmOjcYa3u8/edit#gid=1878241338"",""S3 Totals!$A$2:$O$255""),2,FALSE)"),1.0)</f>
        <v>1</v>
      </c>
      <c r="C199" s="15">
        <f>IFERROR(__xludf.DUMMYFUNCTION("VLOOKUP(A199,IMPORTRANGE(""1aFCnJY1qhIj8-JckJhDJ18aqmVo17tofpQmOjcYa3u8/edit#gid=1878241338"",""S3 Totals!$A$2:$O$255""),3,FALSE)"),0.0136986301369863)</f>
        <v>0.01369863014</v>
      </c>
      <c r="D199" s="16">
        <f>IFERROR(__xludf.DUMMYFUNCTION("VLOOKUP(A199,IMPORTRANGE(""1QZ5UxyNCwadreQAXnQ7oCoH982DjIA-QnZdO7ZoqkC0/edit#gid=884617569"",""S3 Totals!$A$2:$O$255""),2,FALSE)"),1.0)</f>
        <v>1</v>
      </c>
      <c r="E199" s="15">
        <f>IFERROR(__xludf.DUMMYFUNCTION("VLOOKUP(A199,IMPORTRANGE(""1QZ5UxyNCwadreQAXnQ7oCoH982DjIA-QnZdO7ZoqkC0/edit#gid=884617569"",""S3 Totals!$A$2:$O$255""),3,FALSE)"),0.013513513513513514)</f>
        <v>0.01351351351</v>
      </c>
      <c r="F199" s="15">
        <f t="shared" si="1"/>
        <v>0.0001851166235</v>
      </c>
      <c r="G199" s="16">
        <f>IFERROR(__xludf.DUMMYFUNCTION("VLOOKUP(A199,IMPORTRANGE(""1QZ5UxyNCwadreQAXnQ7oCoH982DjIA-QnZdO7ZoqkC0/edit#gid=884617569"",""S3 Totals!$A$2:$O$255""),4,FALSE)"),1.0)</f>
        <v>1</v>
      </c>
      <c r="H199" s="15">
        <f>IFERROR(__xludf.DUMMYFUNCTION("VLOOKUP(A199,IMPORTRANGE(""1QZ5UxyNCwadreQAXnQ7oCoH982DjIA-QnZdO7ZoqkC0/edit#gid=884617569"",""S3 Totals!$A$2:$O$255""),5,FALSE)"),0.012658227848101266)</f>
        <v>0.01265822785</v>
      </c>
      <c r="I199" s="143">
        <f t="shared" si="2"/>
        <v>0.001040402289</v>
      </c>
      <c r="J199" s="16">
        <f>IFERROR(__xludf.DUMMYFUNCTION("VLOOKUP(A199,IMPORTRANGE(""1QZ5UxyNCwadreQAXnQ7oCoH982DjIA-QnZdO7ZoqkC0/edit#gid=884617569"",""S3 Totals!$A$2:$O$255""),7,FALSE)"),0.0)</f>
        <v>0</v>
      </c>
      <c r="K199" s="15">
        <f>IFERROR(__xludf.DUMMYFUNCTION("VLOOKUP(A199,IMPORTRANGE(""1QZ5UxyNCwadreQAXnQ7oCoH982DjIA-QnZdO7ZoqkC0/edit#gid=884617569"",""S3 Totals!$A$2:$O$255""),8,FALSE)"),0.0)</f>
        <v>0</v>
      </c>
      <c r="L199" s="110">
        <f t="shared" si="5"/>
        <v>0.01351351351</v>
      </c>
      <c r="M199" s="16">
        <f>IFERROR(__xludf.DUMMYFUNCTION("VLOOKUP(A199,IMPORTRANGE(""1QZ5UxyNCwadreQAXnQ7oCoH982DjIA-QnZdO7ZoqkC0/edit#gid=884617569"",""S3 Totals!$A$2:$O$255""),10,FALSE)"),1.0)</f>
        <v>1</v>
      </c>
      <c r="N199" s="15">
        <f>IFERROR(__xludf.DUMMYFUNCTION("VLOOKUP(A199,IMPORTRANGE(""1QZ5UxyNCwadreQAXnQ7oCoH982DjIA-QnZdO7ZoqkC0/edit#gid=884617569"",""S3 Totals!$A$2:$O$255""),11,FALSE)"),0.011764705882352941)</f>
        <v>0.01176470588</v>
      </c>
      <c r="O199" s="110">
        <f t="shared" si="3"/>
        <v>0.001933924255</v>
      </c>
      <c r="P199" s="16" t="str">
        <f>IFERROR(__xludf.DUMMYFUNCTION("VLOOKUP(A199,IMPORTRANGE(""1QZ5UxyNCwadreQAXnQ7oCoH982DjIA-QnZdO7ZoqkC0/edit#gid=884617569"",""S3 Totals!$A$2:$O$255""),13,FALSE)"),"")</f>
        <v/>
      </c>
      <c r="Q199" s="15" t="str">
        <f>IFERROR(__xludf.DUMMYFUNCTION("VLOOKUP(A199,IMPORTRANGE(""1QZ5UxyNCwadreQAXnQ7oCoH982DjIA-QnZdO7ZoqkC0/edit#gid=884617569"",""S3 Totals!$A$2:$O$255""),14,FALSE)"),"")</f>
        <v/>
      </c>
      <c r="R199" s="110">
        <f t="shared" si="4"/>
        <v>0.01369863014</v>
      </c>
      <c r="S199" s="144"/>
    </row>
    <row r="200">
      <c r="A200" s="128" t="s">
        <v>146</v>
      </c>
      <c r="B200" s="16">
        <f>IFERROR(__xludf.DUMMYFUNCTION("VLOOKUP(A200,IMPORTRANGE(""1aFCnJY1qhIj8-JckJhDJ18aqmVo17tofpQmOjcYa3u8/edit#gid=1878241338"",""S3 Totals!$A$2:$O$255""),2,FALSE)"),0.0)</f>
        <v>0</v>
      </c>
      <c r="C200" s="15">
        <f>IFERROR(__xludf.DUMMYFUNCTION("VLOOKUP(A200,IMPORTRANGE(""1aFCnJY1qhIj8-JckJhDJ18aqmVo17tofpQmOjcYa3u8/edit#gid=1878241338"",""S3 Totals!$A$2:$O$255""),3,FALSE)"),0.0)</f>
        <v>0</v>
      </c>
      <c r="D200" s="16">
        <f>IFERROR(__xludf.DUMMYFUNCTION("VLOOKUP(A200,IMPORTRANGE(""1QZ5UxyNCwadreQAXnQ7oCoH982DjIA-QnZdO7ZoqkC0/edit#gid=884617569"",""S3 Totals!$A$2:$O$255""),2,FALSE)"),0.0)</f>
        <v>0</v>
      </c>
      <c r="E200" s="15">
        <f>IFERROR(__xludf.DUMMYFUNCTION("VLOOKUP(A200,IMPORTRANGE(""1QZ5UxyNCwadreQAXnQ7oCoH982DjIA-QnZdO7ZoqkC0/edit#gid=884617569"",""S3 Totals!$A$2:$O$255""),3,FALSE)"),0.0)</f>
        <v>0</v>
      </c>
      <c r="F200" s="15">
        <f t="shared" si="1"/>
        <v>0</v>
      </c>
      <c r="G200" s="16">
        <f>IFERROR(__xludf.DUMMYFUNCTION("VLOOKUP(A200,IMPORTRANGE(""1QZ5UxyNCwadreQAXnQ7oCoH982DjIA-QnZdO7ZoqkC0/edit#gid=884617569"",""S3 Totals!$A$2:$O$255""),4,FALSE)"),0.0)</f>
        <v>0</v>
      </c>
      <c r="H200" s="15">
        <f>IFERROR(__xludf.DUMMYFUNCTION("VLOOKUP(A200,IMPORTRANGE(""1QZ5UxyNCwadreQAXnQ7oCoH982DjIA-QnZdO7ZoqkC0/edit#gid=884617569"",""S3 Totals!$A$2:$O$255""),5,FALSE)"),0.0)</f>
        <v>0</v>
      </c>
      <c r="I200" s="143">
        <f t="shared" si="2"/>
        <v>0</v>
      </c>
      <c r="J200" s="16">
        <f>IFERROR(__xludf.DUMMYFUNCTION("VLOOKUP(A200,IMPORTRANGE(""1QZ5UxyNCwadreQAXnQ7oCoH982DjIA-QnZdO7ZoqkC0/edit#gid=884617569"",""S3 Totals!$A$2:$O$255""),7,FALSE)"),0.0)</f>
        <v>0</v>
      </c>
      <c r="K200" s="15">
        <f>IFERROR(__xludf.DUMMYFUNCTION("VLOOKUP(A200,IMPORTRANGE(""1QZ5UxyNCwadreQAXnQ7oCoH982DjIA-QnZdO7ZoqkC0/edit#gid=884617569"",""S3 Totals!$A$2:$O$255""),8,FALSE)"),0.0)</f>
        <v>0</v>
      </c>
      <c r="L200" s="110">
        <f t="shared" si="5"/>
        <v>0</v>
      </c>
      <c r="M200" s="16">
        <f>IFERROR(__xludf.DUMMYFUNCTION("VLOOKUP(A200,IMPORTRANGE(""1QZ5UxyNCwadreQAXnQ7oCoH982DjIA-QnZdO7ZoqkC0/edit#gid=884617569"",""S3 Totals!$A$2:$O$255""),10,FALSE)"),0.0)</f>
        <v>0</v>
      </c>
      <c r="N200" s="15">
        <f>IFERROR(__xludf.DUMMYFUNCTION("VLOOKUP(A200,IMPORTRANGE(""1QZ5UxyNCwadreQAXnQ7oCoH982DjIA-QnZdO7ZoqkC0/edit#gid=884617569"",""S3 Totals!$A$2:$O$255""),11,FALSE)"),0.0)</f>
        <v>0</v>
      </c>
      <c r="O200" s="110">
        <f t="shared" si="3"/>
        <v>0</v>
      </c>
      <c r="P200" s="16" t="str">
        <f>IFERROR(__xludf.DUMMYFUNCTION("VLOOKUP(A200,IMPORTRANGE(""1QZ5UxyNCwadreQAXnQ7oCoH982DjIA-QnZdO7ZoqkC0/edit#gid=884617569"",""S3 Totals!$A$2:$O$255""),13,FALSE)"),"")</f>
        <v/>
      </c>
      <c r="Q200" s="15" t="str">
        <f>IFERROR(__xludf.DUMMYFUNCTION("VLOOKUP(A200,IMPORTRANGE(""1QZ5UxyNCwadreQAXnQ7oCoH982DjIA-QnZdO7ZoqkC0/edit#gid=884617569"",""S3 Totals!$A$2:$O$255""),14,FALSE)"),"")</f>
        <v/>
      </c>
      <c r="R200" s="110">
        <f t="shared" si="4"/>
        <v>0</v>
      </c>
      <c r="S200" s="144"/>
    </row>
    <row r="201">
      <c r="A201" s="128" t="s">
        <v>270</v>
      </c>
      <c r="B201" s="16">
        <f>IFERROR(__xludf.DUMMYFUNCTION("VLOOKUP(A201,IMPORTRANGE(""1aFCnJY1qhIj8-JckJhDJ18aqmVo17tofpQmOjcYa3u8/edit#gid=1878241338"",""S3 Totals!$A$2:$O$255""),2,FALSE)"),0.0)</f>
        <v>0</v>
      </c>
      <c r="C201" s="15">
        <f>IFERROR(__xludf.DUMMYFUNCTION("VLOOKUP(A201,IMPORTRANGE(""1aFCnJY1qhIj8-JckJhDJ18aqmVo17tofpQmOjcYa3u8/edit#gid=1878241338"",""S3 Totals!$A$2:$O$255""),3,FALSE)"),0.0)</f>
        <v>0</v>
      </c>
      <c r="D201" s="16" t="str">
        <f>IFERROR(__xludf.DUMMYFUNCTION("VLOOKUP(A201,IMPORTRANGE(""1QZ5UxyNCwadreQAXnQ7oCoH982DjIA-QnZdO7ZoqkC0/edit#gid=884617569"",""S3 Totals!$A$2:$O$255""),2,FALSE)"),"#N/A")</f>
        <v>#N/A</v>
      </c>
      <c r="E201" s="15" t="str">
        <f>IFERROR(__xludf.DUMMYFUNCTION("VLOOKUP(A201,IMPORTRANGE(""1QZ5UxyNCwadreQAXnQ7oCoH982DjIA-QnZdO7ZoqkC0/edit#gid=884617569"",""S3 Totals!$A$2:$O$255""),3,FALSE)"),"#N/A")</f>
        <v>#N/A</v>
      </c>
      <c r="F201" s="16" t="str">
        <f t="shared" si="1"/>
        <v>#N/A</v>
      </c>
      <c r="G201" s="16" t="str">
        <f>IFERROR(__xludf.DUMMYFUNCTION("VLOOKUP(A201,IMPORTRANGE(""1QZ5UxyNCwadreQAXnQ7oCoH982DjIA-QnZdO7ZoqkC0/edit#gid=884617569"",""S3 Totals!$A$2:$O$255""),4,FALSE)"),"#N/A")</f>
        <v>#N/A</v>
      </c>
      <c r="H201" s="15" t="str">
        <f>IFERROR(__xludf.DUMMYFUNCTION("VLOOKUP(A201,IMPORTRANGE(""1QZ5UxyNCwadreQAXnQ7oCoH982DjIA-QnZdO7ZoqkC0/edit#gid=884617569"",""S3 Totals!$A$2:$O$255""),5,FALSE)"),"#N/A")</f>
        <v>#N/A</v>
      </c>
      <c r="I201" s="143" t="str">
        <f t="shared" si="2"/>
        <v>#N/A</v>
      </c>
      <c r="J201" s="16" t="str">
        <f>IFERROR(__xludf.DUMMYFUNCTION("VLOOKUP(A201,IMPORTRANGE(""1QZ5UxyNCwadreQAXnQ7oCoH982DjIA-QnZdO7ZoqkC0/edit#gid=884617569"",""S3 Totals!$A$2:$O$255""),7,FALSE)"),"#N/A")</f>
        <v>#N/A</v>
      </c>
      <c r="K201" s="15" t="str">
        <f>IFERROR(__xludf.DUMMYFUNCTION("VLOOKUP(A201,IMPORTRANGE(""1QZ5UxyNCwadreQAXnQ7oCoH982DjIA-QnZdO7ZoqkC0/edit#gid=884617569"",""S3 Totals!$A$2:$O$255""),8,FALSE)"),"#N/A")</f>
        <v>#N/A</v>
      </c>
      <c r="L201" s="110" t="str">
        <f t="shared" si="5"/>
        <v>#N/A</v>
      </c>
      <c r="M201" s="16" t="str">
        <f>IFERROR(__xludf.DUMMYFUNCTION("VLOOKUP(A201,IMPORTRANGE(""1QZ5UxyNCwadreQAXnQ7oCoH982DjIA-QnZdO7ZoqkC0/edit#gid=884617569"",""S3 Totals!$A$2:$O$255""),10,FALSE)"),"#N/A")</f>
        <v>#N/A</v>
      </c>
      <c r="N201" s="15" t="str">
        <f>IFERROR(__xludf.DUMMYFUNCTION("VLOOKUP(A201,IMPORTRANGE(""1QZ5UxyNCwadreQAXnQ7oCoH982DjIA-QnZdO7ZoqkC0/edit#gid=884617569"",""S3 Totals!$A$2:$O$255""),11,FALSE)"),"#N/A")</f>
        <v>#N/A</v>
      </c>
      <c r="O201" s="110" t="str">
        <f t="shared" si="3"/>
        <v>#N/A</v>
      </c>
      <c r="P201" s="16" t="str">
        <f>IFERROR(__xludf.DUMMYFUNCTION("VLOOKUP(A201,IMPORTRANGE(""1QZ5UxyNCwadreQAXnQ7oCoH982DjIA-QnZdO7ZoqkC0/edit#gid=884617569"",""S3 Totals!$A$2:$O$255""),13,FALSE)"),"#N/A")</f>
        <v>#N/A</v>
      </c>
      <c r="Q201" s="15" t="str">
        <f>IFERROR(__xludf.DUMMYFUNCTION("VLOOKUP(A201,IMPORTRANGE(""1QZ5UxyNCwadreQAXnQ7oCoH982DjIA-QnZdO7ZoqkC0/edit#gid=884617569"",""S3 Totals!$A$2:$O$255""),14,FALSE)"),"#N/A")</f>
        <v>#N/A</v>
      </c>
      <c r="R201" s="110" t="str">
        <f t="shared" si="4"/>
        <v>#N/A</v>
      </c>
      <c r="S201" s="144"/>
    </row>
    <row r="202">
      <c r="A202" s="128" t="s">
        <v>271</v>
      </c>
      <c r="B202" s="16">
        <f>IFERROR(__xludf.DUMMYFUNCTION("VLOOKUP(A202,IMPORTRANGE(""1aFCnJY1qhIj8-JckJhDJ18aqmVo17tofpQmOjcYa3u8/edit#gid=1878241338"",""S3 Totals!$A$2:$O$255""),2,FALSE)"),0.0)</f>
        <v>0</v>
      </c>
      <c r="C202" s="15">
        <f>IFERROR(__xludf.DUMMYFUNCTION("VLOOKUP(A202,IMPORTRANGE(""1aFCnJY1qhIj8-JckJhDJ18aqmVo17tofpQmOjcYa3u8/edit#gid=1878241338"",""S3 Totals!$A$2:$O$255""),3,FALSE)"),0.0)</f>
        <v>0</v>
      </c>
      <c r="D202" s="16" t="str">
        <f>IFERROR(__xludf.DUMMYFUNCTION("VLOOKUP(A202,IMPORTRANGE(""1QZ5UxyNCwadreQAXnQ7oCoH982DjIA-QnZdO7ZoqkC0/edit#gid=884617569"",""S3 Totals!$A$2:$O$255""),2,FALSE)"),"#N/A")</f>
        <v>#N/A</v>
      </c>
      <c r="E202" s="15" t="str">
        <f>IFERROR(__xludf.DUMMYFUNCTION("VLOOKUP(A202,IMPORTRANGE(""1QZ5UxyNCwadreQAXnQ7oCoH982DjIA-QnZdO7ZoqkC0/edit#gid=884617569"",""S3 Totals!$A$2:$O$255""),3,FALSE)"),"#N/A")</f>
        <v>#N/A</v>
      </c>
      <c r="F202" s="16" t="str">
        <f t="shared" si="1"/>
        <v>#N/A</v>
      </c>
      <c r="G202" s="16" t="str">
        <f>IFERROR(__xludf.DUMMYFUNCTION("VLOOKUP(A202,IMPORTRANGE(""1QZ5UxyNCwadreQAXnQ7oCoH982DjIA-QnZdO7ZoqkC0/edit#gid=884617569"",""S3 Totals!$A$2:$O$255""),4,FALSE)"),"#N/A")</f>
        <v>#N/A</v>
      </c>
      <c r="H202" s="15" t="str">
        <f>IFERROR(__xludf.DUMMYFUNCTION("VLOOKUP(A202,IMPORTRANGE(""1QZ5UxyNCwadreQAXnQ7oCoH982DjIA-QnZdO7ZoqkC0/edit#gid=884617569"",""S3 Totals!$A$2:$O$255""),5,FALSE)"),"#N/A")</f>
        <v>#N/A</v>
      </c>
      <c r="I202" s="143" t="str">
        <f t="shared" si="2"/>
        <v>#N/A</v>
      </c>
      <c r="J202" s="16" t="str">
        <f>IFERROR(__xludf.DUMMYFUNCTION("VLOOKUP(A202,IMPORTRANGE(""1QZ5UxyNCwadreQAXnQ7oCoH982DjIA-QnZdO7ZoqkC0/edit#gid=884617569"",""S3 Totals!$A$2:$O$255""),7,FALSE)"),"#N/A")</f>
        <v>#N/A</v>
      </c>
      <c r="K202" s="15" t="str">
        <f>IFERROR(__xludf.DUMMYFUNCTION("VLOOKUP(A202,IMPORTRANGE(""1QZ5UxyNCwadreQAXnQ7oCoH982DjIA-QnZdO7ZoqkC0/edit#gid=884617569"",""S3 Totals!$A$2:$O$255""),8,FALSE)"),"#N/A")</f>
        <v>#N/A</v>
      </c>
      <c r="L202" s="110" t="str">
        <f t="shared" si="5"/>
        <v>#N/A</v>
      </c>
      <c r="M202" s="16" t="str">
        <f>IFERROR(__xludf.DUMMYFUNCTION("VLOOKUP(A202,IMPORTRANGE(""1QZ5UxyNCwadreQAXnQ7oCoH982DjIA-QnZdO7ZoqkC0/edit#gid=884617569"",""S3 Totals!$A$2:$O$255""),10,FALSE)"),"#N/A")</f>
        <v>#N/A</v>
      </c>
      <c r="N202" s="15" t="str">
        <f>IFERROR(__xludf.DUMMYFUNCTION("VLOOKUP(A202,IMPORTRANGE(""1QZ5UxyNCwadreQAXnQ7oCoH982DjIA-QnZdO7ZoqkC0/edit#gid=884617569"",""S3 Totals!$A$2:$O$255""),11,FALSE)"),"#N/A")</f>
        <v>#N/A</v>
      </c>
      <c r="O202" s="110" t="str">
        <f t="shared" si="3"/>
        <v>#N/A</v>
      </c>
      <c r="P202" s="16" t="str">
        <f>IFERROR(__xludf.DUMMYFUNCTION("VLOOKUP(A202,IMPORTRANGE(""1QZ5UxyNCwadreQAXnQ7oCoH982DjIA-QnZdO7ZoqkC0/edit#gid=884617569"",""S3 Totals!$A$2:$O$255""),13,FALSE)"),"#N/A")</f>
        <v>#N/A</v>
      </c>
      <c r="Q202" s="15" t="str">
        <f>IFERROR(__xludf.DUMMYFUNCTION("VLOOKUP(A202,IMPORTRANGE(""1QZ5UxyNCwadreQAXnQ7oCoH982DjIA-QnZdO7ZoqkC0/edit#gid=884617569"",""S3 Totals!$A$2:$O$255""),14,FALSE)"),"#N/A")</f>
        <v>#N/A</v>
      </c>
      <c r="R202" s="110" t="str">
        <f t="shared" si="4"/>
        <v>#N/A</v>
      </c>
      <c r="S202" s="144"/>
    </row>
    <row r="203">
      <c r="A203" s="136" t="s">
        <v>278</v>
      </c>
      <c r="B203" s="16">
        <f>IFERROR(__xludf.DUMMYFUNCTION("VLOOKUP(A203,IMPORTRANGE(""1aFCnJY1qhIj8-JckJhDJ18aqmVo17tofpQmOjcYa3u8/edit#gid=1878241338"",""S3 Totals!$A$2:$O$255""),2,FALSE)"),0.0)</f>
        <v>0</v>
      </c>
      <c r="C203" s="15">
        <f>IFERROR(__xludf.DUMMYFUNCTION("VLOOKUP(A203,IMPORTRANGE(""1aFCnJY1qhIj8-JckJhDJ18aqmVo17tofpQmOjcYa3u8/edit#gid=1878241338"",""S3 Totals!$A$2:$O$255""),3,FALSE)"),0.0)</f>
        <v>0</v>
      </c>
      <c r="D203" s="16" t="str">
        <f>IFERROR(__xludf.DUMMYFUNCTION("VLOOKUP(A203,IMPORTRANGE(""1QZ5UxyNCwadreQAXnQ7oCoH982DjIA-QnZdO7ZoqkC0/edit#gid=884617569"",""S3 Totals!$A$2:$O$255""),2,FALSE)"),"#N/A")</f>
        <v>#N/A</v>
      </c>
      <c r="E203" s="15" t="str">
        <f>IFERROR(__xludf.DUMMYFUNCTION("VLOOKUP(A203,IMPORTRANGE(""1QZ5UxyNCwadreQAXnQ7oCoH982DjIA-QnZdO7ZoqkC0/edit#gid=884617569"",""S3 Totals!$A$2:$O$255""),3,FALSE)"),"#N/A")</f>
        <v>#N/A</v>
      </c>
      <c r="F203" s="16" t="str">
        <f t="shared" si="1"/>
        <v>#N/A</v>
      </c>
      <c r="G203" s="16" t="str">
        <f>IFERROR(__xludf.DUMMYFUNCTION("VLOOKUP(A203,IMPORTRANGE(""1QZ5UxyNCwadreQAXnQ7oCoH982DjIA-QnZdO7ZoqkC0/edit#gid=884617569"",""S3 Totals!$A$2:$O$255""),4,FALSE)"),"#N/A")</f>
        <v>#N/A</v>
      </c>
      <c r="H203" s="15" t="str">
        <f>IFERROR(__xludf.DUMMYFUNCTION("VLOOKUP(A203,IMPORTRANGE(""1QZ5UxyNCwadreQAXnQ7oCoH982DjIA-QnZdO7ZoqkC0/edit#gid=884617569"",""S3 Totals!$A$2:$O$255""),5,FALSE)"),"#N/A")</f>
        <v>#N/A</v>
      </c>
      <c r="I203" s="143" t="str">
        <f t="shared" si="2"/>
        <v>#N/A</v>
      </c>
      <c r="J203" s="16" t="str">
        <f>IFERROR(__xludf.DUMMYFUNCTION("VLOOKUP(A203,IMPORTRANGE(""1QZ5UxyNCwadreQAXnQ7oCoH982DjIA-QnZdO7ZoqkC0/edit#gid=884617569"",""S3 Totals!$A$2:$O$255""),7,FALSE)"),"#N/A")</f>
        <v>#N/A</v>
      </c>
      <c r="K203" s="15" t="str">
        <f>IFERROR(__xludf.DUMMYFUNCTION("VLOOKUP(A203,IMPORTRANGE(""1QZ5UxyNCwadreQAXnQ7oCoH982DjIA-QnZdO7ZoqkC0/edit#gid=884617569"",""S3 Totals!$A$2:$O$255""),8,FALSE)"),"#N/A")</f>
        <v>#N/A</v>
      </c>
      <c r="L203" s="110" t="str">
        <f t="shared" si="5"/>
        <v>#N/A</v>
      </c>
      <c r="M203" s="16" t="str">
        <f>IFERROR(__xludf.DUMMYFUNCTION("VLOOKUP(A203,IMPORTRANGE(""1QZ5UxyNCwadreQAXnQ7oCoH982DjIA-QnZdO7ZoqkC0/edit#gid=884617569"",""S3 Totals!$A$2:$O$255""),10,FALSE)"),"#N/A")</f>
        <v>#N/A</v>
      </c>
      <c r="N203" s="15" t="str">
        <f>IFERROR(__xludf.DUMMYFUNCTION("VLOOKUP(A203,IMPORTRANGE(""1QZ5UxyNCwadreQAXnQ7oCoH982DjIA-QnZdO7ZoqkC0/edit#gid=884617569"",""S3 Totals!$A$2:$O$255""),11,FALSE)"),"#N/A")</f>
        <v>#N/A</v>
      </c>
      <c r="O203" s="110" t="str">
        <f t="shared" si="3"/>
        <v>#N/A</v>
      </c>
      <c r="P203" s="16" t="str">
        <f>IFERROR(__xludf.DUMMYFUNCTION("VLOOKUP(A203,IMPORTRANGE(""1QZ5UxyNCwadreQAXnQ7oCoH982DjIA-QnZdO7ZoqkC0/edit#gid=884617569"",""S3 Totals!$A$2:$O$255""),13,FALSE)"),"#N/A")</f>
        <v>#N/A</v>
      </c>
      <c r="Q203" s="15" t="str">
        <f>IFERROR(__xludf.DUMMYFUNCTION("VLOOKUP(A203,IMPORTRANGE(""1QZ5UxyNCwadreQAXnQ7oCoH982DjIA-QnZdO7ZoqkC0/edit#gid=884617569"",""S3 Totals!$A$2:$O$255""),14,FALSE)"),"#N/A")</f>
        <v>#N/A</v>
      </c>
      <c r="R203" s="110" t="str">
        <f t="shared" si="4"/>
        <v>#N/A</v>
      </c>
      <c r="S203" s="144"/>
    </row>
    <row r="204">
      <c r="A204" s="128" t="s">
        <v>195</v>
      </c>
      <c r="B204" s="16">
        <f>IFERROR(__xludf.DUMMYFUNCTION("VLOOKUP(A204,IMPORTRANGE(""1aFCnJY1qhIj8-JckJhDJ18aqmVo17tofpQmOjcYa3u8/edit#gid=1878241338"",""S3 Totals!$A$2:$O$255""),2,FALSE)"),0.0)</f>
        <v>0</v>
      </c>
      <c r="C204" s="15">
        <f>IFERROR(__xludf.DUMMYFUNCTION("VLOOKUP(A204,IMPORTRANGE(""1aFCnJY1qhIj8-JckJhDJ18aqmVo17tofpQmOjcYa3u8/edit#gid=1878241338"",""S3 Totals!$A$2:$O$255""),3,FALSE)"),0.0)</f>
        <v>0</v>
      </c>
      <c r="D204" s="16">
        <f>IFERROR(__xludf.DUMMYFUNCTION("VLOOKUP(A204,IMPORTRANGE(""1QZ5UxyNCwadreQAXnQ7oCoH982DjIA-QnZdO7ZoqkC0/edit#gid=884617569"",""S3 Totals!$A$2:$O$255""),2,FALSE)"),1.0)</f>
        <v>1</v>
      </c>
      <c r="E204" s="15">
        <f>IFERROR(__xludf.DUMMYFUNCTION("VLOOKUP(A204,IMPORTRANGE(""1QZ5UxyNCwadreQAXnQ7oCoH982DjIA-QnZdO7ZoqkC0/edit#gid=884617569"",""S3 Totals!$A$2:$O$255""),3,FALSE)"),0.013513513513513514)</f>
        <v>0.01351351351</v>
      </c>
      <c r="F204" s="15">
        <f t="shared" si="1"/>
        <v>-0.01351351351</v>
      </c>
      <c r="G204" s="16">
        <f>IFERROR(__xludf.DUMMYFUNCTION("VLOOKUP(A204,IMPORTRANGE(""1QZ5UxyNCwadreQAXnQ7oCoH982DjIA-QnZdO7ZoqkC0/edit#gid=884617569"",""S3 Totals!$A$2:$O$255""),4,FALSE)"),0.0)</f>
        <v>0</v>
      </c>
      <c r="H204" s="15">
        <f>IFERROR(__xludf.DUMMYFUNCTION("VLOOKUP(A204,IMPORTRANGE(""1QZ5UxyNCwadreQAXnQ7oCoH982DjIA-QnZdO7ZoqkC0/edit#gid=884617569"",""S3 Totals!$A$2:$O$255""),5,FALSE)"),0.0)</f>
        <v>0</v>
      </c>
      <c r="I204" s="143">
        <f t="shared" si="2"/>
        <v>0</v>
      </c>
      <c r="J204" s="16">
        <f>IFERROR(__xludf.DUMMYFUNCTION("VLOOKUP(A204,IMPORTRANGE(""1QZ5UxyNCwadreQAXnQ7oCoH982DjIA-QnZdO7ZoqkC0/edit#gid=884617569"",""S3 Totals!$A$2:$O$255""),7,FALSE)"),0.0)</f>
        <v>0</v>
      </c>
      <c r="K204" s="15">
        <f>IFERROR(__xludf.DUMMYFUNCTION("VLOOKUP(A204,IMPORTRANGE(""1QZ5UxyNCwadreQAXnQ7oCoH982DjIA-QnZdO7ZoqkC0/edit#gid=884617569"",""S3 Totals!$A$2:$O$255""),8,FALSE)"),0.0)</f>
        <v>0</v>
      </c>
      <c r="L204" s="110">
        <f t="shared" si="5"/>
        <v>0.01351351351</v>
      </c>
      <c r="M204" s="16" t="str">
        <f>IFERROR(__xludf.DUMMYFUNCTION("VLOOKUP(A204,IMPORTRANGE(""1QZ5UxyNCwadreQAXnQ7oCoH982DjIA-QnZdO7ZoqkC0/edit#gid=884617569"",""S3 Totals!$A$2:$O$255""),10,FALSE)"),"")</f>
        <v/>
      </c>
      <c r="N204" s="15" t="str">
        <f>IFERROR(__xludf.DUMMYFUNCTION("VLOOKUP(A204,IMPORTRANGE(""1QZ5UxyNCwadreQAXnQ7oCoH982DjIA-QnZdO7ZoqkC0/edit#gid=884617569"",""S3 Totals!$A$2:$O$255""),11,FALSE)"),"")</f>
        <v/>
      </c>
      <c r="O204" s="110">
        <f t="shared" si="3"/>
        <v>0</v>
      </c>
      <c r="P204" s="16" t="str">
        <f>IFERROR(__xludf.DUMMYFUNCTION("VLOOKUP(A204,IMPORTRANGE(""1QZ5UxyNCwadreQAXnQ7oCoH982DjIA-QnZdO7ZoqkC0/edit#gid=884617569"",""S3 Totals!$A$2:$O$255""),13,FALSE)"),"")</f>
        <v/>
      </c>
      <c r="Q204" s="15" t="str">
        <f>IFERROR(__xludf.DUMMYFUNCTION("VLOOKUP(A204,IMPORTRANGE(""1QZ5UxyNCwadreQAXnQ7oCoH982DjIA-QnZdO7ZoqkC0/edit#gid=884617569"",""S3 Totals!$A$2:$O$255""),14,FALSE)"),"")</f>
        <v/>
      </c>
      <c r="R204" s="110">
        <f t="shared" si="4"/>
        <v>0</v>
      </c>
      <c r="S204" s="144"/>
    </row>
    <row r="205">
      <c r="A205" s="128" t="s">
        <v>196</v>
      </c>
      <c r="B205" s="16">
        <f>IFERROR(__xludf.DUMMYFUNCTION("VLOOKUP(A205,IMPORTRANGE(""1aFCnJY1qhIj8-JckJhDJ18aqmVo17tofpQmOjcYa3u8/edit#gid=1878241338"",""S3 Totals!$A$2:$O$255""),2,FALSE)"),41.0)</f>
        <v>41</v>
      </c>
      <c r="C205" s="15">
        <f>IFERROR(__xludf.DUMMYFUNCTION("VLOOKUP(A205,IMPORTRANGE(""1aFCnJY1qhIj8-JckJhDJ18aqmVo17tofpQmOjcYa3u8/edit#gid=1878241338"",""S3 Totals!$A$2:$O$255""),3,FALSE)"),0.5616438356164384)</f>
        <v>0.5616438356</v>
      </c>
      <c r="D205" s="16">
        <f>IFERROR(__xludf.DUMMYFUNCTION("VLOOKUP(A205,IMPORTRANGE(""1QZ5UxyNCwadreQAXnQ7oCoH982DjIA-QnZdO7ZoqkC0/edit#gid=884617569"",""S3 Totals!$A$2:$O$255""),2,FALSE)"),44.0)</f>
        <v>44</v>
      </c>
      <c r="E205" s="15">
        <f>IFERROR(__xludf.DUMMYFUNCTION("VLOOKUP(A205,IMPORTRANGE(""1QZ5UxyNCwadreQAXnQ7oCoH982DjIA-QnZdO7ZoqkC0/edit#gid=884617569"",""S3 Totals!$A$2:$O$255""),3,FALSE)"),0.5945945945945946)</f>
        <v>0.5945945946</v>
      </c>
      <c r="F205" s="15">
        <f t="shared" si="1"/>
        <v>-0.03295075898</v>
      </c>
      <c r="G205" s="16">
        <f>IFERROR(__xludf.DUMMYFUNCTION("VLOOKUP(A205,IMPORTRANGE(""1QZ5UxyNCwadreQAXnQ7oCoH982DjIA-QnZdO7ZoqkC0/edit#gid=884617569"",""S3 Totals!$A$2:$O$255""),4,FALSE)"),24.0)</f>
        <v>24</v>
      </c>
      <c r="H205" s="15">
        <f>IFERROR(__xludf.DUMMYFUNCTION("VLOOKUP(A205,IMPORTRANGE(""1QZ5UxyNCwadreQAXnQ7oCoH982DjIA-QnZdO7ZoqkC0/edit#gid=884617569"",""S3 Totals!$A$2:$O$255""),5,FALSE)"),0.3037974683544304)</f>
        <v>0.3037974684</v>
      </c>
      <c r="I205" s="143">
        <f t="shared" si="2"/>
        <v>0.2578463673</v>
      </c>
      <c r="J205" s="16">
        <f>IFERROR(__xludf.DUMMYFUNCTION("VLOOKUP(A205,IMPORTRANGE(""1QZ5UxyNCwadreQAXnQ7oCoH982DjIA-QnZdO7ZoqkC0/edit#gid=884617569"",""S3 Totals!$A$2:$O$255""),7,FALSE)"),23.0)</f>
        <v>23</v>
      </c>
      <c r="K205" s="15">
        <f>IFERROR(__xludf.DUMMYFUNCTION("VLOOKUP(A205,IMPORTRANGE(""1QZ5UxyNCwadreQAXnQ7oCoH982DjIA-QnZdO7ZoqkC0/edit#gid=884617569"",""S3 Totals!$A$2:$O$255""),8,FALSE)"),0.27058823529411763)</f>
        <v>0.2705882353</v>
      </c>
      <c r="L205" s="110">
        <f t="shared" si="5"/>
        <v>0.3240063593</v>
      </c>
      <c r="M205" s="16" t="str">
        <f>IFERROR(__xludf.DUMMYFUNCTION("VLOOKUP(A205,IMPORTRANGE(""1QZ5UxyNCwadreQAXnQ7oCoH982DjIA-QnZdO7ZoqkC0/edit#gid=884617569"",""S3 Totals!$A$2:$O$255""),10,FALSE)"),"")</f>
        <v/>
      </c>
      <c r="N205" s="15" t="str">
        <f>IFERROR(__xludf.DUMMYFUNCTION("VLOOKUP(A205,IMPORTRANGE(""1QZ5UxyNCwadreQAXnQ7oCoH982DjIA-QnZdO7ZoqkC0/edit#gid=884617569"",""S3 Totals!$A$2:$O$255""),11,FALSE)"),"")</f>
        <v/>
      </c>
      <c r="O205" s="110">
        <f t="shared" si="3"/>
        <v>0.5616438356</v>
      </c>
      <c r="P205" s="16" t="str">
        <f>IFERROR(__xludf.DUMMYFUNCTION("VLOOKUP(A205,IMPORTRANGE(""1QZ5UxyNCwadreQAXnQ7oCoH982DjIA-QnZdO7ZoqkC0/edit#gid=884617569"",""S3 Totals!$A$2:$O$255""),13,FALSE)"),"")</f>
        <v/>
      </c>
      <c r="Q205" s="15" t="str">
        <f>IFERROR(__xludf.DUMMYFUNCTION("VLOOKUP(A205,IMPORTRANGE(""1QZ5UxyNCwadreQAXnQ7oCoH982DjIA-QnZdO7ZoqkC0/edit#gid=884617569"",""S3 Totals!$A$2:$O$255""),14,FALSE)"),"")</f>
        <v/>
      </c>
      <c r="R205" s="110">
        <f t="shared" si="4"/>
        <v>0.5616438356</v>
      </c>
      <c r="S205" s="144"/>
    </row>
    <row r="206">
      <c r="A206" s="128" t="s">
        <v>272</v>
      </c>
      <c r="B206" s="16">
        <f>IFERROR(__xludf.DUMMYFUNCTION("VLOOKUP(A206,IMPORTRANGE(""1aFCnJY1qhIj8-JckJhDJ18aqmVo17tofpQmOjcYa3u8/edit#gid=1878241338"",""S3 Totals!$A$2:$O$255""),2,FALSE)"),0.0)</f>
        <v>0</v>
      </c>
      <c r="C206" s="15">
        <f>IFERROR(__xludf.DUMMYFUNCTION("VLOOKUP(A206,IMPORTRANGE(""1aFCnJY1qhIj8-JckJhDJ18aqmVo17tofpQmOjcYa3u8/edit#gid=1878241338"",""S3 Totals!$A$2:$O$255""),3,FALSE)"),0.0)</f>
        <v>0</v>
      </c>
      <c r="D206" s="16" t="str">
        <f>IFERROR(__xludf.DUMMYFUNCTION("VLOOKUP(A206,IMPORTRANGE(""1QZ5UxyNCwadreQAXnQ7oCoH982DjIA-QnZdO7ZoqkC0/edit#gid=884617569"",""S3 Totals!$A$2:$O$255""),2,FALSE)"),"#N/A")</f>
        <v>#N/A</v>
      </c>
      <c r="E206" s="15" t="str">
        <f>IFERROR(__xludf.DUMMYFUNCTION("VLOOKUP(A206,IMPORTRANGE(""1QZ5UxyNCwadreQAXnQ7oCoH982DjIA-QnZdO7ZoqkC0/edit#gid=884617569"",""S3 Totals!$A$2:$O$255""),3,FALSE)"),"#N/A")</f>
        <v>#N/A</v>
      </c>
      <c r="F206" s="16" t="str">
        <f t="shared" si="1"/>
        <v>#N/A</v>
      </c>
      <c r="G206" s="16" t="str">
        <f>IFERROR(__xludf.DUMMYFUNCTION("VLOOKUP(A206,IMPORTRANGE(""1QZ5UxyNCwadreQAXnQ7oCoH982DjIA-QnZdO7ZoqkC0/edit#gid=884617569"",""S3 Totals!$A$2:$O$255""),4,FALSE)"),"#N/A")</f>
        <v>#N/A</v>
      </c>
      <c r="H206" s="15" t="str">
        <f>IFERROR(__xludf.DUMMYFUNCTION("VLOOKUP(A206,IMPORTRANGE(""1QZ5UxyNCwadreQAXnQ7oCoH982DjIA-QnZdO7ZoqkC0/edit#gid=884617569"",""S3 Totals!$A$2:$O$255""),5,FALSE)"),"#N/A")</f>
        <v>#N/A</v>
      </c>
      <c r="I206" s="143" t="str">
        <f t="shared" si="2"/>
        <v>#N/A</v>
      </c>
      <c r="J206" s="16" t="str">
        <f>IFERROR(__xludf.DUMMYFUNCTION("VLOOKUP(A206,IMPORTRANGE(""1QZ5UxyNCwadreQAXnQ7oCoH982DjIA-QnZdO7ZoqkC0/edit#gid=884617569"",""S3 Totals!$A$2:$O$255""),7,FALSE)"),"#N/A")</f>
        <v>#N/A</v>
      </c>
      <c r="K206" s="15" t="str">
        <f>IFERROR(__xludf.DUMMYFUNCTION("VLOOKUP(A206,IMPORTRANGE(""1QZ5UxyNCwadreQAXnQ7oCoH982DjIA-QnZdO7ZoqkC0/edit#gid=884617569"",""S3 Totals!$A$2:$O$255""),8,FALSE)"),"#N/A")</f>
        <v>#N/A</v>
      </c>
      <c r="L206" s="110" t="str">
        <f t="shared" si="5"/>
        <v>#N/A</v>
      </c>
      <c r="M206" s="16" t="str">
        <f>IFERROR(__xludf.DUMMYFUNCTION("VLOOKUP(A206,IMPORTRANGE(""1QZ5UxyNCwadreQAXnQ7oCoH982DjIA-QnZdO7ZoqkC0/edit#gid=884617569"",""S3 Totals!$A$2:$O$255""),10,FALSE)"),"#N/A")</f>
        <v>#N/A</v>
      </c>
      <c r="N206" s="15" t="str">
        <f>IFERROR(__xludf.DUMMYFUNCTION("VLOOKUP(A206,IMPORTRANGE(""1QZ5UxyNCwadreQAXnQ7oCoH982DjIA-QnZdO7ZoqkC0/edit#gid=884617569"",""S3 Totals!$A$2:$O$255""),11,FALSE)"),"#N/A")</f>
        <v>#N/A</v>
      </c>
      <c r="O206" s="110" t="str">
        <f t="shared" si="3"/>
        <v>#N/A</v>
      </c>
      <c r="P206" s="16" t="str">
        <f>IFERROR(__xludf.DUMMYFUNCTION("VLOOKUP(A206,IMPORTRANGE(""1QZ5UxyNCwadreQAXnQ7oCoH982DjIA-QnZdO7ZoqkC0/edit#gid=884617569"",""S3 Totals!$A$2:$O$255""),13,FALSE)"),"#N/A")</f>
        <v>#N/A</v>
      </c>
      <c r="Q206" s="15" t="str">
        <f>IFERROR(__xludf.DUMMYFUNCTION("VLOOKUP(A206,IMPORTRANGE(""1QZ5UxyNCwadreQAXnQ7oCoH982DjIA-QnZdO7ZoqkC0/edit#gid=884617569"",""S3 Totals!$A$2:$O$255""),14,FALSE)"),"#N/A")</f>
        <v>#N/A</v>
      </c>
      <c r="R206" s="110" t="str">
        <f t="shared" si="4"/>
        <v>#N/A</v>
      </c>
      <c r="S206" s="144"/>
    </row>
    <row r="207">
      <c r="A207" s="128" t="s">
        <v>147</v>
      </c>
      <c r="B207" s="16">
        <f>IFERROR(__xludf.DUMMYFUNCTION("VLOOKUP(A207,IMPORTRANGE(""1aFCnJY1qhIj8-JckJhDJ18aqmVo17tofpQmOjcYa3u8/edit#gid=1878241338"",""S3 Totals!$A$2:$O$255""),2,FALSE)"),0.0)</f>
        <v>0</v>
      </c>
      <c r="C207" s="15">
        <f>IFERROR(__xludf.DUMMYFUNCTION("VLOOKUP(A207,IMPORTRANGE(""1aFCnJY1qhIj8-JckJhDJ18aqmVo17tofpQmOjcYa3u8/edit#gid=1878241338"",""S3 Totals!$A$2:$O$255""),3,FALSE)"),0.0)</f>
        <v>0</v>
      </c>
      <c r="D207" s="16">
        <f>IFERROR(__xludf.DUMMYFUNCTION("VLOOKUP(A207,IMPORTRANGE(""1QZ5UxyNCwadreQAXnQ7oCoH982DjIA-QnZdO7ZoqkC0/edit#gid=884617569"",""S3 Totals!$A$2:$O$255""),2,FALSE)"),0.0)</f>
        <v>0</v>
      </c>
      <c r="E207" s="15">
        <f>IFERROR(__xludf.DUMMYFUNCTION("VLOOKUP(A207,IMPORTRANGE(""1QZ5UxyNCwadreQAXnQ7oCoH982DjIA-QnZdO7ZoqkC0/edit#gid=884617569"",""S3 Totals!$A$2:$O$255""),3,FALSE)"),0.0)</f>
        <v>0</v>
      </c>
      <c r="F207" s="15">
        <f t="shared" si="1"/>
        <v>0</v>
      </c>
      <c r="G207" s="16">
        <f>IFERROR(__xludf.DUMMYFUNCTION("VLOOKUP(A207,IMPORTRANGE(""1QZ5UxyNCwadreQAXnQ7oCoH982DjIA-QnZdO7ZoqkC0/edit#gid=884617569"",""S3 Totals!$A$2:$O$255""),4,FALSE)"),0.0)</f>
        <v>0</v>
      </c>
      <c r="H207" s="15">
        <f>IFERROR(__xludf.DUMMYFUNCTION("VLOOKUP(A207,IMPORTRANGE(""1QZ5UxyNCwadreQAXnQ7oCoH982DjIA-QnZdO7ZoqkC0/edit#gid=884617569"",""S3 Totals!$A$2:$O$255""),5,FALSE)"),0.0)</f>
        <v>0</v>
      </c>
      <c r="I207" s="143">
        <f t="shared" si="2"/>
        <v>0</v>
      </c>
      <c r="J207" s="16">
        <f>IFERROR(__xludf.DUMMYFUNCTION("VLOOKUP(A207,IMPORTRANGE(""1QZ5UxyNCwadreQAXnQ7oCoH982DjIA-QnZdO7ZoqkC0/edit#gid=884617569"",""S3 Totals!$A$2:$O$255""),7,FALSE)"),0.0)</f>
        <v>0</v>
      </c>
      <c r="K207" s="15">
        <f>IFERROR(__xludf.DUMMYFUNCTION("VLOOKUP(A207,IMPORTRANGE(""1QZ5UxyNCwadreQAXnQ7oCoH982DjIA-QnZdO7ZoqkC0/edit#gid=884617569"",""S3 Totals!$A$2:$O$255""),8,FALSE)"),0.0)</f>
        <v>0</v>
      </c>
      <c r="L207" s="110">
        <f t="shared" si="5"/>
        <v>0</v>
      </c>
      <c r="M207" s="16">
        <f>IFERROR(__xludf.DUMMYFUNCTION("VLOOKUP(A207,IMPORTRANGE(""1QZ5UxyNCwadreQAXnQ7oCoH982DjIA-QnZdO7ZoqkC0/edit#gid=884617569"",""S3 Totals!$A$2:$O$255""),10,FALSE)"),0.0)</f>
        <v>0</v>
      </c>
      <c r="N207" s="15">
        <f>IFERROR(__xludf.DUMMYFUNCTION("VLOOKUP(A207,IMPORTRANGE(""1QZ5UxyNCwadreQAXnQ7oCoH982DjIA-QnZdO7ZoqkC0/edit#gid=884617569"",""S3 Totals!$A$2:$O$255""),11,FALSE)"),0.0)</f>
        <v>0</v>
      </c>
      <c r="O207" s="110">
        <f t="shared" si="3"/>
        <v>0</v>
      </c>
      <c r="P207" s="16" t="str">
        <f>IFERROR(__xludf.DUMMYFUNCTION("VLOOKUP(A207,IMPORTRANGE(""1QZ5UxyNCwadreQAXnQ7oCoH982DjIA-QnZdO7ZoqkC0/edit#gid=884617569"",""S3 Totals!$A$2:$O$255""),13,FALSE)"),"")</f>
        <v/>
      </c>
      <c r="Q207" s="15" t="str">
        <f>IFERROR(__xludf.DUMMYFUNCTION("VLOOKUP(A207,IMPORTRANGE(""1QZ5UxyNCwadreQAXnQ7oCoH982DjIA-QnZdO7ZoqkC0/edit#gid=884617569"",""S3 Totals!$A$2:$O$255""),14,FALSE)"),"")</f>
        <v/>
      </c>
      <c r="R207" s="110">
        <f t="shared" si="4"/>
        <v>0</v>
      </c>
      <c r="S207" s="144"/>
    </row>
    <row r="208">
      <c r="A208" s="128" t="s">
        <v>197</v>
      </c>
      <c r="B208" s="16">
        <f>IFERROR(__xludf.DUMMYFUNCTION("VLOOKUP(A208,IMPORTRANGE(""1aFCnJY1qhIj8-JckJhDJ18aqmVo17tofpQmOjcYa3u8/edit#gid=1878241338"",""S3 Totals!$A$2:$O$255""),2,FALSE)"),0.0)</f>
        <v>0</v>
      </c>
      <c r="C208" s="15">
        <f>IFERROR(__xludf.DUMMYFUNCTION("VLOOKUP(A208,IMPORTRANGE(""1aFCnJY1qhIj8-JckJhDJ18aqmVo17tofpQmOjcYa3u8/edit#gid=1878241338"",""S3 Totals!$A$2:$O$255""),3,FALSE)"),0.0)</f>
        <v>0</v>
      </c>
      <c r="D208" s="16">
        <f>IFERROR(__xludf.DUMMYFUNCTION("VLOOKUP(A208,IMPORTRANGE(""1QZ5UxyNCwadreQAXnQ7oCoH982DjIA-QnZdO7ZoqkC0/edit#gid=884617569"",""S3 Totals!$A$2:$O$255""),2,FALSE)"),0.0)</f>
        <v>0</v>
      </c>
      <c r="E208" s="15">
        <f>IFERROR(__xludf.DUMMYFUNCTION("VLOOKUP(A208,IMPORTRANGE(""1QZ5UxyNCwadreQAXnQ7oCoH982DjIA-QnZdO7ZoqkC0/edit#gid=884617569"",""S3 Totals!$A$2:$O$255""),3,FALSE)"),0.0)</f>
        <v>0</v>
      </c>
      <c r="F208" s="15">
        <f t="shared" si="1"/>
        <v>0</v>
      </c>
      <c r="G208" s="16">
        <f>IFERROR(__xludf.DUMMYFUNCTION("VLOOKUP(A208,IMPORTRANGE(""1QZ5UxyNCwadreQAXnQ7oCoH982DjIA-QnZdO7ZoqkC0/edit#gid=884617569"",""S3 Totals!$A$2:$O$255""),4,FALSE)"),0.0)</f>
        <v>0</v>
      </c>
      <c r="H208" s="15">
        <f>IFERROR(__xludf.DUMMYFUNCTION("VLOOKUP(A208,IMPORTRANGE(""1QZ5UxyNCwadreQAXnQ7oCoH982DjIA-QnZdO7ZoqkC0/edit#gid=884617569"",""S3 Totals!$A$2:$O$255""),5,FALSE)"),0.0)</f>
        <v>0</v>
      </c>
      <c r="I208" s="143">
        <f t="shared" si="2"/>
        <v>0</v>
      </c>
      <c r="J208" s="16">
        <f>IFERROR(__xludf.DUMMYFUNCTION("VLOOKUP(A208,IMPORTRANGE(""1QZ5UxyNCwadreQAXnQ7oCoH982DjIA-QnZdO7ZoqkC0/edit#gid=884617569"",""S3 Totals!$A$2:$O$255""),7,FALSE)"),0.0)</f>
        <v>0</v>
      </c>
      <c r="K208" s="15">
        <f>IFERROR(__xludf.DUMMYFUNCTION("VLOOKUP(A208,IMPORTRANGE(""1QZ5UxyNCwadreQAXnQ7oCoH982DjIA-QnZdO7ZoqkC0/edit#gid=884617569"",""S3 Totals!$A$2:$O$255""),8,FALSE)"),0.0)</f>
        <v>0</v>
      </c>
      <c r="L208" s="110">
        <f t="shared" si="5"/>
        <v>0</v>
      </c>
      <c r="M208" s="16" t="str">
        <f>IFERROR(__xludf.DUMMYFUNCTION("VLOOKUP(A208,IMPORTRANGE(""1QZ5UxyNCwadreQAXnQ7oCoH982DjIA-QnZdO7ZoqkC0/edit#gid=884617569"",""S3 Totals!$A$2:$O$255""),10,FALSE)"),"")</f>
        <v/>
      </c>
      <c r="N208" s="15" t="str">
        <f>IFERROR(__xludf.DUMMYFUNCTION("VLOOKUP(A208,IMPORTRANGE(""1QZ5UxyNCwadreQAXnQ7oCoH982DjIA-QnZdO7ZoqkC0/edit#gid=884617569"",""S3 Totals!$A$2:$O$255""),11,FALSE)"),"")</f>
        <v/>
      </c>
      <c r="O208" s="110">
        <f t="shared" si="3"/>
        <v>0</v>
      </c>
      <c r="P208" s="16" t="str">
        <f>IFERROR(__xludf.DUMMYFUNCTION("VLOOKUP(A208,IMPORTRANGE(""1QZ5UxyNCwadreQAXnQ7oCoH982DjIA-QnZdO7ZoqkC0/edit#gid=884617569"",""S3 Totals!$A$2:$O$255""),13,FALSE)"),"")</f>
        <v/>
      </c>
      <c r="Q208" s="15" t="str">
        <f>IFERROR(__xludf.DUMMYFUNCTION("VLOOKUP(A208,IMPORTRANGE(""1QZ5UxyNCwadreQAXnQ7oCoH982DjIA-QnZdO7ZoqkC0/edit#gid=884617569"",""S3 Totals!$A$2:$O$255""),14,FALSE)"),"")</f>
        <v/>
      </c>
      <c r="R208" s="110">
        <f t="shared" si="4"/>
        <v>0</v>
      </c>
      <c r="S208" s="144"/>
    </row>
    <row r="209">
      <c r="A209" s="128" t="s">
        <v>148</v>
      </c>
      <c r="B209" s="16">
        <f>IFERROR(__xludf.DUMMYFUNCTION("VLOOKUP(A209,IMPORTRANGE(""1aFCnJY1qhIj8-JckJhDJ18aqmVo17tofpQmOjcYa3u8/edit#gid=1878241338"",""S3 Totals!$A$2:$O$255""),2,FALSE)"),1.0)</f>
        <v>1</v>
      </c>
      <c r="C209" s="15">
        <f>IFERROR(__xludf.DUMMYFUNCTION("VLOOKUP(A209,IMPORTRANGE(""1aFCnJY1qhIj8-JckJhDJ18aqmVo17tofpQmOjcYa3u8/edit#gid=1878241338"",""S3 Totals!$A$2:$O$255""),3,FALSE)"),0.0136986301369863)</f>
        <v>0.01369863014</v>
      </c>
      <c r="D209" s="16">
        <f>IFERROR(__xludf.DUMMYFUNCTION("VLOOKUP(A209,IMPORTRANGE(""1QZ5UxyNCwadreQAXnQ7oCoH982DjIA-QnZdO7ZoqkC0/edit#gid=884617569"",""S3 Totals!$A$2:$O$255""),2,FALSE)"),1.0)</f>
        <v>1</v>
      </c>
      <c r="E209" s="15">
        <f>IFERROR(__xludf.DUMMYFUNCTION("VLOOKUP(A209,IMPORTRANGE(""1QZ5UxyNCwadreQAXnQ7oCoH982DjIA-QnZdO7ZoqkC0/edit#gid=884617569"",""S3 Totals!$A$2:$O$255""),3,FALSE)"),0.013513513513513514)</f>
        <v>0.01351351351</v>
      </c>
      <c r="F209" s="15">
        <f t="shared" si="1"/>
        <v>0.0001851166235</v>
      </c>
      <c r="G209" s="16">
        <f>IFERROR(__xludf.DUMMYFUNCTION("VLOOKUP(A209,IMPORTRANGE(""1QZ5UxyNCwadreQAXnQ7oCoH982DjIA-QnZdO7ZoqkC0/edit#gid=884617569"",""S3 Totals!$A$2:$O$255""),4,FALSE)"),15.0)</f>
        <v>15</v>
      </c>
      <c r="H209" s="15">
        <f>IFERROR(__xludf.DUMMYFUNCTION("VLOOKUP(A209,IMPORTRANGE(""1QZ5UxyNCwadreQAXnQ7oCoH982DjIA-QnZdO7ZoqkC0/edit#gid=884617569"",""S3 Totals!$A$2:$O$255""),5,FALSE)"),0.189873417721519)</f>
        <v>0.1898734177</v>
      </c>
      <c r="I209" s="143">
        <f t="shared" si="2"/>
        <v>-0.1761747876</v>
      </c>
      <c r="J209" s="16">
        <f>IFERROR(__xludf.DUMMYFUNCTION("VLOOKUP(A209,IMPORTRANGE(""1QZ5UxyNCwadreQAXnQ7oCoH982DjIA-QnZdO7ZoqkC0/edit#gid=884617569"",""S3 Totals!$A$2:$O$255""),7,FALSE)"),16.0)</f>
        <v>16</v>
      </c>
      <c r="K209" s="15">
        <f>IFERROR(__xludf.DUMMYFUNCTION("VLOOKUP(A209,IMPORTRANGE(""1QZ5UxyNCwadreQAXnQ7oCoH982DjIA-QnZdO7ZoqkC0/edit#gid=884617569"",""S3 Totals!$A$2:$O$255""),8,FALSE)"),0.18823529411764706)</f>
        <v>0.1882352941</v>
      </c>
      <c r="L209" s="110">
        <f t="shared" si="5"/>
        <v>-0.1747217806</v>
      </c>
      <c r="M209" s="16">
        <f>IFERROR(__xludf.DUMMYFUNCTION("VLOOKUP(A209,IMPORTRANGE(""1QZ5UxyNCwadreQAXnQ7oCoH982DjIA-QnZdO7ZoqkC0/edit#gid=884617569"",""S3 Totals!$A$2:$O$255""),10,FALSE)"),11.0)</f>
        <v>11</v>
      </c>
      <c r="N209" s="15">
        <f>IFERROR(__xludf.DUMMYFUNCTION("VLOOKUP(A209,IMPORTRANGE(""1QZ5UxyNCwadreQAXnQ7oCoH982DjIA-QnZdO7ZoqkC0/edit#gid=884617569"",""S3 Totals!$A$2:$O$255""),11,FALSE)"),0.12941176470588237)</f>
        <v>0.1294117647</v>
      </c>
      <c r="O209" s="110">
        <f t="shared" si="3"/>
        <v>-0.1157131346</v>
      </c>
      <c r="P209" s="16" t="str">
        <f>IFERROR(__xludf.DUMMYFUNCTION("VLOOKUP(A209,IMPORTRANGE(""1QZ5UxyNCwadreQAXnQ7oCoH982DjIA-QnZdO7ZoqkC0/edit#gid=884617569"",""S3 Totals!$A$2:$O$255""),13,FALSE)"),"")</f>
        <v/>
      </c>
      <c r="Q209" s="15" t="str">
        <f>IFERROR(__xludf.DUMMYFUNCTION("VLOOKUP(A209,IMPORTRANGE(""1QZ5UxyNCwadreQAXnQ7oCoH982DjIA-QnZdO7ZoqkC0/edit#gid=884617569"",""S3 Totals!$A$2:$O$255""),14,FALSE)"),"")</f>
        <v/>
      </c>
      <c r="R209" s="110">
        <f t="shared" si="4"/>
        <v>0.01369863014</v>
      </c>
      <c r="S209" s="144"/>
    </row>
    <row r="210">
      <c r="A210" s="128" t="s">
        <v>149</v>
      </c>
      <c r="B210" s="16">
        <f>IFERROR(__xludf.DUMMYFUNCTION("VLOOKUP(A210,IMPORTRANGE(""1aFCnJY1qhIj8-JckJhDJ18aqmVo17tofpQmOjcYa3u8/edit#gid=1878241338"",""S3 Totals!$A$2:$O$255""),2,FALSE)"),1.0)</f>
        <v>1</v>
      </c>
      <c r="C210" s="15">
        <f>IFERROR(__xludf.DUMMYFUNCTION("VLOOKUP(A210,IMPORTRANGE(""1aFCnJY1qhIj8-JckJhDJ18aqmVo17tofpQmOjcYa3u8/edit#gid=1878241338"",""S3 Totals!$A$2:$O$255""),3,FALSE)"),0.0136986301369863)</f>
        <v>0.01369863014</v>
      </c>
      <c r="D210" s="16">
        <f>IFERROR(__xludf.DUMMYFUNCTION("VLOOKUP(A210,IMPORTRANGE(""1QZ5UxyNCwadreQAXnQ7oCoH982DjIA-QnZdO7ZoqkC0/edit#gid=884617569"",""S3 Totals!$A$2:$O$255""),2,FALSE)"),1.0)</f>
        <v>1</v>
      </c>
      <c r="E210" s="15">
        <f>IFERROR(__xludf.DUMMYFUNCTION("VLOOKUP(A210,IMPORTRANGE(""1QZ5UxyNCwadreQAXnQ7oCoH982DjIA-QnZdO7ZoqkC0/edit#gid=884617569"",""S3 Totals!$A$2:$O$255""),3,FALSE)"),0.013513513513513514)</f>
        <v>0.01351351351</v>
      </c>
      <c r="F210" s="15">
        <f t="shared" si="1"/>
        <v>0.0001851166235</v>
      </c>
      <c r="G210" s="16">
        <f>IFERROR(__xludf.DUMMYFUNCTION("VLOOKUP(A210,IMPORTRANGE(""1QZ5UxyNCwadreQAXnQ7oCoH982DjIA-QnZdO7ZoqkC0/edit#gid=884617569"",""S3 Totals!$A$2:$O$255""),4,FALSE)"),1.0)</f>
        <v>1</v>
      </c>
      <c r="H210" s="15">
        <f>IFERROR(__xludf.DUMMYFUNCTION("VLOOKUP(A210,IMPORTRANGE(""1QZ5UxyNCwadreQAXnQ7oCoH982DjIA-QnZdO7ZoqkC0/edit#gid=884617569"",""S3 Totals!$A$2:$O$255""),5,FALSE)"),0.012658227848101266)</f>
        <v>0.01265822785</v>
      </c>
      <c r="I210" s="143">
        <f t="shared" si="2"/>
        <v>0.001040402289</v>
      </c>
      <c r="J210" s="16">
        <f>IFERROR(__xludf.DUMMYFUNCTION("VLOOKUP(A210,IMPORTRANGE(""1QZ5UxyNCwadreQAXnQ7oCoH982DjIA-QnZdO7ZoqkC0/edit#gid=884617569"",""S3 Totals!$A$2:$O$255""),7,FALSE)"),1.0)</f>
        <v>1</v>
      </c>
      <c r="K210" s="15">
        <f>IFERROR(__xludf.DUMMYFUNCTION("VLOOKUP(A210,IMPORTRANGE(""1QZ5UxyNCwadreQAXnQ7oCoH982DjIA-QnZdO7ZoqkC0/edit#gid=884617569"",""S3 Totals!$A$2:$O$255""),8,FALSE)"),0.011764705882352941)</f>
        <v>0.01176470588</v>
      </c>
      <c r="L210" s="110">
        <f t="shared" si="5"/>
        <v>0.001748807631</v>
      </c>
      <c r="M210" s="16">
        <f>IFERROR(__xludf.DUMMYFUNCTION("VLOOKUP(A210,IMPORTRANGE(""1QZ5UxyNCwadreQAXnQ7oCoH982DjIA-QnZdO7ZoqkC0/edit#gid=884617569"",""S3 Totals!$A$2:$O$255""),10,FALSE)"),1.0)</f>
        <v>1</v>
      </c>
      <c r="N210" s="15">
        <f>IFERROR(__xludf.DUMMYFUNCTION("VLOOKUP(A210,IMPORTRANGE(""1QZ5UxyNCwadreQAXnQ7oCoH982DjIA-QnZdO7ZoqkC0/edit#gid=884617569"",""S3 Totals!$A$2:$O$255""),11,FALSE)"),0.011764705882352941)</f>
        <v>0.01176470588</v>
      </c>
      <c r="O210" s="110">
        <f t="shared" si="3"/>
        <v>0.001933924255</v>
      </c>
      <c r="P210" s="16" t="str">
        <f>IFERROR(__xludf.DUMMYFUNCTION("VLOOKUP(A210,IMPORTRANGE(""1QZ5UxyNCwadreQAXnQ7oCoH982DjIA-QnZdO7ZoqkC0/edit#gid=884617569"",""S3 Totals!$A$2:$O$255""),13,FALSE)"),"")</f>
        <v/>
      </c>
      <c r="Q210" s="15" t="str">
        <f>IFERROR(__xludf.DUMMYFUNCTION("VLOOKUP(A210,IMPORTRANGE(""1QZ5UxyNCwadreQAXnQ7oCoH982DjIA-QnZdO7ZoqkC0/edit#gid=884617569"",""S3 Totals!$A$2:$O$255""),14,FALSE)"),"")</f>
        <v/>
      </c>
      <c r="R210" s="110">
        <f t="shared" si="4"/>
        <v>0.01369863014</v>
      </c>
      <c r="S210" s="144"/>
    </row>
    <row r="211">
      <c r="A211" s="128" t="s">
        <v>150</v>
      </c>
      <c r="B211" s="16">
        <f>IFERROR(__xludf.DUMMYFUNCTION("VLOOKUP(A211,IMPORTRANGE(""1aFCnJY1qhIj8-JckJhDJ18aqmVo17tofpQmOjcYa3u8/edit#gid=1878241338"",""S3 Totals!$A$2:$O$255""),2,FALSE)"),1.0)</f>
        <v>1</v>
      </c>
      <c r="C211" s="15">
        <f>IFERROR(__xludf.DUMMYFUNCTION("VLOOKUP(A211,IMPORTRANGE(""1aFCnJY1qhIj8-JckJhDJ18aqmVo17tofpQmOjcYa3u8/edit#gid=1878241338"",""S3 Totals!$A$2:$O$255""),3,FALSE)"),0.0136986301369863)</f>
        <v>0.01369863014</v>
      </c>
      <c r="D211" s="16">
        <f>IFERROR(__xludf.DUMMYFUNCTION("VLOOKUP(A211,IMPORTRANGE(""1QZ5UxyNCwadreQAXnQ7oCoH982DjIA-QnZdO7ZoqkC0/edit#gid=884617569"",""S3 Totals!$A$2:$O$255""),2,FALSE)"),4.0)</f>
        <v>4</v>
      </c>
      <c r="E211" s="15">
        <f>IFERROR(__xludf.DUMMYFUNCTION("VLOOKUP(A211,IMPORTRANGE(""1QZ5UxyNCwadreQAXnQ7oCoH982DjIA-QnZdO7ZoqkC0/edit#gid=884617569"",""S3 Totals!$A$2:$O$255""),3,FALSE)"),0.05405405405405406)</f>
        <v>0.05405405405</v>
      </c>
      <c r="F211" s="15">
        <f t="shared" si="1"/>
        <v>-0.04035542392</v>
      </c>
      <c r="G211" s="16">
        <f>IFERROR(__xludf.DUMMYFUNCTION("VLOOKUP(A211,IMPORTRANGE(""1QZ5UxyNCwadreQAXnQ7oCoH982DjIA-QnZdO7ZoqkC0/edit#gid=884617569"",""S3 Totals!$A$2:$O$255""),4,FALSE)"),1.0)</f>
        <v>1</v>
      </c>
      <c r="H211" s="15">
        <f>IFERROR(__xludf.DUMMYFUNCTION("VLOOKUP(A211,IMPORTRANGE(""1QZ5UxyNCwadreQAXnQ7oCoH982DjIA-QnZdO7ZoqkC0/edit#gid=884617569"",""S3 Totals!$A$2:$O$255""),5,FALSE)"),0.012658227848101266)</f>
        <v>0.01265822785</v>
      </c>
      <c r="I211" s="143">
        <f t="shared" si="2"/>
        <v>0.001040402289</v>
      </c>
      <c r="J211" s="16">
        <f>IFERROR(__xludf.DUMMYFUNCTION("VLOOKUP(A211,IMPORTRANGE(""1QZ5UxyNCwadreQAXnQ7oCoH982DjIA-QnZdO7ZoqkC0/edit#gid=884617569"",""S3 Totals!$A$2:$O$255""),7,FALSE)"),0.0)</f>
        <v>0</v>
      </c>
      <c r="K211" s="15">
        <f>IFERROR(__xludf.DUMMYFUNCTION("VLOOKUP(A211,IMPORTRANGE(""1QZ5UxyNCwadreQAXnQ7oCoH982DjIA-QnZdO7ZoqkC0/edit#gid=884617569"",""S3 Totals!$A$2:$O$255""),8,FALSE)"),0.0)</f>
        <v>0</v>
      </c>
      <c r="L211" s="110">
        <f t="shared" si="5"/>
        <v>0.05405405405</v>
      </c>
      <c r="M211" s="16">
        <f>IFERROR(__xludf.DUMMYFUNCTION("VLOOKUP(A211,IMPORTRANGE(""1QZ5UxyNCwadreQAXnQ7oCoH982DjIA-QnZdO7ZoqkC0/edit#gid=884617569"",""S3 Totals!$A$2:$O$255""),10,FALSE)"),0.0)</f>
        <v>0</v>
      </c>
      <c r="N211" s="15">
        <f>IFERROR(__xludf.DUMMYFUNCTION("VLOOKUP(A211,IMPORTRANGE(""1QZ5UxyNCwadreQAXnQ7oCoH982DjIA-QnZdO7ZoqkC0/edit#gid=884617569"",""S3 Totals!$A$2:$O$255""),11,FALSE)"),0.0)</f>
        <v>0</v>
      </c>
      <c r="O211" s="110">
        <f t="shared" si="3"/>
        <v>0.01369863014</v>
      </c>
      <c r="P211" s="16" t="str">
        <f>IFERROR(__xludf.DUMMYFUNCTION("VLOOKUP(A211,IMPORTRANGE(""1QZ5UxyNCwadreQAXnQ7oCoH982DjIA-QnZdO7ZoqkC0/edit#gid=884617569"",""S3 Totals!$A$2:$O$255""),13,FALSE)"),"")</f>
        <v/>
      </c>
      <c r="Q211" s="15" t="str">
        <f>IFERROR(__xludf.DUMMYFUNCTION("VLOOKUP(A211,IMPORTRANGE(""1QZ5UxyNCwadreQAXnQ7oCoH982DjIA-QnZdO7ZoqkC0/edit#gid=884617569"",""S3 Totals!$A$2:$O$255""),14,FALSE)"),"")</f>
        <v/>
      </c>
      <c r="R211" s="110">
        <f t="shared" si="4"/>
        <v>0.01369863014</v>
      </c>
      <c r="S211" s="144"/>
    </row>
    <row r="212">
      <c r="A212" s="128" t="s">
        <v>81</v>
      </c>
      <c r="B212" s="16">
        <f>IFERROR(__xludf.DUMMYFUNCTION("VLOOKUP(A212,IMPORTRANGE(""1aFCnJY1qhIj8-JckJhDJ18aqmVo17tofpQmOjcYa3u8/edit#gid=1878241338"",""S3 Totals!$A$2:$O$255""),2,FALSE)"),20.0)</f>
        <v>20</v>
      </c>
      <c r="C212" s="15">
        <f>IFERROR(__xludf.DUMMYFUNCTION("VLOOKUP(A212,IMPORTRANGE(""1aFCnJY1qhIj8-JckJhDJ18aqmVo17tofpQmOjcYa3u8/edit#gid=1878241338"",""S3 Totals!$A$2:$O$255""),3,FALSE)"),0.273972602739726)</f>
        <v>0.2739726027</v>
      </c>
      <c r="D212" s="16">
        <f>IFERROR(__xludf.DUMMYFUNCTION("VLOOKUP(A212,IMPORTRANGE(""1QZ5UxyNCwadreQAXnQ7oCoH982DjIA-QnZdO7ZoqkC0/edit#gid=884617569"",""S3 Totals!$A$2:$O$255""),2,FALSE)"),24.0)</f>
        <v>24</v>
      </c>
      <c r="E212" s="15">
        <f>IFERROR(__xludf.DUMMYFUNCTION("VLOOKUP(A212,IMPORTRANGE(""1QZ5UxyNCwadreQAXnQ7oCoH982DjIA-QnZdO7ZoqkC0/edit#gid=884617569"",""S3 Totals!$A$2:$O$255""),3,FALSE)"),0.32432432432432434)</f>
        <v>0.3243243243</v>
      </c>
      <c r="F212" s="15">
        <f t="shared" si="1"/>
        <v>-0.05035172158</v>
      </c>
      <c r="G212" s="16">
        <f>IFERROR(__xludf.DUMMYFUNCTION("VLOOKUP(A212,IMPORTRANGE(""1QZ5UxyNCwadreQAXnQ7oCoH982DjIA-QnZdO7ZoqkC0/edit#gid=884617569"",""S3 Totals!$A$2:$O$255""),4,FALSE)"),23.0)</f>
        <v>23</v>
      </c>
      <c r="H212" s="15">
        <f>IFERROR(__xludf.DUMMYFUNCTION("VLOOKUP(A212,IMPORTRANGE(""1QZ5UxyNCwadreQAXnQ7oCoH982DjIA-QnZdO7ZoqkC0/edit#gid=884617569"",""S3 Totals!$A$2:$O$255""),5,FALSE)"),0.2911392405063291)</f>
        <v>0.2911392405</v>
      </c>
      <c r="I212" s="143">
        <f t="shared" si="2"/>
        <v>-0.01716663777</v>
      </c>
      <c r="J212" s="16">
        <f>IFERROR(__xludf.DUMMYFUNCTION("VLOOKUP(A212,IMPORTRANGE(""1QZ5UxyNCwadreQAXnQ7oCoH982DjIA-QnZdO7ZoqkC0/edit#gid=884617569"",""S3 Totals!$A$2:$O$255""),7,FALSE)"),12.0)</f>
        <v>12</v>
      </c>
      <c r="K212" s="15">
        <f>IFERROR(__xludf.DUMMYFUNCTION("VLOOKUP(A212,IMPORTRANGE(""1QZ5UxyNCwadreQAXnQ7oCoH982DjIA-QnZdO7ZoqkC0/edit#gid=884617569"",""S3 Totals!$A$2:$O$255""),8,FALSE)"),0.1411764705882353)</f>
        <v>0.1411764706</v>
      </c>
      <c r="L212" s="110">
        <f t="shared" si="5"/>
        <v>0.1831478537</v>
      </c>
      <c r="M212" s="16">
        <f>IFERROR(__xludf.DUMMYFUNCTION("VLOOKUP(A212,IMPORTRANGE(""1QZ5UxyNCwadreQAXnQ7oCoH982DjIA-QnZdO7ZoqkC0/edit#gid=884617569"",""S3 Totals!$A$2:$O$255""),10,FALSE)"),16.0)</f>
        <v>16</v>
      </c>
      <c r="N212" s="15">
        <f>IFERROR(__xludf.DUMMYFUNCTION("VLOOKUP(A212,IMPORTRANGE(""1QZ5UxyNCwadreQAXnQ7oCoH982DjIA-QnZdO7ZoqkC0/edit#gid=884617569"",""S3 Totals!$A$2:$O$255""),11,FALSE)"),0.18823529411764706)</f>
        <v>0.1882352941</v>
      </c>
      <c r="O212" s="110">
        <f t="shared" si="3"/>
        <v>0.08573730862</v>
      </c>
      <c r="P212" s="16">
        <f>IFERROR(__xludf.DUMMYFUNCTION("VLOOKUP(A212,IMPORTRANGE(""1QZ5UxyNCwadreQAXnQ7oCoH982DjIA-QnZdO7ZoqkC0/edit#gid=884617569"",""S3 Totals!$A$2:$O$255""),13,FALSE)"),16.0)</f>
        <v>16</v>
      </c>
      <c r="Q212" s="15">
        <f>IFERROR(__xludf.DUMMYFUNCTION("VLOOKUP(A212,IMPORTRANGE(""1QZ5UxyNCwadreQAXnQ7oCoH982DjIA-QnZdO7ZoqkC0/edit#gid=884617569"",""S3 Totals!$A$2:$O$255""),14,FALSE)"),0.18823529411764706)</f>
        <v>0.1882352941</v>
      </c>
      <c r="R212" s="110">
        <f t="shared" si="4"/>
        <v>0.08573730862</v>
      </c>
      <c r="S212" s="144"/>
    </row>
    <row r="213">
      <c r="A213" s="128" t="s">
        <v>253</v>
      </c>
      <c r="B213" s="16">
        <f>IFERROR(__xludf.DUMMYFUNCTION("VLOOKUP(A213,IMPORTRANGE(""1aFCnJY1qhIj8-JckJhDJ18aqmVo17tofpQmOjcYa3u8/edit#gid=1878241338"",""S3 Totals!$A$2:$O$255""),2,FALSE)"),67.0)</f>
        <v>67</v>
      </c>
      <c r="C213" s="15">
        <f>IFERROR(__xludf.DUMMYFUNCTION("VLOOKUP(A213,IMPORTRANGE(""1aFCnJY1qhIj8-JckJhDJ18aqmVo17tofpQmOjcYa3u8/edit#gid=1878241338"",""S3 Totals!$A$2:$O$255""),3,FALSE)"),0.9178082191780822)</f>
        <v>0.9178082192</v>
      </c>
      <c r="D213" s="16">
        <f>IFERROR(__xludf.DUMMYFUNCTION("VLOOKUP(A213,IMPORTRANGE(""1QZ5UxyNCwadreQAXnQ7oCoH982DjIA-QnZdO7ZoqkC0/edit#gid=884617569"",""S3 Totals!$A$2:$O$255""),2,FALSE)"),41.0)</f>
        <v>41</v>
      </c>
      <c r="E213" s="15">
        <f>IFERROR(__xludf.DUMMYFUNCTION("VLOOKUP(A213,IMPORTRANGE(""1QZ5UxyNCwadreQAXnQ7oCoH982DjIA-QnZdO7ZoqkC0/edit#gid=884617569"",""S3 Totals!$A$2:$O$255""),3,FALSE)"),0.5540540540540541)</f>
        <v>0.5540540541</v>
      </c>
      <c r="F213" s="15">
        <f t="shared" si="1"/>
        <v>0.3637541651</v>
      </c>
      <c r="G213" s="16">
        <f>IFERROR(__xludf.DUMMYFUNCTION("VLOOKUP(A213,IMPORTRANGE(""1QZ5UxyNCwadreQAXnQ7oCoH982DjIA-QnZdO7ZoqkC0/edit#gid=884617569"",""S3 Totals!$A$2:$O$255""),4,FALSE)"),12.0)</f>
        <v>12</v>
      </c>
      <c r="H213" s="15">
        <f>IFERROR(__xludf.DUMMYFUNCTION("VLOOKUP(A213,IMPORTRANGE(""1QZ5UxyNCwadreQAXnQ7oCoH982DjIA-QnZdO7ZoqkC0/edit#gid=884617569"",""S3 Totals!$A$2:$O$255""),5,FALSE)"),0.1518987341772152)</f>
        <v>0.1518987342</v>
      </c>
      <c r="I213" s="143">
        <f t="shared" si="2"/>
        <v>0.765909485</v>
      </c>
      <c r="J213" s="16" t="str">
        <f>IFERROR(__xludf.DUMMYFUNCTION("VLOOKUP(A213,IMPORTRANGE(""1QZ5UxyNCwadreQAXnQ7oCoH982DjIA-QnZdO7ZoqkC0/edit#gid=884617569"",""S3 Totals!$A$2:$O$255""),7,FALSE)"),"")</f>
        <v/>
      </c>
      <c r="K213" s="15" t="str">
        <f>IFERROR(__xludf.DUMMYFUNCTION("VLOOKUP(A213,IMPORTRANGE(""1QZ5UxyNCwadreQAXnQ7oCoH982DjIA-QnZdO7ZoqkC0/edit#gid=884617569"",""S3 Totals!$A$2:$O$255""),8,FALSE)"),"")</f>
        <v/>
      </c>
      <c r="L213" s="110">
        <f t="shared" si="5"/>
        <v>0.5540540541</v>
      </c>
      <c r="M213" s="16" t="str">
        <f>IFERROR(__xludf.DUMMYFUNCTION("VLOOKUP(A213,IMPORTRANGE(""1QZ5UxyNCwadreQAXnQ7oCoH982DjIA-QnZdO7ZoqkC0/edit#gid=884617569"",""S3 Totals!$A$2:$O$255""),10,FALSE)"),"")</f>
        <v/>
      </c>
      <c r="N213" s="15" t="str">
        <f>IFERROR(__xludf.DUMMYFUNCTION("VLOOKUP(A213,IMPORTRANGE(""1QZ5UxyNCwadreQAXnQ7oCoH982DjIA-QnZdO7ZoqkC0/edit#gid=884617569"",""S3 Totals!$A$2:$O$255""),11,FALSE)"),"")</f>
        <v/>
      </c>
      <c r="O213" s="110">
        <f t="shared" si="3"/>
        <v>0.9178082192</v>
      </c>
      <c r="P213" s="16" t="str">
        <f>IFERROR(__xludf.DUMMYFUNCTION("VLOOKUP(A213,IMPORTRANGE(""1QZ5UxyNCwadreQAXnQ7oCoH982DjIA-QnZdO7ZoqkC0/edit#gid=884617569"",""S3 Totals!$A$2:$O$255""),13,FALSE)"),"")</f>
        <v/>
      </c>
      <c r="Q213" s="15" t="str">
        <f>IFERROR(__xludf.DUMMYFUNCTION("VLOOKUP(A213,IMPORTRANGE(""1QZ5UxyNCwadreQAXnQ7oCoH982DjIA-QnZdO7ZoqkC0/edit#gid=884617569"",""S3 Totals!$A$2:$O$255""),14,FALSE)"),"")</f>
        <v/>
      </c>
      <c r="R213" s="110">
        <f t="shared" si="4"/>
        <v>0.9178082192</v>
      </c>
      <c r="S213" s="144"/>
    </row>
    <row r="214">
      <c r="A214" s="128" t="s">
        <v>151</v>
      </c>
      <c r="B214" s="16">
        <f>IFERROR(__xludf.DUMMYFUNCTION("VLOOKUP(A214,IMPORTRANGE(""1aFCnJY1qhIj8-JckJhDJ18aqmVo17tofpQmOjcYa3u8/edit#gid=1878241338"",""S3 Totals!$A$2:$O$255""),2,FALSE)"),33.0)</f>
        <v>33</v>
      </c>
      <c r="C214" s="15">
        <f>IFERROR(__xludf.DUMMYFUNCTION("VLOOKUP(A214,IMPORTRANGE(""1aFCnJY1qhIj8-JckJhDJ18aqmVo17tofpQmOjcYa3u8/edit#gid=1878241338"",""S3 Totals!$A$2:$O$255""),3,FALSE)"),0.4520547945205479)</f>
        <v>0.4520547945</v>
      </c>
      <c r="D214" s="16">
        <f>IFERROR(__xludf.DUMMYFUNCTION("VLOOKUP(A214,IMPORTRANGE(""1QZ5UxyNCwadreQAXnQ7oCoH982DjIA-QnZdO7ZoqkC0/edit#gid=884617569"",""S3 Totals!$A$2:$O$255""),2,FALSE)"),38.0)</f>
        <v>38</v>
      </c>
      <c r="E214" s="15">
        <f>IFERROR(__xludf.DUMMYFUNCTION("VLOOKUP(A214,IMPORTRANGE(""1QZ5UxyNCwadreQAXnQ7oCoH982DjIA-QnZdO7ZoqkC0/edit#gid=884617569"",""S3 Totals!$A$2:$O$255""),3,FALSE)"),0.5135135135135135)</f>
        <v>0.5135135135</v>
      </c>
      <c r="F214" s="15">
        <f t="shared" si="1"/>
        <v>-0.06145871899</v>
      </c>
      <c r="G214" s="16">
        <f>IFERROR(__xludf.DUMMYFUNCTION("VLOOKUP(A214,IMPORTRANGE(""1QZ5UxyNCwadreQAXnQ7oCoH982DjIA-QnZdO7ZoqkC0/edit#gid=884617569"",""S3 Totals!$A$2:$O$255""),4,FALSE)"),33.0)</f>
        <v>33</v>
      </c>
      <c r="H214" s="15">
        <f>IFERROR(__xludf.DUMMYFUNCTION("VLOOKUP(A214,IMPORTRANGE(""1QZ5UxyNCwadreQAXnQ7oCoH982DjIA-QnZdO7ZoqkC0/edit#gid=884617569"",""S3 Totals!$A$2:$O$255""),5,FALSE)"),0.4177215189873418)</f>
        <v>0.417721519</v>
      </c>
      <c r="I214" s="143">
        <f t="shared" si="2"/>
        <v>0.03433327553</v>
      </c>
      <c r="J214" s="16">
        <f>IFERROR(__xludf.DUMMYFUNCTION("VLOOKUP(A214,IMPORTRANGE(""1QZ5UxyNCwadreQAXnQ7oCoH982DjIA-QnZdO7ZoqkC0/edit#gid=884617569"",""S3 Totals!$A$2:$O$255""),7,FALSE)"),35.0)</f>
        <v>35</v>
      </c>
      <c r="K214" s="15">
        <f>IFERROR(__xludf.DUMMYFUNCTION("VLOOKUP(A214,IMPORTRANGE(""1QZ5UxyNCwadreQAXnQ7oCoH982DjIA-QnZdO7ZoqkC0/edit#gid=884617569"",""S3 Totals!$A$2:$O$255""),8,FALSE)"),0.4117647058823529)</f>
        <v>0.4117647059</v>
      </c>
      <c r="L214" s="110">
        <f t="shared" si="5"/>
        <v>0.1017488076</v>
      </c>
      <c r="M214" s="16">
        <f>IFERROR(__xludf.DUMMYFUNCTION("VLOOKUP(A214,IMPORTRANGE(""1QZ5UxyNCwadreQAXnQ7oCoH982DjIA-QnZdO7ZoqkC0/edit#gid=884617569"",""S3 Totals!$A$2:$O$255""),10,FALSE)"),20.0)</f>
        <v>20</v>
      </c>
      <c r="N214" s="15">
        <f>IFERROR(__xludf.DUMMYFUNCTION("VLOOKUP(A214,IMPORTRANGE(""1QZ5UxyNCwadreQAXnQ7oCoH982DjIA-QnZdO7ZoqkC0/edit#gid=884617569"",""S3 Totals!$A$2:$O$255""),11,FALSE)"),0.23529411764705882)</f>
        <v>0.2352941176</v>
      </c>
      <c r="O214" s="110">
        <f t="shared" si="3"/>
        <v>0.2167606769</v>
      </c>
      <c r="P214" s="16" t="str">
        <f>IFERROR(__xludf.DUMMYFUNCTION("VLOOKUP(A214,IMPORTRANGE(""1QZ5UxyNCwadreQAXnQ7oCoH982DjIA-QnZdO7ZoqkC0/edit#gid=884617569"",""S3 Totals!$A$2:$O$255""),13,FALSE)"),"")</f>
        <v/>
      </c>
      <c r="Q214" s="15" t="str">
        <f>IFERROR(__xludf.DUMMYFUNCTION("VLOOKUP(A214,IMPORTRANGE(""1QZ5UxyNCwadreQAXnQ7oCoH982DjIA-QnZdO7ZoqkC0/edit#gid=884617569"",""S3 Totals!$A$2:$O$255""),14,FALSE)"),"")</f>
        <v/>
      </c>
      <c r="R214" s="110">
        <f t="shared" si="4"/>
        <v>0.4520547945</v>
      </c>
      <c r="S214" s="144"/>
    </row>
    <row r="215">
      <c r="A215" s="128" t="s">
        <v>198</v>
      </c>
      <c r="B215" s="16">
        <f>IFERROR(__xludf.DUMMYFUNCTION("VLOOKUP(A215,IMPORTRANGE(""1aFCnJY1qhIj8-JckJhDJ18aqmVo17tofpQmOjcYa3u8/edit#gid=1878241338"",""S3 Totals!$A$2:$O$255""),2,FALSE)"),21.0)</f>
        <v>21</v>
      </c>
      <c r="C215" s="15">
        <f>IFERROR(__xludf.DUMMYFUNCTION("VLOOKUP(A215,IMPORTRANGE(""1aFCnJY1qhIj8-JckJhDJ18aqmVo17tofpQmOjcYa3u8/edit#gid=1878241338"",""S3 Totals!$A$2:$O$255""),3,FALSE)"),0.2876712328767123)</f>
        <v>0.2876712329</v>
      </c>
      <c r="D215" s="16">
        <f>IFERROR(__xludf.DUMMYFUNCTION("VLOOKUP(A215,IMPORTRANGE(""1QZ5UxyNCwadreQAXnQ7oCoH982DjIA-QnZdO7ZoqkC0/edit#gid=884617569"",""S3 Totals!$A$2:$O$255""),2,FALSE)"),19.0)</f>
        <v>19</v>
      </c>
      <c r="E215" s="15">
        <f>IFERROR(__xludf.DUMMYFUNCTION("VLOOKUP(A215,IMPORTRANGE(""1QZ5UxyNCwadreQAXnQ7oCoH982DjIA-QnZdO7ZoqkC0/edit#gid=884617569"",""S3 Totals!$A$2:$O$255""),3,FALSE)"),0.25675675675675674)</f>
        <v>0.2567567568</v>
      </c>
      <c r="F215" s="15">
        <f t="shared" si="1"/>
        <v>0.03091447612</v>
      </c>
      <c r="G215" s="16">
        <f>IFERROR(__xludf.DUMMYFUNCTION("VLOOKUP(A215,IMPORTRANGE(""1QZ5UxyNCwadreQAXnQ7oCoH982DjIA-QnZdO7ZoqkC0/edit#gid=884617569"",""S3 Totals!$A$2:$O$255""),4,FALSE)"),22.0)</f>
        <v>22</v>
      </c>
      <c r="H215" s="15">
        <f>IFERROR(__xludf.DUMMYFUNCTION("VLOOKUP(A215,IMPORTRANGE(""1QZ5UxyNCwadreQAXnQ7oCoH982DjIA-QnZdO7ZoqkC0/edit#gid=884617569"",""S3 Totals!$A$2:$O$255""),5,FALSE)"),0.27848101265822783)</f>
        <v>0.2784810127</v>
      </c>
      <c r="I215" s="143">
        <f t="shared" si="2"/>
        <v>0.009190220218</v>
      </c>
      <c r="J215" s="16">
        <f>IFERROR(__xludf.DUMMYFUNCTION("VLOOKUP(A215,IMPORTRANGE(""1QZ5UxyNCwadreQAXnQ7oCoH982DjIA-QnZdO7ZoqkC0/edit#gid=884617569"",""S3 Totals!$A$2:$O$255""),7,FALSE)"),0.0)</f>
        <v>0</v>
      </c>
      <c r="K215" s="15">
        <f>IFERROR(__xludf.DUMMYFUNCTION("VLOOKUP(A215,IMPORTRANGE(""1QZ5UxyNCwadreQAXnQ7oCoH982DjIA-QnZdO7ZoqkC0/edit#gid=884617569"",""S3 Totals!$A$2:$O$255""),8,FALSE)"),0.0)</f>
        <v>0</v>
      </c>
      <c r="L215" s="110">
        <f t="shared" si="5"/>
        <v>0.2567567568</v>
      </c>
      <c r="M215" s="16" t="str">
        <f>IFERROR(__xludf.DUMMYFUNCTION("VLOOKUP(A215,IMPORTRANGE(""1QZ5UxyNCwadreQAXnQ7oCoH982DjIA-QnZdO7ZoqkC0/edit#gid=884617569"",""S3 Totals!$A$2:$O$255""),10,FALSE)"),"")</f>
        <v/>
      </c>
      <c r="N215" s="15" t="str">
        <f>IFERROR(__xludf.DUMMYFUNCTION("VLOOKUP(A215,IMPORTRANGE(""1QZ5UxyNCwadreQAXnQ7oCoH982DjIA-QnZdO7ZoqkC0/edit#gid=884617569"",""S3 Totals!$A$2:$O$255""),11,FALSE)"),"")</f>
        <v/>
      </c>
      <c r="O215" s="110">
        <f t="shared" si="3"/>
        <v>0.2876712329</v>
      </c>
      <c r="P215" s="16" t="str">
        <f>IFERROR(__xludf.DUMMYFUNCTION("VLOOKUP(A215,IMPORTRANGE(""1QZ5UxyNCwadreQAXnQ7oCoH982DjIA-QnZdO7ZoqkC0/edit#gid=884617569"",""S3 Totals!$A$2:$O$255""),13,FALSE)"),"")</f>
        <v/>
      </c>
      <c r="Q215" s="15" t="str">
        <f>IFERROR(__xludf.DUMMYFUNCTION("VLOOKUP(A215,IMPORTRANGE(""1QZ5UxyNCwadreQAXnQ7oCoH982DjIA-QnZdO7ZoqkC0/edit#gid=884617569"",""S3 Totals!$A$2:$O$255""),14,FALSE)"),"")</f>
        <v/>
      </c>
      <c r="R215" s="110">
        <f t="shared" si="4"/>
        <v>0.2876712329</v>
      </c>
      <c r="S215" s="144"/>
    </row>
    <row r="216">
      <c r="A216" s="128" t="s">
        <v>95</v>
      </c>
      <c r="B216" s="16">
        <f>IFERROR(__xludf.DUMMYFUNCTION("VLOOKUP(A216,IMPORTRANGE(""1aFCnJY1qhIj8-JckJhDJ18aqmVo17tofpQmOjcYa3u8/edit#gid=1878241338"",""S3 Totals!$A$2:$O$255""),2,FALSE)"),43.0)</f>
        <v>43</v>
      </c>
      <c r="C216" s="15">
        <f>IFERROR(__xludf.DUMMYFUNCTION("VLOOKUP(A216,IMPORTRANGE(""1aFCnJY1qhIj8-JckJhDJ18aqmVo17tofpQmOjcYa3u8/edit#gid=1878241338"",""S3 Totals!$A$2:$O$255""),3,FALSE)"),0.589041095890411)</f>
        <v>0.5890410959</v>
      </c>
      <c r="D216" s="16">
        <f>IFERROR(__xludf.DUMMYFUNCTION("VLOOKUP(A216,IMPORTRANGE(""1QZ5UxyNCwadreQAXnQ7oCoH982DjIA-QnZdO7ZoqkC0/edit#gid=884617569"",""S3 Totals!$A$2:$O$255""),2,FALSE)"),24.0)</f>
        <v>24</v>
      </c>
      <c r="E216" s="15">
        <f>IFERROR(__xludf.DUMMYFUNCTION("VLOOKUP(A216,IMPORTRANGE(""1QZ5UxyNCwadreQAXnQ7oCoH982DjIA-QnZdO7ZoqkC0/edit#gid=884617569"",""S3 Totals!$A$2:$O$255""),3,FALSE)"),0.32432432432432434)</f>
        <v>0.3243243243</v>
      </c>
      <c r="F216" s="15">
        <f t="shared" si="1"/>
        <v>0.2647167716</v>
      </c>
      <c r="G216" s="16">
        <f>IFERROR(__xludf.DUMMYFUNCTION("VLOOKUP(A216,IMPORTRANGE(""1QZ5UxyNCwadreQAXnQ7oCoH982DjIA-QnZdO7ZoqkC0/edit#gid=884617569"",""S3 Totals!$A$2:$O$255""),4,FALSE)"),33.0)</f>
        <v>33</v>
      </c>
      <c r="H216" s="15">
        <f>IFERROR(__xludf.DUMMYFUNCTION("VLOOKUP(A216,IMPORTRANGE(""1QZ5UxyNCwadreQAXnQ7oCoH982DjIA-QnZdO7ZoqkC0/edit#gid=884617569"",""S3 Totals!$A$2:$O$255""),5,FALSE)"),0.4177215189873418)</f>
        <v>0.417721519</v>
      </c>
      <c r="I216" s="143">
        <f t="shared" si="2"/>
        <v>0.1713195769</v>
      </c>
      <c r="J216" s="16">
        <f>IFERROR(__xludf.DUMMYFUNCTION("VLOOKUP(A216,IMPORTRANGE(""1QZ5UxyNCwadreQAXnQ7oCoH982DjIA-QnZdO7ZoqkC0/edit#gid=884617569"",""S3 Totals!$A$2:$O$255""),7,FALSE)"),19.0)</f>
        <v>19</v>
      </c>
      <c r="K216" s="15">
        <f>IFERROR(__xludf.DUMMYFUNCTION("VLOOKUP(A216,IMPORTRANGE(""1QZ5UxyNCwadreQAXnQ7oCoH982DjIA-QnZdO7ZoqkC0/edit#gid=884617569"",""S3 Totals!$A$2:$O$255""),8,FALSE)"),0.2235294117647059)</f>
        <v>0.2235294118</v>
      </c>
      <c r="L216" s="110">
        <f t="shared" si="5"/>
        <v>0.1007949126</v>
      </c>
      <c r="M216" s="16">
        <f>IFERROR(__xludf.DUMMYFUNCTION("VLOOKUP(A216,IMPORTRANGE(""1QZ5UxyNCwadreQAXnQ7oCoH982DjIA-QnZdO7ZoqkC0/edit#gid=884617569"",""S3 Totals!$A$2:$O$255""),10,FALSE)"),10.0)</f>
        <v>10</v>
      </c>
      <c r="N216" s="15">
        <f>IFERROR(__xludf.DUMMYFUNCTION("VLOOKUP(A216,IMPORTRANGE(""1QZ5UxyNCwadreQAXnQ7oCoH982DjIA-QnZdO7ZoqkC0/edit#gid=884617569"",""S3 Totals!$A$2:$O$255""),11,FALSE)"),0.11764705882352941)</f>
        <v>0.1176470588</v>
      </c>
      <c r="O216" s="110">
        <f t="shared" si="3"/>
        <v>0.4713940371</v>
      </c>
      <c r="P216" s="16">
        <f>IFERROR(__xludf.DUMMYFUNCTION("VLOOKUP(A216,IMPORTRANGE(""1QZ5UxyNCwadreQAXnQ7oCoH982DjIA-QnZdO7ZoqkC0/edit#gid=884617569"",""S3 Totals!$A$2:$O$255""),13,FALSE)"),9.0)</f>
        <v>9</v>
      </c>
      <c r="Q216" s="15">
        <f>IFERROR(__xludf.DUMMYFUNCTION("VLOOKUP(A216,IMPORTRANGE(""1QZ5UxyNCwadreQAXnQ7oCoH982DjIA-QnZdO7ZoqkC0/edit#gid=884617569"",""S3 Totals!$A$2:$O$255""),14,FALSE)"),0.10588235294117647)</f>
        <v>0.1058823529</v>
      </c>
      <c r="R216" s="110">
        <f t="shared" si="4"/>
        <v>0.4831587429</v>
      </c>
      <c r="S216" s="144"/>
    </row>
    <row r="217">
      <c r="A217" s="128" t="s">
        <v>199</v>
      </c>
      <c r="B217" s="16">
        <f>IFERROR(__xludf.DUMMYFUNCTION("VLOOKUP(A217,IMPORTRANGE(""1aFCnJY1qhIj8-JckJhDJ18aqmVo17tofpQmOjcYa3u8/edit#gid=1878241338"",""S3 Totals!$A$2:$O$255""),2,FALSE)"),71.0)</f>
        <v>71</v>
      </c>
      <c r="C217" s="15">
        <f>IFERROR(__xludf.DUMMYFUNCTION("VLOOKUP(A217,IMPORTRANGE(""1aFCnJY1qhIj8-JckJhDJ18aqmVo17tofpQmOjcYa3u8/edit#gid=1878241338"",""S3 Totals!$A$2:$O$255""),3,FALSE)"),0.9726027397260274)</f>
        <v>0.9726027397</v>
      </c>
      <c r="D217" s="16">
        <f>IFERROR(__xludf.DUMMYFUNCTION("VLOOKUP(A217,IMPORTRANGE(""1QZ5UxyNCwadreQAXnQ7oCoH982DjIA-QnZdO7ZoqkC0/edit#gid=884617569"",""S3 Totals!$A$2:$O$255""),2,FALSE)"),0.0)</f>
        <v>0</v>
      </c>
      <c r="E217" s="15">
        <f>IFERROR(__xludf.DUMMYFUNCTION("VLOOKUP(A217,IMPORTRANGE(""1QZ5UxyNCwadreQAXnQ7oCoH982DjIA-QnZdO7ZoqkC0/edit#gid=884617569"",""S3 Totals!$A$2:$O$255""),3,FALSE)"),0.0)</f>
        <v>0</v>
      </c>
      <c r="F217" s="15">
        <f t="shared" si="1"/>
        <v>0.9726027397</v>
      </c>
      <c r="G217" s="16">
        <f>IFERROR(__xludf.DUMMYFUNCTION("VLOOKUP(A217,IMPORTRANGE(""1QZ5UxyNCwadreQAXnQ7oCoH982DjIA-QnZdO7ZoqkC0/edit#gid=884617569"",""S3 Totals!$A$2:$O$255""),4,FALSE)"),0.0)</f>
        <v>0</v>
      </c>
      <c r="H217" s="15">
        <f>IFERROR(__xludf.DUMMYFUNCTION("VLOOKUP(A217,IMPORTRANGE(""1QZ5UxyNCwadreQAXnQ7oCoH982DjIA-QnZdO7ZoqkC0/edit#gid=884617569"",""S3 Totals!$A$2:$O$255""),5,FALSE)"),0.0)</f>
        <v>0</v>
      </c>
      <c r="I217" s="143">
        <f t="shared" si="2"/>
        <v>0.9726027397</v>
      </c>
      <c r="J217" s="16">
        <f>IFERROR(__xludf.DUMMYFUNCTION("VLOOKUP(A217,IMPORTRANGE(""1QZ5UxyNCwadreQAXnQ7oCoH982DjIA-QnZdO7ZoqkC0/edit#gid=884617569"",""S3 Totals!$A$2:$O$255""),7,FALSE)"),0.0)</f>
        <v>0</v>
      </c>
      <c r="K217" s="15">
        <f>IFERROR(__xludf.DUMMYFUNCTION("VLOOKUP(A217,IMPORTRANGE(""1QZ5UxyNCwadreQAXnQ7oCoH982DjIA-QnZdO7ZoqkC0/edit#gid=884617569"",""S3 Totals!$A$2:$O$255""),8,FALSE)"),0.0)</f>
        <v>0</v>
      </c>
      <c r="L217" s="110">
        <f t="shared" si="5"/>
        <v>0</v>
      </c>
      <c r="M217" s="16" t="str">
        <f>IFERROR(__xludf.DUMMYFUNCTION("VLOOKUP(A217,IMPORTRANGE(""1QZ5UxyNCwadreQAXnQ7oCoH982DjIA-QnZdO7ZoqkC0/edit#gid=884617569"",""S3 Totals!$A$2:$O$255""),10,FALSE)"),"")</f>
        <v/>
      </c>
      <c r="N217" s="15" t="str">
        <f>IFERROR(__xludf.DUMMYFUNCTION("VLOOKUP(A217,IMPORTRANGE(""1QZ5UxyNCwadreQAXnQ7oCoH982DjIA-QnZdO7ZoqkC0/edit#gid=884617569"",""S3 Totals!$A$2:$O$255""),11,FALSE)"),"")</f>
        <v/>
      </c>
      <c r="O217" s="110">
        <f t="shared" si="3"/>
        <v>0.9726027397</v>
      </c>
      <c r="P217" s="16" t="str">
        <f>IFERROR(__xludf.DUMMYFUNCTION("VLOOKUP(A217,IMPORTRANGE(""1QZ5UxyNCwadreQAXnQ7oCoH982DjIA-QnZdO7ZoqkC0/edit#gid=884617569"",""S3 Totals!$A$2:$O$255""),13,FALSE)"),"")</f>
        <v/>
      </c>
      <c r="Q217" s="15" t="str">
        <f>IFERROR(__xludf.DUMMYFUNCTION("VLOOKUP(A217,IMPORTRANGE(""1QZ5UxyNCwadreQAXnQ7oCoH982DjIA-QnZdO7ZoqkC0/edit#gid=884617569"",""S3 Totals!$A$2:$O$255""),14,FALSE)"),"")</f>
        <v/>
      </c>
      <c r="R217" s="110">
        <f t="shared" si="4"/>
        <v>0.9726027397</v>
      </c>
      <c r="S217" s="144"/>
    </row>
    <row r="218">
      <c r="A218" s="128" t="s">
        <v>254</v>
      </c>
      <c r="B218" s="16">
        <f>IFERROR(__xludf.DUMMYFUNCTION("VLOOKUP(A218,IMPORTRANGE(""1aFCnJY1qhIj8-JckJhDJ18aqmVo17tofpQmOjcYa3u8/edit#gid=1878241338"",""S3 Totals!$A$2:$O$255""),2,FALSE)"),0.0)</f>
        <v>0</v>
      </c>
      <c r="C218" s="15">
        <f>IFERROR(__xludf.DUMMYFUNCTION("VLOOKUP(A218,IMPORTRANGE(""1aFCnJY1qhIj8-JckJhDJ18aqmVo17tofpQmOjcYa3u8/edit#gid=1878241338"",""S3 Totals!$A$2:$O$255""),3,FALSE)"),0.0)</f>
        <v>0</v>
      </c>
      <c r="D218" s="16">
        <f>IFERROR(__xludf.DUMMYFUNCTION("VLOOKUP(A218,IMPORTRANGE(""1QZ5UxyNCwadreQAXnQ7oCoH982DjIA-QnZdO7ZoqkC0/edit#gid=884617569"",""S3 Totals!$A$2:$O$255""),2,FALSE)"),0.0)</f>
        <v>0</v>
      </c>
      <c r="E218" s="15">
        <f>IFERROR(__xludf.DUMMYFUNCTION("VLOOKUP(A218,IMPORTRANGE(""1QZ5UxyNCwadreQAXnQ7oCoH982DjIA-QnZdO7ZoqkC0/edit#gid=884617569"",""S3 Totals!$A$2:$O$255""),3,FALSE)"),0.0)</f>
        <v>0</v>
      </c>
      <c r="F218" s="15">
        <f t="shared" si="1"/>
        <v>0</v>
      </c>
      <c r="G218" s="16">
        <f>IFERROR(__xludf.DUMMYFUNCTION("VLOOKUP(A218,IMPORTRANGE(""1QZ5UxyNCwadreQAXnQ7oCoH982DjIA-QnZdO7ZoqkC0/edit#gid=884617569"",""S3 Totals!$A$2:$O$255""),4,FALSE)"),0.0)</f>
        <v>0</v>
      </c>
      <c r="H218" s="15">
        <f>IFERROR(__xludf.DUMMYFUNCTION("VLOOKUP(A218,IMPORTRANGE(""1QZ5UxyNCwadreQAXnQ7oCoH982DjIA-QnZdO7ZoqkC0/edit#gid=884617569"",""S3 Totals!$A$2:$O$255""),5,FALSE)"),0.0)</f>
        <v>0</v>
      </c>
      <c r="I218" s="143">
        <f t="shared" si="2"/>
        <v>0</v>
      </c>
      <c r="J218" s="16" t="str">
        <f>IFERROR(__xludf.DUMMYFUNCTION("VLOOKUP(A218,IMPORTRANGE(""1QZ5UxyNCwadreQAXnQ7oCoH982DjIA-QnZdO7ZoqkC0/edit#gid=884617569"",""S3 Totals!$A$2:$O$255""),7,FALSE)"),"")</f>
        <v/>
      </c>
      <c r="K218" s="15" t="str">
        <f>IFERROR(__xludf.DUMMYFUNCTION("VLOOKUP(A218,IMPORTRANGE(""1QZ5UxyNCwadreQAXnQ7oCoH982DjIA-QnZdO7ZoqkC0/edit#gid=884617569"",""S3 Totals!$A$2:$O$255""),8,FALSE)"),"")</f>
        <v/>
      </c>
      <c r="L218" s="110">
        <f t="shared" si="5"/>
        <v>0</v>
      </c>
      <c r="M218" s="16" t="str">
        <f>IFERROR(__xludf.DUMMYFUNCTION("VLOOKUP(A218,IMPORTRANGE(""1QZ5UxyNCwadreQAXnQ7oCoH982DjIA-QnZdO7ZoqkC0/edit#gid=884617569"",""S3 Totals!$A$2:$O$255""),10,FALSE)"),"")</f>
        <v/>
      </c>
      <c r="N218" s="15" t="str">
        <f>IFERROR(__xludf.DUMMYFUNCTION("VLOOKUP(A218,IMPORTRANGE(""1QZ5UxyNCwadreQAXnQ7oCoH982DjIA-QnZdO7ZoqkC0/edit#gid=884617569"",""S3 Totals!$A$2:$O$255""),11,FALSE)"),"")</f>
        <v/>
      </c>
      <c r="O218" s="110">
        <f t="shared" si="3"/>
        <v>0</v>
      </c>
      <c r="P218" s="16" t="str">
        <f>IFERROR(__xludf.DUMMYFUNCTION("VLOOKUP(A218,IMPORTRANGE(""1QZ5UxyNCwadreQAXnQ7oCoH982DjIA-QnZdO7ZoqkC0/edit#gid=884617569"",""S3 Totals!$A$2:$O$255""),13,FALSE)"),"")</f>
        <v/>
      </c>
      <c r="Q218" s="15" t="str">
        <f>IFERROR(__xludf.DUMMYFUNCTION("VLOOKUP(A218,IMPORTRANGE(""1QZ5UxyNCwadreQAXnQ7oCoH982DjIA-QnZdO7ZoqkC0/edit#gid=884617569"",""S3 Totals!$A$2:$O$255""),14,FALSE)"),"")</f>
        <v/>
      </c>
      <c r="R218" s="110">
        <f t="shared" si="4"/>
        <v>0</v>
      </c>
      <c r="S218" s="144"/>
    </row>
    <row r="219">
      <c r="A219" s="128" t="s">
        <v>96</v>
      </c>
      <c r="B219" s="16">
        <f>IFERROR(__xludf.DUMMYFUNCTION("VLOOKUP(A219,IMPORTRANGE(""1aFCnJY1qhIj8-JckJhDJ18aqmVo17tofpQmOjcYa3u8/edit#gid=1878241338"",""S3 Totals!$A$2:$O$255""),2,FALSE)"),60.0)</f>
        <v>60</v>
      </c>
      <c r="C219" s="15">
        <f>IFERROR(__xludf.DUMMYFUNCTION("VLOOKUP(A219,IMPORTRANGE(""1aFCnJY1qhIj8-JckJhDJ18aqmVo17tofpQmOjcYa3u8/edit#gid=1878241338"",""S3 Totals!$A$2:$O$255""),3,FALSE)"),0.821917808219178)</f>
        <v>0.8219178082</v>
      </c>
      <c r="D219" s="16">
        <f>IFERROR(__xludf.DUMMYFUNCTION("VLOOKUP(A219,IMPORTRANGE(""1QZ5UxyNCwadreQAXnQ7oCoH982DjIA-QnZdO7ZoqkC0/edit#gid=884617569"",""S3 Totals!$A$2:$O$255""),2,FALSE)"),62.0)</f>
        <v>62</v>
      </c>
      <c r="E219" s="15">
        <f>IFERROR(__xludf.DUMMYFUNCTION("VLOOKUP(A219,IMPORTRANGE(""1QZ5UxyNCwadreQAXnQ7oCoH982DjIA-QnZdO7ZoqkC0/edit#gid=884617569"",""S3 Totals!$A$2:$O$255""),3,FALSE)"),0.8378378378378378)</f>
        <v>0.8378378378</v>
      </c>
      <c r="F219" s="15">
        <f t="shared" si="1"/>
        <v>-0.01592002962</v>
      </c>
      <c r="G219" s="16">
        <f>IFERROR(__xludf.DUMMYFUNCTION("VLOOKUP(A219,IMPORTRANGE(""1QZ5UxyNCwadreQAXnQ7oCoH982DjIA-QnZdO7ZoqkC0/edit#gid=884617569"",""S3 Totals!$A$2:$O$255""),4,FALSE)"),64.0)</f>
        <v>64</v>
      </c>
      <c r="H219" s="15">
        <f>IFERROR(__xludf.DUMMYFUNCTION("VLOOKUP(A219,IMPORTRANGE(""1QZ5UxyNCwadreQAXnQ7oCoH982DjIA-QnZdO7ZoqkC0/edit#gid=884617569"",""S3 Totals!$A$2:$O$255""),5,FALSE)"),0.810126582278481)</f>
        <v>0.8101265823</v>
      </c>
      <c r="I219" s="143">
        <f t="shared" si="2"/>
        <v>0.01179122594</v>
      </c>
      <c r="J219" s="16">
        <f>IFERROR(__xludf.DUMMYFUNCTION("VLOOKUP(A219,IMPORTRANGE(""1QZ5UxyNCwadreQAXnQ7oCoH982DjIA-QnZdO7ZoqkC0/edit#gid=884617569"",""S3 Totals!$A$2:$O$255""),7,FALSE)"),55.0)</f>
        <v>55</v>
      </c>
      <c r="K219" s="15">
        <f>IFERROR(__xludf.DUMMYFUNCTION("VLOOKUP(A219,IMPORTRANGE(""1QZ5UxyNCwadreQAXnQ7oCoH982DjIA-QnZdO7ZoqkC0/edit#gid=884617569"",""S3 Totals!$A$2:$O$255""),8,FALSE)"),0.6470588235294118)</f>
        <v>0.6470588235</v>
      </c>
      <c r="L219" s="110">
        <f t="shared" si="5"/>
        <v>0.1907790143</v>
      </c>
      <c r="M219" s="16">
        <f>IFERROR(__xludf.DUMMYFUNCTION("VLOOKUP(A219,IMPORTRANGE(""1QZ5UxyNCwadreQAXnQ7oCoH982DjIA-QnZdO7ZoqkC0/edit#gid=884617569"",""S3 Totals!$A$2:$O$255""),10,FALSE)"),31.0)</f>
        <v>31</v>
      </c>
      <c r="N219" s="15">
        <f>IFERROR(__xludf.DUMMYFUNCTION("VLOOKUP(A219,IMPORTRANGE(""1QZ5UxyNCwadreQAXnQ7oCoH982DjIA-QnZdO7ZoqkC0/edit#gid=884617569"",""S3 Totals!$A$2:$O$255""),11,FALSE)"),0.36470588235294116)</f>
        <v>0.3647058824</v>
      </c>
      <c r="O219" s="110">
        <f t="shared" si="3"/>
        <v>0.4572119259</v>
      </c>
      <c r="P219" s="16">
        <f>IFERROR(__xludf.DUMMYFUNCTION("VLOOKUP(A219,IMPORTRANGE(""1QZ5UxyNCwadreQAXnQ7oCoH982DjIA-QnZdO7ZoqkC0/edit#gid=884617569"",""S3 Totals!$A$2:$O$255""),13,FALSE)"),9.0)</f>
        <v>9</v>
      </c>
      <c r="Q219" s="15">
        <f>IFERROR(__xludf.DUMMYFUNCTION("VLOOKUP(A219,IMPORTRANGE(""1QZ5UxyNCwadreQAXnQ7oCoH982DjIA-QnZdO7ZoqkC0/edit#gid=884617569"",""S3 Totals!$A$2:$O$255""),14,FALSE)"),0.10588235294117647)</f>
        <v>0.1058823529</v>
      </c>
      <c r="R219" s="110">
        <f t="shared" si="4"/>
        <v>0.7160354553</v>
      </c>
      <c r="S219" s="144"/>
    </row>
    <row r="220">
      <c r="A220" s="128" t="s">
        <v>255</v>
      </c>
      <c r="B220" s="16">
        <f>IFERROR(__xludf.DUMMYFUNCTION("VLOOKUP(A220,IMPORTRANGE(""1aFCnJY1qhIj8-JckJhDJ18aqmVo17tofpQmOjcYa3u8/edit#gid=1878241338"",""S3 Totals!$A$2:$O$255""),2,FALSE)"),20.0)</f>
        <v>20</v>
      </c>
      <c r="C220" s="15">
        <f>IFERROR(__xludf.DUMMYFUNCTION("VLOOKUP(A220,IMPORTRANGE(""1aFCnJY1qhIj8-JckJhDJ18aqmVo17tofpQmOjcYa3u8/edit#gid=1878241338"",""S3 Totals!$A$2:$O$255""),3,FALSE)"),0.273972602739726)</f>
        <v>0.2739726027</v>
      </c>
      <c r="D220" s="16">
        <f>IFERROR(__xludf.DUMMYFUNCTION("VLOOKUP(A220,IMPORTRANGE(""1QZ5UxyNCwadreQAXnQ7oCoH982DjIA-QnZdO7ZoqkC0/edit#gid=884617569"",""S3 Totals!$A$2:$O$255""),2,FALSE)"),18.0)</f>
        <v>18</v>
      </c>
      <c r="E220" s="15">
        <f>IFERROR(__xludf.DUMMYFUNCTION("VLOOKUP(A220,IMPORTRANGE(""1QZ5UxyNCwadreQAXnQ7oCoH982DjIA-QnZdO7ZoqkC0/edit#gid=884617569"",""S3 Totals!$A$2:$O$255""),3,FALSE)"),0.24324324324324326)</f>
        <v>0.2432432432</v>
      </c>
      <c r="F220" s="15">
        <f t="shared" si="1"/>
        <v>0.0307293595</v>
      </c>
      <c r="G220" s="16">
        <f>IFERROR(__xludf.DUMMYFUNCTION("VLOOKUP(A220,IMPORTRANGE(""1QZ5UxyNCwadreQAXnQ7oCoH982DjIA-QnZdO7ZoqkC0/edit#gid=884617569"",""S3 Totals!$A$2:$O$255""),4,FALSE)"),28.0)</f>
        <v>28</v>
      </c>
      <c r="H220" s="15">
        <f>IFERROR(__xludf.DUMMYFUNCTION("VLOOKUP(A220,IMPORTRANGE(""1QZ5UxyNCwadreQAXnQ7oCoH982DjIA-QnZdO7ZoqkC0/edit#gid=884617569"",""S3 Totals!$A$2:$O$255""),5,FALSE)"),0.35443037974683544)</f>
        <v>0.3544303797</v>
      </c>
      <c r="I220" s="143">
        <f t="shared" si="2"/>
        <v>-0.08045777701</v>
      </c>
      <c r="J220" s="16" t="str">
        <f>IFERROR(__xludf.DUMMYFUNCTION("VLOOKUP(A220,IMPORTRANGE(""1QZ5UxyNCwadreQAXnQ7oCoH982DjIA-QnZdO7ZoqkC0/edit#gid=884617569"",""S3 Totals!$A$2:$O$255""),7,FALSE)"),"")</f>
        <v/>
      </c>
      <c r="K220" s="15" t="str">
        <f>IFERROR(__xludf.DUMMYFUNCTION("VLOOKUP(A220,IMPORTRANGE(""1QZ5UxyNCwadreQAXnQ7oCoH982DjIA-QnZdO7ZoqkC0/edit#gid=884617569"",""S3 Totals!$A$2:$O$255""),8,FALSE)"),"")</f>
        <v/>
      </c>
      <c r="L220" s="110">
        <f t="shared" si="5"/>
        <v>0.2432432432</v>
      </c>
      <c r="M220" s="16" t="str">
        <f>IFERROR(__xludf.DUMMYFUNCTION("VLOOKUP(A220,IMPORTRANGE(""1QZ5UxyNCwadreQAXnQ7oCoH982DjIA-QnZdO7ZoqkC0/edit#gid=884617569"",""S3 Totals!$A$2:$O$255""),10,FALSE)"),"")</f>
        <v/>
      </c>
      <c r="N220" s="15" t="str">
        <f>IFERROR(__xludf.DUMMYFUNCTION("VLOOKUP(A220,IMPORTRANGE(""1QZ5UxyNCwadreQAXnQ7oCoH982DjIA-QnZdO7ZoqkC0/edit#gid=884617569"",""S3 Totals!$A$2:$O$255""),11,FALSE)"),"")</f>
        <v/>
      </c>
      <c r="O220" s="110">
        <f t="shared" si="3"/>
        <v>0.2739726027</v>
      </c>
      <c r="P220" s="16" t="str">
        <f>IFERROR(__xludf.DUMMYFUNCTION("VLOOKUP(A220,IMPORTRANGE(""1QZ5UxyNCwadreQAXnQ7oCoH982DjIA-QnZdO7ZoqkC0/edit#gid=884617569"",""S3 Totals!$A$2:$O$255""),13,FALSE)"),"")</f>
        <v/>
      </c>
      <c r="Q220" s="15" t="str">
        <f>IFERROR(__xludf.DUMMYFUNCTION("VLOOKUP(A220,IMPORTRANGE(""1QZ5UxyNCwadreQAXnQ7oCoH982DjIA-QnZdO7ZoqkC0/edit#gid=884617569"",""S3 Totals!$A$2:$O$255""),14,FALSE)"),"")</f>
        <v/>
      </c>
      <c r="R220" s="110">
        <f t="shared" si="4"/>
        <v>0.2739726027</v>
      </c>
      <c r="S220" s="144"/>
    </row>
    <row r="221">
      <c r="A221" s="128" t="s">
        <v>97</v>
      </c>
      <c r="B221" s="16">
        <f>IFERROR(__xludf.DUMMYFUNCTION("VLOOKUP(A221,IMPORTRANGE(""1aFCnJY1qhIj8-JckJhDJ18aqmVo17tofpQmOjcYa3u8/edit#gid=1878241338"",""S3 Totals!$A$2:$O$255""),2,FALSE)"),60.0)</f>
        <v>60</v>
      </c>
      <c r="C221" s="15">
        <f>IFERROR(__xludf.DUMMYFUNCTION("VLOOKUP(A221,IMPORTRANGE(""1aFCnJY1qhIj8-JckJhDJ18aqmVo17tofpQmOjcYa3u8/edit#gid=1878241338"",""S3 Totals!$A$2:$O$255""),3,FALSE)"),0.821917808219178)</f>
        <v>0.8219178082</v>
      </c>
      <c r="D221" s="16">
        <f>IFERROR(__xludf.DUMMYFUNCTION("VLOOKUP(A221,IMPORTRANGE(""1QZ5UxyNCwadreQAXnQ7oCoH982DjIA-QnZdO7ZoqkC0/edit#gid=884617569"",""S3 Totals!$A$2:$O$255""),2,FALSE)"),62.0)</f>
        <v>62</v>
      </c>
      <c r="E221" s="15">
        <f>IFERROR(__xludf.DUMMYFUNCTION("VLOOKUP(A221,IMPORTRANGE(""1QZ5UxyNCwadreQAXnQ7oCoH982DjIA-QnZdO7ZoqkC0/edit#gid=884617569"",""S3 Totals!$A$2:$O$255""),3,FALSE)"),0.8378378378378378)</f>
        <v>0.8378378378</v>
      </c>
      <c r="F221" s="15">
        <f t="shared" si="1"/>
        <v>-0.01592002962</v>
      </c>
      <c r="G221" s="16">
        <f>IFERROR(__xludf.DUMMYFUNCTION("VLOOKUP(A221,IMPORTRANGE(""1QZ5UxyNCwadreQAXnQ7oCoH982DjIA-QnZdO7ZoqkC0/edit#gid=884617569"",""S3 Totals!$A$2:$O$255""),4,FALSE)"),64.0)</f>
        <v>64</v>
      </c>
      <c r="H221" s="15">
        <f>IFERROR(__xludf.DUMMYFUNCTION("VLOOKUP(A221,IMPORTRANGE(""1QZ5UxyNCwadreQAXnQ7oCoH982DjIA-QnZdO7ZoqkC0/edit#gid=884617569"",""S3 Totals!$A$2:$O$255""),5,FALSE)"),0.810126582278481)</f>
        <v>0.8101265823</v>
      </c>
      <c r="I221" s="143">
        <f t="shared" si="2"/>
        <v>0.01179122594</v>
      </c>
      <c r="J221" s="16">
        <f>IFERROR(__xludf.DUMMYFUNCTION("VLOOKUP(A221,IMPORTRANGE(""1QZ5UxyNCwadreQAXnQ7oCoH982DjIA-QnZdO7ZoqkC0/edit#gid=884617569"",""S3 Totals!$A$2:$O$255""),7,FALSE)"),55.0)</f>
        <v>55</v>
      </c>
      <c r="K221" s="15">
        <f>IFERROR(__xludf.DUMMYFUNCTION("VLOOKUP(A221,IMPORTRANGE(""1QZ5UxyNCwadreQAXnQ7oCoH982DjIA-QnZdO7ZoqkC0/edit#gid=884617569"",""S3 Totals!$A$2:$O$255""),8,FALSE)"),0.6470588235294118)</f>
        <v>0.6470588235</v>
      </c>
      <c r="L221" s="110">
        <f t="shared" si="5"/>
        <v>0.1907790143</v>
      </c>
      <c r="M221" s="16">
        <f>IFERROR(__xludf.DUMMYFUNCTION("VLOOKUP(A221,IMPORTRANGE(""1QZ5UxyNCwadreQAXnQ7oCoH982DjIA-QnZdO7ZoqkC0/edit#gid=884617569"",""S3 Totals!$A$2:$O$255""),10,FALSE)"),31.0)</f>
        <v>31</v>
      </c>
      <c r="N221" s="15">
        <f>IFERROR(__xludf.DUMMYFUNCTION("VLOOKUP(A221,IMPORTRANGE(""1QZ5UxyNCwadreQAXnQ7oCoH982DjIA-QnZdO7ZoqkC0/edit#gid=884617569"",""S3 Totals!$A$2:$O$255""),11,FALSE)"),0.36470588235294116)</f>
        <v>0.3647058824</v>
      </c>
      <c r="O221" s="110">
        <f t="shared" si="3"/>
        <v>0.4572119259</v>
      </c>
      <c r="P221" s="16">
        <f>IFERROR(__xludf.DUMMYFUNCTION("VLOOKUP(A221,IMPORTRANGE(""1QZ5UxyNCwadreQAXnQ7oCoH982DjIA-QnZdO7ZoqkC0/edit#gid=884617569"",""S3 Totals!$A$2:$O$255""),13,FALSE)"),9.0)</f>
        <v>9</v>
      </c>
      <c r="Q221" s="15">
        <f>IFERROR(__xludf.DUMMYFUNCTION("VLOOKUP(A221,IMPORTRANGE(""1QZ5UxyNCwadreQAXnQ7oCoH982DjIA-QnZdO7ZoqkC0/edit#gid=884617569"",""S3 Totals!$A$2:$O$255""),14,FALSE)"),0.10588235294117647)</f>
        <v>0.1058823529</v>
      </c>
      <c r="R221" s="110">
        <f t="shared" si="4"/>
        <v>0.7160354553</v>
      </c>
      <c r="S221" s="144"/>
    </row>
    <row r="222">
      <c r="A222" s="128" t="s">
        <v>30</v>
      </c>
      <c r="B222" s="16">
        <f>IFERROR(__xludf.DUMMYFUNCTION("VLOOKUP(A222,IMPORTRANGE(""1aFCnJY1qhIj8-JckJhDJ18aqmVo17tofpQmOjcYa3u8/edit#gid=1878241338"",""S3 Totals!$A$2:$O$255""),2,FALSE)"),0.0)</f>
        <v>0</v>
      </c>
      <c r="C222" s="15">
        <f>IFERROR(__xludf.DUMMYFUNCTION("VLOOKUP(A222,IMPORTRANGE(""1aFCnJY1qhIj8-JckJhDJ18aqmVo17tofpQmOjcYa3u8/edit#gid=1878241338"",""S3 Totals!$A$2:$O$255""),3,FALSE)"),0.0)</f>
        <v>0</v>
      </c>
      <c r="D222" s="16">
        <f>IFERROR(__xludf.DUMMYFUNCTION("VLOOKUP(A222,IMPORTRANGE(""1QZ5UxyNCwadreQAXnQ7oCoH982DjIA-QnZdO7ZoqkC0/edit#gid=884617569"",""S3 Totals!$A$2:$O$255""),2,FALSE)"),0.0)</f>
        <v>0</v>
      </c>
      <c r="E222" s="15">
        <f>IFERROR(__xludf.DUMMYFUNCTION("VLOOKUP(A222,IMPORTRANGE(""1QZ5UxyNCwadreQAXnQ7oCoH982DjIA-QnZdO7ZoqkC0/edit#gid=884617569"",""S3 Totals!$A$2:$O$255""),3,FALSE)"),0.0)</f>
        <v>0</v>
      </c>
      <c r="F222" s="15">
        <f t="shared" si="1"/>
        <v>0</v>
      </c>
      <c r="G222" s="16">
        <f>IFERROR(__xludf.DUMMYFUNCTION("VLOOKUP(A222,IMPORTRANGE(""1QZ5UxyNCwadreQAXnQ7oCoH982DjIA-QnZdO7ZoqkC0/edit#gid=884617569"",""S3 Totals!$A$2:$O$255""),4,FALSE)"),0.0)</f>
        <v>0</v>
      </c>
      <c r="H222" s="15">
        <f>IFERROR(__xludf.DUMMYFUNCTION("VLOOKUP(A222,IMPORTRANGE(""1QZ5UxyNCwadreQAXnQ7oCoH982DjIA-QnZdO7ZoqkC0/edit#gid=884617569"",""S3 Totals!$A$2:$O$255""),5,FALSE)"),0.0)</f>
        <v>0</v>
      </c>
      <c r="I222" s="143">
        <f t="shared" si="2"/>
        <v>0</v>
      </c>
      <c r="J222" s="16">
        <f>IFERROR(__xludf.DUMMYFUNCTION("VLOOKUP(A222,IMPORTRANGE(""1QZ5UxyNCwadreQAXnQ7oCoH982DjIA-QnZdO7ZoqkC0/edit#gid=884617569"",""S3 Totals!$A$2:$O$255""),7,FALSE)"),0.0)</f>
        <v>0</v>
      </c>
      <c r="K222" s="15">
        <f>IFERROR(__xludf.DUMMYFUNCTION("VLOOKUP(A222,IMPORTRANGE(""1QZ5UxyNCwadreQAXnQ7oCoH982DjIA-QnZdO7ZoqkC0/edit#gid=884617569"",""S3 Totals!$A$2:$O$255""),8,FALSE)"),0.0)</f>
        <v>0</v>
      </c>
      <c r="L222" s="110">
        <f t="shared" si="5"/>
        <v>0</v>
      </c>
      <c r="M222" s="16">
        <f>IFERROR(__xludf.DUMMYFUNCTION("VLOOKUP(A222,IMPORTRANGE(""1QZ5UxyNCwadreQAXnQ7oCoH982DjIA-QnZdO7ZoqkC0/edit#gid=884617569"",""S3 Totals!$A$2:$O$255""),10,FALSE)"),0.0)</f>
        <v>0</v>
      </c>
      <c r="N222" s="15">
        <f>IFERROR(__xludf.DUMMYFUNCTION("VLOOKUP(A222,IMPORTRANGE(""1QZ5UxyNCwadreQAXnQ7oCoH982DjIA-QnZdO7ZoqkC0/edit#gid=884617569"",""S3 Totals!$A$2:$O$255""),11,FALSE)"),0.0)</f>
        <v>0</v>
      </c>
      <c r="O222" s="110">
        <f t="shared" si="3"/>
        <v>0</v>
      </c>
      <c r="P222" s="16">
        <f>IFERROR(__xludf.DUMMYFUNCTION("VLOOKUP(A222,IMPORTRANGE(""1QZ5UxyNCwadreQAXnQ7oCoH982DjIA-QnZdO7ZoqkC0/edit#gid=884617569"",""S3 Totals!$A$2:$O$255""),13,FALSE)"),0.0)</f>
        <v>0</v>
      </c>
      <c r="Q222" s="15">
        <f>IFERROR(__xludf.DUMMYFUNCTION("VLOOKUP(A222,IMPORTRANGE(""1QZ5UxyNCwadreQAXnQ7oCoH982DjIA-QnZdO7ZoqkC0/edit#gid=884617569"",""S3 Totals!$A$2:$O$255""),14,FALSE)"),0.0)</f>
        <v>0</v>
      </c>
      <c r="R222" s="110">
        <f t="shared" si="4"/>
        <v>0</v>
      </c>
      <c r="S222" s="144"/>
    </row>
    <row r="223">
      <c r="A223" s="128" t="s">
        <v>200</v>
      </c>
      <c r="B223" s="16">
        <f>IFERROR(__xludf.DUMMYFUNCTION("VLOOKUP(A223,IMPORTRANGE(""1aFCnJY1qhIj8-JckJhDJ18aqmVo17tofpQmOjcYa3u8/edit#gid=1878241338"",""S3 Totals!$A$2:$O$255""),2,FALSE)"),0.0)</f>
        <v>0</v>
      </c>
      <c r="C223" s="15">
        <f>IFERROR(__xludf.DUMMYFUNCTION("VLOOKUP(A223,IMPORTRANGE(""1aFCnJY1qhIj8-JckJhDJ18aqmVo17tofpQmOjcYa3u8/edit#gid=1878241338"",""S3 Totals!$A$2:$O$255""),3,FALSE)"),0.0)</f>
        <v>0</v>
      </c>
      <c r="D223" s="16">
        <f>IFERROR(__xludf.DUMMYFUNCTION("VLOOKUP(A223,IMPORTRANGE(""1QZ5UxyNCwadreQAXnQ7oCoH982DjIA-QnZdO7ZoqkC0/edit#gid=884617569"",""S3 Totals!$A$2:$O$255""),2,FALSE)"),0.0)</f>
        <v>0</v>
      </c>
      <c r="E223" s="15">
        <f>IFERROR(__xludf.DUMMYFUNCTION("VLOOKUP(A223,IMPORTRANGE(""1QZ5UxyNCwadreQAXnQ7oCoH982DjIA-QnZdO7ZoqkC0/edit#gid=884617569"",""S3 Totals!$A$2:$O$255""),3,FALSE)"),0.0)</f>
        <v>0</v>
      </c>
      <c r="F223" s="15">
        <f t="shared" si="1"/>
        <v>0</v>
      </c>
      <c r="G223" s="16">
        <f>IFERROR(__xludf.DUMMYFUNCTION("VLOOKUP(A223,IMPORTRANGE(""1QZ5UxyNCwadreQAXnQ7oCoH982DjIA-QnZdO7ZoqkC0/edit#gid=884617569"",""S3 Totals!$A$2:$O$255""),4,FALSE)"),8.0)</f>
        <v>8</v>
      </c>
      <c r="H223" s="15">
        <f>IFERROR(__xludf.DUMMYFUNCTION("VLOOKUP(A223,IMPORTRANGE(""1QZ5UxyNCwadreQAXnQ7oCoH982DjIA-QnZdO7ZoqkC0/edit#gid=884617569"",""S3 Totals!$A$2:$O$255""),5,FALSE)"),0.10126582278481013)</f>
        <v>0.1012658228</v>
      </c>
      <c r="I223" s="143">
        <f t="shared" si="2"/>
        <v>-0.1012658228</v>
      </c>
      <c r="J223" s="16">
        <f>IFERROR(__xludf.DUMMYFUNCTION("VLOOKUP(A223,IMPORTRANGE(""1QZ5UxyNCwadreQAXnQ7oCoH982DjIA-QnZdO7ZoqkC0/edit#gid=884617569"",""S3 Totals!$A$2:$O$255""),7,FALSE)"),4.0)</f>
        <v>4</v>
      </c>
      <c r="K223" s="15">
        <f>IFERROR(__xludf.DUMMYFUNCTION("VLOOKUP(A223,IMPORTRANGE(""1QZ5UxyNCwadreQAXnQ7oCoH982DjIA-QnZdO7ZoqkC0/edit#gid=884617569"",""S3 Totals!$A$2:$O$255""),8,FALSE)"),0.047058823529411764)</f>
        <v>0.04705882353</v>
      </c>
      <c r="L223" s="110">
        <f t="shared" si="5"/>
        <v>-0.04705882353</v>
      </c>
      <c r="M223" s="16" t="str">
        <f>IFERROR(__xludf.DUMMYFUNCTION("VLOOKUP(A223,IMPORTRANGE(""1QZ5UxyNCwadreQAXnQ7oCoH982DjIA-QnZdO7ZoqkC0/edit#gid=884617569"",""S3 Totals!$A$2:$O$255""),10,FALSE)"),"")</f>
        <v/>
      </c>
      <c r="N223" s="15" t="str">
        <f>IFERROR(__xludf.DUMMYFUNCTION("VLOOKUP(A223,IMPORTRANGE(""1QZ5UxyNCwadreQAXnQ7oCoH982DjIA-QnZdO7ZoqkC0/edit#gid=884617569"",""S3 Totals!$A$2:$O$255""),11,FALSE)"),"")</f>
        <v/>
      </c>
      <c r="O223" s="110">
        <f t="shared" si="3"/>
        <v>0</v>
      </c>
      <c r="P223" s="16" t="str">
        <f>IFERROR(__xludf.DUMMYFUNCTION("VLOOKUP(A223,IMPORTRANGE(""1QZ5UxyNCwadreQAXnQ7oCoH982DjIA-QnZdO7ZoqkC0/edit#gid=884617569"",""S3 Totals!$A$2:$O$255""),13,FALSE)"),"")</f>
        <v/>
      </c>
      <c r="Q223" s="15" t="str">
        <f>IFERROR(__xludf.DUMMYFUNCTION("VLOOKUP(A223,IMPORTRANGE(""1QZ5UxyNCwadreQAXnQ7oCoH982DjIA-QnZdO7ZoqkC0/edit#gid=884617569"",""S3 Totals!$A$2:$O$255""),14,FALSE)"),"")</f>
        <v/>
      </c>
      <c r="R223" s="110">
        <f t="shared" si="4"/>
        <v>0</v>
      </c>
      <c r="S223" s="144"/>
    </row>
    <row r="224">
      <c r="A224" s="128" t="s">
        <v>201</v>
      </c>
      <c r="B224" s="16">
        <f>IFERROR(__xludf.DUMMYFUNCTION("VLOOKUP(A224,IMPORTRANGE(""1aFCnJY1qhIj8-JckJhDJ18aqmVo17tofpQmOjcYa3u8/edit#gid=1878241338"",""S3 Totals!$A$2:$O$255""),2,FALSE)"),0.0)</f>
        <v>0</v>
      </c>
      <c r="C224" s="15">
        <f>IFERROR(__xludf.DUMMYFUNCTION("VLOOKUP(A224,IMPORTRANGE(""1aFCnJY1qhIj8-JckJhDJ18aqmVo17tofpQmOjcYa3u8/edit#gid=1878241338"",""S3 Totals!$A$2:$O$255""),3,FALSE)"),0.0)</f>
        <v>0</v>
      </c>
      <c r="D224" s="16">
        <f>IFERROR(__xludf.DUMMYFUNCTION("VLOOKUP(A224,IMPORTRANGE(""1QZ5UxyNCwadreQAXnQ7oCoH982DjIA-QnZdO7ZoqkC0/edit#gid=884617569"",""S3 Totals!$A$2:$O$255""),2,FALSE)"),0.0)</f>
        <v>0</v>
      </c>
      <c r="E224" s="15">
        <f>IFERROR(__xludf.DUMMYFUNCTION("VLOOKUP(A224,IMPORTRANGE(""1QZ5UxyNCwadreQAXnQ7oCoH982DjIA-QnZdO7ZoqkC0/edit#gid=884617569"",""S3 Totals!$A$2:$O$255""),3,FALSE)"),0.0)</f>
        <v>0</v>
      </c>
      <c r="F224" s="15">
        <f t="shared" si="1"/>
        <v>0</v>
      </c>
      <c r="G224" s="16">
        <f>IFERROR(__xludf.DUMMYFUNCTION("VLOOKUP(A224,IMPORTRANGE(""1QZ5UxyNCwadreQAXnQ7oCoH982DjIA-QnZdO7ZoqkC0/edit#gid=884617569"",""S3 Totals!$A$2:$O$255""),4,FALSE)"),0.0)</f>
        <v>0</v>
      </c>
      <c r="H224" s="15">
        <f>IFERROR(__xludf.DUMMYFUNCTION("VLOOKUP(A224,IMPORTRANGE(""1QZ5UxyNCwadreQAXnQ7oCoH982DjIA-QnZdO7ZoqkC0/edit#gid=884617569"",""S3 Totals!$A$2:$O$255""),5,FALSE)"),0.0)</f>
        <v>0</v>
      </c>
      <c r="I224" s="143">
        <f t="shared" si="2"/>
        <v>0</v>
      </c>
      <c r="J224" s="16">
        <f>IFERROR(__xludf.DUMMYFUNCTION("VLOOKUP(A224,IMPORTRANGE(""1QZ5UxyNCwadreQAXnQ7oCoH982DjIA-QnZdO7ZoqkC0/edit#gid=884617569"",""S3 Totals!$A$2:$O$255""),7,FALSE)"),0.0)</f>
        <v>0</v>
      </c>
      <c r="K224" s="15">
        <f>IFERROR(__xludf.DUMMYFUNCTION("VLOOKUP(A224,IMPORTRANGE(""1QZ5UxyNCwadreQAXnQ7oCoH982DjIA-QnZdO7ZoqkC0/edit#gid=884617569"",""S3 Totals!$A$2:$O$255""),8,FALSE)"),0.0)</f>
        <v>0</v>
      </c>
      <c r="L224" s="110">
        <f t="shared" si="5"/>
        <v>0</v>
      </c>
      <c r="M224" s="16" t="str">
        <f>IFERROR(__xludf.DUMMYFUNCTION("VLOOKUP(A224,IMPORTRANGE(""1QZ5UxyNCwadreQAXnQ7oCoH982DjIA-QnZdO7ZoqkC0/edit#gid=884617569"",""S3 Totals!$A$2:$O$255""),10,FALSE)"),"")</f>
        <v/>
      </c>
      <c r="N224" s="15" t="str">
        <f>IFERROR(__xludf.DUMMYFUNCTION("VLOOKUP(A224,IMPORTRANGE(""1QZ5UxyNCwadreQAXnQ7oCoH982DjIA-QnZdO7ZoqkC0/edit#gid=884617569"",""S3 Totals!$A$2:$O$255""),11,FALSE)"),"")</f>
        <v/>
      </c>
      <c r="O224" s="110">
        <f t="shared" si="3"/>
        <v>0</v>
      </c>
      <c r="P224" s="16" t="str">
        <f>IFERROR(__xludf.DUMMYFUNCTION("VLOOKUP(A224,IMPORTRANGE(""1QZ5UxyNCwadreQAXnQ7oCoH982DjIA-QnZdO7ZoqkC0/edit#gid=884617569"",""S3 Totals!$A$2:$O$255""),13,FALSE)"),"")</f>
        <v/>
      </c>
      <c r="Q224" s="15" t="str">
        <f>IFERROR(__xludf.DUMMYFUNCTION("VLOOKUP(A224,IMPORTRANGE(""1QZ5UxyNCwadreQAXnQ7oCoH982DjIA-QnZdO7ZoqkC0/edit#gid=884617569"",""S3 Totals!$A$2:$O$255""),14,FALSE)"),"")</f>
        <v/>
      </c>
      <c r="R224" s="110">
        <f t="shared" si="4"/>
        <v>0</v>
      </c>
      <c r="S224" s="144"/>
    </row>
    <row r="225">
      <c r="A225" s="128" t="s">
        <v>202</v>
      </c>
      <c r="B225" s="16">
        <f>IFERROR(__xludf.DUMMYFUNCTION("VLOOKUP(A225,IMPORTRANGE(""1aFCnJY1qhIj8-JckJhDJ18aqmVo17tofpQmOjcYa3u8/edit#gid=1878241338"",""S3 Totals!$A$2:$O$255""),2,FALSE)"),45.0)</f>
        <v>45</v>
      </c>
      <c r="C225" s="15">
        <f>IFERROR(__xludf.DUMMYFUNCTION("VLOOKUP(A225,IMPORTRANGE(""1aFCnJY1qhIj8-JckJhDJ18aqmVo17tofpQmOjcYa3u8/edit#gid=1878241338"",""S3 Totals!$A$2:$O$255""),3,FALSE)"),0.6164383561643836)</f>
        <v>0.6164383562</v>
      </c>
      <c r="D225" s="16">
        <f>IFERROR(__xludf.DUMMYFUNCTION("VLOOKUP(A225,IMPORTRANGE(""1QZ5UxyNCwadreQAXnQ7oCoH982DjIA-QnZdO7ZoqkC0/edit#gid=884617569"",""S3 Totals!$A$2:$O$255""),2,FALSE)"),51.0)</f>
        <v>51</v>
      </c>
      <c r="E225" s="15">
        <f>IFERROR(__xludf.DUMMYFUNCTION("VLOOKUP(A225,IMPORTRANGE(""1QZ5UxyNCwadreQAXnQ7oCoH982DjIA-QnZdO7ZoqkC0/edit#gid=884617569"",""S3 Totals!$A$2:$O$255""),3,FALSE)"),0.6891891891891891)</f>
        <v>0.6891891892</v>
      </c>
      <c r="F225" s="15">
        <f t="shared" si="1"/>
        <v>-0.07275083302</v>
      </c>
      <c r="G225" s="16">
        <f>IFERROR(__xludf.DUMMYFUNCTION("VLOOKUP(A225,IMPORTRANGE(""1QZ5UxyNCwadreQAXnQ7oCoH982DjIA-QnZdO7ZoqkC0/edit#gid=884617569"",""S3 Totals!$A$2:$O$255""),4,FALSE)"),11.0)</f>
        <v>11</v>
      </c>
      <c r="H225" s="15">
        <f>IFERROR(__xludf.DUMMYFUNCTION("VLOOKUP(A225,IMPORTRANGE(""1QZ5UxyNCwadreQAXnQ7oCoH982DjIA-QnZdO7ZoqkC0/edit#gid=884617569"",""S3 Totals!$A$2:$O$255""),5,FALSE)"),0.13924050632911392)</f>
        <v>0.1392405063</v>
      </c>
      <c r="I225" s="143">
        <f t="shared" si="2"/>
        <v>0.4771978498</v>
      </c>
      <c r="J225" s="16">
        <f>IFERROR(__xludf.DUMMYFUNCTION("VLOOKUP(A225,IMPORTRANGE(""1QZ5UxyNCwadreQAXnQ7oCoH982DjIA-QnZdO7ZoqkC0/edit#gid=884617569"",""S3 Totals!$A$2:$O$255""),7,FALSE)"),0.0)</f>
        <v>0</v>
      </c>
      <c r="K225" s="15">
        <f>IFERROR(__xludf.DUMMYFUNCTION("VLOOKUP(A225,IMPORTRANGE(""1QZ5UxyNCwadreQAXnQ7oCoH982DjIA-QnZdO7ZoqkC0/edit#gid=884617569"",""S3 Totals!$A$2:$O$255""),8,FALSE)"),0.0)</f>
        <v>0</v>
      </c>
      <c r="L225" s="110">
        <f t="shared" si="5"/>
        <v>0.6891891892</v>
      </c>
      <c r="M225" s="16" t="str">
        <f>IFERROR(__xludf.DUMMYFUNCTION("VLOOKUP(A225,IMPORTRANGE(""1QZ5UxyNCwadreQAXnQ7oCoH982DjIA-QnZdO7ZoqkC0/edit#gid=884617569"",""S3 Totals!$A$2:$O$255""),10,FALSE)"),"")</f>
        <v/>
      </c>
      <c r="N225" s="15" t="str">
        <f>IFERROR(__xludf.DUMMYFUNCTION("VLOOKUP(A225,IMPORTRANGE(""1QZ5UxyNCwadreQAXnQ7oCoH982DjIA-QnZdO7ZoqkC0/edit#gid=884617569"",""S3 Totals!$A$2:$O$255""),11,FALSE)"),"")</f>
        <v/>
      </c>
      <c r="O225" s="110">
        <f t="shared" si="3"/>
        <v>0.6164383562</v>
      </c>
      <c r="P225" s="16" t="str">
        <f>IFERROR(__xludf.DUMMYFUNCTION("VLOOKUP(A225,IMPORTRANGE(""1QZ5UxyNCwadreQAXnQ7oCoH982DjIA-QnZdO7ZoqkC0/edit#gid=884617569"",""S3 Totals!$A$2:$O$255""),13,FALSE)"),"")</f>
        <v/>
      </c>
      <c r="Q225" s="15" t="str">
        <f>IFERROR(__xludf.DUMMYFUNCTION("VLOOKUP(A225,IMPORTRANGE(""1QZ5UxyNCwadreQAXnQ7oCoH982DjIA-QnZdO7ZoqkC0/edit#gid=884617569"",""S3 Totals!$A$2:$O$255""),14,FALSE)"),"")</f>
        <v/>
      </c>
      <c r="R225" s="110">
        <f t="shared" si="4"/>
        <v>0.6164383562</v>
      </c>
      <c r="S225" s="144"/>
    </row>
    <row r="226">
      <c r="A226" s="128" t="s">
        <v>203</v>
      </c>
      <c r="B226" s="16">
        <f>IFERROR(__xludf.DUMMYFUNCTION("VLOOKUP(A226,IMPORTRANGE(""1aFCnJY1qhIj8-JckJhDJ18aqmVo17tofpQmOjcYa3u8/edit#gid=1878241338"",""S3 Totals!$A$2:$O$255""),2,FALSE)"),0.0)</f>
        <v>0</v>
      </c>
      <c r="C226" s="15">
        <f>IFERROR(__xludf.DUMMYFUNCTION("VLOOKUP(A226,IMPORTRANGE(""1aFCnJY1qhIj8-JckJhDJ18aqmVo17tofpQmOjcYa3u8/edit#gid=1878241338"",""S3 Totals!$A$2:$O$255""),3,FALSE)"),0.0)</f>
        <v>0</v>
      </c>
      <c r="D226" s="16">
        <f>IFERROR(__xludf.DUMMYFUNCTION("VLOOKUP(A226,IMPORTRANGE(""1QZ5UxyNCwadreQAXnQ7oCoH982DjIA-QnZdO7ZoqkC0/edit#gid=884617569"",""S3 Totals!$A$2:$O$255""),2,FALSE)"),0.0)</f>
        <v>0</v>
      </c>
      <c r="E226" s="15">
        <f>IFERROR(__xludf.DUMMYFUNCTION("VLOOKUP(A226,IMPORTRANGE(""1QZ5UxyNCwadreQAXnQ7oCoH982DjIA-QnZdO7ZoqkC0/edit#gid=884617569"",""S3 Totals!$A$2:$O$255""),3,FALSE)"),0.0)</f>
        <v>0</v>
      </c>
      <c r="F226" s="15">
        <f t="shared" si="1"/>
        <v>0</v>
      </c>
      <c r="G226" s="16">
        <f>IFERROR(__xludf.DUMMYFUNCTION("VLOOKUP(A226,IMPORTRANGE(""1QZ5UxyNCwadreQAXnQ7oCoH982DjIA-QnZdO7ZoqkC0/edit#gid=884617569"",""S3 Totals!$A$2:$O$255""),4,FALSE)"),0.0)</f>
        <v>0</v>
      </c>
      <c r="H226" s="15">
        <f>IFERROR(__xludf.DUMMYFUNCTION("VLOOKUP(A226,IMPORTRANGE(""1QZ5UxyNCwadreQAXnQ7oCoH982DjIA-QnZdO7ZoqkC0/edit#gid=884617569"",""S3 Totals!$A$2:$O$255""),5,FALSE)"),0.0)</f>
        <v>0</v>
      </c>
      <c r="I226" s="143">
        <f t="shared" si="2"/>
        <v>0</v>
      </c>
      <c r="J226" s="16">
        <f>IFERROR(__xludf.DUMMYFUNCTION("VLOOKUP(A226,IMPORTRANGE(""1QZ5UxyNCwadreQAXnQ7oCoH982DjIA-QnZdO7ZoqkC0/edit#gid=884617569"",""S3 Totals!$A$2:$O$255""),7,FALSE)"),0.0)</f>
        <v>0</v>
      </c>
      <c r="K226" s="15">
        <f>IFERROR(__xludf.DUMMYFUNCTION("VLOOKUP(A226,IMPORTRANGE(""1QZ5UxyNCwadreQAXnQ7oCoH982DjIA-QnZdO7ZoqkC0/edit#gid=884617569"",""S3 Totals!$A$2:$O$255""),8,FALSE)"),0.0)</f>
        <v>0</v>
      </c>
      <c r="L226" s="110">
        <f t="shared" si="5"/>
        <v>0</v>
      </c>
      <c r="M226" s="16" t="str">
        <f>IFERROR(__xludf.DUMMYFUNCTION("VLOOKUP(A226,IMPORTRANGE(""1QZ5UxyNCwadreQAXnQ7oCoH982DjIA-QnZdO7ZoqkC0/edit#gid=884617569"",""S3 Totals!$A$2:$O$255""),10,FALSE)"),"")</f>
        <v/>
      </c>
      <c r="N226" s="15" t="str">
        <f>IFERROR(__xludf.DUMMYFUNCTION("VLOOKUP(A226,IMPORTRANGE(""1QZ5UxyNCwadreQAXnQ7oCoH982DjIA-QnZdO7ZoqkC0/edit#gid=884617569"",""S3 Totals!$A$2:$O$255""),11,FALSE)"),"")</f>
        <v/>
      </c>
      <c r="O226" s="110">
        <f t="shared" si="3"/>
        <v>0</v>
      </c>
      <c r="P226" s="16" t="str">
        <f>IFERROR(__xludf.DUMMYFUNCTION("VLOOKUP(A226,IMPORTRANGE(""1QZ5UxyNCwadreQAXnQ7oCoH982DjIA-QnZdO7ZoqkC0/edit#gid=884617569"",""S3 Totals!$A$2:$O$255""),13,FALSE)"),"")</f>
        <v/>
      </c>
      <c r="Q226" s="15" t="str">
        <f>IFERROR(__xludf.DUMMYFUNCTION("VLOOKUP(A226,IMPORTRANGE(""1QZ5UxyNCwadreQAXnQ7oCoH982DjIA-QnZdO7ZoqkC0/edit#gid=884617569"",""S3 Totals!$A$2:$O$255""),14,FALSE)"),"")</f>
        <v/>
      </c>
      <c r="R226" s="110">
        <f t="shared" si="4"/>
        <v>0</v>
      </c>
      <c r="S226" s="144"/>
    </row>
    <row r="227">
      <c r="A227" s="128" t="s">
        <v>99</v>
      </c>
      <c r="B227" s="16">
        <f>IFERROR(__xludf.DUMMYFUNCTION("VLOOKUP(A227,IMPORTRANGE(""1aFCnJY1qhIj8-JckJhDJ18aqmVo17tofpQmOjcYa3u8/edit#gid=1878241338"",""S3 Totals!$A$2:$O$255""),2,FALSE)"),52.0)</f>
        <v>52</v>
      </c>
      <c r="C227" s="15">
        <f>IFERROR(__xludf.DUMMYFUNCTION("VLOOKUP(A227,IMPORTRANGE(""1aFCnJY1qhIj8-JckJhDJ18aqmVo17tofpQmOjcYa3u8/edit#gid=1878241338"",""S3 Totals!$A$2:$O$255""),3,FALSE)"),0.7123287671232876)</f>
        <v>0.7123287671</v>
      </c>
      <c r="D227" s="16">
        <f>IFERROR(__xludf.DUMMYFUNCTION("VLOOKUP(A227,IMPORTRANGE(""1QZ5UxyNCwadreQAXnQ7oCoH982DjIA-QnZdO7ZoqkC0/edit#gid=884617569"",""S3 Totals!$A$2:$O$255""),2,FALSE)"),53.0)</f>
        <v>53</v>
      </c>
      <c r="E227" s="15">
        <f>IFERROR(__xludf.DUMMYFUNCTION("VLOOKUP(A227,IMPORTRANGE(""1QZ5UxyNCwadreQAXnQ7oCoH982DjIA-QnZdO7ZoqkC0/edit#gid=884617569"",""S3 Totals!$A$2:$O$255""),3,FALSE)"),0.7162162162162162)</f>
        <v>0.7162162162</v>
      </c>
      <c r="F227" s="15">
        <f t="shared" si="1"/>
        <v>-0.003887449093</v>
      </c>
      <c r="G227" s="16">
        <f>IFERROR(__xludf.DUMMYFUNCTION("VLOOKUP(A227,IMPORTRANGE(""1QZ5UxyNCwadreQAXnQ7oCoH982DjIA-QnZdO7ZoqkC0/edit#gid=884617569"",""S3 Totals!$A$2:$O$255""),4,FALSE)"),41.0)</f>
        <v>41</v>
      </c>
      <c r="H227" s="15">
        <f>IFERROR(__xludf.DUMMYFUNCTION("VLOOKUP(A227,IMPORTRANGE(""1QZ5UxyNCwadreQAXnQ7oCoH982DjIA-QnZdO7ZoqkC0/edit#gid=884617569"",""S3 Totals!$A$2:$O$255""),5,FALSE)"),0.5189873417721519)</f>
        <v>0.5189873418</v>
      </c>
      <c r="I227" s="143">
        <f t="shared" si="2"/>
        <v>0.1933414254</v>
      </c>
      <c r="J227" s="16">
        <f>IFERROR(__xludf.DUMMYFUNCTION("VLOOKUP(A227,IMPORTRANGE(""1QZ5UxyNCwadreQAXnQ7oCoH982DjIA-QnZdO7ZoqkC0/edit#gid=884617569"",""S3 Totals!$A$2:$O$255""),7,FALSE)"),22.0)</f>
        <v>22</v>
      </c>
      <c r="K227" s="15">
        <f>IFERROR(__xludf.DUMMYFUNCTION("VLOOKUP(A227,IMPORTRANGE(""1QZ5UxyNCwadreQAXnQ7oCoH982DjIA-QnZdO7ZoqkC0/edit#gid=884617569"",""S3 Totals!$A$2:$O$255""),8,FALSE)"),0.25882352941176473)</f>
        <v>0.2588235294</v>
      </c>
      <c r="L227" s="110">
        <f t="shared" si="5"/>
        <v>0.4573926868</v>
      </c>
      <c r="M227" s="16">
        <f>IFERROR(__xludf.DUMMYFUNCTION("VLOOKUP(A227,IMPORTRANGE(""1QZ5UxyNCwadreQAXnQ7oCoH982DjIA-QnZdO7ZoqkC0/edit#gid=884617569"",""S3 Totals!$A$2:$O$255""),10,FALSE)"),9.0)</f>
        <v>9</v>
      </c>
      <c r="N227" s="15">
        <f>IFERROR(__xludf.DUMMYFUNCTION("VLOOKUP(A227,IMPORTRANGE(""1QZ5UxyNCwadreQAXnQ7oCoH982DjIA-QnZdO7ZoqkC0/edit#gid=884617569"",""S3 Totals!$A$2:$O$255""),11,FALSE)"),0.10588235294117647)</f>
        <v>0.1058823529</v>
      </c>
      <c r="O227" s="110">
        <f t="shared" si="3"/>
        <v>0.6064464142</v>
      </c>
      <c r="P227" s="16">
        <f>IFERROR(__xludf.DUMMYFUNCTION("VLOOKUP(A227,IMPORTRANGE(""1QZ5UxyNCwadreQAXnQ7oCoH982DjIA-QnZdO7ZoqkC0/edit#gid=884617569"",""S3 Totals!$A$2:$O$255""),13,FALSE)"),1.0)</f>
        <v>1</v>
      </c>
      <c r="Q227" s="15">
        <f>IFERROR(__xludf.DUMMYFUNCTION("VLOOKUP(A227,IMPORTRANGE(""1QZ5UxyNCwadreQAXnQ7oCoH982DjIA-QnZdO7ZoqkC0/edit#gid=884617569"",""S3 Totals!$A$2:$O$255""),14,FALSE)"),0.011764705882352941)</f>
        <v>0.01176470588</v>
      </c>
      <c r="R227" s="110">
        <f t="shared" si="4"/>
        <v>0.7005640612</v>
      </c>
      <c r="S227" s="144"/>
    </row>
    <row r="228">
      <c r="A228" s="128" t="s">
        <v>204</v>
      </c>
      <c r="B228" s="16">
        <f>IFERROR(__xludf.DUMMYFUNCTION("VLOOKUP(A228,IMPORTRANGE(""1aFCnJY1qhIj8-JckJhDJ18aqmVo17tofpQmOjcYa3u8/edit#gid=1878241338"",""S3 Totals!$A$2:$O$255""),2,FALSE)"),0.0)</f>
        <v>0</v>
      </c>
      <c r="C228" s="15">
        <f>IFERROR(__xludf.DUMMYFUNCTION("VLOOKUP(A228,IMPORTRANGE(""1aFCnJY1qhIj8-JckJhDJ18aqmVo17tofpQmOjcYa3u8/edit#gid=1878241338"",""S3 Totals!$A$2:$O$255""),3,FALSE)"),0.0)</f>
        <v>0</v>
      </c>
      <c r="D228" s="16">
        <f>IFERROR(__xludf.DUMMYFUNCTION("VLOOKUP(A228,IMPORTRANGE(""1QZ5UxyNCwadreQAXnQ7oCoH982DjIA-QnZdO7ZoqkC0/edit#gid=884617569"",""S3 Totals!$A$2:$O$255""),2,FALSE)"),0.0)</f>
        <v>0</v>
      </c>
      <c r="E228" s="15">
        <f>IFERROR(__xludf.DUMMYFUNCTION("VLOOKUP(A228,IMPORTRANGE(""1QZ5UxyNCwadreQAXnQ7oCoH982DjIA-QnZdO7ZoqkC0/edit#gid=884617569"",""S3 Totals!$A$2:$O$255""),3,FALSE)"),0.0)</f>
        <v>0</v>
      </c>
      <c r="F228" s="15">
        <f t="shared" si="1"/>
        <v>0</v>
      </c>
      <c r="G228" s="16">
        <f>IFERROR(__xludf.DUMMYFUNCTION("VLOOKUP(A228,IMPORTRANGE(""1QZ5UxyNCwadreQAXnQ7oCoH982DjIA-QnZdO7ZoqkC0/edit#gid=884617569"",""S3 Totals!$A$2:$O$255""),4,FALSE)"),0.0)</f>
        <v>0</v>
      </c>
      <c r="H228" s="15">
        <f>IFERROR(__xludf.DUMMYFUNCTION("VLOOKUP(A228,IMPORTRANGE(""1QZ5UxyNCwadreQAXnQ7oCoH982DjIA-QnZdO7ZoqkC0/edit#gid=884617569"",""S3 Totals!$A$2:$O$255""),5,FALSE)"),0.0)</f>
        <v>0</v>
      </c>
      <c r="I228" s="143">
        <f t="shared" si="2"/>
        <v>0</v>
      </c>
      <c r="J228" s="16">
        <f>IFERROR(__xludf.DUMMYFUNCTION("VLOOKUP(A228,IMPORTRANGE(""1QZ5UxyNCwadreQAXnQ7oCoH982DjIA-QnZdO7ZoqkC0/edit#gid=884617569"",""S3 Totals!$A$2:$O$255""),7,FALSE)"),0.0)</f>
        <v>0</v>
      </c>
      <c r="K228" s="15">
        <f>IFERROR(__xludf.DUMMYFUNCTION("VLOOKUP(A228,IMPORTRANGE(""1QZ5UxyNCwadreQAXnQ7oCoH982DjIA-QnZdO7ZoqkC0/edit#gid=884617569"",""S3 Totals!$A$2:$O$255""),8,FALSE)"),0.0)</f>
        <v>0</v>
      </c>
      <c r="L228" s="110">
        <f t="shared" si="5"/>
        <v>0</v>
      </c>
      <c r="M228" s="16" t="str">
        <f>IFERROR(__xludf.DUMMYFUNCTION("VLOOKUP(A228,IMPORTRANGE(""1QZ5UxyNCwadreQAXnQ7oCoH982DjIA-QnZdO7ZoqkC0/edit#gid=884617569"",""S3 Totals!$A$2:$O$255""),10,FALSE)"),"")</f>
        <v/>
      </c>
      <c r="N228" s="15" t="str">
        <f>IFERROR(__xludf.DUMMYFUNCTION("VLOOKUP(A228,IMPORTRANGE(""1QZ5UxyNCwadreQAXnQ7oCoH982DjIA-QnZdO7ZoqkC0/edit#gid=884617569"",""S3 Totals!$A$2:$O$255""),11,FALSE)"),"")</f>
        <v/>
      </c>
      <c r="O228" s="110">
        <f t="shared" si="3"/>
        <v>0</v>
      </c>
      <c r="P228" s="16" t="str">
        <f>IFERROR(__xludf.DUMMYFUNCTION("VLOOKUP(A228,IMPORTRANGE(""1QZ5UxyNCwadreQAXnQ7oCoH982DjIA-QnZdO7ZoqkC0/edit#gid=884617569"",""S3 Totals!$A$2:$O$255""),13,FALSE)"),"")</f>
        <v/>
      </c>
      <c r="Q228" s="15" t="str">
        <f>IFERROR(__xludf.DUMMYFUNCTION("VLOOKUP(A228,IMPORTRANGE(""1QZ5UxyNCwadreQAXnQ7oCoH982DjIA-QnZdO7ZoqkC0/edit#gid=884617569"",""S3 Totals!$A$2:$O$255""),14,FALSE)"),"")</f>
        <v/>
      </c>
      <c r="R228" s="110">
        <f t="shared" si="4"/>
        <v>0</v>
      </c>
      <c r="S228" s="144"/>
    </row>
    <row r="229">
      <c r="A229" s="128" t="s">
        <v>152</v>
      </c>
      <c r="B229" s="16">
        <f>IFERROR(__xludf.DUMMYFUNCTION("VLOOKUP(A229,IMPORTRANGE(""1aFCnJY1qhIj8-JckJhDJ18aqmVo17tofpQmOjcYa3u8/edit#gid=1878241338"",""S3 Totals!$A$2:$O$255""),2,FALSE)"),0.0)</f>
        <v>0</v>
      </c>
      <c r="C229" s="15">
        <f>IFERROR(__xludf.DUMMYFUNCTION("VLOOKUP(A229,IMPORTRANGE(""1aFCnJY1qhIj8-JckJhDJ18aqmVo17tofpQmOjcYa3u8/edit#gid=1878241338"",""S3 Totals!$A$2:$O$255""),3,FALSE)"),0.0)</f>
        <v>0</v>
      </c>
      <c r="D229" s="16">
        <f>IFERROR(__xludf.DUMMYFUNCTION("VLOOKUP(A229,IMPORTRANGE(""1QZ5UxyNCwadreQAXnQ7oCoH982DjIA-QnZdO7ZoqkC0/edit#gid=884617569"",""S3 Totals!$A$2:$O$255""),2,FALSE)"),0.0)</f>
        <v>0</v>
      </c>
      <c r="E229" s="15">
        <f>IFERROR(__xludf.DUMMYFUNCTION("VLOOKUP(A229,IMPORTRANGE(""1QZ5UxyNCwadreQAXnQ7oCoH982DjIA-QnZdO7ZoqkC0/edit#gid=884617569"",""S3 Totals!$A$2:$O$255""),3,FALSE)"),0.0)</f>
        <v>0</v>
      </c>
      <c r="F229" s="15">
        <f t="shared" si="1"/>
        <v>0</v>
      </c>
      <c r="G229" s="16">
        <f>IFERROR(__xludf.DUMMYFUNCTION("VLOOKUP(A229,IMPORTRANGE(""1QZ5UxyNCwadreQAXnQ7oCoH982DjIA-QnZdO7ZoqkC0/edit#gid=884617569"",""S3 Totals!$A$2:$O$255""),4,FALSE)"),0.0)</f>
        <v>0</v>
      </c>
      <c r="H229" s="15">
        <f>IFERROR(__xludf.DUMMYFUNCTION("VLOOKUP(A229,IMPORTRANGE(""1QZ5UxyNCwadreQAXnQ7oCoH982DjIA-QnZdO7ZoqkC0/edit#gid=884617569"",""S3 Totals!$A$2:$O$255""),5,FALSE)"),0.0)</f>
        <v>0</v>
      </c>
      <c r="I229" s="143">
        <f t="shared" si="2"/>
        <v>0</v>
      </c>
      <c r="J229" s="16">
        <f>IFERROR(__xludf.DUMMYFUNCTION("VLOOKUP(A229,IMPORTRANGE(""1QZ5UxyNCwadreQAXnQ7oCoH982DjIA-QnZdO7ZoqkC0/edit#gid=884617569"",""S3 Totals!$A$2:$O$255""),7,FALSE)"),0.0)</f>
        <v>0</v>
      </c>
      <c r="K229" s="15">
        <f>IFERROR(__xludf.DUMMYFUNCTION("VLOOKUP(A229,IMPORTRANGE(""1QZ5UxyNCwadreQAXnQ7oCoH982DjIA-QnZdO7ZoqkC0/edit#gid=884617569"",""S3 Totals!$A$2:$O$255""),8,FALSE)"),0.0)</f>
        <v>0</v>
      </c>
      <c r="L229" s="110">
        <f t="shared" si="5"/>
        <v>0</v>
      </c>
      <c r="M229" s="16">
        <f>IFERROR(__xludf.DUMMYFUNCTION("VLOOKUP(A229,IMPORTRANGE(""1QZ5UxyNCwadreQAXnQ7oCoH982DjIA-QnZdO7ZoqkC0/edit#gid=884617569"",""S3 Totals!$A$2:$O$255""),10,FALSE)"),0.0)</f>
        <v>0</v>
      </c>
      <c r="N229" s="15">
        <f>IFERROR(__xludf.DUMMYFUNCTION("VLOOKUP(A229,IMPORTRANGE(""1QZ5UxyNCwadreQAXnQ7oCoH982DjIA-QnZdO7ZoqkC0/edit#gid=884617569"",""S3 Totals!$A$2:$O$255""),11,FALSE)"),0.0)</f>
        <v>0</v>
      </c>
      <c r="O229" s="110">
        <f t="shared" si="3"/>
        <v>0</v>
      </c>
      <c r="P229" s="16" t="str">
        <f>IFERROR(__xludf.DUMMYFUNCTION("VLOOKUP(A229,IMPORTRANGE(""1QZ5UxyNCwadreQAXnQ7oCoH982DjIA-QnZdO7ZoqkC0/edit#gid=884617569"",""S3 Totals!$A$2:$O$255""),13,FALSE)"),"")</f>
        <v/>
      </c>
      <c r="Q229" s="15" t="str">
        <f>IFERROR(__xludf.DUMMYFUNCTION("VLOOKUP(A229,IMPORTRANGE(""1QZ5UxyNCwadreQAXnQ7oCoH982DjIA-QnZdO7ZoqkC0/edit#gid=884617569"",""S3 Totals!$A$2:$O$255""),14,FALSE)"),"")</f>
        <v/>
      </c>
      <c r="R229" s="110">
        <f t="shared" si="4"/>
        <v>0</v>
      </c>
      <c r="S229" s="144"/>
    </row>
    <row r="230">
      <c r="A230" s="128" t="s">
        <v>49</v>
      </c>
      <c r="B230" s="16">
        <f>IFERROR(__xludf.DUMMYFUNCTION("VLOOKUP(A230,IMPORTRANGE(""1aFCnJY1qhIj8-JckJhDJ18aqmVo17tofpQmOjcYa3u8/edit#gid=1878241338"",""S3 Totals!$A$2:$O$255""),2,FALSE)"),0.0)</f>
        <v>0</v>
      </c>
      <c r="C230" s="15">
        <f>IFERROR(__xludf.DUMMYFUNCTION("VLOOKUP(A230,IMPORTRANGE(""1aFCnJY1qhIj8-JckJhDJ18aqmVo17tofpQmOjcYa3u8/edit#gid=1878241338"",""S3 Totals!$A$2:$O$255""),3,FALSE)"),0.0)</f>
        <v>0</v>
      </c>
      <c r="D230" s="16">
        <f>IFERROR(__xludf.DUMMYFUNCTION("VLOOKUP(A230,IMPORTRANGE(""1QZ5UxyNCwadreQAXnQ7oCoH982DjIA-QnZdO7ZoqkC0/edit#gid=884617569"",""S3 Totals!$A$2:$O$255""),2,FALSE)"),0.0)</f>
        <v>0</v>
      </c>
      <c r="E230" s="15">
        <f>IFERROR(__xludf.DUMMYFUNCTION("VLOOKUP(A230,IMPORTRANGE(""1QZ5UxyNCwadreQAXnQ7oCoH982DjIA-QnZdO7ZoqkC0/edit#gid=884617569"",""S3 Totals!$A$2:$O$255""),3,FALSE)"),0.0)</f>
        <v>0</v>
      </c>
      <c r="F230" s="15">
        <f t="shared" si="1"/>
        <v>0</v>
      </c>
      <c r="G230" s="16">
        <f>IFERROR(__xludf.DUMMYFUNCTION("VLOOKUP(A230,IMPORTRANGE(""1QZ5UxyNCwadreQAXnQ7oCoH982DjIA-QnZdO7ZoqkC0/edit#gid=884617569"",""S3 Totals!$A$2:$O$255""),4,FALSE)"),0.0)</f>
        <v>0</v>
      </c>
      <c r="H230" s="15">
        <f>IFERROR(__xludf.DUMMYFUNCTION("VLOOKUP(A230,IMPORTRANGE(""1QZ5UxyNCwadreQAXnQ7oCoH982DjIA-QnZdO7ZoqkC0/edit#gid=884617569"",""S3 Totals!$A$2:$O$255""),5,FALSE)"),0.0)</f>
        <v>0</v>
      </c>
      <c r="I230" s="143">
        <f t="shared" si="2"/>
        <v>0</v>
      </c>
      <c r="J230" s="16">
        <f>IFERROR(__xludf.DUMMYFUNCTION("VLOOKUP(A230,IMPORTRANGE(""1QZ5UxyNCwadreQAXnQ7oCoH982DjIA-QnZdO7ZoqkC0/edit#gid=884617569"",""S3 Totals!$A$2:$O$255""),7,FALSE)"),0.0)</f>
        <v>0</v>
      </c>
      <c r="K230" s="15">
        <f>IFERROR(__xludf.DUMMYFUNCTION("VLOOKUP(A230,IMPORTRANGE(""1QZ5UxyNCwadreQAXnQ7oCoH982DjIA-QnZdO7ZoqkC0/edit#gid=884617569"",""S3 Totals!$A$2:$O$255""),8,FALSE)"),0.0)</f>
        <v>0</v>
      </c>
      <c r="L230" s="110">
        <f t="shared" si="5"/>
        <v>0</v>
      </c>
      <c r="M230" s="16">
        <f>IFERROR(__xludf.DUMMYFUNCTION("VLOOKUP(A230,IMPORTRANGE(""1QZ5UxyNCwadreQAXnQ7oCoH982DjIA-QnZdO7ZoqkC0/edit#gid=884617569"",""S3 Totals!$A$2:$O$255""),10,FALSE)"),0.0)</f>
        <v>0</v>
      </c>
      <c r="N230" s="15">
        <f>IFERROR(__xludf.DUMMYFUNCTION("VLOOKUP(A230,IMPORTRANGE(""1QZ5UxyNCwadreQAXnQ7oCoH982DjIA-QnZdO7ZoqkC0/edit#gid=884617569"",""S3 Totals!$A$2:$O$255""),11,FALSE)"),0.0)</f>
        <v>0</v>
      </c>
      <c r="O230" s="110">
        <f t="shared" si="3"/>
        <v>0</v>
      </c>
      <c r="P230" s="16">
        <f>IFERROR(__xludf.DUMMYFUNCTION("VLOOKUP(A230,IMPORTRANGE(""1QZ5UxyNCwadreQAXnQ7oCoH982DjIA-QnZdO7ZoqkC0/edit#gid=884617569"",""S3 Totals!$A$2:$O$255""),13,FALSE)"),0.0)</f>
        <v>0</v>
      </c>
      <c r="Q230" s="15">
        <f>IFERROR(__xludf.DUMMYFUNCTION("VLOOKUP(A230,IMPORTRANGE(""1QZ5UxyNCwadreQAXnQ7oCoH982DjIA-QnZdO7ZoqkC0/edit#gid=884617569"",""S3 Totals!$A$2:$O$255""),14,FALSE)"),0.0)</f>
        <v>0</v>
      </c>
      <c r="R230" s="110">
        <f t="shared" si="4"/>
        <v>0</v>
      </c>
      <c r="S230" s="144"/>
    </row>
    <row r="231">
      <c r="A231" s="128" t="s">
        <v>256</v>
      </c>
      <c r="B231" s="16">
        <f>IFERROR(__xludf.DUMMYFUNCTION("VLOOKUP(A231,IMPORTRANGE(""1aFCnJY1qhIj8-JckJhDJ18aqmVo17tofpQmOjcYa3u8/edit#gid=1878241338"",""S3 Totals!$A$2:$O$255""),2,FALSE)"),0.0)</f>
        <v>0</v>
      </c>
      <c r="C231" s="15">
        <f>IFERROR(__xludf.DUMMYFUNCTION("VLOOKUP(A231,IMPORTRANGE(""1aFCnJY1qhIj8-JckJhDJ18aqmVo17tofpQmOjcYa3u8/edit#gid=1878241338"",""S3 Totals!$A$2:$O$255""),3,FALSE)"),0.0)</f>
        <v>0</v>
      </c>
      <c r="D231" s="16">
        <f>IFERROR(__xludf.DUMMYFUNCTION("VLOOKUP(A231,IMPORTRANGE(""1QZ5UxyNCwadreQAXnQ7oCoH982DjIA-QnZdO7ZoqkC0/edit#gid=884617569"",""S3 Totals!$A$2:$O$255""),2,FALSE)"),0.0)</f>
        <v>0</v>
      </c>
      <c r="E231" s="15">
        <f>IFERROR(__xludf.DUMMYFUNCTION("VLOOKUP(A231,IMPORTRANGE(""1QZ5UxyNCwadreQAXnQ7oCoH982DjIA-QnZdO7ZoqkC0/edit#gid=884617569"",""S3 Totals!$A$2:$O$255""),3,FALSE)"),0.0)</f>
        <v>0</v>
      </c>
      <c r="F231" s="15">
        <f t="shared" si="1"/>
        <v>0</v>
      </c>
      <c r="G231" s="16">
        <f>IFERROR(__xludf.DUMMYFUNCTION("VLOOKUP(A231,IMPORTRANGE(""1QZ5UxyNCwadreQAXnQ7oCoH982DjIA-QnZdO7ZoqkC0/edit#gid=884617569"",""S3 Totals!$A$2:$O$255""),4,FALSE)"),0.0)</f>
        <v>0</v>
      </c>
      <c r="H231" s="15">
        <f>IFERROR(__xludf.DUMMYFUNCTION("VLOOKUP(A231,IMPORTRANGE(""1QZ5UxyNCwadreQAXnQ7oCoH982DjIA-QnZdO7ZoqkC0/edit#gid=884617569"",""S3 Totals!$A$2:$O$255""),5,FALSE)"),0.0)</f>
        <v>0</v>
      </c>
      <c r="I231" s="143">
        <f t="shared" si="2"/>
        <v>0</v>
      </c>
      <c r="J231" s="16" t="str">
        <f>IFERROR(__xludf.DUMMYFUNCTION("VLOOKUP(A231,IMPORTRANGE(""1QZ5UxyNCwadreQAXnQ7oCoH982DjIA-QnZdO7ZoqkC0/edit#gid=884617569"",""S3 Totals!$A$2:$O$255""),7,FALSE)"),"")</f>
        <v/>
      </c>
      <c r="K231" s="15" t="str">
        <f>IFERROR(__xludf.DUMMYFUNCTION("VLOOKUP(A231,IMPORTRANGE(""1QZ5UxyNCwadreQAXnQ7oCoH982DjIA-QnZdO7ZoqkC0/edit#gid=884617569"",""S3 Totals!$A$2:$O$255""),8,FALSE)"),"")</f>
        <v/>
      </c>
      <c r="L231" s="110">
        <f t="shared" si="5"/>
        <v>0</v>
      </c>
      <c r="M231" s="16" t="str">
        <f>IFERROR(__xludf.DUMMYFUNCTION("VLOOKUP(A231,IMPORTRANGE(""1QZ5UxyNCwadreQAXnQ7oCoH982DjIA-QnZdO7ZoqkC0/edit#gid=884617569"",""S3 Totals!$A$2:$O$255""),10,FALSE)"),"")</f>
        <v/>
      </c>
      <c r="N231" s="15" t="str">
        <f>IFERROR(__xludf.DUMMYFUNCTION("VLOOKUP(A231,IMPORTRANGE(""1QZ5UxyNCwadreQAXnQ7oCoH982DjIA-QnZdO7ZoqkC0/edit#gid=884617569"",""S3 Totals!$A$2:$O$255""),11,FALSE)"),"")</f>
        <v/>
      </c>
      <c r="O231" s="110">
        <f t="shared" si="3"/>
        <v>0</v>
      </c>
      <c r="P231" s="16" t="str">
        <f>IFERROR(__xludf.DUMMYFUNCTION("VLOOKUP(A231,IMPORTRANGE(""1QZ5UxyNCwadreQAXnQ7oCoH982DjIA-QnZdO7ZoqkC0/edit#gid=884617569"",""S3 Totals!$A$2:$O$255""),13,FALSE)"),"")</f>
        <v/>
      </c>
      <c r="Q231" s="15" t="str">
        <f>IFERROR(__xludf.DUMMYFUNCTION("VLOOKUP(A231,IMPORTRANGE(""1QZ5UxyNCwadreQAXnQ7oCoH982DjIA-QnZdO7ZoqkC0/edit#gid=884617569"",""S3 Totals!$A$2:$O$255""),14,FALSE)"),"")</f>
        <v/>
      </c>
      <c r="R231" s="110">
        <f t="shared" si="4"/>
        <v>0</v>
      </c>
      <c r="S231" s="144"/>
    </row>
    <row r="232">
      <c r="A232" s="128" t="s">
        <v>205</v>
      </c>
      <c r="B232" s="16">
        <f>IFERROR(__xludf.DUMMYFUNCTION("VLOOKUP(A232,IMPORTRANGE(""1aFCnJY1qhIj8-JckJhDJ18aqmVo17tofpQmOjcYa3u8/edit#gid=1878241338"",""S3 Totals!$A$2:$O$255""),2,FALSE)"),68.0)</f>
        <v>68</v>
      </c>
      <c r="C232" s="15">
        <f>IFERROR(__xludf.DUMMYFUNCTION("VLOOKUP(A232,IMPORTRANGE(""1aFCnJY1qhIj8-JckJhDJ18aqmVo17tofpQmOjcYa3u8/edit#gid=1878241338"",""S3 Totals!$A$2:$O$255""),3,FALSE)"),0.9315068493150684)</f>
        <v>0.9315068493</v>
      </c>
      <c r="D232" s="16">
        <f>IFERROR(__xludf.DUMMYFUNCTION("VLOOKUP(A232,IMPORTRANGE(""1QZ5UxyNCwadreQAXnQ7oCoH982DjIA-QnZdO7ZoqkC0/edit#gid=884617569"",""S3 Totals!$A$2:$O$255""),2,FALSE)"),72.0)</f>
        <v>72</v>
      </c>
      <c r="E232" s="15">
        <f>IFERROR(__xludf.DUMMYFUNCTION("VLOOKUP(A232,IMPORTRANGE(""1QZ5UxyNCwadreQAXnQ7oCoH982DjIA-QnZdO7ZoqkC0/edit#gid=884617569"",""S3 Totals!$A$2:$O$255""),3,FALSE)"),0.972972972972973)</f>
        <v>0.972972973</v>
      </c>
      <c r="F232" s="15">
        <f t="shared" si="1"/>
        <v>-0.04146612366</v>
      </c>
      <c r="G232" s="16">
        <f>IFERROR(__xludf.DUMMYFUNCTION("VLOOKUP(A232,IMPORTRANGE(""1QZ5UxyNCwadreQAXnQ7oCoH982DjIA-QnZdO7ZoqkC0/edit#gid=884617569"",""S3 Totals!$A$2:$O$255""),4,FALSE)"),1.0)</f>
        <v>1</v>
      </c>
      <c r="H232" s="15">
        <f>IFERROR(__xludf.DUMMYFUNCTION("VLOOKUP(A232,IMPORTRANGE(""1QZ5UxyNCwadreQAXnQ7oCoH982DjIA-QnZdO7ZoqkC0/edit#gid=884617569"",""S3 Totals!$A$2:$O$255""),5,FALSE)"),0.012658227848101266)</f>
        <v>0.01265822785</v>
      </c>
      <c r="I232" s="143">
        <f t="shared" si="2"/>
        <v>0.9188486215</v>
      </c>
      <c r="J232" s="16">
        <f>IFERROR(__xludf.DUMMYFUNCTION("VLOOKUP(A232,IMPORTRANGE(""1QZ5UxyNCwadreQAXnQ7oCoH982DjIA-QnZdO7ZoqkC0/edit#gid=884617569"",""S3 Totals!$A$2:$O$255""),7,FALSE)"),1.0)</f>
        <v>1</v>
      </c>
      <c r="K232" s="15">
        <f>IFERROR(__xludf.DUMMYFUNCTION("VLOOKUP(A232,IMPORTRANGE(""1QZ5UxyNCwadreQAXnQ7oCoH982DjIA-QnZdO7ZoqkC0/edit#gid=884617569"",""S3 Totals!$A$2:$O$255""),8,FALSE)"),0.011764705882352941)</f>
        <v>0.01176470588</v>
      </c>
      <c r="L232" s="110">
        <f t="shared" si="5"/>
        <v>0.9612082671</v>
      </c>
      <c r="M232" s="16" t="str">
        <f>IFERROR(__xludf.DUMMYFUNCTION("VLOOKUP(A232,IMPORTRANGE(""1QZ5UxyNCwadreQAXnQ7oCoH982DjIA-QnZdO7ZoqkC0/edit#gid=884617569"",""S3 Totals!$A$2:$O$255""),10,FALSE)"),"")</f>
        <v/>
      </c>
      <c r="N232" s="15" t="str">
        <f>IFERROR(__xludf.DUMMYFUNCTION("VLOOKUP(A232,IMPORTRANGE(""1QZ5UxyNCwadreQAXnQ7oCoH982DjIA-QnZdO7ZoqkC0/edit#gid=884617569"",""S3 Totals!$A$2:$O$255""),11,FALSE)"),"")</f>
        <v/>
      </c>
      <c r="O232" s="110">
        <f t="shared" si="3"/>
        <v>0.9315068493</v>
      </c>
      <c r="P232" s="16" t="str">
        <f>IFERROR(__xludf.DUMMYFUNCTION("VLOOKUP(A232,IMPORTRANGE(""1QZ5UxyNCwadreQAXnQ7oCoH982DjIA-QnZdO7ZoqkC0/edit#gid=884617569"",""S3 Totals!$A$2:$O$255""),13,FALSE)"),"")</f>
        <v/>
      </c>
      <c r="Q232" s="15" t="str">
        <f>IFERROR(__xludf.DUMMYFUNCTION("VLOOKUP(A232,IMPORTRANGE(""1QZ5UxyNCwadreQAXnQ7oCoH982DjIA-QnZdO7ZoqkC0/edit#gid=884617569"",""S3 Totals!$A$2:$O$255""),14,FALSE)"),"")</f>
        <v/>
      </c>
      <c r="R232" s="110">
        <f t="shared" si="4"/>
        <v>0.9315068493</v>
      </c>
      <c r="S232" s="144"/>
    </row>
    <row r="233">
      <c r="A233" s="128" t="s">
        <v>101</v>
      </c>
      <c r="B233" s="16">
        <f>IFERROR(__xludf.DUMMYFUNCTION("VLOOKUP(A233,IMPORTRANGE(""1aFCnJY1qhIj8-JckJhDJ18aqmVo17tofpQmOjcYa3u8/edit#gid=1878241338"",""S3 Totals!$A$2:$O$255""),2,FALSE)"),18.0)</f>
        <v>18</v>
      </c>
      <c r="C233" s="15">
        <f>IFERROR(__xludf.DUMMYFUNCTION("VLOOKUP(A233,IMPORTRANGE(""1aFCnJY1qhIj8-JckJhDJ18aqmVo17tofpQmOjcYa3u8/edit#gid=1878241338"",""S3 Totals!$A$2:$O$255""),3,FALSE)"),0.2465753424657534)</f>
        <v>0.2465753425</v>
      </c>
      <c r="D233" s="16">
        <f>IFERROR(__xludf.DUMMYFUNCTION("VLOOKUP(A233,IMPORTRANGE(""1QZ5UxyNCwadreQAXnQ7oCoH982DjIA-QnZdO7ZoqkC0/edit#gid=884617569"",""S3 Totals!$A$2:$O$255""),2,FALSE)"),18.0)</f>
        <v>18</v>
      </c>
      <c r="E233" s="15">
        <f>IFERROR(__xludf.DUMMYFUNCTION("VLOOKUP(A233,IMPORTRANGE(""1QZ5UxyNCwadreQAXnQ7oCoH982DjIA-QnZdO7ZoqkC0/edit#gid=884617569"",""S3 Totals!$A$2:$O$255""),3,FALSE)"),0.24324324324324326)</f>
        <v>0.2432432432</v>
      </c>
      <c r="F233" s="15">
        <f t="shared" si="1"/>
        <v>0.003332099223</v>
      </c>
      <c r="G233" s="16">
        <f>IFERROR(__xludf.DUMMYFUNCTION("VLOOKUP(A233,IMPORTRANGE(""1QZ5UxyNCwadreQAXnQ7oCoH982DjIA-QnZdO7ZoqkC0/edit#gid=884617569"",""S3 Totals!$A$2:$O$255""),4,FALSE)"),21.0)</f>
        <v>21</v>
      </c>
      <c r="H233" s="15">
        <f>IFERROR(__xludf.DUMMYFUNCTION("VLOOKUP(A233,IMPORTRANGE(""1QZ5UxyNCwadreQAXnQ7oCoH982DjIA-QnZdO7ZoqkC0/edit#gid=884617569"",""S3 Totals!$A$2:$O$255""),5,FALSE)"),0.26582278481012656)</f>
        <v>0.2658227848</v>
      </c>
      <c r="I233" s="143">
        <f t="shared" si="2"/>
        <v>-0.01924744234</v>
      </c>
      <c r="J233" s="16">
        <f>IFERROR(__xludf.DUMMYFUNCTION("VLOOKUP(A233,IMPORTRANGE(""1QZ5UxyNCwadreQAXnQ7oCoH982DjIA-QnZdO7ZoqkC0/edit#gid=884617569"",""S3 Totals!$A$2:$O$255""),7,FALSE)"),18.0)</f>
        <v>18</v>
      </c>
      <c r="K233" s="15">
        <f>IFERROR(__xludf.DUMMYFUNCTION("VLOOKUP(A233,IMPORTRANGE(""1QZ5UxyNCwadreQAXnQ7oCoH982DjIA-QnZdO7ZoqkC0/edit#gid=884617569"",""S3 Totals!$A$2:$O$255""),8,FALSE)"),0.21176470588235294)</f>
        <v>0.2117647059</v>
      </c>
      <c r="L233" s="110">
        <f t="shared" si="5"/>
        <v>0.03147853736</v>
      </c>
      <c r="M233" s="16">
        <f>IFERROR(__xludf.DUMMYFUNCTION("VLOOKUP(A233,IMPORTRANGE(""1QZ5UxyNCwadreQAXnQ7oCoH982DjIA-QnZdO7ZoqkC0/edit#gid=884617569"",""S3 Totals!$A$2:$O$255""),10,FALSE)"),19.0)</f>
        <v>19</v>
      </c>
      <c r="N233" s="15">
        <f>IFERROR(__xludf.DUMMYFUNCTION("VLOOKUP(A233,IMPORTRANGE(""1QZ5UxyNCwadreQAXnQ7oCoH982DjIA-QnZdO7ZoqkC0/edit#gid=884617569"",""S3 Totals!$A$2:$O$255""),11,FALSE)"),0.2235294117647059)</f>
        <v>0.2235294118</v>
      </c>
      <c r="O233" s="110">
        <f t="shared" si="3"/>
        <v>0.0230459307</v>
      </c>
      <c r="P233" s="16">
        <f>IFERROR(__xludf.DUMMYFUNCTION("VLOOKUP(A233,IMPORTRANGE(""1QZ5UxyNCwadreQAXnQ7oCoH982DjIA-QnZdO7ZoqkC0/edit#gid=884617569"",""S3 Totals!$A$2:$O$255""),13,FALSE)"),0.0)</f>
        <v>0</v>
      </c>
      <c r="Q233" s="15">
        <f>IFERROR(__xludf.DUMMYFUNCTION("VLOOKUP(A233,IMPORTRANGE(""1QZ5UxyNCwadreQAXnQ7oCoH982DjIA-QnZdO7ZoqkC0/edit#gid=884617569"",""S3 Totals!$A$2:$O$255""),14,FALSE)"),0.0)</f>
        <v>0</v>
      </c>
      <c r="R233" s="110">
        <f t="shared" si="4"/>
        <v>0.2465753425</v>
      </c>
      <c r="S233" s="144"/>
    </row>
    <row r="234">
      <c r="A234" s="128" t="s">
        <v>102</v>
      </c>
      <c r="B234" s="16">
        <f>IFERROR(__xludf.DUMMYFUNCTION("VLOOKUP(A234,IMPORTRANGE(""1aFCnJY1qhIj8-JckJhDJ18aqmVo17tofpQmOjcYa3u8/edit#gid=1878241338"",""S3 Totals!$A$2:$O$255""),2,FALSE)"),29.0)</f>
        <v>29</v>
      </c>
      <c r="C234" s="15">
        <f>IFERROR(__xludf.DUMMYFUNCTION("VLOOKUP(A234,IMPORTRANGE(""1aFCnJY1qhIj8-JckJhDJ18aqmVo17tofpQmOjcYa3u8/edit#gid=1878241338"",""S3 Totals!$A$2:$O$255""),3,FALSE)"),0.3972602739726027)</f>
        <v>0.397260274</v>
      </c>
      <c r="D234" s="16">
        <f>IFERROR(__xludf.DUMMYFUNCTION("VLOOKUP(A234,IMPORTRANGE(""1QZ5UxyNCwadreQAXnQ7oCoH982DjIA-QnZdO7ZoqkC0/edit#gid=884617569"",""S3 Totals!$A$2:$O$255""),2,FALSE)"),24.0)</f>
        <v>24</v>
      </c>
      <c r="E234" s="15">
        <f>IFERROR(__xludf.DUMMYFUNCTION("VLOOKUP(A234,IMPORTRANGE(""1QZ5UxyNCwadreQAXnQ7oCoH982DjIA-QnZdO7ZoqkC0/edit#gid=884617569"",""S3 Totals!$A$2:$O$255""),3,FALSE)"),0.32432432432432434)</f>
        <v>0.3243243243</v>
      </c>
      <c r="F234" s="15">
        <f t="shared" si="1"/>
        <v>0.07293594965</v>
      </c>
      <c r="G234" s="16">
        <f>IFERROR(__xludf.DUMMYFUNCTION("VLOOKUP(A234,IMPORTRANGE(""1QZ5UxyNCwadreQAXnQ7oCoH982DjIA-QnZdO7ZoqkC0/edit#gid=884617569"",""S3 Totals!$A$2:$O$255""),4,FALSE)"),17.0)</f>
        <v>17</v>
      </c>
      <c r="H234" s="15">
        <f>IFERROR(__xludf.DUMMYFUNCTION("VLOOKUP(A234,IMPORTRANGE(""1QZ5UxyNCwadreQAXnQ7oCoH982DjIA-QnZdO7ZoqkC0/edit#gid=884617569"",""S3 Totals!$A$2:$O$255""),5,FALSE)"),0.21518987341772153)</f>
        <v>0.2151898734</v>
      </c>
      <c r="I234" s="143">
        <f t="shared" si="2"/>
        <v>0.1820704006</v>
      </c>
      <c r="J234" s="16">
        <f>IFERROR(__xludf.DUMMYFUNCTION("VLOOKUP(A234,IMPORTRANGE(""1QZ5UxyNCwadreQAXnQ7oCoH982DjIA-QnZdO7ZoqkC0/edit#gid=884617569"",""S3 Totals!$A$2:$O$255""),7,FALSE)"),18.0)</f>
        <v>18</v>
      </c>
      <c r="K234" s="15">
        <f>IFERROR(__xludf.DUMMYFUNCTION("VLOOKUP(A234,IMPORTRANGE(""1QZ5UxyNCwadreQAXnQ7oCoH982DjIA-QnZdO7ZoqkC0/edit#gid=884617569"",""S3 Totals!$A$2:$O$255""),8,FALSE)"),0.21176470588235294)</f>
        <v>0.2117647059</v>
      </c>
      <c r="L234" s="110">
        <f t="shared" si="5"/>
        <v>0.1125596184</v>
      </c>
      <c r="M234" s="16">
        <f>IFERROR(__xludf.DUMMYFUNCTION("VLOOKUP(A234,IMPORTRANGE(""1QZ5UxyNCwadreQAXnQ7oCoH982DjIA-QnZdO7ZoqkC0/edit#gid=884617569"",""S3 Totals!$A$2:$O$255""),10,FALSE)"),11.0)</f>
        <v>11</v>
      </c>
      <c r="N234" s="15">
        <f>IFERROR(__xludf.DUMMYFUNCTION("VLOOKUP(A234,IMPORTRANGE(""1QZ5UxyNCwadreQAXnQ7oCoH982DjIA-QnZdO7ZoqkC0/edit#gid=884617569"",""S3 Totals!$A$2:$O$255""),11,FALSE)"),0.12941176470588237)</f>
        <v>0.1294117647</v>
      </c>
      <c r="O234" s="110">
        <f t="shared" si="3"/>
        <v>0.2678485093</v>
      </c>
      <c r="P234" s="16">
        <f>IFERROR(__xludf.DUMMYFUNCTION("VLOOKUP(A234,IMPORTRANGE(""1QZ5UxyNCwadreQAXnQ7oCoH982DjIA-QnZdO7ZoqkC0/edit#gid=884617569"",""S3 Totals!$A$2:$O$255""),13,FALSE)"),11.0)</f>
        <v>11</v>
      </c>
      <c r="Q234" s="15">
        <f>IFERROR(__xludf.DUMMYFUNCTION("VLOOKUP(A234,IMPORTRANGE(""1QZ5UxyNCwadreQAXnQ7oCoH982DjIA-QnZdO7ZoqkC0/edit#gid=884617569"",""S3 Totals!$A$2:$O$255""),14,FALSE)"),0.12941176470588237)</f>
        <v>0.1294117647</v>
      </c>
      <c r="R234" s="110">
        <f t="shared" si="4"/>
        <v>0.2678485093</v>
      </c>
      <c r="S234" s="144"/>
    </row>
    <row r="235">
      <c r="A235" s="128" t="s">
        <v>257</v>
      </c>
      <c r="B235" s="16">
        <f>IFERROR(__xludf.DUMMYFUNCTION("VLOOKUP(A235,IMPORTRANGE(""1aFCnJY1qhIj8-JckJhDJ18aqmVo17tofpQmOjcYa3u8/edit#gid=1878241338"",""S3 Totals!$A$2:$O$255""),2,FALSE)"),0.0)</f>
        <v>0</v>
      </c>
      <c r="C235" s="15">
        <f>IFERROR(__xludf.DUMMYFUNCTION("VLOOKUP(A235,IMPORTRANGE(""1aFCnJY1qhIj8-JckJhDJ18aqmVo17tofpQmOjcYa3u8/edit#gid=1878241338"",""S3 Totals!$A$2:$O$255""),3,FALSE)"),0.0)</f>
        <v>0</v>
      </c>
      <c r="D235" s="16">
        <f>IFERROR(__xludf.DUMMYFUNCTION("VLOOKUP(A235,IMPORTRANGE(""1QZ5UxyNCwadreQAXnQ7oCoH982DjIA-QnZdO7ZoqkC0/edit#gid=884617569"",""S3 Totals!$A$2:$O$255""),2,FALSE)"),0.0)</f>
        <v>0</v>
      </c>
      <c r="E235" s="15">
        <f>IFERROR(__xludf.DUMMYFUNCTION("VLOOKUP(A235,IMPORTRANGE(""1QZ5UxyNCwadreQAXnQ7oCoH982DjIA-QnZdO7ZoqkC0/edit#gid=884617569"",""S3 Totals!$A$2:$O$255""),3,FALSE)"),0.0)</f>
        <v>0</v>
      </c>
      <c r="F235" s="15">
        <f t="shared" si="1"/>
        <v>0</v>
      </c>
      <c r="G235" s="16">
        <f>IFERROR(__xludf.DUMMYFUNCTION("VLOOKUP(A235,IMPORTRANGE(""1QZ5UxyNCwadreQAXnQ7oCoH982DjIA-QnZdO7ZoqkC0/edit#gid=884617569"",""S3 Totals!$A$2:$O$255""),4,FALSE)"),0.0)</f>
        <v>0</v>
      </c>
      <c r="H235" s="15">
        <f>IFERROR(__xludf.DUMMYFUNCTION("VLOOKUP(A235,IMPORTRANGE(""1QZ5UxyNCwadreQAXnQ7oCoH982DjIA-QnZdO7ZoqkC0/edit#gid=884617569"",""S3 Totals!$A$2:$O$255""),5,FALSE)"),0.0)</f>
        <v>0</v>
      </c>
      <c r="I235" s="143">
        <f t="shared" si="2"/>
        <v>0</v>
      </c>
      <c r="J235" s="16" t="str">
        <f>IFERROR(__xludf.DUMMYFUNCTION("VLOOKUP(A235,IMPORTRANGE(""1QZ5UxyNCwadreQAXnQ7oCoH982DjIA-QnZdO7ZoqkC0/edit#gid=884617569"",""S3 Totals!$A$2:$O$255""),7,FALSE)"),"")</f>
        <v/>
      </c>
      <c r="K235" s="15" t="str">
        <f>IFERROR(__xludf.DUMMYFUNCTION("VLOOKUP(A235,IMPORTRANGE(""1QZ5UxyNCwadreQAXnQ7oCoH982DjIA-QnZdO7ZoqkC0/edit#gid=884617569"",""S3 Totals!$A$2:$O$255""),8,FALSE)"),"")</f>
        <v/>
      </c>
      <c r="L235" s="110">
        <f t="shared" si="5"/>
        <v>0</v>
      </c>
      <c r="M235" s="16" t="str">
        <f>IFERROR(__xludf.DUMMYFUNCTION("VLOOKUP(A235,IMPORTRANGE(""1QZ5UxyNCwadreQAXnQ7oCoH982DjIA-QnZdO7ZoqkC0/edit#gid=884617569"",""S3 Totals!$A$2:$O$255""),10,FALSE)"),"")</f>
        <v/>
      </c>
      <c r="N235" s="15" t="str">
        <f>IFERROR(__xludf.DUMMYFUNCTION("VLOOKUP(A235,IMPORTRANGE(""1QZ5UxyNCwadreQAXnQ7oCoH982DjIA-QnZdO7ZoqkC0/edit#gid=884617569"",""S3 Totals!$A$2:$O$255""),11,FALSE)"),"")</f>
        <v/>
      </c>
      <c r="O235" s="110">
        <f t="shared" si="3"/>
        <v>0</v>
      </c>
      <c r="P235" s="16" t="str">
        <f>IFERROR(__xludf.DUMMYFUNCTION("VLOOKUP(A235,IMPORTRANGE(""1QZ5UxyNCwadreQAXnQ7oCoH982DjIA-QnZdO7ZoqkC0/edit#gid=884617569"",""S3 Totals!$A$2:$O$255""),13,FALSE)"),"")</f>
        <v/>
      </c>
      <c r="Q235" s="15" t="str">
        <f>IFERROR(__xludf.DUMMYFUNCTION("VLOOKUP(A235,IMPORTRANGE(""1QZ5UxyNCwadreQAXnQ7oCoH982DjIA-QnZdO7ZoqkC0/edit#gid=884617569"",""S3 Totals!$A$2:$O$255""),14,FALSE)"),"")</f>
        <v/>
      </c>
      <c r="R235" s="110">
        <f t="shared" si="4"/>
        <v>0</v>
      </c>
      <c r="S235" s="144"/>
    </row>
    <row r="236">
      <c r="A236" s="128" t="s">
        <v>103</v>
      </c>
      <c r="B236" s="16">
        <f>IFERROR(__xludf.DUMMYFUNCTION("VLOOKUP(A236,IMPORTRANGE(""1aFCnJY1qhIj8-JckJhDJ18aqmVo17tofpQmOjcYa3u8/edit#gid=1878241338"",""S3 Totals!$A$2:$O$255""),2,FALSE)"),67.0)</f>
        <v>67</v>
      </c>
      <c r="C236" s="15">
        <f>IFERROR(__xludf.DUMMYFUNCTION("VLOOKUP(A236,IMPORTRANGE(""1aFCnJY1qhIj8-JckJhDJ18aqmVo17tofpQmOjcYa3u8/edit#gid=1878241338"",""S3 Totals!$A$2:$O$255""),3,FALSE)"),0.9178082191780822)</f>
        <v>0.9178082192</v>
      </c>
      <c r="D236" s="16">
        <f>IFERROR(__xludf.DUMMYFUNCTION("VLOOKUP(A236,IMPORTRANGE(""1QZ5UxyNCwadreQAXnQ7oCoH982DjIA-QnZdO7ZoqkC0/edit#gid=884617569"",""S3 Totals!$A$2:$O$255""),2,FALSE)"),63.0)</f>
        <v>63</v>
      </c>
      <c r="E236" s="15">
        <f>IFERROR(__xludf.DUMMYFUNCTION("VLOOKUP(A236,IMPORTRANGE(""1QZ5UxyNCwadreQAXnQ7oCoH982DjIA-QnZdO7ZoqkC0/edit#gid=884617569"",""S3 Totals!$A$2:$O$255""),3,FALSE)"),0.8513513513513513)</f>
        <v>0.8513513514</v>
      </c>
      <c r="F236" s="15">
        <f t="shared" si="1"/>
        <v>0.06645686783</v>
      </c>
      <c r="G236" s="16">
        <f>IFERROR(__xludf.DUMMYFUNCTION("VLOOKUP(A236,IMPORTRANGE(""1QZ5UxyNCwadreQAXnQ7oCoH982DjIA-QnZdO7ZoqkC0/edit#gid=884617569"",""S3 Totals!$A$2:$O$255""),4,FALSE)"),58.0)</f>
        <v>58</v>
      </c>
      <c r="H236" s="15">
        <f>IFERROR(__xludf.DUMMYFUNCTION("VLOOKUP(A236,IMPORTRANGE(""1QZ5UxyNCwadreQAXnQ7oCoH982DjIA-QnZdO7ZoqkC0/edit#gid=884617569"",""S3 Totals!$A$2:$O$255""),5,FALSE)"),0.7341772151898734)</f>
        <v>0.7341772152</v>
      </c>
      <c r="I236" s="143">
        <f t="shared" si="2"/>
        <v>0.183631004</v>
      </c>
      <c r="J236" s="16">
        <f>IFERROR(__xludf.DUMMYFUNCTION("VLOOKUP(A236,IMPORTRANGE(""1QZ5UxyNCwadreQAXnQ7oCoH982DjIA-QnZdO7ZoqkC0/edit#gid=884617569"",""S3 Totals!$A$2:$O$255""),7,FALSE)"),41.0)</f>
        <v>41</v>
      </c>
      <c r="K236" s="15">
        <f>IFERROR(__xludf.DUMMYFUNCTION("VLOOKUP(A236,IMPORTRANGE(""1QZ5UxyNCwadreQAXnQ7oCoH982DjIA-QnZdO7ZoqkC0/edit#gid=884617569"",""S3 Totals!$A$2:$O$255""),8,FALSE)"),0.4823529411764706)</f>
        <v>0.4823529412</v>
      </c>
      <c r="L236" s="110">
        <f t="shared" si="5"/>
        <v>0.3689984102</v>
      </c>
      <c r="M236" s="16">
        <f>IFERROR(__xludf.DUMMYFUNCTION("VLOOKUP(A236,IMPORTRANGE(""1QZ5UxyNCwadreQAXnQ7oCoH982DjIA-QnZdO7ZoqkC0/edit#gid=884617569"",""S3 Totals!$A$2:$O$255""),10,FALSE)"),29.0)</f>
        <v>29</v>
      </c>
      <c r="N236" s="15">
        <f>IFERROR(__xludf.DUMMYFUNCTION("VLOOKUP(A236,IMPORTRANGE(""1QZ5UxyNCwadreQAXnQ7oCoH982DjIA-QnZdO7ZoqkC0/edit#gid=884617569"",""S3 Totals!$A$2:$O$255""),11,FALSE)"),0.3411764705882353)</f>
        <v>0.3411764706</v>
      </c>
      <c r="O236" s="110">
        <f t="shared" si="3"/>
        <v>0.5766317486</v>
      </c>
      <c r="P236" s="16">
        <f>IFERROR(__xludf.DUMMYFUNCTION("VLOOKUP(A236,IMPORTRANGE(""1QZ5UxyNCwadreQAXnQ7oCoH982DjIA-QnZdO7ZoqkC0/edit#gid=884617569"",""S3 Totals!$A$2:$O$255""),13,FALSE)"),12.0)</f>
        <v>12</v>
      </c>
      <c r="Q236" s="15">
        <f>IFERROR(__xludf.DUMMYFUNCTION("VLOOKUP(A236,IMPORTRANGE(""1QZ5UxyNCwadreQAXnQ7oCoH982DjIA-QnZdO7ZoqkC0/edit#gid=884617569"",""S3 Totals!$A$2:$O$255""),14,FALSE)"),0.1411764705882353)</f>
        <v>0.1411764706</v>
      </c>
      <c r="R236" s="110">
        <f t="shared" si="4"/>
        <v>0.7766317486</v>
      </c>
      <c r="S236" s="144"/>
    </row>
    <row r="237">
      <c r="A237" s="128" t="s">
        <v>104</v>
      </c>
      <c r="B237" s="16">
        <f>IFERROR(__xludf.DUMMYFUNCTION("VLOOKUP(A237,IMPORTRANGE(""1aFCnJY1qhIj8-JckJhDJ18aqmVo17tofpQmOjcYa3u8/edit#gid=1878241338"",""S3 Totals!$A$2:$O$255""),2,FALSE)"),1.0)</f>
        <v>1</v>
      </c>
      <c r="C237" s="15">
        <f>IFERROR(__xludf.DUMMYFUNCTION("VLOOKUP(A237,IMPORTRANGE(""1aFCnJY1qhIj8-JckJhDJ18aqmVo17tofpQmOjcYa3u8/edit#gid=1878241338"",""S3 Totals!$A$2:$O$255""),3,FALSE)"),0.0136986301369863)</f>
        <v>0.01369863014</v>
      </c>
      <c r="D237" s="16">
        <f>IFERROR(__xludf.DUMMYFUNCTION("VLOOKUP(A237,IMPORTRANGE(""1QZ5UxyNCwadreQAXnQ7oCoH982DjIA-QnZdO7ZoqkC0/edit#gid=884617569"",""S3 Totals!$A$2:$O$255""),2,FALSE)"),0.0)</f>
        <v>0</v>
      </c>
      <c r="E237" s="15">
        <f>IFERROR(__xludf.DUMMYFUNCTION("VLOOKUP(A237,IMPORTRANGE(""1QZ5UxyNCwadreQAXnQ7oCoH982DjIA-QnZdO7ZoqkC0/edit#gid=884617569"",""S3 Totals!$A$2:$O$255""),3,FALSE)"),0.0)</f>
        <v>0</v>
      </c>
      <c r="F237" s="15">
        <f t="shared" si="1"/>
        <v>0.01369863014</v>
      </c>
      <c r="G237" s="16">
        <f>IFERROR(__xludf.DUMMYFUNCTION("VLOOKUP(A237,IMPORTRANGE(""1QZ5UxyNCwadreQAXnQ7oCoH982DjIA-QnZdO7ZoqkC0/edit#gid=884617569"",""S3 Totals!$A$2:$O$255""),4,FALSE)"),26.0)</f>
        <v>26</v>
      </c>
      <c r="H237" s="15">
        <f>IFERROR(__xludf.DUMMYFUNCTION("VLOOKUP(A237,IMPORTRANGE(""1QZ5UxyNCwadreQAXnQ7oCoH982DjIA-QnZdO7ZoqkC0/edit#gid=884617569"",""S3 Totals!$A$2:$O$255""),5,FALSE)"),0.3291139240506329)</f>
        <v>0.3291139241</v>
      </c>
      <c r="I237" s="143">
        <f t="shared" si="2"/>
        <v>-0.3154152939</v>
      </c>
      <c r="J237" s="16">
        <f>IFERROR(__xludf.DUMMYFUNCTION("VLOOKUP(A237,IMPORTRANGE(""1QZ5UxyNCwadreQAXnQ7oCoH982DjIA-QnZdO7ZoqkC0/edit#gid=884617569"",""S3 Totals!$A$2:$O$255""),7,FALSE)"),0.0)</f>
        <v>0</v>
      </c>
      <c r="K237" s="15">
        <f>IFERROR(__xludf.DUMMYFUNCTION("VLOOKUP(A237,IMPORTRANGE(""1QZ5UxyNCwadreQAXnQ7oCoH982DjIA-QnZdO7ZoqkC0/edit#gid=884617569"",""S3 Totals!$A$2:$O$255""),8,FALSE)"),0.0)</f>
        <v>0</v>
      </c>
      <c r="L237" s="110">
        <f t="shared" si="5"/>
        <v>0</v>
      </c>
      <c r="M237" s="16">
        <f>IFERROR(__xludf.DUMMYFUNCTION("VLOOKUP(A237,IMPORTRANGE(""1QZ5UxyNCwadreQAXnQ7oCoH982DjIA-QnZdO7ZoqkC0/edit#gid=884617569"",""S3 Totals!$A$2:$O$255""),10,FALSE)"),0.0)</f>
        <v>0</v>
      </c>
      <c r="N237" s="15">
        <f>IFERROR(__xludf.DUMMYFUNCTION("VLOOKUP(A237,IMPORTRANGE(""1QZ5UxyNCwadreQAXnQ7oCoH982DjIA-QnZdO7ZoqkC0/edit#gid=884617569"",""S3 Totals!$A$2:$O$255""),11,FALSE)"),0.0)</f>
        <v>0</v>
      </c>
      <c r="O237" s="110">
        <f t="shared" si="3"/>
        <v>0.01369863014</v>
      </c>
      <c r="P237" s="16">
        <f>IFERROR(__xludf.DUMMYFUNCTION("VLOOKUP(A237,IMPORTRANGE(""1QZ5UxyNCwadreQAXnQ7oCoH982DjIA-QnZdO7ZoqkC0/edit#gid=884617569"",""S3 Totals!$A$2:$O$255""),13,FALSE)"),0.0)</f>
        <v>0</v>
      </c>
      <c r="Q237" s="15">
        <f>IFERROR(__xludf.DUMMYFUNCTION("VLOOKUP(A237,IMPORTRANGE(""1QZ5UxyNCwadreQAXnQ7oCoH982DjIA-QnZdO7ZoqkC0/edit#gid=884617569"",""S3 Totals!$A$2:$O$255""),14,FALSE)"),0.0)</f>
        <v>0</v>
      </c>
      <c r="R237" s="110">
        <f t="shared" si="4"/>
        <v>0.01369863014</v>
      </c>
      <c r="S237" s="144"/>
    </row>
    <row r="238">
      <c r="A238" s="128" t="s">
        <v>153</v>
      </c>
      <c r="B238" s="16">
        <f>IFERROR(__xludf.DUMMYFUNCTION("VLOOKUP(A238,IMPORTRANGE(""1aFCnJY1qhIj8-JckJhDJ18aqmVo17tofpQmOjcYa3u8/edit#gid=1878241338"",""S3 Totals!$A$2:$O$255""),2,FALSE)"),0.0)</f>
        <v>0</v>
      </c>
      <c r="C238" s="15">
        <f>IFERROR(__xludf.DUMMYFUNCTION("VLOOKUP(A238,IMPORTRANGE(""1aFCnJY1qhIj8-JckJhDJ18aqmVo17tofpQmOjcYa3u8/edit#gid=1878241338"",""S3 Totals!$A$2:$O$255""),3,FALSE)"),0.0)</f>
        <v>0</v>
      </c>
      <c r="D238" s="16">
        <f>IFERROR(__xludf.DUMMYFUNCTION("VLOOKUP(A238,IMPORTRANGE(""1QZ5UxyNCwadreQAXnQ7oCoH982DjIA-QnZdO7ZoqkC0/edit#gid=884617569"",""S3 Totals!$A$2:$O$255""),2,FALSE)"),0.0)</f>
        <v>0</v>
      </c>
      <c r="E238" s="15">
        <f>IFERROR(__xludf.DUMMYFUNCTION("VLOOKUP(A238,IMPORTRANGE(""1QZ5UxyNCwadreQAXnQ7oCoH982DjIA-QnZdO7ZoqkC0/edit#gid=884617569"",""S3 Totals!$A$2:$O$255""),3,FALSE)"),0.0)</f>
        <v>0</v>
      </c>
      <c r="F238" s="15">
        <f t="shared" si="1"/>
        <v>0</v>
      </c>
      <c r="G238" s="16">
        <f>IFERROR(__xludf.DUMMYFUNCTION("VLOOKUP(A238,IMPORTRANGE(""1QZ5UxyNCwadreQAXnQ7oCoH982DjIA-QnZdO7ZoqkC0/edit#gid=884617569"",""S3 Totals!$A$2:$O$255""),4,FALSE)"),0.0)</f>
        <v>0</v>
      </c>
      <c r="H238" s="15">
        <f>IFERROR(__xludf.DUMMYFUNCTION("VLOOKUP(A238,IMPORTRANGE(""1QZ5UxyNCwadreQAXnQ7oCoH982DjIA-QnZdO7ZoqkC0/edit#gid=884617569"",""S3 Totals!$A$2:$O$255""),5,FALSE)"),0.0)</f>
        <v>0</v>
      </c>
      <c r="I238" s="143">
        <f t="shared" si="2"/>
        <v>0</v>
      </c>
      <c r="J238" s="16">
        <f>IFERROR(__xludf.DUMMYFUNCTION("VLOOKUP(A238,IMPORTRANGE(""1QZ5UxyNCwadreQAXnQ7oCoH982DjIA-QnZdO7ZoqkC0/edit#gid=884617569"",""S3 Totals!$A$2:$O$255""),7,FALSE)"),0.0)</f>
        <v>0</v>
      </c>
      <c r="K238" s="15">
        <f>IFERROR(__xludf.DUMMYFUNCTION("VLOOKUP(A238,IMPORTRANGE(""1QZ5UxyNCwadreQAXnQ7oCoH982DjIA-QnZdO7ZoqkC0/edit#gid=884617569"",""S3 Totals!$A$2:$O$255""),8,FALSE)"),0.0)</f>
        <v>0</v>
      </c>
      <c r="L238" s="110">
        <f t="shared" si="5"/>
        <v>0</v>
      </c>
      <c r="M238" s="16">
        <f>IFERROR(__xludf.DUMMYFUNCTION("VLOOKUP(A238,IMPORTRANGE(""1QZ5UxyNCwadreQAXnQ7oCoH982DjIA-QnZdO7ZoqkC0/edit#gid=884617569"",""S3 Totals!$A$2:$O$255""),10,FALSE)"),0.0)</f>
        <v>0</v>
      </c>
      <c r="N238" s="15">
        <f>IFERROR(__xludf.DUMMYFUNCTION("VLOOKUP(A238,IMPORTRANGE(""1QZ5UxyNCwadreQAXnQ7oCoH982DjIA-QnZdO7ZoqkC0/edit#gid=884617569"",""S3 Totals!$A$2:$O$255""),11,FALSE)"),0.0)</f>
        <v>0</v>
      </c>
      <c r="O238" s="110">
        <f t="shared" si="3"/>
        <v>0</v>
      </c>
      <c r="P238" s="16" t="str">
        <f>IFERROR(__xludf.DUMMYFUNCTION("VLOOKUP(A238,IMPORTRANGE(""1QZ5UxyNCwadreQAXnQ7oCoH982DjIA-QnZdO7ZoqkC0/edit#gid=884617569"",""S3 Totals!$A$2:$O$255""),13,FALSE)"),"")</f>
        <v/>
      </c>
      <c r="Q238" s="15" t="str">
        <f>IFERROR(__xludf.DUMMYFUNCTION("VLOOKUP(A238,IMPORTRANGE(""1QZ5UxyNCwadreQAXnQ7oCoH982DjIA-QnZdO7ZoqkC0/edit#gid=884617569"",""S3 Totals!$A$2:$O$255""),14,FALSE)"),"")</f>
        <v/>
      </c>
      <c r="R238" s="110">
        <f t="shared" si="4"/>
        <v>0</v>
      </c>
      <c r="S238" s="144"/>
    </row>
    <row r="239">
      <c r="A239" s="128" t="s">
        <v>154</v>
      </c>
      <c r="B239" s="16">
        <f>IFERROR(__xludf.DUMMYFUNCTION("VLOOKUP(A239,IMPORTRANGE(""1aFCnJY1qhIj8-JckJhDJ18aqmVo17tofpQmOjcYa3u8/edit#gid=1878241338"",""S3 Totals!$A$2:$O$255""),2,FALSE)"),0.0)</f>
        <v>0</v>
      </c>
      <c r="C239" s="15">
        <f>IFERROR(__xludf.DUMMYFUNCTION("VLOOKUP(A239,IMPORTRANGE(""1aFCnJY1qhIj8-JckJhDJ18aqmVo17tofpQmOjcYa3u8/edit#gid=1878241338"",""S3 Totals!$A$2:$O$255""),3,FALSE)"),0.0)</f>
        <v>0</v>
      </c>
      <c r="D239" s="16">
        <f>IFERROR(__xludf.DUMMYFUNCTION("VLOOKUP(A239,IMPORTRANGE(""1QZ5UxyNCwadreQAXnQ7oCoH982DjIA-QnZdO7ZoqkC0/edit#gid=884617569"",""S3 Totals!$A$2:$O$255""),2,FALSE)"),53.0)</f>
        <v>53</v>
      </c>
      <c r="E239" s="15">
        <f>IFERROR(__xludf.DUMMYFUNCTION("VLOOKUP(A239,IMPORTRANGE(""1QZ5UxyNCwadreQAXnQ7oCoH982DjIA-QnZdO7ZoqkC0/edit#gid=884617569"",""S3 Totals!$A$2:$O$255""),3,FALSE)"),0.7162162162162162)</f>
        <v>0.7162162162</v>
      </c>
      <c r="F239" s="15">
        <f t="shared" si="1"/>
        <v>-0.7162162162</v>
      </c>
      <c r="G239" s="16">
        <f>IFERROR(__xludf.DUMMYFUNCTION("VLOOKUP(A239,IMPORTRANGE(""1QZ5UxyNCwadreQAXnQ7oCoH982DjIA-QnZdO7ZoqkC0/edit#gid=884617569"",""S3 Totals!$A$2:$O$255""),4,FALSE)"),41.0)</f>
        <v>41</v>
      </c>
      <c r="H239" s="15">
        <f>IFERROR(__xludf.DUMMYFUNCTION("VLOOKUP(A239,IMPORTRANGE(""1QZ5UxyNCwadreQAXnQ7oCoH982DjIA-QnZdO7ZoqkC0/edit#gid=884617569"",""S3 Totals!$A$2:$O$255""),5,FALSE)"),0.5189873417721519)</f>
        <v>0.5189873418</v>
      </c>
      <c r="I239" s="143">
        <f t="shared" si="2"/>
        <v>-0.5189873418</v>
      </c>
      <c r="J239" s="16">
        <f>IFERROR(__xludf.DUMMYFUNCTION("VLOOKUP(A239,IMPORTRANGE(""1QZ5UxyNCwadreQAXnQ7oCoH982DjIA-QnZdO7ZoqkC0/edit#gid=884617569"",""S3 Totals!$A$2:$O$255""),7,FALSE)"),22.0)</f>
        <v>22</v>
      </c>
      <c r="K239" s="15">
        <f>IFERROR(__xludf.DUMMYFUNCTION("VLOOKUP(A239,IMPORTRANGE(""1QZ5UxyNCwadreQAXnQ7oCoH982DjIA-QnZdO7ZoqkC0/edit#gid=884617569"",""S3 Totals!$A$2:$O$255""),8,FALSE)"),0.25882352941176473)</f>
        <v>0.2588235294</v>
      </c>
      <c r="L239" s="110">
        <f t="shared" si="5"/>
        <v>0.4573926868</v>
      </c>
      <c r="M239" s="16">
        <f>IFERROR(__xludf.DUMMYFUNCTION("VLOOKUP(A239,IMPORTRANGE(""1QZ5UxyNCwadreQAXnQ7oCoH982DjIA-QnZdO7ZoqkC0/edit#gid=884617569"",""S3 Totals!$A$2:$O$255""),10,FALSE)"),9.0)</f>
        <v>9</v>
      </c>
      <c r="N239" s="15">
        <f>IFERROR(__xludf.DUMMYFUNCTION("VLOOKUP(A239,IMPORTRANGE(""1QZ5UxyNCwadreQAXnQ7oCoH982DjIA-QnZdO7ZoqkC0/edit#gid=884617569"",""S3 Totals!$A$2:$O$255""),11,FALSE)"),0.10588235294117647)</f>
        <v>0.1058823529</v>
      </c>
      <c r="O239" s="110">
        <f t="shared" si="3"/>
        <v>-0.1058823529</v>
      </c>
      <c r="P239" s="16" t="str">
        <f>IFERROR(__xludf.DUMMYFUNCTION("VLOOKUP(A239,IMPORTRANGE(""1QZ5UxyNCwadreQAXnQ7oCoH982DjIA-QnZdO7ZoqkC0/edit#gid=884617569"",""S3 Totals!$A$2:$O$255""),13,FALSE)"),"")</f>
        <v/>
      </c>
      <c r="Q239" s="15" t="str">
        <f>IFERROR(__xludf.DUMMYFUNCTION("VLOOKUP(A239,IMPORTRANGE(""1QZ5UxyNCwadreQAXnQ7oCoH982DjIA-QnZdO7ZoqkC0/edit#gid=884617569"",""S3 Totals!$A$2:$O$255""),14,FALSE)"),"")</f>
        <v/>
      </c>
      <c r="R239" s="110">
        <f t="shared" si="4"/>
        <v>0</v>
      </c>
      <c r="S239" s="144"/>
    </row>
    <row r="240">
      <c r="A240" s="128" t="s">
        <v>155</v>
      </c>
      <c r="B240" s="16">
        <f>IFERROR(__xludf.DUMMYFUNCTION("VLOOKUP(A240,IMPORTRANGE(""1aFCnJY1qhIj8-JckJhDJ18aqmVo17tofpQmOjcYa3u8/edit#gid=1878241338"",""S3 Totals!$A$2:$O$255""),2,FALSE)"),60.0)</f>
        <v>60</v>
      </c>
      <c r="C240" s="15">
        <f>IFERROR(__xludf.DUMMYFUNCTION("VLOOKUP(A240,IMPORTRANGE(""1aFCnJY1qhIj8-JckJhDJ18aqmVo17tofpQmOjcYa3u8/edit#gid=1878241338"",""S3 Totals!$A$2:$O$255""),3,FALSE)"),0.821917808219178)</f>
        <v>0.8219178082</v>
      </c>
      <c r="D240" s="16">
        <f>IFERROR(__xludf.DUMMYFUNCTION("VLOOKUP(A240,IMPORTRANGE(""1QZ5UxyNCwadreQAXnQ7oCoH982DjIA-QnZdO7ZoqkC0/edit#gid=884617569"",""S3 Totals!$A$2:$O$255""),2,FALSE)"),62.0)</f>
        <v>62</v>
      </c>
      <c r="E240" s="15">
        <f>IFERROR(__xludf.DUMMYFUNCTION("VLOOKUP(A240,IMPORTRANGE(""1QZ5UxyNCwadreQAXnQ7oCoH982DjIA-QnZdO7ZoqkC0/edit#gid=884617569"",""S3 Totals!$A$2:$O$255""),3,FALSE)"),0.8378378378378378)</f>
        <v>0.8378378378</v>
      </c>
      <c r="F240" s="15">
        <f t="shared" si="1"/>
        <v>-0.01592002962</v>
      </c>
      <c r="G240" s="16">
        <f>IFERROR(__xludf.DUMMYFUNCTION("VLOOKUP(A240,IMPORTRANGE(""1QZ5UxyNCwadreQAXnQ7oCoH982DjIA-QnZdO7ZoqkC0/edit#gid=884617569"",""S3 Totals!$A$2:$O$255""),4,FALSE)"),64.0)</f>
        <v>64</v>
      </c>
      <c r="H240" s="15">
        <f>IFERROR(__xludf.DUMMYFUNCTION("VLOOKUP(A240,IMPORTRANGE(""1QZ5UxyNCwadreQAXnQ7oCoH982DjIA-QnZdO7ZoqkC0/edit#gid=884617569"",""S3 Totals!$A$2:$O$255""),5,FALSE)"),0.810126582278481)</f>
        <v>0.8101265823</v>
      </c>
      <c r="I240" s="143">
        <f t="shared" si="2"/>
        <v>0.01179122594</v>
      </c>
      <c r="J240" s="16">
        <f>IFERROR(__xludf.DUMMYFUNCTION("VLOOKUP(A240,IMPORTRANGE(""1QZ5UxyNCwadreQAXnQ7oCoH982DjIA-QnZdO7ZoqkC0/edit#gid=884617569"",""S3 Totals!$A$2:$O$255""),7,FALSE)"),55.0)</f>
        <v>55</v>
      </c>
      <c r="K240" s="15">
        <f>IFERROR(__xludf.DUMMYFUNCTION("VLOOKUP(A240,IMPORTRANGE(""1QZ5UxyNCwadreQAXnQ7oCoH982DjIA-QnZdO7ZoqkC0/edit#gid=884617569"",""S3 Totals!$A$2:$O$255""),8,FALSE)"),0.6470588235294118)</f>
        <v>0.6470588235</v>
      </c>
      <c r="L240" s="110">
        <f t="shared" si="5"/>
        <v>0.1907790143</v>
      </c>
      <c r="M240" s="16">
        <f>IFERROR(__xludf.DUMMYFUNCTION("VLOOKUP(A240,IMPORTRANGE(""1QZ5UxyNCwadreQAXnQ7oCoH982DjIA-QnZdO7ZoqkC0/edit#gid=884617569"",""S3 Totals!$A$2:$O$255""),10,FALSE)"),31.0)</f>
        <v>31</v>
      </c>
      <c r="N240" s="15">
        <f>IFERROR(__xludf.DUMMYFUNCTION("VLOOKUP(A240,IMPORTRANGE(""1QZ5UxyNCwadreQAXnQ7oCoH982DjIA-QnZdO7ZoqkC0/edit#gid=884617569"",""S3 Totals!$A$2:$O$255""),11,FALSE)"),0.36470588235294116)</f>
        <v>0.3647058824</v>
      </c>
      <c r="O240" s="110">
        <f t="shared" si="3"/>
        <v>0.4572119259</v>
      </c>
      <c r="P240" s="16" t="str">
        <f>IFERROR(__xludf.DUMMYFUNCTION("VLOOKUP(A240,IMPORTRANGE(""1QZ5UxyNCwadreQAXnQ7oCoH982DjIA-QnZdO7ZoqkC0/edit#gid=884617569"",""S3 Totals!$A$2:$O$255""),13,FALSE)"),"")</f>
        <v/>
      </c>
      <c r="Q240" s="15" t="str">
        <f>IFERROR(__xludf.DUMMYFUNCTION("VLOOKUP(A240,IMPORTRANGE(""1QZ5UxyNCwadreQAXnQ7oCoH982DjIA-QnZdO7ZoqkC0/edit#gid=884617569"",""S3 Totals!$A$2:$O$255""),14,FALSE)"),"")</f>
        <v/>
      </c>
      <c r="R240" s="110">
        <f t="shared" si="4"/>
        <v>0.8219178082</v>
      </c>
      <c r="S240" s="144"/>
    </row>
    <row r="241">
      <c r="A241" s="128" t="s">
        <v>156</v>
      </c>
      <c r="B241" s="16">
        <f>IFERROR(__xludf.DUMMYFUNCTION("VLOOKUP(A241,IMPORTRANGE(""1aFCnJY1qhIj8-JckJhDJ18aqmVo17tofpQmOjcYa3u8/edit#gid=1878241338"",""S3 Totals!$A$2:$O$255""),2,FALSE)"),29.0)</f>
        <v>29</v>
      </c>
      <c r="C241" s="15">
        <f>IFERROR(__xludf.DUMMYFUNCTION("VLOOKUP(A241,IMPORTRANGE(""1aFCnJY1qhIj8-JckJhDJ18aqmVo17tofpQmOjcYa3u8/edit#gid=1878241338"",""S3 Totals!$A$2:$O$255""),3,FALSE)"),0.3972602739726027)</f>
        <v>0.397260274</v>
      </c>
      <c r="D241" s="16">
        <f>IFERROR(__xludf.DUMMYFUNCTION("VLOOKUP(A241,IMPORTRANGE(""1QZ5UxyNCwadreQAXnQ7oCoH982DjIA-QnZdO7ZoqkC0/edit#gid=884617569"",""S3 Totals!$A$2:$O$255""),2,FALSE)"),19.0)</f>
        <v>19</v>
      </c>
      <c r="E241" s="15">
        <f>IFERROR(__xludf.DUMMYFUNCTION("VLOOKUP(A241,IMPORTRANGE(""1QZ5UxyNCwadreQAXnQ7oCoH982DjIA-QnZdO7ZoqkC0/edit#gid=884617569"",""S3 Totals!$A$2:$O$255""),3,FALSE)"),0.25675675675675674)</f>
        <v>0.2567567568</v>
      </c>
      <c r="F241" s="15">
        <f t="shared" si="1"/>
        <v>0.1405035172</v>
      </c>
      <c r="G241" s="16">
        <f>IFERROR(__xludf.DUMMYFUNCTION("VLOOKUP(A241,IMPORTRANGE(""1QZ5UxyNCwadreQAXnQ7oCoH982DjIA-QnZdO7ZoqkC0/edit#gid=884617569"",""S3 Totals!$A$2:$O$255""),4,FALSE)"),20.0)</f>
        <v>20</v>
      </c>
      <c r="H241" s="15">
        <f>IFERROR(__xludf.DUMMYFUNCTION("VLOOKUP(A241,IMPORTRANGE(""1QZ5UxyNCwadreQAXnQ7oCoH982DjIA-QnZdO7ZoqkC0/edit#gid=884617569"",""S3 Totals!$A$2:$O$255""),5,FALSE)"),0.25316455696202533)</f>
        <v>0.253164557</v>
      </c>
      <c r="I241" s="143">
        <f t="shared" si="2"/>
        <v>0.144095717</v>
      </c>
      <c r="J241" s="16">
        <f>IFERROR(__xludf.DUMMYFUNCTION("VLOOKUP(A241,IMPORTRANGE(""1QZ5UxyNCwadreQAXnQ7oCoH982DjIA-QnZdO7ZoqkC0/edit#gid=884617569"",""S3 Totals!$A$2:$O$255""),7,FALSE)"),20.0)</f>
        <v>20</v>
      </c>
      <c r="K241" s="15">
        <f>IFERROR(__xludf.DUMMYFUNCTION("VLOOKUP(A241,IMPORTRANGE(""1QZ5UxyNCwadreQAXnQ7oCoH982DjIA-QnZdO7ZoqkC0/edit#gid=884617569"",""S3 Totals!$A$2:$O$255""),8,FALSE)"),0.23529411764705882)</f>
        <v>0.2352941176</v>
      </c>
      <c r="L241" s="110">
        <f t="shared" si="5"/>
        <v>0.02146263911</v>
      </c>
      <c r="M241" s="16">
        <f>IFERROR(__xludf.DUMMYFUNCTION("VLOOKUP(A241,IMPORTRANGE(""1QZ5UxyNCwadreQAXnQ7oCoH982DjIA-QnZdO7ZoqkC0/edit#gid=884617569"",""S3 Totals!$A$2:$O$255""),10,FALSE)"),14.0)</f>
        <v>14</v>
      </c>
      <c r="N241" s="15">
        <f>IFERROR(__xludf.DUMMYFUNCTION("VLOOKUP(A241,IMPORTRANGE(""1QZ5UxyNCwadreQAXnQ7oCoH982DjIA-QnZdO7ZoqkC0/edit#gid=884617569"",""S3 Totals!$A$2:$O$255""),11,FALSE)"),0.16470588235294117)</f>
        <v>0.1647058824</v>
      </c>
      <c r="O241" s="110">
        <f t="shared" si="3"/>
        <v>0.2325543916</v>
      </c>
      <c r="P241" s="16" t="str">
        <f>IFERROR(__xludf.DUMMYFUNCTION("VLOOKUP(A241,IMPORTRANGE(""1QZ5UxyNCwadreQAXnQ7oCoH982DjIA-QnZdO7ZoqkC0/edit#gid=884617569"",""S3 Totals!$A$2:$O$255""),13,FALSE)"),"")</f>
        <v/>
      </c>
      <c r="Q241" s="15" t="str">
        <f>IFERROR(__xludf.DUMMYFUNCTION("VLOOKUP(A241,IMPORTRANGE(""1QZ5UxyNCwadreQAXnQ7oCoH982DjIA-QnZdO7ZoqkC0/edit#gid=884617569"",""S3 Totals!$A$2:$O$255""),14,FALSE)"),"")</f>
        <v/>
      </c>
      <c r="R241" s="110">
        <f t="shared" si="4"/>
        <v>0.397260274</v>
      </c>
      <c r="S241" s="112"/>
    </row>
    <row r="242">
      <c r="A242" s="128" t="s">
        <v>157</v>
      </c>
      <c r="B242" s="16">
        <f>IFERROR(__xludf.DUMMYFUNCTION("VLOOKUP(A242,IMPORTRANGE(""1aFCnJY1qhIj8-JckJhDJ18aqmVo17tofpQmOjcYa3u8/edit#gid=1878241338"",""S3 Totals!$A$2:$O$255""),2,FALSE)"),1.0)</f>
        <v>1</v>
      </c>
      <c r="C242" s="15">
        <f>IFERROR(__xludf.DUMMYFUNCTION("VLOOKUP(A242,IMPORTRANGE(""1aFCnJY1qhIj8-JckJhDJ18aqmVo17tofpQmOjcYa3u8/edit#gid=1878241338"",""S3 Totals!$A$2:$O$255""),3,FALSE)"),0.0136986301369863)</f>
        <v>0.01369863014</v>
      </c>
      <c r="D242" s="16">
        <f>IFERROR(__xludf.DUMMYFUNCTION("VLOOKUP(A242,IMPORTRANGE(""1QZ5UxyNCwadreQAXnQ7oCoH982DjIA-QnZdO7ZoqkC0/edit#gid=884617569"",""S3 Totals!$A$2:$O$255""),2,FALSE)"),1.0)</f>
        <v>1</v>
      </c>
      <c r="E242" s="15">
        <f>IFERROR(__xludf.DUMMYFUNCTION("VLOOKUP(A242,IMPORTRANGE(""1QZ5UxyNCwadreQAXnQ7oCoH982DjIA-QnZdO7ZoqkC0/edit#gid=884617569"",""S3 Totals!$A$2:$O$255""),3,FALSE)"),0.013513513513513514)</f>
        <v>0.01351351351</v>
      </c>
      <c r="F242" s="15">
        <f t="shared" si="1"/>
        <v>0.0001851166235</v>
      </c>
      <c r="G242" s="16">
        <f>IFERROR(__xludf.DUMMYFUNCTION("VLOOKUP(A242,IMPORTRANGE(""1QZ5UxyNCwadreQAXnQ7oCoH982DjIA-QnZdO7ZoqkC0/edit#gid=884617569"",""S3 Totals!$A$2:$O$255""),4,FALSE)"),0.0)</f>
        <v>0</v>
      </c>
      <c r="H242" s="15">
        <f>IFERROR(__xludf.DUMMYFUNCTION("VLOOKUP(A242,IMPORTRANGE(""1QZ5UxyNCwadreQAXnQ7oCoH982DjIA-QnZdO7ZoqkC0/edit#gid=884617569"",""S3 Totals!$A$2:$O$255""),5,FALSE)"),0.0)</f>
        <v>0</v>
      </c>
      <c r="I242" s="143">
        <f t="shared" si="2"/>
        <v>0.01369863014</v>
      </c>
      <c r="J242" s="16">
        <f>IFERROR(__xludf.DUMMYFUNCTION("VLOOKUP(A242,IMPORTRANGE(""1QZ5UxyNCwadreQAXnQ7oCoH982DjIA-QnZdO7ZoqkC0/edit#gid=884617569"",""S3 Totals!$A$2:$O$255""),7,FALSE)"),0.0)</f>
        <v>0</v>
      </c>
      <c r="K242" s="15">
        <f>IFERROR(__xludf.DUMMYFUNCTION("VLOOKUP(A242,IMPORTRANGE(""1QZ5UxyNCwadreQAXnQ7oCoH982DjIA-QnZdO7ZoqkC0/edit#gid=884617569"",""S3 Totals!$A$2:$O$255""),8,FALSE)"),0.0)</f>
        <v>0</v>
      </c>
      <c r="L242" s="110">
        <f t="shared" si="5"/>
        <v>0.01351351351</v>
      </c>
      <c r="M242" s="16">
        <f>IFERROR(__xludf.DUMMYFUNCTION("VLOOKUP(A242,IMPORTRANGE(""1QZ5UxyNCwadreQAXnQ7oCoH982DjIA-QnZdO7ZoqkC0/edit#gid=884617569"",""S3 Totals!$A$2:$O$255""),10,FALSE)"),0.0)</f>
        <v>0</v>
      </c>
      <c r="N242" s="15">
        <f>IFERROR(__xludf.DUMMYFUNCTION("VLOOKUP(A242,IMPORTRANGE(""1QZ5UxyNCwadreQAXnQ7oCoH982DjIA-QnZdO7ZoqkC0/edit#gid=884617569"",""S3 Totals!$A$2:$O$255""),11,FALSE)"),0.0)</f>
        <v>0</v>
      </c>
      <c r="O242" s="110">
        <f t="shared" si="3"/>
        <v>0.01369863014</v>
      </c>
      <c r="P242" s="16" t="str">
        <f>IFERROR(__xludf.DUMMYFUNCTION("VLOOKUP(A242,IMPORTRANGE(""1QZ5UxyNCwadreQAXnQ7oCoH982DjIA-QnZdO7ZoqkC0/edit#gid=884617569"",""S3 Totals!$A$2:$O$255""),13,FALSE)"),"")</f>
        <v/>
      </c>
      <c r="Q242" s="15" t="str">
        <f>IFERROR(__xludf.DUMMYFUNCTION("VLOOKUP(A242,IMPORTRANGE(""1QZ5UxyNCwadreQAXnQ7oCoH982DjIA-QnZdO7ZoqkC0/edit#gid=884617569"",""S3 Totals!$A$2:$O$255""),14,FALSE)"),"")</f>
        <v/>
      </c>
      <c r="R242" s="110">
        <f t="shared" si="4"/>
        <v>0.01369863014</v>
      </c>
      <c r="S242" s="112"/>
    </row>
    <row r="243">
      <c r="A243" s="128" t="s">
        <v>206</v>
      </c>
      <c r="B243" s="16">
        <f>IFERROR(__xludf.DUMMYFUNCTION("VLOOKUP(A243,IMPORTRANGE(""1aFCnJY1qhIj8-JckJhDJ18aqmVo17tofpQmOjcYa3u8/edit#gid=1878241338"",""S3 Totals!$A$2:$O$255""),2,FALSE)"),18.0)</f>
        <v>18</v>
      </c>
      <c r="C243" s="15">
        <f>IFERROR(__xludf.DUMMYFUNCTION("VLOOKUP(A243,IMPORTRANGE(""1aFCnJY1qhIj8-JckJhDJ18aqmVo17tofpQmOjcYa3u8/edit#gid=1878241338"",""S3 Totals!$A$2:$O$255""),3,FALSE)"),0.2465753424657534)</f>
        <v>0.2465753425</v>
      </c>
      <c r="D243" s="16">
        <f>IFERROR(__xludf.DUMMYFUNCTION("VLOOKUP(A243,IMPORTRANGE(""1QZ5UxyNCwadreQAXnQ7oCoH982DjIA-QnZdO7ZoqkC0/edit#gid=884617569"",""S3 Totals!$A$2:$O$255""),2,FALSE)"),15.0)</f>
        <v>15</v>
      </c>
      <c r="E243" s="15">
        <f>IFERROR(__xludf.DUMMYFUNCTION("VLOOKUP(A243,IMPORTRANGE(""1QZ5UxyNCwadreQAXnQ7oCoH982DjIA-QnZdO7ZoqkC0/edit#gid=884617569"",""S3 Totals!$A$2:$O$255""),3,FALSE)"),0.20270270270270271)</f>
        <v>0.2027027027</v>
      </c>
      <c r="F243" s="15">
        <f t="shared" si="1"/>
        <v>0.04387263976</v>
      </c>
      <c r="G243" s="16">
        <f>IFERROR(__xludf.DUMMYFUNCTION("VLOOKUP(A243,IMPORTRANGE(""1QZ5UxyNCwadreQAXnQ7oCoH982DjIA-QnZdO7ZoqkC0/edit#gid=884617569"",""S3 Totals!$A$2:$O$255""),4,FALSE)"),20.0)</f>
        <v>20</v>
      </c>
      <c r="H243" s="15">
        <f>IFERROR(__xludf.DUMMYFUNCTION("VLOOKUP(A243,IMPORTRANGE(""1QZ5UxyNCwadreQAXnQ7oCoH982DjIA-QnZdO7ZoqkC0/edit#gid=884617569"",""S3 Totals!$A$2:$O$255""),5,FALSE)"),0.25316455696202533)</f>
        <v>0.253164557</v>
      </c>
      <c r="I243" s="143">
        <f t="shared" si="2"/>
        <v>-0.006589214496</v>
      </c>
      <c r="J243" s="16">
        <f>IFERROR(__xludf.DUMMYFUNCTION("VLOOKUP(A243,IMPORTRANGE(""1QZ5UxyNCwadreQAXnQ7oCoH982DjIA-QnZdO7ZoqkC0/edit#gid=884617569"",""S3 Totals!$A$2:$O$255""),7,FALSE)"),21.0)</f>
        <v>21</v>
      </c>
      <c r="K243" s="15">
        <f>IFERROR(__xludf.DUMMYFUNCTION("VLOOKUP(A243,IMPORTRANGE(""1QZ5UxyNCwadreQAXnQ7oCoH982DjIA-QnZdO7ZoqkC0/edit#gid=884617569"",""S3 Totals!$A$2:$O$255""),8,FALSE)"),0.24705882352941178)</f>
        <v>0.2470588235</v>
      </c>
      <c r="L243" s="110">
        <f t="shared" si="5"/>
        <v>-0.04435612083</v>
      </c>
      <c r="M243" s="16" t="str">
        <f>IFERROR(__xludf.DUMMYFUNCTION("VLOOKUP(A243,IMPORTRANGE(""1QZ5UxyNCwadreQAXnQ7oCoH982DjIA-QnZdO7ZoqkC0/edit#gid=884617569"",""S3 Totals!$A$2:$O$255""),10,FALSE)"),"")</f>
        <v/>
      </c>
      <c r="N243" s="15" t="str">
        <f>IFERROR(__xludf.DUMMYFUNCTION("VLOOKUP(A243,IMPORTRANGE(""1QZ5UxyNCwadreQAXnQ7oCoH982DjIA-QnZdO7ZoqkC0/edit#gid=884617569"",""S3 Totals!$A$2:$O$255""),11,FALSE)"),"")</f>
        <v/>
      </c>
      <c r="O243" s="110">
        <f t="shared" si="3"/>
        <v>0.2465753425</v>
      </c>
      <c r="P243" s="16" t="str">
        <f>IFERROR(__xludf.DUMMYFUNCTION("VLOOKUP(A243,IMPORTRANGE(""1QZ5UxyNCwadreQAXnQ7oCoH982DjIA-QnZdO7ZoqkC0/edit#gid=884617569"",""S3 Totals!$A$2:$O$255""),13,FALSE)"),"")</f>
        <v/>
      </c>
      <c r="Q243" s="15" t="str">
        <f>IFERROR(__xludf.DUMMYFUNCTION("VLOOKUP(A243,IMPORTRANGE(""1QZ5UxyNCwadreQAXnQ7oCoH982DjIA-QnZdO7ZoqkC0/edit#gid=884617569"",""S3 Totals!$A$2:$O$255""),14,FALSE)"),"")</f>
        <v/>
      </c>
      <c r="R243" s="110">
        <f t="shared" si="4"/>
        <v>0.2465753425</v>
      </c>
      <c r="S243" s="112"/>
    </row>
    <row r="244">
      <c r="A244" s="128" t="s">
        <v>105</v>
      </c>
      <c r="B244" s="16">
        <f>IFERROR(__xludf.DUMMYFUNCTION("VLOOKUP(A244,IMPORTRANGE(""1aFCnJY1qhIj8-JckJhDJ18aqmVo17tofpQmOjcYa3u8/edit#gid=1878241338"",""S3 Totals!$A$2:$O$255""),2,FALSE)"),14.0)</f>
        <v>14</v>
      </c>
      <c r="C244" s="15">
        <f>IFERROR(__xludf.DUMMYFUNCTION("VLOOKUP(A244,IMPORTRANGE(""1aFCnJY1qhIj8-JckJhDJ18aqmVo17tofpQmOjcYa3u8/edit#gid=1878241338"",""S3 Totals!$A$2:$O$255""),3,FALSE)"),0.1917808219178082)</f>
        <v>0.1917808219</v>
      </c>
      <c r="D244" s="16">
        <f>IFERROR(__xludf.DUMMYFUNCTION("VLOOKUP(A244,IMPORTRANGE(""1QZ5UxyNCwadreQAXnQ7oCoH982DjIA-QnZdO7ZoqkC0/edit#gid=884617569"",""S3 Totals!$A$2:$O$255""),2,FALSE)"),19.0)</f>
        <v>19</v>
      </c>
      <c r="E244" s="15">
        <f>IFERROR(__xludf.DUMMYFUNCTION("VLOOKUP(A244,IMPORTRANGE(""1QZ5UxyNCwadreQAXnQ7oCoH982DjIA-QnZdO7ZoqkC0/edit#gid=884617569"",""S3 Totals!$A$2:$O$255""),3,FALSE)"),0.25675675675675674)</f>
        <v>0.2567567568</v>
      </c>
      <c r="F244" s="15">
        <f t="shared" si="1"/>
        <v>-0.06497593484</v>
      </c>
      <c r="G244" s="16">
        <f>IFERROR(__xludf.DUMMYFUNCTION("VLOOKUP(A244,IMPORTRANGE(""1QZ5UxyNCwadreQAXnQ7oCoH982DjIA-QnZdO7ZoqkC0/edit#gid=884617569"",""S3 Totals!$A$2:$O$255""),4,FALSE)"),10.0)</f>
        <v>10</v>
      </c>
      <c r="H244" s="15">
        <f>IFERROR(__xludf.DUMMYFUNCTION("VLOOKUP(A244,IMPORTRANGE(""1QZ5UxyNCwadreQAXnQ7oCoH982DjIA-QnZdO7ZoqkC0/edit#gid=884617569"",""S3 Totals!$A$2:$O$255""),5,FALSE)"),0.12658227848101267)</f>
        <v>0.1265822785</v>
      </c>
      <c r="I244" s="143">
        <f t="shared" si="2"/>
        <v>0.06519854344</v>
      </c>
      <c r="J244" s="16">
        <f>IFERROR(__xludf.DUMMYFUNCTION("VLOOKUP(A244,IMPORTRANGE(""1QZ5UxyNCwadreQAXnQ7oCoH982DjIA-QnZdO7ZoqkC0/edit#gid=884617569"",""S3 Totals!$A$2:$O$255""),7,FALSE)"),10.0)</f>
        <v>10</v>
      </c>
      <c r="K244" s="15">
        <f>IFERROR(__xludf.DUMMYFUNCTION("VLOOKUP(A244,IMPORTRANGE(""1QZ5UxyNCwadreQAXnQ7oCoH982DjIA-QnZdO7ZoqkC0/edit#gid=884617569"",""S3 Totals!$A$2:$O$255""),8,FALSE)"),0.11764705882352941)</f>
        <v>0.1176470588</v>
      </c>
      <c r="L244" s="110">
        <f t="shared" si="5"/>
        <v>0.1391096979</v>
      </c>
      <c r="M244" s="16">
        <f>IFERROR(__xludf.DUMMYFUNCTION("VLOOKUP(A244,IMPORTRANGE(""1QZ5UxyNCwadreQAXnQ7oCoH982DjIA-QnZdO7ZoqkC0/edit#gid=884617569"",""S3 Totals!$A$2:$O$255""),10,FALSE)"),0.0)</f>
        <v>0</v>
      </c>
      <c r="N244" s="15">
        <f>IFERROR(__xludf.DUMMYFUNCTION("VLOOKUP(A244,IMPORTRANGE(""1QZ5UxyNCwadreQAXnQ7oCoH982DjIA-QnZdO7ZoqkC0/edit#gid=884617569"",""S3 Totals!$A$2:$O$255""),11,FALSE)"),0.0)</f>
        <v>0</v>
      </c>
      <c r="O244" s="110">
        <f t="shared" si="3"/>
        <v>0.1917808219</v>
      </c>
      <c r="P244" s="16">
        <f>IFERROR(__xludf.DUMMYFUNCTION("VLOOKUP(A244,IMPORTRANGE(""1QZ5UxyNCwadreQAXnQ7oCoH982DjIA-QnZdO7ZoqkC0/edit#gid=884617569"",""S3 Totals!$A$2:$O$255""),13,FALSE)"),0.0)</f>
        <v>0</v>
      </c>
      <c r="Q244" s="15">
        <f>IFERROR(__xludf.DUMMYFUNCTION("VLOOKUP(A244,IMPORTRANGE(""1QZ5UxyNCwadreQAXnQ7oCoH982DjIA-QnZdO7ZoqkC0/edit#gid=884617569"",""S3 Totals!$A$2:$O$255""),14,FALSE)"),0.0)</f>
        <v>0</v>
      </c>
      <c r="R244" s="110">
        <f t="shared" si="4"/>
        <v>0.1917808219</v>
      </c>
      <c r="S244" s="112"/>
    </row>
    <row r="245">
      <c r="A245" s="128" t="s">
        <v>56</v>
      </c>
      <c r="B245" s="16">
        <f>IFERROR(__xludf.DUMMYFUNCTION("VLOOKUP(A245,IMPORTRANGE(""1aFCnJY1qhIj8-JckJhDJ18aqmVo17tofpQmOjcYa3u8/edit#gid=1878241338"",""S3 Totals!$A$2:$O$255""),2,FALSE)"),0.0)</f>
        <v>0</v>
      </c>
      <c r="C245" s="15">
        <f>IFERROR(__xludf.DUMMYFUNCTION("VLOOKUP(A245,IMPORTRANGE(""1aFCnJY1qhIj8-JckJhDJ18aqmVo17tofpQmOjcYa3u8/edit#gid=1878241338"",""S3 Totals!$A$2:$O$255""),3,FALSE)"),0.0)</f>
        <v>0</v>
      </c>
      <c r="D245" s="16">
        <f>IFERROR(__xludf.DUMMYFUNCTION("VLOOKUP(A245,IMPORTRANGE(""1QZ5UxyNCwadreQAXnQ7oCoH982DjIA-QnZdO7ZoqkC0/edit#gid=884617569"",""S3 Totals!$A$2:$O$255""),2,FALSE)"),1.0)</f>
        <v>1</v>
      </c>
      <c r="E245" s="15">
        <f>IFERROR(__xludf.DUMMYFUNCTION("VLOOKUP(A245,IMPORTRANGE(""1QZ5UxyNCwadreQAXnQ7oCoH982DjIA-QnZdO7ZoqkC0/edit#gid=884617569"",""S3 Totals!$A$2:$O$255""),3,FALSE)"),0.013513513513513514)</f>
        <v>0.01351351351</v>
      </c>
      <c r="F245" s="15">
        <f t="shared" si="1"/>
        <v>-0.01351351351</v>
      </c>
      <c r="G245" s="16">
        <f>IFERROR(__xludf.DUMMYFUNCTION("VLOOKUP(A245,IMPORTRANGE(""1QZ5UxyNCwadreQAXnQ7oCoH982DjIA-QnZdO7ZoqkC0/edit#gid=884617569"",""S3 Totals!$A$2:$O$255""),4,FALSE)"),1.0)</f>
        <v>1</v>
      </c>
      <c r="H245" s="15">
        <f>IFERROR(__xludf.DUMMYFUNCTION("VLOOKUP(A245,IMPORTRANGE(""1QZ5UxyNCwadreQAXnQ7oCoH982DjIA-QnZdO7ZoqkC0/edit#gid=884617569"",""S3 Totals!$A$2:$O$255""),5,FALSE)"),0.012658227848101266)</f>
        <v>0.01265822785</v>
      </c>
      <c r="I245" s="143">
        <f t="shared" si="2"/>
        <v>-0.01265822785</v>
      </c>
      <c r="J245" s="16">
        <f>IFERROR(__xludf.DUMMYFUNCTION("VLOOKUP(A245,IMPORTRANGE(""1QZ5UxyNCwadreQAXnQ7oCoH982DjIA-QnZdO7ZoqkC0/edit#gid=884617569"",""S3 Totals!$A$2:$O$255""),7,FALSE)"),0.0)</f>
        <v>0</v>
      </c>
      <c r="K245" s="15">
        <f>IFERROR(__xludf.DUMMYFUNCTION("VLOOKUP(A245,IMPORTRANGE(""1QZ5UxyNCwadreQAXnQ7oCoH982DjIA-QnZdO7ZoqkC0/edit#gid=884617569"",""S3 Totals!$A$2:$O$255""),8,FALSE)"),0.0)</f>
        <v>0</v>
      </c>
      <c r="L245" s="110">
        <f t="shared" si="5"/>
        <v>0.01351351351</v>
      </c>
      <c r="M245" s="16">
        <f>IFERROR(__xludf.DUMMYFUNCTION("VLOOKUP(A245,IMPORTRANGE(""1QZ5UxyNCwadreQAXnQ7oCoH982DjIA-QnZdO7ZoqkC0/edit#gid=884617569"",""S3 Totals!$A$2:$O$255""),10,FALSE)"),0.0)</f>
        <v>0</v>
      </c>
      <c r="N245" s="15">
        <f>IFERROR(__xludf.DUMMYFUNCTION("VLOOKUP(A245,IMPORTRANGE(""1QZ5UxyNCwadreQAXnQ7oCoH982DjIA-QnZdO7ZoqkC0/edit#gid=884617569"",""S3 Totals!$A$2:$O$255""),11,FALSE)"),0.0)</f>
        <v>0</v>
      </c>
      <c r="O245" s="110">
        <f t="shared" si="3"/>
        <v>0</v>
      </c>
      <c r="P245" s="16">
        <f>IFERROR(__xludf.DUMMYFUNCTION("VLOOKUP(A245,IMPORTRANGE(""1QZ5UxyNCwadreQAXnQ7oCoH982DjIA-QnZdO7ZoqkC0/edit#gid=884617569"",""S3 Totals!$A$2:$O$255""),13,FALSE)"),0.0)</f>
        <v>0</v>
      </c>
      <c r="Q245" s="15">
        <f>IFERROR(__xludf.DUMMYFUNCTION("VLOOKUP(A245,IMPORTRANGE(""1QZ5UxyNCwadreQAXnQ7oCoH982DjIA-QnZdO7ZoqkC0/edit#gid=884617569"",""S3 Totals!$A$2:$O$255""),14,FALSE)"),0.0)</f>
        <v>0</v>
      </c>
      <c r="R245" s="110">
        <f t="shared" si="4"/>
        <v>0</v>
      </c>
      <c r="S245" s="112"/>
    </row>
    <row r="246">
      <c r="A246" s="128" t="s">
        <v>258</v>
      </c>
      <c r="B246" s="16">
        <f>IFERROR(__xludf.DUMMYFUNCTION("VLOOKUP(A246,IMPORTRANGE(""1aFCnJY1qhIj8-JckJhDJ18aqmVo17tofpQmOjcYa3u8/edit#gid=1878241338"",""S3 Totals!$A$2:$O$255""),2,FALSE)"),10.0)</f>
        <v>10</v>
      </c>
      <c r="C246" s="15">
        <f>IFERROR(__xludf.DUMMYFUNCTION("VLOOKUP(A246,IMPORTRANGE(""1aFCnJY1qhIj8-JckJhDJ18aqmVo17tofpQmOjcYa3u8/edit#gid=1878241338"",""S3 Totals!$A$2:$O$255""),3,FALSE)"),0.136986301369863)</f>
        <v>0.1369863014</v>
      </c>
      <c r="D246" s="16">
        <f>IFERROR(__xludf.DUMMYFUNCTION("VLOOKUP(A246,IMPORTRANGE(""1QZ5UxyNCwadreQAXnQ7oCoH982DjIA-QnZdO7ZoqkC0/edit#gid=884617569"",""S3 Totals!$A$2:$O$255""),2,FALSE)"),1.0)</f>
        <v>1</v>
      </c>
      <c r="E246" s="15">
        <f>IFERROR(__xludf.DUMMYFUNCTION("VLOOKUP(A246,IMPORTRANGE(""1QZ5UxyNCwadreQAXnQ7oCoH982DjIA-QnZdO7ZoqkC0/edit#gid=884617569"",""S3 Totals!$A$2:$O$255""),3,FALSE)"),0.013513513513513514)</f>
        <v>0.01351351351</v>
      </c>
      <c r="F246" s="15">
        <f t="shared" si="1"/>
        <v>0.1234727879</v>
      </c>
      <c r="G246" s="16">
        <f>IFERROR(__xludf.DUMMYFUNCTION("VLOOKUP(A246,IMPORTRANGE(""1QZ5UxyNCwadreQAXnQ7oCoH982DjIA-QnZdO7ZoqkC0/edit#gid=884617569"",""S3 Totals!$A$2:$O$255""),4,FALSE)"),1.0)</f>
        <v>1</v>
      </c>
      <c r="H246" s="15">
        <f>IFERROR(__xludf.DUMMYFUNCTION("VLOOKUP(A246,IMPORTRANGE(""1QZ5UxyNCwadreQAXnQ7oCoH982DjIA-QnZdO7ZoqkC0/edit#gid=884617569"",""S3 Totals!$A$2:$O$255""),5,FALSE)"),0.012658227848101266)</f>
        <v>0.01265822785</v>
      </c>
      <c r="I246" s="143">
        <f t="shared" si="2"/>
        <v>0.1243280735</v>
      </c>
      <c r="J246" s="16" t="str">
        <f>IFERROR(__xludf.DUMMYFUNCTION("VLOOKUP(A246,IMPORTRANGE(""1QZ5UxyNCwadreQAXnQ7oCoH982DjIA-QnZdO7ZoqkC0/edit#gid=884617569"",""S3 Totals!$A$2:$O$255""),7,FALSE)"),"")</f>
        <v/>
      </c>
      <c r="K246" s="15" t="str">
        <f>IFERROR(__xludf.DUMMYFUNCTION("VLOOKUP(A246,IMPORTRANGE(""1QZ5UxyNCwadreQAXnQ7oCoH982DjIA-QnZdO7ZoqkC0/edit#gid=884617569"",""S3 Totals!$A$2:$O$255""),8,FALSE)"),"")</f>
        <v/>
      </c>
      <c r="L246" s="110">
        <f t="shared" si="5"/>
        <v>0.01351351351</v>
      </c>
      <c r="M246" s="16" t="str">
        <f>IFERROR(__xludf.DUMMYFUNCTION("VLOOKUP(A246,IMPORTRANGE(""1QZ5UxyNCwadreQAXnQ7oCoH982DjIA-QnZdO7ZoqkC0/edit#gid=884617569"",""S3 Totals!$A$2:$O$255""),10,FALSE)"),"")</f>
        <v/>
      </c>
      <c r="N246" s="15" t="str">
        <f>IFERROR(__xludf.DUMMYFUNCTION("VLOOKUP(A246,IMPORTRANGE(""1QZ5UxyNCwadreQAXnQ7oCoH982DjIA-QnZdO7ZoqkC0/edit#gid=884617569"",""S3 Totals!$A$2:$O$255""),11,FALSE)"),"")</f>
        <v/>
      </c>
      <c r="O246" s="110">
        <f t="shared" si="3"/>
        <v>0.1369863014</v>
      </c>
      <c r="P246" s="16" t="str">
        <f>IFERROR(__xludf.DUMMYFUNCTION("VLOOKUP(A246,IMPORTRANGE(""1QZ5UxyNCwadreQAXnQ7oCoH982DjIA-QnZdO7ZoqkC0/edit#gid=884617569"",""S3 Totals!$A$2:$O$255""),13,FALSE)"),"")</f>
        <v/>
      </c>
      <c r="Q246" s="15" t="str">
        <f>IFERROR(__xludf.DUMMYFUNCTION("VLOOKUP(A246,IMPORTRANGE(""1QZ5UxyNCwadreQAXnQ7oCoH982DjIA-QnZdO7ZoqkC0/edit#gid=884617569"",""S3 Totals!$A$2:$O$255""),14,FALSE)"),"")</f>
        <v/>
      </c>
      <c r="R246" s="110">
        <f t="shared" si="4"/>
        <v>0.1369863014</v>
      </c>
      <c r="S246" s="112"/>
    </row>
    <row r="247">
      <c r="A247" s="128" t="s">
        <v>107</v>
      </c>
      <c r="B247" s="16">
        <f>IFERROR(__xludf.DUMMYFUNCTION("VLOOKUP(A247,IMPORTRANGE(""1aFCnJY1qhIj8-JckJhDJ18aqmVo17tofpQmOjcYa3u8/edit#gid=1878241338"",""S3 Totals!$A$2:$O$255""),2,FALSE)"),34.0)</f>
        <v>34</v>
      </c>
      <c r="C247" s="15">
        <f>IFERROR(__xludf.DUMMYFUNCTION("VLOOKUP(A247,IMPORTRANGE(""1aFCnJY1qhIj8-JckJhDJ18aqmVo17tofpQmOjcYa3u8/edit#gid=1878241338"",""S3 Totals!$A$2:$O$255""),3,FALSE)"),0.4657534246575342)</f>
        <v>0.4657534247</v>
      </c>
      <c r="D247" s="16">
        <f>IFERROR(__xludf.DUMMYFUNCTION("VLOOKUP(A247,IMPORTRANGE(""1QZ5UxyNCwadreQAXnQ7oCoH982DjIA-QnZdO7ZoqkC0/edit#gid=884617569"",""S3 Totals!$A$2:$O$255""),2,FALSE)"),34.0)</f>
        <v>34</v>
      </c>
      <c r="E247" s="15">
        <f>IFERROR(__xludf.DUMMYFUNCTION("VLOOKUP(A247,IMPORTRANGE(""1QZ5UxyNCwadreQAXnQ7oCoH982DjIA-QnZdO7ZoqkC0/edit#gid=884617569"",""S3 Totals!$A$2:$O$255""),3,FALSE)"),0.4594594594594595)</f>
        <v>0.4594594595</v>
      </c>
      <c r="F247" s="15">
        <f t="shared" si="1"/>
        <v>0.006293965198</v>
      </c>
      <c r="G247" s="16">
        <f>IFERROR(__xludf.DUMMYFUNCTION("VLOOKUP(A247,IMPORTRANGE(""1QZ5UxyNCwadreQAXnQ7oCoH982DjIA-QnZdO7ZoqkC0/edit#gid=884617569"",""S3 Totals!$A$2:$O$255""),4,FALSE)"),64.0)</f>
        <v>64</v>
      </c>
      <c r="H247" s="15">
        <f>IFERROR(__xludf.DUMMYFUNCTION("VLOOKUP(A247,IMPORTRANGE(""1QZ5UxyNCwadreQAXnQ7oCoH982DjIA-QnZdO7ZoqkC0/edit#gid=884617569"",""S3 Totals!$A$2:$O$255""),5,FALSE)"),0.810126582278481)</f>
        <v>0.8101265823</v>
      </c>
      <c r="I247" s="143">
        <f t="shared" si="2"/>
        <v>-0.3443731576</v>
      </c>
      <c r="J247" s="16">
        <f>IFERROR(__xludf.DUMMYFUNCTION("VLOOKUP(A247,IMPORTRANGE(""1QZ5UxyNCwadreQAXnQ7oCoH982DjIA-QnZdO7ZoqkC0/edit#gid=884617569"",""S3 Totals!$A$2:$O$255""),7,FALSE)"),55.0)</f>
        <v>55</v>
      </c>
      <c r="K247" s="15">
        <f>IFERROR(__xludf.DUMMYFUNCTION("VLOOKUP(A247,IMPORTRANGE(""1QZ5UxyNCwadreQAXnQ7oCoH982DjIA-QnZdO7ZoqkC0/edit#gid=884617569"",""S3 Totals!$A$2:$O$255""),8,FALSE)"),0.6470588235294118)</f>
        <v>0.6470588235</v>
      </c>
      <c r="L247" s="110">
        <f t="shared" si="5"/>
        <v>-0.1875993641</v>
      </c>
      <c r="M247" s="16">
        <f>IFERROR(__xludf.DUMMYFUNCTION("VLOOKUP(A247,IMPORTRANGE(""1QZ5UxyNCwadreQAXnQ7oCoH982DjIA-QnZdO7ZoqkC0/edit#gid=884617569"",""S3 Totals!$A$2:$O$255""),10,FALSE)"),31.0)</f>
        <v>31</v>
      </c>
      <c r="N247" s="15">
        <f>IFERROR(__xludf.DUMMYFUNCTION("VLOOKUP(A247,IMPORTRANGE(""1QZ5UxyNCwadreQAXnQ7oCoH982DjIA-QnZdO7ZoqkC0/edit#gid=884617569"",""S3 Totals!$A$2:$O$255""),11,FALSE)"),0.36470588235294116)</f>
        <v>0.3647058824</v>
      </c>
      <c r="O247" s="110">
        <f t="shared" si="3"/>
        <v>0.1010475423</v>
      </c>
      <c r="P247" s="16">
        <f>IFERROR(__xludf.DUMMYFUNCTION("VLOOKUP(A247,IMPORTRANGE(""1QZ5UxyNCwadreQAXnQ7oCoH982DjIA-QnZdO7ZoqkC0/edit#gid=884617569"",""S3 Totals!$A$2:$O$255""),13,FALSE)"),9.0)</f>
        <v>9</v>
      </c>
      <c r="Q247" s="15">
        <f>IFERROR(__xludf.DUMMYFUNCTION("VLOOKUP(A247,IMPORTRANGE(""1QZ5UxyNCwadreQAXnQ7oCoH982DjIA-QnZdO7ZoqkC0/edit#gid=884617569"",""S3 Totals!$A$2:$O$255""),14,FALSE)"),0.10588235294117647)</f>
        <v>0.1058823529</v>
      </c>
      <c r="R247" s="110">
        <f t="shared" si="4"/>
        <v>0.3598710717</v>
      </c>
      <c r="S247" s="112"/>
    </row>
    <row r="248">
      <c r="A248" s="128" t="s">
        <v>158</v>
      </c>
      <c r="B248" s="16">
        <f>IFERROR(__xludf.DUMMYFUNCTION("VLOOKUP(A248,IMPORTRANGE(""1aFCnJY1qhIj8-JckJhDJ18aqmVo17tofpQmOjcYa3u8/edit#gid=1878241338"",""S3 Totals!$A$2:$O$255""),2,FALSE)"),0.0)</f>
        <v>0</v>
      </c>
      <c r="C248" s="15">
        <f>IFERROR(__xludf.DUMMYFUNCTION("VLOOKUP(A248,IMPORTRANGE(""1aFCnJY1qhIj8-JckJhDJ18aqmVo17tofpQmOjcYa3u8/edit#gid=1878241338"",""S3 Totals!$A$2:$O$255""),3,FALSE)"),0.0)</f>
        <v>0</v>
      </c>
      <c r="D248" s="16">
        <f>IFERROR(__xludf.DUMMYFUNCTION("VLOOKUP(A248,IMPORTRANGE(""1QZ5UxyNCwadreQAXnQ7oCoH982DjIA-QnZdO7ZoqkC0/edit#gid=884617569"",""S3 Totals!$A$2:$O$255""),2,FALSE)"),0.0)</f>
        <v>0</v>
      </c>
      <c r="E248" s="15">
        <f>IFERROR(__xludf.DUMMYFUNCTION("VLOOKUP(A248,IMPORTRANGE(""1QZ5UxyNCwadreQAXnQ7oCoH982DjIA-QnZdO7ZoqkC0/edit#gid=884617569"",""S3 Totals!$A$2:$O$255""),3,FALSE)"),0.0)</f>
        <v>0</v>
      </c>
      <c r="F248" s="15">
        <f t="shared" si="1"/>
        <v>0</v>
      </c>
      <c r="G248" s="16">
        <f>IFERROR(__xludf.DUMMYFUNCTION("VLOOKUP(A248,IMPORTRANGE(""1QZ5UxyNCwadreQAXnQ7oCoH982DjIA-QnZdO7ZoqkC0/edit#gid=884617569"",""S3 Totals!$A$2:$O$255""),4,FALSE)"),0.0)</f>
        <v>0</v>
      </c>
      <c r="H248" s="15">
        <f>IFERROR(__xludf.DUMMYFUNCTION("VLOOKUP(A248,IMPORTRANGE(""1QZ5UxyNCwadreQAXnQ7oCoH982DjIA-QnZdO7ZoqkC0/edit#gid=884617569"",""S3 Totals!$A$2:$O$255""),5,FALSE)"),0.0)</f>
        <v>0</v>
      </c>
      <c r="I248" s="143">
        <f t="shared" si="2"/>
        <v>0</v>
      </c>
      <c r="J248" s="16">
        <f>IFERROR(__xludf.DUMMYFUNCTION("VLOOKUP(A248,IMPORTRANGE(""1QZ5UxyNCwadreQAXnQ7oCoH982DjIA-QnZdO7ZoqkC0/edit#gid=884617569"",""S3 Totals!$A$2:$O$255""),7,FALSE)"),0.0)</f>
        <v>0</v>
      </c>
      <c r="K248" s="15">
        <f>IFERROR(__xludf.DUMMYFUNCTION("VLOOKUP(A248,IMPORTRANGE(""1QZ5UxyNCwadreQAXnQ7oCoH982DjIA-QnZdO7ZoqkC0/edit#gid=884617569"",""S3 Totals!$A$2:$O$255""),8,FALSE)"),0.0)</f>
        <v>0</v>
      </c>
      <c r="L248" s="110">
        <f t="shared" si="5"/>
        <v>0</v>
      </c>
      <c r="M248" s="16">
        <f>IFERROR(__xludf.DUMMYFUNCTION("VLOOKUP(A248,IMPORTRANGE(""1QZ5UxyNCwadreQAXnQ7oCoH982DjIA-QnZdO7ZoqkC0/edit#gid=884617569"",""S3 Totals!$A$2:$O$255""),10,FALSE)"),0.0)</f>
        <v>0</v>
      </c>
      <c r="N248" s="15">
        <f>IFERROR(__xludf.DUMMYFUNCTION("VLOOKUP(A248,IMPORTRANGE(""1QZ5UxyNCwadreQAXnQ7oCoH982DjIA-QnZdO7ZoqkC0/edit#gid=884617569"",""S3 Totals!$A$2:$O$255""),11,FALSE)"),0.0)</f>
        <v>0</v>
      </c>
      <c r="O248" s="110">
        <f t="shared" si="3"/>
        <v>0</v>
      </c>
      <c r="P248" s="16" t="str">
        <f>IFERROR(__xludf.DUMMYFUNCTION("VLOOKUP(A248,IMPORTRANGE(""1QZ5UxyNCwadreQAXnQ7oCoH982DjIA-QnZdO7ZoqkC0/edit#gid=884617569"",""S3 Totals!$A$2:$O$255""),13,FALSE)"),"")</f>
        <v/>
      </c>
      <c r="Q248" s="15" t="str">
        <f>IFERROR(__xludf.DUMMYFUNCTION("VLOOKUP(A248,IMPORTRANGE(""1QZ5UxyNCwadreQAXnQ7oCoH982DjIA-QnZdO7ZoqkC0/edit#gid=884617569"",""S3 Totals!$A$2:$O$255""),14,FALSE)"),"")</f>
        <v/>
      </c>
      <c r="R248" s="110">
        <f t="shared" si="4"/>
        <v>0</v>
      </c>
      <c r="S248" s="112"/>
    </row>
    <row r="249">
      <c r="A249" s="128" t="s">
        <v>108</v>
      </c>
      <c r="B249" s="16">
        <f>IFERROR(__xludf.DUMMYFUNCTION("VLOOKUP(A249,IMPORTRANGE(""1aFCnJY1qhIj8-JckJhDJ18aqmVo17tofpQmOjcYa3u8/edit#gid=1878241338"",""S3 Totals!$A$2:$O$255""),2,FALSE)"),36.0)</f>
        <v>36</v>
      </c>
      <c r="C249" s="15">
        <f>IFERROR(__xludf.DUMMYFUNCTION("VLOOKUP(A249,IMPORTRANGE(""1aFCnJY1qhIj8-JckJhDJ18aqmVo17tofpQmOjcYa3u8/edit#gid=1878241338"",""S3 Totals!$A$2:$O$255""),3,FALSE)"),0.4931506849315068)</f>
        <v>0.4931506849</v>
      </c>
      <c r="D249" s="16">
        <f>IFERROR(__xludf.DUMMYFUNCTION("VLOOKUP(A249,IMPORTRANGE(""1QZ5UxyNCwadreQAXnQ7oCoH982DjIA-QnZdO7ZoqkC0/edit#gid=884617569"",""S3 Totals!$A$2:$O$255""),2,FALSE)"),37.0)</f>
        <v>37</v>
      </c>
      <c r="E249" s="15">
        <f>IFERROR(__xludf.DUMMYFUNCTION("VLOOKUP(A249,IMPORTRANGE(""1QZ5UxyNCwadreQAXnQ7oCoH982DjIA-QnZdO7ZoqkC0/edit#gid=884617569"",""S3 Totals!$A$2:$O$255""),3,FALSE)"),0.5)</f>
        <v>0.5</v>
      </c>
      <c r="F249" s="15">
        <f t="shared" si="1"/>
        <v>-0.006849315068</v>
      </c>
      <c r="G249" s="16">
        <f>IFERROR(__xludf.DUMMYFUNCTION("VLOOKUP(A249,IMPORTRANGE(""1QZ5UxyNCwadreQAXnQ7oCoH982DjIA-QnZdO7ZoqkC0/edit#gid=884617569"",""S3 Totals!$A$2:$O$255""),4,FALSE)"),23.0)</f>
        <v>23</v>
      </c>
      <c r="H249" s="15">
        <f>IFERROR(__xludf.DUMMYFUNCTION("VLOOKUP(A249,IMPORTRANGE(""1QZ5UxyNCwadreQAXnQ7oCoH982DjIA-QnZdO7ZoqkC0/edit#gid=884617569"",""S3 Totals!$A$2:$O$255""),5,FALSE)"),0.2911392405063291)</f>
        <v>0.2911392405</v>
      </c>
      <c r="I249" s="143">
        <f t="shared" si="2"/>
        <v>0.2020114444</v>
      </c>
      <c r="J249" s="16">
        <f>IFERROR(__xludf.DUMMYFUNCTION("VLOOKUP(A249,IMPORTRANGE(""1QZ5UxyNCwadreQAXnQ7oCoH982DjIA-QnZdO7ZoqkC0/edit#gid=884617569"",""S3 Totals!$A$2:$O$255""),7,FALSE)"),0.0)</f>
        <v>0</v>
      </c>
      <c r="K249" s="15">
        <f>IFERROR(__xludf.DUMMYFUNCTION("VLOOKUP(A249,IMPORTRANGE(""1QZ5UxyNCwadreQAXnQ7oCoH982DjIA-QnZdO7ZoqkC0/edit#gid=884617569"",""S3 Totals!$A$2:$O$255""),8,FALSE)"),0.0)</f>
        <v>0</v>
      </c>
      <c r="L249" s="110">
        <f t="shared" si="5"/>
        <v>0.5</v>
      </c>
      <c r="M249" s="16">
        <f>IFERROR(__xludf.DUMMYFUNCTION("VLOOKUP(A249,IMPORTRANGE(""1QZ5UxyNCwadreQAXnQ7oCoH982DjIA-QnZdO7ZoqkC0/edit#gid=884617569"",""S3 Totals!$A$2:$O$255""),10,FALSE)"),0.0)</f>
        <v>0</v>
      </c>
      <c r="N249" s="15">
        <f>IFERROR(__xludf.DUMMYFUNCTION("VLOOKUP(A249,IMPORTRANGE(""1QZ5UxyNCwadreQAXnQ7oCoH982DjIA-QnZdO7ZoqkC0/edit#gid=884617569"",""S3 Totals!$A$2:$O$255""),11,FALSE)"),0.0)</f>
        <v>0</v>
      </c>
      <c r="O249" s="110">
        <f t="shared" si="3"/>
        <v>0.4931506849</v>
      </c>
      <c r="P249" s="16">
        <f>IFERROR(__xludf.DUMMYFUNCTION("VLOOKUP(A249,IMPORTRANGE(""1QZ5UxyNCwadreQAXnQ7oCoH982DjIA-QnZdO7ZoqkC0/edit#gid=884617569"",""S3 Totals!$A$2:$O$255""),13,FALSE)"),0.0)</f>
        <v>0</v>
      </c>
      <c r="Q249" s="15">
        <f>IFERROR(__xludf.DUMMYFUNCTION("VLOOKUP(A249,IMPORTRANGE(""1QZ5UxyNCwadreQAXnQ7oCoH982DjIA-QnZdO7ZoqkC0/edit#gid=884617569"",""S3 Totals!$A$2:$O$255""),14,FALSE)"),0.0)</f>
        <v>0</v>
      </c>
      <c r="R249" s="110">
        <f t="shared" si="4"/>
        <v>0.4931506849</v>
      </c>
      <c r="S249" s="112"/>
    </row>
    <row r="250">
      <c r="A250" s="128" t="s">
        <v>109</v>
      </c>
      <c r="B250" s="16">
        <f>IFERROR(__xludf.DUMMYFUNCTION("VLOOKUP(A250,IMPORTRANGE(""1aFCnJY1qhIj8-JckJhDJ18aqmVo17tofpQmOjcYa3u8/edit#gid=1878241338"",""S3 Totals!$A$2:$O$255""),2,FALSE)"),1.0)</f>
        <v>1</v>
      </c>
      <c r="C250" s="15">
        <f>IFERROR(__xludf.DUMMYFUNCTION("VLOOKUP(A250,IMPORTRANGE(""1aFCnJY1qhIj8-JckJhDJ18aqmVo17tofpQmOjcYa3u8/edit#gid=1878241338"",""S3 Totals!$A$2:$O$255""),3,FALSE)"),0.0136986301369863)</f>
        <v>0.01369863014</v>
      </c>
      <c r="D250" s="16">
        <f>IFERROR(__xludf.DUMMYFUNCTION("VLOOKUP(A250,IMPORTRANGE(""1QZ5UxyNCwadreQAXnQ7oCoH982DjIA-QnZdO7ZoqkC0/edit#gid=884617569"",""S3 Totals!$A$2:$O$255""),2,FALSE)"),1.0)</f>
        <v>1</v>
      </c>
      <c r="E250" s="15">
        <f>IFERROR(__xludf.DUMMYFUNCTION("VLOOKUP(A250,IMPORTRANGE(""1QZ5UxyNCwadreQAXnQ7oCoH982DjIA-QnZdO7ZoqkC0/edit#gid=884617569"",""S3 Totals!$A$2:$O$255""),3,FALSE)"),0.013513513513513514)</f>
        <v>0.01351351351</v>
      </c>
      <c r="F250" s="15">
        <f t="shared" si="1"/>
        <v>0.0001851166235</v>
      </c>
      <c r="G250" s="16">
        <f>IFERROR(__xludf.DUMMYFUNCTION("VLOOKUP(A250,IMPORTRANGE(""1QZ5UxyNCwadreQAXnQ7oCoH982DjIA-QnZdO7ZoqkC0/edit#gid=884617569"",""S3 Totals!$A$2:$O$255""),4,FALSE)"),15.0)</f>
        <v>15</v>
      </c>
      <c r="H250" s="15">
        <f>IFERROR(__xludf.DUMMYFUNCTION("VLOOKUP(A250,IMPORTRANGE(""1QZ5UxyNCwadreQAXnQ7oCoH982DjIA-QnZdO7ZoqkC0/edit#gid=884617569"",""S3 Totals!$A$2:$O$255""),5,FALSE)"),0.189873417721519)</f>
        <v>0.1898734177</v>
      </c>
      <c r="I250" s="143">
        <f t="shared" si="2"/>
        <v>-0.1761747876</v>
      </c>
      <c r="J250" s="16">
        <f>IFERROR(__xludf.DUMMYFUNCTION("VLOOKUP(A250,IMPORTRANGE(""1QZ5UxyNCwadreQAXnQ7oCoH982DjIA-QnZdO7ZoqkC0/edit#gid=884617569"",""S3 Totals!$A$2:$O$255""),7,FALSE)"),16.0)</f>
        <v>16</v>
      </c>
      <c r="K250" s="15">
        <f>IFERROR(__xludf.DUMMYFUNCTION("VLOOKUP(A250,IMPORTRANGE(""1QZ5UxyNCwadreQAXnQ7oCoH982DjIA-QnZdO7ZoqkC0/edit#gid=884617569"",""S3 Totals!$A$2:$O$255""),8,FALSE)"),0.18823529411764706)</f>
        <v>0.1882352941</v>
      </c>
      <c r="L250" s="110">
        <f t="shared" si="5"/>
        <v>-0.1747217806</v>
      </c>
      <c r="M250" s="16">
        <f>IFERROR(__xludf.DUMMYFUNCTION("VLOOKUP(A250,IMPORTRANGE(""1QZ5UxyNCwadreQAXnQ7oCoH982DjIA-QnZdO7ZoqkC0/edit#gid=884617569"",""S3 Totals!$A$2:$O$255""),10,FALSE)"),11.0)</f>
        <v>11</v>
      </c>
      <c r="N250" s="15">
        <f>IFERROR(__xludf.DUMMYFUNCTION("VLOOKUP(A250,IMPORTRANGE(""1QZ5UxyNCwadreQAXnQ7oCoH982DjIA-QnZdO7ZoqkC0/edit#gid=884617569"",""S3 Totals!$A$2:$O$255""),11,FALSE)"),0.12941176470588237)</f>
        <v>0.1294117647</v>
      </c>
      <c r="O250" s="110">
        <f t="shared" si="3"/>
        <v>-0.1157131346</v>
      </c>
      <c r="P250" s="16">
        <f>IFERROR(__xludf.DUMMYFUNCTION("VLOOKUP(A250,IMPORTRANGE(""1QZ5UxyNCwadreQAXnQ7oCoH982DjIA-QnZdO7ZoqkC0/edit#gid=884617569"",""S3 Totals!$A$2:$O$255""),13,FALSE)"),10.0)</f>
        <v>10</v>
      </c>
      <c r="Q250" s="15">
        <f>IFERROR(__xludf.DUMMYFUNCTION("VLOOKUP(A250,IMPORTRANGE(""1QZ5UxyNCwadreQAXnQ7oCoH982DjIA-QnZdO7ZoqkC0/edit#gid=884617569"",""S3 Totals!$A$2:$O$255""),14,FALSE)"),0.11764705882352941)</f>
        <v>0.1176470588</v>
      </c>
      <c r="R250" s="110">
        <f t="shared" si="4"/>
        <v>-0.1039484287</v>
      </c>
      <c r="S250" s="112"/>
    </row>
    <row r="251">
      <c r="A251" s="128" t="s">
        <v>259</v>
      </c>
      <c r="B251" s="16">
        <f>IFERROR(__xludf.DUMMYFUNCTION("VLOOKUP(A251,IMPORTRANGE(""1aFCnJY1qhIj8-JckJhDJ18aqmVo17tofpQmOjcYa3u8/edit#gid=1878241338"",""S3 Totals!$A$2:$O$255""),2,FALSE)"),58.0)</f>
        <v>58</v>
      </c>
      <c r="C251" s="15">
        <f>IFERROR(__xludf.DUMMYFUNCTION("VLOOKUP(A251,IMPORTRANGE(""1aFCnJY1qhIj8-JckJhDJ18aqmVo17tofpQmOjcYa3u8/edit#gid=1878241338"",""S3 Totals!$A$2:$O$255""),3,FALSE)"),0.7945205479452054)</f>
        <v>0.7945205479</v>
      </c>
      <c r="D251" s="16">
        <f>IFERROR(__xludf.DUMMYFUNCTION("VLOOKUP(A251,IMPORTRANGE(""1QZ5UxyNCwadreQAXnQ7oCoH982DjIA-QnZdO7ZoqkC0/edit#gid=884617569"",""S3 Totals!$A$2:$O$255""),2,FALSE)"),31.0)</f>
        <v>31</v>
      </c>
      <c r="E251" s="15">
        <f>IFERROR(__xludf.DUMMYFUNCTION("VLOOKUP(A251,IMPORTRANGE(""1QZ5UxyNCwadreQAXnQ7oCoH982DjIA-QnZdO7ZoqkC0/edit#gid=884617569"",""S3 Totals!$A$2:$O$255""),3,FALSE)"),0.4189189189189189)</f>
        <v>0.4189189189</v>
      </c>
      <c r="F251" s="15">
        <f t="shared" si="1"/>
        <v>0.375601629</v>
      </c>
      <c r="G251" s="16">
        <f>IFERROR(__xludf.DUMMYFUNCTION("VLOOKUP(A251,IMPORTRANGE(""1QZ5UxyNCwadreQAXnQ7oCoH982DjIA-QnZdO7ZoqkC0/edit#gid=884617569"",""S3 Totals!$A$2:$O$255""),4,FALSE)"),19.0)</f>
        <v>19</v>
      </c>
      <c r="H251" s="15">
        <f>IFERROR(__xludf.DUMMYFUNCTION("VLOOKUP(A251,IMPORTRANGE(""1QZ5UxyNCwadreQAXnQ7oCoH982DjIA-QnZdO7ZoqkC0/edit#gid=884617569"",""S3 Totals!$A$2:$O$255""),5,FALSE)"),0.24050632911392406)</f>
        <v>0.2405063291</v>
      </c>
      <c r="I251" s="143">
        <f t="shared" si="2"/>
        <v>0.5540142188</v>
      </c>
      <c r="J251" s="16" t="str">
        <f>IFERROR(__xludf.DUMMYFUNCTION("VLOOKUP(A251,IMPORTRANGE(""1QZ5UxyNCwadreQAXnQ7oCoH982DjIA-QnZdO7ZoqkC0/edit#gid=884617569"",""S3 Totals!$A$2:$O$255""),7,FALSE)"),"")</f>
        <v/>
      </c>
      <c r="K251" s="15" t="str">
        <f>IFERROR(__xludf.DUMMYFUNCTION("VLOOKUP(A251,IMPORTRANGE(""1QZ5UxyNCwadreQAXnQ7oCoH982DjIA-QnZdO7ZoqkC0/edit#gid=884617569"",""S3 Totals!$A$2:$O$255""),8,FALSE)"),"")</f>
        <v/>
      </c>
      <c r="L251" s="110">
        <f t="shared" si="5"/>
        <v>0.4189189189</v>
      </c>
      <c r="M251" s="112"/>
      <c r="N251" s="15" t="str">
        <f>IFERROR(__xludf.DUMMYFUNCTION("VLOOKUP(A251,IMPORTRANGE(""1QZ5UxyNCwadreQAXnQ7oCoH982DjIA-QnZdO7ZoqkC0/edit#gid=884617569"",""S3 Totals!$A$2:$O$255""),11,FALSE)"),"")</f>
        <v/>
      </c>
      <c r="O251" s="110">
        <f t="shared" si="3"/>
        <v>0.7945205479</v>
      </c>
      <c r="P251" s="16" t="str">
        <f>IFERROR(__xludf.DUMMYFUNCTION("VLOOKUP(A251,IMPORTRANGE(""1QZ5UxyNCwadreQAXnQ7oCoH982DjIA-QnZdO7ZoqkC0/edit#gid=884617569"",""S3 Totals!$A$2:$O$255""),13,FALSE)"),"")</f>
        <v/>
      </c>
      <c r="Q251" s="112"/>
      <c r="R251" s="110">
        <f t="shared" si="4"/>
        <v>0.7945205479</v>
      </c>
      <c r="S251" s="112"/>
    </row>
    <row r="252">
      <c r="A252" s="36"/>
      <c r="B252" s="113"/>
      <c r="C252" s="113"/>
      <c r="D252" s="113"/>
      <c r="E252" s="112"/>
      <c r="F252" s="112"/>
      <c r="G252" s="112"/>
      <c r="H252" s="112"/>
      <c r="I252" s="112"/>
      <c r="J252" s="112"/>
      <c r="K252" s="15"/>
      <c r="L252" s="112"/>
      <c r="M252" s="112"/>
      <c r="N252" s="112"/>
      <c r="O252" s="112"/>
      <c r="P252" s="112"/>
      <c r="Q252" s="112"/>
      <c r="R252" s="112"/>
      <c r="S252" s="112"/>
    </row>
    <row r="253">
      <c r="A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</row>
    <row r="254">
      <c r="A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</row>
    <row r="255">
      <c r="A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</row>
    <row r="256">
      <c r="A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</row>
    <row r="257">
      <c r="A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</row>
    <row r="258">
      <c r="A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</row>
    <row r="259">
      <c r="A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</row>
    <row r="260">
      <c r="A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</row>
    <row r="261">
      <c r="A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</row>
    <row r="262">
      <c r="A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</row>
    <row r="263">
      <c r="A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</row>
    <row r="264">
      <c r="A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</row>
    <row r="265">
      <c r="A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</row>
    <row r="266">
      <c r="A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</row>
    <row r="267">
      <c r="A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</row>
    <row r="268">
      <c r="A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</row>
    <row r="269">
      <c r="A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</row>
    <row r="270">
      <c r="A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</row>
    <row r="271">
      <c r="A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</row>
    <row r="272">
      <c r="A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</row>
    <row r="273">
      <c r="A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</row>
    <row r="274">
      <c r="A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</row>
    <row r="275">
      <c r="A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</row>
    <row r="276">
      <c r="A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</row>
    <row r="277">
      <c r="A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</row>
    <row r="278">
      <c r="A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</row>
    <row r="279">
      <c r="A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</row>
    <row r="280">
      <c r="A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</row>
    <row r="281">
      <c r="A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</row>
    <row r="282">
      <c r="A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</row>
    <row r="283">
      <c r="A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</row>
    <row r="284">
      <c r="A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</row>
    <row r="285">
      <c r="A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</row>
    <row r="286">
      <c r="A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</row>
    <row r="287">
      <c r="A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</row>
    <row r="288">
      <c r="A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</row>
    <row r="289">
      <c r="A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</row>
    <row r="290">
      <c r="A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</row>
    <row r="291">
      <c r="A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</row>
    <row r="292">
      <c r="A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</row>
    <row r="293">
      <c r="A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</row>
    <row r="294">
      <c r="A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</row>
    <row r="295">
      <c r="A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</row>
    <row r="296">
      <c r="A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</row>
    <row r="297">
      <c r="A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</row>
    <row r="298">
      <c r="A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</row>
    <row r="299">
      <c r="A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</row>
    <row r="300">
      <c r="A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</row>
    <row r="301">
      <c r="A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</row>
    <row r="302">
      <c r="A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</row>
    <row r="303">
      <c r="A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</row>
    <row r="304">
      <c r="A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</row>
    <row r="305">
      <c r="A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</row>
    <row r="306">
      <c r="A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</row>
    <row r="307">
      <c r="A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</row>
    <row r="308">
      <c r="A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</row>
    <row r="309">
      <c r="A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</row>
    <row r="310">
      <c r="A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</row>
    <row r="311">
      <c r="A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</row>
    <row r="312">
      <c r="A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</row>
    <row r="313">
      <c r="A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</row>
    <row r="314">
      <c r="A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</row>
    <row r="315">
      <c r="A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</row>
    <row r="316">
      <c r="A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</row>
    <row r="317">
      <c r="A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</row>
    <row r="318">
      <c r="A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</row>
    <row r="319">
      <c r="A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</row>
    <row r="320">
      <c r="A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</row>
    <row r="321">
      <c r="A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</row>
    <row r="322">
      <c r="A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</row>
    <row r="323">
      <c r="A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</row>
    <row r="324">
      <c r="A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</row>
    <row r="325">
      <c r="A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</row>
    <row r="326">
      <c r="A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</row>
    <row r="327">
      <c r="A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</row>
    <row r="328">
      <c r="A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</row>
    <row r="329">
      <c r="A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</row>
    <row r="330">
      <c r="A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</row>
    <row r="331">
      <c r="A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</row>
    <row r="332">
      <c r="A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</row>
    <row r="333">
      <c r="A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</row>
    <row r="334">
      <c r="A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</row>
    <row r="335">
      <c r="A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</row>
    <row r="336">
      <c r="A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</row>
    <row r="337">
      <c r="A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</row>
    <row r="338">
      <c r="A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</row>
    <row r="339">
      <c r="A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</row>
    <row r="340">
      <c r="A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</row>
    <row r="341">
      <c r="A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</row>
    <row r="342">
      <c r="A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</row>
    <row r="343">
      <c r="A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</row>
    <row r="344">
      <c r="A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</row>
    <row r="345">
      <c r="A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</row>
    <row r="346">
      <c r="A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</row>
    <row r="347">
      <c r="A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</row>
    <row r="348">
      <c r="A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</row>
    <row r="349">
      <c r="A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</row>
    <row r="350">
      <c r="A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</row>
    <row r="351">
      <c r="A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</row>
    <row r="352">
      <c r="A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</row>
    <row r="353">
      <c r="A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</row>
    <row r="354">
      <c r="A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</row>
    <row r="355">
      <c r="A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</row>
    <row r="356">
      <c r="A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</row>
    <row r="357">
      <c r="A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</row>
    <row r="358">
      <c r="A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</row>
    <row r="359">
      <c r="A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</row>
    <row r="360">
      <c r="A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</row>
    <row r="361">
      <c r="A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</row>
    <row r="362">
      <c r="A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</row>
    <row r="363">
      <c r="A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</row>
    <row r="364">
      <c r="A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</row>
    <row r="365">
      <c r="A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</row>
    <row r="366">
      <c r="A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</row>
    <row r="367">
      <c r="A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</row>
    <row r="368">
      <c r="A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</row>
    <row r="369">
      <c r="A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</row>
    <row r="370">
      <c r="A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</row>
    <row r="371">
      <c r="A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</row>
    <row r="372">
      <c r="A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</row>
    <row r="373">
      <c r="A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</row>
    <row r="374">
      <c r="A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</row>
    <row r="375">
      <c r="A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</row>
    <row r="376">
      <c r="A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</row>
    <row r="377">
      <c r="A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</row>
    <row r="378">
      <c r="A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</row>
    <row r="379">
      <c r="A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</row>
    <row r="380">
      <c r="A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</row>
    <row r="381">
      <c r="A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</row>
    <row r="382">
      <c r="A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</row>
    <row r="383">
      <c r="A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</row>
    <row r="384">
      <c r="A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</row>
    <row r="385">
      <c r="A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</row>
    <row r="386">
      <c r="A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</row>
    <row r="387">
      <c r="A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</row>
    <row r="388">
      <c r="A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</row>
    <row r="389">
      <c r="A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</row>
    <row r="390">
      <c r="A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</row>
    <row r="391">
      <c r="A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</row>
    <row r="392">
      <c r="A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</row>
    <row r="393">
      <c r="A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</row>
    <row r="394">
      <c r="A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</row>
    <row r="395">
      <c r="A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</row>
    <row r="396">
      <c r="A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</row>
    <row r="397">
      <c r="A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</row>
    <row r="398">
      <c r="A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</row>
    <row r="399">
      <c r="A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</row>
    <row r="400">
      <c r="A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</row>
    <row r="401">
      <c r="A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</row>
    <row r="402">
      <c r="A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</row>
    <row r="403">
      <c r="A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</row>
    <row r="404">
      <c r="A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</row>
    <row r="405">
      <c r="A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</row>
    <row r="406">
      <c r="A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</row>
    <row r="407">
      <c r="A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</row>
    <row r="408">
      <c r="A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</row>
    <row r="409">
      <c r="A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</row>
    <row r="410">
      <c r="A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</row>
    <row r="411">
      <c r="A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</row>
    <row r="412">
      <c r="A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</row>
    <row r="413">
      <c r="A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</row>
    <row r="414">
      <c r="A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</row>
    <row r="415">
      <c r="A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</row>
    <row r="416">
      <c r="A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</row>
    <row r="417">
      <c r="A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</row>
    <row r="418">
      <c r="A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</row>
    <row r="419">
      <c r="A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</row>
    <row r="420">
      <c r="A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</row>
    <row r="421">
      <c r="A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</row>
    <row r="422">
      <c r="A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</row>
    <row r="423">
      <c r="A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</row>
    <row r="424">
      <c r="A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</row>
    <row r="425">
      <c r="A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</row>
    <row r="426">
      <c r="A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</row>
    <row r="427">
      <c r="A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</row>
    <row r="428">
      <c r="A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</row>
    <row r="429">
      <c r="A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</row>
    <row r="430">
      <c r="A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</row>
    <row r="431">
      <c r="A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</row>
    <row r="432">
      <c r="A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</row>
    <row r="433">
      <c r="A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</row>
    <row r="434">
      <c r="A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</row>
    <row r="435">
      <c r="A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</row>
    <row r="436">
      <c r="A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</row>
    <row r="437">
      <c r="A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</row>
    <row r="438">
      <c r="A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</row>
    <row r="439">
      <c r="A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</row>
    <row r="440">
      <c r="A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</row>
    <row r="441">
      <c r="A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</row>
    <row r="442">
      <c r="A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</row>
    <row r="443">
      <c r="A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</row>
    <row r="444">
      <c r="A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</row>
    <row r="445">
      <c r="A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</row>
    <row r="446">
      <c r="A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</row>
    <row r="447">
      <c r="A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</row>
    <row r="448">
      <c r="A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</row>
    <row r="449">
      <c r="A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</row>
    <row r="450">
      <c r="A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</row>
    <row r="451">
      <c r="A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</row>
    <row r="452">
      <c r="A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</row>
    <row r="453">
      <c r="A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</row>
    <row r="454">
      <c r="A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</row>
    <row r="455">
      <c r="A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</row>
    <row r="456">
      <c r="A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</row>
    <row r="457">
      <c r="A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</row>
    <row r="458">
      <c r="A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</row>
    <row r="459">
      <c r="A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</row>
    <row r="460">
      <c r="A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</row>
    <row r="461">
      <c r="A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</row>
    <row r="462">
      <c r="A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</row>
    <row r="463">
      <c r="A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</row>
    <row r="464">
      <c r="A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</row>
    <row r="465">
      <c r="A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</row>
    <row r="466">
      <c r="A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</row>
    <row r="467">
      <c r="A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</row>
    <row r="468">
      <c r="A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</row>
    <row r="469">
      <c r="A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</row>
    <row r="470">
      <c r="A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</row>
    <row r="471">
      <c r="A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</row>
    <row r="472">
      <c r="A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</row>
    <row r="473">
      <c r="A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</row>
    <row r="474">
      <c r="A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</row>
    <row r="475">
      <c r="A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</row>
    <row r="476">
      <c r="A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</row>
    <row r="477">
      <c r="A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</row>
    <row r="478">
      <c r="A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</row>
    <row r="479">
      <c r="A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</row>
    <row r="480">
      <c r="A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</row>
    <row r="481">
      <c r="A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</row>
    <row r="482">
      <c r="A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</row>
    <row r="483">
      <c r="A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</row>
    <row r="484">
      <c r="A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</row>
    <row r="485">
      <c r="A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</row>
    <row r="486">
      <c r="A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</row>
    <row r="487">
      <c r="A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</row>
    <row r="488">
      <c r="A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</row>
    <row r="489">
      <c r="A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</row>
    <row r="490">
      <c r="A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</row>
    <row r="491">
      <c r="A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</row>
    <row r="492">
      <c r="A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</row>
    <row r="493">
      <c r="A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>
      <c r="A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</row>
    <row r="495">
      <c r="A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</row>
    <row r="496">
      <c r="A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</row>
    <row r="497">
      <c r="A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</row>
    <row r="498">
      <c r="A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</row>
    <row r="499">
      <c r="A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</row>
    <row r="500">
      <c r="A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</row>
    <row r="501">
      <c r="A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</row>
    <row r="502">
      <c r="A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>
      <c r="A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</row>
    <row r="504">
      <c r="A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</row>
    <row r="505">
      <c r="A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</row>
    <row r="506">
      <c r="A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</row>
    <row r="507">
      <c r="A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</row>
    <row r="508">
      <c r="A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</row>
    <row r="509">
      <c r="A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</row>
    <row r="510">
      <c r="A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</row>
    <row r="511">
      <c r="A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>
      <c r="A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</row>
    <row r="513">
      <c r="A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</row>
    <row r="514">
      <c r="A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</row>
    <row r="515">
      <c r="A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</row>
    <row r="516">
      <c r="A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</row>
    <row r="517">
      <c r="A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</row>
    <row r="518">
      <c r="A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</row>
    <row r="519">
      <c r="A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</row>
    <row r="520">
      <c r="A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>
      <c r="A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</row>
    <row r="522">
      <c r="A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</row>
    <row r="523">
      <c r="A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</row>
    <row r="524">
      <c r="A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</row>
    <row r="525">
      <c r="A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</row>
    <row r="526">
      <c r="A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</row>
    <row r="527">
      <c r="A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</row>
    <row r="528">
      <c r="A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</row>
    <row r="529">
      <c r="A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>
      <c r="A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</row>
    <row r="531">
      <c r="A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</row>
    <row r="532">
      <c r="A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</row>
    <row r="533">
      <c r="A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</row>
    <row r="534">
      <c r="A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</row>
    <row r="535">
      <c r="A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</row>
    <row r="536">
      <c r="A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</row>
    <row r="537">
      <c r="A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>
      <c r="A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</row>
    <row r="539">
      <c r="A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</row>
    <row r="540">
      <c r="A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</row>
    <row r="541">
      <c r="A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</row>
    <row r="542">
      <c r="A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</row>
    <row r="543">
      <c r="A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</row>
    <row r="544">
      <c r="A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</row>
    <row r="545">
      <c r="A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>
      <c r="A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</row>
    <row r="547">
      <c r="A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</row>
    <row r="548">
      <c r="A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</row>
    <row r="549">
      <c r="A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</row>
    <row r="550">
      <c r="A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</row>
    <row r="551">
      <c r="A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</row>
    <row r="552">
      <c r="A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</row>
    <row r="553">
      <c r="A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</row>
    <row r="554">
      <c r="A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</row>
    <row r="555">
      <c r="A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</row>
    <row r="556">
      <c r="A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</row>
    <row r="557">
      <c r="A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</row>
    <row r="558">
      <c r="A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</row>
    <row r="559">
      <c r="A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</row>
    <row r="560">
      <c r="A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</row>
    <row r="561">
      <c r="A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</row>
    <row r="562">
      <c r="A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</row>
    <row r="563">
      <c r="A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</row>
    <row r="564">
      <c r="A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</row>
    <row r="565">
      <c r="A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</row>
    <row r="566">
      <c r="A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</row>
    <row r="567">
      <c r="A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</row>
    <row r="568">
      <c r="A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</row>
    <row r="569">
      <c r="A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</row>
    <row r="570">
      <c r="A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</row>
    <row r="571">
      <c r="A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</row>
    <row r="572">
      <c r="A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</row>
    <row r="573">
      <c r="A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</row>
    <row r="574">
      <c r="A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</row>
    <row r="575">
      <c r="A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</row>
    <row r="576">
      <c r="A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</row>
    <row r="577">
      <c r="A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</row>
    <row r="578">
      <c r="A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</row>
    <row r="579">
      <c r="A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</row>
    <row r="580">
      <c r="A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</row>
    <row r="581">
      <c r="A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</row>
    <row r="582">
      <c r="A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</row>
    <row r="583">
      <c r="A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</row>
    <row r="584">
      <c r="A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</row>
    <row r="585">
      <c r="A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</row>
    <row r="586">
      <c r="A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</row>
    <row r="587">
      <c r="A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</row>
    <row r="588">
      <c r="A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</row>
    <row r="589">
      <c r="A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</row>
    <row r="590">
      <c r="A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</row>
    <row r="591">
      <c r="A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</row>
    <row r="592">
      <c r="A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</row>
    <row r="593">
      <c r="A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</row>
    <row r="594">
      <c r="A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</row>
    <row r="595">
      <c r="A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</row>
    <row r="596">
      <c r="A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</row>
    <row r="597">
      <c r="A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</row>
    <row r="598">
      <c r="A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</row>
    <row r="599">
      <c r="A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</row>
    <row r="600">
      <c r="A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</row>
    <row r="601">
      <c r="A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</row>
    <row r="602">
      <c r="A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</row>
    <row r="603">
      <c r="A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</row>
    <row r="604">
      <c r="A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</row>
    <row r="605">
      <c r="A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</row>
    <row r="606">
      <c r="A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</row>
    <row r="607">
      <c r="A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</row>
    <row r="608">
      <c r="A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</row>
    <row r="609">
      <c r="A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</row>
    <row r="610">
      <c r="A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</row>
    <row r="611">
      <c r="A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</row>
    <row r="612">
      <c r="A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</row>
    <row r="613">
      <c r="A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</row>
    <row r="614">
      <c r="A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</row>
    <row r="615">
      <c r="A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</row>
    <row r="616">
      <c r="A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</row>
    <row r="617">
      <c r="A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</row>
    <row r="618">
      <c r="A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</row>
    <row r="619">
      <c r="A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</row>
    <row r="620">
      <c r="A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</row>
    <row r="621">
      <c r="A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</row>
    <row r="622">
      <c r="A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</row>
    <row r="623">
      <c r="A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</row>
    <row r="624">
      <c r="A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</row>
    <row r="625">
      <c r="A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</row>
    <row r="626">
      <c r="A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</row>
    <row r="627">
      <c r="A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</row>
    <row r="628">
      <c r="A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</row>
    <row r="629">
      <c r="A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</row>
    <row r="630">
      <c r="A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</row>
    <row r="631">
      <c r="A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</row>
    <row r="632">
      <c r="A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</row>
    <row r="633">
      <c r="A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</row>
    <row r="634">
      <c r="A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</row>
    <row r="635">
      <c r="A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</row>
    <row r="636">
      <c r="A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</row>
    <row r="637">
      <c r="A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</row>
    <row r="638">
      <c r="A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</row>
    <row r="639">
      <c r="A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</row>
    <row r="640">
      <c r="A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</row>
    <row r="641">
      <c r="A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</row>
    <row r="642">
      <c r="A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</row>
    <row r="643">
      <c r="A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</row>
    <row r="644">
      <c r="A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</row>
    <row r="645">
      <c r="A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</row>
    <row r="646">
      <c r="A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</row>
    <row r="647">
      <c r="A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</row>
    <row r="648">
      <c r="A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</row>
    <row r="649">
      <c r="A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</row>
    <row r="650">
      <c r="A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</row>
    <row r="651">
      <c r="A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</row>
    <row r="652">
      <c r="A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</row>
    <row r="653">
      <c r="A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</row>
    <row r="654">
      <c r="A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</row>
    <row r="655">
      <c r="A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</row>
    <row r="656">
      <c r="A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</row>
    <row r="657">
      <c r="A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</row>
    <row r="658">
      <c r="A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</row>
    <row r="659">
      <c r="A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</row>
    <row r="660">
      <c r="A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</row>
    <row r="661">
      <c r="A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</row>
    <row r="662">
      <c r="A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</row>
    <row r="663">
      <c r="A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</row>
    <row r="664">
      <c r="A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</row>
    <row r="665">
      <c r="A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</row>
    <row r="666">
      <c r="A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</row>
    <row r="667">
      <c r="A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</row>
    <row r="668">
      <c r="A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</row>
    <row r="669">
      <c r="A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</row>
    <row r="670">
      <c r="A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</row>
    <row r="671">
      <c r="A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</row>
    <row r="672">
      <c r="A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</row>
    <row r="673">
      <c r="A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</row>
    <row r="674">
      <c r="A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</row>
    <row r="675">
      <c r="A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</row>
    <row r="676">
      <c r="A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</row>
    <row r="677">
      <c r="A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</row>
    <row r="678">
      <c r="A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</row>
    <row r="679">
      <c r="A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</row>
    <row r="680">
      <c r="A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</row>
    <row r="681">
      <c r="A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</row>
    <row r="682">
      <c r="A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</row>
    <row r="683">
      <c r="A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</row>
    <row r="684">
      <c r="A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</row>
    <row r="685">
      <c r="A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</row>
    <row r="686">
      <c r="A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</row>
    <row r="687">
      <c r="A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</row>
    <row r="688">
      <c r="A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</row>
    <row r="689">
      <c r="A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</row>
    <row r="690">
      <c r="A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</row>
    <row r="691">
      <c r="A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</row>
    <row r="692">
      <c r="A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</row>
    <row r="693">
      <c r="A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</row>
    <row r="694">
      <c r="A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</row>
    <row r="695">
      <c r="A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</row>
    <row r="696">
      <c r="A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</row>
    <row r="697">
      <c r="A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</row>
    <row r="698">
      <c r="A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</row>
    <row r="699">
      <c r="A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</row>
    <row r="700">
      <c r="A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</row>
    <row r="701">
      <c r="A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</row>
    <row r="702">
      <c r="A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</row>
    <row r="703">
      <c r="A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</row>
    <row r="704">
      <c r="A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  <row r="705">
      <c r="A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</row>
    <row r="706">
      <c r="A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</row>
    <row r="707">
      <c r="A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</row>
    <row r="708">
      <c r="A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</row>
    <row r="709">
      <c r="A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</row>
    <row r="710">
      <c r="A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</row>
    <row r="711">
      <c r="A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</row>
    <row r="712">
      <c r="A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</row>
    <row r="713">
      <c r="A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</row>
    <row r="714">
      <c r="A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</row>
    <row r="715">
      <c r="A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</row>
    <row r="716">
      <c r="A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</row>
    <row r="717">
      <c r="A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</row>
    <row r="718">
      <c r="A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</row>
    <row r="719">
      <c r="A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</row>
    <row r="720">
      <c r="A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</row>
    <row r="721">
      <c r="A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</row>
    <row r="722">
      <c r="A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</row>
    <row r="723">
      <c r="A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</row>
    <row r="724">
      <c r="A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</row>
    <row r="725">
      <c r="A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</row>
    <row r="726">
      <c r="A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</row>
    <row r="727">
      <c r="A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</row>
    <row r="728">
      <c r="A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</row>
    <row r="729">
      <c r="A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</row>
    <row r="730">
      <c r="A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</row>
    <row r="731">
      <c r="A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</row>
    <row r="732">
      <c r="A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</row>
    <row r="733">
      <c r="A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</row>
    <row r="734">
      <c r="A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</row>
    <row r="735">
      <c r="A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</row>
    <row r="736">
      <c r="A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</row>
    <row r="737">
      <c r="A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</row>
    <row r="738">
      <c r="A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</row>
    <row r="739">
      <c r="A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</row>
    <row r="740">
      <c r="A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</row>
    <row r="741">
      <c r="A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</row>
    <row r="742">
      <c r="A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</row>
    <row r="743">
      <c r="A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</row>
    <row r="744">
      <c r="A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</row>
    <row r="745">
      <c r="A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</row>
    <row r="746">
      <c r="A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</row>
    <row r="747">
      <c r="A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</row>
    <row r="748">
      <c r="A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</row>
    <row r="749">
      <c r="A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</row>
    <row r="750">
      <c r="A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</row>
    <row r="751">
      <c r="A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</row>
    <row r="752">
      <c r="A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</row>
    <row r="753">
      <c r="A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</row>
    <row r="754">
      <c r="A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</row>
    <row r="755">
      <c r="A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</row>
    <row r="756">
      <c r="A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</row>
    <row r="757">
      <c r="A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</row>
    <row r="758">
      <c r="A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</row>
    <row r="759">
      <c r="A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</row>
    <row r="760">
      <c r="A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</row>
    <row r="761">
      <c r="A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</row>
    <row r="762">
      <c r="A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</row>
    <row r="763">
      <c r="A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</row>
    <row r="764">
      <c r="A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</row>
    <row r="765">
      <c r="A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</row>
    <row r="766">
      <c r="A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</row>
    <row r="767">
      <c r="A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</row>
    <row r="768">
      <c r="A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</row>
    <row r="769">
      <c r="A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</row>
    <row r="770">
      <c r="A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</row>
    <row r="771">
      <c r="A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</row>
    <row r="772">
      <c r="A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</row>
    <row r="773">
      <c r="A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</row>
    <row r="774">
      <c r="A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</row>
    <row r="775">
      <c r="A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</row>
    <row r="776">
      <c r="A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</row>
    <row r="777">
      <c r="A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</row>
    <row r="778">
      <c r="A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</row>
    <row r="779">
      <c r="A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</row>
    <row r="780">
      <c r="A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</row>
    <row r="781">
      <c r="A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</row>
    <row r="782">
      <c r="A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</row>
    <row r="783">
      <c r="A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</row>
    <row r="784">
      <c r="A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</row>
    <row r="785">
      <c r="A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</row>
    <row r="786">
      <c r="A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</row>
    <row r="787">
      <c r="A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</row>
    <row r="788">
      <c r="A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</row>
    <row r="789">
      <c r="A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</row>
    <row r="790">
      <c r="A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</row>
    <row r="791">
      <c r="A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</row>
    <row r="792">
      <c r="A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</row>
    <row r="793">
      <c r="A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</row>
    <row r="794">
      <c r="A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</row>
    <row r="795">
      <c r="A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</row>
    <row r="796">
      <c r="A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</row>
    <row r="797">
      <c r="A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</row>
    <row r="798">
      <c r="A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</row>
    <row r="799">
      <c r="A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</row>
    <row r="800">
      <c r="A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</row>
    <row r="801">
      <c r="A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</row>
    <row r="802">
      <c r="A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</row>
    <row r="803">
      <c r="A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</row>
    <row r="804">
      <c r="A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</row>
    <row r="805">
      <c r="A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</row>
    <row r="806">
      <c r="A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</row>
    <row r="807">
      <c r="A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</row>
    <row r="808">
      <c r="A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</row>
    <row r="809">
      <c r="A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</row>
    <row r="810">
      <c r="A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</row>
    <row r="811">
      <c r="A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</row>
    <row r="812">
      <c r="A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</row>
    <row r="813">
      <c r="A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</row>
    <row r="814">
      <c r="A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</row>
    <row r="815">
      <c r="A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</row>
    <row r="816">
      <c r="A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</row>
    <row r="817">
      <c r="A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</row>
    <row r="818">
      <c r="A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</row>
    <row r="819">
      <c r="A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</row>
    <row r="820">
      <c r="A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</row>
    <row r="821">
      <c r="A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</row>
    <row r="822">
      <c r="A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</row>
    <row r="823">
      <c r="A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</row>
    <row r="824">
      <c r="A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</row>
    <row r="825">
      <c r="A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</row>
    <row r="826">
      <c r="A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</row>
    <row r="827">
      <c r="A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</row>
    <row r="828">
      <c r="A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</row>
    <row r="829">
      <c r="A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</row>
    <row r="830">
      <c r="A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</row>
    <row r="831">
      <c r="A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</row>
    <row r="832">
      <c r="A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</row>
    <row r="833">
      <c r="A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</row>
    <row r="834">
      <c r="A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</row>
    <row r="835">
      <c r="A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</row>
    <row r="836">
      <c r="A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</row>
    <row r="837">
      <c r="A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</row>
    <row r="838">
      <c r="A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</row>
    <row r="839">
      <c r="A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</row>
    <row r="840">
      <c r="A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</row>
    <row r="841">
      <c r="A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</row>
    <row r="842">
      <c r="A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</row>
    <row r="843">
      <c r="A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</row>
    <row r="844">
      <c r="A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</row>
    <row r="845">
      <c r="A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</row>
    <row r="846">
      <c r="A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</row>
    <row r="847">
      <c r="A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</row>
    <row r="848">
      <c r="A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</row>
    <row r="849">
      <c r="A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</row>
    <row r="850">
      <c r="A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</row>
    <row r="851">
      <c r="A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</row>
    <row r="852">
      <c r="A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</row>
    <row r="853">
      <c r="A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</row>
    <row r="854">
      <c r="A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</row>
    <row r="855">
      <c r="A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</row>
    <row r="856">
      <c r="A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</row>
    <row r="857">
      <c r="A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</row>
    <row r="858">
      <c r="A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</row>
    <row r="859">
      <c r="A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</row>
    <row r="860">
      <c r="A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</row>
    <row r="861">
      <c r="A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</row>
    <row r="862">
      <c r="A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</row>
    <row r="863">
      <c r="A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</row>
    <row r="864">
      <c r="A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</row>
    <row r="865">
      <c r="A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</row>
    <row r="866">
      <c r="A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</row>
    <row r="867">
      <c r="A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</row>
    <row r="868">
      <c r="A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</row>
    <row r="869">
      <c r="A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</row>
    <row r="870">
      <c r="A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</row>
    <row r="871">
      <c r="A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</row>
    <row r="872">
      <c r="A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</row>
    <row r="873">
      <c r="A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</row>
    <row r="874">
      <c r="A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</row>
    <row r="875">
      <c r="A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</row>
    <row r="876">
      <c r="A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</row>
    <row r="877">
      <c r="A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</row>
    <row r="878">
      <c r="A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</row>
    <row r="879">
      <c r="A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</row>
    <row r="880">
      <c r="A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</row>
    <row r="881">
      <c r="A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</row>
    <row r="882">
      <c r="A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</row>
    <row r="883">
      <c r="A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</row>
    <row r="884">
      <c r="A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</row>
    <row r="885">
      <c r="A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</row>
    <row r="886">
      <c r="A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</row>
    <row r="887">
      <c r="A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</row>
    <row r="888">
      <c r="A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</row>
    <row r="889">
      <c r="A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</row>
    <row r="890">
      <c r="A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</row>
    <row r="891">
      <c r="A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</row>
    <row r="892">
      <c r="A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</row>
    <row r="893">
      <c r="A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</row>
    <row r="894">
      <c r="A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</row>
    <row r="895">
      <c r="A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</row>
    <row r="896">
      <c r="A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</row>
    <row r="897">
      <c r="A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</row>
    <row r="898">
      <c r="A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</row>
    <row r="899">
      <c r="A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</row>
    <row r="900">
      <c r="A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</row>
    <row r="901">
      <c r="A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</row>
    <row r="902">
      <c r="A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</row>
    <row r="903">
      <c r="A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</row>
    <row r="904">
      <c r="A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</row>
    <row r="905">
      <c r="A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</row>
    <row r="906">
      <c r="A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</row>
    <row r="907">
      <c r="A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</row>
    <row r="908">
      <c r="A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</row>
    <row r="909">
      <c r="A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</row>
    <row r="910">
      <c r="A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</row>
    <row r="911">
      <c r="A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</row>
    <row r="912">
      <c r="A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</row>
    <row r="913">
      <c r="A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</row>
    <row r="914">
      <c r="A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</row>
    <row r="915">
      <c r="A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</row>
    <row r="916">
      <c r="A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</row>
    <row r="917">
      <c r="A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</row>
    <row r="918">
      <c r="A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</row>
    <row r="919">
      <c r="A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</row>
    <row r="920">
      <c r="A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</row>
    <row r="921">
      <c r="A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</row>
    <row r="922">
      <c r="A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</row>
    <row r="923">
      <c r="A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</row>
    <row r="924">
      <c r="A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</row>
    <row r="925">
      <c r="A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</row>
    <row r="926">
      <c r="A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</row>
    <row r="927">
      <c r="A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</row>
    <row r="928">
      <c r="A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</row>
    <row r="929">
      <c r="A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</row>
    <row r="930">
      <c r="A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</row>
    <row r="931">
      <c r="A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</row>
    <row r="932">
      <c r="A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</row>
    <row r="933">
      <c r="A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</row>
    <row r="934">
      <c r="A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</row>
    <row r="935">
      <c r="A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</row>
    <row r="936">
      <c r="A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</row>
    <row r="937">
      <c r="A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</row>
    <row r="938">
      <c r="A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</row>
    <row r="939">
      <c r="A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</row>
    <row r="940">
      <c r="A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</row>
    <row r="941">
      <c r="A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</row>
    <row r="942">
      <c r="A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</row>
    <row r="943">
      <c r="A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</row>
    <row r="944">
      <c r="A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</row>
    <row r="945">
      <c r="A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</row>
    <row r="946">
      <c r="A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</row>
    <row r="947">
      <c r="A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</row>
    <row r="948">
      <c r="A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</row>
    <row r="949">
      <c r="A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</row>
    <row r="950">
      <c r="A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</row>
    <row r="951">
      <c r="A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</row>
    <row r="952">
      <c r="A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</row>
    <row r="953">
      <c r="A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</row>
    <row r="954">
      <c r="A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</row>
    <row r="955">
      <c r="A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</row>
    <row r="956">
      <c r="A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</row>
    <row r="957">
      <c r="A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</row>
    <row r="958">
      <c r="A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</row>
    <row r="959">
      <c r="A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</row>
    <row r="960">
      <c r="A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</row>
    <row r="961">
      <c r="A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</row>
    <row r="962">
      <c r="A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</row>
    <row r="963">
      <c r="A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</row>
    <row r="964">
      <c r="A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</row>
    <row r="965">
      <c r="A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</row>
    <row r="966">
      <c r="A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</row>
    <row r="967">
      <c r="A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</row>
    <row r="968">
      <c r="A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</row>
    <row r="969">
      <c r="A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</row>
    <row r="970">
      <c r="A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</row>
    <row r="971">
      <c r="A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</row>
    <row r="972">
      <c r="A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</row>
    <row r="973">
      <c r="A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</row>
    <row r="974">
      <c r="A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</row>
    <row r="975">
      <c r="A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</row>
    <row r="976">
      <c r="A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</row>
    <row r="977">
      <c r="A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</row>
    <row r="978">
      <c r="A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</row>
    <row r="979">
      <c r="A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</row>
    <row r="980">
      <c r="A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</row>
    <row r="981">
      <c r="A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</row>
    <row r="982">
      <c r="A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</row>
    <row r="983">
      <c r="A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</row>
    <row r="984">
      <c r="A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</row>
    <row r="985">
      <c r="A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</row>
    <row r="986">
      <c r="A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</row>
    <row r="987">
      <c r="A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</row>
    <row r="988">
      <c r="A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</row>
    <row r="989">
      <c r="A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</row>
    <row r="990">
      <c r="A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</row>
    <row r="991">
      <c r="A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</row>
    <row r="992">
      <c r="A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</row>
    <row r="993">
      <c r="A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</row>
    <row r="994">
      <c r="A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</row>
    <row r="995">
      <c r="A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</row>
    <row r="996">
      <c r="A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</row>
    <row r="997">
      <c r="A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</row>
    <row r="998">
      <c r="A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</row>
    <row r="999">
      <c r="A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</row>
    <row r="1000">
      <c r="A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04" t="s">
        <v>279</v>
      </c>
      <c r="B1" s="2" t="s">
        <v>335</v>
      </c>
      <c r="C1" s="61" t="s">
        <v>336</v>
      </c>
      <c r="D1" s="126" t="s">
        <v>337</v>
      </c>
      <c r="E1" s="127" t="s">
        <v>338</v>
      </c>
      <c r="F1" s="2" t="s">
        <v>284</v>
      </c>
      <c r="G1" s="145" t="s">
        <v>339</v>
      </c>
      <c r="H1" s="145" t="s">
        <v>340</v>
      </c>
      <c r="I1" s="2" t="s">
        <v>287</v>
      </c>
      <c r="J1" s="7" t="s">
        <v>341</v>
      </c>
      <c r="K1" s="7" t="s">
        <v>342</v>
      </c>
      <c r="L1" s="2" t="s">
        <v>290</v>
      </c>
      <c r="M1" s="8" t="s">
        <v>343</v>
      </c>
      <c r="N1" s="8" t="s">
        <v>344</v>
      </c>
      <c r="O1" s="2" t="s">
        <v>293</v>
      </c>
      <c r="P1" s="106" t="s">
        <v>345</v>
      </c>
      <c r="Q1" s="106" t="s">
        <v>346</v>
      </c>
      <c r="R1" s="2" t="s">
        <v>296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128" t="s">
        <v>20</v>
      </c>
      <c r="B2" s="16">
        <f>IFERROR(__xludf.DUMMYFUNCTION("VLOOKUP(A2,IMPORTRANGE(""1aFCnJY1qhIj8-JckJhDJ18aqmVo17tofpQmOjcYa3u8/edit#gid=1878241338"",""S4 Totals!$A$2:$O$255""),2,FALSE)"),8.0)</f>
        <v>8</v>
      </c>
      <c r="C2" s="15">
        <f>IFERROR(__xludf.DUMMYFUNCTION("VLOOKUP(A2,IMPORTRANGE(""1aFCnJY1qhIj8-JckJhDJ18aqmVo17tofpQmOjcYa3u8/edit#gid=1878241338"",""S4 Totals!$A$2:$O$255""),3,FALSE)"),0.16)</f>
        <v>0.16</v>
      </c>
      <c r="D2" s="16">
        <f>IFERROR(__xludf.DUMMYFUNCTION("VLOOKUP(A2,IMPORTRANGE(""1QZ5UxyNCwadreQAXnQ7oCoH982DjIA-QnZdO7ZoqkC0/edit#gid=884617569"",""S4 Totals!$A$2:$O$255""),2,FALSE)"),10.0)</f>
        <v>10</v>
      </c>
      <c r="E2" s="15">
        <f>IFERROR(__xludf.DUMMYFUNCTION("VLOOKUP(A2,IMPORTRANGE(""1QZ5UxyNCwadreQAXnQ7oCoH982DjIA-QnZdO7ZoqkC0/edit#gid=884617569"",""S4 Totals!$A$2:$O$255""),3,FALSE)"),0.2127659574468085)</f>
        <v>0.2127659574</v>
      </c>
      <c r="F2" s="146">
        <f t="shared" ref="F2:F251" si="1">C2-E2</f>
        <v>-0.05276595745</v>
      </c>
      <c r="G2" s="16">
        <f>IFERROR(__xludf.DUMMYFUNCTION("VLOOKUP(A2,IMPORTRANGE(""1QZ5UxyNCwadreQAXnQ7oCoH982DjIA-QnZdO7ZoqkC0/edit#gid=884617569"",""S4 Totals!$A$2:$O$255""),4,FALSE)"),15.0)</f>
        <v>15</v>
      </c>
      <c r="H2" s="15">
        <f>IFERROR(__xludf.DUMMYFUNCTION("VLOOKUP(A2,IMPORTRANGE(""1QZ5UxyNCwadreQAXnQ7oCoH982DjIA-QnZdO7ZoqkC0/edit#gid=884617569"",""S4 Totals!$A$2:$O$255""),5,FALSE)"),0.23809523809523808)</f>
        <v>0.2380952381</v>
      </c>
      <c r="I2" s="143"/>
      <c r="J2" s="16">
        <f>IFERROR(__xludf.DUMMYFUNCTION("VLOOKUP(A2,IMPORTRANGE(""1QZ5UxyNCwadreQAXnQ7oCoH982DjIA-QnZdO7ZoqkC0/edit#gid=884617569"",""S4 Totals!$A$2:$O$255""),7,FALSE)"),20.0)</f>
        <v>20</v>
      </c>
      <c r="K2" s="15">
        <f>IFERROR(__xludf.DUMMYFUNCTION("VLOOKUP(A2,IMPORTRANGE(""1QZ5UxyNCwadreQAXnQ7oCoH982DjIA-QnZdO7ZoqkC0/edit#gid=884617569"",""S4 Totals!$A$2:$O$255""),8,FALSE)"),0.2857142857142857)</f>
        <v>0.2857142857</v>
      </c>
      <c r="L2" s="147"/>
      <c r="M2" s="16">
        <f>IFERROR(__xludf.DUMMYFUNCTION("VLOOKUP(A2,IMPORTRANGE(""1QZ5UxyNCwadreQAXnQ7oCoH982DjIA-QnZdO7ZoqkC0/edit#gid=884617569"",""S4 Totals!$A$2:$O$255""),10,FALSE)"),16.0)</f>
        <v>16</v>
      </c>
      <c r="N2" s="15">
        <f>IFERROR(__xludf.DUMMYFUNCTION("VLOOKUP(A2,IMPORTRANGE(""1QZ5UxyNCwadreQAXnQ7oCoH982DjIA-QnZdO7ZoqkC0/edit#gid=884617569"",""S4 Totals!$A$2:$O$255""),11,FALSE)"),0.21621621621621623)</f>
        <v>0.2162162162</v>
      </c>
      <c r="O2" s="110"/>
      <c r="P2" s="16">
        <f>IFERROR(__xludf.DUMMYFUNCTION("VLOOKUP(A2,IMPORTRANGE(""1QZ5UxyNCwadreQAXnQ7oCoH982DjIA-QnZdO7ZoqkC0/edit#gid=884617569"",""S4 Totals!$A$2:$O$255""),13,FALSE)"),13.0)</f>
        <v>13</v>
      </c>
      <c r="Q2" s="15">
        <f>IFERROR(__xludf.DUMMYFUNCTION("VLOOKUP(A2,IMPORTRANGE(""1QZ5UxyNCwadreQAXnQ7oCoH982DjIA-QnZdO7ZoqkC0/edit#gid=884617569"",""S4 Totals!$A$2:$O$255""),14,FALSE)"),0.17333333333333334)</f>
        <v>0.1733333333</v>
      </c>
      <c r="R2" s="110"/>
    </row>
    <row r="3">
      <c r="A3" s="128" t="s">
        <v>89</v>
      </c>
      <c r="B3" s="16">
        <f>IFERROR(__xludf.DUMMYFUNCTION("VLOOKUP(A3,IMPORTRANGE(""1aFCnJY1qhIj8-JckJhDJ18aqmVo17tofpQmOjcYa3u8/edit#gid=1878241338"",""S4 Totals!$A$2:$O$255""),2,FALSE)"),22.0)</f>
        <v>22</v>
      </c>
      <c r="C3" s="15">
        <f>IFERROR(__xludf.DUMMYFUNCTION("VLOOKUP(A3,IMPORTRANGE(""1aFCnJY1qhIj8-JckJhDJ18aqmVo17tofpQmOjcYa3u8/edit#gid=1878241338"",""S4 Totals!$A$2:$O$255""),3,FALSE)"),0.44)</f>
        <v>0.44</v>
      </c>
      <c r="D3" s="16">
        <f>IFERROR(__xludf.DUMMYFUNCTION("VLOOKUP(A3,IMPORTRANGE(""1QZ5UxyNCwadreQAXnQ7oCoH982DjIA-QnZdO7ZoqkC0/edit#gid=884617569"",""S4 Totals!$A$2:$O$255""),2,FALSE)"),23.0)</f>
        <v>23</v>
      </c>
      <c r="E3" s="15">
        <f>IFERROR(__xludf.DUMMYFUNCTION("VLOOKUP(A3,IMPORTRANGE(""1QZ5UxyNCwadreQAXnQ7oCoH982DjIA-QnZdO7ZoqkC0/edit#gid=884617569"",""S4 Totals!$A$2:$O$255""),3,FALSE)"),0.48936170212765956)</f>
        <v>0.4893617021</v>
      </c>
      <c r="F3" s="146">
        <f t="shared" si="1"/>
        <v>-0.04936170213</v>
      </c>
      <c r="G3" s="16">
        <f>IFERROR(__xludf.DUMMYFUNCTION("VLOOKUP(A3,IMPORTRANGE(""1QZ5UxyNCwadreQAXnQ7oCoH982DjIA-QnZdO7ZoqkC0/edit#gid=884617569"",""S4 Totals!$A$2:$O$255""),4,FALSE)"),37.0)</f>
        <v>37</v>
      </c>
      <c r="H3" s="15">
        <f>IFERROR(__xludf.DUMMYFUNCTION("VLOOKUP(A3,IMPORTRANGE(""1QZ5UxyNCwadreQAXnQ7oCoH982DjIA-QnZdO7ZoqkC0/edit#gid=884617569"",""S4 Totals!$A$2:$O$255""),5,FALSE)"),0.5873015873015873)</f>
        <v>0.5873015873</v>
      </c>
      <c r="I3" s="143"/>
      <c r="J3" s="16">
        <f>IFERROR(__xludf.DUMMYFUNCTION("VLOOKUP(A3,IMPORTRANGE(""1QZ5UxyNCwadreQAXnQ7oCoH982DjIA-QnZdO7ZoqkC0/edit#gid=884617569"",""S4 Totals!$A$2:$O$255""),7,FALSE)"),41.0)</f>
        <v>41</v>
      </c>
      <c r="K3" s="15">
        <f>IFERROR(__xludf.DUMMYFUNCTION("VLOOKUP(A3,IMPORTRANGE(""1QZ5UxyNCwadreQAXnQ7oCoH982DjIA-QnZdO7ZoqkC0/edit#gid=884617569"",""S4 Totals!$A$2:$O$255""),8,FALSE)"),0.5857142857142857)</f>
        <v>0.5857142857</v>
      </c>
      <c r="L3" s="147"/>
      <c r="M3" s="16">
        <f>IFERROR(__xludf.DUMMYFUNCTION("VLOOKUP(A3,IMPORTRANGE(""1QZ5UxyNCwadreQAXnQ7oCoH982DjIA-QnZdO7ZoqkC0/edit#gid=884617569"",""S4 Totals!$A$2:$O$255""),10,FALSE)"),33.0)</f>
        <v>33</v>
      </c>
      <c r="N3" s="15">
        <f>IFERROR(__xludf.DUMMYFUNCTION("VLOOKUP(A3,IMPORTRANGE(""1QZ5UxyNCwadreQAXnQ7oCoH982DjIA-QnZdO7ZoqkC0/edit#gid=884617569"",""S4 Totals!$A$2:$O$255""),11,FALSE)"),0.44594594594594594)</f>
        <v>0.4459459459</v>
      </c>
      <c r="O3" s="110"/>
      <c r="P3" s="16">
        <f>IFERROR(__xludf.DUMMYFUNCTION("VLOOKUP(A3,IMPORTRANGE(""1QZ5UxyNCwadreQAXnQ7oCoH982DjIA-QnZdO7ZoqkC0/edit#gid=884617569"",""S4 Totals!$A$2:$O$255""),13,FALSE)"),29.0)</f>
        <v>29</v>
      </c>
      <c r="Q3" s="15">
        <f>IFERROR(__xludf.DUMMYFUNCTION("VLOOKUP(A3,IMPORTRANGE(""1QZ5UxyNCwadreQAXnQ7oCoH982DjIA-QnZdO7ZoqkC0/edit#gid=884617569"",""S4 Totals!$A$2:$O$255""),14,FALSE)"),0.38666666666666666)</f>
        <v>0.3866666667</v>
      </c>
      <c r="R3" s="110"/>
    </row>
    <row r="4">
      <c r="A4" s="128" t="s">
        <v>27</v>
      </c>
      <c r="B4" s="16">
        <f>IFERROR(__xludf.DUMMYFUNCTION("VLOOKUP(A4,IMPORTRANGE(""1aFCnJY1qhIj8-JckJhDJ18aqmVo17tofpQmOjcYa3u8/edit#gid=1878241338"",""S4 Totals!$A$2:$O$255""),2,FALSE)"),2.0)</f>
        <v>2</v>
      </c>
      <c r="C4" s="15">
        <f>IFERROR(__xludf.DUMMYFUNCTION("VLOOKUP(A4,IMPORTRANGE(""1aFCnJY1qhIj8-JckJhDJ18aqmVo17tofpQmOjcYa3u8/edit#gid=1878241338"",""S4 Totals!$A$2:$O$255""),3,FALSE)"),0.04)</f>
        <v>0.04</v>
      </c>
      <c r="D4" s="16">
        <f>IFERROR(__xludf.DUMMYFUNCTION("VLOOKUP(A4,IMPORTRANGE(""1QZ5UxyNCwadreQAXnQ7oCoH982DjIA-QnZdO7ZoqkC0/edit#gid=884617569"",""S4 Totals!$A$2:$O$255""),2,FALSE)"),3.0)</f>
        <v>3</v>
      </c>
      <c r="E4" s="15">
        <f>IFERROR(__xludf.DUMMYFUNCTION("VLOOKUP(A4,IMPORTRANGE(""1QZ5UxyNCwadreQAXnQ7oCoH982DjIA-QnZdO7ZoqkC0/edit#gid=884617569"",""S4 Totals!$A$2:$O$255""),3,FALSE)"),0.06382978723404255)</f>
        <v>0.06382978723</v>
      </c>
      <c r="F4" s="146">
        <f t="shared" si="1"/>
        <v>-0.02382978723</v>
      </c>
      <c r="G4" s="16">
        <f>IFERROR(__xludf.DUMMYFUNCTION("VLOOKUP(A4,IMPORTRANGE(""1QZ5UxyNCwadreQAXnQ7oCoH982DjIA-QnZdO7ZoqkC0/edit#gid=884617569"",""S4 Totals!$A$2:$O$255""),4,FALSE)"),3.0)</f>
        <v>3</v>
      </c>
      <c r="H4" s="15">
        <f>IFERROR(__xludf.DUMMYFUNCTION("VLOOKUP(A4,IMPORTRANGE(""1QZ5UxyNCwadreQAXnQ7oCoH982DjIA-QnZdO7ZoqkC0/edit#gid=884617569"",""S4 Totals!$A$2:$O$255""),5,FALSE)"),0.047619047619047616)</f>
        <v>0.04761904762</v>
      </c>
      <c r="I4" s="143"/>
      <c r="J4" s="16">
        <f>IFERROR(__xludf.DUMMYFUNCTION("VLOOKUP(A4,IMPORTRANGE(""1QZ5UxyNCwadreQAXnQ7oCoH982DjIA-QnZdO7ZoqkC0/edit#gid=884617569"",""S4 Totals!$A$2:$O$255""),7,FALSE)"),4.0)</f>
        <v>4</v>
      </c>
      <c r="K4" s="15">
        <f>IFERROR(__xludf.DUMMYFUNCTION("VLOOKUP(A4,IMPORTRANGE(""1QZ5UxyNCwadreQAXnQ7oCoH982DjIA-QnZdO7ZoqkC0/edit#gid=884617569"",""S4 Totals!$A$2:$O$255""),8,FALSE)"),0.05714285714285714)</f>
        <v>0.05714285714</v>
      </c>
      <c r="L4" s="147"/>
      <c r="M4" s="16">
        <f>IFERROR(__xludf.DUMMYFUNCTION("VLOOKUP(A4,IMPORTRANGE(""1QZ5UxyNCwadreQAXnQ7oCoH982DjIA-QnZdO7ZoqkC0/edit#gid=884617569"",""S4 Totals!$A$2:$O$255""),10,FALSE)"),6.0)</f>
        <v>6</v>
      </c>
      <c r="N4" s="15">
        <f>IFERROR(__xludf.DUMMYFUNCTION("VLOOKUP(A4,IMPORTRANGE(""1QZ5UxyNCwadreQAXnQ7oCoH982DjIA-QnZdO7ZoqkC0/edit#gid=884617569"",""S4 Totals!$A$2:$O$255""),11,FALSE)"),0.08108108108108109)</f>
        <v>0.08108108108</v>
      </c>
      <c r="O4" s="110"/>
      <c r="P4" s="16">
        <f>IFERROR(__xludf.DUMMYFUNCTION("VLOOKUP(A4,IMPORTRANGE(""1QZ5UxyNCwadreQAXnQ7oCoH982DjIA-QnZdO7ZoqkC0/edit#gid=884617569"",""S4 Totals!$A$2:$O$255""),13,FALSE)"),10.0)</f>
        <v>10</v>
      </c>
      <c r="Q4" s="15">
        <f>IFERROR(__xludf.DUMMYFUNCTION("VLOOKUP(A4,IMPORTRANGE(""1QZ5UxyNCwadreQAXnQ7oCoH982DjIA-QnZdO7ZoqkC0/edit#gid=884617569"",""S4 Totals!$A$2:$O$255""),14,FALSE)"),0.13333333333333333)</f>
        <v>0.1333333333</v>
      </c>
      <c r="R4" s="110"/>
    </row>
    <row r="5">
      <c r="A5" s="130" t="s">
        <v>262</v>
      </c>
      <c r="B5" s="16">
        <f>IFERROR(__xludf.DUMMYFUNCTION("VLOOKUP(A5,IMPORTRANGE(""1aFCnJY1qhIj8-JckJhDJ18aqmVo17tofpQmOjcYa3u8/edit#gid=1878241338"",""S4 Totals!$A$2:$O$255""),2,FALSE)"),2.0)</f>
        <v>2</v>
      </c>
      <c r="C5" s="15">
        <f>IFERROR(__xludf.DUMMYFUNCTION("VLOOKUP(A5,IMPORTRANGE(""1aFCnJY1qhIj8-JckJhDJ18aqmVo17tofpQmOjcYa3u8/edit#gid=1878241338"",""S4 Totals!$A$2:$O$255""),3,FALSE)"),0.04)</f>
        <v>0.04</v>
      </c>
      <c r="D5" s="16" t="str">
        <f>IFERROR(__xludf.DUMMYFUNCTION("VLOOKUP(A5,IMPORTRANGE(""1QZ5UxyNCwadreQAXnQ7oCoH982DjIA-QnZdO7ZoqkC0/edit#gid=884617569"",""S4 Totals!$A$2:$O$255""),2,FALSE)"),"#N/A")</f>
        <v>#N/A</v>
      </c>
      <c r="E5" s="15" t="str">
        <f>IFERROR(__xludf.DUMMYFUNCTION("VLOOKUP(A5,IMPORTRANGE(""1QZ5UxyNCwadreQAXnQ7oCoH982DjIA-QnZdO7ZoqkC0/edit#gid=884617569"",""S4 Totals!$A$2:$O$255""),3,FALSE)"),"#N/A")</f>
        <v>#N/A</v>
      </c>
      <c r="F5" s="146" t="str">
        <f t="shared" si="1"/>
        <v>#N/A</v>
      </c>
      <c r="G5" s="16" t="str">
        <f>IFERROR(__xludf.DUMMYFUNCTION("VLOOKUP(A5,IMPORTRANGE(""1QZ5UxyNCwadreQAXnQ7oCoH982DjIA-QnZdO7ZoqkC0/edit#gid=884617569"",""S4 Totals!$A$2:$O$255""),4,FALSE)"),"#N/A")</f>
        <v>#N/A</v>
      </c>
      <c r="H5" s="15" t="str">
        <f>IFERROR(__xludf.DUMMYFUNCTION("VLOOKUP(A5,IMPORTRANGE(""1QZ5UxyNCwadreQAXnQ7oCoH982DjIA-QnZdO7ZoqkC0/edit#gid=884617569"",""S4 Totals!$A$2:$O$255""),5,FALSE)"),"#N/A")</f>
        <v>#N/A</v>
      </c>
      <c r="I5" s="143"/>
      <c r="J5" s="16" t="str">
        <f>IFERROR(__xludf.DUMMYFUNCTION("VLOOKUP(A5,IMPORTRANGE(""1QZ5UxyNCwadreQAXnQ7oCoH982DjIA-QnZdO7ZoqkC0/edit#gid=884617569"",""S4 Totals!$A$2:$O$255""),7,FALSE)"),"#N/A")</f>
        <v>#N/A</v>
      </c>
      <c r="K5" s="15" t="str">
        <f>IFERROR(__xludf.DUMMYFUNCTION("VLOOKUP(A5,IMPORTRANGE(""1QZ5UxyNCwadreQAXnQ7oCoH982DjIA-QnZdO7ZoqkC0/edit#gid=884617569"",""S4 Totals!$A$2:$O$255""),8,FALSE)"),"#N/A")</f>
        <v>#N/A</v>
      </c>
      <c r="L5" s="147"/>
      <c r="M5" s="16" t="str">
        <f>IFERROR(__xludf.DUMMYFUNCTION("VLOOKUP(A5,IMPORTRANGE(""1QZ5UxyNCwadreQAXnQ7oCoH982DjIA-QnZdO7ZoqkC0/edit#gid=884617569"",""S4 Totals!$A$2:$O$255""),10,FALSE)"),"#N/A")</f>
        <v>#N/A</v>
      </c>
      <c r="N5" s="15" t="str">
        <f>IFERROR(__xludf.DUMMYFUNCTION("VLOOKUP(A5,IMPORTRANGE(""1QZ5UxyNCwadreQAXnQ7oCoH982DjIA-QnZdO7ZoqkC0/edit#gid=884617569"",""S4 Totals!$A$2:$O$255""),11,FALSE)"),"#N/A")</f>
        <v>#N/A</v>
      </c>
      <c r="O5" s="110"/>
      <c r="P5" s="16" t="str">
        <f>IFERROR(__xludf.DUMMYFUNCTION("VLOOKUP(A5,IMPORTRANGE(""1QZ5UxyNCwadreQAXnQ7oCoH982DjIA-QnZdO7ZoqkC0/edit#gid=884617569"",""S4 Totals!$A$2:$O$255""),13,FALSE)"),"#N/A")</f>
        <v>#N/A</v>
      </c>
      <c r="Q5" s="15" t="str">
        <f>IFERROR(__xludf.DUMMYFUNCTION("VLOOKUP(A5,IMPORTRANGE(""1QZ5UxyNCwadreQAXnQ7oCoH982DjIA-QnZdO7ZoqkC0/edit#gid=884617569"",""S4 Totals!$A$2:$O$255""),14,FALSE)"),"#N/A")</f>
        <v>#N/A</v>
      </c>
      <c r="R5" s="110"/>
    </row>
    <row r="6">
      <c r="A6" s="128" t="s">
        <v>161</v>
      </c>
      <c r="B6" s="16">
        <f>IFERROR(__xludf.DUMMYFUNCTION("VLOOKUP(A6,IMPORTRANGE(""1aFCnJY1qhIj8-JckJhDJ18aqmVo17tofpQmOjcYa3u8/edit#gid=1878241338"",""S4 Totals!$A$2:$O$255""),2,FALSE)"),15.0)</f>
        <v>15</v>
      </c>
      <c r="C6" s="15">
        <f>IFERROR(__xludf.DUMMYFUNCTION("VLOOKUP(A6,IMPORTRANGE(""1aFCnJY1qhIj8-JckJhDJ18aqmVo17tofpQmOjcYa3u8/edit#gid=1878241338"",""S4 Totals!$A$2:$O$255""),3,FALSE)"),0.3)</f>
        <v>0.3</v>
      </c>
      <c r="D6" s="16">
        <f>IFERROR(__xludf.DUMMYFUNCTION("VLOOKUP(A6,IMPORTRANGE(""1QZ5UxyNCwadreQAXnQ7oCoH982DjIA-QnZdO7ZoqkC0/edit#gid=884617569"",""S4 Totals!$A$2:$O$255""),2,FALSE)"),12.0)</f>
        <v>12</v>
      </c>
      <c r="E6" s="15">
        <f>IFERROR(__xludf.DUMMYFUNCTION("VLOOKUP(A6,IMPORTRANGE(""1QZ5UxyNCwadreQAXnQ7oCoH982DjIA-QnZdO7ZoqkC0/edit#gid=884617569"",""S4 Totals!$A$2:$O$255""),3,FALSE)"),0.2553191489361702)</f>
        <v>0.2553191489</v>
      </c>
      <c r="F6" s="146">
        <f t="shared" si="1"/>
        <v>0.04468085106</v>
      </c>
      <c r="G6" s="16">
        <f>IFERROR(__xludf.DUMMYFUNCTION("VLOOKUP(A6,IMPORTRANGE(""1QZ5UxyNCwadreQAXnQ7oCoH982DjIA-QnZdO7ZoqkC0/edit#gid=884617569"",""S4 Totals!$A$2:$O$255""),4,FALSE)"),14.0)</f>
        <v>14</v>
      </c>
      <c r="H6" s="15">
        <f>IFERROR(__xludf.DUMMYFUNCTION("VLOOKUP(A6,IMPORTRANGE(""1QZ5UxyNCwadreQAXnQ7oCoH982DjIA-QnZdO7ZoqkC0/edit#gid=884617569"",""S4 Totals!$A$2:$O$255""),5,FALSE)"),0.2222222222222222)</f>
        <v>0.2222222222</v>
      </c>
      <c r="I6" s="143"/>
      <c r="J6" s="16">
        <f>IFERROR(__xludf.DUMMYFUNCTION("VLOOKUP(A6,IMPORTRANGE(""1QZ5UxyNCwadreQAXnQ7oCoH982DjIA-QnZdO7ZoqkC0/edit#gid=884617569"",""S4 Totals!$A$2:$O$255""),7,FALSE)"),13.0)</f>
        <v>13</v>
      </c>
      <c r="K6" s="15">
        <f>IFERROR(__xludf.DUMMYFUNCTION("VLOOKUP(A6,IMPORTRANGE(""1QZ5UxyNCwadreQAXnQ7oCoH982DjIA-QnZdO7ZoqkC0/edit#gid=884617569"",""S4 Totals!$A$2:$O$255""),8,FALSE)"),0.18571428571428572)</f>
        <v>0.1857142857</v>
      </c>
      <c r="L6" s="147"/>
      <c r="M6" s="16" t="str">
        <f>IFERROR(__xludf.DUMMYFUNCTION("VLOOKUP(A6,IMPORTRANGE(""1QZ5UxyNCwadreQAXnQ7oCoH982DjIA-QnZdO7ZoqkC0/edit#gid=884617569"",""S4 Totals!$A$2:$O$255""),10,FALSE)"),"")</f>
        <v/>
      </c>
      <c r="N6" s="15" t="str">
        <f>IFERROR(__xludf.DUMMYFUNCTION("VLOOKUP(A6,IMPORTRANGE(""1QZ5UxyNCwadreQAXnQ7oCoH982DjIA-QnZdO7ZoqkC0/edit#gid=884617569"",""S4 Totals!$A$2:$O$255""),11,FALSE)"),"")</f>
        <v/>
      </c>
      <c r="O6" s="110"/>
      <c r="P6" s="16" t="str">
        <f>IFERROR(__xludf.DUMMYFUNCTION("VLOOKUP(A6,IMPORTRANGE(""1QZ5UxyNCwadreQAXnQ7oCoH982DjIA-QnZdO7ZoqkC0/edit#gid=884617569"",""S4 Totals!$A$2:$O$255""),13,FALSE)"),"")</f>
        <v/>
      </c>
      <c r="Q6" s="15" t="str">
        <f>IFERROR(__xludf.DUMMYFUNCTION("VLOOKUP(A6,IMPORTRANGE(""1QZ5UxyNCwadreQAXnQ7oCoH982DjIA-QnZdO7ZoqkC0/edit#gid=884617569"",""S4 Totals!$A$2:$O$255""),14,FALSE)"),"")</f>
        <v/>
      </c>
      <c r="R6" s="110"/>
    </row>
    <row r="7">
      <c r="A7" s="128" t="s">
        <v>162</v>
      </c>
      <c r="B7" s="16">
        <f>IFERROR(__xludf.DUMMYFUNCTION("VLOOKUP(A7,IMPORTRANGE(""1aFCnJY1qhIj8-JckJhDJ18aqmVo17tofpQmOjcYa3u8/edit#gid=1878241338"",""S4 Totals!$A$2:$O$255""),2,FALSE)"),18.0)</f>
        <v>18</v>
      </c>
      <c r="C7" s="15">
        <f>IFERROR(__xludf.DUMMYFUNCTION("VLOOKUP(A7,IMPORTRANGE(""1aFCnJY1qhIj8-JckJhDJ18aqmVo17tofpQmOjcYa3u8/edit#gid=1878241338"",""S4 Totals!$A$2:$O$255""),3,FALSE)"),0.36)</f>
        <v>0.36</v>
      </c>
      <c r="D7" s="16">
        <f>IFERROR(__xludf.DUMMYFUNCTION("VLOOKUP(A7,IMPORTRANGE(""1QZ5UxyNCwadreQAXnQ7oCoH982DjIA-QnZdO7ZoqkC0/edit#gid=884617569"",""S4 Totals!$A$2:$O$255""),2,FALSE)"),14.0)</f>
        <v>14</v>
      </c>
      <c r="E7" s="15">
        <f>IFERROR(__xludf.DUMMYFUNCTION("VLOOKUP(A7,IMPORTRANGE(""1QZ5UxyNCwadreQAXnQ7oCoH982DjIA-QnZdO7ZoqkC0/edit#gid=884617569"",""S4 Totals!$A$2:$O$255""),3,FALSE)"),0.2978723404255319)</f>
        <v>0.2978723404</v>
      </c>
      <c r="F7" s="146">
        <f t="shared" si="1"/>
        <v>0.06212765957</v>
      </c>
      <c r="G7" s="16">
        <f>IFERROR(__xludf.DUMMYFUNCTION("VLOOKUP(A7,IMPORTRANGE(""1QZ5UxyNCwadreQAXnQ7oCoH982DjIA-QnZdO7ZoqkC0/edit#gid=884617569"",""S4 Totals!$A$2:$O$255""),4,FALSE)"),13.0)</f>
        <v>13</v>
      </c>
      <c r="H7" s="15">
        <f>IFERROR(__xludf.DUMMYFUNCTION("VLOOKUP(A7,IMPORTRANGE(""1QZ5UxyNCwadreQAXnQ7oCoH982DjIA-QnZdO7ZoqkC0/edit#gid=884617569"",""S4 Totals!$A$2:$O$255""),5,FALSE)"),0.20634920634920634)</f>
        <v>0.2063492063</v>
      </c>
      <c r="I7" s="143"/>
      <c r="J7" s="16">
        <f>IFERROR(__xludf.DUMMYFUNCTION("VLOOKUP(A7,IMPORTRANGE(""1QZ5UxyNCwadreQAXnQ7oCoH982DjIA-QnZdO7ZoqkC0/edit#gid=884617569"",""S4 Totals!$A$2:$O$255""),7,FALSE)"),4.0)</f>
        <v>4</v>
      </c>
      <c r="K7" s="15">
        <f>IFERROR(__xludf.DUMMYFUNCTION("VLOOKUP(A7,IMPORTRANGE(""1QZ5UxyNCwadreQAXnQ7oCoH982DjIA-QnZdO7ZoqkC0/edit#gid=884617569"",""S4 Totals!$A$2:$O$255""),8,FALSE)"),0.05714285714285714)</f>
        <v>0.05714285714</v>
      </c>
      <c r="L7" s="147"/>
      <c r="M7" s="16" t="str">
        <f>IFERROR(__xludf.DUMMYFUNCTION("VLOOKUP(A7,IMPORTRANGE(""1QZ5UxyNCwadreQAXnQ7oCoH982DjIA-QnZdO7ZoqkC0/edit#gid=884617569"",""S4 Totals!$A$2:$O$255""),10,FALSE)"),"")</f>
        <v/>
      </c>
      <c r="N7" s="15" t="str">
        <f>IFERROR(__xludf.DUMMYFUNCTION("VLOOKUP(A7,IMPORTRANGE(""1QZ5UxyNCwadreQAXnQ7oCoH982DjIA-QnZdO7ZoqkC0/edit#gid=884617569"",""S4 Totals!$A$2:$O$255""),11,FALSE)"),"")</f>
        <v/>
      </c>
      <c r="O7" s="110"/>
      <c r="P7" s="16" t="str">
        <f>IFERROR(__xludf.DUMMYFUNCTION("VLOOKUP(A7,IMPORTRANGE(""1QZ5UxyNCwadreQAXnQ7oCoH982DjIA-QnZdO7ZoqkC0/edit#gid=884617569"",""S4 Totals!$A$2:$O$255""),13,FALSE)"),"")</f>
        <v/>
      </c>
      <c r="Q7" s="15" t="str">
        <f>IFERROR(__xludf.DUMMYFUNCTION("VLOOKUP(A7,IMPORTRANGE(""1QZ5UxyNCwadreQAXnQ7oCoH982DjIA-QnZdO7ZoqkC0/edit#gid=884617569"",""S4 Totals!$A$2:$O$255""),14,FALSE)"),"")</f>
        <v/>
      </c>
      <c r="R7" s="110"/>
    </row>
    <row r="8">
      <c r="A8" s="128" t="s">
        <v>163</v>
      </c>
      <c r="B8" s="16">
        <f>IFERROR(__xludf.DUMMYFUNCTION("VLOOKUP(A8,IMPORTRANGE(""1aFCnJY1qhIj8-JckJhDJ18aqmVo17tofpQmOjcYa3u8/edit#gid=1878241338"",""S4 Totals!$A$2:$O$255""),2,FALSE)"),11.0)</f>
        <v>11</v>
      </c>
      <c r="C8" s="15">
        <f>IFERROR(__xludf.DUMMYFUNCTION("VLOOKUP(A8,IMPORTRANGE(""1aFCnJY1qhIj8-JckJhDJ18aqmVo17tofpQmOjcYa3u8/edit#gid=1878241338"",""S4 Totals!$A$2:$O$255""),3,FALSE)"),0.22)</f>
        <v>0.22</v>
      </c>
      <c r="D8" s="16">
        <f>IFERROR(__xludf.DUMMYFUNCTION("VLOOKUP(A8,IMPORTRANGE(""1QZ5UxyNCwadreQAXnQ7oCoH982DjIA-QnZdO7ZoqkC0/edit#gid=884617569"",""S4 Totals!$A$2:$O$255""),2,FALSE)"),10.0)</f>
        <v>10</v>
      </c>
      <c r="E8" s="15">
        <f>IFERROR(__xludf.DUMMYFUNCTION("VLOOKUP(A8,IMPORTRANGE(""1QZ5UxyNCwadreQAXnQ7oCoH982DjIA-QnZdO7ZoqkC0/edit#gid=884617569"",""S4 Totals!$A$2:$O$255""),3,FALSE)"),0.2127659574468085)</f>
        <v>0.2127659574</v>
      </c>
      <c r="F8" s="146">
        <f t="shared" si="1"/>
        <v>0.007234042553</v>
      </c>
      <c r="G8" s="16">
        <f>IFERROR(__xludf.DUMMYFUNCTION("VLOOKUP(A8,IMPORTRANGE(""1QZ5UxyNCwadreQAXnQ7oCoH982DjIA-QnZdO7ZoqkC0/edit#gid=884617569"",""S4 Totals!$A$2:$O$255""),4,FALSE)"),10.0)</f>
        <v>10</v>
      </c>
      <c r="H8" s="15">
        <f>IFERROR(__xludf.DUMMYFUNCTION("VLOOKUP(A8,IMPORTRANGE(""1QZ5UxyNCwadreQAXnQ7oCoH982DjIA-QnZdO7ZoqkC0/edit#gid=884617569"",""S4 Totals!$A$2:$O$255""),5,FALSE)"),0.15873015873015872)</f>
        <v>0.1587301587</v>
      </c>
      <c r="I8" s="143"/>
      <c r="J8" s="16">
        <f>IFERROR(__xludf.DUMMYFUNCTION("VLOOKUP(A8,IMPORTRANGE(""1QZ5UxyNCwadreQAXnQ7oCoH982DjIA-QnZdO7ZoqkC0/edit#gid=884617569"",""S4 Totals!$A$2:$O$255""),7,FALSE)"),7.0)</f>
        <v>7</v>
      </c>
      <c r="K8" s="15">
        <f>IFERROR(__xludf.DUMMYFUNCTION("VLOOKUP(A8,IMPORTRANGE(""1QZ5UxyNCwadreQAXnQ7oCoH982DjIA-QnZdO7ZoqkC0/edit#gid=884617569"",""S4 Totals!$A$2:$O$255""),8,FALSE)"),0.1)</f>
        <v>0.1</v>
      </c>
      <c r="L8" s="147"/>
      <c r="M8" s="16" t="str">
        <f>IFERROR(__xludf.DUMMYFUNCTION("VLOOKUP(A8,IMPORTRANGE(""1QZ5UxyNCwadreQAXnQ7oCoH982DjIA-QnZdO7ZoqkC0/edit#gid=884617569"",""S4 Totals!$A$2:$O$255""),10,FALSE)"),"")</f>
        <v/>
      </c>
      <c r="N8" s="15" t="str">
        <f>IFERROR(__xludf.DUMMYFUNCTION("VLOOKUP(A8,IMPORTRANGE(""1QZ5UxyNCwadreQAXnQ7oCoH982DjIA-QnZdO7ZoqkC0/edit#gid=884617569"",""S4 Totals!$A$2:$O$255""),11,FALSE)"),"")</f>
        <v/>
      </c>
      <c r="O8" s="110"/>
      <c r="P8" s="16" t="str">
        <f>IFERROR(__xludf.DUMMYFUNCTION("VLOOKUP(A8,IMPORTRANGE(""1QZ5UxyNCwadreQAXnQ7oCoH982DjIA-QnZdO7ZoqkC0/edit#gid=884617569"",""S4 Totals!$A$2:$O$255""),13,FALSE)"),"")</f>
        <v/>
      </c>
      <c r="Q8" s="15" t="str">
        <f>IFERROR(__xludf.DUMMYFUNCTION("VLOOKUP(A8,IMPORTRANGE(""1QZ5UxyNCwadreQAXnQ7oCoH982DjIA-QnZdO7ZoqkC0/edit#gid=884617569"",""S4 Totals!$A$2:$O$255""),14,FALSE)"),"")</f>
        <v/>
      </c>
      <c r="R8" s="110"/>
    </row>
    <row r="9">
      <c r="A9" s="128" t="s">
        <v>23</v>
      </c>
      <c r="B9" s="16">
        <f>IFERROR(__xludf.DUMMYFUNCTION("VLOOKUP(A9,IMPORTRANGE(""1aFCnJY1qhIj8-JckJhDJ18aqmVo17tofpQmOjcYa3u8/edit#gid=1878241338"",""S4 Totals!$A$2:$O$255""),2,FALSE)"),11.0)</f>
        <v>11</v>
      </c>
      <c r="C9" s="15">
        <f>IFERROR(__xludf.DUMMYFUNCTION("VLOOKUP(A9,IMPORTRANGE(""1aFCnJY1qhIj8-JckJhDJ18aqmVo17tofpQmOjcYa3u8/edit#gid=1878241338"",""S4 Totals!$A$2:$O$255""),3,FALSE)"),0.22)</f>
        <v>0.22</v>
      </c>
      <c r="D9" s="16">
        <f>IFERROR(__xludf.DUMMYFUNCTION("VLOOKUP(A9,IMPORTRANGE(""1QZ5UxyNCwadreQAXnQ7oCoH982DjIA-QnZdO7ZoqkC0/edit#gid=884617569"",""S4 Totals!$A$2:$O$255""),2,FALSE)"),10.0)</f>
        <v>10</v>
      </c>
      <c r="E9" s="15">
        <f>IFERROR(__xludf.DUMMYFUNCTION("VLOOKUP(A9,IMPORTRANGE(""1QZ5UxyNCwadreQAXnQ7oCoH982DjIA-QnZdO7ZoqkC0/edit#gid=884617569"",""S4 Totals!$A$2:$O$255""),3,FALSE)"),0.2127659574468085)</f>
        <v>0.2127659574</v>
      </c>
      <c r="F9" s="146">
        <f t="shared" si="1"/>
        <v>0.007234042553</v>
      </c>
      <c r="G9" s="16">
        <f>IFERROR(__xludf.DUMMYFUNCTION("VLOOKUP(A9,IMPORTRANGE(""1QZ5UxyNCwadreQAXnQ7oCoH982DjIA-QnZdO7ZoqkC0/edit#gid=884617569"",""S4 Totals!$A$2:$O$255""),4,FALSE)"),9.0)</f>
        <v>9</v>
      </c>
      <c r="H9" s="15">
        <f>IFERROR(__xludf.DUMMYFUNCTION("VLOOKUP(A9,IMPORTRANGE(""1QZ5UxyNCwadreQAXnQ7oCoH982DjIA-QnZdO7ZoqkC0/edit#gid=884617569"",""S4 Totals!$A$2:$O$255""),5,FALSE)"),0.14285714285714285)</f>
        <v>0.1428571429</v>
      </c>
      <c r="I9" s="143"/>
      <c r="J9" s="16">
        <f>IFERROR(__xludf.DUMMYFUNCTION("VLOOKUP(A9,IMPORTRANGE(""1QZ5UxyNCwadreQAXnQ7oCoH982DjIA-QnZdO7ZoqkC0/edit#gid=884617569"",""S4 Totals!$A$2:$O$255""),7,FALSE)"),5.0)</f>
        <v>5</v>
      </c>
      <c r="K9" s="15">
        <f>IFERROR(__xludf.DUMMYFUNCTION("VLOOKUP(A9,IMPORTRANGE(""1QZ5UxyNCwadreQAXnQ7oCoH982DjIA-QnZdO7ZoqkC0/edit#gid=884617569"",""S4 Totals!$A$2:$O$255""),8,FALSE)"),0.07142857142857142)</f>
        <v>0.07142857143</v>
      </c>
      <c r="L9" s="147"/>
      <c r="M9" s="16">
        <f>IFERROR(__xludf.DUMMYFUNCTION("VLOOKUP(A9,IMPORTRANGE(""1QZ5UxyNCwadreQAXnQ7oCoH982DjIA-QnZdO7ZoqkC0/edit#gid=884617569"",""S4 Totals!$A$2:$O$255""),10,FALSE)"),9.0)</f>
        <v>9</v>
      </c>
      <c r="N9" s="15">
        <f>IFERROR(__xludf.DUMMYFUNCTION("VLOOKUP(A9,IMPORTRANGE(""1QZ5UxyNCwadreQAXnQ7oCoH982DjIA-QnZdO7ZoqkC0/edit#gid=884617569"",""S4 Totals!$A$2:$O$255""),11,FALSE)"),0.12162162162162163)</f>
        <v>0.1216216216</v>
      </c>
      <c r="O9" s="110"/>
      <c r="P9" s="16">
        <f>IFERROR(__xludf.DUMMYFUNCTION("VLOOKUP(A9,IMPORTRANGE(""1QZ5UxyNCwadreQAXnQ7oCoH982DjIA-QnZdO7ZoqkC0/edit#gid=884617569"",""S4 Totals!$A$2:$O$255""),13,FALSE)"),6.0)</f>
        <v>6</v>
      </c>
      <c r="Q9" s="15">
        <f>IFERROR(__xludf.DUMMYFUNCTION("VLOOKUP(A9,IMPORTRANGE(""1QZ5UxyNCwadreQAXnQ7oCoH982DjIA-QnZdO7ZoqkC0/edit#gid=884617569"",""S4 Totals!$A$2:$O$255""),14,FALSE)"),0.08)</f>
        <v>0.08</v>
      </c>
      <c r="R9" s="110"/>
    </row>
    <row r="10">
      <c r="A10" s="128" t="s">
        <v>24</v>
      </c>
      <c r="B10" s="16">
        <f>IFERROR(__xludf.DUMMYFUNCTION("VLOOKUP(A10,IMPORTRANGE(""1aFCnJY1qhIj8-JckJhDJ18aqmVo17tofpQmOjcYa3u8/edit#gid=1878241338"",""S4 Totals!$A$2:$O$255""),2,FALSE)"),4.0)</f>
        <v>4</v>
      </c>
      <c r="C10" s="15">
        <f>IFERROR(__xludf.DUMMYFUNCTION("VLOOKUP(A10,IMPORTRANGE(""1aFCnJY1qhIj8-JckJhDJ18aqmVo17tofpQmOjcYa3u8/edit#gid=1878241338"",""S4 Totals!$A$2:$O$255""),3,FALSE)"),0.08)</f>
        <v>0.08</v>
      </c>
      <c r="D10" s="16">
        <f>IFERROR(__xludf.DUMMYFUNCTION("VLOOKUP(A10,IMPORTRANGE(""1QZ5UxyNCwadreQAXnQ7oCoH982DjIA-QnZdO7ZoqkC0/edit#gid=884617569"",""S4 Totals!$A$2:$O$255""),2,FALSE)"),4.0)</f>
        <v>4</v>
      </c>
      <c r="E10" s="15">
        <f>IFERROR(__xludf.DUMMYFUNCTION("VLOOKUP(A10,IMPORTRANGE(""1QZ5UxyNCwadreQAXnQ7oCoH982DjIA-QnZdO7ZoqkC0/edit#gid=884617569"",""S4 Totals!$A$2:$O$255""),3,FALSE)"),0.0851063829787234)</f>
        <v>0.08510638298</v>
      </c>
      <c r="F10" s="146">
        <f t="shared" si="1"/>
        <v>-0.005106382979</v>
      </c>
      <c r="G10" s="16">
        <f>IFERROR(__xludf.DUMMYFUNCTION("VLOOKUP(A10,IMPORTRANGE(""1QZ5UxyNCwadreQAXnQ7oCoH982DjIA-QnZdO7ZoqkC0/edit#gid=884617569"",""S4 Totals!$A$2:$O$255""),4,FALSE)"),7.0)</f>
        <v>7</v>
      </c>
      <c r="H10" s="15">
        <f>IFERROR(__xludf.DUMMYFUNCTION("VLOOKUP(A10,IMPORTRANGE(""1QZ5UxyNCwadreQAXnQ7oCoH982DjIA-QnZdO7ZoqkC0/edit#gid=884617569"",""S4 Totals!$A$2:$O$255""),5,FALSE)"),0.1111111111111111)</f>
        <v>0.1111111111</v>
      </c>
      <c r="I10" s="143"/>
      <c r="J10" s="16">
        <f>IFERROR(__xludf.DUMMYFUNCTION("VLOOKUP(A10,IMPORTRANGE(""1QZ5UxyNCwadreQAXnQ7oCoH982DjIA-QnZdO7ZoqkC0/edit#gid=884617569"",""S4 Totals!$A$2:$O$255""),7,FALSE)"),6.0)</f>
        <v>6</v>
      </c>
      <c r="K10" s="15">
        <f>IFERROR(__xludf.DUMMYFUNCTION("VLOOKUP(A10,IMPORTRANGE(""1QZ5UxyNCwadreQAXnQ7oCoH982DjIA-QnZdO7ZoqkC0/edit#gid=884617569"",""S4 Totals!$A$2:$O$255""),8,FALSE)"),0.08571428571428572)</f>
        <v>0.08571428571</v>
      </c>
      <c r="L10" s="147"/>
      <c r="M10" s="16">
        <f>IFERROR(__xludf.DUMMYFUNCTION("VLOOKUP(A10,IMPORTRANGE(""1QZ5UxyNCwadreQAXnQ7oCoH982DjIA-QnZdO7ZoqkC0/edit#gid=884617569"",""S4 Totals!$A$2:$O$255""),10,FALSE)"),13.0)</f>
        <v>13</v>
      </c>
      <c r="N10" s="15">
        <f>IFERROR(__xludf.DUMMYFUNCTION("VLOOKUP(A10,IMPORTRANGE(""1QZ5UxyNCwadreQAXnQ7oCoH982DjIA-QnZdO7ZoqkC0/edit#gid=884617569"",""S4 Totals!$A$2:$O$255""),11,FALSE)"),0.17567567567567569)</f>
        <v>0.1756756757</v>
      </c>
      <c r="O10" s="110"/>
      <c r="P10" s="16">
        <f>IFERROR(__xludf.DUMMYFUNCTION("VLOOKUP(A10,IMPORTRANGE(""1QZ5UxyNCwadreQAXnQ7oCoH982DjIA-QnZdO7ZoqkC0/edit#gid=884617569"",""S4 Totals!$A$2:$O$255""),13,FALSE)"),9.0)</f>
        <v>9</v>
      </c>
      <c r="Q10" s="15">
        <f>IFERROR(__xludf.DUMMYFUNCTION("VLOOKUP(A10,IMPORTRANGE(""1QZ5UxyNCwadreQAXnQ7oCoH982DjIA-QnZdO7ZoqkC0/edit#gid=884617569"",""S4 Totals!$A$2:$O$255""),14,FALSE)"),0.12)</f>
        <v>0.12</v>
      </c>
      <c r="R10" s="110"/>
    </row>
    <row r="11">
      <c r="A11" s="128" t="s">
        <v>113</v>
      </c>
      <c r="B11" s="16">
        <f>IFERROR(__xludf.DUMMYFUNCTION("VLOOKUP(A11,IMPORTRANGE(""1aFCnJY1qhIj8-JckJhDJ18aqmVo17tofpQmOjcYa3u8/edit#gid=1878241338"",""S4 Totals!$A$2:$O$255""),2,FALSE)"),3.0)</f>
        <v>3</v>
      </c>
      <c r="C11" s="15">
        <f>IFERROR(__xludf.DUMMYFUNCTION("VLOOKUP(A11,IMPORTRANGE(""1aFCnJY1qhIj8-JckJhDJ18aqmVo17tofpQmOjcYa3u8/edit#gid=1878241338"",""S4 Totals!$A$2:$O$255""),3,FALSE)"),0.06)</f>
        <v>0.06</v>
      </c>
      <c r="D11" s="16">
        <f>IFERROR(__xludf.DUMMYFUNCTION("VLOOKUP(A11,IMPORTRANGE(""1QZ5UxyNCwadreQAXnQ7oCoH982DjIA-QnZdO7ZoqkC0/edit#gid=884617569"",""S4 Totals!$A$2:$O$255""),2,FALSE)"),4.0)</f>
        <v>4</v>
      </c>
      <c r="E11" s="15">
        <f>IFERROR(__xludf.DUMMYFUNCTION("VLOOKUP(A11,IMPORTRANGE(""1QZ5UxyNCwadreQAXnQ7oCoH982DjIA-QnZdO7ZoqkC0/edit#gid=884617569"",""S4 Totals!$A$2:$O$255""),3,FALSE)"),0.0851063829787234)</f>
        <v>0.08510638298</v>
      </c>
      <c r="F11" s="146">
        <f t="shared" si="1"/>
        <v>-0.02510638298</v>
      </c>
      <c r="G11" s="16">
        <f>IFERROR(__xludf.DUMMYFUNCTION("VLOOKUP(A11,IMPORTRANGE(""1QZ5UxyNCwadreQAXnQ7oCoH982DjIA-QnZdO7ZoqkC0/edit#gid=884617569"",""S4 Totals!$A$2:$O$255""),4,FALSE)"),4.0)</f>
        <v>4</v>
      </c>
      <c r="H11" s="15">
        <f>IFERROR(__xludf.DUMMYFUNCTION("VLOOKUP(A11,IMPORTRANGE(""1QZ5UxyNCwadreQAXnQ7oCoH982DjIA-QnZdO7ZoqkC0/edit#gid=884617569"",""S4 Totals!$A$2:$O$255""),5,FALSE)"),0.06349206349206349)</f>
        <v>0.06349206349</v>
      </c>
      <c r="I11" s="143"/>
      <c r="J11" s="16">
        <f>IFERROR(__xludf.DUMMYFUNCTION("VLOOKUP(A11,IMPORTRANGE(""1QZ5UxyNCwadreQAXnQ7oCoH982DjIA-QnZdO7ZoqkC0/edit#gid=884617569"",""S4 Totals!$A$2:$O$255""),7,FALSE)"),3.0)</f>
        <v>3</v>
      </c>
      <c r="K11" s="15">
        <f>IFERROR(__xludf.DUMMYFUNCTION("VLOOKUP(A11,IMPORTRANGE(""1QZ5UxyNCwadreQAXnQ7oCoH982DjIA-QnZdO7ZoqkC0/edit#gid=884617569"",""S4 Totals!$A$2:$O$255""),8,FALSE)"),0.04285714285714286)</f>
        <v>0.04285714286</v>
      </c>
      <c r="L11" s="147"/>
      <c r="M11" s="16">
        <f>IFERROR(__xludf.DUMMYFUNCTION("VLOOKUP(A11,IMPORTRANGE(""1QZ5UxyNCwadreQAXnQ7oCoH982DjIA-QnZdO7ZoqkC0/edit#gid=884617569"",""S4 Totals!$A$2:$O$255""),10,FALSE)"),0.0)</f>
        <v>0</v>
      </c>
      <c r="N11" s="15">
        <f>IFERROR(__xludf.DUMMYFUNCTION("VLOOKUP(A11,IMPORTRANGE(""1QZ5UxyNCwadreQAXnQ7oCoH982DjIA-QnZdO7ZoqkC0/edit#gid=884617569"",""S4 Totals!$A$2:$O$255""),11,FALSE)"),0.0)</f>
        <v>0</v>
      </c>
      <c r="O11" s="110"/>
      <c r="P11" s="16" t="str">
        <f>IFERROR(__xludf.DUMMYFUNCTION("VLOOKUP(A11,IMPORTRANGE(""1QZ5UxyNCwadreQAXnQ7oCoH982DjIA-QnZdO7ZoqkC0/edit#gid=884617569"",""S4 Totals!$A$2:$O$255""),13,FALSE)"),"")</f>
        <v/>
      </c>
      <c r="Q11" s="15" t="str">
        <f>IFERROR(__xludf.DUMMYFUNCTION("VLOOKUP(A11,IMPORTRANGE(""1QZ5UxyNCwadreQAXnQ7oCoH982DjIA-QnZdO7ZoqkC0/edit#gid=884617569"",""S4 Totals!$A$2:$O$255""),14,FALSE)"),"")</f>
        <v/>
      </c>
      <c r="R11" s="110"/>
    </row>
    <row r="12">
      <c r="A12" s="128" t="s">
        <v>25</v>
      </c>
      <c r="B12" s="16">
        <f>IFERROR(__xludf.DUMMYFUNCTION("VLOOKUP(A12,IMPORTRANGE(""1aFCnJY1qhIj8-JckJhDJ18aqmVo17tofpQmOjcYa3u8/edit#gid=1878241338"",""S4 Totals!$A$2:$O$255""),2,FALSE)"),4.0)</f>
        <v>4</v>
      </c>
      <c r="C12" s="15">
        <f>IFERROR(__xludf.DUMMYFUNCTION("VLOOKUP(A12,IMPORTRANGE(""1aFCnJY1qhIj8-JckJhDJ18aqmVo17tofpQmOjcYa3u8/edit#gid=1878241338"",""S4 Totals!$A$2:$O$255""),3,FALSE)"),0.08)</f>
        <v>0.08</v>
      </c>
      <c r="D12" s="16">
        <f>IFERROR(__xludf.DUMMYFUNCTION("VLOOKUP(A12,IMPORTRANGE(""1QZ5UxyNCwadreQAXnQ7oCoH982DjIA-QnZdO7ZoqkC0/edit#gid=884617569"",""S4 Totals!$A$2:$O$255""),2,FALSE)"),7.0)</f>
        <v>7</v>
      </c>
      <c r="E12" s="15">
        <f>IFERROR(__xludf.DUMMYFUNCTION("VLOOKUP(A12,IMPORTRANGE(""1QZ5UxyNCwadreQAXnQ7oCoH982DjIA-QnZdO7ZoqkC0/edit#gid=884617569"",""S4 Totals!$A$2:$O$255""),3,FALSE)"),0.14893617021276595)</f>
        <v>0.1489361702</v>
      </c>
      <c r="F12" s="146">
        <f t="shared" si="1"/>
        <v>-0.06893617021</v>
      </c>
      <c r="G12" s="16">
        <f>IFERROR(__xludf.DUMMYFUNCTION("VLOOKUP(A12,IMPORTRANGE(""1QZ5UxyNCwadreQAXnQ7oCoH982DjIA-QnZdO7ZoqkC0/edit#gid=884617569"",""S4 Totals!$A$2:$O$255""),4,FALSE)"),5.0)</f>
        <v>5</v>
      </c>
      <c r="H12" s="15">
        <f>IFERROR(__xludf.DUMMYFUNCTION("VLOOKUP(A12,IMPORTRANGE(""1QZ5UxyNCwadreQAXnQ7oCoH982DjIA-QnZdO7ZoqkC0/edit#gid=884617569"",""S4 Totals!$A$2:$O$255""),5,FALSE)"),0.07936507936507936)</f>
        <v>0.07936507937</v>
      </c>
      <c r="I12" s="143"/>
      <c r="J12" s="16">
        <f>IFERROR(__xludf.DUMMYFUNCTION("VLOOKUP(A12,IMPORTRANGE(""1QZ5UxyNCwadreQAXnQ7oCoH982DjIA-QnZdO7ZoqkC0/edit#gid=884617569"",""S4 Totals!$A$2:$O$255""),7,FALSE)"),1.0)</f>
        <v>1</v>
      </c>
      <c r="K12" s="15">
        <f>IFERROR(__xludf.DUMMYFUNCTION("VLOOKUP(A12,IMPORTRANGE(""1QZ5UxyNCwadreQAXnQ7oCoH982DjIA-QnZdO7ZoqkC0/edit#gid=884617569"",""S4 Totals!$A$2:$O$255""),8,FALSE)"),0.014285714285714285)</f>
        <v>0.01428571429</v>
      </c>
      <c r="L12" s="147"/>
      <c r="M12" s="16">
        <f>IFERROR(__xludf.DUMMYFUNCTION("VLOOKUP(A12,IMPORTRANGE(""1QZ5UxyNCwadreQAXnQ7oCoH982DjIA-QnZdO7ZoqkC0/edit#gid=884617569"",""S4 Totals!$A$2:$O$255""),10,FALSE)"),5.0)</f>
        <v>5</v>
      </c>
      <c r="N12" s="15">
        <f>IFERROR(__xludf.DUMMYFUNCTION("VLOOKUP(A12,IMPORTRANGE(""1QZ5UxyNCwadreQAXnQ7oCoH982DjIA-QnZdO7ZoqkC0/edit#gid=884617569"",""S4 Totals!$A$2:$O$255""),11,FALSE)"),0.06756756756756757)</f>
        <v>0.06756756757</v>
      </c>
      <c r="O12" s="110"/>
      <c r="P12" s="16">
        <f>IFERROR(__xludf.DUMMYFUNCTION("VLOOKUP(A12,IMPORTRANGE(""1QZ5UxyNCwadreQAXnQ7oCoH982DjIA-QnZdO7ZoqkC0/edit#gid=884617569"",""S4 Totals!$A$2:$O$255""),13,FALSE)"),5.0)</f>
        <v>5</v>
      </c>
      <c r="Q12" s="15">
        <f>IFERROR(__xludf.DUMMYFUNCTION("VLOOKUP(A12,IMPORTRANGE(""1QZ5UxyNCwadreQAXnQ7oCoH982DjIA-QnZdO7ZoqkC0/edit#gid=884617569"",""S4 Totals!$A$2:$O$255""),14,FALSE)"),0.06666666666666667)</f>
        <v>0.06666666667</v>
      </c>
      <c r="R12" s="110"/>
    </row>
    <row r="13">
      <c r="A13" s="128" t="s">
        <v>210</v>
      </c>
      <c r="B13" s="16">
        <f>IFERROR(__xludf.DUMMYFUNCTION("VLOOKUP(A13,IMPORTRANGE(""1aFCnJY1qhIj8-JckJhDJ18aqmVo17tofpQmOjcYa3u8/edit#gid=1878241338"",""S4 Totals!$A$2:$O$255""),2,FALSE)"),11.0)</f>
        <v>11</v>
      </c>
      <c r="C13" s="15">
        <f>IFERROR(__xludf.DUMMYFUNCTION("VLOOKUP(A13,IMPORTRANGE(""1aFCnJY1qhIj8-JckJhDJ18aqmVo17tofpQmOjcYa3u8/edit#gid=1878241338"",""S4 Totals!$A$2:$O$255""),3,FALSE)"),0.22)</f>
        <v>0.22</v>
      </c>
      <c r="D13" s="16">
        <f>IFERROR(__xludf.DUMMYFUNCTION("VLOOKUP(A13,IMPORTRANGE(""1QZ5UxyNCwadreQAXnQ7oCoH982DjIA-QnZdO7ZoqkC0/edit#gid=884617569"",""S4 Totals!$A$2:$O$255""),2,FALSE)"),11.0)</f>
        <v>11</v>
      </c>
      <c r="E13" s="15">
        <f>IFERROR(__xludf.DUMMYFUNCTION("VLOOKUP(A13,IMPORTRANGE(""1QZ5UxyNCwadreQAXnQ7oCoH982DjIA-QnZdO7ZoqkC0/edit#gid=884617569"",""S4 Totals!$A$2:$O$255""),3,FALSE)"),0.23404255319148937)</f>
        <v>0.2340425532</v>
      </c>
      <c r="F13" s="146">
        <f t="shared" si="1"/>
        <v>-0.01404255319</v>
      </c>
      <c r="G13" s="16">
        <f>IFERROR(__xludf.DUMMYFUNCTION("VLOOKUP(A13,IMPORTRANGE(""1QZ5UxyNCwadreQAXnQ7oCoH982DjIA-QnZdO7ZoqkC0/edit#gid=884617569"",""S4 Totals!$A$2:$O$255""),4,FALSE)"),4.0)</f>
        <v>4</v>
      </c>
      <c r="H13" s="15">
        <f>IFERROR(__xludf.DUMMYFUNCTION("VLOOKUP(A13,IMPORTRANGE(""1QZ5UxyNCwadreQAXnQ7oCoH982DjIA-QnZdO7ZoqkC0/edit#gid=884617569"",""S4 Totals!$A$2:$O$255""),5,FALSE)"),0.06349206349206349)</f>
        <v>0.06349206349</v>
      </c>
      <c r="I13" s="143"/>
      <c r="J13" s="16" t="str">
        <f>IFERROR(__xludf.DUMMYFUNCTION("VLOOKUP(A13,IMPORTRANGE(""1QZ5UxyNCwadreQAXnQ7oCoH982DjIA-QnZdO7ZoqkC0/edit#gid=884617569"",""S4 Totals!$A$2:$O$255""),7,FALSE)"),"")</f>
        <v/>
      </c>
      <c r="K13" s="15" t="str">
        <f>IFERROR(__xludf.DUMMYFUNCTION("VLOOKUP(A13,IMPORTRANGE(""1QZ5UxyNCwadreQAXnQ7oCoH982DjIA-QnZdO7ZoqkC0/edit#gid=884617569"",""S4 Totals!$A$2:$O$255""),8,FALSE)"),"")</f>
        <v/>
      </c>
      <c r="L13" s="147"/>
      <c r="M13" s="16" t="str">
        <f>IFERROR(__xludf.DUMMYFUNCTION("VLOOKUP(A13,IMPORTRANGE(""1QZ5UxyNCwadreQAXnQ7oCoH982DjIA-QnZdO7ZoqkC0/edit#gid=884617569"",""S4 Totals!$A$2:$O$255""),10,FALSE)"),"")</f>
        <v/>
      </c>
      <c r="N13" s="15" t="str">
        <f>IFERROR(__xludf.DUMMYFUNCTION("VLOOKUP(A13,IMPORTRANGE(""1QZ5UxyNCwadreQAXnQ7oCoH982DjIA-QnZdO7ZoqkC0/edit#gid=884617569"",""S4 Totals!$A$2:$O$255""),11,FALSE)"),"")</f>
        <v/>
      </c>
      <c r="O13" s="110"/>
      <c r="P13" s="16" t="str">
        <f>IFERROR(__xludf.DUMMYFUNCTION("VLOOKUP(A13,IMPORTRANGE(""1QZ5UxyNCwadreQAXnQ7oCoH982DjIA-QnZdO7ZoqkC0/edit#gid=884617569"",""S4 Totals!$A$2:$O$255""),13,FALSE)"),"")</f>
        <v/>
      </c>
      <c r="Q13" s="15" t="str">
        <f>IFERROR(__xludf.DUMMYFUNCTION("VLOOKUP(A13,IMPORTRANGE(""1QZ5UxyNCwadreQAXnQ7oCoH982DjIA-QnZdO7ZoqkC0/edit#gid=884617569"",""S4 Totals!$A$2:$O$255""),14,FALSE)"),"")</f>
        <v/>
      </c>
      <c r="R13" s="110"/>
    </row>
    <row r="14">
      <c r="A14" s="128" t="s">
        <v>26</v>
      </c>
      <c r="B14" s="16">
        <f>IFERROR(__xludf.DUMMYFUNCTION("VLOOKUP(A14,IMPORTRANGE(""1aFCnJY1qhIj8-JckJhDJ18aqmVo17tofpQmOjcYa3u8/edit#gid=1878241338"",""S4 Totals!$A$2:$O$255""),2,FALSE)"),12.0)</f>
        <v>12</v>
      </c>
      <c r="C14" s="15">
        <f>IFERROR(__xludf.DUMMYFUNCTION("VLOOKUP(A14,IMPORTRANGE(""1aFCnJY1qhIj8-JckJhDJ18aqmVo17tofpQmOjcYa3u8/edit#gid=1878241338"",""S4 Totals!$A$2:$O$255""),3,FALSE)"),0.24)</f>
        <v>0.24</v>
      </c>
      <c r="D14" s="16">
        <f>IFERROR(__xludf.DUMMYFUNCTION("VLOOKUP(A14,IMPORTRANGE(""1QZ5UxyNCwadreQAXnQ7oCoH982DjIA-QnZdO7ZoqkC0/edit#gid=884617569"",""S4 Totals!$A$2:$O$255""),2,FALSE)"),4.0)</f>
        <v>4</v>
      </c>
      <c r="E14" s="15">
        <f>IFERROR(__xludf.DUMMYFUNCTION("VLOOKUP(A14,IMPORTRANGE(""1QZ5UxyNCwadreQAXnQ7oCoH982DjIA-QnZdO7ZoqkC0/edit#gid=884617569"",""S4 Totals!$A$2:$O$255""),3,FALSE)"),0.0851063829787234)</f>
        <v>0.08510638298</v>
      </c>
      <c r="F14" s="146">
        <f t="shared" si="1"/>
        <v>0.154893617</v>
      </c>
      <c r="G14" s="16">
        <f>IFERROR(__xludf.DUMMYFUNCTION("VLOOKUP(A14,IMPORTRANGE(""1QZ5UxyNCwadreQAXnQ7oCoH982DjIA-QnZdO7ZoqkC0/edit#gid=884617569"",""S4 Totals!$A$2:$O$255""),4,FALSE)"),2.0)</f>
        <v>2</v>
      </c>
      <c r="H14" s="15">
        <f>IFERROR(__xludf.DUMMYFUNCTION("VLOOKUP(A14,IMPORTRANGE(""1QZ5UxyNCwadreQAXnQ7oCoH982DjIA-QnZdO7ZoqkC0/edit#gid=884617569"",""S4 Totals!$A$2:$O$255""),5,FALSE)"),0.031746031746031744)</f>
        <v>0.03174603175</v>
      </c>
      <c r="I14" s="143"/>
      <c r="J14" s="16">
        <f>IFERROR(__xludf.DUMMYFUNCTION("VLOOKUP(A14,IMPORTRANGE(""1QZ5UxyNCwadreQAXnQ7oCoH982DjIA-QnZdO7ZoqkC0/edit#gid=884617569"",""S4 Totals!$A$2:$O$255""),7,FALSE)"),1.0)</f>
        <v>1</v>
      </c>
      <c r="K14" s="15">
        <f>IFERROR(__xludf.DUMMYFUNCTION("VLOOKUP(A14,IMPORTRANGE(""1QZ5UxyNCwadreQAXnQ7oCoH982DjIA-QnZdO7ZoqkC0/edit#gid=884617569"",""S4 Totals!$A$2:$O$255""),8,FALSE)"),0.014285714285714285)</f>
        <v>0.01428571429</v>
      </c>
      <c r="L14" s="147"/>
      <c r="M14" s="16">
        <f>IFERROR(__xludf.DUMMYFUNCTION("VLOOKUP(A14,IMPORTRANGE(""1QZ5UxyNCwadreQAXnQ7oCoH982DjIA-QnZdO7ZoqkC0/edit#gid=884617569"",""S4 Totals!$A$2:$O$255""),10,FALSE)"),3.0)</f>
        <v>3</v>
      </c>
      <c r="N14" s="15">
        <f>IFERROR(__xludf.DUMMYFUNCTION("VLOOKUP(A14,IMPORTRANGE(""1QZ5UxyNCwadreQAXnQ7oCoH982DjIA-QnZdO7ZoqkC0/edit#gid=884617569"",""S4 Totals!$A$2:$O$255""),11,FALSE)"),0.04054054054054054)</f>
        <v>0.04054054054</v>
      </c>
      <c r="O14" s="110"/>
      <c r="P14" s="16">
        <f>IFERROR(__xludf.DUMMYFUNCTION("VLOOKUP(A14,IMPORTRANGE(""1QZ5UxyNCwadreQAXnQ7oCoH982DjIA-QnZdO7ZoqkC0/edit#gid=884617569"",""S4 Totals!$A$2:$O$255""),13,FALSE)"),2.0)</f>
        <v>2</v>
      </c>
      <c r="Q14" s="15">
        <f>IFERROR(__xludf.DUMMYFUNCTION("VLOOKUP(A14,IMPORTRANGE(""1QZ5UxyNCwadreQAXnQ7oCoH982DjIA-QnZdO7ZoqkC0/edit#gid=884617569"",""S4 Totals!$A$2:$O$255""),14,FALSE)"),0.02666666666666667)</f>
        <v>0.02666666667</v>
      </c>
      <c r="R14" s="110"/>
    </row>
    <row r="15">
      <c r="A15" s="128" t="s">
        <v>75</v>
      </c>
      <c r="B15" s="16">
        <f>IFERROR(__xludf.DUMMYFUNCTION("VLOOKUP(A15,IMPORTRANGE(""1aFCnJY1qhIj8-JckJhDJ18aqmVo17tofpQmOjcYa3u8/edit#gid=1878241338"",""S4 Totals!$A$2:$O$255""),2,FALSE)"),4.0)</f>
        <v>4</v>
      </c>
      <c r="C15" s="15">
        <f>IFERROR(__xludf.DUMMYFUNCTION("VLOOKUP(A15,IMPORTRANGE(""1aFCnJY1qhIj8-JckJhDJ18aqmVo17tofpQmOjcYa3u8/edit#gid=1878241338"",""S4 Totals!$A$2:$O$255""),3,FALSE)"),0.08)</f>
        <v>0.08</v>
      </c>
      <c r="D15" s="16">
        <f>IFERROR(__xludf.DUMMYFUNCTION("VLOOKUP(A15,IMPORTRANGE(""1QZ5UxyNCwadreQAXnQ7oCoH982DjIA-QnZdO7ZoqkC0/edit#gid=884617569"",""S4 Totals!$A$2:$O$255""),2,FALSE)"),16.0)</f>
        <v>16</v>
      </c>
      <c r="E15" s="15">
        <f>IFERROR(__xludf.DUMMYFUNCTION("VLOOKUP(A15,IMPORTRANGE(""1QZ5UxyNCwadreQAXnQ7oCoH982DjIA-QnZdO7ZoqkC0/edit#gid=884617569"",""S4 Totals!$A$2:$O$255""),3,FALSE)"),0.3404255319148936)</f>
        <v>0.3404255319</v>
      </c>
      <c r="F15" s="146">
        <f t="shared" si="1"/>
        <v>-0.2604255319</v>
      </c>
      <c r="G15" s="16">
        <f>IFERROR(__xludf.DUMMYFUNCTION("VLOOKUP(A15,IMPORTRANGE(""1QZ5UxyNCwadreQAXnQ7oCoH982DjIA-QnZdO7ZoqkC0/edit#gid=884617569"",""S4 Totals!$A$2:$O$255""),4,FALSE)"),16.0)</f>
        <v>16</v>
      </c>
      <c r="H15" s="15">
        <f>IFERROR(__xludf.DUMMYFUNCTION("VLOOKUP(A15,IMPORTRANGE(""1QZ5UxyNCwadreQAXnQ7oCoH982DjIA-QnZdO7ZoqkC0/edit#gid=884617569"",""S4 Totals!$A$2:$O$255""),5,FALSE)"),0.25396825396825395)</f>
        <v>0.253968254</v>
      </c>
      <c r="I15" s="143"/>
      <c r="J15" s="16">
        <f>IFERROR(__xludf.DUMMYFUNCTION("VLOOKUP(A15,IMPORTRANGE(""1QZ5UxyNCwadreQAXnQ7oCoH982DjIA-QnZdO7ZoqkC0/edit#gid=884617569"",""S4 Totals!$A$2:$O$255""),7,FALSE)"),24.0)</f>
        <v>24</v>
      </c>
      <c r="K15" s="15">
        <f>IFERROR(__xludf.DUMMYFUNCTION("VLOOKUP(A15,IMPORTRANGE(""1QZ5UxyNCwadreQAXnQ7oCoH982DjIA-QnZdO7ZoqkC0/edit#gid=884617569"",""S4 Totals!$A$2:$O$255""),8,FALSE)"),0.34285714285714286)</f>
        <v>0.3428571429</v>
      </c>
      <c r="L15" s="147"/>
      <c r="M15" s="16">
        <f>IFERROR(__xludf.DUMMYFUNCTION("VLOOKUP(A15,IMPORTRANGE(""1QZ5UxyNCwadreQAXnQ7oCoH982DjIA-QnZdO7ZoqkC0/edit#gid=884617569"",""S4 Totals!$A$2:$O$255""),10,FALSE)"),22.0)</f>
        <v>22</v>
      </c>
      <c r="N15" s="15">
        <f>IFERROR(__xludf.DUMMYFUNCTION("VLOOKUP(A15,IMPORTRANGE(""1QZ5UxyNCwadreQAXnQ7oCoH982DjIA-QnZdO7ZoqkC0/edit#gid=884617569"",""S4 Totals!$A$2:$O$255""),11,FALSE)"),0.2972972972972973)</f>
        <v>0.2972972973</v>
      </c>
      <c r="O15" s="110"/>
      <c r="P15" s="16">
        <f>IFERROR(__xludf.DUMMYFUNCTION("VLOOKUP(A15,IMPORTRANGE(""1QZ5UxyNCwadreQAXnQ7oCoH982DjIA-QnZdO7ZoqkC0/edit#gid=884617569"",""S4 Totals!$A$2:$O$255""),13,FALSE)"),18.0)</f>
        <v>18</v>
      </c>
      <c r="Q15" s="15">
        <f>IFERROR(__xludf.DUMMYFUNCTION("VLOOKUP(A15,IMPORTRANGE(""1QZ5UxyNCwadreQAXnQ7oCoH982DjIA-QnZdO7ZoqkC0/edit#gid=884617569"",""S4 Totals!$A$2:$O$255""),14,FALSE)"),0.24)</f>
        <v>0.24</v>
      </c>
      <c r="R15" s="110"/>
    </row>
    <row r="16">
      <c r="A16" s="128" t="s">
        <v>28</v>
      </c>
      <c r="B16" s="16">
        <f>IFERROR(__xludf.DUMMYFUNCTION("VLOOKUP(A16,IMPORTRANGE(""1aFCnJY1qhIj8-JckJhDJ18aqmVo17tofpQmOjcYa3u8/edit#gid=1878241338"",""S4 Totals!$A$2:$O$255""),2,FALSE)"),20.0)</f>
        <v>20</v>
      </c>
      <c r="C16" s="15">
        <f>IFERROR(__xludf.DUMMYFUNCTION("VLOOKUP(A16,IMPORTRANGE(""1aFCnJY1qhIj8-JckJhDJ18aqmVo17tofpQmOjcYa3u8/edit#gid=1878241338"",""S4 Totals!$A$2:$O$255""),3,FALSE)"),0.4)</f>
        <v>0.4</v>
      </c>
      <c r="D16" s="16">
        <f>IFERROR(__xludf.DUMMYFUNCTION("VLOOKUP(A16,IMPORTRANGE(""1QZ5UxyNCwadreQAXnQ7oCoH982DjIA-QnZdO7ZoqkC0/edit#gid=884617569"",""S4 Totals!$A$2:$O$255""),2,FALSE)"),20.0)</f>
        <v>20</v>
      </c>
      <c r="E16" s="15">
        <f>IFERROR(__xludf.DUMMYFUNCTION("VLOOKUP(A16,IMPORTRANGE(""1QZ5UxyNCwadreQAXnQ7oCoH982DjIA-QnZdO7ZoqkC0/edit#gid=884617569"",""S4 Totals!$A$2:$O$255""),3,FALSE)"),0.425531914893617)</f>
        <v>0.4255319149</v>
      </c>
      <c r="F16" s="146">
        <f t="shared" si="1"/>
        <v>-0.02553191489</v>
      </c>
      <c r="G16" s="16">
        <f>IFERROR(__xludf.DUMMYFUNCTION("VLOOKUP(A16,IMPORTRANGE(""1QZ5UxyNCwadreQAXnQ7oCoH982DjIA-QnZdO7ZoqkC0/edit#gid=884617569"",""S4 Totals!$A$2:$O$255""),4,FALSE)"),17.0)</f>
        <v>17</v>
      </c>
      <c r="H16" s="15">
        <f>IFERROR(__xludf.DUMMYFUNCTION("VLOOKUP(A16,IMPORTRANGE(""1QZ5UxyNCwadreQAXnQ7oCoH982DjIA-QnZdO7ZoqkC0/edit#gid=884617569"",""S4 Totals!$A$2:$O$255""),5,FALSE)"),0.2698412698412698)</f>
        <v>0.2698412698</v>
      </c>
      <c r="I16" s="143"/>
      <c r="J16" s="16">
        <f>IFERROR(__xludf.DUMMYFUNCTION("VLOOKUP(A16,IMPORTRANGE(""1QZ5UxyNCwadreQAXnQ7oCoH982DjIA-QnZdO7ZoqkC0/edit#gid=884617569"",""S4 Totals!$A$2:$O$255""),7,FALSE)"),12.0)</f>
        <v>12</v>
      </c>
      <c r="K16" s="15">
        <f>IFERROR(__xludf.DUMMYFUNCTION("VLOOKUP(A16,IMPORTRANGE(""1QZ5UxyNCwadreQAXnQ7oCoH982DjIA-QnZdO7ZoqkC0/edit#gid=884617569"",""S4 Totals!$A$2:$O$255""),8,FALSE)"),0.17142857142857143)</f>
        <v>0.1714285714</v>
      </c>
      <c r="L16" s="147"/>
      <c r="M16" s="16">
        <f>IFERROR(__xludf.DUMMYFUNCTION("VLOOKUP(A16,IMPORTRANGE(""1QZ5UxyNCwadreQAXnQ7oCoH982DjIA-QnZdO7ZoqkC0/edit#gid=884617569"",""S4 Totals!$A$2:$O$255""),10,FALSE)"),9.0)</f>
        <v>9</v>
      </c>
      <c r="N16" s="15">
        <f>IFERROR(__xludf.DUMMYFUNCTION("VLOOKUP(A16,IMPORTRANGE(""1QZ5UxyNCwadreQAXnQ7oCoH982DjIA-QnZdO7ZoqkC0/edit#gid=884617569"",""S4 Totals!$A$2:$O$255""),11,FALSE)"),0.12162162162162163)</f>
        <v>0.1216216216</v>
      </c>
      <c r="O16" s="110"/>
      <c r="P16" s="16">
        <f>IFERROR(__xludf.DUMMYFUNCTION("VLOOKUP(A16,IMPORTRANGE(""1QZ5UxyNCwadreQAXnQ7oCoH982DjIA-QnZdO7ZoqkC0/edit#gid=884617569"",""S4 Totals!$A$2:$O$255""),13,FALSE)"),12.0)</f>
        <v>12</v>
      </c>
      <c r="Q16" s="15">
        <f>IFERROR(__xludf.DUMMYFUNCTION("VLOOKUP(A16,IMPORTRANGE(""1QZ5UxyNCwadreQAXnQ7oCoH982DjIA-QnZdO7ZoqkC0/edit#gid=884617569"",""S4 Totals!$A$2:$O$255""),14,FALSE)"),0.16)</f>
        <v>0.16</v>
      </c>
      <c r="R16" s="110"/>
    </row>
    <row r="17">
      <c r="A17" s="128" t="s">
        <v>29</v>
      </c>
      <c r="B17" s="16">
        <f>IFERROR(__xludf.DUMMYFUNCTION("VLOOKUP(A17,IMPORTRANGE(""1aFCnJY1qhIj8-JckJhDJ18aqmVo17tofpQmOjcYa3u8/edit#gid=1878241338"",""S4 Totals!$A$2:$O$255""),2,FALSE)"),23.0)</f>
        <v>23</v>
      </c>
      <c r="C17" s="15">
        <f>IFERROR(__xludf.DUMMYFUNCTION("VLOOKUP(A17,IMPORTRANGE(""1aFCnJY1qhIj8-JckJhDJ18aqmVo17tofpQmOjcYa3u8/edit#gid=1878241338"",""S4 Totals!$A$2:$O$255""),3,FALSE)"),0.46)</f>
        <v>0.46</v>
      </c>
      <c r="D17" s="16">
        <f>IFERROR(__xludf.DUMMYFUNCTION("VLOOKUP(A17,IMPORTRANGE(""1QZ5UxyNCwadreQAXnQ7oCoH982DjIA-QnZdO7ZoqkC0/edit#gid=884617569"",""S4 Totals!$A$2:$O$255""),2,FALSE)"),19.0)</f>
        <v>19</v>
      </c>
      <c r="E17" s="15">
        <f>IFERROR(__xludf.DUMMYFUNCTION("VLOOKUP(A17,IMPORTRANGE(""1QZ5UxyNCwadreQAXnQ7oCoH982DjIA-QnZdO7ZoqkC0/edit#gid=884617569"",""S4 Totals!$A$2:$O$255""),3,FALSE)"),0.40425531914893614)</f>
        <v>0.4042553191</v>
      </c>
      <c r="F17" s="146">
        <f t="shared" si="1"/>
        <v>0.05574468085</v>
      </c>
      <c r="G17" s="16">
        <f>IFERROR(__xludf.DUMMYFUNCTION("VLOOKUP(A17,IMPORTRANGE(""1QZ5UxyNCwadreQAXnQ7oCoH982DjIA-QnZdO7ZoqkC0/edit#gid=884617569"",""S4 Totals!$A$2:$O$255""),4,FALSE)"),23.0)</f>
        <v>23</v>
      </c>
      <c r="H17" s="15">
        <f>IFERROR(__xludf.DUMMYFUNCTION("VLOOKUP(A17,IMPORTRANGE(""1QZ5UxyNCwadreQAXnQ7oCoH982DjIA-QnZdO7ZoqkC0/edit#gid=884617569"",""S4 Totals!$A$2:$O$255""),5,FALSE)"),0.36507936507936506)</f>
        <v>0.3650793651</v>
      </c>
      <c r="I17" s="143"/>
      <c r="J17" s="16">
        <f>IFERROR(__xludf.DUMMYFUNCTION("VLOOKUP(A17,IMPORTRANGE(""1QZ5UxyNCwadreQAXnQ7oCoH982DjIA-QnZdO7ZoqkC0/edit#gid=884617569"",""S4 Totals!$A$2:$O$255""),7,FALSE)"),30.0)</f>
        <v>30</v>
      </c>
      <c r="K17" s="15">
        <f>IFERROR(__xludf.DUMMYFUNCTION("VLOOKUP(A17,IMPORTRANGE(""1QZ5UxyNCwadreQAXnQ7oCoH982DjIA-QnZdO7ZoqkC0/edit#gid=884617569"",""S4 Totals!$A$2:$O$255""),8,FALSE)"),0.42857142857142855)</f>
        <v>0.4285714286</v>
      </c>
      <c r="L17" s="147"/>
      <c r="M17" s="16">
        <f>IFERROR(__xludf.DUMMYFUNCTION("VLOOKUP(A17,IMPORTRANGE(""1QZ5UxyNCwadreQAXnQ7oCoH982DjIA-QnZdO7ZoqkC0/edit#gid=884617569"",""S4 Totals!$A$2:$O$255""),10,FALSE)"),15.0)</f>
        <v>15</v>
      </c>
      <c r="N17" s="15">
        <f>IFERROR(__xludf.DUMMYFUNCTION("VLOOKUP(A17,IMPORTRANGE(""1QZ5UxyNCwadreQAXnQ7oCoH982DjIA-QnZdO7ZoqkC0/edit#gid=884617569"",""S4 Totals!$A$2:$O$255""),11,FALSE)"),0.20270270270270271)</f>
        <v>0.2027027027</v>
      </c>
      <c r="O17" s="110"/>
      <c r="P17" s="16">
        <f>IFERROR(__xludf.DUMMYFUNCTION("VLOOKUP(A17,IMPORTRANGE(""1QZ5UxyNCwadreQAXnQ7oCoH982DjIA-QnZdO7ZoqkC0/edit#gid=884617569"",""S4 Totals!$A$2:$O$255""),13,FALSE)"),11.0)</f>
        <v>11</v>
      </c>
      <c r="Q17" s="15">
        <f>IFERROR(__xludf.DUMMYFUNCTION("VLOOKUP(A17,IMPORTRANGE(""1QZ5UxyNCwadreQAXnQ7oCoH982DjIA-QnZdO7ZoqkC0/edit#gid=884617569"",""S4 Totals!$A$2:$O$255""),14,FALSE)"),0.14666666666666667)</f>
        <v>0.1466666667</v>
      </c>
      <c r="R17" s="110"/>
    </row>
    <row r="18">
      <c r="A18" s="128" t="s">
        <v>211</v>
      </c>
      <c r="B18" s="16">
        <f>IFERROR(__xludf.DUMMYFUNCTION("VLOOKUP(A18,IMPORTRANGE(""1aFCnJY1qhIj8-JckJhDJ18aqmVo17tofpQmOjcYa3u8/edit#gid=1878241338"",""S4 Totals!$A$2:$O$255""),2,FALSE)"),23.0)</f>
        <v>23</v>
      </c>
      <c r="C18" s="15">
        <f>IFERROR(__xludf.DUMMYFUNCTION("VLOOKUP(A18,IMPORTRANGE(""1aFCnJY1qhIj8-JckJhDJ18aqmVo17tofpQmOjcYa3u8/edit#gid=1878241338"",""S4 Totals!$A$2:$O$255""),3,FALSE)"),0.46)</f>
        <v>0.46</v>
      </c>
      <c r="D18" s="16">
        <f>IFERROR(__xludf.DUMMYFUNCTION("VLOOKUP(A18,IMPORTRANGE(""1QZ5UxyNCwadreQAXnQ7oCoH982DjIA-QnZdO7ZoqkC0/edit#gid=884617569"",""S4 Totals!$A$2:$O$255""),2,FALSE)"),21.0)</f>
        <v>21</v>
      </c>
      <c r="E18" s="15">
        <f>IFERROR(__xludf.DUMMYFUNCTION("VLOOKUP(A18,IMPORTRANGE(""1QZ5UxyNCwadreQAXnQ7oCoH982DjIA-QnZdO7ZoqkC0/edit#gid=884617569"",""S4 Totals!$A$2:$O$255""),3,FALSE)"),0.44680851063829785)</f>
        <v>0.4468085106</v>
      </c>
      <c r="F18" s="146">
        <f t="shared" si="1"/>
        <v>0.01319148936</v>
      </c>
      <c r="G18" s="16">
        <f>IFERROR(__xludf.DUMMYFUNCTION("VLOOKUP(A18,IMPORTRANGE(""1QZ5UxyNCwadreQAXnQ7oCoH982DjIA-QnZdO7ZoqkC0/edit#gid=884617569"",""S4 Totals!$A$2:$O$255""),4,FALSE)"),27.0)</f>
        <v>27</v>
      </c>
      <c r="H18" s="15">
        <f>IFERROR(__xludf.DUMMYFUNCTION("VLOOKUP(A18,IMPORTRANGE(""1QZ5UxyNCwadreQAXnQ7oCoH982DjIA-QnZdO7ZoqkC0/edit#gid=884617569"",""S4 Totals!$A$2:$O$255""),5,FALSE)"),0.42857142857142855)</f>
        <v>0.4285714286</v>
      </c>
      <c r="I18" s="143"/>
      <c r="J18" s="16" t="str">
        <f>IFERROR(__xludf.DUMMYFUNCTION("VLOOKUP(A18,IMPORTRANGE(""1QZ5UxyNCwadreQAXnQ7oCoH982DjIA-QnZdO7ZoqkC0/edit#gid=884617569"",""S4 Totals!$A$2:$O$255""),7,FALSE)"),"")</f>
        <v/>
      </c>
      <c r="K18" s="15" t="str">
        <f>IFERROR(__xludf.DUMMYFUNCTION("VLOOKUP(A18,IMPORTRANGE(""1QZ5UxyNCwadreQAXnQ7oCoH982DjIA-QnZdO7ZoqkC0/edit#gid=884617569"",""S4 Totals!$A$2:$O$255""),8,FALSE)"),"")</f>
        <v/>
      </c>
      <c r="L18" s="147"/>
      <c r="M18" s="16" t="str">
        <f>IFERROR(__xludf.DUMMYFUNCTION("VLOOKUP(A18,IMPORTRANGE(""1QZ5UxyNCwadreQAXnQ7oCoH982DjIA-QnZdO7ZoqkC0/edit#gid=884617569"",""S4 Totals!$A$2:$O$255""),10,FALSE)"),"")</f>
        <v/>
      </c>
      <c r="N18" s="15" t="str">
        <f>IFERROR(__xludf.DUMMYFUNCTION("VLOOKUP(A18,IMPORTRANGE(""1QZ5UxyNCwadreQAXnQ7oCoH982DjIA-QnZdO7ZoqkC0/edit#gid=884617569"",""S4 Totals!$A$2:$O$255""),11,FALSE)"),"")</f>
        <v/>
      </c>
      <c r="O18" s="110"/>
      <c r="P18" s="16" t="str">
        <f>IFERROR(__xludf.DUMMYFUNCTION("VLOOKUP(A18,IMPORTRANGE(""1QZ5UxyNCwadreQAXnQ7oCoH982DjIA-QnZdO7ZoqkC0/edit#gid=884617569"",""S4 Totals!$A$2:$O$255""),13,FALSE)"),"")</f>
        <v/>
      </c>
      <c r="Q18" s="15" t="str">
        <f>IFERROR(__xludf.DUMMYFUNCTION("VLOOKUP(A18,IMPORTRANGE(""1QZ5UxyNCwadreQAXnQ7oCoH982DjIA-QnZdO7ZoqkC0/edit#gid=884617569"",""S4 Totals!$A$2:$O$255""),14,FALSE)"),"")</f>
        <v/>
      </c>
      <c r="R18" s="110"/>
    </row>
    <row r="19">
      <c r="A19" s="128" t="s">
        <v>212</v>
      </c>
      <c r="B19" s="16">
        <f>IFERROR(__xludf.DUMMYFUNCTION("VLOOKUP(A19,IMPORTRANGE(""1aFCnJY1qhIj8-JckJhDJ18aqmVo17tofpQmOjcYa3u8/edit#gid=1878241338"",""S4 Totals!$A$2:$O$255""),2,FALSE)"),4.0)</f>
        <v>4</v>
      </c>
      <c r="C19" s="15">
        <f>IFERROR(__xludf.DUMMYFUNCTION("VLOOKUP(A19,IMPORTRANGE(""1aFCnJY1qhIj8-JckJhDJ18aqmVo17tofpQmOjcYa3u8/edit#gid=1878241338"",""S4 Totals!$A$2:$O$255""),3,FALSE)"),0.08)</f>
        <v>0.08</v>
      </c>
      <c r="D19" s="16">
        <f>IFERROR(__xludf.DUMMYFUNCTION("VLOOKUP(A19,IMPORTRANGE(""1QZ5UxyNCwadreQAXnQ7oCoH982DjIA-QnZdO7ZoqkC0/edit#gid=884617569"",""S4 Totals!$A$2:$O$255""),2,FALSE)"),3.0)</f>
        <v>3</v>
      </c>
      <c r="E19" s="15">
        <f>IFERROR(__xludf.DUMMYFUNCTION("VLOOKUP(A19,IMPORTRANGE(""1QZ5UxyNCwadreQAXnQ7oCoH982DjIA-QnZdO7ZoqkC0/edit#gid=884617569"",""S4 Totals!$A$2:$O$255""),3,FALSE)"),0.06382978723404255)</f>
        <v>0.06382978723</v>
      </c>
      <c r="F19" s="146">
        <f t="shared" si="1"/>
        <v>0.01617021277</v>
      </c>
      <c r="G19" s="16">
        <f>IFERROR(__xludf.DUMMYFUNCTION("VLOOKUP(A19,IMPORTRANGE(""1QZ5UxyNCwadreQAXnQ7oCoH982DjIA-QnZdO7ZoqkC0/edit#gid=884617569"",""S4 Totals!$A$2:$O$255""),4,FALSE)"),0.0)</f>
        <v>0</v>
      </c>
      <c r="H19" s="15">
        <f>IFERROR(__xludf.DUMMYFUNCTION("VLOOKUP(A19,IMPORTRANGE(""1QZ5UxyNCwadreQAXnQ7oCoH982DjIA-QnZdO7ZoqkC0/edit#gid=884617569"",""S4 Totals!$A$2:$O$255""),5,FALSE)"),0.0)</f>
        <v>0</v>
      </c>
      <c r="I19" s="143"/>
      <c r="J19" s="16" t="str">
        <f>IFERROR(__xludf.DUMMYFUNCTION("VLOOKUP(A19,IMPORTRANGE(""1QZ5UxyNCwadreQAXnQ7oCoH982DjIA-QnZdO7ZoqkC0/edit#gid=884617569"",""S4 Totals!$A$2:$O$255""),7,FALSE)"),"")</f>
        <v/>
      </c>
      <c r="K19" s="15" t="str">
        <f>IFERROR(__xludf.DUMMYFUNCTION("VLOOKUP(A19,IMPORTRANGE(""1QZ5UxyNCwadreQAXnQ7oCoH982DjIA-QnZdO7ZoqkC0/edit#gid=884617569"",""S4 Totals!$A$2:$O$255""),8,FALSE)"),"")</f>
        <v/>
      </c>
      <c r="L19" s="147"/>
      <c r="M19" s="16" t="str">
        <f>IFERROR(__xludf.DUMMYFUNCTION("VLOOKUP(A19,IMPORTRANGE(""1QZ5UxyNCwadreQAXnQ7oCoH982DjIA-QnZdO7ZoqkC0/edit#gid=884617569"",""S4 Totals!$A$2:$O$255""),10,FALSE)"),"")</f>
        <v/>
      </c>
      <c r="N19" s="15" t="str">
        <f>IFERROR(__xludf.DUMMYFUNCTION("VLOOKUP(A19,IMPORTRANGE(""1QZ5UxyNCwadreQAXnQ7oCoH982DjIA-QnZdO7ZoqkC0/edit#gid=884617569"",""S4 Totals!$A$2:$O$255""),11,FALSE)"),"")</f>
        <v/>
      </c>
      <c r="O19" s="110"/>
      <c r="P19" s="16" t="str">
        <f>IFERROR(__xludf.DUMMYFUNCTION("VLOOKUP(A19,IMPORTRANGE(""1QZ5UxyNCwadreQAXnQ7oCoH982DjIA-QnZdO7ZoqkC0/edit#gid=884617569"",""S4 Totals!$A$2:$O$255""),13,FALSE)"),"")</f>
        <v/>
      </c>
      <c r="Q19" s="15" t="str">
        <f>IFERROR(__xludf.DUMMYFUNCTION("VLOOKUP(A19,IMPORTRANGE(""1QZ5UxyNCwadreQAXnQ7oCoH982DjIA-QnZdO7ZoqkC0/edit#gid=884617569"",""S4 Totals!$A$2:$O$255""),14,FALSE)"),"")</f>
        <v/>
      </c>
      <c r="R19" s="110"/>
    </row>
    <row r="20">
      <c r="A20" s="128" t="s">
        <v>57</v>
      </c>
      <c r="B20" s="16">
        <f>IFERROR(__xludf.DUMMYFUNCTION("VLOOKUP(A20,IMPORTRANGE(""1aFCnJY1qhIj8-JckJhDJ18aqmVo17tofpQmOjcYa3u8/edit#gid=1878241338"",""S4 Totals!$A$2:$O$255""),2,FALSE)"),23.0)</f>
        <v>23</v>
      </c>
      <c r="C20" s="15">
        <f>IFERROR(__xludf.DUMMYFUNCTION("VLOOKUP(A20,IMPORTRANGE(""1aFCnJY1qhIj8-JckJhDJ18aqmVo17tofpQmOjcYa3u8/edit#gid=1878241338"",""S4 Totals!$A$2:$O$255""),3,FALSE)"),0.46)</f>
        <v>0.46</v>
      </c>
      <c r="D20" s="16">
        <f>IFERROR(__xludf.DUMMYFUNCTION("VLOOKUP(A20,IMPORTRANGE(""1QZ5UxyNCwadreQAXnQ7oCoH982DjIA-QnZdO7ZoqkC0/edit#gid=884617569"",""S4 Totals!$A$2:$O$255""),2,FALSE)"),25.0)</f>
        <v>25</v>
      </c>
      <c r="E20" s="15">
        <f>IFERROR(__xludf.DUMMYFUNCTION("VLOOKUP(A20,IMPORTRANGE(""1QZ5UxyNCwadreQAXnQ7oCoH982DjIA-QnZdO7ZoqkC0/edit#gid=884617569"",""S4 Totals!$A$2:$O$255""),3,FALSE)"),0.5319148936170213)</f>
        <v>0.5319148936</v>
      </c>
      <c r="F20" s="146">
        <f t="shared" si="1"/>
        <v>-0.07191489362</v>
      </c>
      <c r="G20" s="16">
        <f>IFERROR(__xludf.DUMMYFUNCTION("VLOOKUP(A20,IMPORTRANGE(""1QZ5UxyNCwadreQAXnQ7oCoH982DjIA-QnZdO7ZoqkC0/edit#gid=884617569"",""S4 Totals!$A$2:$O$255""),4,FALSE)"),24.0)</f>
        <v>24</v>
      </c>
      <c r="H20" s="15">
        <f>IFERROR(__xludf.DUMMYFUNCTION("VLOOKUP(A20,IMPORTRANGE(""1QZ5UxyNCwadreQAXnQ7oCoH982DjIA-QnZdO7ZoqkC0/edit#gid=884617569"",""S4 Totals!$A$2:$O$255""),5,FALSE)"),0.38095238095238093)</f>
        <v>0.380952381</v>
      </c>
      <c r="I20" s="143"/>
      <c r="J20" s="16">
        <f>IFERROR(__xludf.DUMMYFUNCTION("VLOOKUP(A20,IMPORTRANGE(""1QZ5UxyNCwadreQAXnQ7oCoH982DjIA-QnZdO7ZoqkC0/edit#gid=884617569"",""S4 Totals!$A$2:$O$255""),7,FALSE)"),33.0)</f>
        <v>33</v>
      </c>
      <c r="K20" s="15">
        <f>IFERROR(__xludf.DUMMYFUNCTION("VLOOKUP(A20,IMPORTRANGE(""1QZ5UxyNCwadreQAXnQ7oCoH982DjIA-QnZdO7ZoqkC0/edit#gid=884617569"",""S4 Totals!$A$2:$O$255""),8,FALSE)"),0.4714285714285714)</f>
        <v>0.4714285714</v>
      </c>
      <c r="L20" s="147"/>
      <c r="M20" s="16">
        <f>IFERROR(__xludf.DUMMYFUNCTION("VLOOKUP(A20,IMPORTRANGE(""1QZ5UxyNCwadreQAXnQ7oCoH982DjIA-QnZdO7ZoqkC0/edit#gid=884617569"",""S4 Totals!$A$2:$O$255""),10,FALSE)"),40.0)</f>
        <v>40</v>
      </c>
      <c r="N20" s="15">
        <f>IFERROR(__xludf.DUMMYFUNCTION("VLOOKUP(A20,IMPORTRANGE(""1QZ5UxyNCwadreQAXnQ7oCoH982DjIA-QnZdO7ZoqkC0/edit#gid=884617569"",""S4 Totals!$A$2:$O$255""),11,FALSE)"),0.5405405405405406)</f>
        <v>0.5405405405</v>
      </c>
      <c r="O20" s="110"/>
      <c r="P20" s="16">
        <f>IFERROR(__xludf.DUMMYFUNCTION("VLOOKUP(A20,IMPORTRANGE(""1QZ5UxyNCwadreQAXnQ7oCoH982DjIA-QnZdO7ZoqkC0/edit#gid=884617569"",""S4 Totals!$A$2:$O$255""),13,FALSE)"),27.0)</f>
        <v>27</v>
      </c>
      <c r="Q20" s="15">
        <f>IFERROR(__xludf.DUMMYFUNCTION("VLOOKUP(A20,IMPORTRANGE(""1QZ5UxyNCwadreQAXnQ7oCoH982DjIA-QnZdO7ZoqkC0/edit#gid=884617569"",""S4 Totals!$A$2:$O$255""),14,FALSE)"),0.36)</f>
        <v>0.36</v>
      </c>
      <c r="R20" s="110"/>
    </row>
    <row r="21">
      <c r="A21" s="128" t="s">
        <v>164</v>
      </c>
      <c r="B21" s="16">
        <f>IFERROR(__xludf.DUMMYFUNCTION("VLOOKUP(A21,IMPORTRANGE(""1aFCnJY1qhIj8-JckJhDJ18aqmVo17tofpQmOjcYa3u8/edit#gid=1878241338"",""S4 Totals!$A$2:$O$255""),2,FALSE)"),2.0)</f>
        <v>2</v>
      </c>
      <c r="C21" s="15">
        <f>IFERROR(__xludf.DUMMYFUNCTION("VLOOKUP(A21,IMPORTRANGE(""1aFCnJY1qhIj8-JckJhDJ18aqmVo17tofpQmOjcYa3u8/edit#gid=1878241338"",""S4 Totals!$A$2:$O$255""),3,FALSE)"),0.04)</f>
        <v>0.04</v>
      </c>
      <c r="D21" s="16">
        <f>IFERROR(__xludf.DUMMYFUNCTION("VLOOKUP(A21,IMPORTRANGE(""1QZ5UxyNCwadreQAXnQ7oCoH982DjIA-QnZdO7ZoqkC0/edit#gid=884617569"",""S4 Totals!$A$2:$O$255""),2,FALSE)"),3.0)</f>
        <v>3</v>
      </c>
      <c r="E21" s="15">
        <f>IFERROR(__xludf.DUMMYFUNCTION("VLOOKUP(A21,IMPORTRANGE(""1QZ5UxyNCwadreQAXnQ7oCoH982DjIA-QnZdO7ZoqkC0/edit#gid=884617569"",""S4 Totals!$A$2:$O$255""),3,FALSE)"),0.06382978723404255)</f>
        <v>0.06382978723</v>
      </c>
      <c r="F21" s="146">
        <f t="shared" si="1"/>
        <v>-0.02382978723</v>
      </c>
      <c r="G21" s="16">
        <f>IFERROR(__xludf.DUMMYFUNCTION("VLOOKUP(A21,IMPORTRANGE(""1QZ5UxyNCwadreQAXnQ7oCoH982DjIA-QnZdO7ZoqkC0/edit#gid=884617569"",""S4 Totals!$A$2:$O$255""),4,FALSE)"),2.0)</f>
        <v>2</v>
      </c>
      <c r="H21" s="15">
        <f>IFERROR(__xludf.DUMMYFUNCTION("VLOOKUP(A21,IMPORTRANGE(""1QZ5UxyNCwadreQAXnQ7oCoH982DjIA-QnZdO7ZoqkC0/edit#gid=884617569"",""S4 Totals!$A$2:$O$255""),5,FALSE)"),0.031746031746031744)</f>
        <v>0.03174603175</v>
      </c>
      <c r="I21" s="143"/>
      <c r="J21" s="16">
        <f>IFERROR(__xludf.DUMMYFUNCTION("VLOOKUP(A21,IMPORTRANGE(""1QZ5UxyNCwadreQAXnQ7oCoH982DjIA-QnZdO7ZoqkC0/edit#gid=884617569"",""S4 Totals!$A$2:$O$255""),7,FALSE)"),1.0)</f>
        <v>1</v>
      </c>
      <c r="K21" s="15">
        <f>IFERROR(__xludf.DUMMYFUNCTION("VLOOKUP(A21,IMPORTRANGE(""1QZ5UxyNCwadreQAXnQ7oCoH982DjIA-QnZdO7ZoqkC0/edit#gid=884617569"",""S4 Totals!$A$2:$O$255""),8,FALSE)"),0.014285714285714285)</f>
        <v>0.01428571429</v>
      </c>
      <c r="L21" s="147"/>
      <c r="M21" s="16" t="str">
        <f>IFERROR(__xludf.DUMMYFUNCTION("VLOOKUP(A21,IMPORTRANGE(""1QZ5UxyNCwadreQAXnQ7oCoH982DjIA-QnZdO7ZoqkC0/edit#gid=884617569"",""S4 Totals!$A$2:$O$255""),10,FALSE)"),"")</f>
        <v/>
      </c>
      <c r="N21" s="15" t="str">
        <f>IFERROR(__xludf.DUMMYFUNCTION("VLOOKUP(A21,IMPORTRANGE(""1QZ5UxyNCwadreQAXnQ7oCoH982DjIA-QnZdO7ZoqkC0/edit#gid=884617569"",""S4 Totals!$A$2:$O$255""),11,FALSE)"),"")</f>
        <v/>
      </c>
      <c r="O21" s="110"/>
      <c r="P21" s="16" t="str">
        <f>IFERROR(__xludf.DUMMYFUNCTION("VLOOKUP(A21,IMPORTRANGE(""1QZ5UxyNCwadreQAXnQ7oCoH982DjIA-QnZdO7ZoqkC0/edit#gid=884617569"",""S4 Totals!$A$2:$O$255""),13,FALSE)"),"")</f>
        <v/>
      </c>
      <c r="Q21" s="15" t="str">
        <f>IFERROR(__xludf.DUMMYFUNCTION("VLOOKUP(A21,IMPORTRANGE(""1QZ5UxyNCwadreQAXnQ7oCoH982DjIA-QnZdO7ZoqkC0/edit#gid=884617569"",""S4 Totals!$A$2:$O$255""),14,FALSE)"),"")</f>
        <v/>
      </c>
      <c r="R21" s="110"/>
    </row>
    <row r="22">
      <c r="A22" s="128" t="s">
        <v>165</v>
      </c>
      <c r="B22" s="16">
        <f>IFERROR(__xludf.DUMMYFUNCTION("VLOOKUP(A22,IMPORTRANGE(""1aFCnJY1qhIj8-JckJhDJ18aqmVo17tofpQmOjcYa3u8/edit#gid=1878241338"",""S4 Totals!$A$2:$O$255""),2,FALSE)"),0.0)</f>
        <v>0</v>
      </c>
      <c r="C22" s="15">
        <f>IFERROR(__xludf.DUMMYFUNCTION("VLOOKUP(A22,IMPORTRANGE(""1aFCnJY1qhIj8-JckJhDJ18aqmVo17tofpQmOjcYa3u8/edit#gid=1878241338"",""S4 Totals!$A$2:$O$255""),3,FALSE)"),0.0)</f>
        <v>0</v>
      </c>
      <c r="D22" s="16">
        <f>IFERROR(__xludf.DUMMYFUNCTION("VLOOKUP(A22,IMPORTRANGE(""1QZ5UxyNCwadreQAXnQ7oCoH982DjIA-QnZdO7ZoqkC0/edit#gid=884617569"",""S4 Totals!$A$2:$O$255""),2,FALSE)"),0.0)</f>
        <v>0</v>
      </c>
      <c r="E22" s="15">
        <f>IFERROR(__xludf.DUMMYFUNCTION("VLOOKUP(A22,IMPORTRANGE(""1QZ5UxyNCwadreQAXnQ7oCoH982DjIA-QnZdO7ZoqkC0/edit#gid=884617569"",""S4 Totals!$A$2:$O$255""),3,FALSE)"),0.0)</f>
        <v>0</v>
      </c>
      <c r="F22" s="146">
        <f t="shared" si="1"/>
        <v>0</v>
      </c>
      <c r="G22" s="16">
        <f>IFERROR(__xludf.DUMMYFUNCTION("VLOOKUP(A22,IMPORTRANGE(""1QZ5UxyNCwadreQAXnQ7oCoH982DjIA-QnZdO7ZoqkC0/edit#gid=884617569"",""S4 Totals!$A$2:$O$255""),4,FALSE)"),2.0)</f>
        <v>2</v>
      </c>
      <c r="H22" s="15">
        <f>IFERROR(__xludf.DUMMYFUNCTION("VLOOKUP(A22,IMPORTRANGE(""1QZ5UxyNCwadreQAXnQ7oCoH982DjIA-QnZdO7ZoqkC0/edit#gid=884617569"",""S4 Totals!$A$2:$O$255""),5,FALSE)"),0.031746031746031744)</f>
        <v>0.03174603175</v>
      </c>
      <c r="I22" s="143"/>
      <c r="J22" s="16">
        <f>IFERROR(__xludf.DUMMYFUNCTION("VLOOKUP(A22,IMPORTRANGE(""1QZ5UxyNCwadreQAXnQ7oCoH982DjIA-QnZdO7ZoqkC0/edit#gid=884617569"",""S4 Totals!$A$2:$O$255""),7,FALSE)"),0.0)</f>
        <v>0</v>
      </c>
      <c r="K22" s="15">
        <f>IFERROR(__xludf.DUMMYFUNCTION("VLOOKUP(A22,IMPORTRANGE(""1QZ5UxyNCwadreQAXnQ7oCoH982DjIA-QnZdO7ZoqkC0/edit#gid=884617569"",""S4 Totals!$A$2:$O$255""),8,FALSE)"),0.0)</f>
        <v>0</v>
      </c>
      <c r="L22" s="147"/>
      <c r="M22" s="16" t="str">
        <f>IFERROR(__xludf.DUMMYFUNCTION("VLOOKUP(A22,IMPORTRANGE(""1QZ5UxyNCwadreQAXnQ7oCoH982DjIA-QnZdO7ZoqkC0/edit#gid=884617569"",""S4 Totals!$A$2:$O$255""),10,FALSE)"),"")</f>
        <v/>
      </c>
      <c r="N22" s="15" t="str">
        <f>IFERROR(__xludf.DUMMYFUNCTION("VLOOKUP(A22,IMPORTRANGE(""1QZ5UxyNCwadreQAXnQ7oCoH982DjIA-QnZdO7ZoqkC0/edit#gid=884617569"",""S4 Totals!$A$2:$O$255""),11,FALSE)"),"")</f>
        <v/>
      </c>
      <c r="O22" s="110"/>
      <c r="P22" s="16" t="str">
        <f>IFERROR(__xludf.DUMMYFUNCTION("VLOOKUP(A22,IMPORTRANGE(""1QZ5UxyNCwadreQAXnQ7oCoH982DjIA-QnZdO7ZoqkC0/edit#gid=884617569"",""S4 Totals!$A$2:$O$255""),13,FALSE)"),"")</f>
        <v/>
      </c>
      <c r="Q22" s="15" t="str">
        <f>IFERROR(__xludf.DUMMYFUNCTION("VLOOKUP(A22,IMPORTRANGE(""1QZ5UxyNCwadreQAXnQ7oCoH982DjIA-QnZdO7ZoqkC0/edit#gid=884617569"",""S4 Totals!$A$2:$O$255""),14,FALSE)"),"")</f>
        <v/>
      </c>
      <c r="R22" s="110"/>
    </row>
    <row r="23">
      <c r="A23" s="128" t="s">
        <v>213</v>
      </c>
      <c r="B23" s="16">
        <f>IFERROR(__xludf.DUMMYFUNCTION("VLOOKUP(A23,IMPORTRANGE(""1aFCnJY1qhIj8-JckJhDJ18aqmVo17tofpQmOjcYa3u8/edit#gid=1878241338"",""S4 Totals!$A$2:$O$255""),2,FALSE)"),0.0)</f>
        <v>0</v>
      </c>
      <c r="C23" s="15">
        <f>IFERROR(__xludf.DUMMYFUNCTION("VLOOKUP(A23,IMPORTRANGE(""1aFCnJY1qhIj8-JckJhDJ18aqmVo17tofpQmOjcYa3u8/edit#gid=1878241338"",""S4 Totals!$A$2:$O$255""),3,FALSE)"),0.0)</f>
        <v>0</v>
      </c>
      <c r="D23" s="16">
        <f>IFERROR(__xludf.DUMMYFUNCTION("VLOOKUP(A23,IMPORTRANGE(""1QZ5UxyNCwadreQAXnQ7oCoH982DjIA-QnZdO7ZoqkC0/edit#gid=884617569"",""S4 Totals!$A$2:$O$255""),2,FALSE)"),0.0)</f>
        <v>0</v>
      </c>
      <c r="E23" s="15">
        <f>IFERROR(__xludf.DUMMYFUNCTION("VLOOKUP(A23,IMPORTRANGE(""1QZ5UxyNCwadreQAXnQ7oCoH982DjIA-QnZdO7ZoqkC0/edit#gid=884617569"",""S4 Totals!$A$2:$O$255""),3,FALSE)"),0.0)</f>
        <v>0</v>
      </c>
      <c r="F23" s="146">
        <f t="shared" si="1"/>
        <v>0</v>
      </c>
      <c r="G23" s="16">
        <f>IFERROR(__xludf.DUMMYFUNCTION("VLOOKUP(A23,IMPORTRANGE(""1QZ5UxyNCwadreQAXnQ7oCoH982DjIA-QnZdO7ZoqkC0/edit#gid=884617569"",""S4 Totals!$A$2:$O$255""),4,FALSE)"),0.0)</f>
        <v>0</v>
      </c>
      <c r="H23" s="15">
        <f>IFERROR(__xludf.DUMMYFUNCTION("VLOOKUP(A23,IMPORTRANGE(""1QZ5UxyNCwadreQAXnQ7oCoH982DjIA-QnZdO7ZoqkC0/edit#gid=884617569"",""S4 Totals!$A$2:$O$255""),5,FALSE)"),0.0)</f>
        <v>0</v>
      </c>
      <c r="I23" s="143"/>
      <c r="J23" s="16" t="str">
        <f>IFERROR(__xludf.DUMMYFUNCTION("VLOOKUP(A23,IMPORTRANGE(""1QZ5UxyNCwadreQAXnQ7oCoH982DjIA-QnZdO7ZoqkC0/edit#gid=884617569"",""S4 Totals!$A$2:$O$255""),7,FALSE)"),"")</f>
        <v/>
      </c>
      <c r="K23" s="15" t="str">
        <f>IFERROR(__xludf.DUMMYFUNCTION("VLOOKUP(A23,IMPORTRANGE(""1QZ5UxyNCwadreQAXnQ7oCoH982DjIA-QnZdO7ZoqkC0/edit#gid=884617569"",""S4 Totals!$A$2:$O$255""),8,FALSE)"),"")</f>
        <v/>
      </c>
      <c r="L23" s="147"/>
      <c r="M23" s="16" t="str">
        <f>IFERROR(__xludf.DUMMYFUNCTION("VLOOKUP(A23,IMPORTRANGE(""1QZ5UxyNCwadreQAXnQ7oCoH982DjIA-QnZdO7ZoqkC0/edit#gid=884617569"",""S4 Totals!$A$2:$O$255""),10,FALSE)"),"")</f>
        <v/>
      </c>
      <c r="N23" s="15" t="str">
        <f>IFERROR(__xludf.DUMMYFUNCTION("VLOOKUP(A23,IMPORTRANGE(""1QZ5UxyNCwadreQAXnQ7oCoH982DjIA-QnZdO7ZoqkC0/edit#gid=884617569"",""S4 Totals!$A$2:$O$255""),11,FALSE)"),"")</f>
        <v/>
      </c>
      <c r="O23" s="110"/>
      <c r="P23" s="16" t="str">
        <f>IFERROR(__xludf.DUMMYFUNCTION("VLOOKUP(A23,IMPORTRANGE(""1QZ5UxyNCwadreQAXnQ7oCoH982DjIA-QnZdO7ZoqkC0/edit#gid=884617569"",""S4 Totals!$A$2:$O$255""),13,FALSE)"),"")</f>
        <v/>
      </c>
      <c r="Q23" s="15" t="str">
        <f>IFERROR(__xludf.DUMMYFUNCTION("VLOOKUP(A23,IMPORTRANGE(""1QZ5UxyNCwadreQAXnQ7oCoH982DjIA-QnZdO7ZoqkC0/edit#gid=884617569"",""S4 Totals!$A$2:$O$255""),14,FALSE)"),"")</f>
        <v/>
      </c>
      <c r="R23" s="110"/>
    </row>
    <row r="24">
      <c r="A24" s="128" t="s">
        <v>31</v>
      </c>
      <c r="B24" s="16">
        <f>IFERROR(__xludf.DUMMYFUNCTION("VLOOKUP(A24,IMPORTRANGE(""1aFCnJY1qhIj8-JckJhDJ18aqmVo17tofpQmOjcYa3u8/edit#gid=1878241338"",""S4 Totals!$A$2:$O$255""),2,FALSE)"),22.0)</f>
        <v>22</v>
      </c>
      <c r="C24" s="15">
        <f>IFERROR(__xludf.DUMMYFUNCTION("VLOOKUP(A24,IMPORTRANGE(""1aFCnJY1qhIj8-JckJhDJ18aqmVo17tofpQmOjcYa3u8/edit#gid=1878241338"",""S4 Totals!$A$2:$O$255""),3,FALSE)"),0.44)</f>
        <v>0.44</v>
      </c>
      <c r="D24" s="16">
        <f>IFERROR(__xludf.DUMMYFUNCTION("VLOOKUP(A24,IMPORTRANGE(""1QZ5UxyNCwadreQAXnQ7oCoH982DjIA-QnZdO7ZoqkC0/edit#gid=884617569"",""S4 Totals!$A$2:$O$255""),2,FALSE)"),16.0)</f>
        <v>16</v>
      </c>
      <c r="E24" s="15">
        <f>IFERROR(__xludf.DUMMYFUNCTION("VLOOKUP(A24,IMPORTRANGE(""1QZ5UxyNCwadreQAXnQ7oCoH982DjIA-QnZdO7ZoqkC0/edit#gid=884617569"",""S4 Totals!$A$2:$O$255""),3,FALSE)"),0.3404255319148936)</f>
        <v>0.3404255319</v>
      </c>
      <c r="F24" s="146">
        <f t="shared" si="1"/>
        <v>0.09957446809</v>
      </c>
      <c r="G24" s="16">
        <f>IFERROR(__xludf.DUMMYFUNCTION("VLOOKUP(A24,IMPORTRANGE(""1QZ5UxyNCwadreQAXnQ7oCoH982DjIA-QnZdO7ZoqkC0/edit#gid=884617569"",""S4 Totals!$A$2:$O$255""),4,FALSE)"),25.0)</f>
        <v>25</v>
      </c>
      <c r="H24" s="15">
        <f>IFERROR(__xludf.DUMMYFUNCTION("VLOOKUP(A24,IMPORTRANGE(""1QZ5UxyNCwadreQAXnQ7oCoH982DjIA-QnZdO7ZoqkC0/edit#gid=884617569"",""S4 Totals!$A$2:$O$255""),5,FALSE)"),0.3968253968253968)</f>
        <v>0.3968253968</v>
      </c>
      <c r="I24" s="143"/>
      <c r="J24" s="16">
        <f>IFERROR(__xludf.DUMMYFUNCTION("VLOOKUP(A24,IMPORTRANGE(""1QZ5UxyNCwadreQAXnQ7oCoH982DjIA-QnZdO7ZoqkC0/edit#gid=884617569"",""S4 Totals!$A$2:$O$255""),7,FALSE)"),29.0)</f>
        <v>29</v>
      </c>
      <c r="K24" s="15">
        <f>IFERROR(__xludf.DUMMYFUNCTION("VLOOKUP(A24,IMPORTRANGE(""1QZ5UxyNCwadreQAXnQ7oCoH982DjIA-QnZdO7ZoqkC0/edit#gid=884617569"",""S4 Totals!$A$2:$O$255""),8,FALSE)"),0.4142857142857143)</f>
        <v>0.4142857143</v>
      </c>
      <c r="L24" s="147"/>
      <c r="M24" s="16">
        <f>IFERROR(__xludf.DUMMYFUNCTION("VLOOKUP(A24,IMPORTRANGE(""1QZ5UxyNCwadreQAXnQ7oCoH982DjIA-QnZdO7ZoqkC0/edit#gid=884617569"",""S4 Totals!$A$2:$O$255""),10,FALSE)"),28.0)</f>
        <v>28</v>
      </c>
      <c r="N24" s="15">
        <f>IFERROR(__xludf.DUMMYFUNCTION("VLOOKUP(A24,IMPORTRANGE(""1QZ5UxyNCwadreQAXnQ7oCoH982DjIA-QnZdO7ZoqkC0/edit#gid=884617569"",""S4 Totals!$A$2:$O$255""),11,FALSE)"),0.3783783783783784)</f>
        <v>0.3783783784</v>
      </c>
      <c r="O24" s="110"/>
      <c r="P24" s="16">
        <f>IFERROR(__xludf.DUMMYFUNCTION("VLOOKUP(A24,IMPORTRANGE(""1QZ5UxyNCwadreQAXnQ7oCoH982DjIA-QnZdO7ZoqkC0/edit#gid=884617569"",""S4 Totals!$A$2:$O$255""),13,FALSE)"),23.0)</f>
        <v>23</v>
      </c>
      <c r="Q24" s="15">
        <f>IFERROR(__xludf.DUMMYFUNCTION("VLOOKUP(A24,IMPORTRANGE(""1QZ5UxyNCwadreQAXnQ7oCoH982DjIA-QnZdO7ZoqkC0/edit#gid=884617569"",""S4 Totals!$A$2:$O$255""),14,FALSE)"),0.30666666666666664)</f>
        <v>0.3066666667</v>
      </c>
      <c r="R24" s="110"/>
    </row>
    <row r="25">
      <c r="A25" s="128" t="s">
        <v>214</v>
      </c>
      <c r="B25" s="16">
        <f>IFERROR(__xludf.DUMMYFUNCTION("VLOOKUP(A25,IMPORTRANGE(""1aFCnJY1qhIj8-JckJhDJ18aqmVo17tofpQmOjcYa3u8/edit#gid=1878241338"",""S4 Totals!$A$2:$O$255""),2,FALSE)"),0.0)</f>
        <v>0</v>
      </c>
      <c r="C25" s="15">
        <f>IFERROR(__xludf.DUMMYFUNCTION("VLOOKUP(A25,IMPORTRANGE(""1aFCnJY1qhIj8-JckJhDJ18aqmVo17tofpQmOjcYa3u8/edit#gid=1878241338"",""S4 Totals!$A$2:$O$255""),3,FALSE)"),0.0)</f>
        <v>0</v>
      </c>
      <c r="D25" s="16">
        <f>IFERROR(__xludf.DUMMYFUNCTION("VLOOKUP(A25,IMPORTRANGE(""1QZ5UxyNCwadreQAXnQ7oCoH982DjIA-QnZdO7ZoqkC0/edit#gid=884617569"",""S4 Totals!$A$2:$O$255""),2,FALSE)"),0.0)</f>
        <v>0</v>
      </c>
      <c r="E25" s="15">
        <f>IFERROR(__xludf.DUMMYFUNCTION("VLOOKUP(A25,IMPORTRANGE(""1QZ5UxyNCwadreQAXnQ7oCoH982DjIA-QnZdO7ZoqkC0/edit#gid=884617569"",""S4 Totals!$A$2:$O$255""),3,FALSE)"),0.0)</f>
        <v>0</v>
      </c>
      <c r="F25" s="146">
        <f t="shared" si="1"/>
        <v>0</v>
      </c>
      <c r="G25" s="16">
        <f>IFERROR(__xludf.DUMMYFUNCTION("VLOOKUP(A25,IMPORTRANGE(""1QZ5UxyNCwadreQAXnQ7oCoH982DjIA-QnZdO7ZoqkC0/edit#gid=884617569"",""S4 Totals!$A$2:$O$255""),4,FALSE)"),0.0)</f>
        <v>0</v>
      </c>
      <c r="H25" s="15">
        <f>IFERROR(__xludf.DUMMYFUNCTION("VLOOKUP(A25,IMPORTRANGE(""1QZ5UxyNCwadreQAXnQ7oCoH982DjIA-QnZdO7ZoqkC0/edit#gid=884617569"",""S4 Totals!$A$2:$O$255""),5,FALSE)"),0.0)</f>
        <v>0</v>
      </c>
      <c r="I25" s="143"/>
      <c r="J25" s="16" t="str">
        <f>IFERROR(__xludf.DUMMYFUNCTION("VLOOKUP(A25,IMPORTRANGE(""1QZ5UxyNCwadreQAXnQ7oCoH982DjIA-QnZdO7ZoqkC0/edit#gid=884617569"",""S4 Totals!$A$2:$O$255""),7,FALSE)"),"")</f>
        <v/>
      </c>
      <c r="K25" s="15" t="str">
        <f>IFERROR(__xludf.DUMMYFUNCTION("VLOOKUP(A25,IMPORTRANGE(""1QZ5UxyNCwadreQAXnQ7oCoH982DjIA-QnZdO7ZoqkC0/edit#gid=884617569"",""S4 Totals!$A$2:$O$255""),8,FALSE)"),"")</f>
        <v/>
      </c>
      <c r="L25" s="147"/>
      <c r="M25" s="16" t="str">
        <f>IFERROR(__xludf.DUMMYFUNCTION("VLOOKUP(A25,IMPORTRANGE(""1QZ5UxyNCwadreQAXnQ7oCoH982DjIA-QnZdO7ZoqkC0/edit#gid=884617569"",""S4 Totals!$A$2:$O$255""),10,FALSE)"),"")</f>
        <v/>
      </c>
      <c r="N25" s="15" t="str">
        <f>IFERROR(__xludf.DUMMYFUNCTION("VLOOKUP(A25,IMPORTRANGE(""1QZ5UxyNCwadreQAXnQ7oCoH982DjIA-QnZdO7ZoqkC0/edit#gid=884617569"",""S4 Totals!$A$2:$O$255""),11,FALSE)"),"")</f>
        <v/>
      </c>
      <c r="O25" s="110"/>
      <c r="P25" s="16" t="str">
        <f>IFERROR(__xludf.DUMMYFUNCTION("VLOOKUP(A25,IMPORTRANGE(""1QZ5UxyNCwadreQAXnQ7oCoH982DjIA-QnZdO7ZoqkC0/edit#gid=884617569"",""S4 Totals!$A$2:$O$255""),13,FALSE)"),"")</f>
        <v/>
      </c>
      <c r="Q25" s="15" t="str">
        <f>IFERROR(__xludf.DUMMYFUNCTION("VLOOKUP(A25,IMPORTRANGE(""1QZ5UxyNCwadreQAXnQ7oCoH982DjIA-QnZdO7ZoqkC0/edit#gid=884617569"",""S4 Totals!$A$2:$O$255""),14,FALSE)"),"")</f>
        <v/>
      </c>
      <c r="R25" s="110"/>
    </row>
    <row r="26">
      <c r="A26" s="128" t="s">
        <v>215</v>
      </c>
      <c r="B26" s="16">
        <f>IFERROR(__xludf.DUMMYFUNCTION("VLOOKUP(A26,IMPORTRANGE(""1aFCnJY1qhIj8-JckJhDJ18aqmVo17tofpQmOjcYa3u8/edit#gid=1878241338"",""S4 Totals!$A$2:$O$255""),2,FALSE)"),15.0)</f>
        <v>15</v>
      </c>
      <c r="C26" s="15">
        <f>IFERROR(__xludf.DUMMYFUNCTION("VLOOKUP(A26,IMPORTRANGE(""1aFCnJY1qhIj8-JckJhDJ18aqmVo17tofpQmOjcYa3u8/edit#gid=1878241338"",""S4 Totals!$A$2:$O$255""),3,FALSE)"),0.3)</f>
        <v>0.3</v>
      </c>
      <c r="D26" s="16">
        <f>IFERROR(__xludf.DUMMYFUNCTION("VLOOKUP(A26,IMPORTRANGE(""1QZ5UxyNCwadreQAXnQ7oCoH982DjIA-QnZdO7ZoqkC0/edit#gid=884617569"",""S4 Totals!$A$2:$O$255""),2,FALSE)"),18.0)</f>
        <v>18</v>
      </c>
      <c r="E26" s="15">
        <f>IFERROR(__xludf.DUMMYFUNCTION("VLOOKUP(A26,IMPORTRANGE(""1QZ5UxyNCwadreQAXnQ7oCoH982DjIA-QnZdO7ZoqkC0/edit#gid=884617569"",""S4 Totals!$A$2:$O$255""),3,FALSE)"),0.3829787234042553)</f>
        <v>0.3829787234</v>
      </c>
      <c r="F26" s="146">
        <f t="shared" si="1"/>
        <v>-0.0829787234</v>
      </c>
      <c r="G26" s="16">
        <f>IFERROR(__xludf.DUMMYFUNCTION("VLOOKUP(A26,IMPORTRANGE(""1QZ5UxyNCwadreQAXnQ7oCoH982DjIA-QnZdO7ZoqkC0/edit#gid=884617569"",""S4 Totals!$A$2:$O$255""),4,FALSE)"),22.0)</f>
        <v>22</v>
      </c>
      <c r="H26" s="15">
        <f>IFERROR(__xludf.DUMMYFUNCTION("VLOOKUP(A26,IMPORTRANGE(""1QZ5UxyNCwadreQAXnQ7oCoH982DjIA-QnZdO7ZoqkC0/edit#gid=884617569"",""S4 Totals!$A$2:$O$255""),5,FALSE)"),0.3492063492063492)</f>
        <v>0.3492063492</v>
      </c>
      <c r="I26" s="143"/>
      <c r="J26" s="16" t="str">
        <f>IFERROR(__xludf.DUMMYFUNCTION("VLOOKUP(A26,IMPORTRANGE(""1QZ5UxyNCwadreQAXnQ7oCoH982DjIA-QnZdO7ZoqkC0/edit#gid=884617569"",""S4 Totals!$A$2:$O$255""),7,FALSE)"),"")</f>
        <v/>
      </c>
      <c r="K26" s="15" t="str">
        <f>IFERROR(__xludf.DUMMYFUNCTION("VLOOKUP(A26,IMPORTRANGE(""1QZ5UxyNCwadreQAXnQ7oCoH982DjIA-QnZdO7ZoqkC0/edit#gid=884617569"",""S4 Totals!$A$2:$O$255""),8,FALSE)"),"")</f>
        <v/>
      </c>
      <c r="L26" s="147"/>
      <c r="M26" s="16" t="str">
        <f>IFERROR(__xludf.DUMMYFUNCTION("VLOOKUP(A26,IMPORTRANGE(""1QZ5UxyNCwadreQAXnQ7oCoH982DjIA-QnZdO7ZoqkC0/edit#gid=884617569"",""S4 Totals!$A$2:$O$255""),10,FALSE)"),"")</f>
        <v/>
      </c>
      <c r="N26" s="15" t="str">
        <f>IFERROR(__xludf.DUMMYFUNCTION("VLOOKUP(A26,IMPORTRANGE(""1QZ5UxyNCwadreQAXnQ7oCoH982DjIA-QnZdO7ZoqkC0/edit#gid=884617569"",""S4 Totals!$A$2:$O$255""),11,FALSE)"),"")</f>
        <v/>
      </c>
      <c r="O26" s="110"/>
      <c r="P26" s="16" t="str">
        <f>IFERROR(__xludf.DUMMYFUNCTION("VLOOKUP(A26,IMPORTRANGE(""1QZ5UxyNCwadreQAXnQ7oCoH982DjIA-QnZdO7ZoqkC0/edit#gid=884617569"",""S4 Totals!$A$2:$O$255""),13,FALSE)"),"")</f>
        <v/>
      </c>
      <c r="Q26" s="15" t="str">
        <f>IFERROR(__xludf.DUMMYFUNCTION("VLOOKUP(A26,IMPORTRANGE(""1QZ5UxyNCwadreQAXnQ7oCoH982DjIA-QnZdO7ZoqkC0/edit#gid=884617569"",""S4 Totals!$A$2:$O$255""),14,FALSE)"),"")</f>
        <v/>
      </c>
      <c r="R26" s="110"/>
    </row>
    <row r="27">
      <c r="A27" s="128" t="s">
        <v>216</v>
      </c>
      <c r="B27" s="16">
        <f>IFERROR(__xludf.DUMMYFUNCTION("VLOOKUP(A27,IMPORTRANGE(""1aFCnJY1qhIj8-JckJhDJ18aqmVo17tofpQmOjcYa3u8/edit#gid=1878241338"",""S4 Totals!$A$2:$O$255""),2,FALSE)"),3.0)</f>
        <v>3</v>
      </c>
      <c r="C27" s="15">
        <f>IFERROR(__xludf.DUMMYFUNCTION("VLOOKUP(A27,IMPORTRANGE(""1aFCnJY1qhIj8-JckJhDJ18aqmVo17tofpQmOjcYa3u8/edit#gid=1878241338"",""S4 Totals!$A$2:$O$255""),3,FALSE)"),0.06)</f>
        <v>0.06</v>
      </c>
      <c r="D27" s="16">
        <f>IFERROR(__xludf.DUMMYFUNCTION("VLOOKUP(A27,IMPORTRANGE(""1QZ5UxyNCwadreQAXnQ7oCoH982DjIA-QnZdO7ZoqkC0/edit#gid=884617569"",""S4 Totals!$A$2:$O$255""),2,FALSE)"),0.0)</f>
        <v>0</v>
      </c>
      <c r="E27" s="15">
        <f>IFERROR(__xludf.DUMMYFUNCTION("VLOOKUP(A27,IMPORTRANGE(""1QZ5UxyNCwadreQAXnQ7oCoH982DjIA-QnZdO7ZoqkC0/edit#gid=884617569"",""S4 Totals!$A$2:$O$255""),3,FALSE)"),0.0)</f>
        <v>0</v>
      </c>
      <c r="F27" s="146">
        <f t="shared" si="1"/>
        <v>0.06</v>
      </c>
      <c r="G27" s="16">
        <f>IFERROR(__xludf.DUMMYFUNCTION("VLOOKUP(A27,IMPORTRANGE(""1QZ5UxyNCwadreQAXnQ7oCoH982DjIA-QnZdO7ZoqkC0/edit#gid=884617569"",""S4 Totals!$A$2:$O$255""),4,FALSE)"),4.0)</f>
        <v>4</v>
      </c>
      <c r="H27" s="15">
        <f>IFERROR(__xludf.DUMMYFUNCTION("VLOOKUP(A27,IMPORTRANGE(""1QZ5UxyNCwadreQAXnQ7oCoH982DjIA-QnZdO7ZoqkC0/edit#gid=884617569"",""S4 Totals!$A$2:$O$255""),5,FALSE)"),0.06349206349206349)</f>
        <v>0.06349206349</v>
      </c>
      <c r="I27" s="143"/>
      <c r="J27" s="16" t="str">
        <f>IFERROR(__xludf.DUMMYFUNCTION("VLOOKUP(A27,IMPORTRANGE(""1QZ5UxyNCwadreQAXnQ7oCoH982DjIA-QnZdO7ZoqkC0/edit#gid=884617569"",""S4 Totals!$A$2:$O$255""),7,FALSE)"),"")</f>
        <v/>
      </c>
      <c r="K27" s="15" t="str">
        <f>IFERROR(__xludf.DUMMYFUNCTION("VLOOKUP(A27,IMPORTRANGE(""1QZ5UxyNCwadreQAXnQ7oCoH982DjIA-QnZdO7ZoqkC0/edit#gid=884617569"",""S4 Totals!$A$2:$O$255""),8,FALSE)"),"")</f>
        <v/>
      </c>
      <c r="L27" s="147"/>
      <c r="M27" s="16" t="str">
        <f>IFERROR(__xludf.DUMMYFUNCTION("VLOOKUP(A27,IMPORTRANGE(""1QZ5UxyNCwadreQAXnQ7oCoH982DjIA-QnZdO7ZoqkC0/edit#gid=884617569"",""S4 Totals!$A$2:$O$255""),10,FALSE)"),"")</f>
        <v/>
      </c>
      <c r="N27" s="15" t="str">
        <f>IFERROR(__xludf.DUMMYFUNCTION("VLOOKUP(A27,IMPORTRANGE(""1QZ5UxyNCwadreQAXnQ7oCoH982DjIA-QnZdO7ZoqkC0/edit#gid=884617569"",""S4 Totals!$A$2:$O$255""),11,FALSE)"),"")</f>
        <v/>
      </c>
      <c r="O27" s="110"/>
      <c r="P27" s="16" t="str">
        <f>IFERROR(__xludf.DUMMYFUNCTION("VLOOKUP(A27,IMPORTRANGE(""1QZ5UxyNCwadreQAXnQ7oCoH982DjIA-QnZdO7ZoqkC0/edit#gid=884617569"",""S4 Totals!$A$2:$O$255""),13,FALSE)"),"")</f>
        <v/>
      </c>
      <c r="Q27" s="15" t="str">
        <f>IFERROR(__xludf.DUMMYFUNCTION("VLOOKUP(A27,IMPORTRANGE(""1QZ5UxyNCwadreQAXnQ7oCoH982DjIA-QnZdO7ZoqkC0/edit#gid=884617569"",""S4 Totals!$A$2:$O$255""),14,FALSE)"),"")</f>
        <v/>
      </c>
      <c r="R27" s="110"/>
    </row>
    <row r="28">
      <c r="A28" s="128" t="s">
        <v>114</v>
      </c>
      <c r="B28" s="16">
        <f>IFERROR(__xludf.DUMMYFUNCTION("VLOOKUP(A28,IMPORTRANGE(""1aFCnJY1qhIj8-JckJhDJ18aqmVo17tofpQmOjcYa3u8/edit#gid=1878241338"",""S4 Totals!$A$2:$O$255""),2,FALSE)"),1.0)</f>
        <v>1</v>
      </c>
      <c r="C28" s="15">
        <f>IFERROR(__xludf.DUMMYFUNCTION("VLOOKUP(A28,IMPORTRANGE(""1aFCnJY1qhIj8-JckJhDJ18aqmVo17tofpQmOjcYa3u8/edit#gid=1878241338"",""S4 Totals!$A$2:$O$255""),3,FALSE)"),0.02)</f>
        <v>0.02</v>
      </c>
      <c r="D28" s="16">
        <f>IFERROR(__xludf.DUMMYFUNCTION("VLOOKUP(A28,IMPORTRANGE(""1QZ5UxyNCwadreQAXnQ7oCoH982DjIA-QnZdO7ZoqkC0/edit#gid=884617569"",""S4 Totals!$A$2:$O$255""),2,FALSE)"),5.0)</f>
        <v>5</v>
      </c>
      <c r="E28" s="15">
        <f>IFERROR(__xludf.DUMMYFUNCTION("VLOOKUP(A28,IMPORTRANGE(""1QZ5UxyNCwadreQAXnQ7oCoH982DjIA-QnZdO7ZoqkC0/edit#gid=884617569"",""S4 Totals!$A$2:$O$255""),3,FALSE)"),0.10638297872340426)</f>
        <v>0.1063829787</v>
      </c>
      <c r="F28" s="146">
        <f t="shared" si="1"/>
        <v>-0.08638297872</v>
      </c>
      <c r="G28" s="16">
        <f>IFERROR(__xludf.DUMMYFUNCTION("VLOOKUP(A28,IMPORTRANGE(""1QZ5UxyNCwadreQAXnQ7oCoH982DjIA-QnZdO7ZoqkC0/edit#gid=884617569"",""S4 Totals!$A$2:$O$255""),4,FALSE)"),7.0)</f>
        <v>7</v>
      </c>
      <c r="H28" s="15">
        <f>IFERROR(__xludf.DUMMYFUNCTION("VLOOKUP(A28,IMPORTRANGE(""1QZ5UxyNCwadreQAXnQ7oCoH982DjIA-QnZdO7ZoqkC0/edit#gid=884617569"",""S4 Totals!$A$2:$O$255""),5,FALSE)"),0.1111111111111111)</f>
        <v>0.1111111111</v>
      </c>
      <c r="I28" s="143"/>
      <c r="J28" s="16">
        <f>IFERROR(__xludf.DUMMYFUNCTION("VLOOKUP(A28,IMPORTRANGE(""1QZ5UxyNCwadreQAXnQ7oCoH982DjIA-QnZdO7ZoqkC0/edit#gid=884617569"",""S4 Totals!$A$2:$O$255""),7,FALSE)"),6.0)</f>
        <v>6</v>
      </c>
      <c r="K28" s="15">
        <f>IFERROR(__xludf.DUMMYFUNCTION("VLOOKUP(A28,IMPORTRANGE(""1QZ5UxyNCwadreQAXnQ7oCoH982DjIA-QnZdO7ZoqkC0/edit#gid=884617569"",""S4 Totals!$A$2:$O$255""),8,FALSE)"),0.08571428571428572)</f>
        <v>0.08571428571</v>
      </c>
      <c r="L28" s="147"/>
      <c r="M28" s="16">
        <f>IFERROR(__xludf.DUMMYFUNCTION("VLOOKUP(A28,IMPORTRANGE(""1QZ5UxyNCwadreQAXnQ7oCoH982DjIA-QnZdO7ZoqkC0/edit#gid=884617569"",""S4 Totals!$A$2:$O$255""),10,FALSE)"),13.0)</f>
        <v>13</v>
      </c>
      <c r="N28" s="15">
        <f>IFERROR(__xludf.DUMMYFUNCTION("VLOOKUP(A28,IMPORTRANGE(""1QZ5UxyNCwadreQAXnQ7oCoH982DjIA-QnZdO7ZoqkC0/edit#gid=884617569"",""S4 Totals!$A$2:$O$255""),11,FALSE)"),0.17567567567567569)</f>
        <v>0.1756756757</v>
      </c>
      <c r="O28" s="110"/>
      <c r="P28" s="16" t="str">
        <f>IFERROR(__xludf.DUMMYFUNCTION("VLOOKUP(A28,IMPORTRANGE(""1QZ5UxyNCwadreQAXnQ7oCoH982DjIA-QnZdO7ZoqkC0/edit#gid=884617569"",""S4 Totals!$A$2:$O$255""),13,FALSE)"),"")</f>
        <v/>
      </c>
      <c r="Q28" s="15" t="str">
        <f>IFERROR(__xludf.DUMMYFUNCTION("VLOOKUP(A28,IMPORTRANGE(""1QZ5UxyNCwadreQAXnQ7oCoH982DjIA-QnZdO7ZoqkC0/edit#gid=884617569"",""S4 Totals!$A$2:$O$255""),14,FALSE)"),"")</f>
        <v/>
      </c>
      <c r="R28" s="110"/>
    </row>
    <row r="29">
      <c r="A29" s="128" t="s">
        <v>115</v>
      </c>
      <c r="B29" s="16">
        <f>IFERROR(__xludf.DUMMYFUNCTION("VLOOKUP(A29,IMPORTRANGE(""1aFCnJY1qhIj8-JckJhDJ18aqmVo17tofpQmOjcYa3u8/edit#gid=1878241338"",""S4 Totals!$A$2:$O$255""),2,FALSE)"),18.0)</f>
        <v>18</v>
      </c>
      <c r="C29" s="15">
        <f>IFERROR(__xludf.DUMMYFUNCTION("VLOOKUP(A29,IMPORTRANGE(""1aFCnJY1qhIj8-JckJhDJ18aqmVo17tofpQmOjcYa3u8/edit#gid=1878241338"",""S4 Totals!$A$2:$O$255""),3,FALSE)"),0.36)</f>
        <v>0.36</v>
      </c>
      <c r="D29" s="16">
        <f>IFERROR(__xludf.DUMMYFUNCTION("VLOOKUP(A29,IMPORTRANGE(""1QZ5UxyNCwadreQAXnQ7oCoH982DjIA-QnZdO7ZoqkC0/edit#gid=884617569"",""S4 Totals!$A$2:$O$255""),2,FALSE)"),14.0)</f>
        <v>14</v>
      </c>
      <c r="E29" s="15">
        <f>IFERROR(__xludf.DUMMYFUNCTION("VLOOKUP(A29,IMPORTRANGE(""1QZ5UxyNCwadreQAXnQ7oCoH982DjIA-QnZdO7ZoqkC0/edit#gid=884617569"",""S4 Totals!$A$2:$O$255""),3,FALSE)"),0.2978723404255319)</f>
        <v>0.2978723404</v>
      </c>
      <c r="F29" s="146">
        <f t="shared" si="1"/>
        <v>0.06212765957</v>
      </c>
      <c r="G29" s="16">
        <f>IFERROR(__xludf.DUMMYFUNCTION("VLOOKUP(A29,IMPORTRANGE(""1QZ5UxyNCwadreQAXnQ7oCoH982DjIA-QnZdO7ZoqkC0/edit#gid=884617569"",""S4 Totals!$A$2:$O$255""),4,FALSE)"),20.0)</f>
        <v>20</v>
      </c>
      <c r="H29" s="15">
        <f>IFERROR(__xludf.DUMMYFUNCTION("VLOOKUP(A29,IMPORTRANGE(""1QZ5UxyNCwadreQAXnQ7oCoH982DjIA-QnZdO7ZoqkC0/edit#gid=884617569"",""S4 Totals!$A$2:$O$255""),5,FALSE)"),0.31746031746031744)</f>
        <v>0.3174603175</v>
      </c>
      <c r="I29" s="143"/>
      <c r="J29" s="16">
        <f>IFERROR(__xludf.DUMMYFUNCTION("VLOOKUP(A29,IMPORTRANGE(""1QZ5UxyNCwadreQAXnQ7oCoH982DjIA-QnZdO7ZoqkC0/edit#gid=884617569"",""S4 Totals!$A$2:$O$255""),7,FALSE)"),10.0)</f>
        <v>10</v>
      </c>
      <c r="K29" s="15">
        <f>IFERROR(__xludf.DUMMYFUNCTION("VLOOKUP(A29,IMPORTRANGE(""1QZ5UxyNCwadreQAXnQ7oCoH982DjIA-QnZdO7ZoqkC0/edit#gid=884617569"",""S4 Totals!$A$2:$O$255""),8,FALSE)"),0.14285714285714285)</f>
        <v>0.1428571429</v>
      </c>
      <c r="L29" s="147"/>
      <c r="M29" s="16">
        <f>IFERROR(__xludf.DUMMYFUNCTION("VLOOKUP(A29,IMPORTRANGE(""1QZ5UxyNCwadreQAXnQ7oCoH982DjIA-QnZdO7ZoqkC0/edit#gid=884617569"",""S4 Totals!$A$2:$O$255""),10,FALSE)"),14.0)</f>
        <v>14</v>
      </c>
      <c r="N29" s="15">
        <f>IFERROR(__xludf.DUMMYFUNCTION("VLOOKUP(A29,IMPORTRANGE(""1QZ5UxyNCwadreQAXnQ7oCoH982DjIA-QnZdO7ZoqkC0/edit#gid=884617569"",""S4 Totals!$A$2:$O$255""),11,FALSE)"),0.1891891891891892)</f>
        <v>0.1891891892</v>
      </c>
      <c r="O29" s="110"/>
      <c r="P29" s="16" t="str">
        <f>IFERROR(__xludf.DUMMYFUNCTION("VLOOKUP(A29,IMPORTRANGE(""1QZ5UxyNCwadreQAXnQ7oCoH982DjIA-QnZdO7ZoqkC0/edit#gid=884617569"",""S4 Totals!$A$2:$O$255""),13,FALSE)"),"")</f>
        <v/>
      </c>
      <c r="Q29" s="15" t="str">
        <f>IFERROR(__xludf.DUMMYFUNCTION("VLOOKUP(A29,IMPORTRANGE(""1QZ5UxyNCwadreQAXnQ7oCoH982DjIA-QnZdO7ZoqkC0/edit#gid=884617569"",""S4 Totals!$A$2:$O$255""),14,FALSE)"),"")</f>
        <v/>
      </c>
      <c r="R29" s="110"/>
    </row>
    <row r="30">
      <c r="A30" s="128" t="s">
        <v>166</v>
      </c>
      <c r="B30" s="16">
        <f>IFERROR(__xludf.DUMMYFUNCTION("VLOOKUP(A30,IMPORTRANGE(""1aFCnJY1qhIj8-JckJhDJ18aqmVo17tofpQmOjcYa3u8/edit#gid=1878241338"",""S4 Totals!$A$2:$O$255""),2,FALSE)"),10.0)</f>
        <v>10</v>
      </c>
      <c r="C30" s="15">
        <f>IFERROR(__xludf.DUMMYFUNCTION("VLOOKUP(A30,IMPORTRANGE(""1aFCnJY1qhIj8-JckJhDJ18aqmVo17tofpQmOjcYa3u8/edit#gid=1878241338"",""S4 Totals!$A$2:$O$255""),3,FALSE)"),0.2)</f>
        <v>0.2</v>
      </c>
      <c r="D30" s="16">
        <f>IFERROR(__xludf.DUMMYFUNCTION("VLOOKUP(A30,IMPORTRANGE(""1QZ5UxyNCwadreQAXnQ7oCoH982DjIA-QnZdO7ZoqkC0/edit#gid=884617569"",""S4 Totals!$A$2:$O$255""),2,FALSE)"),6.0)</f>
        <v>6</v>
      </c>
      <c r="E30" s="15">
        <f>IFERROR(__xludf.DUMMYFUNCTION("VLOOKUP(A30,IMPORTRANGE(""1QZ5UxyNCwadreQAXnQ7oCoH982DjIA-QnZdO7ZoqkC0/edit#gid=884617569"",""S4 Totals!$A$2:$O$255""),3,FALSE)"),0.1276595744680851)</f>
        <v>0.1276595745</v>
      </c>
      <c r="F30" s="146">
        <f t="shared" si="1"/>
        <v>0.07234042553</v>
      </c>
      <c r="G30" s="16">
        <f>IFERROR(__xludf.DUMMYFUNCTION("VLOOKUP(A30,IMPORTRANGE(""1QZ5UxyNCwadreQAXnQ7oCoH982DjIA-QnZdO7ZoqkC0/edit#gid=884617569"",""S4 Totals!$A$2:$O$255""),4,FALSE)"),6.0)</f>
        <v>6</v>
      </c>
      <c r="H30" s="15">
        <f>IFERROR(__xludf.DUMMYFUNCTION("VLOOKUP(A30,IMPORTRANGE(""1QZ5UxyNCwadreQAXnQ7oCoH982DjIA-QnZdO7ZoqkC0/edit#gid=884617569"",""S4 Totals!$A$2:$O$255""),5,FALSE)"),0.09523809523809523)</f>
        <v>0.09523809524</v>
      </c>
      <c r="I30" s="143"/>
      <c r="J30" s="16">
        <f>IFERROR(__xludf.DUMMYFUNCTION("VLOOKUP(A30,IMPORTRANGE(""1QZ5UxyNCwadreQAXnQ7oCoH982DjIA-QnZdO7ZoqkC0/edit#gid=884617569"",""S4 Totals!$A$2:$O$255""),7,FALSE)"),8.0)</f>
        <v>8</v>
      </c>
      <c r="K30" s="15">
        <f>IFERROR(__xludf.DUMMYFUNCTION("VLOOKUP(A30,IMPORTRANGE(""1QZ5UxyNCwadreQAXnQ7oCoH982DjIA-QnZdO7ZoqkC0/edit#gid=884617569"",""S4 Totals!$A$2:$O$255""),8,FALSE)"),0.11428571428571428)</f>
        <v>0.1142857143</v>
      </c>
      <c r="L30" s="147"/>
      <c r="M30" s="16" t="str">
        <f>IFERROR(__xludf.DUMMYFUNCTION("VLOOKUP(A30,IMPORTRANGE(""1QZ5UxyNCwadreQAXnQ7oCoH982DjIA-QnZdO7ZoqkC0/edit#gid=884617569"",""S4 Totals!$A$2:$O$255""),10,FALSE)"),"")</f>
        <v/>
      </c>
      <c r="N30" s="15" t="str">
        <f>IFERROR(__xludf.DUMMYFUNCTION("VLOOKUP(A30,IMPORTRANGE(""1QZ5UxyNCwadreQAXnQ7oCoH982DjIA-QnZdO7ZoqkC0/edit#gid=884617569"",""S4 Totals!$A$2:$O$255""),11,FALSE)"),"")</f>
        <v/>
      </c>
      <c r="O30" s="110"/>
      <c r="P30" s="16" t="str">
        <f>IFERROR(__xludf.DUMMYFUNCTION("VLOOKUP(A30,IMPORTRANGE(""1QZ5UxyNCwadreQAXnQ7oCoH982DjIA-QnZdO7ZoqkC0/edit#gid=884617569"",""S4 Totals!$A$2:$O$255""),13,FALSE)"),"")</f>
        <v/>
      </c>
      <c r="Q30" s="15" t="str">
        <f>IFERROR(__xludf.DUMMYFUNCTION("VLOOKUP(A30,IMPORTRANGE(""1QZ5UxyNCwadreQAXnQ7oCoH982DjIA-QnZdO7ZoqkC0/edit#gid=884617569"",""S4 Totals!$A$2:$O$255""),14,FALSE)"),"")</f>
        <v/>
      </c>
      <c r="R30" s="110"/>
    </row>
    <row r="31">
      <c r="A31" s="128" t="s">
        <v>217</v>
      </c>
      <c r="B31" s="16">
        <f>IFERROR(__xludf.DUMMYFUNCTION("VLOOKUP(A31,IMPORTRANGE(""1aFCnJY1qhIj8-JckJhDJ18aqmVo17tofpQmOjcYa3u8/edit#gid=1878241338"",""S4 Totals!$A$2:$O$255""),2,FALSE)"),4.0)</f>
        <v>4</v>
      </c>
      <c r="C31" s="15">
        <f>IFERROR(__xludf.DUMMYFUNCTION("VLOOKUP(A31,IMPORTRANGE(""1aFCnJY1qhIj8-JckJhDJ18aqmVo17tofpQmOjcYa3u8/edit#gid=1878241338"",""S4 Totals!$A$2:$O$255""),3,FALSE)"),0.08)</f>
        <v>0.08</v>
      </c>
      <c r="D31" s="16">
        <f>IFERROR(__xludf.DUMMYFUNCTION("VLOOKUP(A31,IMPORTRANGE(""1QZ5UxyNCwadreQAXnQ7oCoH982DjIA-QnZdO7ZoqkC0/edit#gid=884617569"",""S4 Totals!$A$2:$O$255""),2,FALSE)"),1.0)</f>
        <v>1</v>
      </c>
      <c r="E31" s="15">
        <f>IFERROR(__xludf.DUMMYFUNCTION("VLOOKUP(A31,IMPORTRANGE(""1QZ5UxyNCwadreQAXnQ7oCoH982DjIA-QnZdO7ZoqkC0/edit#gid=884617569"",""S4 Totals!$A$2:$O$255""),3,FALSE)"),0.02127659574468085)</f>
        <v>0.02127659574</v>
      </c>
      <c r="F31" s="146">
        <f t="shared" si="1"/>
        <v>0.05872340426</v>
      </c>
      <c r="G31" s="16">
        <f>IFERROR(__xludf.DUMMYFUNCTION("VLOOKUP(A31,IMPORTRANGE(""1QZ5UxyNCwadreQAXnQ7oCoH982DjIA-QnZdO7ZoqkC0/edit#gid=884617569"",""S4 Totals!$A$2:$O$255""),4,FALSE)"),0.0)</f>
        <v>0</v>
      </c>
      <c r="H31" s="15">
        <f>IFERROR(__xludf.DUMMYFUNCTION("VLOOKUP(A31,IMPORTRANGE(""1QZ5UxyNCwadreQAXnQ7oCoH982DjIA-QnZdO7ZoqkC0/edit#gid=884617569"",""S4 Totals!$A$2:$O$255""),5,FALSE)"),0.0)</f>
        <v>0</v>
      </c>
      <c r="I31" s="143"/>
      <c r="J31" s="16" t="str">
        <f>IFERROR(__xludf.DUMMYFUNCTION("VLOOKUP(A31,IMPORTRANGE(""1QZ5UxyNCwadreQAXnQ7oCoH982DjIA-QnZdO7ZoqkC0/edit#gid=884617569"",""S4 Totals!$A$2:$O$255""),7,FALSE)"),"")</f>
        <v/>
      </c>
      <c r="K31" s="15" t="str">
        <f>IFERROR(__xludf.DUMMYFUNCTION("VLOOKUP(A31,IMPORTRANGE(""1QZ5UxyNCwadreQAXnQ7oCoH982DjIA-QnZdO7ZoqkC0/edit#gid=884617569"",""S4 Totals!$A$2:$O$255""),8,FALSE)"),"")</f>
        <v/>
      </c>
      <c r="L31" s="147"/>
      <c r="M31" s="16" t="str">
        <f>IFERROR(__xludf.DUMMYFUNCTION("VLOOKUP(A31,IMPORTRANGE(""1QZ5UxyNCwadreQAXnQ7oCoH982DjIA-QnZdO7ZoqkC0/edit#gid=884617569"",""S4 Totals!$A$2:$O$255""),10,FALSE)"),"")</f>
        <v/>
      </c>
      <c r="N31" s="15" t="str">
        <f>IFERROR(__xludf.DUMMYFUNCTION("VLOOKUP(A31,IMPORTRANGE(""1QZ5UxyNCwadreQAXnQ7oCoH982DjIA-QnZdO7ZoqkC0/edit#gid=884617569"",""S4 Totals!$A$2:$O$255""),11,FALSE)"),"")</f>
        <v/>
      </c>
      <c r="O31" s="110"/>
      <c r="P31" s="16" t="str">
        <f>IFERROR(__xludf.DUMMYFUNCTION("VLOOKUP(A31,IMPORTRANGE(""1QZ5UxyNCwadreQAXnQ7oCoH982DjIA-QnZdO7ZoqkC0/edit#gid=884617569"",""S4 Totals!$A$2:$O$255""),13,FALSE)"),"")</f>
        <v/>
      </c>
      <c r="Q31" s="15" t="str">
        <f>IFERROR(__xludf.DUMMYFUNCTION("VLOOKUP(A31,IMPORTRANGE(""1QZ5UxyNCwadreQAXnQ7oCoH982DjIA-QnZdO7ZoqkC0/edit#gid=884617569"",""S4 Totals!$A$2:$O$255""),14,FALSE)"),"")</f>
        <v/>
      </c>
      <c r="R31" s="110"/>
    </row>
    <row r="32">
      <c r="A32" s="128" t="s">
        <v>32</v>
      </c>
      <c r="B32" s="16">
        <f>IFERROR(__xludf.DUMMYFUNCTION("VLOOKUP(A32,IMPORTRANGE(""1aFCnJY1qhIj8-JckJhDJ18aqmVo17tofpQmOjcYa3u8/edit#gid=1878241338"",""S4 Totals!$A$2:$O$255""),2,FALSE)"),23.0)</f>
        <v>23</v>
      </c>
      <c r="C32" s="15">
        <f>IFERROR(__xludf.DUMMYFUNCTION("VLOOKUP(A32,IMPORTRANGE(""1aFCnJY1qhIj8-JckJhDJ18aqmVo17tofpQmOjcYa3u8/edit#gid=1878241338"",""S4 Totals!$A$2:$O$255""),3,FALSE)"),0.46)</f>
        <v>0.46</v>
      </c>
      <c r="D32" s="16">
        <f>IFERROR(__xludf.DUMMYFUNCTION("VLOOKUP(A32,IMPORTRANGE(""1QZ5UxyNCwadreQAXnQ7oCoH982DjIA-QnZdO7ZoqkC0/edit#gid=884617569"",""S4 Totals!$A$2:$O$255""),2,FALSE)"),21.0)</f>
        <v>21</v>
      </c>
      <c r="E32" s="15">
        <f>IFERROR(__xludf.DUMMYFUNCTION("VLOOKUP(A32,IMPORTRANGE(""1QZ5UxyNCwadreQAXnQ7oCoH982DjIA-QnZdO7ZoqkC0/edit#gid=884617569"",""S4 Totals!$A$2:$O$255""),3,FALSE)"),0.44680851063829785)</f>
        <v>0.4468085106</v>
      </c>
      <c r="F32" s="146">
        <f t="shared" si="1"/>
        <v>0.01319148936</v>
      </c>
      <c r="G32" s="16">
        <f>IFERROR(__xludf.DUMMYFUNCTION("VLOOKUP(A32,IMPORTRANGE(""1QZ5UxyNCwadreQAXnQ7oCoH982DjIA-QnZdO7ZoqkC0/edit#gid=884617569"",""S4 Totals!$A$2:$O$255""),4,FALSE)"),27.0)</f>
        <v>27</v>
      </c>
      <c r="H32" s="15">
        <f>IFERROR(__xludf.DUMMYFUNCTION("VLOOKUP(A32,IMPORTRANGE(""1QZ5UxyNCwadreQAXnQ7oCoH982DjIA-QnZdO7ZoqkC0/edit#gid=884617569"",""S4 Totals!$A$2:$O$255""),5,FALSE)"),0.42857142857142855)</f>
        <v>0.4285714286</v>
      </c>
      <c r="I32" s="143"/>
      <c r="J32" s="16">
        <f>IFERROR(__xludf.DUMMYFUNCTION("VLOOKUP(A32,IMPORTRANGE(""1QZ5UxyNCwadreQAXnQ7oCoH982DjIA-QnZdO7ZoqkC0/edit#gid=884617569"",""S4 Totals!$A$2:$O$255""),7,FALSE)"),20.0)</f>
        <v>20</v>
      </c>
      <c r="K32" s="15">
        <f>IFERROR(__xludf.DUMMYFUNCTION("VLOOKUP(A32,IMPORTRANGE(""1QZ5UxyNCwadreQAXnQ7oCoH982DjIA-QnZdO7ZoqkC0/edit#gid=884617569"",""S4 Totals!$A$2:$O$255""),8,FALSE)"),0.2857142857142857)</f>
        <v>0.2857142857</v>
      </c>
      <c r="L32" s="147"/>
      <c r="M32" s="16">
        <f>IFERROR(__xludf.DUMMYFUNCTION("VLOOKUP(A32,IMPORTRANGE(""1QZ5UxyNCwadreQAXnQ7oCoH982DjIA-QnZdO7ZoqkC0/edit#gid=884617569"",""S4 Totals!$A$2:$O$255""),10,FALSE)"),23.0)</f>
        <v>23</v>
      </c>
      <c r="N32" s="15">
        <f>IFERROR(__xludf.DUMMYFUNCTION("VLOOKUP(A32,IMPORTRANGE(""1QZ5UxyNCwadreQAXnQ7oCoH982DjIA-QnZdO7ZoqkC0/edit#gid=884617569"",""S4 Totals!$A$2:$O$255""),11,FALSE)"),0.3108108108108108)</f>
        <v>0.3108108108</v>
      </c>
      <c r="O32" s="110"/>
      <c r="P32" s="16">
        <f>IFERROR(__xludf.DUMMYFUNCTION("VLOOKUP(A32,IMPORTRANGE(""1QZ5UxyNCwadreQAXnQ7oCoH982DjIA-QnZdO7ZoqkC0/edit#gid=884617569"",""S4 Totals!$A$2:$O$255""),13,FALSE)"),17.0)</f>
        <v>17</v>
      </c>
      <c r="Q32" s="15">
        <f>IFERROR(__xludf.DUMMYFUNCTION("VLOOKUP(A32,IMPORTRANGE(""1QZ5UxyNCwadreQAXnQ7oCoH982DjIA-QnZdO7ZoqkC0/edit#gid=884617569"",""S4 Totals!$A$2:$O$255""),14,FALSE)"),0.22666666666666666)</f>
        <v>0.2266666667</v>
      </c>
      <c r="R32" s="110"/>
    </row>
    <row r="33">
      <c r="A33" s="148" t="s">
        <v>218</v>
      </c>
      <c r="B33" s="16">
        <f>IFERROR(__xludf.DUMMYFUNCTION("VLOOKUP(A33,IMPORTRANGE(""1aFCnJY1qhIj8-JckJhDJ18aqmVo17tofpQmOjcYa3u8/edit#gid=1878241338"",""S4 Totals!$A$2:$O$255""),2,FALSE)"),9.0)</f>
        <v>9</v>
      </c>
      <c r="C33" s="15">
        <f>IFERROR(__xludf.DUMMYFUNCTION("VLOOKUP(A33,IMPORTRANGE(""1aFCnJY1qhIj8-JckJhDJ18aqmVo17tofpQmOjcYa3u8/edit#gid=1878241338"",""S4 Totals!$A$2:$O$255""),3,FALSE)"),0.18)</f>
        <v>0.18</v>
      </c>
      <c r="D33" s="16">
        <f>IFERROR(__xludf.DUMMYFUNCTION("VLOOKUP(A33,IMPORTRANGE(""1QZ5UxyNCwadreQAXnQ7oCoH982DjIA-QnZdO7ZoqkC0/edit#gid=884617569"",""S4 Totals!$A$2:$O$255""),2,FALSE)"),9.0)</f>
        <v>9</v>
      </c>
      <c r="E33" s="15">
        <f>IFERROR(__xludf.DUMMYFUNCTION("VLOOKUP(A33,IMPORTRANGE(""1QZ5UxyNCwadreQAXnQ7oCoH982DjIA-QnZdO7ZoqkC0/edit#gid=884617569"",""S4 Totals!$A$2:$O$255""),3,FALSE)"),0.19148936170212766)</f>
        <v>0.1914893617</v>
      </c>
      <c r="F33" s="146">
        <f t="shared" si="1"/>
        <v>-0.0114893617</v>
      </c>
      <c r="G33" s="16">
        <f>IFERROR(__xludf.DUMMYFUNCTION("VLOOKUP(A33,IMPORTRANGE(""1QZ5UxyNCwadreQAXnQ7oCoH982DjIA-QnZdO7ZoqkC0/edit#gid=884617569"",""S4 Totals!$A$2:$O$255""),4,FALSE)"),14.0)</f>
        <v>14</v>
      </c>
      <c r="H33" s="15">
        <f>IFERROR(__xludf.DUMMYFUNCTION("VLOOKUP(A33,IMPORTRANGE(""1QZ5UxyNCwadreQAXnQ7oCoH982DjIA-QnZdO7ZoqkC0/edit#gid=884617569"",""S4 Totals!$A$2:$O$255""),5,FALSE)"),0.2222222222222222)</f>
        <v>0.2222222222</v>
      </c>
      <c r="I33" s="143"/>
      <c r="J33" s="16" t="str">
        <f>IFERROR(__xludf.DUMMYFUNCTION("VLOOKUP(A33,IMPORTRANGE(""1QZ5UxyNCwadreQAXnQ7oCoH982DjIA-QnZdO7ZoqkC0/edit#gid=884617569"",""S4 Totals!$A$2:$O$255""),7,FALSE)"),"")</f>
        <v/>
      </c>
      <c r="K33" s="15" t="str">
        <f>IFERROR(__xludf.DUMMYFUNCTION("VLOOKUP(A33,IMPORTRANGE(""1QZ5UxyNCwadreQAXnQ7oCoH982DjIA-QnZdO7ZoqkC0/edit#gid=884617569"",""S4 Totals!$A$2:$O$255""),8,FALSE)"),"")</f>
        <v/>
      </c>
      <c r="L33" s="147"/>
      <c r="M33" s="16" t="str">
        <f>IFERROR(__xludf.DUMMYFUNCTION("VLOOKUP(A33,IMPORTRANGE(""1QZ5UxyNCwadreQAXnQ7oCoH982DjIA-QnZdO7ZoqkC0/edit#gid=884617569"",""S4 Totals!$A$2:$O$255""),10,FALSE)"),"")</f>
        <v/>
      </c>
      <c r="N33" s="15" t="str">
        <f>IFERROR(__xludf.DUMMYFUNCTION("VLOOKUP(A33,IMPORTRANGE(""1QZ5UxyNCwadreQAXnQ7oCoH982DjIA-QnZdO7ZoqkC0/edit#gid=884617569"",""S4 Totals!$A$2:$O$255""),11,FALSE)"),"")</f>
        <v/>
      </c>
      <c r="O33" s="110"/>
      <c r="P33" s="16" t="str">
        <f>IFERROR(__xludf.DUMMYFUNCTION("VLOOKUP(A33,IMPORTRANGE(""1QZ5UxyNCwadreQAXnQ7oCoH982DjIA-QnZdO7ZoqkC0/edit#gid=884617569"",""S4 Totals!$A$2:$O$255""),13,FALSE)"),"")</f>
        <v/>
      </c>
      <c r="Q33" s="15" t="str">
        <f>IFERROR(__xludf.DUMMYFUNCTION("VLOOKUP(A33,IMPORTRANGE(""1QZ5UxyNCwadreQAXnQ7oCoH982DjIA-QnZdO7ZoqkC0/edit#gid=884617569"",""S4 Totals!$A$2:$O$255""),14,FALSE)"),"")</f>
        <v/>
      </c>
      <c r="R33" s="110"/>
    </row>
    <row r="34">
      <c r="A34" s="128" t="s">
        <v>167</v>
      </c>
      <c r="B34" s="16">
        <f>IFERROR(__xludf.DUMMYFUNCTION("VLOOKUP(A34,IMPORTRANGE(""1aFCnJY1qhIj8-JckJhDJ18aqmVo17tofpQmOjcYa3u8/edit#gid=1878241338"",""S4 Totals!$A$2:$O$255""),2,FALSE)"),10.0)</f>
        <v>10</v>
      </c>
      <c r="C34" s="15">
        <f>IFERROR(__xludf.DUMMYFUNCTION("VLOOKUP(A34,IMPORTRANGE(""1aFCnJY1qhIj8-JckJhDJ18aqmVo17tofpQmOjcYa3u8/edit#gid=1878241338"",""S4 Totals!$A$2:$O$255""),3,FALSE)"),0.2)</f>
        <v>0.2</v>
      </c>
      <c r="D34" s="16">
        <f>IFERROR(__xludf.DUMMYFUNCTION("VLOOKUP(A34,IMPORTRANGE(""1QZ5UxyNCwadreQAXnQ7oCoH982DjIA-QnZdO7ZoqkC0/edit#gid=884617569"",""S4 Totals!$A$2:$O$255""),2,FALSE)"),6.0)</f>
        <v>6</v>
      </c>
      <c r="E34" s="15">
        <f>IFERROR(__xludf.DUMMYFUNCTION("VLOOKUP(A34,IMPORTRANGE(""1QZ5UxyNCwadreQAXnQ7oCoH982DjIA-QnZdO7ZoqkC0/edit#gid=884617569"",""S4 Totals!$A$2:$O$255""),3,FALSE)"),0.1276595744680851)</f>
        <v>0.1276595745</v>
      </c>
      <c r="F34" s="146">
        <f t="shared" si="1"/>
        <v>0.07234042553</v>
      </c>
      <c r="G34" s="16">
        <f>IFERROR(__xludf.DUMMYFUNCTION("VLOOKUP(A34,IMPORTRANGE(""1QZ5UxyNCwadreQAXnQ7oCoH982DjIA-QnZdO7ZoqkC0/edit#gid=884617569"",""S4 Totals!$A$2:$O$255""),4,FALSE)"),6.0)</f>
        <v>6</v>
      </c>
      <c r="H34" s="15">
        <f>IFERROR(__xludf.DUMMYFUNCTION("VLOOKUP(A34,IMPORTRANGE(""1QZ5UxyNCwadreQAXnQ7oCoH982DjIA-QnZdO7ZoqkC0/edit#gid=884617569"",""S4 Totals!$A$2:$O$255""),5,FALSE)"),0.09523809523809523)</f>
        <v>0.09523809524</v>
      </c>
      <c r="I34" s="143"/>
      <c r="J34" s="16">
        <f>IFERROR(__xludf.DUMMYFUNCTION("VLOOKUP(A34,IMPORTRANGE(""1QZ5UxyNCwadreQAXnQ7oCoH982DjIA-QnZdO7ZoqkC0/edit#gid=884617569"",""S4 Totals!$A$2:$O$255""),7,FALSE)"),2.0)</f>
        <v>2</v>
      </c>
      <c r="K34" s="15">
        <f>IFERROR(__xludf.DUMMYFUNCTION("VLOOKUP(A34,IMPORTRANGE(""1QZ5UxyNCwadreQAXnQ7oCoH982DjIA-QnZdO7ZoqkC0/edit#gid=884617569"",""S4 Totals!$A$2:$O$255""),8,FALSE)"),0.02857142857142857)</f>
        <v>0.02857142857</v>
      </c>
      <c r="L34" s="147"/>
      <c r="M34" s="16" t="str">
        <f>IFERROR(__xludf.DUMMYFUNCTION("VLOOKUP(A34,IMPORTRANGE(""1QZ5UxyNCwadreQAXnQ7oCoH982DjIA-QnZdO7ZoqkC0/edit#gid=884617569"",""S4 Totals!$A$2:$O$255""),10,FALSE)"),"")</f>
        <v/>
      </c>
      <c r="N34" s="15" t="str">
        <f>IFERROR(__xludf.DUMMYFUNCTION("VLOOKUP(A34,IMPORTRANGE(""1QZ5UxyNCwadreQAXnQ7oCoH982DjIA-QnZdO7ZoqkC0/edit#gid=884617569"",""S4 Totals!$A$2:$O$255""),11,FALSE)"),"")</f>
        <v/>
      </c>
      <c r="O34" s="110"/>
      <c r="P34" s="16" t="str">
        <f>IFERROR(__xludf.DUMMYFUNCTION("VLOOKUP(A34,IMPORTRANGE(""1QZ5UxyNCwadreQAXnQ7oCoH982DjIA-QnZdO7ZoqkC0/edit#gid=884617569"",""S4 Totals!$A$2:$O$255""),13,FALSE)"),"")</f>
        <v/>
      </c>
      <c r="Q34" s="15" t="str">
        <f>IFERROR(__xludf.DUMMYFUNCTION("VLOOKUP(A34,IMPORTRANGE(""1QZ5UxyNCwadreQAXnQ7oCoH982DjIA-QnZdO7ZoqkC0/edit#gid=884617569"",""S4 Totals!$A$2:$O$255""),14,FALSE)"),"")</f>
        <v/>
      </c>
      <c r="R34" s="110"/>
    </row>
    <row r="35">
      <c r="A35" s="128" t="s">
        <v>116</v>
      </c>
      <c r="B35" s="16">
        <f>IFERROR(__xludf.DUMMYFUNCTION("VLOOKUP(A35,IMPORTRANGE(""1aFCnJY1qhIj8-JckJhDJ18aqmVo17tofpQmOjcYa3u8/edit#gid=1878241338"",""S4 Totals!$A$2:$O$255""),2,FALSE)"),4.0)</f>
        <v>4</v>
      </c>
      <c r="C35" s="15">
        <f>IFERROR(__xludf.DUMMYFUNCTION("VLOOKUP(A35,IMPORTRANGE(""1aFCnJY1qhIj8-JckJhDJ18aqmVo17tofpQmOjcYa3u8/edit#gid=1878241338"",""S4 Totals!$A$2:$O$255""),3,FALSE)"),0.08)</f>
        <v>0.08</v>
      </c>
      <c r="D35" s="16">
        <f>IFERROR(__xludf.DUMMYFUNCTION("VLOOKUP(A35,IMPORTRANGE(""1QZ5UxyNCwadreQAXnQ7oCoH982DjIA-QnZdO7ZoqkC0/edit#gid=884617569"",""S4 Totals!$A$2:$O$255""),2,FALSE)"),6.0)</f>
        <v>6</v>
      </c>
      <c r="E35" s="15">
        <f>IFERROR(__xludf.DUMMYFUNCTION("VLOOKUP(A35,IMPORTRANGE(""1QZ5UxyNCwadreQAXnQ7oCoH982DjIA-QnZdO7ZoqkC0/edit#gid=884617569"",""S4 Totals!$A$2:$O$255""),3,FALSE)"),0.1276595744680851)</f>
        <v>0.1276595745</v>
      </c>
      <c r="F35" s="146">
        <f t="shared" si="1"/>
        <v>-0.04765957447</v>
      </c>
      <c r="G35" s="16">
        <f>IFERROR(__xludf.DUMMYFUNCTION("VLOOKUP(A35,IMPORTRANGE(""1QZ5UxyNCwadreQAXnQ7oCoH982DjIA-QnZdO7ZoqkC0/edit#gid=884617569"",""S4 Totals!$A$2:$O$255""),4,FALSE)"),5.0)</f>
        <v>5</v>
      </c>
      <c r="H35" s="15">
        <f>IFERROR(__xludf.DUMMYFUNCTION("VLOOKUP(A35,IMPORTRANGE(""1QZ5UxyNCwadreQAXnQ7oCoH982DjIA-QnZdO7ZoqkC0/edit#gid=884617569"",""S4 Totals!$A$2:$O$255""),5,FALSE)"),0.07936507936507936)</f>
        <v>0.07936507937</v>
      </c>
      <c r="I35" s="143"/>
      <c r="J35" s="16">
        <f>IFERROR(__xludf.DUMMYFUNCTION("VLOOKUP(A35,IMPORTRANGE(""1QZ5UxyNCwadreQAXnQ7oCoH982DjIA-QnZdO7ZoqkC0/edit#gid=884617569"",""S4 Totals!$A$2:$O$255""),7,FALSE)"),6.0)</f>
        <v>6</v>
      </c>
      <c r="K35" s="15">
        <f>IFERROR(__xludf.DUMMYFUNCTION("VLOOKUP(A35,IMPORTRANGE(""1QZ5UxyNCwadreQAXnQ7oCoH982DjIA-QnZdO7ZoqkC0/edit#gid=884617569"",""S4 Totals!$A$2:$O$255""),8,FALSE)"),0.08571428571428572)</f>
        <v>0.08571428571</v>
      </c>
      <c r="L35" s="147"/>
      <c r="M35" s="16">
        <f>IFERROR(__xludf.DUMMYFUNCTION("VLOOKUP(A35,IMPORTRANGE(""1QZ5UxyNCwadreQAXnQ7oCoH982DjIA-QnZdO7ZoqkC0/edit#gid=884617569"",""S4 Totals!$A$2:$O$255""),10,FALSE)"),10.0)</f>
        <v>10</v>
      </c>
      <c r="N35" s="15">
        <f>IFERROR(__xludf.DUMMYFUNCTION("VLOOKUP(A35,IMPORTRANGE(""1QZ5UxyNCwadreQAXnQ7oCoH982DjIA-QnZdO7ZoqkC0/edit#gid=884617569"",""S4 Totals!$A$2:$O$255""),11,FALSE)"),0.13513513513513514)</f>
        <v>0.1351351351</v>
      </c>
      <c r="O35" s="110"/>
      <c r="P35" s="16" t="str">
        <f>IFERROR(__xludf.DUMMYFUNCTION("VLOOKUP(A35,IMPORTRANGE(""1QZ5UxyNCwadreQAXnQ7oCoH982DjIA-QnZdO7ZoqkC0/edit#gid=884617569"",""S4 Totals!$A$2:$O$255""),13,FALSE)"),"")</f>
        <v/>
      </c>
      <c r="Q35" s="15" t="str">
        <f>IFERROR(__xludf.DUMMYFUNCTION("VLOOKUP(A35,IMPORTRANGE(""1QZ5UxyNCwadreQAXnQ7oCoH982DjIA-QnZdO7ZoqkC0/edit#gid=884617569"",""S4 Totals!$A$2:$O$255""),14,FALSE)"),"")</f>
        <v/>
      </c>
      <c r="R35" s="110"/>
    </row>
    <row r="36">
      <c r="A36" s="128" t="s">
        <v>33</v>
      </c>
      <c r="B36" s="16">
        <f>IFERROR(__xludf.DUMMYFUNCTION("VLOOKUP(A36,IMPORTRANGE(""1aFCnJY1qhIj8-JckJhDJ18aqmVo17tofpQmOjcYa3u8/edit#gid=1878241338"",""S4 Totals!$A$2:$O$255""),2,FALSE)"),22.0)</f>
        <v>22</v>
      </c>
      <c r="C36" s="15">
        <f>IFERROR(__xludf.DUMMYFUNCTION("VLOOKUP(A36,IMPORTRANGE(""1aFCnJY1qhIj8-JckJhDJ18aqmVo17tofpQmOjcYa3u8/edit#gid=1878241338"",""S4 Totals!$A$2:$O$255""),3,FALSE)"),0.44)</f>
        <v>0.44</v>
      </c>
      <c r="D36" s="16">
        <f>IFERROR(__xludf.DUMMYFUNCTION("VLOOKUP(A36,IMPORTRANGE(""1QZ5UxyNCwadreQAXnQ7oCoH982DjIA-QnZdO7ZoqkC0/edit#gid=884617569"",""S4 Totals!$A$2:$O$255""),2,FALSE)"),14.0)</f>
        <v>14</v>
      </c>
      <c r="E36" s="15">
        <f>IFERROR(__xludf.DUMMYFUNCTION("VLOOKUP(A36,IMPORTRANGE(""1QZ5UxyNCwadreQAXnQ7oCoH982DjIA-QnZdO7ZoqkC0/edit#gid=884617569"",""S4 Totals!$A$2:$O$255""),3,FALSE)"),0.2978723404255319)</f>
        <v>0.2978723404</v>
      </c>
      <c r="F36" s="146">
        <f t="shared" si="1"/>
        <v>0.1421276596</v>
      </c>
      <c r="G36" s="16">
        <f>IFERROR(__xludf.DUMMYFUNCTION("VLOOKUP(A36,IMPORTRANGE(""1QZ5UxyNCwadreQAXnQ7oCoH982DjIA-QnZdO7ZoqkC0/edit#gid=884617569"",""S4 Totals!$A$2:$O$255""),4,FALSE)"),21.0)</f>
        <v>21</v>
      </c>
      <c r="H36" s="15">
        <f>IFERROR(__xludf.DUMMYFUNCTION("VLOOKUP(A36,IMPORTRANGE(""1QZ5UxyNCwadreQAXnQ7oCoH982DjIA-QnZdO7ZoqkC0/edit#gid=884617569"",""S4 Totals!$A$2:$O$255""),5,FALSE)"),0.3333333333333333)</f>
        <v>0.3333333333</v>
      </c>
      <c r="I36" s="143"/>
      <c r="J36" s="16">
        <f>IFERROR(__xludf.DUMMYFUNCTION("VLOOKUP(A36,IMPORTRANGE(""1QZ5UxyNCwadreQAXnQ7oCoH982DjIA-QnZdO7ZoqkC0/edit#gid=884617569"",""S4 Totals!$A$2:$O$255""),7,FALSE)"),17.0)</f>
        <v>17</v>
      </c>
      <c r="K36" s="15">
        <f>IFERROR(__xludf.DUMMYFUNCTION("VLOOKUP(A36,IMPORTRANGE(""1QZ5UxyNCwadreQAXnQ7oCoH982DjIA-QnZdO7ZoqkC0/edit#gid=884617569"",""S4 Totals!$A$2:$O$255""),8,FALSE)"),0.24285714285714285)</f>
        <v>0.2428571429</v>
      </c>
      <c r="L36" s="147"/>
      <c r="M36" s="16">
        <f>IFERROR(__xludf.DUMMYFUNCTION("VLOOKUP(A36,IMPORTRANGE(""1QZ5UxyNCwadreQAXnQ7oCoH982DjIA-QnZdO7ZoqkC0/edit#gid=884617569"",""S4 Totals!$A$2:$O$255""),10,FALSE)"),20.0)</f>
        <v>20</v>
      </c>
      <c r="N36" s="15">
        <f>IFERROR(__xludf.DUMMYFUNCTION("VLOOKUP(A36,IMPORTRANGE(""1QZ5UxyNCwadreQAXnQ7oCoH982DjIA-QnZdO7ZoqkC0/edit#gid=884617569"",""S4 Totals!$A$2:$O$255""),11,FALSE)"),0.2702702702702703)</f>
        <v>0.2702702703</v>
      </c>
      <c r="O36" s="110"/>
      <c r="P36" s="16">
        <f>IFERROR(__xludf.DUMMYFUNCTION("VLOOKUP(A36,IMPORTRANGE(""1QZ5UxyNCwadreQAXnQ7oCoH982DjIA-QnZdO7ZoqkC0/edit#gid=884617569"",""S4 Totals!$A$2:$O$255""),13,FALSE)"),15.0)</f>
        <v>15</v>
      </c>
      <c r="Q36" s="15">
        <f>IFERROR(__xludf.DUMMYFUNCTION("VLOOKUP(A36,IMPORTRANGE(""1QZ5UxyNCwadreQAXnQ7oCoH982DjIA-QnZdO7ZoqkC0/edit#gid=884617569"",""S4 Totals!$A$2:$O$255""),14,FALSE)"),0.2)</f>
        <v>0.2</v>
      </c>
      <c r="R36" s="110"/>
    </row>
    <row r="37">
      <c r="A37" s="128" t="s">
        <v>106</v>
      </c>
      <c r="B37" s="16">
        <f>IFERROR(__xludf.DUMMYFUNCTION("VLOOKUP(A37,IMPORTRANGE(""1aFCnJY1qhIj8-JckJhDJ18aqmVo17tofpQmOjcYa3u8/edit#gid=1878241338"",""S4 Totals!$A$2:$O$255""),2,FALSE)"),10.0)</f>
        <v>10</v>
      </c>
      <c r="C37" s="15">
        <f>IFERROR(__xludf.DUMMYFUNCTION("VLOOKUP(A37,IMPORTRANGE(""1aFCnJY1qhIj8-JckJhDJ18aqmVo17tofpQmOjcYa3u8/edit#gid=1878241338"",""S4 Totals!$A$2:$O$255""),3,FALSE)"),0.2)</f>
        <v>0.2</v>
      </c>
      <c r="D37" s="16">
        <f>IFERROR(__xludf.DUMMYFUNCTION("VLOOKUP(A37,IMPORTRANGE(""1QZ5UxyNCwadreQAXnQ7oCoH982DjIA-QnZdO7ZoqkC0/edit#gid=884617569"",""S4 Totals!$A$2:$O$255""),2,FALSE)"),7.0)</f>
        <v>7</v>
      </c>
      <c r="E37" s="15">
        <f>IFERROR(__xludf.DUMMYFUNCTION("VLOOKUP(A37,IMPORTRANGE(""1QZ5UxyNCwadreQAXnQ7oCoH982DjIA-QnZdO7ZoqkC0/edit#gid=884617569"",""S4 Totals!$A$2:$O$255""),3,FALSE)"),0.14893617021276595)</f>
        <v>0.1489361702</v>
      </c>
      <c r="F37" s="146">
        <f t="shared" si="1"/>
        <v>0.05106382979</v>
      </c>
      <c r="G37" s="16">
        <f>IFERROR(__xludf.DUMMYFUNCTION("VLOOKUP(A37,IMPORTRANGE(""1QZ5UxyNCwadreQAXnQ7oCoH982DjIA-QnZdO7ZoqkC0/edit#gid=884617569"",""S4 Totals!$A$2:$O$255""),4,FALSE)"),7.0)</f>
        <v>7</v>
      </c>
      <c r="H37" s="15">
        <f>IFERROR(__xludf.DUMMYFUNCTION("VLOOKUP(A37,IMPORTRANGE(""1QZ5UxyNCwadreQAXnQ7oCoH982DjIA-QnZdO7ZoqkC0/edit#gid=884617569"",""S4 Totals!$A$2:$O$255""),5,FALSE)"),0.1111111111111111)</f>
        <v>0.1111111111</v>
      </c>
      <c r="I37" s="143"/>
      <c r="J37" s="16">
        <f>IFERROR(__xludf.DUMMYFUNCTION("VLOOKUP(A37,IMPORTRANGE(""1QZ5UxyNCwadreQAXnQ7oCoH982DjIA-QnZdO7ZoqkC0/edit#gid=884617569"",""S4 Totals!$A$2:$O$255""),7,FALSE)"),6.0)</f>
        <v>6</v>
      </c>
      <c r="K37" s="15">
        <f>IFERROR(__xludf.DUMMYFUNCTION("VLOOKUP(A37,IMPORTRANGE(""1QZ5UxyNCwadreQAXnQ7oCoH982DjIA-QnZdO7ZoqkC0/edit#gid=884617569"",""S4 Totals!$A$2:$O$255""),8,FALSE)"),0.08571428571428572)</f>
        <v>0.08571428571</v>
      </c>
      <c r="L37" s="147"/>
      <c r="M37" s="16">
        <f>IFERROR(__xludf.DUMMYFUNCTION("VLOOKUP(A37,IMPORTRANGE(""1QZ5UxyNCwadreQAXnQ7oCoH982DjIA-QnZdO7ZoqkC0/edit#gid=884617569"",""S4 Totals!$A$2:$O$255""),10,FALSE)"),11.0)</f>
        <v>11</v>
      </c>
      <c r="N37" s="15">
        <f>IFERROR(__xludf.DUMMYFUNCTION("VLOOKUP(A37,IMPORTRANGE(""1QZ5UxyNCwadreQAXnQ7oCoH982DjIA-QnZdO7ZoqkC0/edit#gid=884617569"",""S4 Totals!$A$2:$O$255""),11,FALSE)"),0.14864864864864866)</f>
        <v>0.1486486486</v>
      </c>
      <c r="O37" s="110"/>
      <c r="P37" s="16">
        <f>IFERROR(__xludf.DUMMYFUNCTION("VLOOKUP(A37,IMPORTRANGE(""1QZ5UxyNCwadreQAXnQ7oCoH982DjIA-QnZdO7ZoqkC0/edit#gid=884617569"",""S4 Totals!$A$2:$O$255""),13,FALSE)"),3.0)</f>
        <v>3</v>
      </c>
      <c r="Q37" s="15">
        <f>IFERROR(__xludf.DUMMYFUNCTION("VLOOKUP(A37,IMPORTRANGE(""1QZ5UxyNCwadreQAXnQ7oCoH982DjIA-QnZdO7ZoqkC0/edit#gid=884617569"",""S4 Totals!$A$2:$O$255""),14,FALSE)"),0.04)</f>
        <v>0.04</v>
      </c>
      <c r="R37" s="110"/>
    </row>
    <row r="38">
      <c r="A38" s="128" t="s">
        <v>35</v>
      </c>
      <c r="B38" s="16">
        <f>IFERROR(__xludf.DUMMYFUNCTION("VLOOKUP(A38,IMPORTRANGE(""1aFCnJY1qhIj8-JckJhDJ18aqmVo17tofpQmOjcYa3u8/edit#gid=1878241338"",""S4 Totals!$A$2:$O$255""),2,FALSE)"),29.0)</f>
        <v>29</v>
      </c>
      <c r="C38" s="15">
        <f>IFERROR(__xludf.DUMMYFUNCTION("VLOOKUP(A38,IMPORTRANGE(""1aFCnJY1qhIj8-JckJhDJ18aqmVo17tofpQmOjcYa3u8/edit#gid=1878241338"",""S4 Totals!$A$2:$O$255""),3,FALSE)"),0.58)</f>
        <v>0.58</v>
      </c>
      <c r="D38" s="16">
        <f>IFERROR(__xludf.DUMMYFUNCTION("VLOOKUP(A38,IMPORTRANGE(""1QZ5UxyNCwadreQAXnQ7oCoH982DjIA-QnZdO7ZoqkC0/edit#gid=884617569"",""S4 Totals!$A$2:$O$255""),2,FALSE)"),24.0)</f>
        <v>24</v>
      </c>
      <c r="E38" s="15">
        <f>IFERROR(__xludf.DUMMYFUNCTION("VLOOKUP(A38,IMPORTRANGE(""1QZ5UxyNCwadreQAXnQ7oCoH982DjIA-QnZdO7ZoqkC0/edit#gid=884617569"",""S4 Totals!$A$2:$O$255""),3,FALSE)"),0.5106382978723404)</f>
        <v>0.5106382979</v>
      </c>
      <c r="F38" s="146">
        <f t="shared" si="1"/>
        <v>0.06936170213</v>
      </c>
      <c r="G38" s="16">
        <f>IFERROR(__xludf.DUMMYFUNCTION("VLOOKUP(A38,IMPORTRANGE(""1QZ5UxyNCwadreQAXnQ7oCoH982DjIA-QnZdO7ZoqkC0/edit#gid=884617569"",""S4 Totals!$A$2:$O$255""),4,FALSE)"),37.0)</f>
        <v>37</v>
      </c>
      <c r="H38" s="15">
        <f>IFERROR(__xludf.DUMMYFUNCTION("VLOOKUP(A38,IMPORTRANGE(""1QZ5UxyNCwadreQAXnQ7oCoH982DjIA-QnZdO7ZoqkC0/edit#gid=884617569"",""S4 Totals!$A$2:$O$255""),5,FALSE)"),0.5873015873015873)</f>
        <v>0.5873015873</v>
      </c>
      <c r="I38" s="143"/>
      <c r="J38" s="16">
        <f>IFERROR(__xludf.DUMMYFUNCTION("VLOOKUP(A38,IMPORTRANGE(""1QZ5UxyNCwadreQAXnQ7oCoH982DjIA-QnZdO7ZoqkC0/edit#gid=884617569"",""S4 Totals!$A$2:$O$255""),7,FALSE)"),28.0)</f>
        <v>28</v>
      </c>
      <c r="K38" s="15">
        <f>IFERROR(__xludf.DUMMYFUNCTION("VLOOKUP(A38,IMPORTRANGE(""1QZ5UxyNCwadreQAXnQ7oCoH982DjIA-QnZdO7ZoqkC0/edit#gid=884617569"",""S4 Totals!$A$2:$O$255""),8,FALSE)"),0.4)</f>
        <v>0.4</v>
      </c>
      <c r="L38" s="147"/>
      <c r="M38" s="16">
        <f>IFERROR(__xludf.DUMMYFUNCTION("VLOOKUP(A38,IMPORTRANGE(""1QZ5UxyNCwadreQAXnQ7oCoH982DjIA-QnZdO7ZoqkC0/edit#gid=884617569"",""S4 Totals!$A$2:$O$255""),10,FALSE)"),30.0)</f>
        <v>30</v>
      </c>
      <c r="N38" s="15">
        <f>IFERROR(__xludf.DUMMYFUNCTION("VLOOKUP(A38,IMPORTRANGE(""1QZ5UxyNCwadreQAXnQ7oCoH982DjIA-QnZdO7ZoqkC0/edit#gid=884617569"",""S4 Totals!$A$2:$O$255""),11,FALSE)"),0.40540540540540543)</f>
        <v>0.4054054054</v>
      </c>
      <c r="O38" s="110"/>
      <c r="P38" s="16">
        <f>IFERROR(__xludf.DUMMYFUNCTION("VLOOKUP(A38,IMPORTRANGE(""1QZ5UxyNCwadreQAXnQ7oCoH982DjIA-QnZdO7ZoqkC0/edit#gid=884617569"",""S4 Totals!$A$2:$O$255""),13,FALSE)"),25.0)</f>
        <v>25</v>
      </c>
      <c r="Q38" s="15">
        <f>IFERROR(__xludf.DUMMYFUNCTION("VLOOKUP(A38,IMPORTRANGE(""1QZ5UxyNCwadreQAXnQ7oCoH982DjIA-QnZdO7ZoqkC0/edit#gid=884617569"",""S4 Totals!$A$2:$O$255""),14,FALSE)"),0.3333333333333333)</f>
        <v>0.3333333333</v>
      </c>
      <c r="R38" s="110"/>
    </row>
    <row r="39">
      <c r="A39" s="128" t="s">
        <v>36</v>
      </c>
      <c r="B39" s="16">
        <f>IFERROR(__xludf.DUMMYFUNCTION("VLOOKUP(A39,IMPORTRANGE(""1aFCnJY1qhIj8-JckJhDJ18aqmVo17tofpQmOjcYa3u8/edit#gid=1878241338"",""S4 Totals!$A$2:$O$255""),2,FALSE)"),25.0)</f>
        <v>25</v>
      </c>
      <c r="C39" s="15">
        <f>IFERROR(__xludf.DUMMYFUNCTION("VLOOKUP(A39,IMPORTRANGE(""1aFCnJY1qhIj8-JckJhDJ18aqmVo17tofpQmOjcYa3u8/edit#gid=1878241338"",""S4 Totals!$A$2:$O$255""),3,FALSE)"),0.5)</f>
        <v>0.5</v>
      </c>
      <c r="D39" s="16">
        <f>IFERROR(__xludf.DUMMYFUNCTION("VLOOKUP(A39,IMPORTRANGE(""1QZ5UxyNCwadreQAXnQ7oCoH982DjIA-QnZdO7ZoqkC0/edit#gid=884617569"",""S4 Totals!$A$2:$O$255""),2,FALSE)"),24.0)</f>
        <v>24</v>
      </c>
      <c r="E39" s="15">
        <f>IFERROR(__xludf.DUMMYFUNCTION("VLOOKUP(A39,IMPORTRANGE(""1QZ5UxyNCwadreQAXnQ7oCoH982DjIA-QnZdO7ZoqkC0/edit#gid=884617569"",""S4 Totals!$A$2:$O$255""),3,FALSE)"),0.5106382978723404)</f>
        <v>0.5106382979</v>
      </c>
      <c r="F39" s="146">
        <f t="shared" si="1"/>
        <v>-0.01063829787</v>
      </c>
      <c r="G39" s="16">
        <f>IFERROR(__xludf.DUMMYFUNCTION("VLOOKUP(A39,IMPORTRANGE(""1QZ5UxyNCwadreQAXnQ7oCoH982DjIA-QnZdO7ZoqkC0/edit#gid=884617569"",""S4 Totals!$A$2:$O$255""),4,FALSE)"),23.0)</f>
        <v>23</v>
      </c>
      <c r="H39" s="15">
        <f>IFERROR(__xludf.DUMMYFUNCTION("VLOOKUP(A39,IMPORTRANGE(""1QZ5UxyNCwadreQAXnQ7oCoH982DjIA-QnZdO7ZoqkC0/edit#gid=884617569"",""S4 Totals!$A$2:$O$255""),5,FALSE)"),0.36507936507936506)</f>
        <v>0.3650793651</v>
      </c>
      <c r="I39" s="143"/>
      <c r="J39" s="16">
        <f>IFERROR(__xludf.DUMMYFUNCTION("VLOOKUP(A39,IMPORTRANGE(""1QZ5UxyNCwadreQAXnQ7oCoH982DjIA-QnZdO7ZoqkC0/edit#gid=884617569"",""S4 Totals!$A$2:$O$255""),7,FALSE)"),22.0)</f>
        <v>22</v>
      </c>
      <c r="K39" s="15">
        <f>IFERROR(__xludf.DUMMYFUNCTION("VLOOKUP(A39,IMPORTRANGE(""1QZ5UxyNCwadreQAXnQ7oCoH982DjIA-QnZdO7ZoqkC0/edit#gid=884617569"",""S4 Totals!$A$2:$O$255""),8,FALSE)"),0.3142857142857143)</f>
        <v>0.3142857143</v>
      </c>
      <c r="L39" s="147"/>
      <c r="M39" s="16">
        <f>IFERROR(__xludf.DUMMYFUNCTION("VLOOKUP(A39,IMPORTRANGE(""1QZ5UxyNCwadreQAXnQ7oCoH982DjIA-QnZdO7ZoqkC0/edit#gid=884617569"",""S4 Totals!$A$2:$O$255""),10,FALSE)"),28.0)</f>
        <v>28</v>
      </c>
      <c r="N39" s="15">
        <f>IFERROR(__xludf.DUMMYFUNCTION("VLOOKUP(A39,IMPORTRANGE(""1QZ5UxyNCwadreQAXnQ7oCoH982DjIA-QnZdO7ZoqkC0/edit#gid=884617569"",""S4 Totals!$A$2:$O$255""),11,FALSE)"),0.3783783783783784)</f>
        <v>0.3783783784</v>
      </c>
      <c r="O39" s="110"/>
      <c r="P39" s="16">
        <f>IFERROR(__xludf.DUMMYFUNCTION("VLOOKUP(A39,IMPORTRANGE(""1QZ5UxyNCwadreQAXnQ7oCoH982DjIA-QnZdO7ZoqkC0/edit#gid=884617569"",""S4 Totals!$A$2:$O$255""),13,FALSE)"),14.0)</f>
        <v>14</v>
      </c>
      <c r="Q39" s="15">
        <f>IFERROR(__xludf.DUMMYFUNCTION("VLOOKUP(A39,IMPORTRANGE(""1QZ5UxyNCwadreQAXnQ7oCoH982DjIA-QnZdO7ZoqkC0/edit#gid=884617569"",""S4 Totals!$A$2:$O$255""),14,FALSE)"),0.18666666666666668)</f>
        <v>0.1866666667</v>
      </c>
      <c r="R39" s="110"/>
    </row>
    <row r="40">
      <c r="A40" s="128" t="s">
        <v>37</v>
      </c>
      <c r="B40" s="16">
        <f>IFERROR(__xludf.DUMMYFUNCTION("VLOOKUP(A40,IMPORTRANGE(""1aFCnJY1qhIj8-JckJhDJ18aqmVo17tofpQmOjcYa3u8/edit#gid=1878241338"",""S4 Totals!$A$2:$O$255""),2,FALSE)"),6.0)</f>
        <v>6</v>
      </c>
      <c r="C40" s="15">
        <f>IFERROR(__xludf.DUMMYFUNCTION("VLOOKUP(A40,IMPORTRANGE(""1aFCnJY1qhIj8-JckJhDJ18aqmVo17tofpQmOjcYa3u8/edit#gid=1878241338"",""S4 Totals!$A$2:$O$255""),3,FALSE)"),0.12)</f>
        <v>0.12</v>
      </c>
      <c r="D40" s="16">
        <f>IFERROR(__xludf.DUMMYFUNCTION("VLOOKUP(A40,IMPORTRANGE(""1QZ5UxyNCwadreQAXnQ7oCoH982DjIA-QnZdO7ZoqkC0/edit#gid=884617569"",""S4 Totals!$A$2:$O$255""),2,FALSE)"),0.0)</f>
        <v>0</v>
      </c>
      <c r="E40" s="15">
        <f>IFERROR(__xludf.DUMMYFUNCTION("VLOOKUP(A40,IMPORTRANGE(""1QZ5UxyNCwadreQAXnQ7oCoH982DjIA-QnZdO7ZoqkC0/edit#gid=884617569"",""S4 Totals!$A$2:$O$255""),3,FALSE)"),0.0)</f>
        <v>0</v>
      </c>
      <c r="F40" s="146">
        <f t="shared" si="1"/>
        <v>0.12</v>
      </c>
      <c r="G40" s="16">
        <f>IFERROR(__xludf.DUMMYFUNCTION("VLOOKUP(A40,IMPORTRANGE(""1QZ5UxyNCwadreQAXnQ7oCoH982DjIA-QnZdO7ZoqkC0/edit#gid=884617569"",""S4 Totals!$A$2:$O$255""),4,FALSE)"),1.0)</f>
        <v>1</v>
      </c>
      <c r="H40" s="15">
        <f>IFERROR(__xludf.DUMMYFUNCTION("VLOOKUP(A40,IMPORTRANGE(""1QZ5UxyNCwadreQAXnQ7oCoH982DjIA-QnZdO7ZoqkC0/edit#gid=884617569"",""S4 Totals!$A$2:$O$255""),5,FALSE)"),0.015873015873015872)</f>
        <v>0.01587301587</v>
      </c>
      <c r="I40" s="143"/>
      <c r="J40" s="16">
        <f>IFERROR(__xludf.DUMMYFUNCTION("VLOOKUP(A40,IMPORTRANGE(""1QZ5UxyNCwadreQAXnQ7oCoH982DjIA-QnZdO7ZoqkC0/edit#gid=884617569"",""S4 Totals!$A$2:$O$255""),7,FALSE)"),7.0)</f>
        <v>7</v>
      </c>
      <c r="K40" s="15">
        <f>IFERROR(__xludf.DUMMYFUNCTION("VLOOKUP(A40,IMPORTRANGE(""1QZ5UxyNCwadreQAXnQ7oCoH982DjIA-QnZdO7ZoqkC0/edit#gid=884617569"",""S4 Totals!$A$2:$O$255""),8,FALSE)"),0.1)</f>
        <v>0.1</v>
      </c>
      <c r="L40" s="147"/>
      <c r="M40" s="16">
        <f>IFERROR(__xludf.DUMMYFUNCTION("VLOOKUP(A40,IMPORTRANGE(""1QZ5UxyNCwadreQAXnQ7oCoH982DjIA-QnZdO7ZoqkC0/edit#gid=884617569"",""S4 Totals!$A$2:$O$255""),10,FALSE)"),9.0)</f>
        <v>9</v>
      </c>
      <c r="N40" s="15">
        <f>IFERROR(__xludf.DUMMYFUNCTION("VLOOKUP(A40,IMPORTRANGE(""1QZ5UxyNCwadreQAXnQ7oCoH982DjIA-QnZdO7ZoqkC0/edit#gid=884617569"",""S4 Totals!$A$2:$O$255""),11,FALSE)"),0.12162162162162163)</f>
        <v>0.1216216216</v>
      </c>
      <c r="O40" s="110"/>
      <c r="P40" s="16">
        <f>IFERROR(__xludf.DUMMYFUNCTION("VLOOKUP(A40,IMPORTRANGE(""1QZ5UxyNCwadreQAXnQ7oCoH982DjIA-QnZdO7ZoqkC0/edit#gid=884617569"",""S4 Totals!$A$2:$O$255""),13,FALSE)"),10.0)</f>
        <v>10</v>
      </c>
      <c r="Q40" s="15">
        <f>IFERROR(__xludf.DUMMYFUNCTION("VLOOKUP(A40,IMPORTRANGE(""1QZ5UxyNCwadreQAXnQ7oCoH982DjIA-QnZdO7ZoqkC0/edit#gid=884617569"",""S4 Totals!$A$2:$O$255""),14,FALSE)"),0.13333333333333333)</f>
        <v>0.1333333333</v>
      </c>
      <c r="R40" s="110"/>
    </row>
    <row r="41">
      <c r="A41" s="128" t="s">
        <v>219</v>
      </c>
      <c r="B41" s="16">
        <f>IFERROR(__xludf.DUMMYFUNCTION("VLOOKUP(A41,IMPORTRANGE(""1aFCnJY1qhIj8-JckJhDJ18aqmVo17tofpQmOjcYa3u8/edit#gid=1878241338"",""S4 Totals!$A$2:$O$255""),2,FALSE)"),1.0)</f>
        <v>1</v>
      </c>
      <c r="C41" s="15">
        <f>IFERROR(__xludf.DUMMYFUNCTION("VLOOKUP(A41,IMPORTRANGE(""1aFCnJY1qhIj8-JckJhDJ18aqmVo17tofpQmOjcYa3u8/edit#gid=1878241338"",""S4 Totals!$A$2:$O$255""),3,FALSE)"),0.02)</f>
        <v>0.02</v>
      </c>
      <c r="D41" s="16">
        <f>IFERROR(__xludf.DUMMYFUNCTION("VLOOKUP(A41,IMPORTRANGE(""1QZ5UxyNCwadreQAXnQ7oCoH982DjIA-QnZdO7ZoqkC0/edit#gid=884617569"",""S4 Totals!$A$2:$O$255""),2,FALSE)"),5.0)</f>
        <v>5</v>
      </c>
      <c r="E41" s="15">
        <f>IFERROR(__xludf.DUMMYFUNCTION("VLOOKUP(A41,IMPORTRANGE(""1QZ5UxyNCwadreQAXnQ7oCoH982DjIA-QnZdO7ZoqkC0/edit#gid=884617569"",""S4 Totals!$A$2:$O$255""),3,FALSE)"),0.10638297872340426)</f>
        <v>0.1063829787</v>
      </c>
      <c r="F41" s="146">
        <f t="shared" si="1"/>
        <v>-0.08638297872</v>
      </c>
      <c r="G41" s="16">
        <f>IFERROR(__xludf.DUMMYFUNCTION("VLOOKUP(A41,IMPORTRANGE(""1QZ5UxyNCwadreQAXnQ7oCoH982DjIA-QnZdO7ZoqkC0/edit#gid=884617569"",""S4 Totals!$A$2:$O$255""),4,FALSE)"),4.0)</f>
        <v>4</v>
      </c>
      <c r="H41" s="15">
        <f>IFERROR(__xludf.DUMMYFUNCTION("VLOOKUP(A41,IMPORTRANGE(""1QZ5UxyNCwadreQAXnQ7oCoH982DjIA-QnZdO7ZoqkC0/edit#gid=884617569"",""S4 Totals!$A$2:$O$255""),5,FALSE)"),0.06349206349206349)</f>
        <v>0.06349206349</v>
      </c>
      <c r="I41" s="143"/>
      <c r="J41" s="16" t="str">
        <f>IFERROR(__xludf.DUMMYFUNCTION("VLOOKUP(A41,IMPORTRANGE(""1QZ5UxyNCwadreQAXnQ7oCoH982DjIA-QnZdO7ZoqkC0/edit#gid=884617569"",""S4 Totals!$A$2:$O$255""),7,FALSE)"),"")</f>
        <v/>
      </c>
      <c r="K41" s="15" t="str">
        <f>IFERROR(__xludf.DUMMYFUNCTION("VLOOKUP(A41,IMPORTRANGE(""1QZ5UxyNCwadreQAXnQ7oCoH982DjIA-QnZdO7ZoqkC0/edit#gid=884617569"",""S4 Totals!$A$2:$O$255""),8,FALSE)"),"")</f>
        <v/>
      </c>
      <c r="L41" s="147"/>
      <c r="M41" s="16" t="str">
        <f>IFERROR(__xludf.DUMMYFUNCTION("VLOOKUP(A41,IMPORTRANGE(""1QZ5UxyNCwadreQAXnQ7oCoH982DjIA-QnZdO7ZoqkC0/edit#gid=884617569"",""S4 Totals!$A$2:$O$255""),10,FALSE)"),"")</f>
        <v/>
      </c>
      <c r="N41" s="15" t="str">
        <f>IFERROR(__xludf.DUMMYFUNCTION("VLOOKUP(A41,IMPORTRANGE(""1QZ5UxyNCwadreQAXnQ7oCoH982DjIA-QnZdO7ZoqkC0/edit#gid=884617569"",""S4 Totals!$A$2:$O$255""),11,FALSE)"),"")</f>
        <v/>
      </c>
      <c r="O41" s="110"/>
      <c r="P41" s="16" t="str">
        <f>IFERROR(__xludf.DUMMYFUNCTION("VLOOKUP(A41,IMPORTRANGE(""1QZ5UxyNCwadreQAXnQ7oCoH982DjIA-QnZdO7ZoqkC0/edit#gid=884617569"",""S4 Totals!$A$2:$O$255""),13,FALSE)"),"")</f>
        <v/>
      </c>
      <c r="Q41" s="15" t="str">
        <f>IFERROR(__xludf.DUMMYFUNCTION("VLOOKUP(A41,IMPORTRANGE(""1QZ5UxyNCwadreQAXnQ7oCoH982DjIA-QnZdO7ZoqkC0/edit#gid=884617569"",""S4 Totals!$A$2:$O$255""),14,FALSE)"),"")</f>
        <v/>
      </c>
      <c r="R41" s="110"/>
    </row>
    <row r="42">
      <c r="A42" s="128" t="s">
        <v>220</v>
      </c>
      <c r="B42" s="16">
        <f>IFERROR(__xludf.DUMMYFUNCTION("VLOOKUP(A42,IMPORTRANGE(""1aFCnJY1qhIj8-JckJhDJ18aqmVo17tofpQmOjcYa3u8/edit#gid=1878241338"",""S4 Totals!$A$2:$O$255""),2,FALSE)"),3.0)</f>
        <v>3</v>
      </c>
      <c r="C42" s="15">
        <f>IFERROR(__xludf.DUMMYFUNCTION("VLOOKUP(A42,IMPORTRANGE(""1aFCnJY1qhIj8-JckJhDJ18aqmVo17tofpQmOjcYa3u8/edit#gid=1878241338"",""S4 Totals!$A$2:$O$255""),3,FALSE)"),0.06)</f>
        <v>0.06</v>
      </c>
      <c r="D42" s="16">
        <f>IFERROR(__xludf.DUMMYFUNCTION("VLOOKUP(A42,IMPORTRANGE(""1QZ5UxyNCwadreQAXnQ7oCoH982DjIA-QnZdO7ZoqkC0/edit#gid=884617569"",""S4 Totals!$A$2:$O$255""),2,FALSE)"),2.0)</f>
        <v>2</v>
      </c>
      <c r="E42" s="15">
        <f>IFERROR(__xludf.DUMMYFUNCTION("VLOOKUP(A42,IMPORTRANGE(""1QZ5UxyNCwadreQAXnQ7oCoH982DjIA-QnZdO7ZoqkC0/edit#gid=884617569"",""S4 Totals!$A$2:$O$255""),3,FALSE)"),0.0425531914893617)</f>
        <v>0.04255319149</v>
      </c>
      <c r="F42" s="146">
        <f t="shared" si="1"/>
        <v>0.01744680851</v>
      </c>
      <c r="G42" s="16">
        <f>IFERROR(__xludf.DUMMYFUNCTION("VLOOKUP(A42,IMPORTRANGE(""1QZ5UxyNCwadreQAXnQ7oCoH982DjIA-QnZdO7ZoqkC0/edit#gid=884617569"",""S4 Totals!$A$2:$O$255""),4,FALSE)"),2.0)</f>
        <v>2</v>
      </c>
      <c r="H42" s="15">
        <f>IFERROR(__xludf.DUMMYFUNCTION("VLOOKUP(A42,IMPORTRANGE(""1QZ5UxyNCwadreQAXnQ7oCoH982DjIA-QnZdO7ZoqkC0/edit#gid=884617569"",""S4 Totals!$A$2:$O$255""),5,FALSE)"),0.031746031746031744)</f>
        <v>0.03174603175</v>
      </c>
      <c r="I42" s="143"/>
      <c r="J42" s="16" t="str">
        <f>IFERROR(__xludf.DUMMYFUNCTION("VLOOKUP(A42,IMPORTRANGE(""1QZ5UxyNCwadreQAXnQ7oCoH982DjIA-QnZdO7ZoqkC0/edit#gid=884617569"",""S4 Totals!$A$2:$O$255""),7,FALSE)"),"")</f>
        <v/>
      </c>
      <c r="K42" s="15" t="str">
        <f>IFERROR(__xludf.DUMMYFUNCTION("VLOOKUP(A42,IMPORTRANGE(""1QZ5UxyNCwadreQAXnQ7oCoH982DjIA-QnZdO7ZoqkC0/edit#gid=884617569"",""S4 Totals!$A$2:$O$255""),8,FALSE)"),"")</f>
        <v/>
      </c>
      <c r="L42" s="147"/>
      <c r="M42" s="16" t="str">
        <f>IFERROR(__xludf.DUMMYFUNCTION("VLOOKUP(A42,IMPORTRANGE(""1QZ5UxyNCwadreQAXnQ7oCoH982DjIA-QnZdO7ZoqkC0/edit#gid=884617569"",""S4 Totals!$A$2:$O$255""),10,FALSE)"),"")</f>
        <v/>
      </c>
      <c r="N42" s="15" t="str">
        <f>IFERROR(__xludf.DUMMYFUNCTION("VLOOKUP(A42,IMPORTRANGE(""1QZ5UxyNCwadreQAXnQ7oCoH982DjIA-QnZdO7ZoqkC0/edit#gid=884617569"",""S4 Totals!$A$2:$O$255""),11,FALSE)"),"")</f>
        <v/>
      </c>
      <c r="O42" s="110"/>
      <c r="P42" s="16" t="str">
        <f>IFERROR(__xludf.DUMMYFUNCTION("VLOOKUP(A42,IMPORTRANGE(""1QZ5UxyNCwadreQAXnQ7oCoH982DjIA-QnZdO7ZoqkC0/edit#gid=884617569"",""S4 Totals!$A$2:$O$255""),13,FALSE)"),"")</f>
        <v/>
      </c>
      <c r="Q42" s="15" t="str">
        <f>IFERROR(__xludf.DUMMYFUNCTION("VLOOKUP(A42,IMPORTRANGE(""1QZ5UxyNCwadreQAXnQ7oCoH982DjIA-QnZdO7ZoqkC0/edit#gid=884617569"",""S4 Totals!$A$2:$O$255""),14,FALSE)"),"")</f>
        <v/>
      </c>
      <c r="R42" s="110"/>
    </row>
    <row r="43">
      <c r="A43" s="128" t="s">
        <v>117</v>
      </c>
      <c r="B43" s="16">
        <f>IFERROR(__xludf.DUMMYFUNCTION("VLOOKUP(A43,IMPORTRANGE(""1aFCnJY1qhIj8-JckJhDJ18aqmVo17tofpQmOjcYa3u8/edit#gid=1878241338"",""S4 Totals!$A$2:$O$255""),2,FALSE)"),4.0)</f>
        <v>4</v>
      </c>
      <c r="C43" s="15">
        <f>IFERROR(__xludf.DUMMYFUNCTION("VLOOKUP(A43,IMPORTRANGE(""1aFCnJY1qhIj8-JckJhDJ18aqmVo17tofpQmOjcYa3u8/edit#gid=1878241338"",""S4 Totals!$A$2:$O$255""),3,FALSE)"),0.08)</f>
        <v>0.08</v>
      </c>
      <c r="D43" s="16">
        <f>IFERROR(__xludf.DUMMYFUNCTION("VLOOKUP(A43,IMPORTRANGE(""1QZ5UxyNCwadreQAXnQ7oCoH982DjIA-QnZdO7ZoqkC0/edit#gid=884617569"",""S4 Totals!$A$2:$O$255""),2,FALSE)"),4.0)</f>
        <v>4</v>
      </c>
      <c r="E43" s="15">
        <f>IFERROR(__xludf.DUMMYFUNCTION("VLOOKUP(A43,IMPORTRANGE(""1QZ5UxyNCwadreQAXnQ7oCoH982DjIA-QnZdO7ZoqkC0/edit#gid=884617569"",""S4 Totals!$A$2:$O$255""),3,FALSE)"),0.0851063829787234)</f>
        <v>0.08510638298</v>
      </c>
      <c r="F43" s="146">
        <f t="shared" si="1"/>
        <v>-0.005106382979</v>
      </c>
      <c r="G43" s="16">
        <f>IFERROR(__xludf.DUMMYFUNCTION("VLOOKUP(A43,IMPORTRANGE(""1QZ5UxyNCwadreQAXnQ7oCoH982DjIA-QnZdO7ZoqkC0/edit#gid=884617569"",""S4 Totals!$A$2:$O$255""),4,FALSE)"),3.0)</f>
        <v>3</v>
      </c>
      <c r="H43" s="15">
        <f>IFERROR(__xludf.DUMMYFUNCTION("VLOOKUP(A43,IMPORTRANGE(""1QZ5UxyNCwadreQAXnQ7oCoH982DjIA-QnZdO7ZoqkC0/edit#gid=884617569"",""S4 Totals!$A$2:$O$255""),5,FALSE)"),0.047619047619047616)</f>
        <v>0.04761904762</v>
      </c>
      <c r="I43" s="143"/>
      <c r="J43" s="16">
        <f>IFERROR(__xludf.DUMMYFUNCTION("VLOOKUP(A43,IMPORTRANGE(""1QZ5UxyNCwadreQAXnQ7oCoH982DjIA-QnZdO7ZoqkC0/edit#gid=884617569"",""S4 Totals!$A$2:$O$255""),7,FALSE)"),2.0)</f>
        <v>2</v>
      </c>
      <c r="K43" s="15">
        <f>IFERROR(__xludf.DUMMYFUNCTION("VLOOKUP(A43,IMPORTRANGE(""1QZ5UxyNCwadreQAXnQ7oCoH982DjIA-QnZdO7ZoqkC0/edit#gid=884617569"",""S4 Totals!$A$2:$O$255""),8,FALSE)"),0.02857142857142857)</f>
        <v>0.02857142857</v>
      </c>
      <c r="L43" s="147"/>
      <c r="M43" s="16">
        <f>IFERROR(__xludf.DUMMYFUNCTION("VLOOKUP(A43,IMPORTRANGE(""1QZ5UxyNCwadreQAXnQ7oCoH982DjIA-QnZdO7ZoqkC0/edit#gid=884617569"",""S4 Totals!$A$2:$O$255""),10,FALSE)"),4.0)</f>
        <v>4</v>
      </c>
      <c r="N43" s="15">
        <f>IFERROR(__xludf.DUMMYFUNCTION("VLOOKUP(A43,IMPORTRANGE(""1QZ5UxyNCwadreQAXnQ7oCoH982DjIA-QnZdO7ZoqkC0/edit#gid=884617569"",""S4 Totals!$A$2:$O$255""),11,FALSE)"),0.05405405405405406)</f>
        <v>0.05405405405</v>
      </c>
      <c r="O43" s="110"/>
      <c r="P43" s="16" t="str">
        <f>IFERROR(__xludf.DUMMYFUNCTION("VLOOKUP(A43,IMPORTRANGE(""1QZ5UxyNCwadreQAXnQ7oCoH982DjIA-QnZdO7ZoqkC0/edit#gid=884617569"",""S4 Totals!$A$2:$O$255""),13,FALSE)"),"")</f>
        <v/>
      </c>
      <c r="Q43" s="15" t="str">
        <f>IFERROR(__xludf.DUMMYFUNCTION("VLOOKUP(A43,IMPORTRANGE(""1QZ5UxyNCwadreQAXnQ7oCoH982DjIA-QnZdO7ZoqkC0/edit#gid=884617569"",""S4 Totals!$A$2:$O$255""),14,FALSE)"),"")</f>
        <v/>
      </c>
      <c r="R43" s="110"/>
    </row>
    <row r="44">
      <c r="A44" s="132" t="s">
        <v>168</v>
      </c>
      <c r="B44" s="16">
        <f>IFERROR(__xludf.DUMMYFUNCTION("VLOOKUP(A44,IMPORTRANGE(""1aFCnJY1qhIj8-JckJhDJ18aqmVo17tofpQmOjcYa3u8/edit#gid=1878241338"",""S4 Totals!$A$2:$O$255""),2,FALSE)"),6.0)</f>
        <v>6</v>
      </c>
      <c r="C44" s="15">
        <f>IFERROR(__xludf.DUMMYFUNCTION("VLOOKUP(A44,IMPORTRANGE(""1aFCnJY1qhIj8-JckJhDJ18aqmVo17tofpQmOjcYa3u8/edit#gid=1878241338"",""S4 Totals!$A$2:$O$255""),3,FALSE)"),0.12)</f>
        <v>0.12</v>
      </c>
      <c r="D44" s="16">
        <f>IFERROR(__xludf.DUMMYFUNCTION("VLOOKUP(A44,IMPORTRANGE(""1QZ5UxyNCwadreQAXnQ7oCoH982DjIA-QnZdO7ZoqkC0/edit#gid=884617569"",""S4 Totals!$A$2:$O$255""),2,FALSE)"),9.0)</f>
        <v>9</v>
      </c>
      <c r="E44" s="15">
        <f>IFERROR(__xludf.DUMMYFUNCTION("VLOOKUP(A44,IMPORTRANGE(""1QZ5UxyNCwadreQAXnQ7oCoH982DjIA-QnZdO7ZoqkC0/edit#gid=884617569"",""S4 Totals!$A$2:$O$255""),3,FALSE)"),0.19148936170212766)</f>
        <v>0.1914893617</v>
      </c>
      <c r="F44" s="146">
        <f t="shared" si="1"/>
        <v>-0.0714893617</v>
      </c>
      <c r="G44" s="16">
        <f>IFERROR(__xludf.DUMMYFUNCTION("VLOOKUP(A44,IMPORTRANGE(""1QZ5UxyNCwadreQAXnQ7oCoH982DjIA-QnZdO7ZoqkC0/edit#gid=884617569"",""S4 Totals!$A$2:$O$255""),4,FALSE)"),5.0)</f>
        <v>5</v>
      </c>
      <c r="H44" s="15">
        <f>IFERROR(__xludf.DUMMYFUNCTION("VLOOKUP(A44,IMPORTRANGE(""1QZ5UxyNCwadreQAXnQ7oCoH982DjIA-QnZdO7ZoqkC0/edit#gid=884617569"",""S4 Totals!$A$2:$O$255""),5,FALSE)"),0.07936507936507936)</f>
        <v>0.07936507937</v>
      </c>
      <c r="I44" s="143"/>
      <c r="J44" s="16">
        <f>IFERROR(__xludf.DUMMYFUNCTION("VLOOKUP(A44,IMPORTRANGE(""1QZ5UxyNCwadreQAXnQ7oCoH982DjIA-QnZdO7ZoqkC0/edit#gid=884617569"",""S4 Totals!$A$2:$O$255""),7,FALSE)"),0.0)</f>
        <v>0</v>
      </c>
      <c r="K44" s="15">
        <f>IFERROR(__xludf.DUMMYFUNCTION("VLOOKUP(A44,IMPORTRANGE(""1QZ5UxyNCwadreQAXnQ7oCoH982DjIA-QnZdO7ZoqkC0/edit#gid=884617569"",""S4 Totals!$A$2:$O$255""),8,FALSE)"),0.0)</f>
        <v>0</v>
      </c>
      <c r="L44" s="147"/>
      <c r="M44" s="16" t="str">
        <f>IFERROR(__xludf.DUMMYFUNCTION("VLOOKUP(A44,IMPORTRANGE(""1QZ5UxyNCwadreQAXnQ7oCoH982DjIA-QnZdO7ZoqkC0/edit#gid=884617569"",""S4 Totals!$A$2:$O$255""),10,FALSE)"),"")</f>
        <v/>
      </c>
      <c r="N44" s="15" t="str">
        <f>IFERROR(__xludf.DUMMYFUNCTION("VLOOKUP(A44,IMPORTRANGE(""1QZ5UxyNCwadreQAXnQ7oCoH982DjIA-QnZdO7ZoqkC0/edit#gid=884617569"",""S4 Totals!$A$2:$O$255""),11,FALSE)"),"")</f>
        <v/>
      </c>
      <c r="O44" s="110"/>
      <c r="P44" s="16" t="str">
        <f>IFERROR(__xludf.DUMMYFUNCTION("VLOOKUP(A44,IMPORTRANGE(""1QZ5UxyNCwadreQAXnQ7oCoH982DjIA-QnZdO7ZoqkC0/edit#gid=884617569"",""S4 Totals!$A$2:$O$255""),13,FALSE)"),"")</f>
        <v/>
      </c>
      <c r="Q44" s="15" t="str">
        <f>IFERROR(__xludf.DUMMYFUNCTION("VLOOKUP(A44,IMPORTRANGE(""1QZ5UxyNCwadreQAXnQ7oCoH982DjIA-QnZdO7ZoqkC0/edit#gid=884617569"",""S4 Totals!$A$2:$O$255""),14,FALSE)"),"")</f>
        <v/>
      </c>
      <c r="R44" s="110"/>
    </row>
    <row r="45">
      <c r="A45" s="128" t="s">
        <v>169</v>
      </c>
      <c r="B45" s="16">
        <f>IFERROR(__xludf.DUMMYFUNCTION("VLOOKUP(A45,IMPORTRANGE(""1aFCnJY1qhIj8-JckJhDJ18aqmVo17tofpQmOjcYa3u8/edit#gid=1878241338"",""S4 Totals!$A$2:$O$255""),2,FALSE)"),16.0)</f>
        <v>16</v>
      </c>
      <c r="C45" s="15">
        <f>IFERROR(__xludf.DUMMYFUNCTION("VLOOKUP(A45,IMPORTRANGE(""1aFCnJY1qhIj8-JckJhDJ18aqmVo17tofpQmOjcYa3u8/edit#gid=1878241338"",""S4 Totals!$A$2:$O$255""),3,FALSE)"),0.32)</f>
        <v>0.32</v>
      </c>
      <c r="D45" s="16">
        <f>IFERROR(__xludf.DUMMYFUNCTION("VLOOKUP(A45,IMPORTRANGE(""1QZ5UxyNCwadreQAXnQ7oCoH982DjIA-QnZdO7ZoqkC0/edit#gid=884617569"",""S4 Totals!$A$2:$O$255""),2,FALSE)"),12.0)</f>
        <v>12</v>
      </c>
      <c r="E45" s="15">
        <f>IFERROR(__xludf.DUMMYFUNCTION("VLOOKUP(A45,IMPORTRANGE(""1QZ5UxyNCwadreQAXnQ7oCoH982DjIA-QnZdO7ZoqkC0/edit#gid=884617569"",""S4 Totals!$A$2:$O$255""),3,FALSE)"),0.2553191489361702)</f>
        <v>0.2553191489</v>
      </c>
      <c r="F45" s="146">
        <f t="shared" si="1"/>
        <v>0.06468085106</v>
      </c>
      <c r="G45" s="16">
        <f>IFERROR(__xludf.DUMMYFUNCTION("VLOOKUP(A45,IMPORTRANGE(""1QZ5UxyNCwadreQAXnQ7oCoH982DjIA-QnZdO7ZoqkC0/edit#gid=884617569"",""S4 Totals!$A$2:$O$255""),4,FALSE)"),13.0)</f>
        <v>13</v>
      </c>
      <c r="H45" s="15">
        <f>IFERROR(__xludf.DUMMYFUNCTION("VLOOKUP(A45,IMPORTRANGE(""1QZ5UxyNCwadreQAXnQ7oCoH982DjIA-QnZdO7ZoqkC0/edit#gid=884617569"",""S4 Totals!$A$2:$O$255""),5,FALSE)"),0.20634920634920634)</f>
        <v>0.2063492063</v>
      </c>
      <c r="I45" s="143"/>
      <c r="J45" s="16">
        <f>IFERROR(__xludf.DUMMYFUNCTION("VLOOKUP(A45,IMPORTRANGE(""1QZ5UxyNCwadreQAXnQ7oCoH982DjIA-QnZdO7ZoqkC0/edit#gid=884617569"",""S4 Totals!$A$2:$O$255""),7,FALSE)"),10.0)</f>
        <v>10</v>
      </c>
      <c r="K45" s="15">
        <f>IFERROR(__xludf.DUMMYFUNCTION("VLOOKUP(A45,IMPORTRANGE(""1QZ5UxyNCwadreQAXnQ7oCoH982DjIA-QnZdO7ZoqkC0/edit#gid=884617569"",""S4 Totals!$A$2:$O$255""),8,FALSE)"),0.14285714285714285)</f>
        <v>0.1428571429</v>
      </c>
      <c r="L45" s="147"/>
      <c r="M45" s="16" t="str">
        <f>IFERROR(__xludf.DUMMYFUNCTION("VLOOKUP(A45,IMPORTRANGE(""1QZ5UxyNCwadreQAXnQ7oCoH982DjIA-QnZdO7ZoqkC0/edit#gid=884617569"",""S4 Totals!$A$2:$O$255""),10,FALSE)"),"")</f>
        <v/>
      </c>
      <c r="N45" s="15" t="str">
        <f>IFERROR(__xludf.DUMMYFUNCTION("VLOOKUP(A45,IMPORTRANGE(""1QZ5UxyNCwadreQAXnQ7oCoH982DjIA-QnZdO7ZoqkC0/edit#gid=884617569"",""S4 Totals!$A$2:$O$255""),11,FALSE)"),"")</f>
        <v/>
      </c>
      <c r="O45" s="110"/>
      <c r="P45" s="16" t="str">
        <f>IFERROR(__xludf.DUMMYFUNCTION("VLOOKUP(A45,IMPORTRANGE(""1QZ5UxyNCwadreQAXnQ7oCoH982DjIA-QnZdO7ZoqkC0/edit#gid=884617569"",""S4 Totals!$A$2:$O$255""),13,FALSE)"),"")</f>
        <v/>
      </c>
      <c r="Q45" s="15" t="str">
        <f>IFERROR(__xludf.DUMMYFUNCTION("VLOOKUP(A45,IMPORTRANGE(""1QZ5UxyNCwadreQAXnQ7oCoH982DjIA-QnZdO7ZoqkC0/edit#gid=884617569"",""S4 Totals!$A$2:$O$255""),14,FALSE)"),"")</f>
        <v/>
      </c>
      <c r="R45" s="110"/>
    </row>
    <row r="46">
      <c r="A46" s="128" t="s">
        <v>263</v>
      </c>
      <c r="B46" s="16">
        <f>IFERROR(__xludf.DUMMYFUNCTION("VLOOKUP(A46,IMPORTRANGE(""1aFCnJY1qhIj8-JckJhDJ18aqmVo17tofpQmOjcYa3u8/edit#gid=1878241338"",""S4 Totals!$A$2:$O$255""),2,FALSE)"),7.0)</f>
        <v>7</v>
      </c>
      <c r="C46" s="15">
        <f>IFERROR(__xludf.DUMMYFUNCTION("VLOOKUP(A46,IMPORTRANGE(""1aFCnJY1qhIj8-JckJhDJ18aqmVo17tofpQmOjcYa3u8/edit#gid=1878241338"",""S4 Totals!$A$2:$O$255""),3,FALSE)"),0.14)</f>
        <v>0.14</v>
      </c>
      <c r="D46" s="16" t="str">
        <f>IFERROR(__xludf.DUMMYFUNCTION("VLOOKUP(A46,IMPORTRANGE(""1QZ5UxyNCwadreQAXnQ7oCoH982DjIA-QnZdO7ZoqkC0/edit#gid=884617569"",""S4 Totals!$A$2:$O$255""),2,FALSE)"),"#N/A")</f>
        <v>#N/A</v>
      </c>
      <c r="E46" s="15" t="str">
        <f>IFERROR(__xludf.DUMMYFUNCTION("VLOOKUP(A46,IMPORTRANGE(""1QZ5UxyNCwadreQAXnQ7oCoH982DjIA-QnZdO7ZoqkC0/edit#gid=884617569"",""S4 Totals!$A$2:$O$255""),3,FALSE)"),"#N/A")</f>
        <v>#N/A</v>
      </c>
      <c r="F46" s="146" t="str">
        <f t="shared" si="1"/>
        <v>#N/A</v>
      </c>
      <c r="G46" s="16" t="str">
        <f>IFERROR(__xludf.DUMMYFUNCTION("VLOOKUP(A46,IMPORTRANGE(""1QZ5UxyNCwadreQAXnQ7oCoH982DjIA-QnZdO7ZoqkC0/edit#gid=884617569"",""S4 Totals!$A$2:$O$255""),4,FALSE)"),"#N/A")</f>
        <v>#N/A</v>
      </c>
      <c r="H46" s="15" t="str">
        <f>IFERROR(__xludf.DUMMYFUNCTION("VLOOKUP(A46,IMPORTRANGE(""1QZ5UxyNCwadreQAXnQ7oCoH982DjIA-QnZdO7ZoqkC0/edit#gid=884617569"",""S4 Totals!$A$2:$O$255""),5,FALSE)"),"#N/A")</f>
        <v>#N/A</v>
      </c>
      <c r="I46" s="143"/>
      <c r="J46" s="16" t="str">
        <f>IFERROR(__xludf.DUMMYFUNCTION("VLOOKUP(A46,IMPORTRANGE(""1QZ5UxyNCwadreQAXnQ7oCoH982DjIA-QnZdO7ZoqkC0/edit#gid=884617569"",""S4 Totals!$A$2:$O$255""),7,FALSE)"),"#N/A")</f>
        <v>#N/A</v>
      </c>
      <c r="K46" s="15" t="str">
        <f>IFERROR(__xludf.DUMMYFUNCTION("VLOOKUP(A46,IMPORTRANGE(""1QZ5UxyNCwadreQAXnQ7oCoH982DjIA-QnZdO7ZoqkC0/edit#gid=884617569"",""S4 Totals!$A$2:$O$255""),8,FALSE)"),"#N/A")</f>
        <v>#N/A</v>
      </c>
      <c r="L46" s="147"/>
      <c r="M46" s="16" t="str">
        <f>IFERROR(__xludf.DUMMYFUNCTION("VLOOKUP(A46,IMPORTRANGE(""1QZ5UxyNCwadreQAXnQ7oCoH982DjIA-QnZdO7ZoqkC0/edit#gid=884617569"",""S4 Totals!$A$2:$O$255""),10,FALSE)"),"#N/A")</f>
        <v>#N/A</v>
      </c>
      <c r="N46" s="15" t="str">
        <f>IFERROR(__xludf.DUMMYFUNCTION("VLOOKUP(A46,IMPORTRANGE(""1QZ5UxyNCwadreQAXnQ7oCoH982DjIA-QnZdO7ZoqkC0/edit#gid=884617569"",""S4 Totals!$A$2:$O$255""),11,FALSE)"),"#N/A")</f>
        <v>#N/A</v>
      </c>
      <c r="O46" s="110"/>
      <c r="P46" s="16" t="str">
        <f>IFERROR(__xludf.DUMMYFUNCTION("VLOOKUP(A46,IMPORTRANGE(""1QZ5UxyNCwadreQAXnQ7oCoH982DjIA-QnZdO7ZoqkC0/edit#gid=884617569"",""S4 Totals!$A$2:$O$255""),13,FALSE)"),"#N/A")</f>
        <v>#N/A</v>
      </c>
      <c r="Q46" s="15" t="str">
        <f>IFERROR(__xludf.DUMMYFUNCTION("VLOOKUP(A46,IMPORTRANGE(""1QZ5UxyNCwadreQAXnQ7oCoH982DjIA-QnZdO7ZoqkC0/edit#gid=884617569"",""S4 Totals!$A$2:$O$255""),14,FALSE)"),"#N/A")</f>
        <v>#N/A</v>
      </c>
      <c r="R46" s="110"/>
    </row>
    <row r="47">
      <c r="A47" s="128" t="s">
        <v>170</v>
      </c>
      <c r="B47" s="16">
        <f>IFERROR(__xludf.DUMMYFUNCTION("VLOOKUP(A47,IMPORTRANGE(""1aFCnJY1qhIj8-JckJhDJ18aqmVo17tofpQmOjcYa3u8/edit#gid=1878241338"",""S4 Totals!$A$2:$O$255""),2,FALSE)"),14.0)</f>
        <v>14</v>
      </c>
      <c r="C47" s="15">
        <f>IFERROR(__xludf.DUMMYFUNCTION("VLOOKUP(A47,IMPORTRANGE(""1aFCnJY1qhIj8-JckJhDJ18aqmVo17tofpQmOjcYa3u8/edit#gid=1878241338"",""S4 Totals!$A$2:$O$255""),3,FALSE)"),0.28)</f>
        <v>0.28</v>
      </c>
      <c r="D47" s="16">
        <f>IFERROR(__xludf.DUMMYFUNCTION("VLOOKUP(A47,IMPORTRANGE(""1QZ5UxyNCwadreQAXnQ7oCoH982DjIA-QnZdO7ZoqkC0/edit#gid=884617569"",""S4 Totals!$A$2:$O$255""),2,FALSE)"),9.0)</f>
        <v>9</v>
      </c>
      <c r="E47" s="15">
        <f>IFERROR(__xludf.DUMMYFUNCTION("VLOOKUP(A47,IMPORTRANGE(""1QZ5UxyNCwadreQAXnQ7oCoH982DjIA-QnZdO7ZoqkC0/edit#gid=884617569"",""S4 Totals!$A$2:$O$255""),3,FALSE)"),0.19148936170212766)</f>
        <v>0.1914893617</v>
      </c>
      <c r="F47" s="146">
        <f t="shared" si="1"/>
        <v>0.0885106383</v>
      </c>
      <c r="G47" s="16">
        <f>IFERROR(__xludf.DUMMYFUNCTION("VLOOKUP(A47,IMPORTRANGE(""1QZ5UxyNCwadreQAXnQ7oCoH982DjIA-QnZdO7ZoqkC0/edit#gid=884617569"",""S4 Totals!$A$2:$O$255""),4,FALSE)"),7.0)</f>
        <v>7</v>
      </c>
      <c r="H47" s="15">
        <f>IFERROR(__xludf.DUMMYFUNCTION("VLOOKUP(A47,IMPORTRANGE(""1QZ5UxyNCwadreQAXnQ7oCoH982DjIA-QnZdO7ZoqkC0/edit#gid=884617569"",""S4 Totals!$A$2:$O$255""),5,FALSE)"),0.1111111111111111)</f>
        <v>0.1111111111</v>
      </c>
      <c r="I47" s="143"/>
      <c r="J47" s="16">
        <f>IFERROR(__xludf.DUMMYFUNCTION("VLOOKUP(A47,IMPORTRANGE(""1QZ5UxyNCwadreQAXnQ7oCoH982DjIA-QnZdO7ZoqkC0/edit#gid=884617569"",""S4 Totals!$A$2:$O$255""),7,FALSE)"),2.0)</f>
        <v>2</v>
      </c>
      <c r="K47" s="15">
        <f>IFERROR(__xludf.DUMMYFUNCTION("VLOOKUP(A47,IMPORTRANGE(""1QZ5UxyNCwadreQAXnQ7oCoH982DjIA-QnZdO7ZoqkC0/edit#gid=884617569"",""S4 Totals!$A$2:$O$255""),8,FALSE)"),0.02857142857142857)</f>
        <v>0.02857142857</v>
      </c>
      <c r="L47" s="147"/>
      <c r="M47" s="16" t="str">
        <f>IFERROR(__xludf.DUMMYFUNCTION("VLOOKUP(A47,IMPORTRANGE(""1QZ5UxyNCwadreQAXnQ7oCoH982DjIA-QnZdO7ZoqkC0/edit#gid=884617569"",""S4 Totals!$A$2:$O$255""),10,FALSE)"),"")</f>
        <v/>
      </c>
      <c r="N47" s="15" t="str">
        <f>IFERROR(__xludf.DUMMYFUNCTION("VLOOKUP(A47,IMPORTRANGE(""1QZ5UxyNCwadreQAXnQ7oCoH982DjIA-QnZdO7ZoqkC0/edit#gid=884617569"",""S4 Totals!$A$2:$O$255""),11,FALSE)"),"")</f>
        <v/>
      </c>
      <c r="O47" s="110"/>
      <c r="P47" s="16" t="str">
        <f>IFERROR(__xludf.DUMMYFUNCTION("VLOOKUP(A47,IMPORTRANGE(""1QZ5UxyNCwadreQAXnQ7oCoH982DjIA-QnZdO7ZoqkC0/edit#gid=884617569"",""S4 Totals!$A$2:$O$255""),13,FALSE)"),"")</f>
        <v/>
      </c>
      <c r="Q47" s="15" t="str">
        <f>IFERROR(__xludf.DUMMYFUNCTION("VLOOKUP(A47,IMPORTRANGE(""1QZ5UxyNCwadreQAXnQ7oCoH982DjIA-QnZdO7ZoqkC0/edit#gid=884617569"",""S4 Totals!$A$2:$O$255""),14,FALSE)"),"")</f>
        <v/>
      </c>
      <c r="R47" s="110"/>
    </row>
    <row r="48">
      <c r="A48" s="128" t="s">
        <v>221</v>
      </c>
      <c r="B48" s="16">
        <f>IFERROR(__xludf.DUMMYFUNCTION("VLOOKUP(A48,IMPORTRANGE(""1aFCnJY1qhIj8-JckJhDJ18aqmVo17tofpQmOjcYa3u8/edit#gid=1878241338"",""S4 Totals!$A$2:$O$255""),2,FALSE)"),0.0)</f>
        <v>0</v>
      </c>
      <c r="C48" s="15">
        <f>IFERROR(__xludf.DUMMYFUNCTION("VLOOKUP(A48,IMPORTRANGE(""1aFCnJY1qhIj8-JckJhDJ18aqmVo17tofpQmOjcYa3u8/edit#gid=1878241338"",""S4 Totals!$A$2:$O$255""),3,FALSE)"),0.0)</f>
        <v>0</v>
      </c>
      <c r="D48" s="16">
        <f>IFERROR(__xludf.DUMMYFUNCTION("VLOOKUP(A48,IMPORTRANGE(""1QZ5UxyNCwadreQAXnQ7oCoH982DjIA-QnZdO7ZoqkC0/edit#gid=884617569"",""S4 Totals!$A$2:$O$255""),2,FALSE)"),0.0)</f>
        <v>0</v>
      </c>
      <c r="E48" s="15">
        <f>IFERROR(__xludf.DUMMYFUNCTION("VLOOKUP(A48,IMPORTRANGE(""1QZ5UxyNCwadreQAXnQ7oCoH982DjIA-QnZdO7ZoqkC0/edit#gid=884617569"",""S4 Totals!$A$2:$O$255""),3,FALSE)"),0.0)</f>
        <v>0</v>
      </c>
      <c r="F48" s="146">
        <f t="shared" si="1"/>
        <v>0</v>
      </c>
      <c r="G48" s="16">
        <f>IFERROR(__xludf.DUMMYFUNCTION("VLOOKUP(A48,IMPORTRANGE(""1QZ5UxyNCwadreQAXnQ7oCoH982DjIA-QnZdO7ZoqkC0/edit#gid=884617569"",""S4 Totals!$A$2:$O$255""),4,FALSE)"),0.0)</f>
        <v>0</v>
      </c>
      <c r="H48" s="15">
        <f>IFERROR(__xludf.DUMMYFUNCTION("VLOOKUP(A48,IMPORTRANGE(""1QZ5UxyNCwadreQAXnQ7oCoH982DjIA-QnZdO7ZoqkC0/edit#gid=884617569"",""S4 Totals!$A$2:$O$255""),5,FALSE)"),0.0)</f>
        <v>0</v>
      </c>
      <c r="I48" s="143"/>
      <c r="J48" s="16" t="str">
        <f>IFERROR(__xludf.DUMMYFUNCTION("VLOOKUP(A48,IMPORTRANGE(""1QZ5UxyNCwadreQAXnQ7oCoH982DjIA-QnZdO7ZoqkC0/edit#gid=884617569"",""S4 Totals!$A$2:$O$255""),7,FALSE)"),"")</f>
        <v/>
      </c>
      <c r="K48" s="15" t="str">
        <f>IFERROR(__xludf.DUMMYFUNCTION("VLOOKUP(A48,IMPORTRANGE(""1QZ5UxyNCwadreQAXnQ7oCoH982DjIA-QnZdO7ZoqkC0/edit#gid=884617569"",""S4 Totals!$A$2:$O$255""),8,FALSE)"),"")</f>
        <v/>
      </c>
      <c r="L48" s="147"/>
      <c r="M48" s="16" t="str">
        <f>IFERROR(__xludf.DUMMYFUNCTION("VLOOKUP(A48,IMPORTRANGE(""1QZ5UxyNCwadreQAXnQ7oCoH982DjIA-QnZdO7ZoqkC0/edit#gid=884617569"",""S4 Totals!$A$2:$O$255""),10,FALSE)"),"")</f>
        <v/>
      </c>
      <c r="N48" s="15" t="str">
        <f>IFERROR(__xludf.DUMMYFUNCTION("VLOOKUP(A48,IMPORTRANGE(""1QZ5UxyNCwadreQAXnQ7oCoH982DjIA-QnZdO7ZoqkC0/edit#gid=884617569"",""S4 Totals!$A$2:$O$255""),11,FALSE)"),"")</f>
        <v/>
      </c>
      <c r="O48" s="110"/>
      <c r="P48" s="16" t="str">
        <f>IFERROR(__xludf.DUMMYFUNCTION("VLOOKUP(A48,IMPORTRANGE(""1QZ5UxyNCwadreQAXnQ7oCoH982DjIA-QnZdO7ZoqkC0/edit#gid=884617569"",""S4 Totals!$A$2:$O$255""),13,FALSE)"),"")</f>
        <v/>
      </c>
      <c r="Q48" s="15" t="str">
        <f>IFERROR(__xludf.DUMMYFUNCTION("VLOOKUP(A48,IMPORTRANGE(""1QZ5UxyNCwadreQAXnQ7oCoH982DjIA-QnZdO7ZoqkC0/edit#gid=884617569"",""S4 Totals!$A$2:$O$255""),14,FALSE)"),"")</f>
        <v/>
      </c>
      <c r="R48" s="110"/>
    </row>
    <row r="49">
      <c r="A49" s="128" t="s">
        <v>38</v>
      </c>
      <c r="B49" s="16">
        <f>IFERROR(__xludf.DUMMYFUNCTION("VLOOKUP(A49,IMPORTRANGE(""1aFCnJY1qhIj8-JckJhDJ18aqmVo17tofpQmOjcYa3u8/edit#gid=1878241338"",""S4 Totals!$A$2:$O$255""),2,FALSE)"),10.0)</f>
        <v>10</v>
      </c>
      <c r="C49" s="15">
        <f>IFERROR(__xludf.DUMMYFUNCTION("VLOOKUP(A49,IMPORTRANGE(""1aFCnJY1qhIj8-JckJhDJ18aqmVo17tofpQmOjcYa3u8/edit#gid=1878241338"",""S4 Totals!$A$2:$O$255""),3,FALSE)"),0.2)</f>
        <v>0.2</v>
      </c>
      <c r="D49" s="16">
        <f>IFERROR(__xludf.DUMMYFUNCTION("VLOOKUP(A49,IMPORTRANGE(""1QZ5UxyNCwadreQAXnQ7oCoH982DjIA-QnZdO7ZoqkC0/edit#gid=884617569"",""S4 Totals!$A$2:$O$255""),2,FALSE)"),11.0)</f>
        <v>11</v>
      </c>
      <c r="E49" s="15">
        <f>IFERROR(__xludf.DUMMYFUNCTION("VLOOKUP(A49,IMPORTRANGE(""1QZ5UxyNCwadreQAXnQ7oCoH982DjIA-QnZdO7ZoqkC0/edit#gid=884617569"",""S4 Totals!$A$2:$O$255""),3,FALSE)"),0.23404255319148937)</f>
        <v>0.2340425532</v>
      </c>
      <c r="F49" s="146">
        <f t="shared" si="1"/>
        <v>-0.03404255319</v>
      </c>
      <c r="G49" s="16">
        <f>IFERROR(__xludf.DUMMYFUNCTION("VLOOKUP(A49,IMPORTRANGE(""1QZ5UxyNCwadreQAXnQ7oCoH982DjIA-QnZdO7ZoqkC0/edit#gid=884617569"",""S4 Totals!$A$2:$O$255""),4,FALSE)"),16.0)</f>
        <v>16</v>
      </c>
      <c r="H49" s="15">
        <f>IFERROR(__xludf.DUMMYFUNCTION("VLOOKUP(A49,IMPORTRANGE(""1QZ5UxyNCwadreQAXnQ7oCoH982DjIA-QnZdO7ZoqkC0/edit#gid=884617569"",""S4 Totals!$A$2:$O$255""),5,FALSE)"),0.25396825396825395)</f>
        <v>0.253968254</v>
      </c>
      <c r="I49" s="143"/>
      <c r="J49" s="16">
        <f>IFERROR(__xludf.DUMMYFUNCTION("VLOOKUP(A49,IMPORTRANGE(""1QZ5UxyNCwadreQAXnQ7oCoH982DjIA-QnZdO7ZoqkC0/edit#gid=884617569"",""S4 Totals!$A$2:$O$255""),7,FALSE)"),8.0)</f>
        <v>8</v>
      </c>
      <c r="K49" s="15">
        <f>IFERROR(__xludf.DUMMYFUNCTION("VLOOKUP(A49,IMPORTRANGE(""1QZ5UxyNCwadreQAXnQ7oCoH982DjIA-QnZdO7ZoqkC0/edit#gid=884617569"",""S4 Totals!$A$2:$O$255""),8,FALSE)"),0.11428571428571428)</f>
        <v>0.1142857143</v>
      </c>
      <c r="L49" s="147"/>
      <c r="M49" s="16">
        <f>IFERROR(__xludf.DUMMYFUNCTION("VLOOKUP(A49,IMPORTRANGE(""1QZ5UxyNCwadreQAXnQ7oCoH982DjIA-QnZdO7ZoqkC0/edit#gid=884617569"",""S4 Totals!$A$2:$O$255""),10,FALSE)"),18.0)</f>
        <v>18</v>
      </c>
      <c r="N49" s="15">
        <f>IFERROR(__xludf.DUMMYFUNCTION("VLOOKUP(A49,IMPORTRANGE(""1QZ5UxyNCwadreQAXnQ7oCoH982DjIA-QnZdO7ZoqkC0/edit#gid=884617569"",""S4 Totals!$A$2:$O$255""),11,FALSE)"),0.24324324324324326)</f>
        <v>0.2432432432</v>
      </c>
      <c r="O49" s="110"/>
      <c r="P49" s="16">
        <f>IFERROR(__xludf.DUMMYFUNCTION("VLOOKUP(A49,IMPORTRANGE(""1QZ5UxyNCwadreQAXnQ7oCoH982DjIA-QnZdO7ZoqkC0/edit#gid=884617569"",""S4 Totals!$A$2:$O$255""),13,FALSE)"),12.0)</f>
        <v>12</v>
      </c>
      <c r="Q49" s="15">
        <f>IFERROR(__xludf.DUMMYFUNCTION("VLOOKUP(A49,IMPORTRANGE(""1QZ5UxyNCwadreQAXnQ7oCoH982DjIA-QnZdO7ZoqkC0/edit#gid=884617569"",""S4 Totals!$A$2:$O$255""),14,FALSE)"),0.16)</f>
        <v>0.16</v>
      </c>
      <c r="R49" s="110"/>
    </row>
    <row r="50">
      <c r="A50" s="128" t="s">
        <v>39</v>
      </c>
      <c r="B50" s="16">
        <f>IFERROR(__xludf.DUMMYFUNCTION("VLOOKUP(A50,IMPORTRANGE(""1aFCnJY1qhIj8-JckJhDJ18aqmVo17tofpQmOjcYa3u8/edit#gid=1878241338"",""S4 Totals!$A$2:$O$255""),2,FALSE)"),7.0)</f>
        <v>7</v>
      </c>
      <c r="C50" s="15">
        <f>IFERROR(__xludf.DUMMYFUNCTION("VLOOKUP(A50,IMPORTRANGE(""1aFCnJY1qhIj8-JckJhDJ18aqmVo17tofpQmOjcYa3u8/edit#gid=1878241338"",""S4 Totals!$A$2:$O$255""),3,FALSE)"),0.14)</f>
        <v>0.14</v>
      </c>
      <c r="D50" s="16">
        <f>IFERROR(__xludf.DUMMYFUNCTION("VLOOKUP(A50,IMPORTRANGE(""1QZ5UxyNCwadreQAXnQ7oCoH982DjIA-QnZdO7ZoqkC0/edit#gid=884617569"",""S4 Totals!$A$2:$O$255""),2,FALSE)"),4.0)</f>
        <v>4</v>
      </c>
      <c r="E50" s="15">
        <f>IFERROR(__xludf.DUMMYFUNCTION("VLOOKUP(A50,IMPORTRANGE(""1QZ5UxyNCwadreQAXnQ7oCoH982DjIA-QnZdO7ZoqkC0/edit#gid=884617569"",""S4 Totals!$A$2:$O$255""),3,FALSE)"),0.0851063829787234)</f>
        <v>0.08510638298</v>
      </c>
      <c r="F50" s="146">
        <f t="shared" si="1"/>
        <v>0.05489361702</v>
      </c>
      <c r="G50" s="16">
        <f>IFERROR(__xludf.DUMMYFUNCTION("VLOOKUP(A50,IMPORTRANGE(""1QZ5UxyNCwadreQAXnQ7oCoH982DjIA-QnZdO7ZoqkC0/edit#gid=884617569"",""S4 Totals!$A$2:$O$255""),4,FALSE)"),3.0)</f>
        <v>3</v>
      </c>
      <c r="H50" s="15">
        <f>IFERROR(__xludf.DUMMYFUNCTION("VLOOKUP(A50,IMPORTRANGE(""1QZ5UxyNCwadreQAXnQ7oCoH982DjIA-QnZdO7ZoqkC0/edit#gid=884617569"",""S4 Totals!$A$2:$O$255""),5,FALSE)"),0.047619047619047616)</f>
        <v>0.04761904762</v>
      </c>
      <c r="I50" s="143"/>
      <c r="J50" s="16">
        <f>IFERROR(__xludf.DUMMYFUNCTION("VLOOKUP(A50,IMPORTRANGE(""1QZ5UxyNCwadreQAXnQ7oCoH982DjIA-QnZdO7ZoqkC0/edit#gid=884617569"",""S4 Totals!$A$2:$O$255""),7,FALSE)"),3.0)</f>
        <v>3</v>
      </c>
      <c r="K50" s="15">
        <f>IFERROR(__xludf.DUMMYFUNCTION("VLOOKUP(A50,IMPORTRANGE(""1QZ5UxyNCwadreQAXnQ7oCoH982DjIA-QnZdO7ZoqkC0/edit#gid=884617569"",""S4 Totals!$A$2:$O$255""),8,FALSE)"),0.04285714285714286)</f>
        <v>0.04285714286</v>
      </c>
      <c r="L50" s="147"/>
      <c r="M50" s="16">
        <f>IFERROR(__xludf.DUMMYFUNCTION("VLOOKUP(A50,IMPORTRANGE(""1QZ5UxyNCwadreQAXnQ7oCoH982DjIA-QnZdO7ZoqkC0/edit#gid=884617569"",""S4 Totals!$A$2:$O$255""),10,FALSE)"),0.0)</f>
        <v>0</v>
      </c>
      <c r="N50" s="15">
        <f>IFERROR(__xludf.DUMMYFUNCTION("VLOOKUP(A50,IMPORTRANGE(""1QZ5UxyNCwadreQAXnQ7oCoH982DjIA-QnZdO7ZoqkC0/edit#gid=884617569"",""S4 Totals!$A$2:$O$255""),11,FALSE)"),0.0)</f>
        <v>0</v>
      </c>
      <c r="O50" s="110"/>
      <c r="P50" s="16">
        <f>IFERROR(__xludf.DUMMYFUNCTION("VLOOKUP(A50,IMPORTRANGE(""1QZ5UxyNCwadreQAXnQ7oCoH982DjIA-QnZdO7ZoqkC0/edit#gid=884617569"",""S4 Totals!$A$2:$O$255""),13,FALSE)"),0.0)</f>
        <v>0</v>
      </c>
      <c r="Q50" s="15">
        <f>IFERROR(__xludf.DUMMYFUNCTION("VLOOKUP(A50,IMPORTRANGE(""1QZ5UxyNCwadreQAXnQ7oCoH982DjIA-QnZdO7ZoqkC0/edit#gid=884617569"",""S4 Totals!$A$2:$O$255""),14,FALSE)"),0.0)</f>
        <v>0</v>
      </c>
      <c r="R50" s="110"/>
    </row>
    <row r="51">
      <c r="A51" s="128" t="s">
        <v>94</v>
      </c>
      <c r="B51" s="16">
        <f>IFERROR(__xludf.DUMMYFUNCTION("VLOOKUP(A51,IMPORTRANGE(""1aFCnJY1qhIj8-JckJhDJ18aqmVo17tofpQmOjcYa3u8/edit#gid=1878241338"",""S4 Totals!$A$2:$O$255""),2,FALSE)"),2.0)</f>
        <v>2</v>
      </c>
      <c r="C51" s="15">
        <f>IFERROR(__xludf.DUMMYFUNCTION("VLOOKUP(A51,IMPORTRANGE(""1aFCnJY1qhIj8-JckJhDJ18aqmVo17tofpQmOjcYa3u8/edit#gid=1878241338"",""S4 Totals!$A$2:$O$255""),3,FALSE)"),0.04)</f>
        <v>0.04</v>
      </c>
      <c r="D51" s="16">
        <f>IFERROR(__xludf.DUMMYFUNCTION("VLOOKUP(A51,IMPORTRANGE(""1QZ5UxyNCwadreQAXnQ7oCoH982DjIA-QnZdO7ZoqkC0/edit#gid=884617569"",""S4 Totals!$A$2:$O$255""),2,FALSE)"),4.0)</f>
        <v>4</v>
      </c>
      <c r="E51" s="15">
        <f>IFERROR(__xludf.DUMMYFUNCTION("VLOOKUP(A51,IMPORTRANGE(""1QZ5UxyNCwadreQAXnQ7oCoH982DjIA-QnZdO7ZoqkC0/edit#gid=884617569"",""S4 Totals!$A$2:$O$255""),3,FALSE)"),0.0851063829787234)</f>
        <v>0.08510638298</v>
      </c>
      <c r="F51" s="146">
        <f t="shared" si="1"/>
        <v>-0.04510638298</v>
      </c>
      <c r="G51" s="16">
        <f>IFERROR(__xludf.DUMMYFUNCTION("VLOOKUP(A51,IMPORTRANGE(""1QZ5UxyNCwadreQAXnQ7oCoH982DjIA-QnZdO7ZoqkC0/edit#gid=884617569"",""S4 Totals!$A$2:$O$255""),4,FALSE)"),7.0)</f>
        <v>7</v>
      </c>
      <c r="H51" s="15">
        <f>IFERROR(__xludf.DUMMYFUNCTION("VLOOKUP(A51,IMPORTRANGE(""1QZ5UxyNCwadreQAXnQ7oCoH982DjIA-QnZdO7ZoqkC0/edit#gid=884617569"",""S4 Totals!$A$2:$O$255""),5,FALSE)"),0.1111111111111111)</f>
        <v>0.1111111111</v>
      </c>
      <c r="I51" s="143"/>
      <c r="J51" s="16">
        <f>IFERROR(__xludf.DUMMYFUNCTION("VLOOKUP(A51,IMPORTRANGE(""1QZ5UxyNCwadreQAXnQ7oCoH982DjIA-QnZdO7ZoqkC0/edit#gid=884617569"",""S4 Totals!$A$2:$O$255""),7,FALSE)"),7.0)</f>
        <v>7</v>
      </c>
      <c r="K51" s="15">
        <f>IFERROR(__xludf.DUMMYFUNCTION("VLOOKUP(A51,IMPORTRANGE(""1QZ5UxyNCwadreQAXnQ7oCoH982DjIA-QnZdO7ZoqkC0/edit#gid=884617569"",""S4 Totals!$A$2:$O$255""),8,FALSE)"),0.1)</f>
        <v>0.1</v>
      </c>
      <c r="L51" s="147"/>
      <c r="M51" s="16">
        <f>IFERROR(__xludf.DUMMYFUNCTION("VLOOKUP(A51,IMPORTRANGE(""1QZ5UxyNCwadreQAXnQ7oCoH982DjIA-QnZdO7ZoqkC0/edit#gid=884617569"",""S4 Totals!$A$2:$O$255""),10,FALSE)"),12.0)</f>
        <v>12</v>
      </c>
      <c r="N51" s="15">
        <f>IFERROR(__xludf.DUMMYFUNCTION("VLOOKUP(A51,IMPORTRANGE(""1QZ5UxyNCwadreQAXnQ7oCoH982DjIA-QnZdO7ZoqkC0/edit#gid=884617569"",""S4 Totals!$A$2:$O$255""),11,FALSE)"),0.16216216216216217)</f>
        <v>0.1621621622</v>
      </c>
      <c r="O51" s="110"/>
      <c r="P51" s="16">
        <f>IFERROR(__xludf.DUMMYFUNCTION("VLOOKUP(A51,IMPORTRANGE(""1QZ5UxyNCwadreQAXnQ7oCoH982DjIA-QnZdO7ZoqkC0/edit#gid=884617569"",""S4 Totals!$A$2:$O$255""),13,FALSE)"),6.0)</f>
        <v>6</v>
      </c>
      <c r="Q51" s="15">
        <f>IFERROR(__xludf.DUMMYFUNCTION("VLOOKUP(A51,IMPORTRANGE(""1QZ5UxyNCwadreQAXnQ7oCoH982DjIA-QnZdO7ZoqkC0/edit#gid=884617569"",""S4 Totals!$A$2:$O$255""),14,FALSE)"),0.08)</f>
        <v>0.08</v>
      </c>
      <c r="R51" s="110"/>
    </row>
    <row r="52">
      <c r="A52" s="128" t="s">
        <v>222</v>
      </c>
      <c r="B52" s="16">
        <f>IFERROR(__xludf.DUMMYFUNCTION("VLOOKUP(A52,IMPORTRANGE(""1aFCnJY1qhIj8-JckJhDJ18aqmVo17tofpQmOjcYa3u8/edit#gid=1878241338"",""S4 Totals!$A$2:$O$255""),2,FALSE)"),2.0)</f>
        <v>2</v>
      </c>
      <c r="C52" s="15">
        <f>IFERROR(__xludf.DUMMYFUNCTION("VLOOKUP(A52,IMPORTRANGE(""1aFCnJY1qhIj8-JckJhDJ18aqmVo17tofpQmOjcYa3u8/edit#gid=1878241338"",""S4 Totals!$A$2:$O$255""),3,FALSE)"),0.04)</f>
        <v>0.04</v>
      </c>
      <c r="D52" s="16">
        <f>IFERROR(__xludf.DUMMYFUNCTION("VLOOKUP(A52,IMPORTRANGE(""1QZ5UxyNCwadreQAXnQ7oCoH982DjIA-QnZdO7ZoqkC0/edit#gid=884617569"",""S4 Totals!$A$2:$O$255""),2,FALSE)"),8.0)</f>
        <v>8</v>
      </c>
      <c r="E52" s="15">
        <f>IFERROR(__xludf.DUMMYFUNCTION("VLOOKUP(A52,IMPORTRANGE(""1QZ5UxyNCwadreQAXnQ7oCoH982DjIA-QnZdO7ZoqkC0/edit#gid=884617569"",""S4 Totals!$A$2:$O$255""),3,FALSE)"),0.1702127659574468)</f>
        <v>0.170212766</v>
      </c>
      <c r="F52" s="146">
        <f t="shared" si="1"/>
        <v>-0.130212766</v>
      </c>
      <c r="G52" s="16">
        <f>IFERROR(__xludf.DUMMYFUNCTION("VLOOKUP(A52,IMPORTRANGE(""1QZ5UxyNCwadreQAXnQ7oCoH982DjIA-QnZdO7ZoqkC0/edit#gid=884617569"",""S4 Totals!$A$2:$O$255""),4,FALSE)"),10.0)</f>
        <v>10</v>
      </c>
      <c r="H52" s="15">
        <f>IFERROR(__xludf.DUMMYFUNCTION("VLOOKUP(A52,IMPORTRANGE(""1QZ5UxyNCwadreQAXnQ7oCoH982DjIA-QnZdO7ZoqkC0/edit#gid=884617569"",""S4 Totals!$A$2:$O$255""),5,FALSE)"),0.15873015873015872)</f>
        <v>0.1587301587</v>
      </c>
      <c r="I52" s="143"/>
      <c r="J52" s="16" t="str">
        <f>IFERROR(__xludf.DUMMYFUNCTION("VLOOKUP(A52,IMPORTRANGE(""1QZ5UxyNCwadreQAXnQ7oCoH982DjIA-QnZdO7ZoqkC0/edit#gid=884617569"",""S4 Totals!$A$2:$O$255""),7,FALSE)"),"")</f>
        <v/>
      </c>
      <c r="K52" s="15" t="str">
        <f>IFERROR(__xludf.DUMMYFUNCTION("VLOOKUP(A52,IMPORTRANGE(""1QZ5UxyNCwadreQAXnQ7oCoH982DjIA-QnZdO7ZoqkC0/edit#gid=884617569"",""S4 Totals!$A$2:$O$255""),8,FALSE)"),"")</f>
        <v/>
      </c>
      <c r="L52" s="147"/>
      <c r="M52" s="16" t="str">
        <f>IFERROR(__xludf.DUMMYFUNCTION("VLOOKUP(A52,IMPORTRANGE(""1QZ5UxyNCwadreQAXnQ7oCoH982DjIA-QnZdO7ZoqkC0/edit#gid=884617569"",""S4 Totals!$A$2:$O$255""),10,FALSE)"),"")</f>
        <v/>
      </c>
      <c r="N52" s="15" t="str">
        <f>IFERROR(__xludf.DUMMYFUNCTION("VLOOKUP(A52,IMPORTRANGE(""1QZ5UxyNCwadreQAXnQ7oCoH982DjIA-QnZdO7ZoqkC0/edit#gid=884617569"",""S4 Totals!$A$2:$O$255""),11,FALSE)"),"")</f>
        <v/>
      </c>
      <c r="O52" s="110"/>
      <c r="P52" s="16" t="str">
        <f>IFERROR(__xludf.DUMMYFUNCTION("VLOOKUP(A52,IMPORTRANGE(""1QZ5UxyNCwadreQAXnQ7oCoH982DjIA-QnZdO7ZoqkC0/edit#gid=884617569"",""S4 Totals!$A$2:$O$255""),13,FALSE)"),"")</f>
        <v/>
      </c>
      <c r="Q52" s="15" t="str">
        <f>IFERROR(__xludf.DUMMYFUNCTION("VLOOKUP(A52,IMPORTRANGE(""1QZ5UxyNCwadreQAXnQ7oCoH982DjIA-QnZdO7ZoqkC0/edit#gid=884617569"",""S4 Totals!$A$2:$O$255""),14,FALSE)"),"")</f>
        <v/>
      </c>
      <c r="R52" s="110"/>
    </row>
    <row r="53">
      <c r="A53" s="128" t="s">
        <v>171</v>
      </c>
      <c r="B53" s="16">
        <f>IFERROR(__xludf.DUMMYFUNCTION("VLOOKUP(A53,IMPORTRANGE(""1aFCnJY1qhIj8-JckJhDJ18aqmVo17tofpQmOjcYa3u8/edit#gid=1878241338"",""S4 Totals!$A$2:$O$255""),2,FALSE)"),7.0)</f>
        <v>7</v>
      </c>
      <c r="C53" s="15">
        <f>IFERROR(__xludf.DUMMYFUNCTION("VLOOKUP(A53,IMPORTRANGE(""1aFCnJY1qhIj8-JckJhDJ18aqmVo17tofpQmOjcYa3u8/edit#gid=1878241338"",""S4 Totals!$A$2:$O$255""),3,FALSE)"),0.14)</f>
        <v>0.14</v>
      </c>
      <c r="D53" s="16">
        <f>IFERROR(__xludf.DUMMYFUNCTION("VLOOKUP(A53,IMPORTRANGE(""1QZ5UxyNCwadreQAXnQ7oCoH982DjIA-QnZdO7ZoqkC0/edit#gid=884617569"",""S4 Totals!$A$2:$O$255""),2,FALSE)"),10.0)</f>
        <v>10</v>
      </c>
      <c r="E53" s="15">
        <f>IFERROR(__xludf.DUMMYFUNCTION("VLOOKUP(A53,IMPORTRANGE(""1QZ5UxyNCwadreQAXnQ7oCoH982DjIA-QnZdO7ZoqkC0/edit#gid=884617569"",""S4 Totals!$A$2:$O$255""),3,FALSE)"),0.2127659574468085)</f>
        <v>0.2127659574</v>
      </c>
      <c r="F53" s="146">
        <f t="shared" si="1"/>
        <v>-0.07276595745</v>
      </c>
      <c r="G53" s="16">
        <f>IFERROR(__xludf.DUMMYFUNCTION("VLOOKUP(A53,IMPORTRANGE(""1QZ5UxyNCwadreQAXnQ7oCoH982DjIA-QnZdO7ZoqkC0/edit#gid=884617569"",""S4 Totals!$A$2:$O$255""),4,FALSE)"),9.0)</f>
        <v>9</v>
      </c>
      <c r="H53" s="15">
        <f>IFERROR(__xludf.DUMMYFUNCTION("VLOOKUP(A53,IMPORTRANGE(""1QZ5UxyNCwadreQAXnQ7oCoH982DjIA-QnZdO7ZoqkC0/edit#gid=884617569"",""S4 Totals!$A$2:$O$255""),5,FALSE)"),0.14285714285714285)</f>
        <v>0.1428571429</v>
      </c>
      <c r="I53" s="143"/>
      <c r="J53" s="16">
        <f>IFERROR(__xludf.DUMMYFUNCTION("VLOOKUP(A53,IMPORTRANGE(""1QZ5UxyNCwadreQAXnQ7oCoH982DjIA-QnZdO7ZoqkC0/edit#gid=884617569"",""S4 Totals!$A$2:$O$255""),7,FALSE)"),8.0)</f>
        <v>8</v>
      </c>
      <c r="K53" s="15">
        <f>IFERROR(__xludf.DUMMYFUNCTION("VLOOKUP(A53,IMPORTRANGE(""1QZ5UxyNCwadreQAXnQ7oCoH982DjIA-QnZdO7ZoqkC0/edit#gid=884617569"",""S4 Totals!$A$2:$O$255""),8,FALSE)"),0.11428571428571428)</f>
        <v>0.1142857143</v>
      </c>
      <c r="L53" s="147"/>
      <c r="M53" s="16" t="str">
        <f>IFERROR(__xludf.DUMMYFUNCTION("VLOOKUP(A53,IMPORTRANGE(""1QZ5UxyNCwadreQAXnQ7oCoH982DjIA-QnZdO7ZoqkC0/edit#gid=884617569"",""S4 Totals!$A$2:$O$255""),10,FALSE)"),"")</f>
        <v/>
      </c>
      <c r="N53" s="15" t="str">
        <f>IFERROR(__xludf.DUMMYFUNCTION("VLOOKUP(A53,IMPORTRANGE(""1QZ5UxyNCwadreQAXnQ7oCoH982DjIA-QnZdO7ZoqkC0/edit#gid=884617569"",""S4 Totals!$A$2:$O$255""),11,FALSE)"),"")</f>
        <v/>
      </c>
      <c r="O53" s="110"/>
      <c r="P53" s="16" t="str">
        <f>IFERROR(__xludf.DUMMYFUNCTION("VLOOKUP(A53,IMPORTRANGE(""1QZ5UxyNCwadreQAXnQ7oCoH982DjIA-QnZdO7ZoqkC0/edit#gid=884617569"",""S4 Totals!$A$2:$O$255""),13,FALSE)"),"")</f>
        <v/>
      </c>
      <c r="Q53" s="15" t="str">
        <f>IFERROR(__xludf.DUMMYFUNCTION("VLOOKUP(A53,IMPORTRANGE(""1QZ5UxyNCwadreQAXnQ7oCoH982DjIA-QnZdO7ZoqkC0/edit#gid=884617569"",""S4 Totals!$A$2:$O$255""),14,FALSE)"),"")</f>
        <v/>
      </c>
      <c r="R53" s="110"/>
    </row>
    <row r="54">
      <c r="A54" s="128" t="s">
        <v>41</v>
      </c>
      <c r="B54" s="16">
        <f>IFERROR(__xludf.DUMMYFUNCTION("VLOOKUP(A54,IMPORTRANGE(""1aFCnJY1qhIj8-JckJhDJ18aqmVo17tofpQmOjcYa3u8/edit#gid=1878241338"",""S4 Totals!$A$2:$O$255""),2,FALSE)"),14.0)</f>
        <v>14</v>
      </c>
      <c r="C54" s="15">
        <f>IFERROR(__xludf.DUMMYFUNCTION("VLOOKUP(A54,IMPORTRANGE(""1aFCnJY1qhIj8-JckJhDJ18aqmVo17tofpQmOjcYa3u8/edit#gid=1878241338"",""S4 Totals!$A$2:$O$255""),3,FALSE)"),0.28)</f>
        <v>0.28</v>
      </c>
      <c r="D54" s="16">
        <f>IFERROR(__xludf.DUMMYFUNCTION("VLOOKUP(A54,IMPORTRANGE(""1QZ5UxyNCwadreQAXnQ7oCoH982DjIA-QnZdO7ZoqkC0/edit#gid=884617569"",""S4 Totals!$A$2:$O$255""),2,FALSE)"),7.0)</f>
        <v>7</v>
      </c>
      <c r="E54" s="15">
        <f>IFERROR(__xludf.DUMMYFUNCTION("VLOOKUP(A54,IMPORTRANGE(""1QZ5UxyNCwadreQAXnQ7oCoH982DjIA-QnZdO7ZoqkC0/edit#gid=884617569"",""S4 Totals!$A$2:$O$255""),3,FALSE)"),0.14893617021276595)</f>
        <v>0.1489361702</v>
      </c>
      <c r="F54" s="146">
        <f t="shared" si="1"/>
        <v>0.1310638298</v>
      </c>
      <c r="G54" s="16">
        <f>IFERROR(__xludf.DUMMYFUNCTION("VLOOKUP(A54,IMPORTRANGE(""1QZ5UxyNCwadreQAXnQ7oCoH982DjIA-QnZdO7ZoqkC0/edit#gid=884617569"",""S4 Totals!$A$2:$O$255""),4,FALSE)"),9.0)</f>
        <v>9</v>
      </c>
      <c r="H54" s="15">
        <f>IFERROR(__xludf.DUMMYFUNCTION("VLOOKUP(A54,IMPORTRANGE(""1QZ5UxyNCwadreQAXnQ7oCoH982DjIA-QnZdO7ZoqkC0/edit#gid=884617569"",""S4 Totals!$A$2:$O$255""),5,FALSE)"),0.14285714285714285)</f>
        <v>0.1428571429</v>
      </c>
      <c r="I54" s="143"/>
      <c r="J54" s="16">
        <f>IFERROR(__xludf.DUMMYFUNCTION("VLOOKUP(A54,IMPORTRANGE(""1QZ5UxyNCwadreQAXnQ7oCoH982DjIA-QnZdO7ZoqkC0/edit#gid=884617569"",""S4 Totals!$A$2:$O$255""),7,FALSE)"),12.0)</f>
        <v>12</v>
      </c>
      <c r="K54" s="15">
        <f>IFERROR(__xludf.DUMMYFUNCTION("VLOOKUP(A54,IMPORTRANGE(""1QZ5UxyNCwadreQAXnQ7oCoH982DjIA-QnZdO7ZoqkC0/edit#gid=884617569"",""S4 Totals!$A$2:$O$255""),8,FALSE)"),0.17142857142857143)</f>
        <v>0.1714285714</v>
      </c>
      <c r="L54" s="147"/>
      <c r="M54" s="16">
        <f>IFERROR(__xludf.DUMMYFUNCTION("VLOOKUP(A54,IMPORTRANGE(""1QZ5UxyNCwadreQAXnQ7oCoH982DjIA-QnZdO7ZoqkC0/edit#gid=884617569"",""S4 Totals!$A$2:$O$255""),10,FALSE)"),21.0)</f>
        <v>21</v>
      </c>
      <c r="N54" s="15">
        <f>IFERROR(__xludf.DUMMYFUNCTION("VLOOKUP(A54,IMPORTRANGE(""1QZ5UxyNCwadreQAXnQ7oCoH982DjIA-QnZdO7ZoqkC0/edit#gid=884617569"",""S4 Totals!$A$2:$O$255""),11,FALSE)"),0.28378378378378377)</f>
        <v>0.2837837838</v>
      </c>
      <c r="O54" s="110"/>
      <c r="P54" s="16">
        <f>IFERROR(__xludf.DUMMYFUNCTION("VLOOKUP(A54,IMPORTRANGE(""1QZ5UxyNCwadreQAXnQ7oCoH982DjIA-QnZdO7ZoqkC0/edit#gid=884617569"",""S4 Totals!$A$2:$O$255""),13,FALSE)"),21.0)</f>
        <v>21</v>
      </c>
      <c r="Q54" s="15">
        <f>IFERROR(__xludf.DUMMYFUNCTION("VLOOKUP(A54,IMPORTRANGE(""1QZ5UxyNCwadreQAXnQ7oCoH982DjIA-QnZdO7ZoqkC0/edit#gid=884617569"",""S4 Totals!$A$2:$O$255""),14,FALSE)"),0.28)</f>
        <v>0.28</v>
      </c>
      <c r="R54" s="110"/>
    </row>
    <row r="55">
      <c r="A55" s="128" t="s">
        <v>298</v>
      </c>
      <c r="B55" s="16">
        <f>IFERROR(__xludf.DUMMYFUNCTION("VLOOKUP(A55,IMPORTRANGE(""1aFCnJY1qhIj8-JckJhDJ18aqmVo17tofpQmOjcYa3u8/edit#gid=1878241338"",""S4 Totals!$A$2:$O$255""),2,FALSE)"),2.0)</f>
        <v>2</v>
      </c>
      <c r="C55" s="15">
        <f>IFERROR(__xludf.DUMMYFUNCTION("VLOOKUP(A55,IMPORTRANGE(""1aFCnJY1qhIj8-JckJhDJ18aqmVo17tofpQmOjcYa3u8/edit#gid=1878241338"",""S4 Totals!$A$2:$O$255""),3,FALSE)"),0.04)</f>
        <v>0.04</v>
      </c>
      <c r="D55" s="16">
        <f>IFERROR(__xludf.DUMMYFUNCTION("VLOOKUP(A55,IMPORTRANGE(""1QZ5UxyNCwadreQAXnQ7oCoH982DjIA-QnZdO7ZoqkC0/edit#gid=884617569"",""S4 Totals!$A$2:$O$255""),2,FALSE)"),3.0)</f>
        <v>3</v>
      </c>
      <c r="E55" s="15">
        <f>IFERROR(__xludf.DUMMYFUNCTION("VLOOKUP(A55,IMPORTRANGE(""1QZ5UxyNCwadreQAXnQ7oCoH982DjIA-QnZdO7ZoqkC0/edit#gid=884617569"",""S4 Totals!$A$2:$O$255""),3,FALSE)"),0.06382978723404255)</f>
        <v>0.06382978723</v>
      </c>
      <c r="F55" s="146">
        <f t="shared" si="1"/>
        <v>-0.02382978723</v>
      </c>
      <c r="G55" s="16">
        <f>IFERROR(__xludf.DUMMYFUNCTION("VLOOKUP(A55,IMPORTRANGE(""1QZ5UxyNCwadreQAXnQ7oCoH982DjIA-QnZdO7ZoqkC0/edit#gid=884617569"",""S4 Totals!$A$2:$O$255""),4,FALSE)"),5.0)</f>
        <v>5</v>
      </c>
      <c r="H55" s="15">
        <f>IFERROR(__xludf.DUMMYFUNCTION("VLOOKUP(A55,IMPORTRANGE(""1QZ5UxyNCwadreQAXnQ7oCoH982DjIA-QnZdO7ZoqkC0/edit#gid=884617569"",""S4 Totals!$A$2:$O$255""),5,FALSE)"),0.07936507936507936)</f>
        <v>0.07936507937</v>
      </c>
      <c r="I55" s="143"/>
      <c r="J55" s="16">
        <f>IFERROR(__xludf.DUMMYFUNCTION("VLOOKUP(A55,IMPORTRANGE(""1QZ5UxyNCwadreQAXnQ7oCoH982DjIA-QnZdO7ZoqkC0/edit#gid=884617569"",""S4 Totals!$A$2:$O$255""),7,FALSE)"),3.0)</f>
        <v>3</v>
      </c>
      <c r="K55" s="15">
        <f>IFERROR(__xludf.DUMMYFUNCTION("VLOOKUP(A55,IMPORTRANGE(""1QZ5UxyNCwadreQAXnQ7oCoH982DjIA-QnZdO7ZoqkC0/edit#gid=884617569"",""S4 Totals!$A$2:$O$255""),8,FALSE)"),0.04285714285714286)</f>
        <v>0.04285714286</v>
      </c>
      <c r="L55" s="147"/>
      <c r="M55" s="16" t="str">
        <f>IFERROR(__xludf.DUMMYFUNCTION("VLOOKUP(A55,IMPORTRANGE(""1QZ5UxyNCwadreQAXnQ7oCoH982DjIA-QnZdO7ZoqkC0/edit#gid=884617569"",""S4 Totals!$A$2:$O$255""),10,FALSE)"),"")</f>
        <v/>
      </c>
      <c r="N55" s="15" t="str">
        <f>IFERROR(__xludf.DUMMYFUNCTION("VLOOKUP(A55,IMPORTRANGE(""1QZ5UxyNCwadreQAXnQ7oCoH982DjIA-QnZdO7ZoqkC0/edit#gid=884617569"",""S4 Totals!$A$2:$O$255""),11,FALSE)"),"")</f>
        <v/>
      </c>
      <c r="O55" s="110"/>
      <c r="P55" s="16" t="str">
        <f>IFERROR(__xludf.DUMMYFUNCTION("VLOOKUP(A55,IMPORTRANGE(""1QZ5UxyNCwadreQAXnQ7oCoH982DjIA-QnZdO7ZoqkC0/edit#gid=884617569"",""S4 Totals!$A$2:$O$255""),13,FALSE)"),"")</f>
        <v/>
      </c>
      <c r="Q55" s="15" t="str">
        <f>IFERROR(__xludf.DUMMYFUNCTION("VLOOKUP(A55,IMPORTRANGE(""1QZ5UxyNCwadreQAXnQ7oCoH982DjIA-QnZdO7ZoqkC0/edit#gid=884617569"",""S4 Totals!$A$2:$O$255""),14,FALSE)"),"")</f>
        <v/>
      </c>
      <c r="R55" s="110"/>
    </row>
    <row r="56">
      <c r="A56" s="128" t="s">
        <v>42</v>
      </c>
      <c r="B56" s="16">
        <f>IFERROR(__xludf.DUMMYFUNCTION("VLOOKUP(A56,IMPORTRANGE(""1aFCnJY1qhIj8-JckJhDJ18aqmVo17tofpQmOjcYa3u8/edit#gid=1878241338"",""S4 Totals!$A$2:$O$255""),2,FALSE)"),11.0)</f>
        <v>11</v>
      </c>
      <c r="C56" s="15">
        <f>IFERROR(__xludf.DUMMYFUNCTION("VLOOKUP(A56,IMPORTRANGE(""1aFCnJY1qhIj8-JckJhDJ18aqmVo17tofpQmOjcYa3u8/edit#gid=1878241338"",""S4 Totals!$A$2:$O$255""),3,FALSE)"),0.22)</f>
        <v>0.22</v>
      </c>
      <c r="D56" s="16">
        <f>IFERROR(__xludf.DUMMYFUNCTION("VLOOKUP(A56,IMPORTRANGE(""1QZ5UxyNCwadreQAXnQ7oCoH982DjIA-QnZdO7ZoqkC0/edit#gid=884617569"",""S4 Totals!$A$2:$O$255""),2,FALSE)"),11.0)</f>
        <v>11</v>
      </c>
      <c r="E56" s="15">
        <f>IFERROR(__xludf.DUMMYFUNCTION("VLOOKUP(A56,IMPORTRANGE(""1QZ5UxyNCwadreQAXnQ7oCoH982DjIA-QnZdO7ZoqkC0/edit#gid=884617569"",""S4 Totals!$A$2:$O$255""),3,FALSE)"),0.23404255319148937)</f>
        <v>0.2340425532</v>
      </c>
      <c r="F56" s="146">
        <f t="shared" si="1"/>
        <v>-0.01404255319</v>
      </c>
      <c r="G56" s="16">
        <f>IFERROR(__xludf.DUMMYFUNCTION("VLOOKUP(A56,IMPORTRANGE(""1QZ5UxyNCwadreQAXnQ7oCoH982DjIA-QnZdO7ZoqkC0/edit#gid=884617569"",""S4 Totals!$A$2:$O$255""),4,FALSE)"),11.0)</f>
        <v>11</v>
      </c>
      <c r="H56" s="15">
        <f>IFERROR(__xludf.DUMMYFUNCTION("VLOOKUP(A56,IMPORTRANGE(""1QZ5UxyNCwadreQAXnQ7oCoH982DjIA-QnZdO7ZoqkC0/edit#gid=884617569"",""S4 Totals!$A$2:$O$255""),5,FALSE)"),0.1746031746031746)</f>
        <v>0.1746031746</v>
      </c>
      <c r="I56" s="143"/>
      <c r="J56" s="16">
        <f>IFERROR(__xludf.DUMMYFUNCTION("VLOOKUP(A56,IMPORTRANGE(""1QZ5UxyNCwadreQAXnQ7oCoH982DjIA-QnZdO7ZoqkC0/edit#gid=884617569"",""S4 Totals!$A$2:$O$255""),7,FALSE)"),11.0)</f>
        <v>11</v>
      </c>
      <c r="K56" s="15">
        <f>IFERROR(__xludf.DUMMYFUNCTION("VLOOKUP(A56,IMPORTRANGE(""1QZ5UxyNCwadreQAXnQ7oCoH982DjIA-QnZdO7ZoqkC0/edit#gid=884617569"",""S4 Totals!$A$2:$O$255""),8,FALSE)"),0.15714285714285714)</f>
        <v>0.1571428571</v>
      </c>
      <c r="L56" s="147"/>
      <c r="M56" s="16">
        <f>IFERROR(__xludf.DUMMYFUNCTION("VLOOKUP(A56,IMPORTRANGE(""1QZ5UxyNCwadreQAXnQ7oCoH982DjIA-QnZdO7ZoqkC0/edit#gid=884617569"",""S4 Totals!$A$2:$O$255""),10,FALSE)"),13.0)</f>
        <v>13</v>
      </c>
      <c r="N56" s="15">
        <f>IFERROR(__xludf.DUMMYFUNCTION("VLOOKUP(A56,IMPORTRANGE(""1QZ5UxyNCwadreQAXnQ7oCoH982DjIA-QnZdO7ZoqkC0/edit#gid=884617569"",""S4 Totals!$A$2:$O$255""),11,FALSE)"),0.17567567567567569)</f>
        <v>0.1756756757</v>
      </c>
      <c r="O56" s="110"/>
      <c r="P56" s="16">
        <f>IFERROR(__xludf.DUMMYFUNCTION("VLOOKUP(A56,IMPORTRANGE(""1QZ5UxyNCwadreQAXnQ7oCoH982DjIA-QnZdO7ZoqkC0/edit#gid=884617569"",""S4 Totals!$A$2:$O$255""),13,FALSE)"),7.0)</f>
        <v>7</v>
      </c>
      <c r="Q56" s="15">
        <f>IFERROR(__xludf.DUMMYFUNCTION("VLOOKUP(A56,IMPORTRANGE(""1QZ5UxyNCwadreQAXnQ7oCoH982DjIA-QnZdO7ZoqkC0/edit#gid=884617569"",""S4 Totals!$A$2:$O$255""),14,FALSE)"),0.09333333333333334)</f>
        <v>0.09333333333</v>
      </c>
      <c r="R56" s="110"/>
    </row>
    <row r="57">
      <c r="A57" s="128" t="s">
        <v>43</v>
      </c>
      <c r="B57" s="16">
        <f>IFERROR(__xludf.DUMMYFUNCTION("VLOOKUP(A57,IMPORTRANGE(""1aFCnJY1qhIj8-JckJhDJ18aqmVo17tofpQmOjcYa3u8/edit#gid=1878241338"",""S4 Totals!$A$2:$O$255""),2,FALSE)"),16.0)</f>
        <v>16</v>
      </c>
      <c r="C57" s="15">
        <f>IFERROR(__xludf.DUMMYFUNCTION("VLOOKUP(A57,IMPORTRANGE(""1aFCnJY1qhIj8-JckJhDJ18aqmVo17tofpQmOjcYa3u8/edit#gid=1878241338"",""S4 Totals!$A$2:$O$255""),3,FALSE)"),0.32)</f>
        <v>0.32</v>
      </c>
      <c r="D57" s="16">
        <f>IFERROR(__xludf.DUMMYFUNCTION("VLOOKUP(A57,IMPORTRANGE(""1QZ5UxyNCwadreQAXnQ7oCoH982DjIA-QnZdO7ZoqkC0/edit#gid=884617569"",""S4 Totals!$A$2:$O$255""),2,FALSE)"),15.0)</f>
        <v>15</v>
      </c>
      <c r="E57" s="15">
        <f>IFERROR(__xludf.DUMMYFUNCTION("VLOOKUP(A57,IMPORTRANGE(""1QZ5UxyNCwadreQAXnQ7oCoH982DjIA-QnZdO7ZoqkC0/edit#gid=884617569"",""S4 Totals!$A$2:$O$255""),3,FALSE)"),0.3191489361702128)</f>
        <v>0.3191489362</v>
      </c>
      <c r="F57" s="146">
        <f t="shared" si="1"/>
        <v>0.0008510638298</v>
      </c>
      <c r="G57" s="16">
        <f>IFERROR(__xludf.DUMMYFUNCTION("VLOOKUP(A57,IMPORTRANGE(""1QZ5UxyNCwadreQAXnQ7oCoH982DjIA-QnZdO7ZoqkC0/edit#gid=884617569"",""S4 Totals!$A$2:$O$255""),4,FALSE)"),17.0)</f>
        <v>17</v>
      </c>
      <c r="H57" s="15">
        <f>IFERROR(__xludf.DUMMYFUNCTION("VLOOKUP(A57,IMPORTRANGE(""1QZ5UxyNCwadreQAXnQ7oCoH982DjIA-QnZdO7ZoqkC0/edit#gid=884617569"",""S4 Totals!$A$2:$O$255""),5,FALSE)"),0.2698412698412698)</f>
        <v>0.2698412698</v>
      </c>
      <c r="I57" s="143"/>
      <c r="J57" s="16">
        <f>IFERROR(__xludf.DUMMYFUNCTION("VLOOKUP(A57,IMPORTRANGE(""1QZ5UxyNCwadreQAXnQ7oCoH982DjIA-QnZdO7ZoqkC0/edit#gid=884617569"",""S4 Totals!$A$2:$O$255""),7,FALSE)"),23.0)</f>
        <v>23</v>
      </c>
      <c r="K57" s="15">
        <f>IFERROR(__xludf.DUMMYFUNCTION("VLOOKUP(A57,IMPORTRANGE(""1QZ5UxyNCwadreQAXnQ7oCoH982DjIA-QnZdO7ZoqkC0/edit#gid=884617569"",""S4 Totals!$A$2:$O$255""),8,FALSE)"),0.32857142857142857)</f>
        <v>0.3285714286</v>
      </c>
      <c r="L57" s="147"/>
      <c r="M57" s="16">
        <f>IFERROR(__xludf.DUMMYFUNCTION("VLOOKUP(A57,IMPORTRANGE(""1QZ5UxyNCwadreQAXnQ7oCoH982DjIA-QnZdO7ZoqkC0/edit#gid=884617569"",""S4 Totals!$A$2:$O$255""),10,FALSE)"),12.0)</f>
        <v>12</v>
      </c>
      <c r="N57" s="15">
        <f>IFERROR(__xludf.DUMMYFUNCTION("VLOOKUP(A57,IMPORTRANGE(""1QZ5UxyNCwadreQAXnQ7oCoH982DjIA-QnZdO7ZoqkC0/edit#gid=884617569"",""S4 Totals!$A$2:$O$255""),11,FALSE)"),0.16216216216216217)</f>
        <v>0.1621621622</v>
      </c>
      <c r="O57" s="110"/>
      <c r="P57" s="16">
        <f>IFERROR(__xludf.DUMMYFUNCTION("VLOOKUP(A57,IMPORTRANGE(""1QZ5UxyNCwadreQAXnQ7oCoH982DjIA-QnZdO7ZoqkC0/edit#gid=884617569"",""S4 Totals!$A$2:$O$255""),13,FALSE)"),12.0)</f>
        <v>12</v>
      </c>
      <c r="Q57" s="15">
        <f>IFERROR(__xludf.DUMMYFUNCTION("VLOOKUP(A57,IMPORTRANGE(""1QZ5UxyNCwadreQAXnQ7oCoH982DjIA-QnZdO7ZoqkC0/edit#gid=884617569"",""S4 Totals!$A$2:$O$255""),14,FALSE)"),0.16)</f>
        <v>0.16</v>
      </c>
      <c r="R57" s="110"/>
    </row>
    <row r="58">
      <c r="A58" s="128" t="s">
        <v>118</v>
      </c>
      <c r="B58" s="16">
        <f>IFERROR(__xludf.DUMMYFUNCTION("VLOOKUP(A58,IMPORTRANGE(""1aFCnJY1qhIj8-JckJhDJ18aqmVo17tofpQmOjcYa3u8/edit#gid=1878241338"",""S4 Totals!$A$2:$O$255""),2,FALSE)"),12.0)</f>
        <v>12</v>
      </c>
      <c r="C58" s="15">
        <f>IFERROR(__xludf.DUMMYFUNCTION("VLOOKUP(A58,IMPORTRANGE(""1aFCnJY1qhIj8-JckJhDJ18aqmVo17tofpQmOjcYa3u8/edit#gid=1878241338"",""S4 Totals!$A$2:$O$255""),3,FALSE)"),0.24)</f>
        <v>0.24</v>
      </c>
      <c r="D58" s="16">
        <f>IFERROR(__xludf.DUMMYFUNCTION("VLOOKUP(A58,IMPORTRANGE(""1QZ5UxyNCwadreQAXnQ7oCoH982DjIA-QnZdO7ZoqkC0/edit#gid=884617569"",""S4 Totals!$A$2:$O$255""),2,FALSE)"),10.0)</f>
        <v>10</v>
      </c>
      <c r="E58" s="15">
        <f>IFERROR(__xludf.DUMMYFUNCTION("VLOOKUP(A58,IMPORTRANGE(""1QZ5UxyNCwadreQAXnQ7oCoH982DjIA-QnZdO7ZoqkC0/edit#gid=884617569"",""S4 Totals!$A$2:$O$255""),3,FALSE)"),0.2127659574468085)</f>
        <v>0.2127659574</v>
      </c>
      <c r="F58" s="146">
        <f t="shared" si="1"/>
        <v>0.02723404255</v>
      </c>
      <c r="G58" s="16">
        <f>IFERROR(__xludf.DUMMYFUNCTION("VLOOKUP(A58,IMPORTRANGE(""1QZ5UxyNCwadreQAXnQ7oCoH982DjIA-QnZdO7ZoqkC0/edit#gid=884617569"",""S4 Totals!$A$2:$O$255""),4,FALSE)"),12.0)</f>
        <v>12</v>
      </c>
      <c r="H58" s="15">
        <f>IFERROR(__xludf.DUMMYFUNCTION("VLOOKUP(A58,IMPORTRANGE(""1QZ5UxyNCwadreQAXnQ7oCoH982DjIA-QnZdO7ZoqkC0/edit#gid=884617569"",""S4 Totals!$A$2:$O$255""),5,FALSE)"),0.19047619047619047)</f>
        <v>0.1904761905</v>
      </c>
      <c r="I58" s="143"/>
      <c r="J58" s="16">
        <f>IFERROR(__xludf.DUMMYFUNCTION("VLOOKUP(A58,IMPORTRANGE(""1QZ5UxyNCwadreQAXnQ7oCoH982DjIA-QnZdO7ZoqkC0/edit#gid=884617569"",""S4 Totals!$A$2:$O$255""),7,FALSE)"),10.0)</f>
        <v>10</v>
      </c>
      <c r="K58" s="15">
        <f>IFERROR(__xludf.DUMMYFUNCTION("VLOOKUP(A58,IMPORTRANGE(""1QZ5UxyNCwadreQAXnQ7oCoH982DjIA-QnZdO7ZoqkC0/edit#gid=884617569"",""S4 Totals!$A$2:$O$255""),8,FALSE)"),0.14285714285714285)</f>
        <v>0.1428571429</v>
      </c>
      <c r="L58" s="147"/>
      <c r="M58" s="16">
        <f>IFERROR(__xludf.DUMMYFUNCTION("VLOOKUP(A58,IMPORTRANGE(""1QZ5UxyNCwadreQAXnQ7oCoH982DjIA-QnZdO7ZoqkC0/edit#gid=884617569"",""S4 Totals!$A$2:$O$255""),10,FALSE)"),7.0)</f>
        <v>7</v>
      </c>
      <c r="N58" s="15">
        <f>IFERROR(__xludf.DUMMYFUNCTION("VLOOKUP(A58,IMPORTRANGE(""1QZ5UxyNCwadreQAXnQ7oCoH982DjIA-QnZdO7ZoqkC0/edit#gid=884617569"",""S4 Totals!$A$2:$O$255""),11,FALSE)"),0.0945945945945946)</f>
        <v>0.09459459459</v>
      </c>
      <c r="O58" s="110"/>
      <c r="P58" s="16" t="str">
        <f>IFERROR(__xludf.DUMMYFUNCTION("VLOOKUP(A58,IMPORTRANGE(""1QZ5UxyNCwadreQAXnQ7oCoH982DjIA-QnZdO7ZoqkC0/edit#gid=884617569"",""S4 Totals!$A$2:$O$255""),13,FALSE)"),"")</f>
        <v/>
      </c>
      <c r="Q58" s="15" t="str">
        <f>IFERROR(__xludf.DUMMYFUNCTION("VLOOKUP(A58,IMPORTRANGE(""1QZ5UxyNCwadreQAXnQ7oCoH982DjIA-QnZdO7ZoqkC0/edit#gid=884617569"",""S4 Totals!$A$2:$O$255""),14,FALSE)"),"")</f>
        <v/>
      </c>
      <c r="R58" s="110"/>
    </row>
    <row r="59">
      <c r="A59" s="128" t="s">
        <v>40</v>
      </c>
      <c r="B59" s="16">
        <f>IFERROR(__xludf.DUMMYFUNCTION("VLOOKUP(A59,IMPORTRANGE(""1aFCnJY1qhIj8-JckJhDJ18aqmVo17tofpQmOjcYa3u8/edit#gid=1878241338"",""S4 Totals!$A$2:$O$255""),2,FALSE)"),4.0)</f>
        <v>4</v>
      </c>
      <c r="C59" s="15">
        <f>IFERROR(__xludf.DUMMYFUNCTION("VLOOKUP(A59,IMPORTRANGE(""1aFCnJY1qhIj8-JckJhDJ18aqmVo17tofpQmOjcYa3u8/edit#gid=1878241338"",""S4 Totals!$A$2:$O$255""),3,FALSE)"),0.08)</f>
        <v>0.08</v>
      </c>
      <c r="D59" s="16">
        <f>IFERROR(__xludf.DUMMYFUNCTION("VLOOKUP(A59,IMPORTRANGE(""1QZ5UxyNCwadreQAXnQ7oCoH982DjIA-QnZdO7ZoqkC0/edit#gid=884617569"",""S4 Totals!$A$2:$O$255""),2,FALSE)"),5.0)</f>
        <v>5</v>
      </c>
      <c r="E59" s="15">
        <f>IFERROR(__xludf.DUMMYFUNCTION("VLOOKUP(A59,IMPORTRANGE(""1QZ5UxyNCwadreQAXnQ7oCoH982DjIA-QnZdO7ZoqkC0/edit#gid=884617569"",""S4 Totals!$A$2:$O$255""),3,FALSE)"),0.10638297872340426)</f>
        <v>0.1063829787</v>
      </c>
      <c r="F59" s="146">
        <f t="shared" si="1"/>
        <v>-0.02638297872</v>
      </c>
      <c r="G59" s="16">
        <f>IFERROR(__xludf.DUMMYFUNCTION("VLOOKUP(A59,IMPORTRANGE(""1QZ5UxyNCwadreQAXnQ7oCoH982DjIA-QnZdO7ZoqkC0/edit#gid=884617569"",""S4 Totals!$A$2:$O$255""),4,FALSE)"),7.0)</f>
        <v>7</v>
      </c>
      <c r="H59" s="15">
        <f>IFERROR(__xludf.DUMMYFUNCTION("VLOOKUP(A59,IMPORTRANGE(""1QZ5UxyNCwadreQAXnQ7oCoH982DjIA-QnZdO7ZoqkC0/edit#gid=884617569"",""S4 Totals!$A$2:$O$255""),5,FALSE)"),0.1111111111111111)</f>
        <v>0.1111111111</v>
      </c>
      <c r="I59" s="143"/>
      <c r="J59" s="16">
        <f>IFERROR(__xludf.DUMMYFUNCTION("VLOOKUP(A59,IMPORTRANGE(""1QZ5UxyNCwadreQAXnQ7oCoH982DjIA-QnZdO7ZoqkC0/edit#gid=884617569"",""S4 Totals!$A$2:$O$255""),7,FALSE)"),7.0)</f>
        <v>7</v>
      </c>
      <c r="K59" s="15">
        <f>IFERROR(__xludf.DUMMYFUNCTION("VLOOKUP(A59,IMPORTRANGE(""1QZ5UxyNCwadreQAXnQ7oCoH982DjIA-QnZdO7ZoqkC0/edit#gid=884617569"",""S4 Totals!$A$2:$O$255""),8,FALSE)"),0.1)</f>
        <v>0.1</v>
      </c>
      <c r="L59" s="147"/>
      <c r="M59" s="16">
        <f>IFERROR(__xludf.DUMMYFUNCTION("VLOOKUP(A59,IMPORTRANGE(""1QZ5UxyNCwadreQAXnQ7oCoH982DjIA-QnZdO7ZoqkC0/edit#gid=884617569"",""S4 Totals!$A$2:$O$255""),10,FALSE)"),15.0)</f>
        <v>15</v>
      </c>
      <c r="N59" s="15">
        <f>IFERROR(__xludf.DUMMYFUNCTION("VLOOKUP(A59,IMPORTRANGE(""1QZ5UxyNCwadreQAXnQ7oCoH982DjIA-QnZdO7ZoqkC0/edit#gid=884617569"",""S4 Totals!$A$2:$O$255""),11,FALSE)"),0.20270270270270271)</f>
        <v>0.2027027027</v>
      </c>
      <c r="O59" s="110"/>
      <c r="P59" s="16">
        <f>IFERROR(__xludf.DUMMYFUNCTION("VLOOKUP(A59,IMPORTRANGE(""1QZ5UxyNCwadreQAXnQ7oCoH982DjIA-QnZdO7ZoqkC0/edit#gid=884617569"",""S4 Totals!$A$2:$O$255""),13,FALSE)"),18.0)</f>
        <v>18</v>
      </c>
      <c r="Q59" s="15">
        <f>IFERROR(__xludf.DUMMYFUNCTION("VLOOKUP(A59,IMPORTRANGE(""1QZ5UxyNCwadreQAXnQ7oCoH982DjIA-QnZdO7ZoqkC0/edit#gid=884617569"",""S4 Totals!$A$2:$O$255""),14,FALSE)"),0.24)</f>
        <v>0.24</v>
      </c>
      <c r="R59" s="110"/>
    </row>
    <row r="60">
      <c r="A60" s="128" t="s">
        <v>223</v>
      </c>
      <c r="B60" s="16">
        <f>IFERROR(__xludf.DUMMYFUNCTION("VLOOKUP(A60,IMPORTRANGE(""1aFCnJY1qhIj8-JckJhDJ18aqmVo17tofpQmOjcYa3u8/edit#gid=1878241338"",""S4 Totals!$A$2:$O$255""),2,FALSE)"),12.0)</f>
        <v>12</v>
      </c>
      <c r="C60" s="15">
        <f>IFERROR(__xludf.DUMMYFUNCTION("VLOOKUP(A60,IMPORTRANGE(""1aFCnJY1qhIj8-JckJhDJ18aqmVo17tofpQmOjcYa3u8/edit#gid=1878241338"",""S4 Totals!$A$2:$O$255""),3,FALSE)"),0.24)</f>
        <v>0.24</v>
      </c>
      <c r="D60" s="16">
        <f>IFERROR(__xludf.DUMMYFUNCTION("VLOOKUP(A60,IMPORTRANGE(""1QZ5UxyNCwadreQAXnQ7oCoH982DjIA-QnZdO7ZoqkC0/edit#gid=884617569"",""S4 Totals!$A$2:$O$255""),2,FALSE)"),12.0)</f>
        <v>12</v>
      </c>
      <c r="E60" s="15">
        <f>IFERROR(__xludf.DUMMYFUNCTION("VLOOKUP(A60,IMPORTRANGE(""1QZ5UxyNCwadreQAXnQ7oCoH982DjIA-QnZdO7ZoqkC0/edit#gid=884617569"",""S4 Totals!$A$2:$O$255""),3,FALSE)"),0.2553191489361702)</f>
        <v>0.2553191489</v>
      </c>
      <c r="F60" s="146">
        <f t="shared" si="1"/>
        <v>-0.01531914894</v>
      </c>
      <c r="G60" s="16">
        <f>IFERROR(__xludf.DUMMYFUNCTION("VLOOKUP(A60,IMPORTRANGE(""1QZ5UxyNCwadreQAXnQ7oCoH982DjIA-QnZdO7ZoqkC0/edit#gid=884617569"",""S4 Totals!$A$2:$O$255""),4,FALSE)"),18.0)</f>
        <v>18</v>
      </c>
      <c r="H60" s="15">
        <f>IFERROR(__xludf.DUMMYFUNCTION("VLOOKUP(A60,IMPORTRANGE(""1QZ5UxyNCwadreQAXnQ7oCoH982DjIA-QnZdO7ZoqkC0/edit#gid=884617569"",""S4 Totals!$A$2:$O$255""),5,FALSE)"),0.2857142857142857)</f>
        <v>0.2857142857</v>
      </c>
      <c r="I60" s="143"/>
      <c r="J60" s="16" t="str">
        <f>IFERROR(__xludf.DUMMYFUNCTION("VLOOKUP(A60,IMPORTRANGE(""1QZ5UxyNCwadreQAXnQ7oCoH982DjIA-QnZdO7ZoqkC0/edit#gid=884617569"",""S4 Totals!$A$2:$O$255""),7,FALSE)"),"")</f>
        <v/>
      </c>
      <c r="K60" s="15" t="str">
        <f>IFERROR(__xludf.DUMMYFUNCTION("VLOOKUP(A60,IMPORTRANGE(""1QZ5UxyNCwadreQAXnQ7oCoH982DjIA-QnZdO7ZoqkC0/edit#gid=884617569"",""S4 Totals!$A$2:$O$255""),8,FALSE)"),"")</f>
        <v/>
      </c>
      <c r="L60" s="147"/>
      <c r="M60" s="16" t="str">
        <f>IFERROR(__xludf.DUMMYFUNCTION("VLOOKUP(A60,IMPORTRANGE(""1QZ5UxyNCwadreQAXnQ7oCoH982DjIA-QnZdO7ZoqkC0/edit#gid=884617569"",""S4 Totals!$A$2:$O$255""),10,FALSE)"),"")</f>
        <v/>
      </c>
      <c r="N60" s="15" t="str">
        <f>IFERROR(__xludf.DUMMYFUNCTION("VLOOKUP(A60,IMPORTRANGE(""1QZ5UxyNCwadreQAXnQ7oCoH982DjIA-QnZdO7ZoqkC0/edit#gid=884617569"",""S4 Totals!$A$2:$O$255""),11,FALSE)"),"")</f>
        <v/>
      </c>
      <c r="O60" s="110"/>
      <c r="P60" s="16" t="str">
        <f>IFERROR(__xludf.DUMMYFUNCTION("VLOOKUP(A60,IMPORTRANGE(""1QZ5UxyNCwadreQAXnQ7oCoH982DjIA-QnZdO7ZoqkC0/edit#gid=884617569"",""S4 Totals!$A$2:$O$255""),13,FALSE)"),"")</f>
        <v/>
      </c>
      <c r="Q60" s="15" t="str">
        <f>IFERROR(__xludf.DUMMYFUNCTION("VLOOKUP(A60,IMPORTRANGE(""1QZ5UxyNCwadreQAXnQ7oCoH982DjIA-QnZdO7ZoqkC0/edit#gid=884617569"",""S4 Totals!$A$2:$O$255""),14,FALSE)"),"")</f>
        <v/>
      </c>
      <c r="R60" s="110"/>
    </row>
    <row r="61">
      <c r="A61" s="128" t="s">
        <v>119</v>
      </c>
      <c r="B61" s="16">
        <f>IFERROR(__xludf.DUMMYFUNCTION("VLOOKUP(A61,IMPORTRANGE(""1aFCnJY1qhIj8-JckJhDJ18aqmVo17tofpQmOjcYa3u8/edit#gid=1878241338"",""S4 Totals!$A$2:$O$255""),2,FALSE)"),11.0)</f>
        <v>11</v>
      </c>
      <c r="C61" s="15">
        <f>IFERROR(__xludf.DUMMYFUNCTION("VLOOKUP(A61,IMPORTRANGE(""1aFCnJY1qhIj8-JckJhDJ18aqmVo17tofpQmOjcYa3u8/edit#gid=1878241338"",""S4 Totals!$A$2:$O$255""),3,FALSE)"),0.22)</f>
        <v>0.22</v>
      </c>
      <c r="D61" s="16">
        <f>IFERROR(__xludf.DUMMYFUNCTION("VLOOKUP(A61,IMPORTRANGE(""1QZ5UxyNCwadreQAXnQ7oCoH982DjIA-QnZdO7ZoqkC0/edit#gid=884617569"",""S4 Totals!$A$2:$O$255""),2,FALSE)"),12.0)</f>
        <v>12</v>
      </c>
      <c r="E61" s="15">
        <f>IFERROR(__xludf.DUMMYFUNCTION("VLOOKUP(A61,IMPORTRANGE(""1QZ5UxyNCwadreQAXnQ7oCoH982DjIA-QnZdO7ZoqkC0/edit#gid=884617569"",""S4 Totals!$A$2:$O$255""),3,FALSE)"),0.2553191489361702)</f>
        <v>0.2553191489</v>
      </c>
      <c r="F61" s="146">
        <f t="shared" si="1"/>
        <v>-0.03531914894</v>
      </c>
      <c r="G61" s="16">
        <f>IFERROR(__xludf.DUMMYFUNCTION("VLOOKUP(A61,IMPORTRANGE(""1QZ5UxyNCwadreQAXnQ7oCoH982DjIA-QnZdO7ZoqkC0/edit#gid=884617569"",""S4 Totals!$A$2:$O$255""),4,FALSE)"),14.0)</f>
        <v>14</v>
      </c>
      <c r="H61" s="15">
        <f>IFERROR(__xludf.DUMMYFUNCTION("VLOOKUP(A61,IMPORTRANGE(""1QZ5UxyNCwadreQAXnQ7oCoH982DjIA-QnZdO7ZoqkC0/edit#gid=884617569"",""S4 Totals!$A$2:$O$255""),5,FALSE)"),0.2222222222222222)</f>
        <v>0.2222222222</v>
      </c>
      <c r="I61" s="143"/>
      <c r="J61" s="16">
        <f>IFERROR(__xludf.DUMMYFUNCTION("VLOOKUP(A61,IMPORTRANGE(""1QZ5UxyNCwadreQAXnQ7oCoH982DjIA-QnZdO7ZoqkC0/edit#gid=884617569"",""S4 Totals!$A$2:$O$255""),7,FALSE)"),7.0)</f>
        <v>7</v>
      </c>
      <c r="K61" s="15">
        <f>IFERROR(__xludf.DUMMYFUNCTION("VLOOKUP(A61,IMPORTRANGE(""1QZ5UxyNCwadreQAXnQ7oCoH982DjIA-QnZdO7ZoqkC0/edit#gid=884617569"",""S4 Totals!$A$2:$O$255""),8,FALSE)"),0.1)</f>
        <v>0.1</v>
      </c>
      <c r="L61" s="147"/>
      <c r="M61" s="16">
        <f>IFERROR(__xludf.DUMMYFUNCTION("VLOOKUP(A61,IMPORTRANGE(""1QZ5UxyNCwadreQAXnQ7oCoH982DjIA-QnZdO7ZoqkC0/edit#gid=884617569"",""S4 Totals!$A$2:$O$255""),10,FALSE)"),10.0)</f>
        <v>10</v>
      </c>
      <c r="N61" s="15">
        <f>IFERROR(__xludf.DUMMYFUNCTION("VLOOKUP(A61,IMPORTRANGE(""1QZ5UxyNCwadreQAXnQ7oCoH982DjIA-QnZdO7ZoqkC0/edit#gid=884617569"",""S4 Totals!$A$2:$O$255""),11,FALSE)"),0.13513513513513514)</f>
        <v>0.1351351351</v>
      </c>
      <c r="O61" s="110"/>
      <c r="P61" s="16" t="str">
        <f>IFERROR(__xludf.DUMMYFUNCTION("VLOOKUP(A61,IMPORTRANGE(""1QZ5UxyNCwadreQAXnQ7oCoH982DjIA-QnZdO7ZoqkC0/edit#gid=884617569"",""S4 Totals!$A$2:$O$255""),13,FALSE)"),"")</f>
        <v/>
      </c>
      <c r="Q61" s="15" t="str">
        <f>IFERROR(__xludf.DUMMYFUNCTION("VLOOKUP(A61,IMPORTRANGE(""1QZ5UxyNCwadreQAXnQ7oCoH982DjIA-QnZdO7ZoqkC0/edit#gid=884617569"",""S4 Totals!$A$2:$O$255""),14,FALSE)"),"")</f>
        <v/>
      </c>
      <c r="R61" s="110"/>
    </row>
    <row r="62">
      <c r="A62" s="128" t="s">
        <v>264</v>
      </c>
      <c r="B62" s="16">
        <f>IFERROR(__xludf.DUMMYFUNCTION("VLOOKUP(A62,IMPORTRANGE(""1aFCnJY1qhIj8-JckJhDJ18aqmVo17tofpQmOjcYa3u8/edit#gid=1878241338"",""S4 Totals!$A$2:$O$255""),2,FALSE)"),0.0)</f>
        <v>0</v>
      </c>
      <c r="C62" s="15">
        <f>IFERROR(__xludf.DUMMYFUNCTION("VLOOKUP(A62,IMPORTRANGE(""1aFCnJY1qhIj8-JckJhDJ18aqmVo17tofpQmOjcYa3u8/edit#gid=1878241338"",""S4 Totals!$A$2:$O$255""),3,FALSE)"),0.0)</f>
        <v>0</v>
      </c>
      <c r="D62" s="16" t="str">
        <f>IFERROR(__xludf.DUMMYFUNCTION("VLOOKUP(A62,IMPORTRANGE(""1QZ5UxyNCwadreQAXnQ7oCoH982DjIA-QnZdO7ZoqkC0/edit#gid=884617569"",""S4 Totals!$A$2:$O$255""),2,FALSE)"),"#N/A")</f>
        <v>#N/A</v>
      </c>
      <c r="E62" s="15" t="str">
        <f>IFERROR(__xludf.DUMMYFUNCTION("VLOOKUP(A62,IMPORTRANGE(""1QZ5UxyNCwadreQAXnQ7oCoH982DjIA-QnZdO7ZoqkC0/edit#gid=884617569"",""S4 Totals!$A$2:$O$255""),3,FALSE)"),"#N/A")</f>
        <v>#N/A</v>
      </c>
      <c r="F62" s="146" t="str">
        <f t="shared" si="1"/>
        <v>#N/A</v>
      </c>
      <c r="G62" s="16" t="str">
        <f>IFERROR(__xludf.DUMMYFUNCTION("VLOOKUP(A62,IMPORTRANGE(""1QZ5UxyNCwadreQAXnQ7oCoH982DjIA-QnZdO7ZoqkC0/edit#gid=884617569"",""S4 Totals!$A$2:$O$255""),4,FALSE)"),"#N/A")</f>
        <v>#N/A</v>
      </c>
      <c r="H62" s="15" t="str">
        <f>IFERROR(__xludf.DUMMYFUNCTION("VLOOKUP(A62,IMPORTRANGE(""1QZ5UxyNCwadreQAXnQ7oCoH982DjIA-QnZdO7ZoqkC0/edit#gid=884617569"",""S4 Totals!$A$2:$O$255""),5,FALSE)"),"#N/A")</f>
        <v>#N/A</v>
      </c>
      <c r="I62" s="143"/>
      <c r="J62" s="16" t="str">
        <f>IFERROR(__xludf.DUMMYFUNCTION("VLOOKUP(A62,IMPORTRANGE(""1QZ5UxyNCwadreQAXnQ7oCoH982DjIA-QnZdO7ZoqkC0/edit#gid=884617569"",""S4 Totals!$A$2:$O$255""),7,FALSE)"),"#N/A")</f>
        <v>#N/A</v>
      </c>
      <c r="K62" s="15" t="str">
        <f>IFERROR(__xludf.DUMMYFUNCTION("VLOOKUP(A62,IMPORTRANGE(""1QZ5UxyNCwadreQAXnQ7oCoH982DjIA-QnZdO7ZoqkC0/edit#gid=884617569"",""S4 Totals!$A$2:$O$255""),8,FALSE)"),"#N/A")</f>
        <v>#N/A</v>
      </c>
      <c r="L62" s="147"/>
      <c r="M62" s="16" t="str">
        <f>IFERROR(__xludf.DUMMYFUNCTION("VLOOKUP(A62,IMPORTRANGE(""1QZ5UxyNCwadreQAXnQ7oCoH982DjIA-QnZdO7ZoqkC0/edit#gid=884617569"",""S4 Totals!$A$2:$O$255""),10,FALSE)"),"#N/A")</f>
        <v>#N/A</v>
      </c>
      <c r="N62" s="15" t="str">
        <f>IFERROR(__xludf.DUMMYFUNCTION("VLOOKUP(A62,IMPORTRANGE(""1QZ5UxyNCwadreQAXnQ7oCoH982DjIA-QnZdO7ZoqkC0/edit#gid=884617569"",""S4 Totals!$A$2:$O$255""),11,FALSE)"),"#N/A")</f>
        <v>#N/A</v>
      </c>
      <c r="O62" s="110"/>
      <c r="P62" s="16" t="str">
        <f>IFERROR(__xludf.DUMMYFUNCTION("VLOOKUP(A62,IMPORTRANGE(""1QZ5UxyNCwadreQAXnQ7oCoH982DjIA-QnZdO7ZoqkC0/edit#gid=884617569"",""S4 Totals!$A$2:$O$255""),13,FALSE)"),"#N/A")</f>
        <v>#N/A</v>
      </c>
      <c r="Q62" s="15" t="str">
        <f>IFERROR(__xludf.DUMMYFUNCTION("VLOOKUP(A62,IMPORTRANGE(""1QZ5UxyNCwadreQAXnQ7oCoH982DjIA-QnZdO7ZoqkC0/edit#gid=884617569"",""S4 Totals!$A$2:$O$255""),14,FALSE)"),"#N/A")</f>
        <v>#N/A</v>
      </c>
      <c r="R62" s="110"/>
    </row>
    <row r="63">
      <c r="A63" s="128" t="s">
        <v>120</v>
      </c>
      <c r="B63" s="16">
        <f>IFERROR(__xludf.DUMMYFUNCTION("VLOOKUP(A63,IMPORTRANGE(""1aFCnJY1qhIj8-JckJhDJ18aqmVo17tofpQmOjcYa3u8/edit#gid=1878241338"",""S4 Totals!$A$2:$O$255""),2,FALSE)"),2.0)</f>
        <v>2</v>
      </c>
      <c r="C63" s="15">
        <f>IFERROR(__xludf.DUMMYFUNCTION("VLOOKUP(A63,IMPORTRANGE(""1aFCnJY1qhIj8-JckJhDJ18aqmVo17tofpQmOjcYa3u8/edit#gid=1878241338"",""S4 Totals!$A$2:$O$255""),3,FALSE)"),0.04)</f>
        <v>0.04</v>
      </c>
      <c r="D63" s="16">
        <f>IFERROR(__xludf.DUMMYFUNCTION("VLOOKUP(A63,IMPORTRANGE(""1QZ5UxyNCwadreQAXnQ7oCoH982DjIA-QnZdO7ZoqkC0/edit#gid=884617569"",""S4 Totals!$A$2:$O$255""),2,FALSE)"),9.0)</f>
        <v>9</v>
      </c>
      <c r="E63" s="15">
        <f>IFERROR(__xludf.DUMMYFUNCTION("VLOOKUP(A63,IMPORTRANGE(""1QZ5UxyNCwadreQAXnQ7oCoH982DjIA-QnZdO7ZoqkC0/edit#gid=884617569"",""S4 Totals!$A$2:$O$255""),3,FALSE)"),0.19148936170212766)</f>
        <v>0.1914893617</v>
      </c>
      <c r="F63" s="146">
        <f t="shared" si="1"/>
        <v>-0.1514893617</v>
      </c>
      <c r="G63" s="16">
        <f>IFERROR(__xludf.DUMMYFUNCTION("VLOOKUP(A63,IMPORTRANGE(""1QZ5UxyNCwadreQAXnQ7oCoH982DjIA-QnZdO7ZoqkC0/edit#gid=884617569"",""S4 Totals!$A$2:$O$255""),4,FALSE)"),10.0)</f>
        <v>10</v>
      </c>
      <c r="H63" s="15">
        <f>IFERROR(__xludf.DUMMYFUNCTION("VLOOKUP(A63,IMPORTRANGE(""1QZ5UxyNCwadreQAXnQ7oCoH982DjIA-QnZdO7ZoqkC0/edit#gid=884617569"",""S4 Totals!$A$2:$O$255""),5,FALSE)"),0.15873015873015872)</f>
        <v>0.1587301587</v>
      </c>
      <c r="I63" s="143"/>
      <c r="J63" s="16">
        <f>IFERROR(__xludf.DUMMYFUNCTION("VLOOKUP(A63,IMPORTRANGE(""1QZ5UxyNCwadreQAXnQ7oCoH982DjIA-QnZdO7ZoqkC0/edit#gid=884617569"",""S4 Totals!$A$2:$O$255""),7,FALSE)"),3.0)</f>
        <v>3</v>
      </c>
      <c r="K63" s="15">
        <f>IFERROR(__xludf.DUMMYFUNCTION("VLOOKUP(A63,IMPORTRANGE(""1QZ5UxyNCwadreQAXnQ7oCoH982DjIA-QnZdO7ZoqkC0/edit#gid=884617569"",""S4 Totals!$A$2:$O$255""),8,FALSE)"),0.04285714285714286)</f>
        <v>0.04285714286</v>
      </c>
      <c r="L63" s="147"/>
      <c r="M63" s="16">
        <f>IFERROR(__xludf.DUMMYFUNCTION("VLOOKUP(A63,IMPORTRANGE(""1QZ5UxyNCwadreQAXnQ7oCoH982DjIA-QnZdO7ZoqkC0/edit#gid=884617569"",""S4 Totals!$A$2:$O$255""),10,FALSE)"),0.0)</f>
        <v>0</v>
      </c>
      <c r="N63" s="15">
        <f>IFERROR(__xludf.DUMMYFUNCTION("VLOOKUP(A63,IMPORTRANGE(""1QZ5UxyNCwadreQAXnQ7oCoH982DjIA-QnZdO7ZoqkC0/edit#gid=884617569"",""S4 Totals!$A$2:$O$255""),11,FALSE)"),0.0)</f>
        <v>0</v>
      </c>
      <c r="O63" s="110"/>
      <c r="P63" s="16" t="str">
        <f>IFERROR(__xludf.DUMMYFUNCTION("VLOOKUP(A63,IMPORTRANGE(""1QZ5UxyNCwadreQAXnQ7oCoH982DjIA-QnZdO7ZoqkC0/edit#gid=884617569"",""S4 Totals!$A$2:$O$255""),13,FALSE)"),"")</f>
        <v/>
      </c>
      <c r="Q63" s="15" t="str">
        <f>IFERROR(__xludf.DUMMYFUNCTION("VLOOKUP(A63,IMPORTRANGE(""1QZ5UxyNCwadreQAXnQ7oCoH982DjIA-QnZdO7ZoqkC0/edit#gid=884617569"",""S4 Totals!$A$2:$O$255""),14,FALSE)"),"")</f>
        <v/>
      </c>
      <c r="R63" s="110"/>
    </row>
    <row r="64">
      <c r="A64" s="128" t="s">
        <v>121</v>
      </c>
      <c r="B64" s="16">
        <f>IFERROR(__xludf.DUMMYFUNCTION("VLOOKUP(A64,IMPORTRANGE(""1aFCnJY1qhIj8-JckJhDJ18aqmVo17tofpQmOjcYa3u8/edit#gid=1878241338"",""S4 Totals!$A$2:$O$255""),2,FALSE)"),7.0)</f>
        <v>7</v>
      </c>
      <c r="C64" s="15">
        <f>IFERROR(__xludf.DUMMYFUNCTION("VLOOKUP(A64,IMPORTRANGE(""1aFCnJY1qhIj8-JckJhDJ18aqmVo17tofpQmOjcYa3u8/edit#gid=1878241338"",""S4 Totals!$A$2:$O$255""),3,FALSE)"),0.14)</f>
        <v>0.14</v>
      </c>
      <c r="D64" s="16">
        <f>IFERROR(__xludf.DUMMYFUNCTION("VLOOKUP(A64,IMPORTRANGE(""1QZ5UxyNCwadreQAXnQ7oCoH982DjIA-QnZdO7ZoqkC0/edit#gid=884617569"",""S4 Totals!$A$2:$O$255""),2,FALSE)"),12.0)</f>
        <v>12</v>
      </c>
      <c r="E64" s="15">
        <f>IFERROR(__xludf.DUMMYFUNCTION("VLOOKUP(A64,IMPORTRANGE(""1QZ5UxyNCwadreQAXnQ7oCoH982DjIA-QnZdO7ZoqkC0/edit#gid=884617569"",""S4 Totals!$A$2:$O$255""),3,FALSE)"),0.2553191489361702)</f>
        <v>0.2553191489</v>
      </c>
      <c r="F64" s="146">
        <f t="shared" si="1"/>
        <v>-0.1153191489</v>
      </c>
      <c r="G64" s="16">
        <f>IFERROR(__xludf.DUMMYFUNCTION("VLOOKUP(A64,IMPORTRANGE(""1QZ5UxyNCwadreQAXnQ7oCoH982DjIA-QnZdO7ZoqkC0/edit#gid=884617569"",""S4 Totals!$A$2:$O$255""),4,FALSE)"),9.0)</f>
        <v>9</v>
      </c>
      <c r="H64" s="15">
        <f>IFERROR(__xludf.DUMMYFUNCTION("VLOOKUP(A64,IMPORTRANGE(""1QZ5UxyNCwadreQAXnQ7oCoH982DjIA-QnZdO7ZoqkC0/edit#gid=884617569"",""S4 Totals!$A$2:$O$255""),5,FALSE)"),0.14285714285714285)</f>
        <v>0.1428571429</v>
      </c>
      <c r="I64" s="143"/>
      <c r="J64" s="16">
        <f>IFERROR(__xludf.DUMMYFUNCTION("VLOOKUP(A64,IMPORTRANGE(""1QZ5UxyNCwadreQAXnQ7oCoH982DjIA-QnZdO7ZoqkC0/edit#gid=884617569"",""S4 Totals!$A$2:$O$255""),7,FALSE)"),9.0)</f>
        <v>9</v>
      </c>
      <c r="K64" s="15">
        <f>IFERROR(__xludf.DUMMYFUNCTION("VLOOKUP(A64,IMPORTRANGE(""1QZ5UxyNCwadreQAXnQ7oCoH982DjIA-QnZdO7ZoqkC0/edit#gid=884617569"",""S4 Totals!$A$2:$O$255""),8,FALSE)"),0.12857142857142856)</f>
        <v>0.1285714286</v>
      </c>
      <c r="L64" s="147"/>
      <c r="M64" s="16">
        <f>IFERROR(__xludf.DUMMYFUNCTION("VLOOKUP(A64,IMPORTRANGE(""1QZ5UxyNCwadreQAXnQ7oCoH982DjIA-QnZdO7ZoqkC0/edit#gid=884617569"",""S4 Totals!$A$2:$O$255""),10,FALSE)"),15.0)</f>
        <v>15</v>
      </c>
      <c r="N64" s="15">
        <f>IFERROR(__xludf.DUMMYFUNCTION("VLOOKUP(A64,IMPORTRANGE(""1QZ5UxyNCwadreQAXnQ7oCoH982DjIA-QnZdO7ZoqkC0/edit#gid=884617569"",""S4 Totals!$A$2:$O$255""),11,FALSE)"),0.20270270270270271)</f>
        <v>0.2027027027</v>
      </c>
      <c r="O64" s="110"/>
      <c r="P64" s="16" t="str">
        <f>IFERROR(__xludf.DUMMYFUNCTION("VLOOKUP(A64,IMPORTRANGE(""1QZ5UxyNCwadreQAXnQ7oCoH982DjIA-QnZdO7ZoqkC0/edit#gid=884617569"",""S4 Totals!$A$2:$O$255""),13,FALSE)"),"")</f>
        <v/>
      </c>
      <c r="Q64" s="15" t="str">
        <f>IFERROR(__xludf.DUMMYFUNCTION("VLOOKUP(A64,IMPORTRANGE(""1QZ5UxyNCwadreQAXnQ7oCoH982DjIA-QnZdO7ZoqkC0/edit#gid=884617569"",""S4 Totals!$A$2:$O$255""),14,FALSE)"),"")</f>
        <v/>
      </c>
      <c r="R64" s="110"/>
    </row>
    <row r="65">
      <c r="A65" s="128" t="s">
        <v>122</v>
      </c>
      <c r="B65" s="16">
        <f>IFERROR(__xludf.DUMMYFUNCTION("VLOOKUP(A65,IMPORTRANGE(""1aFCnJY1qhIj8-JckJhDJ18aqmVo17tofpQmOjcYa3u8/edit#gid=1878241338"",""S4 Totals!$A$2:$O$255""),2,FALSE)"),1.0)</f>
        <v>1</v>
      </c>
      <c r="C65" s="15">
        <f>IFERROR(__xludf.DUMMYFUNCTION("VLOOKUP(A65,IMPORTRANGE(""1aFCnJY1qhIj8-JckJhDJ18aqmVo17tofpQmOjcYa3u8/edit#gid=1878241338"",""S4 Totals!$A$2:$O$255""),3,FALSE)"),0.02)</f>
        <v>0.02</v>
      </c>
      <c r="D65" s="16">
        <f>IFERROR(__xludf.DUMMYFUNCTION("VLOOKUP(A65,IMPORTRANGE(""1QZ5UxyNCwadreQAXnQ7oCoH982DjIA-QnZdO7ZoqkC0/edit#gid=884617569"",""S4 Totals!$A$2:$O$255""),2,FALSE)"),2.0)</f>
        <v>2</v>
      </c>
      <c r="E65" s="15">
        <f>IFERROR(__xludf.DUMMYFUNCTION("VLOOKUP(A65,IMPORTRANGE(""1QZ5UxyNCwadreQAXnQ7oCoH982DjIA-QnZdO7ZoqkC0/edit#gid=884617569"",""S4 Totals!$A$2:$O$255""),3,FALSE)"),0.0425531914893617)</f>
        <v>0.04255319149</v>
      </c>
      <c r="F65" s="146">
        <f t="shared" si="1"/>
        <v>-0.02255319149</v>
      </c>
      <c r="G65" s="16">
        <f>IFERROR(__xludf.DUMMYFUNCTION("VLOOKUP(A65,IMPORTRANGE(""1QZ5UxyNCwadreQAXnQ7oCoH982DjIA-QnZdO7ZoqkC0/edit#gid=884617569"",""S4 Totals!$A$2:$O$255""),4,FALSE)"),4.0)</f>
        <v>4</v>
      </c>
      <c r="H65" s="15">
        <f>IFERROR(__xludf.DUMMYFUNCTION("VLOOKUP(A65,IMPORTRANGE(""1QZ5UxyNCwadreQAXnQ7oCoH982DjIA-QnZdO7ZoqkC0/edit#gid=884617569"",""S4 Totals!$A$2:$O$255""),5,FALSE)"),0.06349206349206349)</f>
        <v>0.06349206349</v>
      </c>
      <c r="I65" s="143"/>
      <c r="J65" s="16">
        <f>IFERROR(__xludf.DUMMYFUNCTION("VLOOKUP(A65,IMPORTRANGE(""1QZ5UxyNCwadreQAXnQ7oCoH982DjIA-QnZdO7ZoqkC0/edit#gid=884617569"",""S4 Totals!$A$2:$O$255""),7,FALSE)"),5.0)</f>
        <v>5</v>
      </c>
      <c r="K65" s="15">
        <f>IFERROR(__xludf.DUMMYFUNCTION("VLOOKUP(A65,IMPORTRANGE(""1QZ5UxyNCwadreQAXnQ7oCoH982DjIA-QnZdO7ZoqkC0/edit#gid=884617569"",""S4 Totals!$A$2:$O$255""),8,FALSE)"),0.07142857142857142)</f>
        <v>0.07142857143</v>
      </c>
      <c r="L65" s="147"/>
      <c r="M65" s="16">
        <f>IFERROR(__xludf.DUMMYFUNCTION("VLOOKUP(A65,IMPORTRANGE(""1QZ5UxyNCwadreQAXnQ7oCoH982DjIA-QnZdO7ZoqkC0/edit#gid=884617569"",""S4 Totals!$A$2:$O$255""),10,FALSE)"),4.0)</f>
        <v>4</v>
      </c>
      <c r="N65" s="15">
        <f>IFERROR(__xludf.DUMMYFUNCTION("VLOOKUP(A65,IMPORTRANGE(""1QZ5UxyNCwadreQAXnQ7oCoH982DjIA-QnZdO7ZoqkC0/edit#gid=884617569"",""S4 Totals!$A$2:$O$255""),11,FALSE)"),0.05405405405405406)</f>
        <v>0.05405405405</v>
      </c>
      <c r="O65" s="110"/>
      <c r="P65" s="16" t="str">
        <f>IFERROR(__xludf.DUMMYFUNCTION("VLOOKUP(A65,IMPORTRANGE(""1QZ5UxyNCwadreQAXnQ7oCoH982DjIA-QnZdO7ZoqkC0/edit#gid=884617569"",""S4 Totals!$A$2:$O$255""),13,FALSE)"),"")</f>
        <v/>
      </c>
      <c r="Q65" s="15" t="str">
        <f>IFERROR(__xludf.DUMMYFUNCTION("VLOOKUP(A65,IMPORTRANGE(""1QZ5UxyNCwadreQAXnQ7oCoH982DjIA-QnZdO7ZoqkC0/edit#gid=884617569"",""S4 Totals!$A$2:$O$255""),14,FALSE)"),"")</f>
        <v/>
      </c>
      <c r="R65" s="110"/>
    </row>
    <row r="66">
      <c r="A66" s="133" t="s">
        <v>45</v>
      </c>
      <c r="B66" s="16">
        <f>IFERROR(__xludf.DUMMYFUNCTION("VLOOKUP(A66,IMPORTRANGE(""1aFCnJY1qhIj8-JckJhDJ18aqmVo17tofpQmOjcYa3u8/edit#gid=1878241338"",""S4 Totals!$A$2:$O$255""),2,FALSE)"),4.0)</f>
        <v>4</v>
      </c>
      <c r="C66" s="15">
        <f>IFERROR(__xludf.DUMMYFUNCTION("VLOOKUP(A66,IMPORTRANGE(""1aFCnJY1qhIj8-JckJhDJ18aqmVo17tofpQmOjcYa3u8/edit#gid=1878241338"",""S4 Totals!$A$2:$O$255""),3,FALSE)"),0.08)</f>
        <v>0.08</v>
      </c>
      <c r="D66" s="16">
        <f>IFERROR(__xludf.DUMMYFUNCTION("VLOOKUP(A66,IMPORTRANGE(""1QZ5UxyNCwadreQAXnQ7oCoH982DjIA-QnZdO7ZoqkC0/edit#gid=884617569"",""S4 Totals!$A$2:$O$255""),2,FALSE)"),7.0)</f>
        <v>7</v>
      </c>
      <c r="E66" s="15">
        <f>IFERROR(__xludf.DUMMYFUNCTION("VLOOKUP(A66,IMPORTRANGE(""1QZ5UxyNCwadreQAXnQ7oCoH982DjIA-QnZdO7ZoqkC0/edit#gid=884617569"",""S4 Totals!$A$2:$O$255""),3,FALSE)"),0.14893617021276595)</f>
        <v>0.1489361702</v>
      </c>
      <c r="F66" s="146">
        <f t="shared" si="1"/>
        <v>-0.06893617021</v>
      </c>
      <c r="G66" s="16">
        <f>IFERROR(__xludf.DUMMYFUNCTION("VLOOKUP(A66,IMPORTRANGE(""1QZ5UxyNCwadreQAXnQ7oCoH982DjIA-QnZdO7ZoqkC0/edit#gid=884617569"",""S4 Totals!$A$2:$O$255""),4,FALSE)"),6.0)</f>
        <v>6</v>
      </c>
      <c r="H66" s="15">
        <f>IFERROR(__xludf.DUMMYFUNCTION("VLOOKUP(A66,IMPORTRANGE(""1QZ5UxyNCwadreQAXnQ7oCoH982DjIA-QnZdO7ZoqkC0/edit#gid=884617569"",""S4 Totals!$A$2:$O$255""),5,FALSE)"),0.09523809523809523)</f>
        <v>0.09523809524</v>
      </c>
      <c r="I66" s="143"/>
      <c r="J66" s="16">
        <f>IFERROR(__xludf.DUMMYFUNCTION("VLOOKUP(A66,IMPORTRANGE(""1QZ5UxyNCwadreQAXnQ7oCoH982DjIA-QnZdO7ZoqkC0/edit#gid=884617569"",""S4 Totals!$A$2:$O$255""),7,FALSE)"),5.0)</f>
        <v>5</v>
      </c>
      <c r="K66" s="15">
        <f>IFERROR(__xludf.DUMMYFUNCTION("VLOOKUP(A66,IMPORTRANGE(""1QZ5UxyNCwadreQAXnQ7oCoH982DjIA-QnZdO7ZoqkC0/edit#gid=884617569"",""S4 Totals!$A$2:$O$255""),8,FALSE)"),0.07142857142857142)</f>
        <v>0.07142857143</v>
      </c>
      <c r="L66" s="147"/>
      <c r="M66" s="16">
        <f>IFERROR(__xludf.DUMMYFUNCTION("VLOOKUP(A66,IMPORTRANGE(""1QZ5UxyNCwadreQAXnQ7oCoH982DjIA-QnZdO7ZoqkC0/edit#gid=884617569"",""S4 Totals!$A$2:$O$255""),10,FALSE)"),13.0)</f>
        <v>13</v>
      </c>
      <c r="N66" s="15">
        <f>IFERROR(__xludf.DUMMYFUNCTION("VLOOKUP(A66,IMPORTRANGE(""1QZ5UxyNCwadreQAXnQ7oCoH982DjIA-QnZdO7ZoqkC0/edit#gid=884617569"",""S4 Totals!$A$2:$O$255""),11,FALSE)"),0.17567567567567569)</f>
        <v>0.1756756757</v>
      </c>
      <c r="O66" s="110"/>
      <c r="P66" s="16">
        <f>IFERROR(__xludf.DUMMYFUNCTION("VLOOKUP(A66,IMPORTRANGE(""1QZ5UxyNCwadreQAXnQ7oCoH982DjIA-QnZdO7ZoqkC0/edit#gid=884617569"",""S4 Totals!$A$2:$O$255""),13,FALSE)"),9.0)</f>
        <v>9</v>
      </c>
      <c r="Q66" s="15">
        <f>IFERROR(__xludf.DUMMYFUNCTION("VLOOKUP(A66,IMPORTRANGE(""1QZ5UxyNCwadreQAXnQ7oCoH982DjIA-QnZdO7ZoqkC0/edit#gid=884617569"",""S4 Totals!$A$2:$O$255""),14,FALSE)"),0.12)</f>
        <v>0.12</v>
      </c>
      <c r="R66" s="110"/>
    </row>
    <row r="67">
      <c r="A67" s="128" t="s">
        <v>46</v>
      </c>
      <c r="B67" s="16">
        <f>IFERROR(__xludf.DUMMYFUNCTION("VLOOKUP(A67,IMPORTRANGE(""1aFCnJY1qhIj8-JckJhDJ18aqmVo17tofpQmOjcYa3u8/edit#gid=1878241338"",""S4 Totals!$A$2:$O$255""),2,FALSE)"),14.0)</f>
        <v>14</v>
      </c>
      <c r="C67" s="15">
        <f>IFERROR(__xludf.DUMMYFUNCTION("VLOOKUP(A67,IMPORTRANGE(""1aFCnJY1qhIj8-JckJhDJ18aqmVo17tofpQmOjcYa3u8/edit#gid=1878241338"",""S4 Totals!$A$2:$O$255""),3,FALSE)"),0.28)</f>
        <v>0.28</v>
      </c>
      <c r="D67" s="16">
        <f>IFERROR(__xludf.DUMMYFUNCTION("VLOOKUP(A67,IMPORTRANGE(""1QZ5UxyNCwadreQAXnQ7oCoH982DjIA-QnZdO7ZoqkC0/edit#gid=884617569"",""S4 Totals!$A$2:$O$255""),2,FALSE)"),9.0)</f>
        <v>9</v>
      </c>
      <c r="E67" s="15">
        <f>IFERROR(__xludf.DUMMYFUNCTION("VLOOKUP(A67,IMPORTRANGE(""1QZ5UxyNCwadreQAXnQ7oCoH982DjIA-QnZdO7ZoqkC0/edit#gid=884617569"",""S4 Totals!$A$2:$O$255""),3,FALSE)"),0.19148936170212766)</f>
        <v>0.1914893617</v>
      </c>
      <c r="F67" s="146">
        <f t="shared" si="1"/>
        <v>0.0885106383</v>
      </c>
      <c r="G67" s="16">
        <f>IFERROR(__xludf.DUMMYFUNCTION("VLOOKUP(A67,IMPORTRANGE(""1QZ5UxyNCwadreQAXnQ7oCoH982DjIA-QnZdO7ZoqkC0/edit#gid=884617569"",""S4 Totals!$A$2:$O$255""),4,FALSE)"),7.0)</f>
        <v>7</v>
      </c>
      <c r="H67" s="15">
        <f>IFERROR(__xludf.DUMMYFUNCTION("VLOOKUP(A67,IMPORTRANGE(""1QZ5UxyNCwadreQAXnQ7oCoH982DjIA-QnZdO7ZoqkC0/edit#gid=884617569"",""S4 Totals!$A$2:$O$255""),5,FALSE)"),0.1111111111111111)</f>
        <v>0.1111111111</v>
      </c>
      <c r="I67" s="143"/>
      <c r="J67" s="16">
        <f>IFERROR(__xludf.DUMMYFUNCTION("VLOOKUP(A67,IMPORTRANGE(""1QZ5UxyNCwadreQAXnQ7oCoH982DjIA-QnZdO7ZoqkC0/edit#gid=884617569"",""S4 Totals!$A$2:$O$255""),7,FALSE)"),2.0)</f>
        <v>2</v>
      </c>
      <c r="K67" s="15">
        <f>IFERROR(__xludf.DUMMYFUNCTION("VLOOKUP(A67,IMPORTRANGE(""1QZ5UxyNCwadreQAXnQ7oCoH982DjIA-QnZdO7ZoqkC0/edit#gid=884617569"",""S4 Totals!$A$2:$O$255""),8,FALSE)"),0.02857142857142857)</f>
        <v>0.02857142857</v>
      </c>
      <c r="L67" s="147"/>
      <c r="M67" s="16">
        <f>IFERROR(__xludf.DUMMYFUNCTION("VLOOKUP(A67,IMPORTRANGE(""1QZ5UxyNCwadreQAXnQ7oCoH982DjIA-QnZdO7ZoqkC0/edit#gid=884617569"",""S4 Totals!$A$2:$O$255""),10,FALSE)"),0.0)</f>
        <v>0</v>
      </c>
      <c r="N67" s="15">
        <f>IFERROR(__xludf.DUMMYFUNCTION("VLOOKUP(A67,IMPORTRANGE(""1QZ5UxyNCwadreQAXnQ7oCoH982DjIA-QnZdO7ZoqkC0/edit#gid=884617569"",""S4 Totals!$A$2:$O$255""),11,FALSE)"),0.0)</f>
        <v>0</v>
      </c>
      <c r="O67" s="110"/>
      <c r="P67" s="16">
        <f>IFERROR(__xludf.DUMMYFUNCTION("VLOOKUP(A67,IMPORTRANGE(""1QZ5UxyNCwadreQAXnQ7oCoH982DjIA-QnZdO7ZoqkC0/edit#gid=884617569"",""S4 Totals!$A$2:$O$255""),13,FALSE)"),0.0)</f>
        <v>0</v>
      </c>
      <c r="Q67" s="15">
        <f>IFERROR(__xludf.DUMMYFUNCTION("VLOOKUP(A67,IMPORTRANGE(""1QZ5UxyNCwadreQAXnQ7oCoH982DjIA-QnZdO7ZoqkC0/edit#gid=884617569"",""S4 Totals!$A$2:$O$255""),14,FALSE)"),0.0)</f>
        <v>0</v>
      </c>
      <c r="R67" s="110"/>
    </row>
    <row r="68">
      <c r="A68" s="128" t="s">
        <v>224</v>
      </c>
      <c r="B68" s="16">
        <f>IFERROR(__xludf.DUMMYFUNCTION("VLOOKUP(A68,IMPORTRANGE(""1aFCnJY1qhIj8-JckJhDJ18aqmVo17tofpQmOjcYa3u8/edit#gid=1878241338"",""S4 Totals!$A$2:$O$255""),2,FALSE)"),9.0)</f>
        <v>9</v>
      </c>
      <c r="C68" s="15">
        <f>IFERROR(__xludf.DUMMYFUNCTION("VLOOKUP(A68,IMPORTRANGE(""1aFCnJY1qhIj8-JckJhDJ18aqmVo17tofpQmOjcYa3u8/edit#gid=1878241338"",""S4 Totals!$A$2:$O$255""),3,FALSE)"),0.18)</f>
        <v>0.18</v>
      </c>
      <c r="D68" s="16">
        <f>IFERROR(__xludf.DUMMYFUNCTION("VLOOKUP(A68,IMPORTRANGE(""1QZ5UxyNCwadreQAXnQ7oCoH982DjIA-QnZdO7ZoqkC0/edit#gid=884617569"",""S4 Totals!$A$2:$O$255""),2,FALSE)"),13.0)</f>
        <v>13</v>
      </c>
      <c r="E68" s="15">
        <f>IFERROR(__xludf.DUMMYFUNCTION("VLOOKUP(A68,IMPORTRANGE(""1QZ5UxyNCwadreQAXnQ7oCoH982DjIA-QnZdO7ZoqkC0/edit#gid=884617569"",""S4 Totals!$A$2:$O$255""),3,FALSE)"),0.2765957446808511)</f>
        <v>0.2765957447</v>
      </c>
      <c r="F68" s="146">
        <f t="shared" si="1"/>
        <v>-0.09659574468</v>
      </c>
      <c r="G68" s="16">
        <f>IFERROR(__xludf.DUMMYFUNCTION("VLOOKUP(A68,IMPORTRANGE(""1QZ5UxyNCwadreQAXnQ7oCoH982DjIA-QnZdO7ZoqkC0/edit#gid=884617569"",""S4 Totals!$A$2:$O$255""),4,FALSE)"),12.0)</f>
        <v>12</v>
      </c>
      <c r="H68" s="15">
        <f>IFERROR(__xludf.DUMMYFUNCTION("VLOOKUP(A68,IMPORTRANGE(""1QZ5UxyNCwadreQAXnQ7oCoH982DjIA-QnZdO7ZoqkC0/edit#gid=884617569"",""S4 Totals!$A$2:$O$255""),5,FALSE)"),0.19047619047619047)</f>
        <v>0.1904761905</v>
      </c>
      <c r="I68" s="143"/>
      <c r="J68" s="16" t="str">
        <f>IFERROR(__xludf.DUMMYFUNCTION("VLOOKUP(A68,IMPORTRANGE(""1QZ5UxyNCwadreQAXnQ7oCoH982DjIA-QnZdO7ZoqkC0/edit#gid=884617569"",""S4 Totals!$A$2:$O$255""),7,FALSE)"),"")</f>
        <v/>
      </c>
      <c r="K68" s="15" t="str">
        <f>IFERROR(__xludf.DUMMYFUNCTION("VLOOKUP(A68,IMPORTRANGE(""1QZ5UxyNCwadreQAXnQ7oCoH982DjIA-QnZdO7ZoqkC0/edit#gid=884617569"",""S4 Totals!$A$2:$O$255""),8,FALSE)"),"")</f>
        <v/>
      </c>
      <c r="L68" s="147"/>
      <c r="M68" s="16" t="str">
        <f>IFERROR(__xludf.DUMMYFUNCTION("VLOOKUP(A68,IMPORTRANGE(""1QZ5UxyNCwadreQAXnQ7oCoH982DjIA-QnZdO7ZoqkC0/edit#gid=884617569"",""S4 Totals!$A$2:$O$255""),10,FALSE)"),"")</f>
        <v/>
      </c>
      <c r="N68" s="15" t="str">
        <f>IFERROR(__xludf.DUMMYFUNCTION("VLOOKUP(A68,IMPORTRANGE(""1QZ5UxyNCwadreQAXnQ7oCoH982DjIA-QnZdO7ZoqkC0/edit#gid=884617569"",""S4 Totals!$A$2:$O$255""),11,FALSE)"),"")</f>
        <v/>
      </c>
      <c r="O68" s="110"/>
      <c r="P68" s="16" t="str">
        <f>IFERROR(__xludf.DUMMYFUNCTION("VLOOKUP(A68,IMPORTRANGE(""1QZ5UxyNCwadreQAXnQ7oCoH982DjIA-QnZdO7ZoqkC0/edit#gid=884617569"",""S4 Totals!$A$2:$O$255""),13,FALSE)"),"")</f>
        <v/>
      </c>
      <c r="Q68" s="15" t="str">
        <f>IFERROR(__xludf.DUMMYFUNCTION("VLOOKUP(A68,IMPORTRANGE(""1QZ5UxyNCwadreQAXnQ7oCoH982DjIA-QnZdO7ZoqkC0/edit#gid=884617569"",""S4 Totals!$A$2:$O$255""),14,FALSE)"),"")</f>
        <v/>
      </c>
      <c r="R68" s="110"/>
    </row>
    <row r="69">
      <c r="A69" s="128" t="s">
        <v>225</v>
      </c>
      <c r="B69" s="16">
        <f>IFERROR(__xludf.DUMMYFUNCTION("VLOOKUP(A69,IMPORTRANGE(""1aFCnJY1qhIj8-JckJhDJ18aqmVo17tofpQmOjcYa3u8/edit#gid=1878241338"",""S4 Totals!$A$2:$O$255""),2,FALSE)"),0.0)</f>
        <v>0</v>
      </c>
      <c r="C69" s="15">
        <f>IFERROR(__xludf.DUMMYFUNCTION("VLOOKUP(A69,IMPORTRANGE(""1aFCnJY1qhIj8-JckJhDJ18aqmVo17tofpQmOjcYa3u8/edit#gid=1878241338"",""S4 Totals!$A$2:$O$255""),3,FALSE)"),0.0)</f>
        <v>0</v>
      </c>
      <c r="D69" s="16">
        <f>IFERROR(__xludf.DUMMYFUNCTION("VLOOKUP(A69,IMPORTRANGE(""1QZ5UxyNCwadreQAXnQ7oCoH982DjIA-QnZdO7ZoqkC0/edit#gid=884617569"",""S4 Totals!$A$2:$O$255""),2,FALSE)"),2.0)</f>
        <v>2</v>
      </c>
      <c r="E69" s="15">
        <f>IFERROR(__xludf.DUMMYFUNCTION("VLOOKUP(A69,IMPORTRANGE(""1QZ5UxyNCwadreQAXnQ7oCoH982DjIA-QnZdO7ZoqkC0/edit#gid=884617569"",""S4 Totals!$A$2:$O$255""),3,FALSE)"),0.0425531914893617)</f>
        <v>0.04255319149</v>
      </c>
      <c r="F69" s="146">
        <f t="shared" si="1"/>
        <v>-0.04255319149</v>
      </c>
      <c r="G69" s="16">
        <f>IFERROR(__xludf.DUMMYFUNCTION("VLOOKUP(A69,IMPORTRANGE(""1QZ5UxyNCwadreQAXnQ7oCoH982DjIA-QnZdO7ZoqkC0/edit#gid=884617569"",""S4 Totals!$A$2:$O$255""),4,FALSE)"),2.0)</f>
        <v>2</v>
      </c>
      <c r="H69" s="15">
        <f>IFERROR(__xludf.DUMMYFUNCTION("VLOOKUP(A69,IMPORTRANGE(""1QZ5UxyNCwadreQAXnQ7oCoH982DjIA-QnZdO7ZoqkC0/edit#gid=884617569"",""S4 Totals!$A$2:$O$255""),5,FALSE)"),0.031746031746031744)</f>
        <v>0.03174603175</v>
      </c>
      <c r="I69" s="143"/>
      <c r="J69" s="16" t="str">
        <f>IFERROR(__xludf.DUMMYFUNCTION("VLOOKUP(A69,IMPORTRANGE(""1QZ5UxyNCwadreQAXnQ7oCoH982DjIA-QnZdO7ZoqkC0/edit#gid=884617569"",""S4 Totals!$A$2:$O$255""),7,FALSE)"),"")</f>
        <v/>
      </c>
      <c r="K69" s="15" t="str">
        <f>IFERROR(__xludf.DUMMYFUNCTION("VLOOKUP(A69,IMPORTRANGE(""1QZ5UxyNCwadreQAXnQ7oCoH982DjIA-QnZdO7ZoqkC0/edit#gid=884617569"",""S4 Totals!$A$2:$O$255""),8,FALSE)"),"")</f>
        <v/>
      </c>
      <c r="L69" s="147"/>
      <c r="M69" s="16" t="str">
        <f>IFERROR(__xludf.DUMMYFUNCTION("VLOOKUP(A69,IMPORTRANGE(""1QZ5UxyNCwadreQAXnQ7oCoH982DjIA-QnZdO7ZoqkC0/edit#gid=884617569"",""S4 Totals!$A$2:$O$255""),10,FALSE)"),"")</f>
        <v/>
      </c>
      <c r="N69" s="15" t="str">
        <f>IFERROR(__xludf.DUMMYFUNCTION("VLOOKUP(A69,IMPORTRANGE(""1QZ5UxyNCwadreQAXnQ7oCoH982DjIA-QnZdO7ZoqkC0/edit#gid=884617569"",""S4 Totals!$A$2:$O$255""),11,FALSE)"),"")</f>
        <v/>
      </c>
      <c r="O69" s="110"/>
      <c r="P69" s="16" t="str">
        <f>IFERROR(__xludf.DUMMYFUNCTION("VLOOKUP(A69,IMPORTRANGE(""1QZ5UxyNCwadreQAXnQ7oCoH982DjIA-QnZdO7ZoqkC0/edit#gid=884617569"",""S4 Totals!$A$2:$O$255""),13,FALSE)"),"")</f>
        <v/>
      </c>
      <c r="Q69" s="15" t="str">
        <f>IFERROR(__xludf.DUMMYFUNCTION("VLOOKUP(A69,IMPORTRANGE(""1QZ5UxyNCwadreQAXnQ7oCoH982DjIA-QnZdO7ZoqkC0/edit#gid=884617569"",""S4 Totals!$A$2:$O$255""),14,FALSE)"),"")</f>
        <v/>
      </c>
      <c r="R69" s="110"/>
    </row>
    <row r="70">
      <c r="A70" s="128" t="s">
        <v>123</v>
      </c>
      <c r="B70" s="16">
        <f>IFERROR(__xludf.DUMMYFUNCTION("VLOOKUP(A70,IMPORTRANGE(""1aFCnJY1qhIj8-JckJhDJ18aqmVo17tofpQmOjcYa3u8/edit#gid=1878241338"",""S4 Totals!$A$2:$O$255""),2,FALSE)"),0.0)</f>
        <v>0</v>
      </c>
      <c r="C70" s="15">
        <f>IFERROR(__xludf.DUMMYFUNCTION("VLOOKUP(A70,IMPORTRANGE(""1aFCnJY1qhIj8-JckJhDJ18aqmVo17tofpQmOjcYa3u8/edit#gid=1878241338"",""S4 Totals!$A$2:$O$255""),3,FALSE)"),0.0)</f>
        <v>0</v>
      </c>
      <c r="D70" s="16">
        <f>IFERROR(__xludf.DUMMYFUNCTION("VLOOKUP(A70,IMPORTRANGE(""1QZ5UxyNCwadreQAXnQ7oCoH982DjIA-QnZdO7ZoqkC0/edit#gid=884617569"",""S4 Totals!$A$2:$O$255""),2,FALSE)"),0.0)</f>
        <v>0</v>
      </c>
      <c r="E70" s="15">
        <f>IFERROR(__xludf.DUMMYFUNCTION("VLOOKUP(A70,IMPORTRANGE(""1QZ5UxyNCwadreQAXnQ7oCoH982DjIA-QnZdO7ZoqkC0/edit#gid=884617569"",""S4 Totals!$A$2:$O$255""),3,FALSE)"),0.0)</f>
        <v>0</v>
      </c>
      <c r="F70" s="146">
        <f t="shared" si="1"/>
        <v>0</v>
      </c>
      <c r="G70" s="16">
        <f>IFERROR(__xludf.DUMMYFUNCTION("VLOOKUP(A70,IMPORTRANGE(""1QZ5UxyNCwadreQAXnQ7oCoH982DjIA-QnZdO7ZoqkC0/edit#gid=884617569"",""S4 Totals!$A$2:$O$255""),4,FALSE)"),0.0)</f>
        <v>0</v>
      </c>
      <c r="H70" s="15">
        <f>IFERROR(__xludf.DUMMYFUNCTION("VLOOKUP(A70,IMPORTRANGE(""1QZ5UxyNCwadreQAXnQ7oCoH982DjIA-QnZdO7ZoqkC0/edit#gid=884617569"",""S4 Totals!$A$2:$O$255""),5,FALSE)"),0.0)</f>
        <v>0</v>
      </c>
      <c r="I70" s="143"/>
      <c r="J70" s="16">
        <f>IFERROR(__xludf.DUMMYFUNCTION("VLOOKUP(A70,IMPORTRANGE(""1QZ5UxyNCwadreQAXnQ7oCoH982DjIA-QnZdO7ZoqkC0/edit#gid=884617569"",""S4 Totals!$A$2:$O$255""),7,FALSE)"),0.0)</f>
        <v>0</v>
      </c>
      <c r="K70" s="15">
        <f>IFERROR(__xludf.DUMMYFUNCTION("VLOOKUP(A70,IMPORTRANGE(""1QZ5UxyNCwadreQAXnQ7oCoH982DjIA-QnZdO7ZoqkC0/edit#gid=884617569"",""S4 Totals!$A$2:$O$255""),8,FALSE)"),0.0)</f>
        <v>0</v>
      </c>
      <c r="L70" s="147"/>
      <c r="M70" s="16">
        <f>IFERROR(__xludf.DUMMYFUNCTION("VLOOKUP(A70,IMPORTRANGE(""1QZ5UxyNCwadreQAXnQ7oCoH982DjIA-QnZdO7ZoqkC0/edit#gid=884617569"",""S4 Totals!$A$2:$O$255""),10,FALSE)"),0.0)</f>
        <v>0</v>
      </c>
      <c r="N70" s="15">
        <f>IFERROR(__xludf.DUMMYFUNCTION("VLOOKUP(A70,IMPORTRANGE(""1QZ5UxyNCwadreQAXnQ7oCoH982DjIA-QnZdO7ZoqkC0/edit#gid=884617569"",""S4 Totals!$A$2:$O$255""),11,FALSE)"),0.0)</f>
        <v>0</v>
      </c>
      <c r="O70" s="110"/>
      <c r="P70" s="16" t="str">
        <f>IFERROR(__xludf.DUMMYFUNCTION("VLOOKUP(A70,IMPORTRANGE(""1QZ5UxyNCwadreQAXnQ7oCoH982DjIA-QnZdO7ZoqkC0/edit#gid=884617569"",""S4 Totals!$A$2:$O$255""),13,FALSE)"),"")</f>
        <v/>
      </c>
      <c r="Q70" s="15" t="str">
        <f>IFERROR(__xludf.DUMMYFUNCTION("VLOOKUP(A70,IMPORTRANGE(""1QZ5UxyNCwadreQAXnQ7oCoH982DjIA-QnZdO7ZoqkC0/edit#gid=884617569"",""S4 Totals!$A$2:$O$255""),14,FALSE)"),"")</f>
        <v/>
      </c>
      <c r="R70" s="110"/>
    </row>
    <row r="71">
      <c r="A71" s="128" t="s">
        <v>226</v>
      </c>
      <c r="B71" s="16">
        <f>IFERROR(__xludf.DUMMYFUNCTION("VLOOKUP(A71,IMPORTRANGE(""1aFCnJY1qhIj8-JckJhDJ18aqmVo17tofpQmOjcYa3u8/edit#gid=1878241338"",""S4 Totals!$A$2:$O$255""),2,FALSE)"),16.0)</f>
        <v>16</v>
      </c>
      <c r="C71" s="15">
        <f>IFERROR(__xludf.DUMMYFUNCTION("VLOOKUP(A71,IMPORTRANGE(""1aFCnJY1qhIj8-JckJhDJ18aqmVo17tofpQmOjcYa3u8/edit#gid=1878241338"",""S4 Totals!$A$2:$O$255""),3,FALSE)"),0.32)</f>
        <v>0.32</v>
      </c>
      <c r="D71" s="16">
        <f>IFERROR(__xludf.DUMMYFUNCTION("VLOOKUP(A71,IMPORTRANGE(""1QZ5UxyNCwadreQAXnQ7oCoH982DjIA-QnZdO7ZoqkC0/edit#gid=884617569"",""S4 Totals!$A$2:$O$255""),2,FALSE)"),4.0)</f>
        <v>4</v>
      </c>
      <c r="E71" s="15">
        <f>IFERROR(__xludf.DUMMYFUNCTION("VLOOKUP(A71,IMPORTRANGE(""1QZ5UxyNCwadreQAXnQ7oCoH982DjIA-QnZdO7ZoqkC0/edit#gid=884617569"",""S4 Totals!$A$2:$O$255""),3,FALSE)"),0.0851063829787234)</f>
        <v>0.08510638298</v>
      </c>
      <c r="F71" s="146">
        <f t="shared" si="1"/>
        <v>0.234893617</v>
      </c>
      <c r="G71" s="16">
        <f>IFERROR(__xludf.DUMMYFUNCTION("VLOOKUP(A71,IMPORTRANGE(""1QZ5UxyNCwadreQAXnQ7oCoH982DjIA-QnZdO7ZoqkC0/edit#gid=884617569"",""S4 Totals!$A$2:$O$255""),4,FALSE)"),3.0)</f>
        <v>3</v>
      </c>
      <c r="H71" s="15">
        <f>IFERROR(__xludf.DUMMYFUNCTION("VLOOKUP(A71,IMPORTRANGE(""1QZ5UxyNCwadreQAXnQ7oCoH982DjIA-QnZdO7ZoqkC0/edit#gid=884617569"",""S4 Totals!$A$2:$O$255""),5,FALSE)"),0.047619047619047616)</f>
        <v>0.04761904762</v>
      </c>
      <c r="I71" s="143"/>
      <c r="J71" s="16" t="str">
        <f>IFERROR(__xludf.DUMMYFUNCTION("VLOOKUP(A71,IMPORTRANGE(""1QZ5UxyNCwadreQAXnQ7oCoH982DjIA-QnZdO7ZoqkC0/edit#gid=884617569"",""S4 Totals!$A$2:$O$255""),7,FALSE)"),"")</f>
        <v/>
      </c>
      <c r="K71" s="15" t="str">
        <f>IFERROR(__xludf.DUMMYFUNCTION("VLOOKUP(A71,IMPORTRANGE(""1QZ5UxyNCwadreQAXnQ7oCoH982DjIA-QnZdO7ZoqkC0/edit#gid=884617569"",""S4 Totals!$A$2:$O$255""),8,FALSE)"),"")</f>
        <v/>
      </c>
      <c r="L71" s="147"/>
      <c r="M71" s="16" t="str">
        <f>IFERROR(__xludf.DUMMYFUNCTION("VLOOKUP(A71,IMPORTRANGE(""1QZ5UxyNCwadreQAXnQ7oCoH982DjIA-QnZdO7ZoqkC0/edit#gid=884617569"",""S4 Totals!$A$2:$O$255""),10,FALSE)"),"")</f>
        <v/>
      </c>
      <c r="N71" s="15" t="str">
        <f>IFERROR(__xludf.DUMMYFUNCTION("VLOOKUP(A71,IMPORTRANGE(""1QZ5UxyNCwadreQAXnQ7oCoH982DjIA-QnZdO7ZoqkC0/edit#gid=884617569"",""S4 Totals!$A$2:$O$255""),11,FALSE)"),"")</f>
        <v/>
      </c>
      <c r="O71" s="110"/>
      <c r="P71" s="16" t="str">
        <f>IFERROR(__xludf.DUMMYFUNCTION("VLOOKUP(A71,IMPORTRANGE(""1QZ5UxyNCwadreQAXnQ7oCoH982DjIA-QnZdO7ZoqkC0/edit#gid=884617569"",""S4 Totals!$A$2:$O$255""),13,FALSE)"),"")</f>
        <v/>
      </c>
      <c r="Q71" s="15" t="str">
        <f>IFERROR(__xludf.DUMMYFUNCTION("VLOOKUP(A71,IMPORTRANGE(""1QZ5UxyNCwadreQAXnQ7oCoH982DjIA-QnZdO7ZoqkC0/edit#gid=884617569"",""S4 Totals!$A$2:$O$255""),14,FALSE)"),"")</f>
        <v/>
      </c>
      <c r="R71" s="110"/>
    </row>
    <row r="72">
      <c r="A72" s="128" t="s">
        <v>124</v>
      </c>
      <c r="B72" s="16">
        <f>IFERROR(__xludf.DUMMYFUNCTION("VLOOKUP(A72,IMPORTRANGE(""1aFCnJY1qhIj8-JckJhDJ18aqmVo17tofpQmOjcYa3u8/edit#gid=1878241338"",""S4 Totals!$A$2:$O$255""),2,FALSE)"),21.0)</f>
        <v>21</v>
      </c>
      <c r="C72" s="15">
        <f>IFERROR(__xludf.DUMMYFUNCTION("VLOOKUP(A72,IMPORTRANGE(""1aFCnJY1qhIj8-JckJhDJ18aqmVo17tofpQmOjcYa3u8/edit#gid=1878241338"",""S4 Totals!$A$2:$O$255""),3,FALSE)"),0.42)</f>
        <v>0.42</v>
      </c>
      <c r="D72" s="16">
        <f>IFERROR(__xludf.DUMMYFUNCTION("VLOOKUP(A72,IMPORTRANGE(""1QZ5UxyNCwadreQAXnQ7oCoH982DjIA-QnZdO7ZoqkC0/edit#gid=884617569"",""S4 Totals!$A$2:$O$255""),2,FALSE)"),23.0)</f>
        <v>23</v>
      </c>
      <c r="E72" s="15">
        <f>IFERROR(__xludf.DUMMYFUNCTION("VLOOKUP(A72,IMPORTRANGE(""1QZ5UxyNCwadreQAXnQ7oCoH982DjIA-QnZdO7ZoqkC0/edit#gid=884617569"",""S4 Totals!$A$2:$O$255""),3,FALSE)"),0.48936170212765956)</f>
        <v>0.4893617021</v>
      </c>
      <c r="F72" s="146">
        <f t="shared" si="1"/>
        <v>-0.06936170213</v>
      </c>
      <c r="G72" s="16">
        <f>IFERROR(__xludf.DUMMYFUNCTION("VLOOKUP(A72,IMPORTRANGE(""1QZ5UxyNCwadreQAXnQ7oCoH982DjIA-QnZdO7ZoqkC0/edit#gid=884617569"",""S4 Totals!$A$2:$O$255""),4,FALSE)"),26.0)</f>
        <v>26</v>
      </c>
      <c r="H72" s="15">
        <f>IFERROR(__xludf.DUMMYFUNCTION("VLOOKUP(A72,IMPORTRANGE(""1QZ5UxyNCwadreQAXnQ7oCoH982DjIA-QnZdO7ZoqkC0/edit#gid=884617569"",""S4 Totals!$A$2:$O$255""),5,FALSE)"),0.4126984126984127)</f>
        <v>0.4126984127</v>
      </c>
      <c r="I72" s="143"/>
      <c r="J72" s="16">
        <f>IFERROR(__xludf.DUMMYFUNCTION("VLOOKUP(A72,IMPORTRANGE(""1QZ5UxyNCwadreQAXnQ7oCoH982DjIA-QnZdO7ZoqkC0/edit#gid=884617569"",""S4 Totals!$A$2:$O$255""),7,FALSE)"),19.0)</f>
        <v>19</v>
      </c>
      <c r="K72" s="15">
        <f>IFERROR(__xludf.DUMMYFUNCTION("VLOOKUP(A72,IMPORTRANGE(""1QZ5UxyNCwadreQAXnQ7oCoH982DjIA-QnZdO7ZoqkC0/edit#gid=884617569"",""S4 Totals!$A$2:$O$255""),8,FALSE)"),0.2714285714285714)</f>
        <v>0.2714285714</v>
      </c>
      <c r="L72" s="147"/>
      <c r="M72" s="16">
        <f>IFERROR(__xludf.DUMMYFUNCTION("VLOOKUP(A72,IMPORTRANGE(""1QZ5UxyNCwadreQAXnQ7oCoH982DjIA-QnZdO7ZoqkC0/edit#gid=884617569"",""S4 Totals!$A$2:$O$255""),10,FALSE)"),14.0)</f>
        <v>14</v>
      </c>
      <c r="N72" s="15">
        <f>IFERROR(__xludf.DUMMYFUNCTION("VLOOKUP(A72,IMPORTRANGE(""1QZ5UxyNCwadreQAXnQ7oCoH982DjIA-QnZdO7ZoqkC0/edit#gid=884617569"",""S4 Totals!$A$2:$O$255""),11,FALSE)"),0.1891891891891892)</f>
        <v>0.1891891892</v>
      </c>
      <c r="O72" s="110"/>
      <c r="P72" s="16" t="str">
        <f>IFERROR(__xludf.DUMMYFUNCTION("VLOOKUP(A72,IMPORTRANGE(""1QZ5UxyNCwadreQAXnQ7oCoH982DjIA-QnZdO7ZoqkC0/edit#gid=884617569"",""S4 Totals!$A$2:$O$255""),13,FALSE)"),"")</f>
        <v/>
      </c>
      <c r="Q72" s="15" t="str">
        <f>IFERROR(__xludf.DUMMYFUNCTION("VLOOKUP(A72,IMPORTRANGE(""1QZ5UxyNCwadreQAXnQ7oCoH982DjIA-QnZdO7ZoqkC0/edit#gid=884617569"",""S4 Totals!$A$2:$O$255""),14,FALSE)"),"")</f>
        <v/>
      </c>
      <c r="R72" s="110"/>
    </row>
    <row r="73">
      <c r="A73" s="128" t="s">
        <v>172</v>
      </c>
      <c r="B73" s="16">
        <f>IFERROR(__xludf.DUMMYFUNCTION("VLOOKUP(A73,IMPORTRANGE(""1aFCnJY1qhIj8-JckJhDJ18aqmVo17tofpQmOjcYa3u8/edit#gid=1878241338"",""S4 Totals!$A$2:$O$255""),2,FALSE)"),3.0)</f>
        <v>3</v>
      </c>
      <c r="C73" s="15">
        <f>IFERROR(__xludf.DUMMYFUNCTION("VLOOKUP(A73,IMPORTRANGE(""1aFCnJY1qhIj8-JckJhDJ18aqmVo17tofpQmOjcYa3u8/edit#gid=1878241338"",""S4 Totals!$A$2:$O$255""),3,FALSE)"),0.06)</f>
        <v>0.06</v>
      </c>
      <c r="D73" s="16">
        <f>IFERROR(__xludf.DUMMYFUNCTION("VLOOKUP(A73,IMPORTRANGE(""1QZ5UxyNCwadreQAXnQ7oCoH982DjIA-QnZdO7ZoqkC0/edit#gid=884617569"",""S4 Totals!$A$2:$O$255""),2,FALSE)"),6.0)</f>
        <v>6</v>
      </c>
      <c r="E73" s="15">
        <f>IFERROR(__xludf.DUMMYFUNCTION("VLOOKUP(A73,IMPORTRANGE(""1QZ5UxyNCwadreQAXnQ7oCoH982DjIA-QnZdO7ZoqkC0/edit#gid=884617569"",""S4 Totals!$A$2:$O$255""),3,FALSE)"),0.1276595744680851)</f>
        <v>0.1276595745</v>
      </c>
      <c r="F73" s="146">
        <f t="shared" si="1"/>
        <v>-0.06765957447</v>
      </c>
      <c r="G73" s="16">
        <f>IFERROR(__xludf.DUMMYFUNCTION("VLOOKUP(A73,IMPORTRANGE(""1QZ5UxyNCwadreQAXnQ7oCoH982DjIA-QnZdO7ZoqkC0/edit#gid=884617569"",""S4 Totals!$A$2:$O$255""),4,FALSE)"),5.0)</f>
        <v>5</v>
      </c>
      <c r="H73" s="15">
        <f>IFERROR(__xludf.DUMMYFUNCTION("VLOOKUP(A73,IMPORTRANGE(""1QZ5UxyNCwadreQAXnQ7oCoH982DjIA-QnZdO7ZoqkC0/edit#gid=884617569"",""S4 Totals!$A$2:$O$255""),5,FALSE)"),0.07936507936507936)</f>
        <v>0.07936507937</v>
      </c>
      <c r="I73" s="143"/>
      <c r="J73" s="16">
        <f>IFERROR(__xludf.DUMMYFUNCTION("VLOOKUP(A73,IMPORTRANGE(""1QZ5UxyNCwadreQAXnQ7oCoH982DjIA-QnZdO7ZoqkC0/edit#gid=884617569"",""S4 Totals!$A$2:$O$255""),7,FALSE)"),6.0)</f>
        <v>6</v>
      </c>
      <c r="K73" s="15">
        <f>IFERROR(__xludf.DUMMYFUNCTION("VLOOKUP(A73,IMPORTRANGE(""1QZ5UxyNCwadreQAXnQ7oCoH982DjIA-QnZdO7ZoqkC0/edit#gid=884617569"",""S4 Totals!$A$2:$O$255""),8,FALSE)"),0.08571428571428572)</f>
        <v>0.08571428571</v>
      </c>
      <c r="L73" s="147"/>
      <c r="M73" s="16" t="str">
        <f>IFERROR(__xludf.DUMMYFUNCTION("VLOOKUP(A73,IMPORTRANGE(""1QZ5UxyNCwadreQAXnQ7oCoH982DjIA-QnZdO7ZoqkC0/edit#gid=884617569"",""S4 Totals!$A$2:$O$255""),10,FALSE)"),"")</f>
        <v/>
      </c>
      <c r="N73" s="15" t="str">
        <f>IFERROR(__xludf.DUMMYFUNCTION("VLOOKUP(A73,IMPORTRANGE(""1QZ5UxyNCwadreQAXnQ7oCoH982DjIA-QnZdO7ZoqkC0/edit#gid=884617569"",""S4 Totals!$A$2:$O$255""),11,FALSE)"),"")</f>
        <v/>
      </c>
      <c r="O73" s="110"/>
      <c r="P73" s="16" t="str">
        <f>IFERROR(__xludf.DUMMYFUNCTION("VLOOKUP(A73,IMPORTRANGE(""1QZ5UxyNCwadreQAXnQ7oCoH982DjIA-QnZdO7ZoqkC0/edit#gid=884617569"",""S4 Totals!$A$2:$O$255""),13,FALSE)"),"")</f>
        <v/>
      </c>
      <c r="Q73" s="15" t="str">
        <f>IFERROR(__xludf.DUMMYFUNCTION("VLOOKUP(A73,IMPORTRANGE(""1QZ5UxyNCwadreQAXnQ7oCoH982DjIA-QnZdO7ZoqkC0/edit#gid=884617569"",""S4 Totals!$A$2:$O$255""),14,FALSE)"),"")</f>
        <v/>
      </c>
      <c r="R73" s="110"/>
    </row>
    <row r="74">
      <c r="A74" s="128" t="s">
        <v>173</v>
      </c>
      <c r="B74" s="16">
        <f>IFERROR(__xludf.DUMMYFUNCTION("VLOOKUP(A74,IMPORTRANGE(""1aFCnJY1qhIj8-JckJhDJ18aqmVo17tofpQmOjcYa3u8/edit#gid=1878241338"",""S4 Totals!$A$2:$O$255""),2,FALSE)"),1.0)</f>
        <v>1</v>
      </c>
      <c r="C74" s="15">
        <f>IFERROR(__xludf.DUMMYFUNCTION("VLOOKUP(A74,IMPORTRANGE(""1aFCnJY1qhIj8-JckJhDJ18aqmVo17tofpQmOjcYa3u8/edit#gid=1878241338"",""S4 Totals!$A$2:$O$255""),3,FALSE)"),0.02)</f>
        <v>0.02</v>
      </c>
      <c r="D74" s="16">
        <f>IFERROR(__xludf.DUMMYFUNCTION("VLOOKUP(A74,IMPORTRANGE(""1QZ5UxyNCwadreQAXnQ7oCoH982DjIA-QnZdO7ZoqkC0/edit#gid=884617569"",""S4 Totals!$A$2:$O$255""),2,FALSE)"),1.0)</f>
        <v>1</v>
      </c>
      <c r="E74" s="15">
        <f>IFERROR(__xludf.DUMMYFUNCTION("VLOOKUP(A74,IMPORTRANGE(""1QZ5UxyNCwadreQAXnQ7oCoH982DjIA-QnZdO7ZoqkC0/edit#gid=884617569"",""S4 Totals!$A$2:$O$255""),3,FALSE)"),0.02127659574468085)</f>
        <v>0.02127659574</v>
      </c>
      <c r="F74" s="146">
        <f t="shared" si="1"/>
        <v>-0.001276595745</v>
      </c>
      <c r="G74" s="16">
        <f>IFERROR(__xludf.DUMMYFUNCTION("VLOOKUP(A74,IMPORTRANGE(""1QZ5UxyNCwadreQAXnQ7oCoH982DjIA-QnZdO7ZoqkC0/edit#gid=884617569"",""S4 Totals!$A$2:$O$255""),4,FALSE)"),2.0)</f>
        <v>2</v>
      </c>
      <c r="H74" s="15">
        <f>IFERROR(__xludf.DUMMYFUNCTION("VLOOKUP(A74,IMPORTRANGE(""1QZ5UxyNCwadreQAXnQ7oCoH982DjIA-QnZdO7ZoqkC0/edit#gid=884617569"",""S4 Totals!$A$2:$O$255""),5,FALSE)"),0.031746031746031744)</f>
        <v>0.03174603175</v>
      </c>
      <c r="I74" s="143"/>
      <c r="J74" s="16">
        <f>IFERROR(__xludf.DUMMYFUNCTION("VLOOKUP(A74,IMPORTRANGE(""1QZ5UxyNCwadreQAXnQ7oCoH982DjIA-QnZdO7ZoqkC0/edit#gid=884617569"",""S4 Totals!$A$2:$O$255""),7,FALSE)"),3.0)</f>
        <v>3</v>
      </c>
      <c r="K74" s="15">
        <f>IFERROR(__xludf.DUMMYFUNCTION("VLOOKUP(A74,IMPORTRANGE(""1QZ5UxyNCwadreQAXnQ7oCoH982DjIA-QnZdO7ZoqkC0/edit#gid=884617569"",""S4 Totals!$A$2:$O$255""),8,FALSE)"),0.04285714285714286)</f>
        <v>0.04285714286</v>
      </c>
      <c r="L74" s="147"/>
      <c r="M74" s="16" t="str">
        <f>IFERROR(__xludf.DUMMYFUNCTION("VLOOKUP(A74,IMPORTRANGE(""1QZ5UxyNCwadreQAXnQ7oCoH982DjIA-QnZdO7ZoqkC0/edit#gid=884617569"",""S4 Totals!$A$2:$O$255""),10,FALSE)"),"")</f>
        <v/>
      </c>
      <c r="N74" s="15" t="str">
        <f>IFERROR(__xludf.DUMMYFUNCTION("VLOOKUP(A74,IMPORTRANGE(""1QZ5UxyNCwadreQAXnQ7oCoH982DjIA-QnZdO7ZoqkC0/edit#gid=884617569"",""S4 Totals!$A$2:$O$255""),11,FALSE)"),"")</f>
        <v/>
      </c>
      <c r="O74" s="110"/>
      <c r="P74" s="16" t="str">
        <f>IFERROR(__xludf.DUMMYFUNCTION("VLOOKUP(A74,IMPORTRANGE(""1QZ5UxyNCwadreQAXnQ7oCoH982DjIA-QnZdO7ZoqkC0/edit#gid=884617569"",""S4 Totals!$A$2:$O$255""),13,FALSE)"),"")</f>
        <v/>
      </c>
      <c r="Q74" s="15" t="str">
        <f>IFERROR(__xludf.DUMMYFUNCTION("VLOOKUP(A74,IMPORTRANGE(""1QZ5UxyNCwadreQAXnQ7oCoH982DjIA-QnZdO7ZoqkC0/edit#gid=884617569"",""S4 Totals!$A$2:$O$255""),14,FALSE)"),"")</f>
        <v/>
      </c>
      <c r="R74" s="110"/>
    </row>
    <row r="75">
      <c r="A75" s="128" t="s">
        <v>125</v>
      </c>
      <c r="B75" s="16">
        <f>IFERROR(__xludf.DUMMYFUNCTION("VLOOKUP(A75,IMPORTRANGE(""1aFCnJY1qhIj8-JckJhDJ18aqmVo17tofpQmOjcYa3u8/edit#gid=1878241338"",""S4 Totals!$A$2:$O$255""),2,FALSE)"),14.0)</f>
        <v>14</v>
      </c>
      <c r="C75" s="15">
        <f>IFERROR(__xludf.DUMMYFUNCTION("VLOOKUP(A75,IMPORTRANGE(""1aFCnJY1qhIj8-JckJhDJ18aqmVo17tofpQmOjcYa3u8/edit#gid=1878241338"",""S4 Totals!$A$2:$O$255""),3,FALSE)"),0.28)</f>
        <v>0.28</v>
      </c>
      <c r="D75" s="16">
        <f>IFERROR(__xludf.DUMMYFUNCTION("VLOOKUP(A75,IMPORTRANGE(""1QZ5UxyNCwadreQAXnQ7oCoH982DjIA-QnZdO7ZoqkC0/edit#gid=884617569"",""S4 Totals!$A$2:$O$255""),2,FALSE)"),12.0)</f>
        <v>12</v>
      </c>
      <c r="E75" s="15">
        <f>IFERROR(__xludf.DUMMYFUNCTION("VLOOKUP(A75,IMPORTRANGE(""1QZ5UxyNCwadreQAXnQ7oCoH982DjIA-QnZdO7ZoqkC0/edit#gid=884617569"",""S4 Totals!$A$2:$O$255""),3,FALSE)"),0.2553191489361702)</f>
        <v>0.2553191489</v>
      </c>
      <c r="F75" s="146">
        <f t="shared" si="1"/>
        <v>0.02468085106</v>
      </c>
      <c r="G75" s="16">
        <f>IFERROR(__xludf.DUMMYFUNCTION("VLOOKUP(A75,IMPORTRANGE(""1QZ5UxyNCwadreQAXnQ7oCoH982DjIA-QnZdO7ZoqkC0/edit#gid=884617569"",""S4 Totals!$A$2:$O$255""),4,FALSE)"),11.0)</f>
        <v>11</v>
      </c>
      <c r="H75" s="15">
        <f>IFERROR(__xludf.DUMMYFUNCTION("VLOOKUP(A75,IMPORTRANGE(""1QZ5UxyNCwadreQAXnQ7oCoH982DjIA-QnZdO7ZoqkC0/edit#gid=884617569"",""S4 Totals!$A$2:$O$255""),5,FALSE)"),0.1746031746031746)</f>
        <v>0.1746031746</v>
      </c>
      <c r="I75" s="143"/>
      <c r="J75" s="16">
        <f>IFERROR(__xludf.DUMMYFUNCTION("VLOOKUP(A75,IMPORTRANGE(""1QZ5UxyNCwadreQAXnQ7oCoH982DjIA-QnZdO7ZoqkC0/edit#gid=884617569"",""S4 Totals!$A$2:$O$255""),7,FALSE)"),9.0)</f>
        <v>9</v>
      </c>
      <c r="K75" s="15">
        <f>IFERROR(__xludf.DUMMYFUNCTION("VLOOKUP(A75,IMPORTRANGE(""1QZ5UxyNCwadreQAXnQ7oCoH982DjIA-QnZdO7ZoqkC0/edit#gid=884617569"",""S4 Totals!$A$2:$O$255""),8,FALSE)"),0.12857142857142856)</f>
        <v>0.1285714286</v>
      </c>
      <c r="L75" s="147"/>
      <c r="M75" s="16">
        <f>IFERROR(__xludf.DUMMYFUNCTION("VLOOKUP(A75,IMPORTRANGE(""1QZ5UxyNCwadreQAXnQ7oCoH982DjIA-QnZdO7ZoqkC0/edit#gid=884617569"",""S4 Totals!$A$2:$O$255""),10,FALSE)"),10.0)</f>
        <v>10</v>
      </c>
      <c r="N75" s="15">
        <f>IFERROR(__xludf.DUMMYFUNCTION("VLOOKUP(A75,IMPORTRANGE(""1QZ5UxyNCwadreQAXnQ7oCoH982DjIA-QnZdO7ZoqkC0/edit#gid=884617569"",""S4 Totals!$A$2:$O$255""),11,FALSE)"),0.13513513513513514)</f>
        <v>0.1351351351</v>
      </c>
      <c r="O75" s="110"/>
      <c r="P75" s="16" t="str">
        <f>IFERROR(__xludf.DUMMYFUNCTION("VLOOKUP(A75,IMPORTRANGE(""1QZ5UxyNCwadreQAXnQ7oCoH982DjIA-QnZdO7ZoqkC0/edit#gid=884617569"",""S4 Totals!$A$2:$O$255""),13,FALSE)"),"")</f>
        <v/>
      </c>
      <c r="Q75" s="15" t="str">
        <f>IFERROR(__xludf.DUMMYFUNCTION("VLOOKUP(A75,IMPORTRANGE(""1QZ5UxyNCwadreQAXnQ7oCoH982DjIA-QnZdO7ZoqkC0/edit#gid=884617569"",""S4 Totals!$A$2:$O$255""),14,FALSE)"),"")</f>
        <v/>
      </c>
      <c r="R75" s="110"/>
    </row>
    <row r="76">
      <c r="A76" s="128" t="s">
        <v>299</v>
      </c>
      <c r="B76" s="16">
        <f>IFERROR(__xludf.DUMMYFUNCTION("VLOOKUP(A76,IMPORTRANGE(""1aFCnJY1qhIj8-JckJhDJ18aqmVo17tofpQmOjcYa3u8/edit#gid=1878241338"",""S4 Totals!$A$2:$O$255""),2,FALSE)"),0.0)</f>
        <v>0</v>
      </c>
      <c r="C76" s="15">
        <f>IFERROR(__xludf.DUMMYFUNCTION("VLOOKUP(A76,IMPORTRANGE(""1aFCnJY1qhIj8-JckJhDJ18aqmVo17tofpQmOjcYa3u8/edit#gid=1878241338"",""S4 Totals!$A$2:$O$255""),3,FALSE)"),0.0)</f>
        <v>0</v>
      </c>
      <c r="D76" s="16">
        <f>IFERROR(__xludf.DUMMYFUNCTION("VLOOKUP(A76,IMPORTRANGE(""1QZ5UxyNCwadreQAXnQ7oCoH982DjIA-QnZdO7ZoqkC0/edit#gid=884617569"",""S4 Totals!$A$2:$O$255""),2,FALSE)"),0.0)</f>
        <v>0</v>
      </c>
      <c r="E76" s="15">
        <f>IFERROR(__xludf.DUMMYFUNCTION("VLOOKUP(A76,IMPORTRANGE(""1QZ5UxyNCwadreQAXnQ7oCoH982DjIA-QnZdO7ZoqkC0/edit#gid=884617569"",""S4 Totals!$A$2:$O$255""),3,FALSE)"),0.0)</f>
        <v>0</v>
      </c>
      <c r="F76" s="146">
        <f t="shared" si="1"/>
        <v>0</v>
      </c>
      <c r="G76" s="16">
        <f>IFERROR(__xludf.DUMMYFUNCTION("VLOOKUP(A76,IMPORTRANGE(""1QZ5UxyNCwadreQAXnQ7oCoH982DjIA-QnZdO7ZoqkC0/edit#gid=884617569"",""S4 Totals!$A$2:$O$255""),4,FALSE)"),0.0)</f>
        <v>0</v>
      </c>
      <c r="H76" s="15">
        <f>IFERROR(__xludf.DUMMYFUNCTION("VLOOKUP(A76,IMPORTRANGE(""1QZ5UxyNCwadreQAXnQ7oCoH982DjIA-QnZdO7ZoqkC0/edit#gid=884617569"",""S4 Totals!$A$2:$O$255""),5,FALSE)"),0.0)</f>
        <v>0</v>
      </c>
      <c r="I76" s="143"/>
      <c r="J76" s="16">
        <f>IFERROR(__xludf.DUMMYFUNCTION("VLOOKUP(A76,IMPORTRANGE(""1QZ5UxyNCwadreQAXnQ7oCoH982DjIA-QnZdO7ZoqkC0/edit#gid=884617569"",""S4 Totals!$A$2:$O$255""),7,FALSE)"),0.0)</f>
        <v>0</v>
      </c>
      <c r="K76" s="15">
        <f>IFERROR(__xludf.DUMMYFUNCTION("VLOOKUP(A76,IMPORTRANGE(""1QZ5UxyNCwadreQAXnQ7oCoH982DjIA-QnZdO7ZoqkC0/edit#gid=884617569"",""S4 Totals!$A$2:$O$255""),8,FALSE)"),0.0)</f>
        <v>0</v>
      </c>
      <c r="L76" s="147"/>
      <c r="M76" s="16" t="str">
        <f>IFERROR(__xludf.DUMMYFUNCTION("VLOOKUP(A76,IMPORTRANGE(""1QZ5UxyNCwadreQAXnQ7oCoH982DjIA-QnZdO7ZoqkC0/edit#gid=884617569"",""S4 Totals!$A$2:$O$255""),10,FALSE)"),"")</f>
        <v/>
      </c>
      <c r="N76" s="15" t="str">
        <f>IFERROR(__xludf.DUMMYFUNCTION("VLOOKUP(A76,IMPORTRANGE(""1QZ5UxyNCwadreQAXnQ7oCoH982DjIA-QnZdO7ZoqkC0/edit#gid=884617569"",""S4 Totals!$A$2:$O$255""),11,FALSE)"),"")</f>
        <v/>
      </c>
      <c r="O76" s="110"/>
      <c r="P76" s="16" t="str">
        <f>IFERROR(__xludf.DUMMYFUNCTION("VLOOKUP(A76,IMPORTRANGE(""1QZ5UxyNCwadreQAXnQ7oCoH982DjIA-QnZdO7ZoqkC0/edit#gid=884617569"",""S4 Totals!$A$2:$O$255""),13,FALSE)"),"")</f>
        <v/>
      </c>
      <c r="Q76" s="15" t="str">
        <f>IFERROR(__xludf.DUMMYFUNCTION("VLOOKUP(A76,IMPORTRANGE(""1QZ5UxyNCwadreQAXnQ7oCoH982DjIA-QnZdO7ZoqkC0/edit#gid=884617569"",""S4 Totals!$A$2:$O$255""),14,FALSE)"),"")</f>
        <v/>
      </c>
      <c r="R76" s="110"/>
    </row>
    <row r="77">
      <c r="A77" s="128" t="s">
        <v>47</v>
      </c>
      <c r="B77" s="16">
        <f>IFERROR(__xludf.DUMMYFUNCTION("VLOOKUP(A77,IMPORTRANGE(""1aFCnJY1qhIj8-JckJhDJ18aqmVo17tofpQmOjcYa3u8/edit#gid=1878241338"",""S4 Totals!$A$2:$O$255""),2,FALSE)"),5.0)</f>
        <v>5</v>
      </c>
      <c r="C77" s="15">
        <f>IFERROR(__xludf.DUMMYFUNCTION("VLOOKUP(A77,IMPORTRANGE(""1aFCnJY1qhIj8-JckJhDJ18aqmVo17tofpQmOjcYa3u8/edit#gid=1878241338"",""S4 Totals!$A$2:$O$255""),3,FALSE)"),0.1)</f>
        <v>0.1</v>
      </c>
      <c r="D77" s="16">
        <f>IFERROR(__xludf.DUMMYFUNCTION("VLOOKUP(A77,IMPORTRANGE(""1QZ5UxyNCwadreQAXnQ7oCoH982DjIA-QnZdO7ZoqkC0/edit#gid=884617569"",""S4 Totals!$A$2:$O$255""),2,FALSE)"),7.0)</f>
        <v>7</v>
      </c>
      <c r="E77" s="15">
        <f>IFERROR(__xludf.DUMMYFUNCTION("VLOOKUP(A77,IMPORTRANGE(""1QZ5UxyNCwadreQAXnQ7oCoH982DjIA-QnZdO7ZoqkC0/edit#gid=884617569"",""S4 Totals!$A$2:$O$255""),3,FALSE)"),0.14893617021276595)</f>
        <v>0.1489361702</v>
      </c>
      <c r="F77" s="146">
        <f t="shared" si="1"/>
        <v>-0.04893617021</v>
      </c>
      <c r="G77" s="16">
        <f>IFERROR(__xludf.DUMMYFUNCTION("VLOOKUP(A77,IMPORTRANGE(""1QZ5UxyNCwadreQAXnQ7oCoH982DjIA-QnZdO7ZoqkC0/edit#gid=884617569"",""S4 Totals!$A$2:$O$255""),4,FALSE)"),5.0)</f>
        <v>5</v>
      </c>
      <c r="H77" s="15">
        <f>IFERROR(__xludf.DUMMYFUNCTION("VLOOKUP(A77,IMPORTRANGE(""1QZ5UxyNCwadreQAXnQ7oCoH982DjIA-QnZdO7ZoqkC0/edit#gid=884617569"",""S4 Totals!$A$2:$O$255""),5,FALSE)"),0.07936507936507936)</f>
        <v>0.07936507937</v>
      </c>
      <c r="I77" s="143"/>
      <c r="J77" s="16">
        <f>IFERROR(__xludf.DUMMYFUNCTION("VLOOKUP(A77,IMPORTRANGE(""1QZ5UxyNCwadreQAXnQ7oCoH982DjIA-QnZdO7ZoqkC0/edit#gid=884617569"",""S4 Totals!$A$2:$O$255""),7,FALSE)"),1.0)</f>
        <v>1</v>
      </c>
      <c r="K77" s="15">
        <f>IFERROR(__xludf.DUMMYFUNCTION("VLOOKUP(A77,IMPORTRANGE(""1QZ5UxyNCwadreQAXnQ7oCoH982DjIA-QnZdO7ZoqkC0/edit#gid=884617569"",""S4 Totals!$A$2:$O$255""),8,FALSE)"),0.014285714285714285)</f>
        <v>0.01428571429</v>
      </c>
      <c r="L77" s="147"/>
      <c r="M77" s="16">
        <f>IFERROR(__xludf.DUMMYFUNCTION("VLOOKUP(A77,IMPORTRANGE(""1QZ5UxyNCwadreQAXnQ7oCoH982DjIA-QnZdO7ZoqkC0/edit#gid=884617569"",""S4 Totals!$A$2:$O$255""),10,FALSE)"),7.0)</f>
        <v>7</v>
      </c>
      <c r="N77" s="15">
        <f>IFERROR(__xludf.DUMMYFUNCTION("VLOOKUP(A77,IMPORTRANGE(""1QZ5UxyNCwadreQAXnQ7oCoH982DjIA-QnZdO7ZoqkC0/edit#gid=884617569"",""S4 Totals!$A$2:$O$255""),11,FALSE)"),0.0945945945945946)</f>
        <v>0.09459459459</v>
      </c>
      <c r="O77" s="110"/>
      <c r="P77" s="16">
        <f>IFERROR(__xludf.DUMMYFUNCTION("VLOOKUP(A77,IMPORTRANGE(""1QZ5UxyNCwadreQAXnQ7oCoH982DjIA-QnZdO7ZoqkC0/edit#gid=884617569"",""S4 Totals!$A$2:$O$255""),13,FALSE)"),3.0)</f>
        <v>3</v>
      </c>
      <c r="Q77" s="15">
        <f>IFERROR(__xludf.DUMMYFUNCTION("VLOOKUP(A77,IMPORTRANGE(""1QZ5UxyNCwadreQAXnQ7oCoH982DjIA-QnZdO7ZoqkC0/edit#gid=884617569"",""S4 Totals!$A$2:$O$255""),14,FALSE)"),0.04)</f>
        <v>0.04</v>
      </c>
      <c r="R77" s="110"/>
    </row>
    <row r="78">
      <c r="A78" s="128" t="s">
        <v>48</v>
      </c>
      <c r="B78" s="16">
        <f>IFERROR(__xludf.DUMMYFUNCTION("VLOOKUP(A78,IMPORTRANGE(""1aFCnJY1qhIj8-JckJhDJ18aqmVo17tofpQmOjcYa3u8/edit#gid=1878241338"",""S4 Totals!$A$2:$O$255""),2,FALSE)"),21.0)</f>
        <v>21</v>
      </c>
      <c r="C78" s="15">
        <f>IFERROR(__xludf.DUMMYFUNCTION("VLOOKUP(A78,IMPORTRANGE(""1aFCnJY1qhIj8-JckJhDJ18aqmVo17tofpQmOjcYa3u8/edit#gid=1878241338"",""S4 Totals!$A$2:$O$255""),3,FALSE)"),0.42)</f>
        <v>0.42</v>
      </c>
      <c r="D78" s="16">
        <f>IFERROR(__xludf.DUMMYFUNCTION("VLOOKUP(A78,IMPORTRANGE(""1QZ5UxyNCwadreQAXnQ7oCoH982DjIA-QnZdO7ZoqkC0/edit#gid=884617569"",""S4 Totals!$A$2:$O$255""),2,FALSE)"),20.0)</f>
        <v>20</v>
      </c>
      <c r="E78" s="15">
        <f>IFERROR(__xludf.DUMMYFUNCTION("VLOOKUP(A78,IMPORTRANGE(""1QZ5UxyNCwadreQAXnQ7oCoH982DjIA-QnZdO7ZoqkC0/edit#gid=884617569"",""S4 Totals!$A$2:$O$255""),3,FALSE)"),0.425531914893617)</f>
        <v>0.4255319149</v>
      </c>
      <c r="F78" s="146">
        <f t="shared" si="1"/>
        <v>-0.005531914894</v>
      </c>
      <c r="G78" s="16">
        <f>IFERROR(__xludf.DUMMYFUNCTION("VLOOKUP(A78,IMPORTRANGE(""1QZ5UxyNCwadreQAXnQ7oCoH982DjIA-QnZdO7ZoqkC0/edit#gid=884617569"",""S4 Totals!$A$2:$O$255""),4,FALSE)"),28.0)</f>
        <v>28</v>
      </c>
      <c r="H78" s="15">
        <f>IFERROR(__xludf.DUMMYFUNCTION("VLOOKUP(A78,IMPORTRANGE(""1QZ5UxyNCwadreQAXnQ7oCoH982DjIA-QnZdO7ZoqkC0/edit#gid=884617569"",""S4 Totals!$A$2:$O$255""),5,FALSE)"),0.4444444444444444)</f>
        <v>0.4444444444</v>
      </c>
      <c r="I78" s="143"/>
      <c r="J78" s="16">
        <f>IFERROR(__xludf.DUMMYFUNCTION("VLOOKUP(A78,IMPORTRANGE(""1QZ5UxyNCwadreQAXnQ7oCoH982DjIA-QnZdO7ZoqkC0/edit#gid=884617569"",""S4 Totals!$A$2:$O$255""),7,FALSE)"),31.0)</f>
        <v>31</v>
      </c>
      <c r="K78" s="15">
        <f>IFERROR(__xludf.DUMMYFUNCTION("VLOOKUP(A78,IMPORTRANGE(""1QZ5UxyNCwadreQAXnQ7oCoH982DjIA-QnZdO7ZoqkC0/edit#gid=884617569"",""S4 Totals!$A$2:$O$255""),8,FALSE)"),0.44285714285714284)</f>
        <v>0.4428571429</v>
      </c>
      <c r="L78" s="147"/>
      <c r="M78" s="16">
        <f>IFERROR(__xludf.DUMMYFUNCTION("VLOOKUP(A78,IMPORTRANGE(""1QZ5UxyNCwadreQAXnQ7oCoH982DjIA-QnZdO7ZoqkC0/edit#gid=884617569"",""S4 Totals!$A$2:$O$255""),10,FALSE)"),32.0)</f>
        <v>32</v>
      </c>
      <c r="N78" s="15">
        <f>IFERROR(__xludf.DUMMYFUNCTION("VLOOKUP(A78,IMPORTRANGE(""1QZ5UxyNCwadreQAXnQ7oCoH982DjIA-QnZdO7ZoqkC0/edit#gid=884617569"",""S4 Totals!$A$2:$O$255""),11,FALSE)"),0.43243243243243246)</f>
        <v>0.4324324324</v>
      </c>
      <c r="O78" s="110"/>
      <c r="P78" s="16">
        <f>IFERROR(__xludf.DUMMYFUNCTION("VLOOKUP(A78,IMPORTRANGE(""1QZ5UxyNCwadreQAXnQ7oCoH982DjIA-QnZdO7ZoqkC0/edit#gid=884617569"",""S4 Totals!$A$2:$O$255""),13,FALSE)"),20.0)</f>
        <v>20</v>
      </c>
      <c r="Q78" s="15">
        <f>IFERROR(__xludf.DUMMYFUNCTION("VLOOKUP(A78,IMPORTRANGE(""1QZ5UxyNCwadreQAXnQ7oCoH982DjIA-QnZdO7ZoqkC0/edit#gid=884617569"",""S4 Totals!$A$2:$O$255""),14,FALSE)"),0.26666666666666666)</f>
        <v>0.2666666667</v>
      </c>
      <c r="R78" s="110"/>
    </row>
    <row r="79">
      <c r="A79" s="128" t="s">
        <v>71</v>
      </c>
      <c r="B79" s="16">
        <f>IFERROR(__xludf.DUMMYFUNCTION("VLOOKUP(A79,IMPORTRANGE(""1aFCnJY1qhIj8-JckJhDJ18aqmVo17tofpQmOjcYa3u8/edit#gid=1878241338"",""S4 Totals!$A$2:$O$255""),2,FALSE)"),2.0)</f>
        <v>2</v>
      </c>
      <c r="C79" s="15">
        <f>IFERROR(__xludf.DUMMYFUNCTION("VLOOKUP(A79,IMPORTRANGE(""1aFCnJY1qhIj8-JckJhDJ18aqmVo17tofpQmOjcYa3u8/edit#gid=1878241338"",""S4 Totals!$A$2:$O$255""),3,FALSE)"),0.04)</f>
        <v>0.04</v>
      </c>
      <c r="D79" s="16">
        <f>IFERROR(__xludf.DUMMYFUNCTION("VLOOKUP(A79,IMPORTRANGE(""1QZ5UxyNCwadreQAXnQ7oCoH982DjIA-QnZdO7ZoqkC0/edit#gid=884617569"",""S4 Totals!$A$2:$O$255""),2,FALSE)"),5.0)</f>
        <v>5</v>
      </c>
      <c r="E79" s="15">
        <f>IFERROR(__xludf.DUMMYFUNCTION("VLOOKUP(A79,IMPORTRANGE(""1QZ5UxyNCwadreQAXnQ7oCoH982DjIA-QnZdO7ZoqkC0/edit#gid=884617569"",""S4 Totals!$A$2:$O$255""),3,FALSE)"),0.10638297872340426)</f>
        <v>0.1063829787</v>
      </c>
      <c r="F79" s="146">
        <f t="shared" si="1"/>
        <v>-0.06638297872</v>
      </c>
      <c r="G79" s="16">
        <f>IFERROR(__xludf.DUMMYFUNCTION("VLOOKUP(A79,IMPORTRANGE(""1QZ5UxyNCwadreQAXnQ7oCoH982DjIA-QnZdO7ZoqkC0/edit#gid=884617569"",""S4 Totals!$A$2:$O$255""),4,FALSE)"),6.0)</f>
        <v>6</v>
      </c>
      <c r="H79" s="15">
        <f>IFERROR(__xludf.DUMMYFUNCTION("VLOOKUP(A79,IMPORTRANGE(""1QZ5UxyNCwadreQAXnQ7oCoH982DjIA-QnZdO7ZoqkC0/edit#gid=884617569"",""S4 Totals!$A$2:$O$255""),5,FALSE)"),0.09523809523809523)</f>
        <v>0.09523809524</v>
      </c>
      <c r="I79" s="143"/>
      <c r="J79" s="16">
        <f>IFERROR(__xludf.DUMMYFUNCTION("VLOOKUP(A79,IMPORTRANGE(""1QZ5UxyNCwadreQAXnQ7oCoH982DjIA-QnZdO7ZoqkC0/edit#gid=884617569"",""S4 Totals!$A$2:$O$255""),7,FALSE)"),4.0)</f>
        <v>4</v>
      </c>
      <c r="K79" s="15">
        <f>IFERROR(__xludf.DUMMYFUNCTION("VLOOKUP(A79,IMPORTRANGE(""1QZ5UxyNCwadreQAXnQ7oCoH982DjIA-QnZdO7ZoqkC0/edit#gid=884617569"",""S4 Totals!$A$2:$O$255""),8,FALSE)"),0.05714285714285714)</f>
        <v>0.05714285714</v>
      </c>
      <c r="L79" s="147"/>
      <c r="M79" s="16">
        <f>IFERROR(__xludf.DUMMYFUNCTION("VLOOKUP(A79,IMPORTRANGE(""1QZ5UxyNCwadreQAXnQ7oCoH982DjIA-QnZdO7ZoqkC0/edit#gid=884617569"",""S4 Totals!$A$2:$O$255""),10,FALSE)"),8.0)</f>
        <v>8</v>
      </c>
      <c r="N79" s="15">
        <f>IFERROR(__xludf.DUMMYFUNCTION("VLOOKUP(A79,IMPORTRANGE(""1QZ5UxyNCwadreQAXnQ7oCoH982DjIA-QnZdO7ZoqkC0/edit#gid=884617569"",""S4 Totals!$A$2:$O$255""),11,FALSE)"),0.10810810810810811)</f>
        <v>0.1081081081</v>
      </c>
      <c r="O79" s="110"/>
      <c r="P79" s="16">
        <f>IFERROR(__xludf.DUMMYFUNCTION("VLOOKUP(A79,IMPORTRANGE(""1QZ5UxyNCwadreQAXnQ7oCoH982DjIA-QnZdO7ZoqkC0/edit#gid=884617569"",""S4 Totals!$A$2:$O$255""),13,FALSE)"),2.0)</f>
        <v>2</v>
      </c>
      <c r="Q79" s="15">
        <f>IFERROR(__xludf.DUMMYFUNCTION("VLOOKUP(A79,IMPORTRANGE(""1QZ5UxyNCwadreQAXnQ7oCoH982DjIA-QnZdO7ZoqkC0/edit#gid=884617569"",""S4 Totals!$A$2:$O$255""),14,FALSE)"),0.02666666666666667)</f>
        <v>0.02666666667</v>
      </c>
      <c r="R79" s="110"/>
    </row>
    <row r="80">
      <c r="A80" s="128" t="s">
        <v>126</v>
      </c>
      <c r="B80" s="16">
        <f>IFERROR(__xludf.DUMMYFUNCTION("VLOOKUP(A80,IMPORTRANGE(""1aFCnJY1qhIj8-JckJhDJ18aqmVo17tofpQmOjcYa3u8/edit#gid=1878241338"",""S4 Totals!$A$2:$O$255""),2,FALSE)"),4.0)</f>
        <v>4</v>
      </c>
      <c r="C80" s="15">
        <f>IFERROR(__xludf.DUMMYFUNCTION("VLOOKUP(A80,IMPORTRANGE(""1aFCnJY1qhIj8-JckJhDJ18aqmVo17tofpQmOjcYa3u8/edit#gid=1878241338"",""S4 Totals!$A$2:$O$255""),3,FALSE)"),0.08)</f>
        <v>0.08</v>
      </c>
      <c r="D80" s="16">
        <f>IFERROR(__xludf.DUMMYFUNCTION("VLOOKUP(A80,IMPORTRANGE(""1QZ5UxyNCwadreQAXnQ7oCoH982DjIA-QnZdO7ZoqkC0/edit#gid=884617569"",""S4 Totals!$A$2:$O$255""),2,FALSE)"),10.0)</f>
        <v>10</v>
      </c>
      <c r="E80" s="15">
        <f>IFERROR(__xludf.DUMMYFUNCTION("VLOOKUP(A80,IMPORTRANGE(""1QZ5UxyNCwadreQAXnQ7oCoH982DjIA-QnZdO7ZoqkC0/edit#gid=884617569"",""S4 Totals!$A$2:$O$255""),3,FALSE)"),0.2127659574468085)</f>
        <v>0.2127659574</v>
      </c>
      <c r="F80" s="146">
        <f t="shared" si="1"/>
        <v>-0.1327659574</v>
      </c>
      <c r="G80" s="16">
        <f>IFERROR(__xludf.DUMMYFUNCTION("VLOOKUP(A80,IMPORTRANGE(""1QZ5UxyNCwadreQAXnQ7oCoH982DjIA-QnZdO7ZoqkC0/edit#gid=884617569"",""S4 Totals!$A$2:$O$255""),4,FALSE)"),14.0)</f>
        <v>14</v>
      </c>
      <c r="H80" s="15">
        <f>IFERROR(__xludf.DUMMYFUNCTION("VLOOKUP(A80,IMPORTRANGE(""1QZ5UxyNCwadreQAXnQ7oCoH982DjIA-QnZdO7ZoqkC0/edit#gid=884617569"",""S4 Totals!$A$2:$O$255""),5,FALSE)"),0.2222222222222222)</f>
        <v>0.2222222222</v>
      </c>
      <c r="I80" s="143"/>
      <c r="J80" s="16">
        <f>IFERROR(__xludf.DUMMYFUNCTION("VLOOKUP(A80,IMPORTRANGE(""1QZ5UxyNCwadreQAXnQ7oCoH982DjIA-QnZdO7ZoqkC0/edit#gid=884617569"",""S4 Totals!$A$2:$O$255""),7,FALSE)"),9.0)</f>
        <v>9</v>
      </c>
      <c r="K80" s="15">
        <f>IFERROR(__xludf.DUMMYFUNCTION("VLOOKUP(A80,IMPORTRANGE(""1QZ5UxyNCwadreQAXnQ7oCoH982DjIA-QnZdO7ZoqkC0/edit#gid=884617569"",""S4 Totals!$A$2:$O$255""),8,FALSE)"),0.12857142857142856)</f>
        <v>0.1285714286</v>
      </c>
      <c r="L80" s="147"/>
      <c r="M80" s="16">
        <f>IFERROR(__xludf.DUMMYFUNCTION("VLOOKUP(A80,IMPORTRANGE(""1QZ5UxyNCwadreQAXnQ7oCoH982DjIA-QnZdO7ZoqkC0/edit#gid=884617569"",""S4 Totals!$A$2:$O$255""),10,FALSE)"),8.0)</f>
        <v>8</v>
      </c>
      <c r="N80" s="15">
        <f>IFERROR(__xludf.DUMMYFUNCTION("VLOOKUP(A80,IMPORTRANGE(""1QZ5UxyNCwadreQAXnQ7oCoH982DjIA-QnZdO7ZoqkC0/edit#gid=884617569"",""S4 Totals!$A$2:$O$255""),11,FALSE)"),0.10810810810810811)</f>
        <v>0.1081081081</v>
      </c>
      <c r="O80" s="110"/>
      <c r="P80" s="16" t="str">
        <f>IFERROR(__xludf.DUMMYFUNCTION("VLOOKUP(A80,IMPORTRANGE(""1QZ5UxyNCwadreQAXnQ7oCoH982DjIA-QnZdO7ZoqkC0/edit#gid=884617569"",""S4 Totals!$A$2:$O$255""),13,FALSE)"),"")</f>
        <v/>
      </c>
      <c r="Q80" s="15" t="str">
        <f>IFERROR(__xludf.DUMMYFUNCTION("VLOOKUP(A80,IMPORTRANGE(""1QZ5UxyNCwadreQAXnQ7oCoH982DjIA-QnZdO7ZoqkC0/edit#gid=884617569"",""S4 Totals!$A$2:$O$255""),14,FALSE)"),"")</f>
        <v/>
      </c>
      <c r="R80" s="110"/>
    </row>
    <row r="81">
      <c r="A81" s="128" t="s">
        <v>174</v>
      </c>
      <c r="B81" s="16">
        <f>IFERROR(__xludf.DUMMYFUNCTION("VLOOKUP(A81,IMPORTRANGE(""1aFCnJY1qhIj8-JckJhDJ18aqmVo17tofpQmOjcYa3u8/edit#gid=1878241338"",""S4 Totals!$A$2:$O$255""),2,FALSE)"),2.0)</f>
        <v>2</v>
      </c>
      <c r="C81" s="15">
        <f>IFERROR(__xludf.DUMMYFUNCTION("VLOOKUP(A81,IMPORTRANGE(""1aFCnJY1qhIj8-JckJhDJ18aqmVo17tofpQmOjcYa3u8/edit#gid=1878241338"",""S4 Totals!$A$2:$O$255""),3,FALSE)"),0.04)</f>
        <v>0.04</v>
      </c>
      <c r="D81" s="16">
        <f>IFERROR(__xludf.DUMMYFUNCTION("VLOOKUP(A81,IMPORTRANGE(""1QZ5UxyNCwadreQAXnQ7oCoH982DjIA-QnZdO7ZoqkC0/edit#gid=884617569"",""S4 Totals!$A$2:$O$255""),2,FALSE)"),2.0)</f>
        <v>2</v>
      </c>
      <c r="E81" s="15">
        <f>IFERROR(__xludf.DUMMYFUNCTION("VLOOKUP(A81,IMPORTRANGE(""1QZ5UxyNCwadreQAXnQ7oCoH982DjIA-QnZdO7ZoqkC0/edit#gid=884617569"",""S4 Totals!$A$2:$O$255""),3,FALSE)"),0.0425531914893617)</f>
        <v>0.04255319149</v>
      </c>
      <c r="F81" s="146">
        <f t="shared" si="1"/>
        <v>-0.002553191489</v>
      </c>
      <c r="G81" s="16">
        <f>IFERROR(__xludf.DUMMYFUNCTION("VLOOKUP(A81,IMPORTRANGE(""1QZ5UxyNCwadreQAXnQ7oCoH982DjIA-QnZdO7ZoqkC0/edit#gid=884617569"",""S4 Totals!$A$2:$O$255""),4,FALSE)"),4.0)</f>
        <v>4</v>
      </c>
      <c r="H81" s="15">
        <f>IFERROR(__xludf.DUMMYFUNCTION("VLOOKUP(A81,IMPORTRANGE(""1QZ5UxyNCwadreQAXnQ7oCoH982DjIA-QnZdO7ZoqkC0/edit#gid=884617569"",""S4 Totals!$A$2:$O$255""),5,FALSE)"),0.06349206349206349)</f>
        <v>0.06349206349</v>
      </c>
      <c r="I81" s="143"/>
      <c r="J81" s="16">
        <f>IFERROR(__xludf.DUMMYFUNCTION("VLOOKUP(A81,IMPORTRANGE(""1QZ5UxyNCwadreQAXnQ7oCoH982DjIA-QnZdO7ZoqkC0/edit#gid=884617569"",""S4 Totals!$A$2:$O$255""),7,FALSE)"),4.0)</f>
        <v>4</v>
      </c>
      <c r="K81" s="15">
        <f>IFERROR(__xludf.DUMMYFUNCTION("VLOOKUP(A81,IMPORTRANGE(""1QZ5UxyNCwadreQAXnQ7oCoH982DjIA-QnZdO7ZoqkC0/edit#gid=884617569"",""S4 Totals!$A$2:$O$255""),8,FALSE)"),0.05714285714285714)</f>
        <v>0.05714285714</v>
      </c>
      <c r="L81" s="147"/>
      <c r="M81" s="16" t="str">
        <f>IFERROR(__xludf.DUMMYFUNCTION("VLOOKUP(A81,IMPORTRANGE(""1QZ5UxyNCwadreQAXnQ7oCoH982DjIA-QnZdO7ZoqkC0/edit#gid=884617569"",""S4 Totals!$A$2:$O$255""),10,FALSE)"),"")</f>
        <v/>
      </c>
      <c r="N81" s="15" t="str">
        <f>IFERROR(__xludf.DUMMYFUNCTION("VLOOKUP(A81,IMPORTRANGE(""1QZ5UxyNCwadreQAXnQ7oCoH982DjIA-QnZdO7ZoqkC0/edit#gid=884617569"",""S4 Totals!$A$2:$O$255""),11,FALSE)"),"")</f>
        <v/>
      </c>
      <c r="O81" s="110"/>
      <c r="P81" s="16" t="str">
        <f>IFERROR(__xludf.DUMMYFUNCTION("VLOOKUP(A81,IMPORTRANGE(""1QZ5UxyNCwadreQAXnQ7oCoH982DjIA-QnZdO7ZoqkC0/edit#gid=884617569"",""S4 Totals!$A$2:$O$255""),13,FALSE)"),"")</f>
        <v/>
      </c>
      <c r="Q81" s="15" t="str">
        <f>IFERROR(__xludf.DUMMYFUNCTION("VLOOKUP(A81,IMPORTRANGE(""1QZ5UxyNCwadreQAXnQ7oCoH982DjIA-QnZdO7ZoqkC0/edit#gid=884617569"",""S4 Totals!$A$2:$O$255""),14,FALSE)"),"")</f>
        <v/>
      </c>
      <c r="R81" s="110"/>
    </row>
    <row r="82">
      <c r="A82" s="128" t="s">
        <v>175</v>
      </c>
      <c r="B82" s="16">
        <f>IFERROR(__xludf.DUMMYFUNCTION("VLOOKUP(A82,IMPORTRANGE(""1aFCnJY1qhIj8-JckJhDJ18aqmVo17tofpQmOjcYa3u8/edit#gid=1878241338"",""S4 Totals!$A$2:$O$255""),2,FALSE)"),4.0)</f>
        <v>4</v>
      </c>
      <c r="C82" s="15">
        <f>IFERROR(__xludf.DUMMYFUNCTION("VLOOKUP(A82,IMPORTRANGE(""1aFCnJY1qhIj8-JckJhDJ18aqmVo17tofpQmOjcYa3u8/edit#gid=1878241338"",""S4 Totals!$A$2:$O$255""),3,FALSE)"),0.08)</f>
        <v>0.08</v>
      </c>
      <c r="D82" s="16">
        <f>IFERROR(__xludf.DUMMYFUNCTION("VLOOKUP(A82,IMPORTRANGE(""1QZ5UxyNCwadreQAXnQ7oCoH982DjIA-QnZdO7ZoqkC0/edit#gid=884617569"",""S4 Totals!$A$2:$O$255""),2,FALSE)"),3.0)</f>
        <v>3</v>
      </c>
      <c r="E82" s="15">
        <f>IFERROR(__xludf.DUMMYFUNCTION("VLOOKUP(A82,IMPORTRANGE(""1QZ5UxyNCwadreQAXnQ7oCoH982DjIA-QnZdO7ZoqkC0/edit#gid=884617569"",""S4 Totals!$A$2:$O$255""),3,FALSE)"),0.06382978723404255)</f>
        <v>0.06382978723</v>
      </c>
      <c r="F82" s="146">
        <f t="shared" si="1"/>
        <v>0.01617021277</v>
      </c>
      <c r="G82" s="16">
        <f>IFERROR(__xludf.DUMMYFUNCTION("VLOOKUP(A82,IMPORTRANGE(""1QZ5UxyNCwadreQAXnQ7oCoH982DjIA-QnZdO7ZoqkC0/edit#gid=884617569"",""S4 Totals!$A$2:$O$255""),4,FALSE)"),4.0)</f>
        <v>4</v>
      </c>
      <c r="H82" s="15">
        <f>IFERROR(__xludf.DUMMYFUNCTION("VLOOKUP(A82,IMPORTRANGE(""1QZ5UxyNCwadreQAXnQ7oCoH982DjIA-QnZdO7ZoqkC0/edit#gid=884617569"",""S4 Totals!$A$2:$O$255""),5,FALSE)"),0.06349206349206349)</f>
        <v>0.06349206349</v>
      </c>
      <c r="I82" s="143"/>
      <c r="J82" s="16">
        <f>IFERROR(__xludf.DUMMYFUNCTION("VLOOKUP(A82,IMPORTRANGE(""1QZ5UxyNCwadreQAXnQ7oCoH982DjIA-QnZdO7ZoqkC0/edit#gid=884617569"",""S4 Totals!$A$2:$O$255""),7,FALSE)"),3.0)</f>
        <v>3</v>
      </c>
      <c r="K82" s="15">
        <f>IFERROR(__xludf.DUMMYFUNCTION("VLOOKUP(A82,IMPORTRANGE(""1QZ5UxyNCwadreQAXnQ7oCoH982DjIA-QnZdO7ZoqkC0/edit#gid=884617569"",""S4 Totals!$A$2:$O$255""),8,FALSE)"),0.04285714285714286)</f>
        <v>0.04285714286</v>
      </c>
      <c r="L82" s="147"/>
      <c r="M82" s="16" t="str">
        <f>IFERROR(__xludf.DUMMYFUNCTION("VLOOKUP(A82,IMPORTRANGE(""1QZ5UxyNCwadreQAXnQ7oCoH982DjIA-QnZdO7ZoqkC0/edit#gid=884617569"",""S4 Totals!$A$2:$O$255""),10,FALSE)"),"")</f>
        <v/>
      </c>
      <c r="N82" s="15" t="str">
        <f>IFERROR(__xludf.DUMMYFUNCTION("VLOOKUP(A82,IMPORTRANGE(""1QZ5UxyNCwadreQAXnQ7oCoH982DjIA-QnZdO7ZoqkC0/edit#gid=884617569"",""S4 Totals!$A$2:$O$255""),11,FALSE)"),"")</f>
        <v/>
      </c>
      <c r="O82" s="110"/>
      <c r="P82" s="16" t="str">
        <f>IFERROR(__xludf.DUMMYFUNCTION("VLOOKUP(A82,IMPORTRANGE(""1QZ5UxyNCwadreQAXnQ7oCoH982DjIA-QnZdO7ZoqkC0/edit#gid=884617569"",""S4 Totals!$A$2:$O$255""),13,FALSE)"),"")</f>
        <v/>
      </c>
      <c r="Q82" s="15" t="str">
        <f>IFERROR(__xludf.DUMMYFUNCTION("VLOOKUP(A82,IMPORTRANGE(""1QZ5UxyNCwadreQAXnQ7oCoH982DjIA-QnZdO7ZoqkC0/edit#gid=884617569"",""S4 Totals!$A$2:$O$255""),14,FALSE)"),"")</f>
        <v/>
      </c>
      <c r="R82" s="110"/>
    </row>
    <row r="83">
      <c r="A83" s="128" t="s">
        <v>227</v>
      </c>
      <c r="B83" s="16">
        <f>IFERROR(__xludf.DUMMYFUNCTION("VLOOKUP(A83,IMPORTRANGE(""1aFCnJY1qhIj8-JckJhDJ18aqmVo17tofpQmOjcYa3u8/edit#gid=1878241338"",""S4 Totals!$A$2:$O$255""),2,FALSE)"),0.0)</f>
        <v>0</v>
      </c>
      <c r="C83" s="15">
        <f>IFERROR(__xludf.DUMMYFUNCTION("VLOOKUP(A83,IMPORTRANGE(""1aFCnJY1qhIj8-JckJhDJ18aqmVo17tofpQmOjcYa3u8/edit#gid=1878241338"",""S4 Totals!$A$2:$O$255""),3,FALSE)"),0.0)</f>
        <v>0</v>
      </c>
      <c r="D83" s="16">
        <f>IFERROR(__xludf.DUMMYFUNCTION("VLOOKUP(A83,IMPORTRANGE(""1QZ5UxyNCwadreQAXnQ7oCoH982DjIA-QnZdO7ZoqkC0/edit#gid=884617569"",""S4 Totals!$A$2:$O$255""),2,FALSE)"),0.0)</f>
        <v>0</v>
      </c>
      <c r="E83" s="15">
        <f>IFERROR(__xludf.DUMMYFUNCTION("VLOOKUP(A83,IMPORTRANGE(""1QZ5UxyNCwadreQAXnQ7oCoH982DjIA-QnZdO7ZoqkC0/edit#gid=884617569"",""S4 Totals!$A$2:$O$255""),3,FALSE)"),0.0)</f>
        <v>0</v>
      </c>
      <c r="F83" s="146">
        <f t="shared" si="1"/>
        <v>0</v>
      </c>
      <c r="G83" s="16">
        <f>IFERROR(__xludf.DUMMYFUNCTION("VLOOKUP(A83,IMPORTRANGE(""1QZ5UxyNCwadreQAXnQ7oCoH982DjIA-QnZdO7ZoqkC0/edit#gid=884617569"",""S4 Totals!$A$2:$O$255""),4,FALSE)"),1.0)</f>
        <v>1</v>
      </c>
      <c r="H83" s="15">
        <f>IFERROR(__xludf.DUMMYFUNCTION("VLOOKUP(A83,IMPORTRANGE(""1QZ5UxyNCwadreQAXnQ7oCoH982DjIA-QnZdO7ZoqkC0/edit#gid=884617569"",""S4 Totals!$A$2:$O$255""),5,FALSE)"),0.015873015873015872)</f>
        <v>0.01587301587</v>
      </c>
      <c r="I83" s="143"/>
      <c r="J83" s="16" t="str">
        <f>IFERROR(__xludf.DUMMYFUNCTION("VLOOKUP(A83,IMPORTRANGE(""1QZ5UxyNCwadreQAXnQ7oCoH982DjIA-QnZdO7ZoqkC0/edit#gid=884617569"",""S4 Totals!$A$2:$O$255""),7,FALSE)"),"")</f>
        <v/>
      </c>
      <c r="K83" s="15" t="str">
        <f>IFERROR(__xludf.DUMMYFUNCTION("VLOOKUP(A83,IMPORTRANGE(""1QZ5UxyNCwadreQAXnQ7oCoH982DjIA-QnZdO7ZoqkC0/edit#gid=884617569"",""S4 Totals!$A$2:$O$255""),8,FALSE)"),"")</f>
        <v/>
      </c>
      <c r="L83" s="147"/>
      <c r="M83" s="16" t="str">
        <f>IFERROR(__xludf.DUMMYFUNCTION("VLOOKUP(A83,IMPORTRANGE(""1QZ5UxyNCwadreQAXnQ7oCoH982DjIA-QnZdO7ZoqkC0/edit#gid=884617569"",""S4 Totals!$A$2:$O$255""),10,FALSE)"),"")</f>
        <v/>
      </c>
      <c r="N83" s="15" t="str">
        <f>IFERROR(__xludf.DUMMYFUNCTION("VLOOKUP(A83,IMPORTRANGE(""1QZ5UxyNCwadreQAXnQ7oCoH982DjIA-QnZdO7ZoqkC0/edit#gid=884617569"",""S4 Totals!$A$2:$O$255""),11,FALSE)"),"")</f>
        <v/>
      </c>
      <c r="O83" s="110"/>
      <c r="P83" s="16" t="str">
        <f>IFERROR(__xludf.DUMMYFUNCTION("VLOOKUP(A83,IMPORTRANGE(""1QZ5UxyNCwadreQAXnQ7oCoH982DjIA-QnZdO7ZoqkC0/edit#gid=884617569"",""S4 Totals!$A$2:$O$255""),13,FALSE)"),"")</f>
        <v/>
      </c>
      <c r="Q83" s="15" t="str">
        <f>IFERROR(__xludf.DUMMYFUNCTION("VLOOKUP(A83,IMPORTRANGE(""1QZ5UxyNCwadreQAXnQ7oCoH982DjIA-QnZdO7ZoqkC0/edit#gid=884617569"",""S4 Totals!$A$2:$O$255""),14,FALSE)"),"")</f>
        <v/>
      </c>
      <c r="R83" s="110"/>
    </row>
    <row r="84">
      <c r="A84" s="128" t="s">
        <v>127</v>
      </c>
      <c r="B84" s="16">
        <f>IFERROR(__xludf.DUMMYFUNCTION("VLOOKUP(A84,IMPORTRANGE(""1aFCnJY1qhIj8-JckJhDJ18aqmVo17tofpQmOjcYa3u8/edit#gid=1878241338"",""S4 Totals!$A$2:$O$255""),2,FALSE)"),15.0)</f>
        <v>15</v>
      </c>
      <c r="C84" s="15">
        <f>IFERROR(__xludf.DUMMYFUNCTION("VLOOKUP(A84,IMPORTRANGE(""1aFCnJY1qhIj8-JckJhDJ18aqmVo17tofpQmOjcYa3u8/edit#gid=1878241338"",""S4 Totals!$A$2:$O$255""),3,FALSE)"),0.3)</f>
        <v>0.3</v>
      </c>
      <c r="D84" s="16">
        <f>IFERROR(__xludf.DUMMYFUNCTION("VLOOKUP(A84,IMPORTRANGE(""1QZ5UxyNCwadreQAXnQ7oCoH982DjIA-QnZdO7ZoqkC0/edit#gid=884617569"",""S4 Totals!$A$2:$O$255""),2,FALSE)"),10.0)</f>
        <v>10</v>
      </c>
      <c r="E84" s="15">
        <f>IFERROR(__xludf.DUMMYFUNCTION("VLOOKUP(A84,IMPORTRANGE(""1QZ5UxyNCwadreQAXnQ7oCoH982DjIA-QnZdO7ZoqkC0/edit#gid=884617569"",""S4 Totals!$A$2:$O$255""),3,FALSE)"),0.2127659574468085)</f>
        <v>0.2127659574</v>
      </c>
      <c r="F84" s="146">
        <f t="shared" si="1"/>
        <v>0.08723404255</v>
      </c>
      <c r="G84" s="16">
        <f>IFERROR(__xludf.DUMMYFUNCTION("VLOOKUP(A84,IMPORTRANGE(""1QZ5UxyNCwadreQAXnQ7oCoH982DjIA-QnZdO7ZoqkC0/edit#gid=884617569"",""S4 Totals!$A$2:$O$255""),4,FALSE)"),7.0)</f>
        <v>7</v>
      </c>
      <c r="H84" s="15">
        <f>IFERROR(__xludf.DUMMYFUNCTION("VLOOKUP(A84,IMPORTRANGE(""1QZ5UxyNCwadreQAXnQ7oCoH982DjIA-QnZdO7ZoqkC0/edit#gid=884617569"",""S4 Totals!$A$2:$O$255""),5,FALSE)"),0.1111111111111111)</f>
        <v>0.1111111111</v>
      </c>
      <c r="I84" s="143"/>
      <c r="J84" s="16">
        <f>IFERROR(__xludf.DUMMYFUNCTION("VLOOKUP(A84,IMPORTRANGE(""1QZ5UxyNCwadreQAXnQ7oCoH982DjIA-QnZdO7ZoqkC0/edit#gid=884617569"",""S4 Totals!$A$2:$O$255""),7,FALSE)"),2.0)</f>
        <v>2</v>
      </c>
      <c r="K84" s="15">
        <f>IFERROR(__xludf.DUMMYFUNCTION("VLOOKUP(A84,IMPORTRANGE(""1QZ5UxyNCwadreQAXnQ7oCoH982DjIA-QnZdO7ZoqkC0/edit#gid=884617569"",""S4 Totals!$A$2:$O$255""),8,FALSE)"),0.02857142857142857)</f>
        <v>0.02857142857</v>
      </c>
      <c r="L84" s="147"/>
      <c r="M84" s="16">
        <f>IFERROR(__xludf.DUMMYFUNCTION("VLOOKUP(A84,IMPORTRANGE(""1QZ5UxyNCwadreQAXnQ7oCoH982DjIA-QnZdO7ZoqkC0/edit#gid=884617569"",""S4 Totals!$A$2:$O$255""),10,FALSE)"),1.0)</f>
        <v>1</v>
      </c>
      <c r="N84" s="15">
        <f>IFERROR(__xludf.DUMMYFUNCTION("VLOOKUP(A84,IMPORTRANGE(""1QZ5UxyNCwadreQAXnQ7oCoH982DjIA-QnZdO7ZoqkC0/edit#gid=884617569"",""S4 Totals!$A$2:$O$255""),11,FALSE)"),0.013513513513513514)</f>
        <v>0.01351351351</v>
      </c>
      <c r="O84" s="110"/>
      <c r="P84" s="16" t="str">
        <f>IFERROR(__xludf.DUMMYFUNCTION("VLOOKUP(A84,IMPORTRANGE(""1QZ5UxyNCwadreQAXnQ7oCoH982DjIA-QnZdO7ZoqkC0/edit#gid=884617569"",""S4 Totals!$A$2:$O$255""),13,FALSE)"),"")</f>
        <v/>
      </c>
      <c r="Q84" s="15" t="str">
        <f>IFERROR(__xludf.DUMMYFUNCTION("VLOOKUP(A84,IMPORTRANGE(""1QZ5UxyNCwadreQAXnQ7oCoH982DjIA-QnZdO7ZoqkC0/edit#gid=884617569"",""S4 Totals!$A$2:$O$255""),14,FALSE)"),"")</f>
        <v/>
      </c>
      <c r="R84" s="110"/>
    </row>
    <row r="85">
      <c r="A85" s="128" t="s">
        <v>228</v>
      </c>
      <c r="B85" s="16">
        <f>IFERROR(__xludf.DUMMYFUNCTION("VLOOKUP(A85,IMPORTRANGE(""1aFCnJY1qhIj8-JckJhDJ18aqmVo17tofpQmOjcYa3u8/edit#gid=1878241338"",""S4 Totals!$A$2:$O$255""),2,FALSE)"),7.0)</f>
        <v>7</v>
      </c>
      <c r="C85" s="15">
        <f>IFERROR(__xludf.DUMMYFUNCTION("VLOOKUP(A85,IMPORTRANGE(""1aFCnJY1qhIj8-JckJhDJ18aqmVo17tofpQmOjcYa3u8/edit#gid=1878241338"",""S4 Totals!$A$2:$O$255""),3,FALSE)"),0.14)</f>
        <v>0.14</v>
      </c>
      <c r="D85" s="16">
        <f>IFERROR(__xludf.DUMMYFUNCTION("VLOOKUP(A85,IMPORTRANGE(""1QZ5UxyNCwadreQAXnQ7oCoH982DjIA-QnZdO7ZoqkC0/edit#gid=884617569"",""S4 Totals!$A$2:$O$255""),2,FALSE)"),2.0)</f>
        <v>2</v>
      </c>
      <c r="E85" s="15">
        <f>IFERROR(__xludf.DUMMYFUNCTION("VLOOKUP(A85,IMPORTRANGE(""1QZ5UxyNCwadreQAXnQ7oCoH982DjIA-QnZdO7ZoqkC0/edit#gid=884617569"",""S4 Totals!$A$2:$O$255""),3,FALSE)"),0.0425531914893617)</f>
        <v>0.04255319149</v>
      </c>
      <c r="F85" s="146">
        <f t="shared" si="1"/>
        <v>0.09744680851</v>
      </c>
      <c r="G85" s="16">
        <f>IFERROR(__xludf.DUMMYFUNCTION("VLOOKUP(A85,IMPORTRANGE(""1QZ5UxyNCwadreQAXnQ7oCoH982DjIA-QnZdO7ZoqkC0/edit#gid=884617569"",""S4 Totals!$A$2:$O$255""),4,FALSE)"),4.0)</f>
        <v>4</v>
      </c>
      <c r="H85" s="15">
        <f>IFERROR(__xludf.DUMMYFUNCTION("VLOOKUP(A85,IMPORTRANGE(""1QZ5UxyNCwadreQAXnQ7oCoH982DjIA-QnZdO7ZoqkC0/edit#gid=884617569"",""S4 Totals!$A$2:$O$255""),5,FALSE)"),0.06349206349206349)</f>
        <v>0.06349206349</v>
      </c>
      <c r="I85" s="143"/>
      <c r="J85" s="16" t="str">
        <f>IFERROR(__xludf.DUMMYFUNCTION("VLOOKUP(A85,IMPORTRANGE(""1QZ5UxyNCwadreQAXnQ7oCoH982DjIA-QnZdO7ZoqkC0/edit#gid=884617569"",""S4 Totals!$A$2:$O$255""),7,FALSE)"),"")</f>
        <v/>
      </c>
      <c r="K85" s="15" t="str">
        <f>IFERROR(__xludf.DUMMYFUNCTION("VLOOKUP(A85,IMPORTRANGE(""1QZ5UxyNCwadreQAXnQ7oCoH982DjIA-QnZdO7ZoqkC0/edit#gid=884617569"",""S4 Totals!$A$2:$O$255""),8,FALSE)"),"")</f>
        <v/>
      </c>
      <c r="L85" s="147"/>
      <c r="M85" s="16" t="str">
        <f>IFERROR(__xludf.DUMMYFUNCTION("VLOOKUP(A85,IMPORTRANGE(""1QZ5UxyNCwadreQAXnQ7oCoH982DjIA-QnZdO7ZoqkC0/edit#gid=884617569"",""S4 Totals!$A$2:$O$255""),10,FALSE)"),"")</f>
        <v/>
      </c>
      <c r="N85" s="15" t="str">
        <f>IFERROR(__xludf.DUMMYFUNCTION("VLOOKUP(A85,IMPORTRANGE(""1QZ5UxyNCwadreQAXnQ7oCoH982DjIA-QnZdO7ZoqkC0/edit#gid=884617569"",""S4 Totals!$A$2:$O$255""),11,FALSE)"),"")</f>
        <v/>
      </c>
      <c r="O85" s="110"/>
      <c r="P85" s="16" t="str">
        <f>IFERROR(__xludf.DUMMYFUNCTION("VLOOKUP(A85,IMPORTRANGE(""1QZ5UxyNCwadreQAXnQ7oCoH982DjIA-QnZdO7ZoqkC0/edit#gid=884617569"",""S4 Totals!$A$2:$O$255""),13,FALSE)"),"")</f>
        <v/>
      </c>
      <c r="Q85" s="15" t="str">
        <f>IFERROR(__xludf.DUMMYFUNCTION("VLOOKUP(A85,IMPORTRANGE(""1QZ5UxyNCwadreQAXnQ7oCoH982DjIA-QnZdO7ZoqkC0/edit#gid=884617569"",""S4 Totals!$A$2:$O$255""),14,FALSE)"),"")</f>
        <v/>
      </c>
      <c r="R85" s="110"/>
    </row>
    <row r="86">
      <c r="A86" s="128" t="s">
        <v>229</v>
      </c>
      <c r="B86" s="16">
        <f>IFERROR(__xludf.DUMMYFUNCTION("VLOOKUP(A86,IMPORTRANGE(""1aFCnJY1qhIj8-JckJhDJ18aqmVo17tofpQmOjcYa3u8/edit#gid=1878241338"",""S4 Totals!$A$2:$O$255""),2,FALSE)"),25.0)</f>
        <v>25</v>
      </c>
      <c r="C86" s="15">
        <f>IFERROR(__xludf.DUMMYFUNCTION("VLOOKUP(A86,IMPORTRANGE(""1aFCnJY1qhIj8-JckJhDJ18aqmVo17tofpQmOjcYa3u8/edit#gid=1878241338"",""S4 Totals!$A$2:$O$255""),3,FALSE)"),0.5)</f>
        <v>0.5</v>
      </c>
      <c r="D86" s="16">
        <f>IFERROR(__xludf.DUMMYFUNCTION("VLOOKUP(A86,IMPORTRANGE(""1QZ5UxyNCwadreQAXnQ7oCoH982DjIA-QnZdO7ZoqkC0/edit#gid=884617569"",""S4 Totals!$A$2:$O$255""),2,FALSE)"),12.0)</f>
        <v>12</v>
      </c>
      <c r="E86" s="15">
        <f>IFERROR(__xludf.DUMMYFUNCTION("VLOOKUP(A86,IMPORTRANGE(""1QZ5UxyNCwadreQAXnQ7oCoH982DjIA-QnZdO7ZoqkC0/edit#gid=884617569"",""S4 Totals!$A$2:$O$255""),3,FALSE)"),0.2553191489361702)</f>
        <v>0.2553191489</v>
      </c>
      <c r="F86" s="146">
        <f t="shared" si="1"/>
        <v>0.2446808511</v>
      </c>
      <c r="G86" s="16">
        <f>IFERROR(__xludf.DUMMYFUNCTION("VLOOKUP(A86,IMPORTRANGE(""1QZ5UxyNCwadreQAXnQ7oCoH982DjIA-QnZdO7ZoqkC0/edit#gid=884617569"",""S4 Totals!$A$2:$O$255""),4,FALSE)"),11.0)</f>
        <v>11</v>
      </c>
      <c r="H86" s="15">
        <f>IFERROR(__xludf.DUMMYFUNCTION("VLOOKUP(A86,IMPORTRANGE(""1QZ5UxyNCwadreQAXnQ7oCoH982DjIA-QnZdO7ZoqkC0/edit#gid=884617569"",""S4 Totals!$A$2:$O$255""),5,FALSE)"),0.1746031746031746)</f>
        <v>0.1746031746</v>
      </c>
      <c r="I86" s="143"/>
      <c r="J86" s="16" t="str">
        <f>IFERROR(__xludf.DUMMYFUNCTION("VLOOKUP(A86,IMPORTRANGE(""1QZ5UxyNCwadreQAXnQ7oCoH982DjIA-QnZdO7ZoqkC0/edit#gid=884617569"",""S4 Totals!$A$2:$O$255""),7,FALSE)"),"")</f>
        <v/>
      </c>
      <c r="K86" s="15" t="str">
        <f>IFERROR(__xludf.DUMMYFUNCTION("VLOOKUP(A86,IMPORTRANGE(""1QZ5UxyNCwadreQAXnQ7oCoH982DjIA-QnZdO7ZoqkC0/edit#gid=884617569"",""S4 Totals!$A$2:$O$255""),8,FALSE)"),"")</f>
        <v/>
      </c>
      <c r="L86" s="147"/>
      <c r="M86" s="16" t="str">
        <f>IFERROR(__xludf.DUMMYFUNCTION("VLOOKUP(A86,IMPORTRANGE(""1QZ5UxyNCwadreQAXnQ7oCoH982DjIA-QnZdO7ZoqkC0/edit#gid=884617569"",""S4 Totals!$A$2:$O$255""),10,FALSE)"),"")</f>
        <v/>
      </c>
      <c r="N86" s="15" t="str">
        <f>IFERROR(__xludf.DUMMYFUNCTION("VLOOKUP(A86,IMPORTRANGE(""1QZ5UxyNCwadreQAXnQ7oCoH982DjIA-QnZdO7ZoqkC0/edit#gid=884617569"",""S4 Totals!$A$2:$O$255""),11,FALSE)"),"")</f>
        <v/>
      </c>
      <c r="O86" s="110"/>
      <c r="P86" s="16" t="str">
        <f>IFERROR(__xludf.DUMMYFUNCTION("VLOOKUP(A86,IMPORTRANGE(""1QZ5UxyNCwadreQAXnQ7oCoH982DjIA-QnZdO7ZoqkC0/edit#gid=884617569"",""S4 Totals!$A$2:$O$255""),13,FALSE)"),"")</f>
        <v/>
      </c>
      <c r="Q86" s="15" t="str">
        <f>IFERROR(__xludf.DUMMYFUNCTION("VLOOKUP(A86,IMPORTRANGE(""1QZ5UxyNCwadreQAXnQ7oCoH982DjIA-QnZdO7ZoqkC0/edit#gid=884617569"",""S4 Totals!$A$2:$O$255""),14,FALSE)"),"")</f>
        <v/>
      </c>
      <c r="R86" s="110"/>
    </row>
    <row r="87">
      <c r="A87" s="128" t="s">
        <v>128</v>
      </c>
      <c r="B87" s="16">
        <f>IFERROR(__xludf.DUMMYFUNCTION("VLOOKUP(A87,IMPORTRANGE(""1aFCnJY1qhIj8-JckJhDJ18aqmVo17tofpQmOjcYa3u8/edit#gid=1878241338"",""S4 Totals!$A$2:$O$255""),2,FALSE)"),1.0)</f>
        <v>1</v>
      </c>
      <c r="C87" s="15">
        <f>IFERROR(__xludf.DUMMYFUNCTION("VLOOKUP(A87,IMPORTRANGE(""1aFCnJY1qhIj8-JckJhDJ18aqmVo17tofpQmOjcYa3u8/edit#gid=1878241338"",""S4 Totals!$A$2:$O$255""),3,FALSE)"),0.02)</f>
        <v>0.02</v>
      </c>
      <c r="D87" s="16">
        <f>IFERROR(__xludf.DUMMYFUNCTION("VLOOKUP(A87,IMPORTRANGE(""1QZ5UxyNCwadreQAXnQ7oCoH982DjIA-QnZdO7ZoqkC0/edit#gid=884617569"",""S4 Totals!$A$2:$O$255""),2,FALSE)"),3.0)</f>
        <v>3</v>
      </c>
      <c r="E87" s="15">
        <f>IFERROR(__xludf.DUMMYFUNCTION("VLOOKUP(A87,IMPORTRANGE(""1QZ5UxyNCwadreQAXnQ7oCoH982DjIA-QnZdO7ZoqkC0/edit#gid=884617569"",""S4 Totals!$A$2:$O$255""),3,FALSE)"),0.06382978723404255)</f>
        <v>0.06382978723</v>
      </c>
      <c r="F87" s="146">
        <f t="shared" si="1"/>
        <v>-0.04382978723</v>
      </c>
      <c r="G87" s="16">
        <f>IFERROR(__xludf.DUMMYFUNCTION("VLOOKUP(A87,IMPORTRANGE(""1QZ5UxyNCwadreQAXnQ7oCoH982DjIA-QnZdO7ZoqkC0/edit#gid=884617569"",""S4 Totals!$A$2:$O$255""),4,FALSE)"),2.0)</f>
        <v>2</v>
      </c>
      <c r="H87" s="15">
        <f>IFERROR(__xludf.DUMMYFUNCTION("VLOOKUP(A87,IMPORTRANGE(""1QZ5UxyNCwadreQAXnQ7oCoH982DjIA-QnZdO7ZoqkC0/edit#gid=884617569"",""S4 Totals!$A$2:$O$255""),5,FALSE)"),0.031746031746031744)</f>
        <v>0.03174603175</v>
      </c>
      <c r="I87" s="143"/>
      <c r="J87" s="16">
        <f>IFERROR(__xludf.DUMMYFUNCTION("VLOOKUP(A87,IMPORTRANGE(""1QZ5UxyNCwadreQAXnQ7oCoH982DjIA-QnZdO7ZoqkC0/edit#gid=884617569"",""S4 Totals!$A$2:$O$255""),7,FALSE)"),2.0)</f>
        <v>2</v>
      </c>
      <c r="K87" s="15">
        <f>IFERROR(__xludf.DUMMYFUNCTION("VLOOKUP(A87,IMPORTRANGE(""1QZ5UxyNCwadreQAXnQ7oCoH982DjIA-QnZdO7ZoqkC0/edit#gid=884617569"",""S4 Totals!$A$2:$O$255""),8,FALSE)"),0.02857142857142857)</f>
        <v>0.02857142857</v>
      </c>
      <c r="L87" s="147"/>
      <c r="M87" s="16">
        <f>IFERROR(__xludf.DUMMYFUNCTION("VLOOKUP(A87,IMPORTRANGE(""1QZ5UxyNCwadreQAXnQ7oCoH982DjIA-QnZdO7ZoqkC0/edit#gid=884617569"",""S4 Totals!$A$2:$O$255""),10,FALSE)"),2.0)</f>
        <v>2</v>
      </c>
      <c r="N87" s="15">
        <f>IFERROR(__xludf.DUMMYFUNCTION("VLOOKUP(A87,IMPORTRANGE(""1QZ5UxyNCwadreQAXnQ7oCoH982DjIA-QnZdO7ZoqkC0/edit#gid=884617569"",""S4 Totals!$A$2:$O$255""),11,FALSE)"),0.02702702702702703)</f>
        <v>0.02702702703</v>
      </c>
      <c r="O87" s="110"/>
      <c r="P87" s="16" t="str">
        <f>IFERROR(__xludf.DUMMYFUNCTION("VLOOKUP(A87,IMPORTRANGE(""1QZ5UxyNCwadreQAXnQ7oCoH982DjIA-QnZdO7ZoqkC0/edit#gid=884617569"",""S4 Totals!$A$2:$O$255""),13,FALSE)"),"")</f>
        <v/>
      </c>
      <c r="Q87" s="15" t="str">
        <f>IFERROR(__xludf.DUMMYFUNCTION("VLOOKUP(A87,IMPORTRANGE(""1QZ5UxyNCwadreQAXnQ7oCoH982DjIA-QnZdO7ZoqkC0/edit#gid=884617569"",""S4 Totals!$A$2:$O$255""),14,FALSE)"),"")</f>
        <v/>
      </c>
      <c r="R87" s="110"/>
    </row>
    <row r="88">
      <c r="A88" s="128" t="s">
        <v>230</v>
      </c>
      <c r="B88" s="16">
        <f>IFERROR(__xludf.DUMMYFUNCTION("VLOOKUP(A88,IMPORTRANGE(""1aFCnJY1qhIj8-JckJhDJ18aqmVo17tofpQmOjcYa3u8/edit#gid=1878241338"",""S4 Totals!$A$2:$O$255""),2,FALSE)"),9.0)</f>
        <v>9</v>
      </c>
      <c r="C88" s="15">
        <f>IFERROR(__xludf.DUMMYFUNCTION("VLOOKUP(A88,IMPORTRANGE(""1aFCnJY1qhIj8-JckJhDJ18aqmVo17tofpQmOjcYa3u8/edit#gid=1878241338"",""S4 Totals!$A$2:$O$255""),3,FALSE)"),0.18)</f>
        <v>0.18</v>
      </c>
      <c r="D88" s="16">
        <f>IFERROR(__xludf.DUMMYFUNCTION("VLOOKUP(A88,IMPORTRANGE(""1QZ5UxyNCwadreQAXnQ7oCoH982DjIA-QnZdO7ZoqkC0/edit#gid=884617569"",""S4 Totals!$A$2:$O$255""),2,FALSE)"),5.0)</f>
        <v>5</v>
      </c>
      <c r="E88" s="15">
        <f>IFERROR(__xludf.DUMMYFUNCTION("VLOOKUP(A88,IMPORTRANGE(""1QZ5UxyNCwadreQAXnQ7oCoH982DjIA-QnZdO7ZoqkC0/edit#gid=884617569"",""S4 Totals!$A$2:$O$255""),3,FALSE)"),0.10638297872340426)</f>
        <v>0.1063829787</v>
      </c>
      <c r="F88" s="146">
        <f t="shared" si="1"/>
        <v>0.07361702128</v>
      </c>
      <c r="G88" s="16">
        <f>IFERROR(__xludf.DUMMYFUNCTION("VLOOKUP(A88,IMPORTRANGE(""1QZ5UxyNCwadreQAXnQ7oCoH982DjIA-QnZdO7ZoqkC0/edit#gid=884617569"",""S4 Totals!$A$2:$O$255""),4,FALSE)"),8.0)</f>
        <v>8</v>
      </c>
      <c r="H88" s="15">
        <f>IFERROR(__xludf.DUMMYFUNCTION("VLOOKUP(A88,IMPORTRANGE(""1QZ5UxyNCwadreQAXnQ7oCoH982DjIA-QnZdO7ZoqkC0/edit#gid=884617569"",""S4 Totals!$A$2:$O$255""),5,FALSE)"),0.12698412698412698)</f>
        <v>0.126984127</v>
      </c>
      <c r="I88" s="143"/>
      <c r="J88" s="16" t="str">
        <f>IFERROR(__xludf.DUMMYFUNCTION("VLOOKUP(A88,IMPORTRANGE(""1QZ5UxyNCwadreQAXnQ7oCoH982DjIA-QnZdO7ZoqkC0/edit#gid=884617569"",""S4 Totals!$A$2:$O$255""),7,FALSE)"),"")</f>
        <v/>
      </c>
      <c r="K88" s="15" t="str">
        <f>IFERROR(__xludf.DUMMYFUNCTION("VLOOKUP(A88,IMPORTRANGE(""1QZ5UxyNCwadreQAXnQ7oCoH982DjIA-QnZdO7ZoqkC0/edit#gid=884617569"",""S4 Totals!$A$2:$O$255""),8,FALSE)"),"")</f>
        <v/>
      </c>
      <c r="L88" s="147"/>
      <c r="M88" s="16" t="str">
        <f>IFERROR(__xludf.DUMMYFUNCTION("VLOOKUP(A88,IMPORTRANGE(""1QZ5UxyNCwadreQAXnQ7oCoH982DjIA-QnZdO7ZoqkC0/edit#gid=884617569"",""S4 Totals!$A$2:$O$255""),10,FALSE)"),"")</f>
        <v/>
      </c>
      <c r="N88" s="15" t="str">
        <f>IFERROR(__xludf.DUMMYFUNCTION("VLOOKUP(A88,IMPORTRANGE(""1QZ5UxyNCwadreQAXnQ7oCoH982DjIA-QnZdO7ZoqkC0/edit#gid=884617569"",""S4 Totals!$A$2:$O$255""),11,FALSE)"),"")</f>
        <v/>
      </c>
      <c r="O88" s="110"/>
      <c r="P88" s="16" t="str">
        <f>IFERROR(__xludf.DUMMYFUNCTION("VLOOKUP(A88,IMPORTRANGE(""1QZ5UxyNCwadreQAXnQ7oCoH982DjIA-QnZdO7ZoqkC0/edit#gid=884617569"",""S4 Totals!$A$2:$O$255""),13,FALSE)"),"")</f>
        <v/>
      </c>
      <c r="Q88" s="15" t="str">
        <f>IFERROR(__xludf.DUMMYFUNCTION("VLOOKUP(A88,IMPORTRANGE(""1QZ5UxyNCwadreQAXnQ7oCoH982DjIA-QnZdO7ZoqkC0/edit#gid=884617569"",""S4 Totals!$A$2:$O$255""),14,FALSE)"),"")</f>
        <v/>
      </c>
      <c r="R88" s="110"/>
    </row>
    <row r="89">
      <c r="A89" s="128" t="s">
        <v>176</v>
      </c>
      <c r="B89" s="16">
        <f>IFERROR(__xludf.DUMMYFUNCTION("VLOOKUP(A89,IMPORTRANGE(""1aFCnJY1qhIj8-JckJhDJ18aqmVo17tofpQmOjcYa3u8/edit#gid=1878241338"",""S4 Totals!$A$2:$O$255""),2,FALSE)"),3.0)</f>
        <v>3</v>
      </c>
      <c r="C89" s="15">
        <f>IFERROR(__xludf.DUMMYFUNCTION("VLOOKUP(A89,IMPORTRANGE(""1aFCnJY1qhIj8-JckJhDJ18aqmVo17tofpQmOjcYa3u8/edit#gid=1878241338"",""S4 Totals!$A$2:$O$255""),3,FALSE)"),0.06)</f>
        <v>0.06</v>
      </c>
      <c r="D89" s="16">
        <f>IFERROR(__xludf.DUMMYFUNCTION("VLOOKUP(A89,IMPORTRANGE(""1QZ5UxyNCwadreQAXnQ7oCoH982DjIA-QnZdO7ZoqkC0/edit#gid=884617569"",""S4 Totals!$A$2:$O$255""),2,FALSE)"),4.0)</f>
        <v>4</v>
      </c>
      <c r="E89" s="15">
        <f>IFERROR(__xludf.DUMMYFUNCTION("VLOOKUP(A89,IMPORTRANGE(""1QZ5UxyNCwadreQAXnQ7oCoH982DjIA-QnZdO7ZoqkC0/edit#gid=884617569"",""S4 Totals!$A$2:$O$255""),3,FALSE)"),0.0851063829787234)</f>
        <v>0.08510638298</v>
      </c>
      <c r="F89" s="146">
        <f t="shared" si="1"/>
        <v>-0.02510638298</v>
      </c>
      <c r="G89" s="16">
        <f>IFERROR(__xludf.DUMMYFUNCTION("VLOOKUP(A89,IMPORTRANGE(""1QZ5UxyNCwadreQAXnQ7oCoH982DjIA-QnZdO7ZoqkC0/edit#gid=884617569"",""S4 Totals!$A$2:$O$255""),4,FALSE)"),6.0)</f>
        <v>6</v>
      </c>
      <c r="H89" s="15">
        <f>IFERROR(__xludf.DUMMYFUNCTION("VLOOKUP(A89,IMPORTRANGE(""1QZ5UxyNCwadreQAXnQ7oCoH982DjIA-QnZdO7ZoqkC0/edit#gid=884617569"",""S4 Totals!$A$2:$O$255""),5,FALSE)"),0.09523809523809523)</f>
        <v>0.09523809524</v>
      </c>
      <c r="I89" s="143"/>
      <c r="J89" s="16">
        <f>IFERROR(__xludf.DUMMYFUNCTION("VLOOKUP(A89,IMPORTRANGE(""1QZ5UxyNCwadreQAXnQ7oCoH982DjIA-QnZdO7ZoqkC0/edit#gid=884617569"",""S4 Totals!$A$2:$O$255""),7,FALSE)"),6.0)</f>
        <v>6</v>
      </c>
      <c r="K89" s="15">
        <f>IFERROR(__xludf.DUMMYFUNCTION("VLOOKUP(A89,IMPORTRANGE(""1QZ5UxyNCwadreQAXnQ7oCoH982DjIA-QnZdO7ZoqkC0/edit#gid=884617569"",""S4 Totals!$A$2:$O$255""),8,FALSE)"),0.08571428571428572)</f>
        <v>0.08571428571</v>
      </c>
      <c r="L89" s="147"/>
      <c r="M89" s="16" t="str">
        <f>IFERROR(__xludf.DUMMYFUNCTION("VLOOKUP(A89,IMPORTRANGE(""1QZ5UxyNCwadreQAXnQ7oCoH982DjIA-QnZdO7ZoqkC0/edit#gid=884617569"",""S4 Totals!$A$2:$O$255""),10,FALSE)"),"")</f>
        <v/>
      </c>
      <c r="N89" s="15" t="str">
        <f>IFERROR(__xludf.DUMMYFUNCTION("VLOOKUP(A89,IMPORTRANGE(""1QZ5UxyNCwadreQAXnQ7oCoH982DjIA-QnZdO7ZoqkC0/edit#gid=884617569"",""S4 Totals!$A$2:$O$255""),11,FALSE)"),"")</f>
        <v/>
      </c>
      <c r="O89" s="110"/>
      <c r="P89" s="16" t="str">
        <f>IFERROR(__xludf.DUMMYFUNCTION("VLOOKUP(A89,IMPORTRANGE(""1QZ5UxyNCwadreQAXnQ7oCoH982DjIA-QnZdO7ZoqkC0/edit#gid=884617569"",""S4 Totals!$A$2:$O$255""),13,FALSE)"),"")</f>
        <v/>
      </c>
      <c r="Q89" s="15" t="str">
        <f>IFERROR(__xludf.DUMMYFUNCTION("VLOOKUP(A89,IMPORTRANGE(""1QZ5UxyNCwadreQAXnQ7oCoH982DjIA-QnZdO7ZoqkC0/edit#gid=884617569"",""S4 Totals!$A$2:$O$255""),14,FALSE)"),"")</f>
        <v/>
      </c>
      <c r="R89" s="110"/>
    </row>
    <row r="90">
      <c r="A90" s="128" t="s">
        <v>231</v>
      </c>
      <c r="B90" s="16">
        <f>IFERROR(__xludf.DUMMYFUNCTION("VLOOKUP(A90,IMPORTRANGE(""1aFCnJY1qhIj8-JckJhDJ18aqmVo17tofpQmOjcYa3u8/edit#gid=1878241338"",""S4 Totals!$A$2:$O$255""),2,FALSE)"),4.0)</f>
        <v>4</v>
      </c>
      <c r="C90" s="15">
        <f>IFERROR(__xludf.DUMMYFUNCTION("VLOOKUP(A90,IMPORTRANGE(""1aFCnJY1qhIj8-JckJhDJ18aqmVo17tofpQmOjcYa3u8/edit#gid=1878241338"",""S4 Totals!$A$2:$O$255""),3,FALSE)"),0.08)</f>
        <v>0.08</v>
      </c>
      <c r="D90" s="16">
        <f>IFERROR(__xludf.DUMMYFUNCTION("VLOOKUP(A90,IMPORTRANGE(""1QZ5UxyNCwadreQAXnQ7oCoH982DjIA-QnZdO7ZoqkC0/edit#gid=884617569"",""S4 Totals!$A$2:$O$255""),2,FALSE)"),7.0)</f>
        <v>7</v>
      </c>
      <c r="E90" s="15">
        <f>IFERROR(__xludf.DUMMYFUNCTION("VLOOKUP(A90,IMPORTRANGE(""1QZ5UxyNCwadreQAXnQ7oCoH982DjIA-QnZdO7ZoqkC0/edit#gid=884617569"",""S4 Totals!$A$2:$O$255""),3,FALSE)"),0.14893617021276595)</f>
        <v>0.1489361702</v>
      </c>
      <c r="F90" s="146">
        <f t="shared" si="1"/>
        <v>-0.06893617021</v>
      </c>
      <c r="G90" s="16">
        <f>IFERROR(__xludf.DUMMYFUNCTION("VLOOKUP(A90,IMPORTRANGE(""1QZ5UxyNCwadreQAXnQ7oCoH982DjIA-QnZdO7ZoqkC0/edit#gid=884617569"",""S4 Totals!$A$2:$O$255""),4,FALSE)"),5.0)</f>
        <v>5</v>
      </c>
      <c r="H90" s="15">
        <f>IFERROR(__xludf.DUMMYFUNCTION("VLOOKUP(A90,IMPORTRANGE(""1QZ5UxyNCwadreQAXnQ7oCoH982DjIA-QnZdO7ZoqkC0/edit#gid=884617569"",""S4 Totals!$A$2:$O$255""),5,FALSE)"),0.07936507936507936)</f>
        <v>0.07936507937</v>
      </c>
      <c r="I90" s="143"/>
      <c r="J90" s="16" t="str">
        <f>IFERROR(__xludf.DUMMYFUNCTION("VLOOKUP(A90,IMPORTRANGE(""1QZ5UxyNCwadreQAXnQ7oCoH982DjIA-QnZdO7ZoqkC0/edit#gid=884617569"",""S4 Totals!$A$2:$O$255""),7,FALSE)"),"")</f>
        <v/>
      </c>
      <c r="K90" s="15" t="str">
        <f>IFERROR(__xludf.DUMMYFUNCTION("VLOOKUP(A90,IMPORTRANGE(""1QZ5UxyNCwadreQAXnQ7oCoH982DjIA-QnZdO7ZoqkC0/edit#gid=884617569"",""S4 Totals!$A$2:$O$255""),8,FALSE)"),"")</f>
        <v/>
      </c>
      <c r="L90" s="147"/>
      <c r="M90" s="16" t="str">
        <f>IFERROR(__xludf.DUMMYFUNCTION("VLOOKUP(A90,IMPORTRANGE(""1QZ5UxyNCwadreQAXnQ7oCoH982DjIA-QnZdO7ZoqkC0/edit#gid=884617569"",""S4 Totals!$A$2:$O$255""),10,FALSE)"),"")</f>
        <v/>
      </c>
      <c r="N90" s="15" t="str">
        <f>IFERROR(__xludf.DUMMYFUNCTION("VLOOKUP(A90,IMPORTRANGE(""1QZ5UxyNCwadreQAXnQ7oCoH982DjIA-QnZdO7ZoqkC0/edit#gid=884617569"",""S4 Totals!$A$2:$O$255""),11,FALSE)"),"")</f>
        <v/>
      </c>
      <c r="O90" s="110"/>
      <c r="P90" s="16" t="str">
        <f>IFERROR(__xludf.DUMMYFUNCTION("VLOOKUP(A90,IMPORTRANGE(""1QZ5UxyNCwadreQAXnQ7oCoH982DjIA-QnZdO7ZoqkC0/edit#gid=884617569"",""S4 Totals!$A$2:$O$255""),13,FALSE)"),"")</f>
        <v/>
      </c>
      <c r="Q90" s="15" t="str">
        <f>IFERROR(__xludf.DUMMYFUNCTION("VLOOKUP(A90,IMPORTRANGE(""1QZ5UxyNCwadreQAXnQ7oCoH982DjIA-QnZdO7ZoqkC0/edit#gid=884617569"",""S4 Totals!$A$2:$O$255""),14,FALSE)"),"")</f>
        <v/>
      </c>
      <c r="R90" s="110"/>
    </row>
    <row r="91">
      <c r="A91" s="128" t="s">
        <v>265</v>
      </c>
      <c r="B91" s="16">
        <f>IFERROR(__xludf.DUMMYFUNCTION("VLOOKUP(A91,IMPORTRANGE(""1aFCnJY1qhIj8-JckJhDJ18aqmVo17tofpQmOjcYa3u8/edit#gid=1878241338"",""S4 Totals!$A$2:$O$255""),2,FALSE)"),4.0)</f>
        <v>4</v>
      </c>
      <c r="C91" s="15">
        <f>IFERROR(__xludf.DUMMYFUNCTION("VLOOKUP(A91,IMPORTRANGE(""1aFCnJY1qhIj8-JckJhDJ18aqmVo17tofpQmOjcYa3u8/edit#gid=1878241338"",""S4 Totals!$A$2:$O$255""),3,FALSE)"),0.08)</f>
        <v>0.08</v>
      </c>
      <c r="D91" s="16" t="str">
        <f>IFERROR(__xludf.DUMMYFUNCTION("VLOOKUP(A91,IMPORTRANGE(""1QZ5UxyNCwadreQAXnQ7oCoH982DjIA-QnZdO7ZoqkC0/edit#gid=884617569"",""S4 Totals!$A$2:$O$255""),2,FALSE)"),"#N/A")</f>
        <v>#N/A</v>
      </c>
      <c r="E91" s="15" t="str">
        <f>IFERROR(__xludf.DUMMYFUNCTION("VLOOKUP(A91,IMPORTRANGE(""1QZ5UxyNCwadreQAXnQ7oCoH982DjIA-QnZdO7ZoqkC0/edit#gid=884617569"",""S4 Totals!$A$2:$O$255""),3,FALSE)"),"#N/A")</f>
        <v>#N/A</v>
      </c>
      <c r="F91" s="146" t="str">
        <f t="shared" si="1"/>
        <v>#N/A</v>
      </c>
      <c r="G91" s="16" t="str">
        <f>IFERROR(__xludf.DUMMYFUNCTION("VLOOKUP(A91,IMPORTRANGE(""1QZ5UxyNCwadreQAXnQ7oCoH982DjIA-QnZdO7ZoqkC0/edit#gid=884617569"",""S4 Totals!$A$2:$O$255""),4,FALSE)"),"#N/A")</f>
        <v>#N/A</v>
      </c>
      <c r="H91" s="15" t="str">
        <f>IFERROR(__xludf.DUMMYFUNCTION("VLOOKUP(A91,IMPORTRANGE(""1QZ5UxyNCwadreQAXnQ7oCoH982DjIA-QnZdO7ZoqkC0/edit#gid=884617569"",""S4 Totals!$A$2:$O$255""),5,FALSE)"),"#N/A")</f>
        <v>#N/A</v>
      </c>
      <c r="I91" s="143"/>
      <c r="J91" s="16" t="str">
        <f>IFERROR(__xludf.DUMMYFUNCTION("VLOOKUP(A91,IMPORTRANGE(""1QZ5UxyNCwadreQAXnQ7oCoH982DjIA-QnZdO7ZoqkC0/edit#gid=884617569"",""S4 Totals!$A$2:$O$255""),7,FALSE)"),"#N/A")</f>
        <v>#N/A</v>
      </c>
      <c r="K91" s="15" t="str">
        <f>IFERROR(__xludf.DUMMYFUNCTION("VLOOKUP(A91,IMPORTRANGE(""1QZ5UxyNCwadreQAXnQ7oCoH982DjIA-QnZdO7ZoqkC0/edit#gid=884617569"",""S4 Totals!$A$2:$O$255""),8,FALSE)"),"#N/A")</f>
        <v>#N/A</v>
      </c>
      <c r="L91" s="147"/>
      <c r="M91" s="16" t="str">
        <f>IFERROR(__xludf.DUMMYFUNCTION("VLOOKUP(A91,IMPORTRANGE(""1QZ5UxyNCwadreQAXnQ7oCoH982DjIA-QnZdO7ZoqkC0/edit#gid=884617569"",""S4 Totals!$A$2:$O$255""),10,FALSE)"),"#N/A")</f>
        <v>#N/A</v>
      </c>
      <c r="N91" s="15" t="str">
        <f>IFERROR(__xludf.DUMMYFUNCTION("VLOOKUP(A91,IMPORTRANGE(""1QZ5UxyNCwadreQAXnQ7oCoH982DjIA-QnZdO7ZoqkC0/edit#gid=884617569"",""S4 Totals!$A$2:$O$255""),11,FALSE)"),"#N/A")</f>
        <v>#N/A</v>
      </c>
      <c r="O91" s="110"/>
      <c r="P91" s="16" t="str">
        <f>IFERROR(__xludf.DUMMYFUNCTION("VLOOKUP(A91,IMPORTRANGE(""1QZ5UxyNCwadreQAXnQ7oCoH982DjIA-QnZdO7ZoqkC0/edit#gid=884617569"",""S4 Totals!$A$2:$O$255""),13,FALSE)"),"#N/A")</f>
        <v>#N/A</v>
      </c>
      <c r="Q91" s="15" t="str">
        <f>IFERROR(__xludf.DUMMYFUNCTION("VLOOKUP(A91,IMPORTRANGE(""1QZ5UxyNCwadreQAXnQ7oCoH982DjIA-QnZdO7ZoqkC0/edit#gid=884617569"",""S4 Totals!$A$2:$O$255""),14,FALSE)"),"#N/A")</f>
        <v>#N/A</v>
      </c>
      <c r="R91" s="110"/>
    </row>
    <row r="92">
      <c r="A92" s="128" t="s">
        <v>177</v>
      </c>
      <c r="B92" s="16">
        <f>IFERROR(__xludf.DUMMYFUNCTION("VLOOKUP(A92,IMPORTRANGE(""1aFCnJY1qhIj8-JckJhDJ18aqmVo17tofpQmOjcYa3u8/edit#gid=1878241338"",""S4 Totals!$A$2:$O$255""),2,FALSE)"),3.0)</f>
        <v>3</v>
      </c>
      <c r="C92" s="15">
        <f>IFERROR(__xludf.DUMMYFUNCTION("VLOOKUP(A92,IMPORTRANGE(""1aFCnJY1qhIj8-JckJhDJ18aqmVo17tofpQmOjcYa3u8/edit#gid=1878241338"",""S4 Totals!$A$2:$O$255""),3,FALSE)"),0.06)</f>
        <v>0.06</v>
      </c>
      <c r="D92" s="16">
        <f>IFERROR(__xludf.DUMMYFUNCTION("VLOOKUP(A92,IMPORTRANGE(""1QZ5UxyNCwadreQAXnQ7oCoH982DjIA-QnZdO7ZoqkC0/edit#gid=884617569"",""S4 Totals!$A$2:$O$255""),2,FALSE)"),4.0)</f>
        <v>4</v>
      </c>
      <c r="E92" s="15">
        <f>IFERROR(__xludf.DUMMYFUNCTION("VLOOKUP(A92,IMPORTRANGE(""1QZ5UxyNCwadreQAXnQ7oCoH982DjIA-QnZdO7ZoqkC0/edit#gid=884617569"",""S4 Totals!$A$2:$O$255""),3,FALSE)"),0.0851063829787234)</f>
        <v>0.08510638298</v>
      </c>
      <c r="F92" s="146">
        <f t="shared" si="1"/>
        <v>-0.02510638298</v>
      </c>
      <c r="G92" s="16">
        <f>IFERROR(__xludf.DUMMYFUNCTION("VLOOKUP(A92,IMPORTRANGE(""1QZ5UxyNCwadreQAXnQ7oCoH982DjIA-QnZdO7ZoqkC0/edit#gid=884617569"",""S4 Totals!$A$2:$O$255""),4,FALSE)"),4.0)</f>
        <v>4</v>
      </c>
      <c r="H92" s="15">
        <f>IFERROR(__xludf.DUMMYFUNCTION("VLOOKUP(A92,IMPORTRANGE(""1QZ5UxyNCwadreQAXnQ7oCoH982DjIA-QnZdO7ZoqkC0/edit#gid=884617569"",""S4 Totals!$A$2:$O$255""),5,FALSE)"),0.06349206349206349)</f>
        <v>0.06349206349</v>
      </c>
      <c r="I92" s="143"/>
      <c r="J92" s="16">
        <f>IFERROR(__xludf.DUMMYFUNCTION("VLOOKUP(A92,IMPORTRANGE(""1QZ5UxyNCwadreQAXnQ7oCoH982DjIA-QnZdO7ZoqkC0/edit#gid=884617569"",""S4 Totals!$A$2:$O$255""),7,FALSE)"),0.0)</f>
        <v>0</v>
      </c>
      <c r="K92" s="15">
        <f>IFERROR(__xludf.DUMMYFUNCTION("VLOOKUP(A92,IMPORTRANGE(""1QZ5UxyNCwadreQAXnQ7oCoH982DjIA-QnZdO7ZoqkC0/edit#gid=884617569"",""S4 Totals!$A$2:$O$255""),8,FALSE)"),0.0)</f>
        <v>0</v>
      </c>
      <c r="L92" s="147"/>
      <c r="M92" s="16" t="str">
        <f>IFERROR(__xludf.DUMMYFUNCTION("VLOOKUP(A92,IMPORTRANGE(""1QZ5UxyNCwadreQAXnQ7oCoH982DjIA-QnZdO7ZoqkC0/edit#gid=884617569"",""S4 Totals!$A$2:$O$255""),10,FALSE)"),"")</f>
        <v/>
      </c>
      <c r="N92" s="15" t="str">
        <f>IFERROR(__xludf.DUMMYFUNCTION("VLOOKUP(A92,IMPORTRANGE(""1QZ5UxyNCwadreQAXnQ7oCoH982DjIA-QnZdO7ZoqkC0/edit#gid=884617569"",""S4 Totals!$A$2:$O$255""),11,FALSE)"),"")</f>
        <v/>
      </c>
      <c r="O92" s="110"/>
      <c r="P92" s="16" t="str">
        <f>IFERROR(__xludf.DUMMYFUNCTION("VLOOKUP(A92,IMPORTRANGE(""1QZ5UxyNCwadreQAXnQ7oCoH982DjIA-QnZdO7ZoqkC0/edit#gid=884617569"",""S4 Totals!$A$2:$O$255""),13,FALSE)"),"")</f>
        <v/>
      </c>
      <c r="Q92" s="15" t="str">
        <f>IFERROR(__xludf.DUMMYFUNCTION("VLOOKUP(A92,IMPORTRANGE(""1QZ5UxyNCwadreQAXnQ7oCoH982DjIA-QnZdO7ZoqkC0/edit#gid=884617569"",""S4 Totals!$A$2:$O$255""),14,FALSE)"),"")</f>
        <v/>
      </c>
      <c r="R92" s="110"/>
    </row>
    <row r="93">
      <c r="A93" s="128" t="s">
        <v>129</v>
      </c>
      <c r="B93" s="16">
        <f>IFERROR(__xludf.DUMMYFUNCTION("VLOOKUP(A93,IMPORTRANGE(""1aFCnJY1qhIj8-JckJhDJ18aqmVo17tofpQmOjcYa3u8/edit#gid=1878241338"",""S4 Totals!$A$2:$O$255""),2,FALSE)"),20.0)</f>
        <v>20</v>
      </c>
      <c r="C93" s="15">
        <f>IFERROR(__xludf.DUMMYFUNCTION("VLOOKUP(A93,IMPORTRANGE(""1aFCnJY1qhIj8-JckJhDJ18aqmVo17tofpQmOjcYa3u8/edit#gid=1878241338"",""S4 Totals!$A$2:$O$255""),3,FALSE)"),0.4)</f>
        <v>0.4</v>
      </c>
      <c r="D93" s="16">
        <f>IFERROR(__xludf.DUMMYFUNCTION("VLOOKUP(A93,IMPORTRANGE(""1QZ5UxyNCwadreQAXnQ7oCoH982DjIA-QnZdO7ZoqkC0/edit#gid=884617569"",""S4 Totals!$A$2:$O$255""),2,FALSE)"),14.0)</f>
        <v>14</v>
      </c>
      <c r="E93" s="15">
        <f>IFERROR(__xludf.DUMMYFUNCTION("VLOOKUP(A93,IMPORTRANGE(""1QZ5UxyNCwadreQAXnQ7oCoH982DjIA-QnZdO7ZoqkC0/edit#gid=884617569"",""S4 Totals!$A$2:$O$255""),3,FALSE)"),0.2978723404255319)</f>
        <v>0.2978723404</v>
      </c>
      <c r="F93" s="146">
        <f t="shared" si="1"/>
        <v>0.1021276596</v>
      </c>
      <c r="G93" s="16">
        <f>IFERROR(__xludf.DUMMYFUNCTION("VLOOKUP(A93,IMPORTRANGE(""1QZ5UxyNCwadreQAXnQ7oCoH982DjIA-QnZdO7ZoqkC0/edit#gid=884617569"",""S4 Totals!$A$2:$O$255""),4,FALSE)"),21.0)</f>
        <v>21</v>
      </c>
      <c r="H93" s="15">
        <f>IFERROR(__xludf.DUMMYFUNCTION("VLOOKUP(A93,IMPORTRANGE(""1QZ5UxyNCwadreQAXnQ7oCoH982DjIA-QnZdO7ZoqkC0/edit#gid=884617569"",""S4 Totals!$A$2:$O$255""),5,FALSE)"),0.3333333333333333)</f>
        <v>0.3333333333</v>
      </c>
      <c r="I93" s="143"/>
      <c r="J93" s="16">
        <f>IFERROR(__xludf.DUMMYFUNCTION("VLOOKUP(A93,IMPORTRANGE(""1QZ5UxyNCwadreQAXnQ7oCoH982DjIA-QnZdO7ZoqkC0/edit#gid=884617569"",""S4 Totals!$A$2:$O$255""),7,FALSE)"),16.0)</f>
        <v>16</v>
      </c>
      <c r="K93" s="15">
        <f>IFERROR(__xludf.DUMMYFUNCTION("VLOOKUP(A93,IMPORTRANGE(""1QZ5UxyNCwadreQAXnQ7oCoH982DjIA-QnZdO7ZoqkC0/edit#gid=884617569"",""S4 Totals!$A$2:$O$255""),8,FALSE)"),0.22857142857142856)</f>
        <v>0.2285714286</v>
      </c>
      <c r="L93" s="147"/>
      <c r="M93" s="16">
        <f>IFERROR(__xludf.DUMMYFUNCTION("VLOOKUP(A93,IMPORTRANGE(""1QZ5UxyNCwadreQAXnQ7oCoH982DjIA-QnZdO7ZoqkC0/edit#gid=884617569"",""S4 Totals!$A$2:$O$255""),10,FALSE)"),18.0)</f>
        <v>18</v>
      </c>
      <c r="N93" s="15">
        <f>IFERROR(__xludf.DUMMYFUNCTION("VLOOKUP(A93,IMPORTRANGE(""1QZ5UxyNCwadreQAXnQ7oCoH982DjIA-QnZdO7ZoqkC0/edit#gid=884617569"",""S4 Totals!$A$2:$O$255""),11,FALSE)"),0.24324324324324326)</f>
        <v>0.2432432432</v>
      </c>
      <c r="O93" s="110"/>
      <c r="P93" s="16" t="str">
        <f>IFERROR(__xludf.DUMMYFUNCTION("VLOOKUP(A93,IMPORTRANGE(""1QZ5UxyNCwadreQAXnQ7oCoH982DjIA-QnZdO7ZoqkC0/edit#gid=884617569"",""S4 Totals!$A$2:$O$255""),13,FALSE)"),"")</f>
        <v/>
      </c>
      <c r="Q93" s="15" t="str">
        <f>IFERROR(__xludf.DUMMYFUNCTION("VLOOKUP(A93,IMPORTRANGE(""1QZ5UxyNCwadreQAXnQ7oCoH982DjIA-QnZdO7ZoqkC0/edit#gid=884617569"",""S4 Totals!$A$2:$O$255""),14,FALSE)"),"")</f>
        <v/>
      </c>
      <c r="R93" s="110"/>
    </row>
    <row r="94">
      <c r="A94" s="128" t="s">
        <v>64</v>
      </c>
      <c r="B94" s="16">
        <f>IFERROR(__xludf.DUMMYFUNCTION("VLOOKUP(A94,IMPORTRANGE(""1aFCnJY1qhIj8-JckJhDJ18aqmVo17tofpQmOjcYa3u8/edit#gid=1878241338"",""S4 Totals!$A$2:$O$255""),2,FALSE)"),23.0)</f>
        <v>23</v>
      </c>
      <c r="C94" s="15">
        <f>IFERROR(__xludf.DUMMYFUNCTION("VLOOKUP(A94,IMPORTRANGE(""1aFCnJY1qhIj8-JckJhDJ18aqmVo17tofpQmOjcYa3u8/edit#gid=1878241338"",""S4 Totals!$A$2:$O$255""),3,FALSE)"),0.46)</f>
        <v>0.46</v>
      </c>
      <c r="D94" s="16">
        <f>IFERROR(__xludf.DUMMYFUNCTION("VLOOKUP(A94,IMPORTRANGE(""1QZ5UxyNCwadreQAXnQ7oCoH982DjIA-QnZdO7ZoqkC0/edit#gid=884617569"",""S4 Totals!$A$2:$O$255""),2,FALSE)"),25.0)</f>
        <v>25</v>
      </c>
      <c r="E94" s="15">
        <f>IFERROR(__xludf.DUMMYFUNCTION("VLOOKUP(A94,IMPORTRANGE(""1QZ5UxyNCwadreQAXnQ7oCoH982DjIA-QnZdO7ZoqkC0/edit#gid=884617569"",""S4 Totals!$A$2:$O$255""),3,FALSE)"),0.5319148936170213)</f>
        <v>0.5319148936</v>
      </c>
      <c r="F94" s="146">
        <f t="shared" si="1"/>
        <v>-0.07191489362</v>
      </c>
      <c r="G94" s="16">
        <f>IFERROR(__xludf.DUMMYFUNCTION("VLOOKUP(A94,IMPORTRANGE(""1QZ5UxyNCwadreQAXnQ7oCoH982DjIA-QnZdO7ZoqkC0/edit#gid=884617569"",""S4 Totals!$A$2:$O$255""),4,FALSE)"),24.0)</f>
        <v>24</v>
      </c>
      <c r="H94" s="15">
        <f>IFERROR(__xludf.DUMMYFUNCTION("VLOOKUP(A94,IMPORTRANGE(""1QZ5UxyNCwadreQAXnQ7oCoH982DjIA-QnZdO7ZoqkC0/edit#gid=884617569"",""S4 Totals!$A$2:$O$255""),5,FALSE)"),0.38095238095238093)</f>
        <v>0.380952381</v>
      </c>
      <c r="I94" s="143"/>
      <c r="J94" s="16">
        <f>IFERROR(__xludf.DUMMYFUNCTION("VLOOKUP(A94,IMPORTRANGE(""1QZ5UxyNCwadreQAXnQ7oCoH982DjIA-QnZdO7ZoqkC0/edit#gid=884617569"",""S4 Totals!$A$2:$O$255""),7,FALSE)"),33.0)</f>
        <v>33</v>
      </c>
      <c r="K94" s="15">
        <f>IFERROR(__xludf.DUMMYFUNCTION("VLOOKUP(A94,IMPORTRANGE(""1QZ5UxyNCwadreQAXnQ7oCoH982DjIA-QnZdO7ZoqkC0/edit#gid=884617569"",""S4 Totals!$A$2:$O$255""),8,FALSE)"),0.4714285714285714)</f>
        <v>0.4714285714</v>
      </c>
      <c r="L94" s="147"/>
      <c r="M94" s="16">
        <f>IFERROR(__xludf.DUMMYFUNCTION("VLOOKUP(A94,IMPORTRANGE(""1QZ5UxyNCwadreQAXnQ7oCoH982DjIA-QnZdO7ZoqkC0/edit#gid=884617569"",""S4 Totals!$A$2:$O$255""),10,FALSE)"),40.0)</f>
        <v>40</v>
      </c>
      <c r="N94" s="15">
        <f>IFERROR(__xludf.DUMMYFUNCTION("VLOOKUP(A94,IMPORTRANGE(""1QZ5UxyNCwadreQAXnQ7oCoH982DjIA-QnZdO7ZoqkC0/edit#gid=884617569"",""S4 Totals!$A$2:$O$255""),11,FALSE)"),0.5405405405405406)</f>
        <v>0.5405405405</v>
      </c>
      <c r="O94" s="110"/>
      <c r="P94" s="16">
        <f>IFERROR(__xludf.DUMMYFUNCTION("VLOOKUP(A94,IMPORTRANGE(""1QZ5UxyNCwadreQAXnQ7oCoH982DjIA-QnZdO7ZoqkC0/edit#gid=884617569"",""S4 Totals!$A$2:$O$255""),13,FALSE)"),27.0)</f>
        <v>27</v>
      </c>
      <c r="Q94" s="15">
        <f>IFERROR(__xludf.DUMMYFUNCTION("VLOOKUP(A94,IMPORTRANGE(""1QZ5UxyNCwadreQAXnQ7oCoH982DjIA-QnZdO7ZoqkC0/edit#gid=884617569"",""S4 Totals!$A$2:$O$255""),14,FALSE)"),0.36)</f>
        <v>0.36</v>
      </c>
      <c r="R94" s="110"/>
    </row>
    <row r="95">
      <c r="A95" s="128" t="s">
        <v>232</v>
      </c>
      <c r="B95" s="16">
        <f>IFERROR(__xludf.DUMMYFUNCTION("VLOOKUP(A95,IMPORTRANGE(""1aFCnJY1qhIj8-JckJhDJ18aqmVo17tofpQmOjcYa3u8/edit#gid=1878241338"",""S4 Totals!$A$2:$O$255""),2,FALSE)"),3.0)</f>
        <v>3</v>
      </c>
      <c r="C95" s="15">
        <f>IFERROR(__xludf.DUMMYFUNCTION("VLOOKUP(A95,IMPORTRANGE(""1aFCnJY1qhIj8-JckJhDJ18aqmVo17tofpQmOjcYa3u8/edit#gid=1878241338"",""S4 Totals!$A$2:$O$255""),3,FALSE)"),0.06)</f>
        <v>0.06</v>
      </c>
      <c r="D95" s="16">
        <f>IFERROR(__xludf.DUMMYFUNCTION("VLOOKUP(A95,IMPORTRANGE(""1QZ5UxyNCwadreQAXnQ7oCoH982DjIA-QnZdO7ZoqkC0/edit#gid=884617569"",""S4 Totals!$A$2:$O$255""),2,FALSE)"),4.0)</f>
        <v>4</v>
      </c>
      <c r="E95" s="15">
        <f>IFERROR(__xludf.DUMMYFUNCTION("VLOOKUP(A95,IMPORTRANGE(""1QZ5UxyNCwadreQAXnQ7oCoH982DjIA-QnZdO7ZoqkC0/edit#gid=884617569"",""S4 Totals!$A$2:$O$255""),3,FALSE)"),0.0851063829787234)</f>
        <v>0.08510638298</v>
      </c>
      <c r="F95" s="146">
        <f t="shared" si="1"/>
        <v>-0.02510638298</v>
      </c>
      <c r="G95" s="16">
        <f>IFERROR(__xludf.DUMMYFUNCTION("VLOOKUP(A95,IMPORTRANGE(""1QZ5UxyNCwadreQAXnQ7oCoH982DjIA-QnZdO7ZoqkC0/edit#gid=884617569"",""S4 Totals!$A$2:$O$255""),4,FALSE)"),4.0)</f>
        <v>4</v>
      </c>
      <c r="H95" s="15">
        <f>IFERROR(__xludf.DUMMYFUNCTION("VLOOKUP(A95,IMPORTRANGE(""1QZ5UxyNCwadreQAXnQ7oCoH982DjIA-QnZdO7ZoqkC0/edit#gid=884617569"",""S4 Totals!$A$2:$O$255""),5,FALSE)"),0.06349206349206349)</f>
        <v>0.06349206349</v>
      </c>
      <c r="I95" s="143"/>
      <c r="J95" s="16" t="str">
        <f>IFERROR(__xludf.DUMMYFUNCTION("VLOOKUP(A95,IMPORTRANGE(""1QZ5UxyNCwadreQAXnQ7oCoH982DjIA-QnZdO7ZoqkC0/edit#gid=884617569"",""S4 Totals!$A$2:$O$255""),7,FALSE)"),"")</f>
        <v/>
      </c>
      <c r="K95" s="15" t="str">
        <f>IFERROR(__xludf.DUMMYFUNCTION("VLOOKUP(A95,IMPORTRANGE(""1QZ5UxyNCwadreQAXnQ7oCoH982DjIA-QnZdO7ZoqkC0/edit#gid=884617569"",""S4 Totals!$A$2:$O$255""),8,FALSE)"),"")</f>
        <v/>
      </c>
      <c r="L95" s="147"/>
      <c r="M95" s="16" t="str">
        <f>IFERROR(__xludf.DUMMYFUNCTION("VLOOKUP(A95,IMPORTRANGE(""1QZ5UxyNCwadreQAXnQ7oCoH982DjIA-QnZdO7ZoqkC0/edit#gid=884617569"",""S4 Totals!$A$2:$O$255""),10,FALSE)"),"")</f>
        <v/>
      </c>
      <c r="N95" s="15" t="str">
        <f>IFERROR(__xludf.DUMMYFUNCTION("VLOOKUP(A95,IMPORTRANGE(""1QZ5UxyNCwadreQAXnQ7oCoH982DjIA-QnZdO7ZoqkC0/edit#gid=884617569"",""S4 Totals!$A$2:$O$255""),11,FALSE)"),"")</f>
        <v/>
      </c>
      <c r="O95" s="110"/>
      <c r="P95" s="16" t="str">
        <f>IFERROR(__xludf.DUMMYFUNCTION("VLOOKUP(A95,IMPORTRANGE(""1QZ5UxyNCwadreQAXnQ7oCoH982DjIA-QnZdO7ZoqkC0/edit#gid=884617569"",""S4 Totals!$A$2:$O$255""),13,FALSE)"),"")</f>
        <v/>
      </c>
      <c r="Q95" s="15" t="str">
        <f>IFERROR(__xludf.DUMMYFUNCTION("VLOOKUP(A95,IMPORTRANGE(""1QZ5UxyNCwadreQAXnQ7oCoH982DjIA-QnZdO7ZoqkC0/edit#gid=884617569"",""S4 Totals!$A$2:$O$255""),14,FALSE)"),"")</f>
        <v/>
      </c>
      <c r="R95" s="110"/>
    </row>
    <row r="96">
      <c r="A96" s="128" t="s">
        <v>51</v>
      </c>
      <c r="B96" s="16">
        <f>IFERROR(__xludf.DUMMYFUNCTION("VLOOKUP(A96,IMPORTRANGE(""1aFCnJY1qhIj8-JckJhDJ18aqmVo17tofpQmOjcYa3u8/edit#gid=1878241338"",""S4 Totals!$A$2:$O$255""),2,FALSE)"),19.0)</f>
        <v>19</v>
      </c>
      <c r="C96" s="15">
        <f>IFERROR(__xludf.DUMMYFUNCTION("VLOOKUP(A96,IMPORTRANGE(""1aFCnJY1qhIj8-JckJhDJ18aqmVo17tofpQmOjcYa3u8/edit#gid=1878241338"",""S4 Totals!$A$2:$O$255""),3,FALSE)"),0.38)</f>
        <v>0.38</v>
      </c>
      <c r="D96" s="16">
        <f>IFERROR(__xludf.DUMMYFUNCTION("VLOOKUP(A96,IMPORTRANGE(""1QZ5UxyNCwadreQAXnQ7oCoH982DjIA-QnZdO7ZoqkC0/edit#gid=884617569"",""S4 Totals!$A$2:$O$255""),2,FALSE)"),19.0)</f>
        <v>19</v>
      </c>
      <c r="E96" s="15">
        <f>IFERROR(__xludf.DUMMYFUNCTION("VLOOKUP(A96,IMPORTRANGE(""1QZ5UxyNCwadreQAXnQ7oCoH982DjIA-QnZdO7ZoqkC0/edit#gid=884617569"",""S4 Totals!$A$2:$O$255""),3,FALSE)"),0.40425531914893614)</f>
        <v>0.4042553191</v>
      </c>
      <c r="F96" s="146">
        <f t="shared" si="1"/>
        <v>-0.02425531915</v>
      </c>
      <c r="G96" s="16">
        <f>IFERROR(__xludf.DUMMYFUNCTION("VLOOKUP(A96,IMPORTRANGE(""1QZ5UxyNCwadreQAXnQ7oCoH982DjIA-QnZdO7ZoqkC0/edit#gid=884617569"",""S4 Totals!$A$2:$O$255""),4,FALSE)"),19.0)</f>
        <v>19</v>
      </c>
      <c r="H96" s="15">
        <f>IFERROR(__xludf.DUMMYFUNCTION("VLOOKUP(A96,IMPORTRANGE(""1QZ5UxyNCwadreQAXnQ7oCoH982DjIA-QnZdO7ZoqkC0/edit#gid=884617569"",""S4 Totals!$A$2:$O$255""),5,FALSE)"),0.30158730158730157)</f>
        <v>0.3015873016</v>
      </c>
      <c r="I96" s="143"/>
      <c r="J96" s="16">
        <f>IFERROR(__xludf.DUMMYFUNCTION("VLOOKUP(A96,IMPORTRANGE(""1QZ5UxyNCwadreQAXnQ7oCoH982DjIA-QnZdO7ZoqkC0/edit#gid=884617569"",""S4 Totals!$A$2:$O$255""),7,FALSE)"),16.0)</f>
        <v>16</v>
      </c>
      <c r="K96" s="15">
        <f>IFERROR(__xludf.DUMMYFUNCTION("VLOOKUP(A96,IMPORTRANGE(""1QZ5UxyNCwadreQAXnQ7oCoH982DjIA-QnZdO7ZoqkC0/edit#gid=884617569"",""S4 Totals!$A$2:$O$255""),8,FALSE)"),0.22857142857142856)</f>
        <v>0.2285714286</v>
      </c>
      <c r="L96" s="147"/>
      <c r="M96" s="16">
        <f>IFERROR(__xludf.DUMMYFUNCTION("VLOOKUP(A96,IMPORTRANGE(""1QZ5UxyNCwadreQAXnQ7oCoH982DjIA-QnZdO7ZoqkC0/edit#gid=884617569"",""S4 Totals!$A$2:$O$255""),10,FALSE)"),20.0)</f>
        <v>20</v>
      </c>
      <c r="N96" s="15">
        <f>IFERROR(__xludf.DUMMYFUNCTION("VLOOKUP(A96,IMPORTRANGE(""1QZ5UxyNCwadreQAXnQ7oCoH982DjIA-QnZdO7ZoqkC0/edit#gid=884617569"",""S4 Totals!$A$2:$O$255""),11,FALSE)"),0.2702702702702703)</f>
        <v>0.2702702703</v>
      </c>
      <c r="O96" s="110"/>
      <c r="P96" s="16">
        <f>IFERROR(__xludf.DUMMYFUNCTION("VLOOKUP(A96,IMPORTRANGE(""1QZ5UxyNCwadreQAXnQ7oCoH982DjIA-QnZdO7ZoqkC0/edit#gid=884617569"",""S4 Totals!$A$2:$O$255""),13,FALSE)"),17.0)</f>
        <v>17</v>
      </c>
      <c r="Q96" s="15">
        <f>IFERROR(__xludf.DUMMYFUNCTION("VLOOKUP(A96,IMPORTRANGE(""1QZ5UxyNCwadreQAXnQ7oCoH982DjIA-QnZdO7ZoqkC0/edit#gid=884617569"",""S4 Totals!$A$2:$O$255""),14,FALSE)"),0.22666666666666666)</f>
        <v>0.2266666667</v>
      </c>
      <c r="R96" s="110"/>
    </row>
    <row r="97">
      <c r="A97" s="128" t="s">
        <v>266</v>
      </c>
      <c r="B97" s="16">
        <f>IFERROR(__xludf.DUMMYFUNCTION("VLOOKUP(A97,IMPORTRANGE(""1aFCnJY1qhIj8-JckJhDJ18aqmVo17tofpQmOjcYa3u8/edit#gid=1878241338"",""S4 Totals!$A$2:$O$255""),2,FALSE)"),24.0)</f>
        <v>24</v>
      </c>
      <c r="C97" s="15">
        <f>IFERROR(__xludf.DUMMYFUNCTION("VLOOKUP(A97,IMPORTRANGE(""1aFCnJY1qhIj8-JckJhDJ18aqmVo17tofpQmOjcYa3u8/edit#gid=1878241338"",""S4 Totals!$A$2:$O$255""),3,FALSE)"),0.48)</f>
        <v>0.48</v>
      </c>
      <c r="D97" s="16" t="str">
        <f>IFERROR(__xludf.DUMMYFUNCTION("VLOOKUP(A97,IMPORTRANGE(""1QZ5UxyNCwadreQAXnQ7oCoH982DjIA-QnZdO7ZoqkC0/edit#gid=884617569"",""S4 Totals!$A$2:$O$255""),2,FALSE)"),"#N/A")</f>
        <v>#N/A</v>
      </c>
      <c r="E97" s="15" t="str">
        <f>IFERROR(__xludf.DUMMYFUNCTION("VLOOKUP(A97,IMPORTRANGE(""1QZ5UxyNCwadreQAXnQ7oCoH982DjIA-QnZdO7ZoqkC0/edit#gid=884617569"",""S4 Totals!$A$2:$O$255""),3,FALSE)"),"#N/A")</f>
        <v>#N/A</v>
      </c>
      <c r="F97" s="146" t="str">
        <f t="shared" si="1"/>
        <v>#N/A</v>
      </c>
      <c r="G97" s="16" t="str">
        <f>IFERROR(__xludf.DUMMYFUNCTION("VLOOKUP(A97,IMPORTRANGE(""1QZ5UxyNCwadreQAXnQ7oCoH982DjIA-QnZdO7ZoqkC0/edit#gid=884617569"",""S4 Totals!$A$2:$O$255""),4,FALSE)"),"#N/A")</f>
        <v>#N/A</v>
      </c>
      <c r="H97" s="15" t="str">
        <f>IFERROR(__xludf.DUMMYFUNCTION("VLOOKUP(A97,IMPORTRANGE(""1QZ5UxyNCwadreQAXnQ7oCoH982DjIA-QnZdO7ZoqkC0/edit#gid=884617569"",""S4 Totals!$A$2:$O$255""),5,FALSE)"),"#N/A")</f>
        <v>#N/A</v>
      </c>
      <c r="I97" s="143"/>
      <c r="J97" s="16" t="str">
        <f>IFERROR(__xludf.DUMMYFUNCTION("VLOOKUP(A97,IMPORTRANGE(""1QZ5UxyNCwadreQAXnQ7oCoH982DjIA-QnZdO7ZoqkC0/edit#gid=884617569"",""S4 Totals!$A$2:$O$255""),7,FALSE)"),"#N/A")</f>
        <v>#N/A</v>
      </c>
      <c r="K97" s="15" t="str">
        <f>IFERROR(__xludf.DUMMYFUNCTION("VLOOKUP(A97,IMPORTRANGE(""1QZ5UxyNCwadreQAXnQ7oCoH982DjIA-QnZdO7ZoqkC0/edit#gid=884617569"",""S4 Totals!$A$2:$O$255""),8,FALSE)"),"#N/A")</f>
        <v>#N/A</v>
      </c>
      <c r="L97" s="147"/>
      <c r="M97" s="16" t="str">
        <f>IFERROR(__xludf.DUMMYFUNCTION("VLOOKUP(A97,IMPORTRANGE(""1QZ5UxyNCwadreQAXnQ7oCoH982DjIA-QnZdO7ZoqkC0/edit#gid=884617569"",""S4 Totals!$A$2:$O$255""),10,FALSE)"),"#N/A")</f>
        <v>#N/A</v>
      </c>
      <c r="N97" s="15" t="str">
        <f>IFERROR(__xludf.DUMMYFUNCTION("VLOOKUP(A97,IMPORTRANGE(""1QZ5UxyNCwadreQAXnQ7oCoH982DjIA-QnZdO7ZoqkC0/edit#gid=884617569"",""S4 Totals!$A$2:$O$255""),11,FALSE)"),"#N/A")</f>
        <v>#N/A</v>
      </c>
      <c r="O97" s="110"/>
      <c r="P97" s="16" t="str">
        <f>IFERROR(__xludf.DUMMYFUNCTION("VLOOKUP(A97,IMPORTRANGE(""1QZ5UxyNCwadreQAXnQ7oCoH982DjIA-QnZdO7ZoqkC0/edit#gid=884617569"",""S4 Totals!$A$2:$O$255""),13,FALSE)"),"#N/A")</f>
        <v>#N/A</v>
      </c>
      <c r="Q97" s="15" t="str">
        <f>IFERROR(__xludf.DUMMYFUNCTION("VLOOKUP(A97,IMPORTRANGE(""1QZ5UxyNCwadreQAXnQ7oCoH982DjIA-QnZdO7ZoqkC0/edit#gid=884617569"",""S4 Totals!$A$2:$O$255""),14,FALSE)"),"#N/A")</f>
        <v>#N/A</v>
      </c>
      <c r="R97" s="110"/>
    </row>
    <row r="98">
      <c r="A98" s="128" t="s">
        <v>52</v>
      </c>
      <c r="B98" s="16">
        <f>IFERROR(__xludf.DUMMYFUNCTION("VLOOKUP(A98,IMPORTRANGE(""1aFCnJY1qhIj8-JckJhDJ18aqmVo17tofpQmOjcYa3u8/edit#gid=1878241338"",""S4 Totals!$A$2:$O$255""),2,FALSE)"),23.0)</f>
        <v>23</v>
      </c>
      <c r="C98" s="15">
        <f>IFERROR(__xludf.DUMMYFUNCTION("VLOOKUP(A98,IMPORTRANGE(""1aFCnJY1qhIj8-JckJhDJ18aqmVo17tofpQmOjcYa3u8/edit#gid=1878241338"",""S4 Totals!$A$2:$O$255""),3,FALSE)"),0.46)</f>
        <v>0.46</v>
      </c>
      <c r="D98" s="16">
        <f>IFERROR(__xludf.DUMMYFUNCTION("VLOOKUP(A98,IMPORTRANGE(""1QZ5UxyNCwadreQAXnQ7oCoH982DjIA-QnZdO7ZoqkC0/edit#gid=884617569"",""S4 Totals!$A$2:$O$255""),2,FALSE)"),21.0)</f>
        <v>21</v>
      </c>
      <c r="E98" s="15">
        <f>IFERROR(__xludf.DUMMYFUNCTION("VLOOKUP(A98,IMPORTRANGE(""1QZ5UxyNCwadreQAXnQ7oCoH982DjIA-QnZdO7ZoqkC0/edit#gid=884617569"",""S4 Totals!$A$2:$O$255""),3,FALSE)"),0.44680851063829785)</f>
        <v>0.4468085106</v>
      </c>
      <c r="F98" s="146">
        <f t="shared" si="1"/>
        <v>0.01319148936</v>
      </c>
      <c r="G98" s="16">
        <f>IFERROR(__xludf.DUMMYFUNCTION("VLOOKUP(A98,IMPORTRANGE(""1QZ5UxyNCwadreQAXnQ7oCoH982DjIA-QnZdO7ZoqkC0/edit#gid=884617569"",""S4 Totals!$A$2:$O$255""),4,FALSE)"),27.0)</f>
        <v>27</v>
      </c>
      <c r="H98" s="15">
        <f>IFERROR(__xludf.DUMMYFUNCTION("VLOOKUP(A98,IMPORTRANGE(""1QZ5UxyNCwadreQAXnQ7oCoH982DjIA-QnZdO7ZoqkC0/edit#gid=884617569"",""S4 Totals!$A$2:$O$255""),5,FALSE)"),0.42857142857142855)</f>
        <v>0.4285714286</v>
      </c>
      <c r="I98" s="143"/>
      <c r="J98" s="16">
        <f>IFERROR(__xludf.DUMMYFUNCTION("VLOOKUP(A98,IMPORTRANGE(""1QZ5UxyNCwadreQAXnQ7oCoH982DjIA-QnZdO7ZoqkC0/edit#gid=884617569"",""S4 Totals!$A$2:$O$255""),7,FALSE)"),20.0)</f>
        <v>20</v>
      </c>
      <c r="K98" s="15">
        <f>IFERROR(__xludf.DUMMYFUNCTION("VLOOKUP(A98,IMPORTRANGE(""1QZ5UxyNCwadreQAXnQ7oCoH982DjIA-QnZdO7ZoqkC0/edit#gid=884617569"",""S4 Totals!$A$2:$O$255""),8,FALSE)"),0.2857142857142857)</f>
        <v>0.2857142857</v>
      </c>
      <c r="L98" s="147"/>
      <c r="M98" s="16">
        <f>IFERROR(__xludf.DUMMYFUNCTION("VLOOKUP(A98,IMPORTRANGE(""1QZ5UxyNCwadreQAXnQ7oCoH982DjIA-QnZdO7ZoqkC0/edit#gid=884617569"",""S4 Totals!$A$2:$O$255""),10,FALSE)"),23.0)</f>
        <v>23</v>
      </c>
      <c r="N98" s="15">
        <f>IFERROR(__xludf.DUMMYFUNCTION("VLOOKUP(A98,IMPORTRANGE(""1QZ5UxyNCwadreQAXnQ7oCoH982DjIA-QnZdO7ZoqkC0/edit#gid=884617569"",""S4 Totals!$A$2:$O$255""),11,FALSE)"),0.3108108108108108)</f>
        <v>0.3108108108</v>
      </c>
      <c r="O98" s="110"/>
      <c r="P98" s="16">
        <f>IFERROR(__xludf.DUMMYFUNCTION("VLOOKUP(A98,IMPORTRANGE(""1QZ5UxyNCwadreQAXnQ7oCoH982DjIA-QnZdO7ZoqkC0/edit#gid=884617569"",""S4 Totals!$A$2:$O$255""),13,FALSE)"),17.0)</f>
        <v>17</v>
      </c>
      <c r="Q98" s="15">
        <f>IFERROR(__xludf.DUMMYFUNCTION("VLOOKUP(A98,IMPORTRANGE(""1QZ5UxyNCwadreQAXnQ7oCoH982DjIA-QnZdO7ZoqkC0/edit#gid=884617569"",""S4 Totals!$A$2:$O$255""),14,FALSE)"),0.22666666666666666)</f>
        <v>0.2266666667</v>
      </c>
      <c r="R98" s="110"/>
    </row>
    <row r="99">
      <c r="A99" s="128" t="s">
        <v>53</v>
      </c>
      <c r="B99" s="16">
        <f>IFERROR(__xludf.DUMMYFUNCTION("VLOOKUP(A99,IMPORTRANGE(""1aFCnJY1qhIj8-JckJhDJ18aqmVo17tofpQmOjcYa3u8/edit#gid=1878241338"",""S4 Totals!$A$2:$O$255""),2,FALSE)"),11.0)</f>
        <v>11</v>
      </c>
      <c r="C99" s="15">
        <f>IFERROR(__xludf.DUMMYFUNCTION("VLOOKUP(A99,IMPORTRANGE(""1aFCnJY1qhIj8-JckJhDJ18aqmVo17tofpQmOjcYa3u8/edit#gid=1878241338"",""S4 Totals!$A$2:$O$255""),3,FALSE)"),0.22)</f>
        <v>0.22</v>
      </c>
      <c r="D99" s="16">
        <f>IFERROR(__xludf.DUMMYFUNCTION("VLOOKUP(A99,IMPORTRANGE(""1QZ5UxyNCwadreQAXnQ7oCoH982DjIA-QnZdO7ZoqkC0/edit#gid=884617569"",""S4 Totals!$A$2:$O$255""),2,FALSE)"),3.0)</f>
        <v>3</v>
      </c>
      <c r="E99" s="15">
        <f>IFERROR(__xludf.DUMMYFUNCTION("VLOOKUP(A99,IMPORTRANGE(""1QZ5UxyNCwadreQAXnQ7oCoH982DjIA-QnZdO7ZoqkC0/edit#gid=884617569"",""S4 Totals!$A$2:$O$255""),3,FALSE)"),0.06382978723404255)</f>
        <v>0.06382978723</v>
      </c>
      <c r="F99" s="146">
        <f t="shared" si="1"/>
        <v>0.1561702128</v>
      </c>
      <c r="G99" s="16">
        <f>IFERROR(__xludf.DUMMYFUNCTION("VLOOKUP(A99,IMPORTRANGE(""1QZ5UxyNCwadreQAXnQ7oCoH982DjIA-QnZdO7ZoqkC0/edit#gid=884617569"",""S4 Totals!$A$2:$O$255""),4,FALSE)"),9.0)</f>
        <v>9</v>
      </c>
      <c r="H99" s="15">
        <f>IFERROR(__xludf.DUMMYFUNCTION("VLOOKUP(A99,IMPORTRANGE(""1QZ5UxyNCwadreQAXnQ7oCoH982DjIA-QnZdO7ZoqkC0/edit#gid=884617569"",""S4 Totals!$A$2:$O$255""),5,FALSE)"),0.14285714285714285)</f>
        <v>0.1428571429</v>
      </c>
      <c r="I99" s="143"/>
      <c r="J99" s="16">
        <f>IFERROR(__xludf.DUMMYFUNCTION("VLOOKUP(A99,IMPORTRANGE(""1QZ5UxyNCwadreQAXnQ7oCoH982DjIA-QnZdO7ZoqkC0/edit#gid=884617569"",""S4 Totals!$A$2:$O$255""),7,FALSE)"),6.0)</f>
        <v>6</v>
      </c>
      <c r="K99" s="15">
        <f>IFERROR(__xludf.DUMMYFUNCTION("VLOOKUP(A99,IMPORTRANGE(""1QZ5UxyNCwadreQAXnQ7oCoH982DjIA-QnZdO7ZoqkC0/edit#gid=884617569"",""S4 Totals!$A$2:$O$255""),8,FALSE)"),0.08571428571428572)</f>
        <v>0.08571428571</v>
      </c>
      <c r="L99" s="147"/>
      <c r="M99" s="16">
        <f>IFERROR(__xludf.DUMMYFUNCTION("VLOOKUP(A99,IMPORTRANGE(""1QZ5UxyNCwadreQAXnQ7oCoH982DjIA-QnZdO7ZoqkC0/edit#gid=884617569"",""S4 Totals!$A$2:$O$255""),10,FALSE)"),12.0)</f>
        <v>12</v>
      </c>
      <c r="N99" s="15">
        <f>IFERROR(__xludf.DUMMYFUNCTION("VLOOKUP(A99,IMPORTRANGE(""1QZ5UxyNCwadreQAXnQ7oCoH982DjIA-QnZdO7ZoqkC0/edit#gid=884617569"",""S4 Totals!$A$2:$O$255""),11,FALSE)"),0.16216216216216217)</f>
        <v>0.1621621622</v>
      </c>
      <c r="O99" s="110"/>
      <c r="P99" s="16">
        <f>IFERROR(__xludf.DUMMYFUNCTION("VLOOKUP(A99,IMPORTRANGE(""1QZ5UxyNCwadreQAXnQ7oCoH982DjIA-QnZdO7ZoqkC0/edit#gid=884617569"",""S4 Totals!$A$2:$O$255""),13,FALSE)"),11.0)</f>
        <v>11</v>
      </c>
      <c r="Q99" s="15">
        <f>IFERROR(__xludf.DUMMYFUNCTION("VLOOKUP(A99,IMPORTRANGE(""1QZ5UxyNCwadreQAXnQ7oCoH982DjIA-QnZdO7ZoqkC0/edit#gid=884617569"",""S4 Totals!$A$2:$O$255""),14,FALSE)"),0.14666666666666667)</f>
        <v>0.1466666667</v>
      </c>
      <c r="R99" s="110"/>
    </row>
    <row r="100">
      <c r="A100" s="128" t="s">
        <v>54</v>
      </c>
      <c r="B100" s="16">
        <f>IFERROR(__xludf.DUMMYFUNCTION("VLOOKUP(A100,IMPORTRANGE(""1aFCnJY1qhIj8-JckJhDJ18aqmVo17tofpQmOjcYa3u8/edit#gid=1878241338"",""S4 Totals!$A$2:$O$255""),2,FALSE)"),16.0)</f>
        <v>16</v>
      </c>
      <c r="C100" s="15">
        <f>IFERROR(__xludf.DUMMYFUNCTION("VLOOKUP(A100,IMPORTRANGE(""1aFCnJY1qhIj8-JckJhDJ18aqmVo17tofpQmOjcYa3u8/edit#gid=1878241338"",""S4 Totals!$A$2:$O$255""),3,FALSE)"),0.32)</f>
        <v>0.32</v>
      </c>
      <c r="D100" s="16">
        <f>IFERROR(__xludf.DUMMYFUNCTION("VLOOKUP(A100,IMPORTRANGE(""1QZ5UxyNCwadreQAXnQ7oCoH982DjIA-QnZdO7ZoqkC0/edit#gid=884617569"",""S4 Totals!$A$2:$O$255""),2,FALSE)"),24.0)</f>
        <v>24</v>
      </c>
      <c r="E100" s="15">
        <f>IFERROR(__xludf.DUMMYFUNCTION("VLOOKUP(A100,IMPORTRANGE(""1QZ5UxyNCwadreQAXnQ7oCoH982DjIA-QnZdO7ZoqkC0/edit#gid=884617569"",""S4 Totals!$A$2:$O$255""),3,FALSE)"),0.5106382978723404)</f>
        <v>0.5106382979</v>
      </c>
      <c r="F100" s="146">
        <f t="shared" si="1"/>
        <v>-0.1906382979</v>
      </c>
      <c r="G100" s="16">
        <f>IFERROR(__xludf.DUMMYFUNCTION("VLOOKUP(A100,IMPORTRANGE(""1QZ5UxyNCwadreQAXnQ7oCoH982DjIA-QnZdO7ZoqkC0/edit#gid=884617569"",""S4 Totals!$A$2:$O$255""),4,FALSE)"),35.0)</f>
        <v>35</v>
      </c>
      <c r="H100" s="15">
        <f>IFERROR(__xludf.DUMMYFUNCTION("VLOOKUP(A100,IMPORTRANGE(""1QZ5UxyNCwadreQAXnQ7oCoH982DjIA-QnZdO7ZoqkC0/edit#gid=884617569"",""S4 Totals!$A$2:$O$255""),5,FALSE)"),0.5555555555555556)</f>
        <v>0.5555555556</v>
      </c>
      <c r="I100" s="143"/>
      <c r="J100" s="16">
        <f>IFERROR(__xludf.DUMMYFUNCTION("VLOOKUP(A100,IMPORTRANGE(""1QZ5UxyNCwadreQAXnQ7oCoH982DjIA-QnZdO7ZoqkC0/edit#gid=884617569"",""S4 Totals!$A$2:$O$255""),7,FALSE)"),35.0)</f>
        <v>35</v>
      </c>
      <c r="K100" s="15">
        <f>IFERROR(__xludf.DUMMYFUNCTION("VLOOKUP(A100,IMPORTRANGE(""1QZ5UxyNCwadreQAXnQ7oCoH982DjIA-QnZdO7ZoqkC0/edit#gid=884617569"",""S4 Totals!$A$2:$O$255""),8,FALSE)"),0.5)</f>
        <v>0.5</v>
      </c>
      <c r="L100" s="147"/>
      <c r="M100" s="16">
        <f>IFERROR(__xludf.DUMMYFUNCTION("VLOOKUP(A100,IMPORTRANGE(""1QZ5UxyNCwadreQAXnQ7oCoH982DjIA-QnZdO7ZoqkC0/edit#gid=884617569"",""S4 Totals!$A$2:$O$255""),10,FALSE)"),28.0)</f>
        <v>28</v>
      </c>
      <c r="N100" s="15">
        <f>IFERROR(__xludf.DUMMYFUNCTION("VLOOKUP(A100,IMPORTRANGE(""1QZ5UxyNCwadreQAXnQ7oCoH982DjIA-QnZdO7ZoqkC0/edit#gid=884617569"",""S4 Totals!$A$2:$O$255""),11,FALSE)"),0.3783783783783784)</f>
        <v>0.3783783784</v>
      </c>
      <c r="O100" s="110"/>
      <c r="P100" s="16">
        <f>IFERROR(__xludf.DUMMYFUNCTION("VLOOKUP(A100,IMPORTRANGE(""1QZ5UxyNCwadreQAXnQ7oCoH982DjIA-QnZdO7ZoqkC0/edit#gid=884617569"",""S4 Totals!$A$2:$O$255""),13,FALSE)"),28.0)</f>
        <v>28</v>
      </c>
      <c r="Q100" s="15">
        <f>IFERROR(__xludf.DUMMYFUNCTION("VLOOKUP(A100,IMPORTRANGE(""1QZ5UxyNCwadreQAXnQ7oCoH982DjIA-QnZdO7ZoqkC0/edit#gid=884617569"",""S4 Totals!$A$2:$O$255""),14,FALSE)"),0.37333333333333335)</f>
        <v>0.3733333333</v>
      </c>
      <c r="R100" s="110"/>
    </row>
    <row r="101">
      <c r="A101" s="128" t="s">
        <v>55</v>
      </c>
      <c r="B101" s="16">
        <f>IFERROR(__xludf.DUMMYFUNCTION("VLOOKUP(A101,IMPORTRANGE(""1aFCnJY1qhIj8-JckJhDJ18aqmVo17tofpQmOjcYa3u8/edit#gid=1878241338"",""S4 Totals!$A$2:$O$255""),2,FALSE)"),10.0)</f>
        <v>10</v>
      </c>
      <c r="C101" s="15">
        <f>IFERROR(__xludf.DUMMYFUNCTION("VLOOKUP(A101,IMPORTRANGE(""1aFCnJY1qhIj8-JckJhDJ18aqmVo17tofpQmOjcYa3u8/edit#gid=1878241338"",""S4 Totals!$A$2:$O$255""),3,FALSE)"),0.2)</f>
        <v>0.2</v>
      </c>
      <c r="D101" s="16">
        <f>IFERROR(__xludf.DUMMYFUNCTION("VLOOKUP(A101,IMPORTRANGE(""1QZ5UxyNCwadreQAXnQ7oCoH982DjIA-QnZdO7ZoqkC0/edit#gid=884617569"",""S4 Totals!$A$2:$O$255""),2,FALSE)"),11.0)</f>
        <v>11</v>
      </c>
      <c r="E101" s="15">
        <f>IFERROR(__xludf.DUMMYFUNCTION("VLOOKUP(A101,IMPORTRANGE(""1QZ5UxyNCwadreQAXnQ7oCoH982DjIA-QnZdO7ZoqkC0/edit#gid=884617569"",""S4 Totals!$A$2:$O$255""),3,FALSE)"),0.23404255319148937)</f>
        <v>0.2340425532</v>
      </c>
      <c r="F101" s="146">
        <f t="shared" si="1"/>
        <v>-0.03404255319</v>
      </c>
      <c r="G101" s="16">
        <f>IFERROR(__xludf.DUMMYFUNCTION("VLOOKUP(A101,IMPORTRANGE(""1QZ5UxyNCwadreQAXnQ7oCoH982DjIA-QnZdO7ZoqkC0/edit#gid=884617569"",""S4 Totals!$A$2:$O$255""),4,FALSE)"),16.0)</f>
        <v>16</v>
      </c>
      <c r="H101" s="15">
        <f>IFERROR(__xludf.DUMMYFUNCTION("VLOOKUP(A101,IMPORTRANGE(""1QZ5UxyNCwadreQAXnQ7oCoH982DjIA-QnZdO7ZoqkC0/edit#gid=884617569"",""S4 Totals!$A$2:$O$255""),5,FALSE)"),0.25396825396825395)</f>
        <v>0.253968254</v>
      </c>
      <c r="I101" s="143"/>
      <c r="J101" s="16">
        <f>IFERROR(__xludf.DUMMYFUNCTION("VLOOKUP(A101,IMPORTRANGE(""1QZ5UxyNCwadreQAXnQ7oCoH982DjIA-QnZdO7ZoqkC0/edit#gid=884617569"",""S4 Totals!$A$2:$O$255""),7,FALSE)"),8.0)</f>
        <v>8</v>
      </c>
      <c r="K101" s="15">
        <f>IFERROR(__xludf.DUMMYFUNCTION("VLOOKUP(A101,IMPORTRANGE(""1QZ5UxyNCwadreQAXnQ7oCoH982DjIA-QnZdO7ZoqkC0/edit#gid=884617569"",""S4 Totals!$A$2:$O$255""),8,FALSE)"),0.11428571428571428)</f>
        <v>0.1142857143</v>
      </c>
      <c r="L101" s="147"/>
      <c r="M101" s="16">
        <f>IFERROR(__xludf.DUMMYFUNCTION("VLOOKUP(A101,IMPORTRANGE(""1QZ5UxyNCwadreQAXnQ7oCoH982DjIA-QnZdO7ZoqkC0/edit#gid=884617569"",""S4 Totals!$A$2:$O$255""),10,FALSE)"),18.0)</f>
        <v>18</v>
      </c>
      <c r="N101" s="15">
        <f>IFERROR(__xludf.DUMMYFUNCTION("VLOOKUP(A101,IMPORTRANGE(""1QZ5UxyNCwadreQAXnQ7oCoH982DjIA-QnZdO7ZoqkC0/edit#gid=884617569"",""S4 Totals!$A$2:$O$255""),11,FALSE)"),0.24324324324324326)</f>
        <v>0.2432432432</v>
      </c>
      <c r="O101" s="110"/>
      <c r="P101" s="16">
        <f>IFERROR(__xludf.DUMMYFUNCTION("VLOOKUP(A101,IMPORTRANGE(""1QZ5UxyNCwadreQAXnQ7oCoH982DjIA-QnZdO7ZoqkC0/edit#gid=884617569"",""S4 Totals!$A$2:$O$255""),13,FALSE)"),12.0)</f>
        <v>12</v>
      </c>
      <c r="Q101" s="15">
        <f>IFERROR(__xludf.DUMMYFUNCTION("VLOOKUP(A101,IMPORTRANGE(""1QZ5UxyNCwadreQAXnQ7oCoH982DjIA-QnZdO7ZoqkC0/edit#gid=884617569"",""S4 Totals!$A$2:$O$255""),14,FALSE)"),0.16)</f>
        <v>0.16</v>
      </c>
      <c r="R101" s="110"/>
    </row>
    <row r="102">
      <c r="A102" s="128" t="s">
        <v>50</v>
      </c>
      <c r="B102" s="16">
        <f>IFERROR(__xludf.DUMMYFUNCTION("VLOOKUP(A102,IMPORTRANGE(""1aFCnJY1qhIj8-JckJhDJ18aqmVo17tofpQmOjcYa3u8/edit#gid=1878241338"",""S4 Totals!$A$2:$O$255""),2,FALSE)"),0.0)</f>
        <v>0</v>
      </c>
      <c r="C102" s="15">
        <f>IFERROR(__xludf.DUMMYFUNCTION("VLOOKUP(A102,IMPORTRANGE(""1aFCnJY1qhIj8-JckJhDJ18aqmVo17tofpQmOjcYa3u8/edit#gid=1878241338"",""S4 Totals!$A$2:$O$255""),3,FALSE)"),0.0)</f>
        <v>0</v>
      </c>
      <c r="D102" s="16">
        <f>IFERROR(__xludf.DUMMYFUNCTION("VLOOKUP(A102,IMPORTRANGE(""1QZ5UxyNCwadreQAXnQ7oCoH982DjIA-QnZdO7ZoqkC0/edit#gid=884617569"",""S4 Totals!$A$2:$O$255""),2,FALSE)"),0.0)</f>
        <v>0</v>
      </c>
      <c r="E102" s="15">
        <f>IFERROR(__xludf.DUMMYFUNCTION("VLOOKUP(A102,IMPORTRANGE(""1QZ5UxyNCwadreQAXnQ7oCoH982DjIA-QnZdO7ZoqkC0/edit#gid=884617569"",""S4 Totals!$A$2:$O$255""),3,FALSE)"),0.0)</f>
        <v>0</v>
      </c>
      <c r="F102" s="146">
        <f t="shared" si="1"/>
        <v>0</v>
      </c>
      <c r="G102" s="16">
        <f>IFERROR(__xludf.DUMMYFUNCTION("VLOOKUP(A102,IMPORTRANGE(""1QZ5UxyNCwadreQAXnQ7oCoH982DjIA-QnZdO7ZoqkC0/edit#gid=884617569"",""S4 Totals!$A$2:$O$255""),4,FALSE)"),0.0)</f>
        <v>0</v>
      </c>
      <c r="H102" s="15">
        <f>IFERROR(__xludf.DUMMYFUNCTION("VLOOKUP(A102,IMPORTRANGE(""1QZ5UxyNCwadreQAXnQ7oCoH982DjIA-QnZdO7ZoqkC0/edit#gid=884617569"",""S4 Totals!$A$2:$O$255""),5,FALSE)"),0.0)</f>
        <v>0</v>
      </c>
      <c r="I102" s="143"/>
      <c r="J102" s="16">
        <f>IFERROR(__xludf.DUMMYFUNCTION("VLOOKUP(A102,IMPORTRANGE(""1QZ5UxyNCwadreQAXnQ7oCoH982DjIA-QnZdO7ZoqkC0/edit#gid=884617569"",""S4 Totals!$A$2:$O$255""),7,FALSE)"),0.0)</f>
        <v>0</v>
      </c>
      <c r="K102" s="15">
        <f>IFERROR(__xludf.DUMMYFUNCTION("VLOOKUP(A102,IMPORTRANGE(""1QZ5UxyNCwadreQAXnQ7oCoH982DjIA-QnZdO7ZoqkC0/edit#gid=884617569"",""S4 Totals!$A$2:$O$255""),8,FALSE)"),0.0)</f>
        <v>0</v>
      </c>
      <c r="L102" s="147"/>
      <c r="M102" s="16">
        <f>IFERROR(__xludf.DUMMYFUNCTION("VLOOKUP(A102,IMPORTRANGE(""1QZ5UxyNCwadreQAXnQ7oCoH982DjIA-QnZdO7ZoqkC0/edit#gid=884617569"",""S4 Totals!$A$2:$O$255""),10,FALSE)"),0.0)</f>
        <v>0</v>
      </c>
      <c r="N102" s="15">
        <f>IFERROR(__xludf.DUMMYFUNCTION("VLOOKUP(A102,IMPORTRANGE(""1QZ5UxyNCwadreQAXnQ7oCoH982DjIA-QnZdO7ZoqkC0/edit#gid=884617569"",""S4 Totals!$A$2:$O$255""),11,FALSE)"),0.0)</f>
        <v>0</v>
      </c>
      <c r="O102" s="110"/>
      <c r="P102" s="16">
        <f>IFERROR(__xludf.DUMMYFUNCTION("VLOOKUP(A102,IMPORTRANGE(""1QZ5UxyNCwadreQAXnQ7oCoH982DjIA-QnZdO7ZoqkC0/edit#gid=884617569"",""S4 Totals!$A$2:$O$255""),13,FALSE)"),0.0)</f>
        <v>0</v>
      </c>
      <c r="Q102" s="15">
        <f>IFERROR(__xludf.DUMMYFUNCTION("VLOOKUP(A102,IMPORTRANGE(""1QZ5UxyNCwadreQAXnQ7oCoH982DjIA-QnZdO7ZoqkC0/edit#gid=884617569"",""S4 Totals!$A$2:$O$255""),14,FALSE)"),0.0)</f>
        <v>0</v>
      </c>
      <c r="R102" s="110"/>
    </row>
    <row r="103">
      <c r="A103" s="128" t="s">
        <v>233</v>
      </c>
      <c r="B103" s="16">
        <f>IFERROR(__xludf.DUMMYFUNCTION("VLOOKUP(A103,IMPORTRANGE(""1aFCnJY1qhIj8-JckJhDJ18aqmVo17tofpQmOjcYa3u8/edit#gid=1878241338"",""S4 Totals!$A$2:$O$255""),2,FALSE)"),10.0)</f>
        <v>10</v>
      </c>
      <c r="C103" s="15">
        <f>IFERROR(__xludf.DUMMYFUNCTION("VLOOKUP(A103,IMPORTRANGE(""1aFCnJY1qhIj8-JckJhDJ18aqmVo17tofpQmOjcYa3u8/edit#gid=1878241338"",""S4 Totals!$A$2:$O$255""),3,FALSE)"),0.2)</f>
        <v>0.2</v>
      </c>
      <c r="D103" s="16">
        <f>IFERROR(__xludf.DUMMYFUNCTION("VLOOKUP(A103,IMPORTRANGE(""1QZ5UxyNCwadreQAXnQ7oCoH982DjIA-QnZdO7ZoqkC0/edit#gid=884617569"",""S4 Totals!$A$2:$O$255""),2,FALSE)"),10.0)</f>
        <v>10</v>
      </c>
      <c r="E103" s="15">
        <f>IFERROR(__xludf.DUMMYFUNCTION("VLOOKUP(A103,IMPORTRANGE(""1QZ5UxyNCwadreQAXnQ7oCoH982DjIA-QnZdO7ZoqkC0/edit#gid=884617569"",""S4 Totals!$A$2:$O$255""),3,FALSE)"),0.2127659574468085)</f>
        <v>0.2127659574</v>
      </c>
      <c r="F103" s="146">
        <f t="shared" si="1"/>
        <v>-0.01276595745</v>
      </c>
      <c r="G103" s="16">
        <f>IFERROR(__xludf.DUMMYFUNCTION("VLOOKUP(A103,IMPORTRANGE(""1QZ5UxyNCwadreQAXnQ7oCoH982DjIA-QnZdO7ZoqkC0/edit#gid=884617569"",""S4 Totals!$A$2:$O$255""),4,FALSE)"),16.0)</f>
        <v>16</v>
      </c>
      <c r="H103" s="15">
        <f>IFERROR(__xludf.DUMMYFUNCTION("VLOOKUP(A103,IMPORTRANGE(""1QZ5UxyNCwadreQAXnQ7oCoH982DjIA-QnZdO7ZoqkC0/edit#gid=884617569"",""S4 Totals!$A$2:$O$255""),5,FALSE)"),0.25396825396825395)</f>
        <v>0.253968254</v>
      </c>
      <c r="I103" s="143"/>
      <c r="J103" s="16" t="str">
        <f>IFERROR(__xludf.DUMMYFUNCTION("VLOOKUP(A103,IMPORTRANGE(""1QZ5UxyNCwadreQAXnQ7oCoH982DjIA-QnZdO7ZoqkC0/edit#gid=884617569"",""S4 Totals!$A$2:$O$255""),7,FALSE)"),"")</f>
        <v/>
      </c>
      <c r="K103" s="15" t="str">
        <f>IFERROR(__xludf.DUMMYFUNCTION("VLOOKUP(A103,IMPORTRANGE(""1QZ5UxyNCwadreQAXnQ7oCoH982DjIA-QnZdO7ZoqkC0/edit#gid=884617569"",""S4 Totals!$A$2:$O$255""),8,FALSE)"),"")</f>
        <v/>
      </c>
      <c r="L103" s="147"/>
      <c r="M103" s="16" t="str">
        <f>IFERROR(__xludf.DUMMYFUNCTION("VLOOKUP(A103,IMPORTRANGE(""1QZ5UxyNCwadreQAXnQ7oCoH982DjIA-QnZdO7ZoqkC0/edit#gid=884617569"",""S4 Totals!$A$2:$O$255""),10,FALSE)"),"")</f>
        <v/>
      </c>
      <c r="N103" s="15" t="str">
        <f>IFERROR(__xludf.DUMMYFUNCTION("VLOOKUP(A103,IMPORTRANGE(""1QZ5UxyNCwadreQAXnQ7oCoH982DjIA-QnZdO7ZoqkC0/edit#gid=884617569"",""S4 Totals!$A$2:$O$255""),11,FALSE)"),"")</f>
        <v/>
      </c>
      <c r="O103" s="110"/>
      <c r="P103" s="16" t="str">
        <f>IFERROR(__xludf.DUMMYFUNCTION("VLOOKUP(A103,IMPORTRANGE(""1QZ5UxyNCwadreQAXnQ7oCoH982DjIA-QnZdO7ZoqkC0/edit#gid=884617569"",""S4 Totals!$A$2:$O$255""),13,FALSE)"),"")</f>
        <v/>
      </c>
      <c r="Q103" s="15" t="str">
        <f>IFERROR(__xludf.DUMMYFUNCTION("VLOOKUP(A103,IMPORTRANGE(""1QZ5UxyNCwadreQAXnQ7oCoH982DjIA-QnZdO7ZoqkC0/edit#gid=884617569"",""S4 Totals!$A$2:$O$255""),14,FALSE)"),"")</f>
        <v/>
      </c>
      <c r="R103" s="110"/>
    </row>
    <row r="104">
      <c r="A104" s="128" t="s">
        <v>234</v>
      </c>
      <c r="B104" s="16">
        <f>IFERROR(__xludf.DUMMYFUNCTION("VLOOKUP(A104,IMPORTRANGE(""1aFCnJY1qhIj8-JckJhDJ18aqmVo17tofpQmOjcYa3u8/edit#gid=1878241338"",""S4 Totals!$A$2:$O$255""),2,FALSE)"),5.0)</f>
        <v>5</v>
      </c>
      <c r="C104" s="15">
        <f>IFERROR(__xludf.DUMMYFUNCTION("VLOOKUP(A104,IMPORTRANGE(""1aFCnJY1qhIj8-JckJhDJ18aqmVo17tofpQmOjcYa3u8/edit#gid=1878241338"",""S4 Totals!$A$2:$O$255""),3,FALSE)"),0.1)</f>
        <v>0.1</v>
      </c>
      <c r="D104" s="16">
        <f>IFERROR(__xludf.DUMMYFUNCTION("VLOOKUP(A104,IMPORTRANGE(""1QZ5UxyNCwadreQAXnQ7oCoH982DjIA-QnZdO7ZoqkC0/edit#gid=884617569"",""S4 Totals!$A$2:$O$255""),2,FALSE)"),4.0)</f>
        <v>4</v>
      </c>
      <c r="E104" s="15">
        <f>IFERROR(__xludf.DUMMYFUNCTION("VLOOKUP(A104,IMPORTRANGE(""1QZ5UxyNCwadreQAXnQ7oCoH982DjIA-QnZdO7ZoqkC0/edit#gid=884617569"",""S4 Totals!$A$2:$O$255""),3,FALSE)"),0.0851063829787234)</f>
        <v>0.08510638298</v>
      </c>
      <c r="F104" s="146">
        <f t="shared" si="1"/>
        <v>0.01489361702</v>
      </c>
      <c r="G104" s="16">
        <f>IFERROR(__xludf.DUMMYFUNCTION("VLOOKUP(A104,IMPORTRANGE(""1QZ5UxyNCwadreQAXnQ7oCoH982DjIA-QnZdO7ZoqkC0/edit#gid=884617569"",""S4 Totals!$A$2:$O$255""),4,FALSE)"),15.0)</f>
        <v>15</v>
      </c>
      <c r="H104" s="15">
        <f>IFERROR(__xludf.DUMMYFUNCTION("VLOOKUP(A104,IMPORTRANGE(""1QZ5UxyNCwadreQAXnQ7oCoH982DjIA-QnZdO7ZoqkC0/edit#gid=884617569"",""S4 Totals!$A$2:$O$255""),5,FALSE)"),0.23809523809523808)</f>
        <v>0.2380952381</v>
      </c>
      <c r="I104" s="143"/>
      <c r="J104" s="16" t="str">
        <f>IFERROR(__xludf.DUMMYFUNCTION("VLOOKUP(A104,IMPORTRANGE(""1QZ5UxyNCwadreQAXnQ7oCoH982DjIA-QnZdO7ZoqkC0/edit#gid=884617569"",""S4 Totals!$A$2:$O$255""),7,FALSE)"),"")</f>
        <v/>
      </c>
      <c r="K104" s="15" t="str">
        <f>IFERROR(__xludf.DUMMYFUNCTION("VLOOKUP(A104,IMPORTRANGE(""1QZ5UxyNCwadreQAXnQ7oCoH982DjIA-QnZdO7ZoqkC0/edit#gid=884617569"",""S4 Totals!$A$2:$O$255""),8,FALSE)"),"")</f>
        <v/>
      </c>
      <c r="L104" s="147"/>
      <c r="M104" s="16" t="str">
        <f>IFERROR(__xludf.DUMMYFUNCTION("VLOOKUP(A104,IMPORTRANGE(""1QZ5UxyNCwadreQAXnQ7oCoH982DjIA-QnZdO7ZoqkC0/edit#gid=884617569"",""S4 Totals!$A$2:$O$255""),10,FALSE)"),"")</f>
        <v/>
      </c>
      <c r="N104" s="15" t="str">
        <f>IFERROR(__xludf.DUMMYFUNCTION("VLOOKUP(A104,IMPORTRANGE(""1QZ5UxyNCwadreQAXnQ7oCoH982DjIA-QnZdO7ZoqkC0/edit#gid=884617569"",""S4 Totals!$A$2:$O$255""),11,FALSE)"),"")</f>
        <v/>
      </c>
      <c r="O104" s="110"/>
      <c r="P104" s="16" t="str">
        <f>IFERROR(__xludf.DUMMYFUNCTION("VLOOKUP(A104,IMPORTRANGE(""1QZ5UxyNCwadreQAXnQ7oCoH982DjIA-QnZdO7ZoqkC0/edit#gid=884617569"",""S4 Totals!$A$2:$O$255""),13,FALSE)"),"")</f>
        <v/>
      </c>
      <c r="Q104" s="15" t="str">
        <f>IFERROR(__xludf.DUMMYFUNCTION("VLOOKUP(A104,IMPORTRANGE(""1QZ5UxyNCwadreQAXnQ7oCoH982DjIA-QnZdO7ZoqkC0/edit#gid=884617569"",""S4 Totals!$A$2:$O$255""),14,FALSE)"),"")</f>
        <v/>
      </c>
      <c r="R104" s="110"/>
    </row>
    <row r="105">
      <c r="A105" s="128" t="s">
        <v>98</v>
      </c>
      <c r="B105" s="16">
        <f>IFERROR(__xludf.DUMMYFUNCTION("VLOOKUP(A105,IMPORTRANGE(""1aFCnJY1qhIj8-JckJhDJ18aqmVo17tofpQmOjcYa3u8/edit#gid=1878241338"",""S4 Totals!$A$2:$O$255""),2,FALSE)"),12.0)</f>
        <v>12</v>
      </c>
      <c r="C105" s="15">
        <f>IFERROR(__xludf.DUMMYFUNCTION("VLOOKUP(A105,IMPORTRANGE(""1aFCnJY1qhIj8-JckJhDJ18aqmVo17tofpQmOjcYa3u8/edit#gid=1878241338"",""S4 Totals!$A$2:$O$255""),3,FALSE)"),0.24)</f>
        <v>0.24</v>
      </c>
      <c r="D105" s="16">
        <f>IFERROR(__xludf.DUMMYFUNCTION("VLOOKUP(A105,IMPORTRANGE(""1QZ5UxyNCwadreQAXnQ7oCoH982DjIA-QnZdO7ZoqkC0/edit#gid=884617569"",""S4 Totals!$A$2:$O$255""),2,FALSE)"),14.0)</f>
        <v>14</v>
      </c>
      <c r="E105" s="15">
        <f>IFERROR(__xludf.DUMMYFUNCTION("VLOOKUP(A105,IMPORTRANGE(""1QZ5UxyNCwadreQAXnQ7oCoH982DjIA-QnZdO7ZoqkC0/edit#gid=884617569"",""S4 Totals!$A$2:$O$255""),3,FALSE)"),0.2978723404255319)</f>
        <v>0.2978723404</v>
      </c>
      <c r="F105" s="146">
        <f t="shared" si="1"/>
        <v>-0.05787234043</v>
      </c>
      <c r="G105" s="16">
        <f>IFERROR(__xludf.DUMMYFUNCTION("VLOOKUP(A105,IMPORTRANGE(""1QZ5UxyNCwadreQAXnQ7oCoH982DjIA-QnZdO7ZoqkC0/edit#gid=884617569"",""S4 Totals!$A$2:$O$255""),4,FALSE)"),7.0)</f>
        <v>7</v>
      </c>
      <c r="H105" s="15">
        <f>IFERROR(__xludf.DUMMYFUNCTION("VLOOKUP(A105,IMPORTRANGE(""1QZ5UxyNCwadreQAXnQ7oCoH982DjIA-QnZdO7ZoqkC0/edit#gid=884617569"",""S4 Totals!$A$2:$O$255""),5,FALSE)"),0.1111111111111111)</f>
        <v>0.1111111111</v>
      </c>
      <c r="I105" s="143"/>
      <c r="J105" s="16">
        <f>IFERROR(__xludf.DUMMYFUNCTION("VLOOKUP(A105,IMPORTRANGE(""1QZ5UxyNCwadreQAXnQ7oCoH982DjIA-QnZdO7ZoqkC0/edit#gid=884617569"",""S4 Totals!$A$2:$O$255""),7,FALSE)"),9.0)</f>
        <v>9</v>
      </c>
      <c r="K105" s="15">
        <f>IFERROR(__xludf.DUMMYFUNCTION("VLOOKUP(A105,IMPORTRANGE(""1QZ5UxyNCwadreQAXnQ7oCoH982DjIA-QnZdO7ZoqkC0/edit#gid=884617569"",""S4 Totals!$A$2:$O$255""),8,FALSE)"),0.12857142857142856)</f>
        <v>0.1285714286</v>
      </c>
      <c r="L105" s="147"/>
      <c r="M105" s="16">
        <f>IFERROR(__xludf.DUMMYFUNCTION("VLOOKUP(A105,IMPORTRANGE(""1QZ5UxyNCwadreQAXnQ7oCoH982DjIA-QnZdO7ZoqkC0/edit#gid=884617569"",""S4 Totals!$A$2:$O$255""),10,FALSE)"),5.0)</f>
        <v>5</v>
      </c>
      <c r="N105" s="15">
        <f>IFERROR(__xludf.DUMMYFUNCTION("VLOOKUP(A105,IMPORTRANGE(""1QZ5UxyNCwadreQAXnQ7oCoH982DjIA-QnZdO7ZoqkC0/edit#gid=884617569"",""S4 Totals!$A$2:$O$255""),11,FALSE)"),0.06756756756756757)</f>
        <v>0.06756756757</v>
      </c>
      <c r="O105" s="110"/>
      <c r="P105" s="16">
        <f>IFERROR(__xludf.DUMMYFUNCTION("VLOOKUP(A105,IMPORTRANGE(""1QZ5UxyNCwadreQAXnQ7oCoH982DjIA-QnZdO7ZoqkC0/edit#gid=884617569"",""S4 Totals!$A$2:$O$255""),13,FALSE)"),1.0)</f>
        <v>1</v>
      </c>
      <c r="Q105" s="15">
        <f>IFERROR(__xludf.DUMMYFUNCTION("VLOOKUP(A105,IMPORTRANGE(""1QZ5UxyNCwadreQAXnQ7oCoH982DjIA-QnZdO7ZoqkC0/edit#gid=884617569"",""S4 Totals!$A$2:$O$255""),14,FALSE)"),0.013333333333333334)</f>
        <v>0.01333333333</v>
      </c>
      <c r="R105" s="110"/>
    </row>
    <row r="106">
      <c r="A106" s="128" t="s">
        <v>235</v>
      </c>
      <c r="B106" s="16">
        <f>IFERROR(__xludf.DUMMYFUNCTION("VLOOKUP(A106,IMPORTRANGE(""1aFCnJY1qhIj8-JckJhDJ18aqmVo17tofpQmOjcYa3u8/edit#gid=1878241338"",""S4 Totals!$A$2:$O$255""),2,FALSE)"),8.0)</f>
        <v>8</v>
      </c>
      <c r="C106" s="15">
        <f>IFERROR(__xludf.DUMMYFUNCTION("VLOOKUP(A106,IMPORTRANGE(""1aFCnJY1qhIj8-JckJhDJ18aqmVo17tofpQmOjcYa3u8/edit#gid=1878241338"",""S4 Totals!$A$2:$O$255""),3,FALSE)"),0.16)</f>
        <v>0.16</v>
      </c>
      <c r="D106" s="16">
        <f>IFERROR(__xludf.DUMMYFUNCTION("VLOOKUP(A106,IMPORTRANGE(""1QZ5UxyNCwadreQAXnQ7oCoH982DjIA-QnZdO7ZoqkC0/edit#gid=884617569"",""S4 Totals!$A$2:$O$255""),2,FALSE)"),10.0)</f>
        <v>10</v>
      </c>
      <c r="E106" s="15">
        <f>IFERROR(__xludf.DUMMYFUNCTION("VLOOKUP(A106,IMPORTRANGE(""1QZ5UxyNCwadreQAXnQ7oCoH982DjIA-QnZdO7ZoqkC0/edit#gid=884617569"",""S4 Totals!$A$2:$O$255""),3,FALSE)"),0.2127659574468085)</f>
        <v>0.2127659574</v>
      </c>
      <c r="F106" s="146">
        <f t="shared" si="1"/>
        <v>-0.05276595745</v>
      </c>
      <c r="G106" s="16">
        <f>IFERROR(__xludf.DUMMYFUNCTION("VLOOKUP(A106,IMPORTRANGE(""1QZ5UxyNCwadreQAXnQ7oCoH982DjIA-QnZdO7ZoqkC0/edit#gid=884617569"",""S4 Totals!$A$2:$O$255""),4,FALSE)"),15.0)</f>
        <v>15</v>
      </c>
      <c r="H106" s="15">
        <f>IFERROR(__xludf.DUMMYFUNCTION("VLOOKUP(A106,IMPORTRANGE(""1QZ5UxyNCwadreQAXnQ7oCoH982DjIA-QnZdO7ZoqkC0/edit#gid=884617569"",""S4 Totals!$A$2:$O$255""),5,FALSE)"),0.23809523809523808)</f>
        <v>0.2380952381</v>
      </c>
      <c r="I106" s="143"/>
      <c r="J106" s="16" t="str">
        <f>IFERROR(__xludf.DUMMYFUNCTION("VLOOKUP(A106,IMPORTRANGE(""1QZ5UxyNCwadreQAXnQ7oCoH982DjIA-QnZdO7ZoqkC0/edit#gid=884617569"",""S4 Totals!$A$2:$O$255""),7,FALSE)"),"")</f>
        <v/>
      </c>
      <c r="K106" s="15" t="str">
        <f>IFERROR(__xludf.DUMMYFUNCTION("VLOOKUP(A106,IMPORTRANGE(""1QZ5UxyNCwadreQAXnQ7oCoH982DjIA-QnZdO7ZoqkC0/edit#gid=884617569"",""S4 Totals!$A$2:$O$255""),8,FALSE)"),"")</f>
        <v/>
      </c>
      <c r="L106" s="147"/>
      <c r="M106" s="16" t="str">
        <f>IFERROR(__xludf.DUMMYFUNCTION("VLOOKUP(A106,IMPORTRANGE(""1QZ5UxyNCwadreQAXnQ7oCoH982DjIA-QnZdO7ZoqkC0/edit#gid=884617569"",""S4 Totals!$A$2:$O$255""),10,FALSE)"),"")</f>
        <v/>
      </c>
      <c r="N106" s="15" t="str">
        <f>IFERROR(__xludf.DUMMYFUNCTION("VLOOKUP(A106,IMPORTRANGE(""1QZ5UxyNCwadreQAXnQ7oCoH982DjIA-QnZdO7ZoqkC0/edit#gid=884617569"",""S4 Totals!$A$2:$O$255""),11,FALSE)"),"")</f>
        <v/>
      </c>
      <c r="O106" s="110"/>
      <c r="P106" s="16" t="str">
        <f>IFERROR(__xludf.DUMMYFUNCTION("VLOOKUP(A106,IMPORTRANGE(""1QZ5UxyNCwadreQAXnQ7oCoH982DjIA-QnZdO7ZoqkC0/edit#gid=884617569"",""S4 Totals!$A$2:$O$255""),13,FALSE)"),"")</f>
        <v/>
      </c>
      <c r="Q106" s="15" t="str">
        <f>IFERROR(__xludf.DUMMYFUNCTION("VLOOKUP(A106,IMPORTRANGE(""1QZ5UxyNCwadreQAXnQ7oCoH982DjIA-QnZdO7ZoqkC0/edit#gid=884617569"",""S4 Totals!$A$2:$O$255""),14,FALSE)"),"")</f>
        <v/>
      </c>
      <c r="R106" s="110"/>
    </row>
    <row r="107">
      <c r="A107" s="128" t="s">
        <v>58</v>
      </c>
      <c r="B107" s="16">
        <f>IFERROR(__xludf.DUMMYFUNCTION("VLOOKUP(A107,IMPORTRANGE(""1aFCnJY1qhIj8-JckJhDJ18aqmVo17tofpQmOjcYa3u8/edit#gid=1878241338"",""S4 Totals!$A$2:$O$255""),2,FALSE)"),5.0)</f>
        <v>5</v>
      </c>
      <c r="C107" s="15">
        <f>IFERROR(__xludf.DUMMYFUNCTION("VLOOKUP(A107,IMPORTRANGE(""1aFCnJY1qhIj8-JckJhDJ18aqmVo17tofpQmOjcYa3u8/edit#gid=1878241338"",""S4 Totals!$A$2:$O$255""),3,FALSE)"),0.1)</f>
        <v>0.1</v>
      </c>
      <c r="D107" s="16">
        <f>IFERROR(__xludf.DUMMYFUNCTION("VLOOKUP(A107,IMPORTRANGE(""1QZ5UxyNCwadreQAXnQ7oCoH982DjIA-QnZdO7ZoqkC0/edit#gid=884617569"",""S4 Totals!$A$2:$O$255""),2,FALSE)"),7.0)</f>
        <v>7</v>
      </c>
      <c r="E107" s="15">
        <f>IFERROR(__xludf.DUMMYFUNCTION("VLOOKUP(A107,IMPORTRANGE(""1QZ5UxyNCwadreQAXnQ7oCoH982DjIA-QnZdO7ZoqkC0/edit#gid=884617569"",""S4 Totals!$A$2:$O$255""),3,FALSE)"),0.14893617021276595)</f>
        <v>0.1489361702</v>
      </c>
      <c r="F107" s="146">
        <f t="shared" si="1"/>
        <v>-0.04893617021</v>
      </c>
      <c r="G107" s="16">
        <f>IFERROR(__xludf.DUMMYFUNCTION("VLOOKUP(A107,IMPORTRANGE(""1QZ5UxyNCwadreQAXnQ7oCoH982DjIA-QnZdO7ZoqkC0/edit#gid=884617569"",""S4 Totals!$A$2:$O$255""),4,FALSE)"),10.0)</f>
        <v>10</v>
      </c>
      <c r="H107" s="15">
        <f>IFERROR(__xludf.DUMMYFUNCTION("VLOOKUP(A107,IMPORTRANGE(""1QZ5UxyNCwadreQAXnQ7oCoH982DjIA-QnZdO7ZoqkC0/edit#gid=884617569"",""S4 Totals!$A$2:$O$255""),5,FALSE)"),0.15873015873015872)</f>
        <v>0.1587301587</v>
      </c>
      <c r="I107" s="143"/>
      <c r="J107" s="16">
        <f>IFERROR(__xludf.DUMMYFUNCTION("VLOOKUP(A107,IMPORTRANGE(""1QZ5UxyNCwadreQAXnQ7oCoH982DjIA-QnZdO7ZoqkC0/edit#gid=884617569"",""S4 Totals!$A$2:$O$255""),7,FALSE)"),14.0)</f>
        <v>14</v>
      </c>
      <c r="K107" s="15">
        <f>IFERROR(__xludf.DUMMYFUNCTION("VLOOKUP(A107,IMPORTRANGE(""1QZ5UxyNCwadreQAXnQ7oCoH982DjIA-QnZdO7ZoqkC0/edit#gid=884617569"",""S4 Totals!$A$2:$O$255""),8,FALSE)"),0.2)</f>
        <v>0.2</v>
      </c>
      <c r="L107" s="147"/>
      <c r="M107" s="16">
        <f>IFERROR(__xludf.DUMMYFUNCTION("VLOOKUP(A107,IMPORTRANGE(""1QZ5UxyNCwadreQAXnQ7oCoH982DjIA-QnZdO7ZoqkC0/edit#gid=884617569"",""S4 Totals!$A$2:$O$255""),10,FALSE)"),21.0)</f>
        <v>21</v>
      </c>
      <c r="N107" s="15">
        <f>IFERROR(__xludf.DUMMYFUNCTION("VLOOKUP(A107,IMPORTRANGE(""1QZ5UxyNCwadreQAXnQ7oCoH982DjIA-QnZdO7ZoqkC0/edit#gid=884617569"",""S4 Totals!$A$2:$O$255""),11,FALSE)"),0.28378378378378377)</f>
        <v>0.2837837838</v>
      </c>
      <c r="O107" s="110"/>
      <c r="P107" s="16">
        <f>IFERROR(__xludf.DUMMYFUNCTION("VLOOKUP(A107,IMPORTRANGE(""1QZ5UxyNCwadreQAXnQ7oCoH982DjIA-QnZdO7ZoqkC0/edit#gid=884617569"",""S4 Totals!$A$2:$O$255""),13,FALSE)"),18.0)</f>
        <v>18</v>
      </c>
      <c r="Q107" s="15">
        <f>IFERROR(__xludf.DUMMYFUNCTION("VLOOKUP(A107,IMPORTRANGE(""1QZ5UxyNCwadreQAXnQ7oCoH982DjIA-QnZdO7ZoqkC0/edit#gid=884617569"",""S4 Totals!$A$2:$O$255""),14,FALSE)"),0.24)</f>
        <v>0.24</v>
      </c>
      <c r="R107" s="110"/>
    </row>
    <row r="108">
      <c r="A108" s="128" t="s">
        <v>59</v>
      </c>
      <c r="B108" s="16">
        <f>IFERROR(__xludf.DUMMYFUNCTION("VLOOKUP(A108,IMPORTRANGE(""1aFCnJY1qhIj8-JckJhDJ18aqmVo17tofpQmOjcYa3u8/edit#gid=1878241338"",""S4 Totals!$A$2:$O$255""),2,FALSE)"),18.0)</f>
        <v>18</v>
      </c>
      <c r="C108" s="15">
        <f>IFERROR(__xludf.DUMMYFUNCTION("VLOOKUP(A108,IMPORTRANGE(""1aFCnJY1qhIj8-JckJhDJ18aqmVo17tofpQmOjcYa3u8/edit#gid=1878241338"",""S4 Totals!$A$2:$O$255""),3,FALSE)"),0.36)</f>
        <v>0.36</v>
      </c>
      <c r="D108" s="16">
        <f>IFERROR(__xludf.DUMMYFUNCTION("VLOOKUP(A108,IMPORTRANGE(""1QZ5UxyNCwadreQAXnQ7oCoH982DjIA-QnZdO7ZoqkC0/edit#gid=884617569"",""S4 Totals!$A$2:$O$255""),2,FALSE)"),14.0)</f>
        <v>14</v>
      </c>
      <c r="E108" s="15">
        <f>IFERROR(__xludf.DUMMYFUNCTION("VLOOKUP(A108,IMPORTRANGE(""1QZ5UxyNCwadreQAXnQ7oCoH982DjIA-QnZdO7ZoqkC0/edit#gid=884617569"",""S4 Totals!$A$2:$O$255""),3,FALSE)"),0.2978723404255319)</f>
        <v>0.2978723404</v>
      </c>
      <c r="F108" s="146">
        <f t="shared" si="1"/>
        <v>0.06212765957</v>
      </c>
      <c r="G108" s="16">
        <f>IFERROR(__xludf.DUMMYFUNCTION("VLOOKUP(A108,IMPORTRANGE(""1QZ5UxyNCwadreQAXnQ7oCoH982DjIA-QnZdO7ZoqkC0/edit#gid=884617569"",""S4 Totals!$A$2:$O$255""),4,FALSE)"),19.0)</f>
        <v>19</v>
      </c>
      <c r="H108" s="15">
        <f>IFERROR(__xludf.DUMMYFUNCTION("VLOOKUP(A108,IMPORTRANGE(""1QZ5UxyNCwadreQAXnQ7oCoH982DjIA-QnZdO7ZoqkC0/edit#gid=884617569"",""S4 Totals!$A$2:$O$255""),5,FALSE)"),0.30158730158730157)</f>
        <v>0.3015873016</v>
      </c>
      <c r="I108" s="143"/>
      <c r="J108" s="16">
        <f>IFERROR(__xludf.DUMMYFUNCTION("VLOOKUP(A108,IMPORTRANGE(""1QZ5UxyNCwadreQAXnQ7oCoH982DjIA-QnZdO7ZoqkC0/edit#gid=884617569"",""S4 Totals!$A$2:$O$255""),7,FALSE)"),19.0)</f>
        <v>19</v>
      </c>
      <c r="K108" s="15">
        <f>IFERROR(__xludf.DUMMYFUNCTION("VLOOKUP(A108,IMPORTRANGE(""1QZ5UxyNCwadreQAXnQ7oCoH982DjIA-QnZdO7ZoqkC0/edit#gid=884617569"",""S4 Totals!$A$2:$O$255""),8,FALSE)"),0.2714285714285714)</f>
        <v>0.2714285714</v>
      </c>
      <c r="L108" s="147"/>
      <c r="M108" s="16">
        <f>IFERROR(__xludf.DUMMYFUNCTION("VLOOKUP(A108,IMPORTRANGE(""1QZ5UxyNCwadreQAXnQ7oCoH982DjIA-QnZdO7ZoqkC0/edit#gid=884617569"",""S4 Totals!$A$2:$O$255""),10,FALSE)"),19.0)</f>
        <v>19</v>
      </c>
      <c r="N108" s="15">
        <f>IFERROR(__xludf.DUMMYFUNCTION("VLOOKUP(A108,IMPORTRANGE(""1QZ5UxyNCwadreQAXnQ7oCoH982DjIA-QnZdO7ZoqkC0/edit#gid=884617569"",""S4 Totals!$A$2:$O$255""),11,FALSE)"),0.25675675675675674)</f>
        <v>0.2567567568</v>
      </c>
      <c r="O108" s="110"/>
      <c r="P108" s="16">
        <f>IFERROR(__xludf.DUMMYFUNCTION("VLOOKUP(A108,IMPORTRANGE(""1QZ5UxyNCwadreQAXnQ7oCoH982DjIA-QnZdO7ZoqkC0/edit#gid=884617569"",""S4 Totals!$A$2:$O$255""),13,FALSE)"),9.0)</f>
        <v>9</v>
      </c>
      <c r="Q108" s="15">
        <f>IFERROR(__xludf.DUMMYFUNCTION("VLOOKUP(A108,IMPORTRANGE(""1QZ5UxyNCwadreQAXnQ7oCoH982DjIA-QnZdO7ZoqkC0/edit#gid=884617569"",""S4 Totals!$A$2:$O$255""),14,FALSE)"),0.12)</f>
        <v>0.12</v>
      </c>
      <c r="R108" s="110"/>
    </row>
    <row r="109">
      <c r="A109" s="128" t="s">
        <v>178</v>
      </c>
      <c r="B109" s="16">
        <f>IFERROR(__xludf.DUMMYFUNCTION("VLOOKUP(A109,IMPORTRANGE(""1aFCnJY1qhIj8-JckJhDJ18aqmVo17tofpQmOjcYa3u8/edit#gid=1878241338"",""S4 Totals!$A$2:$O$255""),2,FALSE)"),6.0)</f>
        <v>6</v>
      </c>
      <c r="C109" s="15">
        <f>IFERROR(__xludf.DUMMYFUNCTION("VLOOKUP(A109,IMPORTRANGE(""1aFCnJY1qhIj8-JckJhDJ18aqmVo17tofpQmOjcYa3u8/edit#gid=1878241338"",""S4 Totals!$A$2:$O$255""),3,FALSE)"),0.12)</f>
        <v>0.12</v>
      </c>
      <c r="D109" s="16">
        <f>IFERROR(__xludf.DUMMYFUNCTION("VLOOKUP(A109,IMPORTRANGE(""1QZ5UxyNCwadreQAXnQ7oCoH982DjIA-QnZdO7ZoqkC0/edit#gid=884617569"",""S4 Totals!$A$2:$O$255""),2,FALSE)"),0.0)</f>
        <v>0</v>
      </c>
      <c r="E109" s="15">
        <f>IFERROR(__xludf.DUMMYFUNCTION("VLOOKUP(A109,IMPORTRANGE(""1QZ5UxyNCwadreQAXnQ7oCoH982DjIA-QnZdO7ZoqkC0/edit#gid=884617569"",""S4 Totals!$A$2:$O$255""),3,FALSE)"),0.0)</f>
        <v>0</v>
      </c>
      <c r="F109" s="146">
        <f t="shared" si="1"/>
        <v>0.12</v>
      </c>
      <c r="G109" s="16">
        <f>IFERROR(__xludf.DUMMYFUNCTION("VLOOKUP(A109,IMPORTRANGE(""1QZ5UxyNCwadreQAXnQ7oCoH982DjIA-QnZdO7ZoqkC0/edit#gid=884617569"",""S4 Totals!$A$2:$O$255""),4,FALSE)"),1.0)</f>
        <v>1</v>
      </c>
      <c r="H109" s="15">
        <f>IFERROR(__xludf.DUMMYFUNCTION("VLOOKUP(A109,IMPORTRANGE(""1QZ5UxyNCwadreQAXnQ7oCoH982DjIA-QnZdO7ZoqkC0/edit#gid=884617569"",""S4 Totals!$A$2:$O$255""),5,FALSE)"),0.015873015873015872)</f>
        <v>0.01587301587</v>
      </c>
      <c r="I109" s="143"/>
      <c r="J109" s="16">
        <f>IFERROR(__xludf.DUMMYFUNCTION("VLOOKUP(A109,IMPORTRANGE(""1QZ5UxyNCwadreQAXnQ7oCoH982DjIA-QnZdO7ZoqkC0/edit#gid=884617569"",""S4 Totals!$A$2:$O$255""),7,FALSE)"),7.0)</f>
        <v>7</v>
      </c>
      <c r="K109" s="15">
        <f>IFERROR(__xludf.DUMMYFUNCTION("VLOOKUP(A109,IMPORTRANGE(""1QZ5UxyNCwadreQAXnQ7oCoH982DjIA-QnZdO7ZoqkC0/edit#gid=884617569"",""S4 Totals!$A$2:$O$255""),8,FALSE)"),0.1)</f>
        <v>0.1</v>
      </c>
      <c r="L109" s="147"/>
      <c r="M109" s="16" t="str">
        <f>IFERROR(__xludf.DUMMYFUNCTION("VLOOKUP(A109,IMPORTRANGE(""1QZ5UxyNCwadreQAXnQ7oCoH982DjIA-QnZdO7ZoqkC0/edit#gid=884617569"",""S4 Totals!$A$2:$O$255""),10,FALSE)"),"")</f>
        <v/>
      </c>
      <c r="N109" s="15" t="str">
        <f>IFERROR(__xludf.DUMMYFUNCTION("VLOOKUP(A109,IMPORTRANGE(""1QZ5UxyNCwadreQAXnQ7oCoH982DjIA-QnZdO7ZoqkC0/edit#gid=884617569"",""S4 Totals!$A$2:$O$255""),11,FALSE)"),"")</f>
        <v/>
      </c>
      <c r="O109" s="110"/>
      <c r="P109" s="16" t="str">
        <f>IFERROR(__xludf.DUMMYFUNCTION("VLOOKUP(A109,IMPORTRANGE(""1QZ5UxyNCwadreQAXnQ7oCoH982DjIA-QnZdO7ZoqkC0/edit#gid=884617569"",""S4 Totals!$A$2:$O$255""),13,FALSE)"),"")</f>
        <v/>
      </c>
      <c r="Q109" s="15" t="str">
        <f>IFERROR(__xludf.DUMMYFUNCTION("VLOOKUP(A109,IMPORTRANGE(""1QZ5UxyNCwadreQAXnQ7oCoH982DjIA-QnZdO7ZoqkC0/edit#gid=884617569"",""S4 Totals!$A$2:$O$255""),14,FALSE)"),"")</f>
        <v/>
      </c>
      <c r="R109" s="110"/>
    </row>
    <row r="110">
      <c r="A110" s="128" t="s">
        <v>179</v>
      </c>
      <c r="B110" s="16">
        <f>IFERROR(__xludf.DUMMYFUNCTION("VLOOKUP(A110,IMPORTRANGE(""1aFCnJY1qhIj8-JckJhDJ18aqmVo17tofpQmOjcYa3u8/edit#gid=1878241338"",""S4 Totals!$A$2:$O$255""),2,FALSE)"),5.0)</f>
        <v>5</v>
      </c>
      <c r="C110" s="15">
        <f>IFERROR(__xludf.DUMMYFUNCTION("VLOOKUP(A110,IMPORTRANGE(""1aFCnJY1qhIj8-JckJhDJ18aqmVo17tofpQmOjcYa3u8/edit#gid=1878241338"",""S4 Totals!$A$2:$O$255""),3,FALSE)"),0.1)</f>
        <v>0.1</v>
      </c>
      <c r="D110" s="16">
        <f>IFERROR(__xludf.DUMMYFUNCTION("VLOOKUP(A110,IMPORTRANGE(""1QZ5UxyNCwadreQAXnQ7oCoH982DjIA-QnZdO7ZoqkC0/edit#gid=884617569"",""S4 Totals!$A$2:$O$255""),2,FALSE)"),8.0)</f>
        <v>8</v>
      </c>
      <c r="E110" s="15">
        <f>IFERROR(__xludf.DUMMYFUNCTION("VLOOKUP(A110,IMPORTRANGE(""1QZ5UxyNCwadreQAXnQ7oCoH982DjIA-QnZdO7ZoqkC0/edit#gid=884617569"",""S4 Totals!$A$2:$O$255""),3,FALSE)"),0.1702127659574468)</f>
        <v>0.170212766</v>
      </c>
      <c r="F110" s="146">
        <f t="shared" si="1"/>
        <v>-0.07021276596</v>
      </c>
      <c r="G110" s="16">
        <f>IFERROR(__xludf.DUMMYFUNCTION("VLOOKUP(A110,IMPORTRANGE(""1QZ5UxyNCwadreQAXnQ7oCoH982DjIA-QnZdO7ZoqkC0/edit#gid=884617569"",""S4 Totals!$A$2:$O$255""),4,FALSE)"),11.0)</f>
        <v>11</v>
      </c>
      <c r="H110" s="15">
        <f>IFERROR(__xludf.DUMMYFUNCTION("VLOOKUP(A110,IMPORTRANGE(""1QZ5UxyNCwadreQAXnQ7oCoH982DjIA-QnZdO7ZoqkC0/edit#gid=884617569"",""S4 Totals!$A$2:$O$255""),5,FALSE)"),0.1746031746031746)</f>
        <v>0.1746031746</v>
      </c>
      <c r="I110" s="143"/>
      <c r="J110" s="16">
        <f>IFERROR(__xludf.DUMMYFUNCTION("VLOOKUP(A110,IMPORTRANGE(""1QZ5UxyNCwadreQAXnQ7oCoH982DjIA-QnZdO7ZoqkC0/edit#gid=884617569"",""S4 Totals!$A$2:$O$255""),7,FALSE)"),10.0)</f>
        <v>10</v>
      </c>
      <c r="K110" s="15">
        <f>IFERROR(__xludf.DUMMYFUNCTION("VLOOKUP(A110,IMPORTRANGE(""1QZ5UxyNCwadreQAXnQ7oCoH982DjIA-QnZdO7ZoqkC0/edit#gid=884617569"",""S4 Totals!$A$2:$O$255""),8,FALSE)"),0.14285714285714285)</f>
        <v>0.1428571429</v>
      </c>
      <c r="L110" s="147"/>
      <c r="M110" s="16" t="str">
        <f>IFERROR(__xludf.DUMMYFUNCTION("VLOOKUP(A110,IMPORTRANGE(""1QZ5UxyNCwadreQAXnQ7oCoH982DjIA-QnZdO7ZoqkC0/edit#gid=884617569"",""S4 Totals!$A$2:$O$255""),10,FALSE)"),"")</f>
        <v/>
      </c>
      <c r="N110" s="15" t="str">
        <f>IFERROR(__xludf.DUMMYFUNCTION("VLOOKUP(A110,IMPORTRANGE(""1QZ5UxyNCwadreQAXnQ7oCoH982DjIA-QnZdO7ZoqkC0/edit#gid=884617569"",""S4 Totals!$A$2:$O$255""),11,FALSE)"),"")</f>
        <v/>
      </c>
      <c r="O110" s="110"/>
      <c r="P110" s="16" t="str">
        <f>IFERROR(__xludf.DUMMYFUNCTION("VLOOKUP(A110,IMPORTRANGE(""1QZ5UxyNCwadreQAXnQ7oCoH982DjIA-QnZdO7ZoqkC0/edit#gid=884617569"",""S4 Totals!$A$2:$O$255""),13,FALSE)"),"")</f>
        <v/>
      </c>
      <c r="Q110" s="15" t="str">
        <f>IFERROR(__xludf.DUMMYFUNCTION("VLOOKUP(A110,IMPORTRANGE(""1QZ5UxyNCwadreQAXnQ7oCoH982DjIA-QnZdO7ZoqkC0/edit#gid=884617569"",""S4 Totals!$A$2:$O$255""),14,FALSE)"),"")</f>
        <v/>
      </c>
      <c r="R110" s="110"/>
    </row>
    <row r="111">
      <c r="A111" s="128" t="s">
        <v>60</v>
      </c>
      <c r="B111" s="16">
        <f>IFERROR(__xludf.DUMMYFUNCTION("VLOOKUP(A111,IMPORTRANGE(""1aFCnJY1qhIj8-JckJhDJ18aqmVo17tofpQmOjcYa3u8/edit#gid=1878241338"",""S4 Totals!$A$2:$O$255""),2,FALSE)"),10.0)</f>
        <v>10</v>
      </c>
      <c r="C111" s="15">
        <f>IFERROR(__xludf.DUMMYFUNCTION("VLOOKUP(A111,IMPORTRANGE(""1aFCnJY1qhIj8-JckJhDJ18aqmVo17tofpQmOjcYa3u8/edit#gid=1878241338"",""S4 Totals!$A$2:$O$255""),3,FALSE)"),0.2)</f>
        <v>0.2</v>
      </c>
      <c r="D111" s="16">
        <f>IFERROR(__xludf.DUMMYFUNCTION("VLOOKUP(A111,IMPORTRANGE(""1QZ5UxyNCwadreQAXnQ7oCoH982DjIA-QnZdO7ZoqkC0/edit#gid=884617569"",""S4 Totals!$A$2:$O$255""),2,FALSE)"),7.0)</f>
        <v>7</v>
      </c>
      <c r="E111" s="15">
        <f>IFERROR(__xludf.DUMMYFUNCTION("VLOOKUP(A111,IMPORTRANGE(""1QZ5UxyNCwadreQAXnQ7oCoH982DjIA-QnZdO7ZoqkC0/edit#gid=884617569"",""S4 Totals!$A$2:$O$255""),3,FALSE)"),0.14893617021276595)</f>
        <v>0.1489361702</v>
      </c>
      <c r="F111" s="146">
        <f t="shared" si="1"/>
        <v>0.05106382979</v>
      </c>
      <c r="G111" s="16">
        <f>IFERROR(__xludf.DUMMYFUNCTION("VLOOKUP(A111,IMPORTRANGE(""1QZ5UxyNCwadreQAXnQ7oCoH982DjIA-QnZdO7ZoqkC0/edit#gid=884617569"",""S4 Totals!$A$2:$O$255""),4,FALSE)"),10.0)</f>
        <v>10</v>
      </c>
      <c r="H111" s="15">
        <f>IFERROR(__xludf.DUMMYFUNCTION("VLOOKUP(A111,IMPORTRANGE(""1QZ5UxyNCwadreQAXnQ7oCoH982DjIA-QnZdO7ZoqkC0/edit#gid=884617569"",""S4 Totals!$A$2:$O$255""),5,FALSE)"),0.15873015873015872)</f>
        <v>0.1587301587</v>
      </c>
      <c r="I111" s="143"/>
      <c r="J111" s="16">
        <f>IFERROR(__xludf.DUMMYFUNCTION("VLOOKUP(A111,IMPORTRANGE(""1QZ5UxyNCwadreQAXnQ7oCoH982DjIA-QnZdO7ZoqkC0/edit#gid=884617569"",""S4 Totals!$A$2:$O$255""),7,FALSE)"),4.0)</f>
        <v>4</v>
      </c>
      <c r="K111" s="15">
        <f>IFERROR(__xludf.DUMMYFUNCTION("VLOOKUP(A111,IMPORTRANGE(""1QZ5UxyNCwadreQAXnQ7oCoH982DjIA-QnZdO7ZoqkC0/edit#gid=884617569"",""S4 Totals!$A$2:$O$255""),8,FALSE)"),0.05714285714285714)</f>
        <v>0.05714285714</v>
      </c>
      <c r="L111" s="147"/>
      <c r="M111" s="16">
        <f>IFERROR(__xludf.DUMMYFUNCTION("VLOOKUP(A111,IMPORTRANGE(""1QZ5UxyNCwadreQAXnQ7oCoH982DjIA-QnZdO7ZoqkC0/edit#gid=884617569"",""S4 Totals!$A$2:$O$255""),10,FALSE)"),5.0)</f>
        <v>5</v>
      </c>
      <c r="N111" s="15">
        <f>IFERROR(__xludf.DUMMYFUNCTION("VLOOKUP(A111,IMPORTRANGE(""1QZ5UxyNCwadreQAXnQ7oCoH982DjIA-QnZdO7ZoqkC0/edit#gid=884617569"",""S4 Totals!$A$2:$O$255""),11,FALSE)"),0.06756756756756757)</f>
        <v>0.06756756757</v>
      </c>
      <c r="O111" s="110"/>
      <c r="P111" s="16">
        <f>IFERROR(__xludf.DUMMYFUNCTION("VLOOKUP(A111,IMPORTRANGE(""1QZ5UxyNCwadreQAXnQ7oCoH982DjIA-QnZdO7ZoqkC0/edit#gid=884617569"",""S4 Totals!$A$2:$O$255""),13,FALSE)"),8.0)</f>
        <v>8</v>
      </c>
      <c r="Q111" s="15">
        <f>IFERROR(__xludf.DUMMYFUNCTION("VLOOKUP(A111,IMPORTRANGE(""1QZ5UxyNCwadreQAXnQ7oCoH982DjIA-QnZdO7ZoqkC0/edit#gid=884617569"",""S4 Totals!$A$2:$O$255""),14,FALSE)"),0.10666666666666667)</f>
        <v>0.1066666667</v>
      </c>
      <c r="R111" s="110"/>
    </row>
    <row r="112">
      <c r="A112" s="134" t="s">
        <v>275</v>
      </c>
      <c r="B112" s="16">
        <f>IFERROR(__xludf.DUMMYFUNCTION("VLOOKUP(A112,IMPORTRANGE(""1aFCnJY1qhIj8-JckJhDJ18aqmVo17tofpQmOjcYa3u8/edit#gid=1878241338"",""S4 Totals!$A$2:$O$255""),2,FALSE)"),4.0)</f>
        <v>4</v>
      </c>
      <c r="C112" s="15">
        <f>IFERROR(__xludf.DUMMYFUNCTION("VLOOKUP(A112,IMPORTRANGE(""1aFCnJY1qhIj8-JckJhDJ18aqmVo17tofpQmOjcYa3u8/edit#gid=1878241338"",""S4 Totals!$A$2:$O$255""),3,FALSE)"),0.08)</f>
        <v>0.08</v>
      </c>
      <c r="D112" s="16" t="str">
        <f>IFERROR(__xludf.DUMMYFUNCTION("VLOOKUP(A112,IMPORTRANGE(""1QZ5UxyNCwadreQAXnQ7oCoH982DjIA-QnZdO7ZoqkC0/edit#gid=884617569"",""S4 Totals!$A$2:$O$255""),2,FALSE)"),"#N/A")</f>
        <v>#N/A</v>
      </c>
      <c r="E112" s="15" t="str">
        <f>IFERROR(__xludf.DUMMYFUNCTION("VLOOKUP(A112,IMPORTRANGE(""1QZ5UxyNCwadreQAXnQ7oCoH982DjIA-QnZdO7ZoqkC0/edit#gid=884617569"",""S4 Totals!$A$2:$O$255""),3,FALSE)"),"#N/A")</f>
        <v>#N/A</v>
      </c>
      <c r="F112" s="146" t="str">
        <f t="shared" si="1"/>
        <v>#N/A</v>
      </c>
      <c r="G112" s="16" t="str">
        <f>IFERROR(__xludf.DUMMYFUNCTION("VLOOKUP(A112,IMPORTRANGE(""1QZ5UxyNCwadreQAXnQ7oCoH982DjIA-QnZdO7ZoqkC0/edit#gid=884617569"",""S4 Totals!$A$2:$O$255""),4,FALSE)"),"#N/A")</f>
        <v>#N/A</v>
      </c>
      <c r="H112" s="15" t="str">
        <f>IFERROR(__xludf.DUMMYFUNCTION("VLOOKUP(A112,IMPORTRANGE(""1QZ5UxyNCwadreQAXnQ7oCoH982DjIA-QnZdO7ZoqkC0/edit#gid=884617569"",""S4 Totals!$A$2:$O$255""),5,FALSE)"),"#N/A")</f>
        <v>#N/A</v>
      </c>
      <c r="I112" s="143"/>
      <c r="J112" s="16" t="str">
        <f>IFERROR(__xludf.DUMMYFUNCTION("VLOOKUP(A112,IMPORTRANGE(""1QZ5UxyNCwadreQAXnQ7oCoH982DjIA-QnZdO7ZoqkC0/edit#gid=884617569"",""S4 Totals!$A$2:$O$255""),7,FALSE)"),"#N/A")</f>
        <v>#N/A</v>
      </c>
      <c r="K112" s="15" t="str">
        <f>IFERROR(__xludf.DUMMYFUNCTION("VLOOKUP(A112,IMPORTRANGE(""1QZ5UxyNCwadreQAXnQ7oCoH982DjIA-QnZdO7ZoqkC0/edit#gid=884617569"",""S4 Totals!$A$2:$O$255""),8,FALSE)"),"#N/A")</f>
        <v>#N/A</v>
      </c>
      <c r="L112" s="147"/>
      <c r="M112" s="16" t="str">
        <f>IFERROR(__xludf.DUMMYFUNCTION("VLOOKUP(A112,IMPORTRANGE(""1QZ5UxyNCwadreQAXnQ7oCoH982DjIA-QnZdO7ZoqkC0/edit#gid=884617569"",""S4 Totals!$A$2:$O$255""),10,FALSE)"),"#N/A")</f>
        <v>#N/A</v>
      </c>
      <c r="N112" s="15" t="str">
        <f>IFERROR(__xludf.DUMMYFUNCTION("VLOOKUP(A112,IMPORTRANGE(""1QZ5UxyNCwadreQAXnQ7oCoH982DjIA-QnZdO7ZoqkC0/edit#gid=884617569"",""S4 Totals!$A$2:$O$255""),11,FALSE)"),"#N/A")</f>
        <v>#N/A</v>
      </c>
      <c r="O112" s="110"/>
      <c r="P112" s="16" t="str">
        <f>IFERROR(__xludf.DUMMYFUNCTION("VLOOKUP(A112,IMPORTRANGE(""1QZ5UxyNCwadreQAXnQ7oCoH982DjIA-QnZdO7ZoqkC0/edit#gid=884617569"",""S4 Totals!$A$2:$O$255""),13,FALSE)"),"#N/A")</f>
        <v>#N/A</v>
      </c>
      <c r="Q112" s="15" t="str">
        <f>IFERROR(__xludf.DUMMYFUNCTION("VLOOKUP(A112,IMPORTRANGE(""1QZ5UxyNCwadreQAXnQ7oCoH982DjIA-QnZdO7ZoqkC0/edit#gid=884617569"",""S4 Totals!$A$2:$O$255""),14,FALSE)"),"#N/A")</f>
        <v>#N/A</v>
      </c>
      <c r="R112" s="110"/>
    </row>
    <row r="113">
      <c r="A113" s="128" t="s">
        <v>130</v>
      </c>
      <c r="B113" s="16">
        <f>IFERROR(__xludf.DUMMYFUNCTION("VLOOKUP(A113,IMPORTRANGE(""1aFCnJY1qhIj8-JckJhDJ18aqmVo17tofpQmOjcYa3u8/edit#gid=1878241338"",""S4 Totals!$A$2:$O$255""),2,FALSE)"),10.0)</f>
        <v>10</v>
      </c>
      <c r="C113" s="15">
        <f>IFERROR(__xludf.DUMMYFUNCTION("VLOOKUP(A113,IMPORTRANGE(""1aFCnJY1qhIj8-JckJhDJ18aqmVo17tofpQmOjcYa3u8/edit#gid=1878241338"",""S4 Totals!$A$2:$O$255""),3,FALSE)"),0.2)</f>
        <v>0.2</v>
      </c>
      <c r="D113" s="16">
        <f>IFERROR(__xludf.DUMMYFUNCTION("VLOOKUP(A113,IMPORTRANGE(""1QZ5UxyNCwadreQAXnQ7oCoH982DjIA-QnZdO7ZoqkC0/edit#gid=884617569"",""S4 Totals!$A$2:$O$255""),2,FALSE)"),12.0)</f>
        <v>12</v>
      </c>
      <c r="E113" s="15">
        <f>IFERROR(__xludf.DUMMYFUNCTION("VLOOKUP(A113,IMPORTRANGE(""1QZ5UxyNCwadreQAXnQ7oCoH982DjIA-QnZdO7ZoqkC0/edit#gid=884617569"",""S4 Totals!$A$2:$O$255""),3,FALSE)"),0.2553191489361702)</f>
        <v>0.2553191489</v>
      </c>
      <c r="F113" s="146">
        <f t="shared" si="1"/>
        <v>-0.05531914894</v>
      </c>
      <c r="G113" s="16">
        <f>IFERROR(__xludf.DUMMYFUNCTION("VLOOKUP(A113,IMPORTRANGE(""1QZ5UxyNCwadreQAXnQ7oCoH982DjIA-QnZdO7ZoqkC0/edit#gid=884617569"",""S4 Totals!$A$2:$O$255""),4,FALSE)"),9.0)</f>
        <v>9</v>
      </c>
      <c r="H113" s="15">
        <f>IFERROR(__xludf.DUMMYFUNCTION("VLOOKUP(A113,IMPORTRANGE(""1QZ5UxyNCwadreQAXnQ7oCoH982DjIA-QnZdO7ZoqkC0/edit#gid=884617569"",""S4 Totals!$A$2:$O$255""),5,FALSE)"),0.14285714285714285)</f>
        <v>0.1428571429</v>
      </c>
      <c r="I113" s="143"/>
      <c r="J113" s="16">
        <f>IFERROR(__xludf.DUMMYFUNCTION("VLOOKUP(A113,IMPORTRANGE(""1QZ5UxyNCwadreQAXnQ7oCoH982DjIA-QnZdO7ZoqkC0/edit#gid=884617569"",""S4 Totals!$A$2:$O$255""),7,FALSE)"),7.0)</f>
        <v>7</v>
      </c>
      <c r="K113" s="15">
        <f>IFERROR(__xludf.DUMMYFUNCTION("VLOOKUP(A113,IMPORTRANGE(""1QZ5UxyNCwadreQAXnQ7oCoH982DjIA-QnZdO7ZoqkC0/edit#gid=884617569"",""S4 Totals!$A$2:$O$255""),8,FALSE)"),0.1)</f>
        <v>0.1</v>
      </c>
      <c r="L113" s="147"/>
      <c r="M113" s="16">
        <f>IFERROR(__xludf.DUMMYFUNCTION("VLOOKUP(A113,IMPORTRANGE(""1QZ5UxyNCwadreQAXnQ7oCoH982DjIA-QnZdO7ZoqkC0/edit#gid=884617569"",""S4 Totals!$A$2:$O$255""),10,FALSE)"),11.0)</f>
        <v>11</v>
      </c>
      <c r="N113" s="15">
        <f>IFERROR(__xludf.DUMMYFUNCTION("VLOOKUP(A113,IMPORTRANGE(""1QZ5UxyNCwadreQAXnQ7oCoH982DjIA-QnZdO7ZoqkC0/edit#gid=884617569"",""S4 Totals!$A$2:$O$255""),11,FALSE)"),0.14864864864864866)</f>
        <v>0.1486486486</v>
      </c>
      <c r="O113" s="110"/>
      <c r="P113" s="16" t="str">
        <f>IFERROR(__xludf.DUMMYFUNCTION("VLOOKUP(A113,IMPORTRANGE(""1QZ5UxyNCwadreQAXnQ7oCoH982DjIA-QnZdO7ZoqkC0/edit#gid=884617569"",""S4 Totals!$A$2:$O$255""),13,FALSE)"),"")</f>
        <v/>
      </c>
      <c r="Q113" s="15" t="str">
        <f>IFERROR(__xludf.DUMMYFUNCTION("VLOOKUP(A113,IMPORTRANGE(""1QZ5UxyNCwadreQAXnQ7oCoH982DjIA-QnZdO7ZoqkC0/edit#gid=884617569"",""S4 Totals!$A$2:$O$255""),14,FALSE)"),"")</f>
        <v/>
      </c>
      <c r="R113" s="110"/>
    </row>
    <row r="114">
      <c r="A114" s="128" t="s">
        <v>236</v>
      </c>
      <c r="B114" s="16">
        <f>IFERROR(__xludf.DUMMYFUNCTION("VLOOKUP(A114,IMPORTRANGE(""1aFCnJY1qhIj8-JckJhDJ18aqmVo17tofpQmOjcYa3u8/edit#gid=1878241338"",""S4 Totals!$A$2:$O$255""),2,FALSE)"),0.0)</f>
        <v>0</v>
      </c>
      <c r="C114" s="15">
        <f>IFERROR(__xludf.DUMMYFUNCTION("VLOOKUP(A114,IMPORTRANGE(""1aFCnJY1qhIj8-JckJhDJ18aqmVo17tofpQmOjcYa3u8/edit#gid=1878241338"",""S4 Totals!$A$2:$O$255""),3,FALSE)"),0.0)</f>
        <v>0</v>
      </c>
      <c r="D114" s="16">
        <f>IFERROR(__xludf.DUMMYFUNCTION("VLOOKUP(A114,IMPORTRANGE(""1QZ5UxyNCwadreQAXnQ7oCoH982DjIA-QnZdO7ZoqkC0/edit#gid=884617569"",""S4 Totals!$A$2:$O$255""),2,FALSE)"),3.0)</f>
        <v>3</v>
      </c>
      <c r="E114" s="15">
        <f>IFERROR(__xludf.DUMMYFUNCTION("VLOOKUP(A114,IMPORTRANGE(""1QZ5UxyNCwadreQAXnQ7oCoH982DjIA-QnZdO7ZoqkC0/edit#gid=884617569"",""S4 Totals!$A$2:$O$255""),3,FALSE)"),0.06382978723404255)</f>
        <v>0.06382978723</v>
      </c>
      <c r="F114" s="146">
        <f t="shared" si="1"/>
        <v>-0.06382978723</v>
      </c>
      <c r="G114" s="16">
        <f>IFERROR(__xludf.DUMMYFUNCTION("VLOOKUP(A114,IMPORTRANGE(""1QZ5UxyNCwadreQAXnQ7oCoH982DjIA-QnZdO7ZoqkC0/edit#gid=884617569"",""S4 Totals!$A$2:$O$255""),4,FALSE)"),5.0)</f>
        <v>5</v>
      </c>
      <c r="H114" s="15">
        <f>IFERROR(__xludf.DUMMYFUNCTION("VLOOKUP(A114,IMPORTRANGE(""1QZ5UxyNCwadreQAXnQ7oCoH982DjIA-QnZdO7ZoqkC0/edit#gid=884617569"",""S4 Totals!$A$2:$O$255""),5,FALSE)"),0.07936507936507936)</f>
        <v>0.07936507937</v>
      </c>
      <c r="I114" s="143"/>
      <c r="J114" s="16" t="str">
        <f>IFERROR(__xludf.DUMMYFUNCTION("VLOOKUP(A114,IMPORTRANGE(""1QZ5UxyNCwadreQAXnQ7oCoH982DjIA-QnZdO7ZoqkC0/edit#gid=884617569"",""S4 Totals!$A$2:$O$255""),7,FALSE)"),"")</f>
        <v/>
      </c>
      <c r="K114" s="15" t="str">
        <f>IFERROR(__xludf.DUMMYFUNCTION("VLOOKUP(A114,IMPORTRANGE(""1QZ5UxyNCwadreQAXnQ7oCoH982DjIA-QnZdO7ZoqkC0/edit#gid=884617569"",""S4 Totals!$A$2:$O$255""),8,FALSE)"),"")</f>
        <v/>
      </c>
      <c r="L114" s="147"/>
      <c r="M114" s="16" t="str">
        <f>IFERROR(__xludf.DUMMYFUNCTION("VLOOKUP(A114,IMPORTRANGE(""1QZ5UxyNCwadreQAXnQ7oCoH982DjIA-QnZdO7ZoqkC0/edit#gid=884617569"",""S4 Totals!$A$2:$O$255""),10,FALSE)"),"")</f>
        <v/>
      </c>
      <c r="N114" s="15" t="str">
        <f>IFERROR(__xludf.DUMMYFUNCTION("VLOOKUP(A114,IMPORTRANGE(""1QZ5UxyNCwadreQAXnQ7oCoH982DjIA-QnZdO7ZoqkC0/edit#gid=884617569"",""S4 Totals!$A$2:$O$255""),11,FALSE)"),"")</f>
        <v/>
      </c>
      <c r="O114" s="110"/>
      <c r="P114" s="16" t="str">
        <f>IFERROR(__xludf.DUMMYFUNCTION("VLOOKUP(A114,IMPORTRANGE(""1QZ5UxyNCwadreQAXnQ7oCoH982DjIA-QnZdO7ZoqkC0/edit#gid=884617569"",""S4 Totals!$A$2:$O$255""),13,FALSE)"),"")</f>
        <v/>
      </c>
      <c r="Q114" s="15" t="str">
        <f>IFERROR(__xludf.DUMMYFUNCTION("VLOOKUP(A114,IMPORTRANGE(""1QZ5UxyNCwadreQAXnQ7oCoH982DjIA-QnZdO7ZoqkC0/edit#gid=884617569"",""S4 Totals!$A$2:$O$255""),14,FALSE)"),"")</f>
        <v/>
      </c>
      <c r="R114" s="110"/>
    </row>
    <row r="115">
      <c r="A115" s="128" t="s">
        <v>237</v>
      </c>
      <c r="B115" s="16">
        <f>IFERROR(__xludf.DUMMYFUNCTION("VLOOKUP(A115,IMPORTRANGE(""1aFCnJY1qhIj8-JckJhDJ18aqmVo17tofpQmOjcYa3u8/edit#gid=1878241338"",""S4 Totals!$A$2:$O$255""),2,FALSE)"),2.0)</f>
        <v>2</v>
      </c>
      <c r="C115" s="15">
        <f>IFERROR(__xludf.DUMMYFUNCTION("VLOOKUP(A115,IMPORTRANGE(""1aFCnJY1qhIj8-JckJhDJ18aqmVo17tofpQmOjcYa3u8/edit#gid=1878241338"",""S4 Totals!$A$2:$O$255""),3,FALSE)"),0.04)</f>
        <v>0.04</v>
      </c>
      <c r="D115" s="16">
        <f>IFERROR(__xludf.DUMMYFUNCTION("VLOOKUP(A115,IMPORTRANGE(""1QZ5UxyNCwadreQAXnQ7oCoH982DjIA-QnZdO7ZoqkC0/edit#gid=884617569"",""S4 Totals!$A$2:$O$255""),2,FALSE)"),1.0)</f>
        <v>1</v>
      </c>
      <c r="E115" s="15">
        <f>IFERROR(__xludf.DUMMYFUNCTION("VLOOKUP(A115,IMPORTRANGE(""1QZ5UxyNCwadreQAXnQ7oCoH982DjIA-QnZdO7ZoqkC0/edit#gid=884617569"",""S4 Totals!$A$2:$O$255""),3,FALSE)"),0.02127659574468085)</f>
        <v>0.02127659574</v>
      </c>
      <c r="F115" s="146">
        <f t="shared" si="1"/>
        <v>0.01872340426</v>
      </c>
      <c r="G115" s="16">
        <f>IFERROR(__xludf.DUMMYFUNCTION("VLOOKUP(A115,IMPORTRANGE(""1QZ5UxyNCwadreQAXnQ7oCoH982DjIA-QnZdO7ZoqkC0/edit#gid=884617569"",""S4 Totals!$A$2:$O$255""),4,FALSE)"),3.0)</f>
        <v>3</v>
      </c>
      <c r="H115" s="15">
        <f>IFERROR(__xludf.DUMMYFUNCTION("VLOOKUP(A115,IMPORTRANGE(""1QZ5UxyNCwadreQAXnQ7oCoH982DjIA-QnZdO7ZoqkC0/edit#gid=884617569"",""S4 Totals!$A$2:$O$255""),5,FALSE)"),0.047619047619047616)</f>
        <v>0.04761904762</v>
      </c>
      <c r="I115" s="143"/>
      <c r="J115" s="16" t="str">
        <f>IFERROR(__xludf.DUMMYFUNCTION("VLOOKUP(A115,IMPORTRANGE(""1QZ5UxyNCwadreQAXnQ7oCoH982DjIA-QnZdO7ZoqkC0/edit#gid=884617569"",""S4 Totals!$A$2:$O$255""),7,FALSE)"),"")</f>
        <v/>
      </c>
      <c r="K115" s="15" t="str">
        <f>IFERROR(__xludf.DUMMYFUNCTION("VLOOKUP(A115,IMPORTRANGE(""1QZ5UxyNCwadreQAXnQ7oCoH982DjIA-QnZdO7ZoqkC0/edit#gid=884617569"",""S4 Totals!$A$2:$O$255""),8,FALSE)"),"")</f>
        <v/>
      </c>
      <c r="L115" s="147"/>
      <c r="M115" s="16" t="str">
        <f>IFERROR(__xludf.DUMMYFUNCTION("VLOOKUP(A115,IMPORTRANGE(""1QZ5UxyNCwadreQAXnQ7oCoH982DjIA-QnZdO7ZoqkC0/edit#gid=884617569"",""S4 Totals!$A$2:$O$255""),10,FALSE)"),"")</f>
        <v/>
      </c>
      <c r="N115" s="15" t="str">
        <f>IFERROR(__xludf.DUMMYFUNCTION("VLOOKUP(A115,IMPORTRANGE(""1QZ5UxyNCwadreQAXnQ7oCoH982DjIA-QnZdO7ZoqkC0/edit#gid=884617569"",""S4 Totals!$A$2:$O$255""),11,FALSE)"),"")</f>
        <v/>
      </c>
      <c r="O115" s="110"/>
      <c r="P115" s="16" t="str">
        <f>IFERROR(__xludf.DUMMYFUNCTION("VLOOKUP(A115,IMPORTRANGE(""1QZ5UxyNCwadreQAXnQ7oCoH982DjIA-QnZdO7ZoqkC0/edit#gid=884617569"",""S4 Totals!$A$2:$O$255""),13,FALSE)"),"")</f>
        <v/>
      </c>
      <c r="Q115" s="15" t="str">
        <f>IFERROR(__xludf.DUMMYFUNCTION("VLOOKUP(A115,IMPORTRANGE(""1QZ5UxyNCwadreQAXnQ7oCoH982DjIA-QnZdO7ZoqkC0/edit#gid=884617569"",""S4 Totals!$A$2:$O$255""),14,FALSE)"),"")</f>
        <v/>
      </c>
      <c r="R115" s="110"/>
    </row>
    <row r="116">
      <c r="A116" s="135" t="s">
        <v>131</v>
      </c>
      <c r="B116" s="16">
        <f>IFERROR(__xludf.DUMMYFUNCTION("VLOOKUP(A116,IMPORTRANGE(""1aFCnJY1qhIj8-JckJhDJ18aqmVo17tofpQmOjcYa3u8/edit#gid=1878241338"",""S4 Totals!$A$2:$O$255""),2,FALSE)"),10.0)</f>
        <v>10</v>
      </c>
      <c r="C116" s="15">
        <f>IFERROR(__xludf.DUMMYFUNCTION("VLOOKUP(A116,IMPORTRANGE(""1aFCnJY1qhIj8-JckJhDJ18aqmVo17tofpQmOjcYa3u8/edit#gid=1878241338"",""S4 Totals!$A$2:$O$255""),3,FALSE)"),0.2)</f>
        <v>0.2</v>
      </c>
      <c r="D116" s="16">
        <f>IFERROR(__xludf.DUMMYFUNCTION("VLOOKUP(A116,IMPORTRANGE(""1QZ5UxyNCwadreQAXnQ7oCoH982DjIA-QnZdO7ZoqkC0/edit#gid=884617569"",""S4 Totals!$A$2:$O$255""),2,FALSE)"),7.0)</f>
        <v>7</v>
      </c>
      <c r="E116" s="15">
        <f>IFERROR(__xludf.DUMMYFUNCTION("VLOOKUP(A116,IMPORTRANGE(""1QZ5UxyNCwadreQAXnQ7oCoH982DjIA-QnZdO7ZoqkC0/edit#gid=884617569"",""S4 Totals!$A$2:$O$255""),3,FALSE)"),0.14893617021276595)</f>
        <v>0.1489361702</v>
      </c>
      <c r="F116" s="146">
        <f t="shared" si="1"/>
        <v>0.05106382979</v>
      </c>
      <c r="G116" s="16">
        <f>IFERROR(__xludf.DUMMYFUNCTION("VLOOKUP(A116,IMPORTRANGE(""1QZ5UxyNCwadreQAXnQ7oCoH982DjIA-QnZdO7ZoqkC0/edit#gid=884617569"",""S4 Totals!$A$2:$O$255""),4,FALSE)"),7.0)</f>
        <v>7</v>
      </c>
      <c r="H116" s="15">
        <f>IFERROR(__xludf.DUMMYFUNCTION("VLOOKUP(A116,IMPORTRANGE(""1QZ5UxyNCwadreQAXnQ7oCoH982DjIA-QnZdO7ZoqkC0/edit#gid=884617569"",""S4 Totals!$A$2:$O$255""),5,FALSE)"),0.1111111111111111)</f>
        <v>0.1111111111</v>
      </c>
      <c r="I116" s="143"/>
      <c r="J116" s="16">
        <f>IFERROR(__xludf.DUMMYFUNCTION("VLOOKUP(A116,IMPORTRANGE(""1QZ5UxyNCwadreQAXnQ7oCoH982DjIA-QnZdO7ZoqkC0/edit#gid=884617569"",""S4 Totals!$A$2:$O$255""),7,FALSE)"),2.0)</f>
        <v>2</v>
      </c>
      <c r="K116" s="15">
        <f>IFERROR(__xludf.DUMMYFUNCTION("VLOOKUP(A116,IMPORTRANGE(""1QZ5UxyNCwadreQAXnQ7oCoH982DjIA-QnZdO7ZoqkC0/edit#gid=884617569"",""S4 Totals!$A$2:$O$255""),8,FALSE)"),0.02857142857142857)</f>
        <v>0.02857142857</v>
      </c>
      <c r="L116" s="147"/>
      <c r="M116" s="16">
        <f>IFERROR(__xludf.DUMMYFUNCTION("VLOOKUP(A116,IMPORTRANGE(""1QZ5UxyNCwadreQAXnQ7oCoH982DjIA-QnZdO7ZoqkC0/edit#gid=884617569"",""S4 Totals!$A$2:$O$255""),10,FALSE)"),6.0)</f>
        <v>6</v>
      </c>
      <c r="N116" s="15">
        <f>IFERROR(__xludf.DUMMYFUNCTION("VLOOKUP(A116,IMPORTRANGE(""1QZ5UxyNCwadreQAXnQ7oCoH982DjIA-QnZdO7ZoqkC0/edit#gid=884617569"",""S4 Totals!$A$2:$O$255""),11,FALSE)"),0.08108108108108109)</f>
        <v>0.08108108108</v>
      </c>
      <c r="O116" s="110"/>
      <c r="P116" s="16" t="str">
        <f>IFERROR(__xludf.DUMMYFUNCTION("VLOOKUP(A116,IMPORTRANGE(""1QZ5UxyNCwadreQAXnQ7oCoH982DjIA-QnZdO7ZoqkC0/edit#gid=884617569"",""S4 Totals!$A$2:$O$255""),13,FALSE)"),"")</f>
        <v/>
      </c>
      <c r="Q116" s="15" t="str">
        <f>IFERROR(__xludf.DUMMYFUNCTION("VLOOKUP(A116,IMPORTRANGE(""1QZ5UxyNCwadreQAXnQ7oCoH982DjIA-QnZdO7ZoqkC0/edit#gid=884617569"",""S4 Totals!$A$2:$O$255""),14,FALSE)"),"")</f>
        <v/>
      </c>
      <c r="R116" s="110"/>
    </row>
    <row r="117">
      <c r="A117" s="128" t="s">
        <v>132</v>
      </c>
      <c r="B117" s="16">
        <f>IFERROR(__xludf.DUMMYFUNCTION("VLOOKUP(A117,IMPORTRANGE(""1aFCnJY1qhIj8-JckJhDJ18aqmVo17tofpQmOjcYa3u8/edit#gid=1878241338"",""S4 Totals!$A$2:$O$255""),2,FALSE)"),14.0)</f>
        <v>14</v>
      </c>
      <c r="C117" s="15">
        <f>IFERROR(__xludf.DUMMYFUNCTION("VLOOKUP(A117,IMPORTRANGE(""1aFCnJY1qhIj8-JckJhDJ18aqmVo17tofpQmOjcYa3u8/edit#gid=1878241338"",""S4 Totals!$A$2:$O$255""),3,FALSE)"),0.28)</f>
        <v>0.28</v>
      </c>
      <c r="D117" s="16">
        <f>IFERROR(__xludf.DUMMYFUNCTION("VLOOKUP(A117,IMPORTRANGE(""1QZ5UxyNCwadreQAXnQ7oCoH982DjIA-QnZdO7ZoqkC0/edit#gid=884617569"",""S4 Totals!$A$2:$O$255""),2,FALSE)"),5.0)</f>
        <v>5</v>
      </c>
      <c r="E117" s="15">
        <f>IFERROR(__xludf.DUMMYFUNCTION("VLOOKUP(A117,IMPORTRANGE(""1QZ5UxyNCwadreQAXnQ7oCoH982DjIA-QnZdO7ZoqkC0/edit#gid=884617569"",""S4 Totals!$A$2:$O$255""),3,FALSE)"),0.10638297872340426)</f>
        <v>0.1063829787</v>
      </c>
      <c r="F117" s="146">
        <f t="shared" si="1"/>
        <v>0.1736170213</v>
      </c>
      <c r="G117" s="16">
        <f>IFERROR(__xludf.DUMMYFUNCTION("VLOOKUP(A117,IMPORTRANGE(""1QZ5UxyNCwadreQAXnQ7oCoH982DjIA-QnZdO7ZoqkC0/edit#gid=884617569"",""S4 Totals!$A$2:$O$255""),4,FALSE)"),6.0)</f>
        <v>6</v>
      </c>
      <c r="H117" s="15">
        <f>IFERROR(__xludf.DUMMYFUNCTION("VLOOKUP(A117,IMPORTRANGE(""1QZ5UxyNCwadreQAXnQ7oCoH982DjIA-QnZdO7ZoqkC0/edit#gid=884617569"",""S4 Totals!$A$2:$O$255""),5,FALSE)"),0.09523809523809523)</f>
        <v>0.09523809524</v>
      </c>
      <c r="I117" s="143"/>
      <c r="J117" s="16">
        <f>IFERROR(__xludf.DUMMYFUNCTION("VLOOKUP(A117,IMPORTRANGE(""1QZ5UxyNCwadreQAXnQ7oCoH982DjIA-QnZdO7ZoqkC0/edit#gid=884617569"",""S4 Totals!$A$2:$O$255""),7,FALSE)"),2.0)</f>
        <v>2</v>
      </c>
      <c r="K117" s="15">
        <f>IFERROR(__xludf.DUMMYFUNCTION("VLOOKUP(A117,IMPORTRANGE(""1QZ5UxyNCwadreQAXnQ7oCoH982DjIA-QnZdO7ZoqkC0/edit#gid=884617569"",""S4 Totals!$A$2:$O$255""),8,FALSE)"),0.02857142857142857)</f>
        <v>0.02857142857</v>
      </c>
      <c r="L117" s="147"/>
      <c r="M117" s="16">
        <f>IFERROR(__xludf.DUMMYFUNCTION("VLOOKUP(A117,IMPORTRANGE(""1QZ5UxyNCwadreQAXnQ7oCoH982DjIA-QnZdO7ZoqkC0/edit#gid=884617569"",""S4 Totals!$A$2:$O$255""),10,FALSE)"),3.0)</f>
        <v>3</v>
      </c>
      <c r="N117" s="15">
        <f>IFERROR(__xludf.DUMMYFUNCTION("VLOOKUP(A117,IMPORTRANGE(""1QZ5UxyNCwadreQAXnQ7oCoH982DjIA-QnZdO7ZoqkC0/edit#gid=884617569"",""S4 Totals!$A$2:$O$255""),11,FALSE)"),0.04054054054054054)</f>
        <v>0.04054054054</v>
      </c>
      <c r="O117" s="110"/>
      <c r="P117" s="16" t="str">
        <f>IFERROR(__xludf.DUMMYFUNCTION("VLOOKUP(A117,IMPORTRANGE(""1QZ5UxyNCwadreQAXnQ7oCoH982DjIA-QnZdO7ZoqkC0/edit#gid=884617569"",""S4 Totals!$A$2:$O$255""),13,FALSE)"),"")</f>
        <v/>
      </c>
      <c r="Q117" s="15" t="str">
        <f>IFERROR(__xludf.DUMMYFUNCTION("VLOOKUP(A117,IMPORTRANGE(""1QZ5UxyNCwadreQAXnQ7oCoH982DjIA-QnZdO7ZoqkC0/edit#gid=884617569"",""S4 Totals!$A$2:$O$255""),14,FALSE)"),"")</f>
        <v/>
      </c>
      <c r="R117" s="110"/>
    </row>
    <row r="118">
      <c r="A118" s="128" t="s">
        <v>61</v>
      </c>
      <c r="B118" s="16">
        <f>IFERROR(__xludf.DUMMYFUNCTION("VLOOKUP(A118,IMPORTRANGE(""1aFCnJY1qhIj8-JckJhDJ18aqmVo17tofpQmOjcYa3u8/edit#gid=1878241338"",""S4 Totals!$A$2:$O$255""),2,FALSE)"),16.0)</f>
        <v>16</v>
      </c>
      <c r="C118" s="15">
        <f>IFERROR(__xludf.DUMMYFUNCTION("VLOOKUP(A118,IMPORTRANGE(""1aFCnJY1qhIj8-JckJhDJ18aqmVo17tofpQmOjcYa3u8/edit#gid=1878241338"",""S4 Totals!$A$2:$O$255""),3,FALSE)"),0.32)</f>
        <v>0.32</v>
      </c>
      <c r="D118" s="16">
        <f>IFERROR(__xludf.DUMMYFUNCTION("VLOOKUP(A118,IMPORTRANGE(""1QZ5UxyNCwadreQAXnQ7oCoH982DjIA-QnZdO7ZoqkC0/edit#gid=884617569"",""S4 Totals!$A$2:$O$255""),2,FALSE)"),15.0)</f>
        <v>15</v>
      </c>
      <c r="E118" s="15">
        <f>IFERROR(__xludf.DUMMYFUNCTION("VLOOKUP(A118,IMPORTRANGE(""1QZ5UxyNCwadreQAXnQ7oCoH982DjIA-QnZdO7ZoqkC0/edit#gid=884617569"",""S4 Totals!$A$2:$O$255""),3,FALSE)"),0.3191489361702128)</f>
        <v>0.3191489362</v>
      </c>
      <c r="F118" s="146">
        <f t="shared" si="1"/>
        <v>0.0008510638298</v>
      </c>
      <c r="G118" s="16">
        <f>IFERROR(__xludf.DUMMYFUNCTION("VLOOKUP(A118,IMPORTRANGE(""1QZ5UxyNCwadreQAXnQ7oCoH982DjIA-QnZdO7ZoqkC0/edit#gid=884617569"",""S4 Totals!$A$2:$O$255""),4,FALSE)"),17.0)</f>
        <v>17</v>
      </c>
      <c r="H118" s="15">
        <f>IFERROR(__xludf.DUMMYFUNCTION("VLOOKUP(A118,IMPORTRANGE(""1QZ5UxyNCwadreQAXnQ7oCoH982DjIA-QnZdO7ZoqkC0/edit#gid=884617569"",""S4 Totals!$A$2:$O$255""),5,FALSE)"),0.2698412698412698)</f>
        <v>0.2698412698</v>
      </c>
      <c r="I118" s="143"/>
      <c r="J118" s="16">
        <f>IFERROR(__xludf.DUMMYFUNCTION("VLOOKUP(A118,IMPORTRANGE(""1QZ5UxyNCwadreQAXnQ7oCoH982DjIA-QnZdO7ZoqkC0/edit#gid=884617569"",""S4 Totals!$A$2:$O$255""),7,FALSE)"),23.0)</f>
        <v>23</v>
      </c>
      <c r="K118" s="15">
        <f>IFERROR(__xludf.DUMMYFUNCTION("VLOOKUP(A118,IMPORTRANGE(""1QZ5UxyNCwadreQAXnQ7oCoH982DjIA-QnZdO7ZoqkC0/edit#gid=884617569"",""S4 Totals!$A$2:$O$255""),8,FALSE)"),0.32857142857142857)</f>
        <v>0.3285714286</v>
      </c>
      <c r="L118" s="147"/>
      <c r="M118" s="16">
        <f>IFERROR(__xludf.DUMMYFUNCTION("VLOOKUP(A118,IMPORTRANGE(""1QZ5UxyNCwadreQAXnQ7oCoH982DjIA-QnZdO7ZoqkC0/edit#gid=884617569"",""S4 Totals!$A$2:$O$255""),10,FALSE)"),12.0)</f>
        <v>12</v>
      </c>
      <c r="N118" s="15">
        <f>IFERROR(__xludf.DUMMYFUNCTION("VLOOKUP(A118,IMPORTRANGE(""1QZ5UxyNCwadreQAXnQ7oCoH982DjIA-QnZdO7ZoqkC0/edit#gid=884617569"",""S4 Totals!$A$2:$O$255""),11,FALSE)"),0.16216216216216217)</f>
        <v>0.1621621622</v>
      </c>
      <c r="O118" s="110"/>
      <c r="P118" s="16">
        <f>IFERROR(__xludf.DUMMYFUNCTION("VLOOKUP(A118,IMPORTRANGE(""1QZ5UxyNCwadreQAXnQ7oCoH982DjIA-QnZdO7ZoqkC0/edit#gid=884617569"",""S4 Totals!$A$2:$O$255""),13,FALSE)"),12.0)</f>
        <v>12</v>
      </c>
      <c r="Q118" s="15">
        <f>IFERROR(__xludf.DUMMYFUNCTION("VLOOKUP(A118,IMPORTRANGE(""1QZ5UxyNCwadreQAXnQ7oCoH982DjIA-QnZdO7ZoqkC0/edit#gid=884617569"",""S4 Totals!$A$2:$O$255""),14,FALSE)"),0.16)</f>
        <v>0.16</v>
      </c>
      <c r="R118" s="110"/>
    </row>
    <row r="119">
      <c r="A119" s="128" t="s">
        <v>300</v>
      </c>
      <c r="B119" s="16">
        <f>IFERROR(__xludf.DUMMYFUNCTION("VLOOKUP(A119,IMPORTRANGE(""1aFCnJY1qhIj8-JckJhDJ18aqmVo17tofpQmOjcYa3u8/edit#gid=1878241338"",""S4 Totals!$A$2:$O$255""),2,FALSE)"),0.0)</f>
        <v>0</v>
      </c>
      <c r="C119" s="15">
        <f>IFERROR(__xludf.DUMMYFUNCTION("VLOOKUP(A119,IMPORTRANGE(""1aFCnJY1qhIj8-JckJhDJ18aqmVo17tofpQmOjcYa3u8/edit#gid=1878241338"",""S4 Totals!$A$2:$O$255""),3,FALSE)"),0.0)</f>
        <v>0</v>
      </c>
      <c r="D119" s="16">
        <f>IFERROR(__xludf.DUMMYFUNCTION("VLOOKUP(A119,IMPORTRANGE(""1QZ5UxyNCwadreQAXnQ7oCoH982DjIA-QnZdO7ZoqkC0/edit#gid=884617569"",""S4 Totals!$A$2:$O$255""),2,FALSE)"),2.0)</f>
        <v>2</v>
      </c>
      <c r="E119" s="15">
        <f>IFERROR(__xludf.DUMMYFUNCTION("VLOOKUP(A119,IMPORTRANGE(""1QZ5UxyNCwadreQAXnQ7oCoH982DjIA-QnZdO7ZoqkC0/edit#gid=884617569"",""S4 Totals!$A$2:$O$255""),3,FALSE)"),0.0425531914893617)</f>
        <v>0.04255319149</v>
      </c>
      <c r="F119" s="146">
        <f t="shared" si="1"/>
        <v>-0.04255319149</v>
      </c>
      <c r="G119" s="16">
        <f>IFERROR(__xludf.DUMMYFUNCTION("VLOOKUP(A119,IMPORTRANGE(""1QZ5UxyNCwadreQAXnQ7oCoH982DjIA-QnZdO7ZoqkC0/edit#gid=884617569"",""S4 Totals!$A$2:$O$255""),4,FALSE)"),2.0)</f>
        <v>2</v>
      </c>
      <c r="H119" s="15">
        <f>IFERROR(__xludf.DUMMYFUNCTION("VLOOKUP(A119,IMPORTRANGE(""1QZ5UxyNCwadreQAXnQ7oCoH982DjIA-QnZdO7ZoqkC0/edit#gid=884617569"",""S4 Totals!$A$2:$O$255""),5,FALSE)"),0.031746031746031744)</f>
        <v>0.03174603175</v>
      </c>
      <c r="I119" s="143"/>
      <c r="J119" s="16" t="str">
        <f>IFERROR(__xludf.DUMMYFUNCTION("VLOOKUP(A119,IMPORTRANGE(""1QZ5UxyNCwadreQAXnQ7oCoH982DjIA-QnZdO7ZoqkC0/edit#gid=884617569"",""S4 Totals!$A$2:$O$255""),7,FALSE)"),"")</f>
        <v/>
      </c>
      <c r="K119" s="15" t="str">
        <f>IFERROR(__xludf.DUMMYFUNCTION("VLOOKUP(A119,IMPORTRANGE(""1QZ5UxyNCwadreQAXnQ7oCoH982DjIA-QnZdO7ZoqkC0/edit#gid=884617569"",""S4 Totals!$A$2:$O$255""),8,FALSE)"),"")</f>
        <v/>
      </c>
      <c r="L119" s="147"/>
      <c r="M119" s="16" t="str">
        <f>IFERROR(__xludf.DUMMYFUNCTION("VLOOKUP(A119,IMPORTRANGE(""1QZ5UxyNCwadreQAXnQ7oCoH982DjIA-QnZdO7ZoqkC0/edit#gid=884617569"",""S4 Totals!$A$2:$O$255""),10,FALSE)"),"")</f>
        <v/>
      </c>
      <c r="N119" s="15" t="str">
        <f>IFERROR(__xludf.DUMMYFUNCTION("VLOOKUP(A119,IMPORTRANGE(""1QZ5UxyNCwadreQAXnQ7oCoH982DjIA-QnZdO7ZoqkC0/edit#gid=884617569"",""S4 Totals!$A$2:$O$255""),11,FALSE)"),"")</f>
        <v/>
      </c>
      <c r="O119" s="110"/>
      <c r="P119" s="16" t="str">
        <f>IFERROR(__xludf.DUMMYFUNCTION("VLOOKUP(A119,IMPORTRANGE(""1QZ5UxyNCwadreQAXnQ7oCoH982DjIA-QnZdO7ZoqkC0/edit#gid=884617569"",""S4 Totals!$A$2:$O$255""),13,FALSE)"),"")</f>
        <v/>
      </c>
      <c r="Q119" s="15" t="str">
        <f>IFERROR(__xludf.DUMMYFUNCTION("VLOOKUP(A119,IMPORTRANGE(""1QZ5UxyNCwadreQAXnQ7oCoH982DjIA-QnZdO7ZoqkC0/edit#gid=884617569"",""S4 Totals!$A$2:$O$255""),14,FALSE)"),"")</f>
        <v/>
      </c>
      <c r="R119" s="110"/>
    </row>
    <row r="120">
      <c r="A120" s="132" t="s">
        <v>180</v>
      </c>
      <c r="B120" s="16">
        <f>IFERROR(__xludf.DUMMYFUNCTION("VLOOKUP(A120,IMPORTRANGE(""1aFCnJY1qhIj8-JckJhDJ18aqmVo17tofpQmOjcYa3u8/edit#gid=1878241338"",""S4 Totals!$A$2:$O$255""),2,FALSE)"),0.0)</f>
        <v>0</v>
      </c>
      <c r="C120" s="15">
        <f>IFERROR(__xludf.DUMMYFUNCTION("VLOOKUP(A120,IMPORTRANGE(""1aFCnJY1qhIj8-JckJhDJ18aqmVo17tofpQmOjcYa3u8/edit#gid=1878241338"",""S4 Totals!$A$2:$O$255""),3,FALSE)"),0.0)</f>
        <v>0</v>
      </c>
      <c r="D120" s="16">
        <f>IFERROR(__xludf.DUMMYFUNCTION("VLOOKUP(A120,IMPORTRANGE(""1QZ5UxyNCwadreQAXnQ7oCoH982DjIA-QnZdO7ZoqkC0/edit#gid=884617569"",""S4 Totals!$A$2:$O$255""),2,FALSE)"),0.0)</f>
        <v>0</v>
      </c>
      <c r="E120" s="15">
        <f>IFERROR(__xludf.DUMMYFUNCTION("VLOOKUP(A120,IMPORTRANGE(""1QZ5UxyNCwadreQAXnQ7oCoH982DjIA-QnZdO7ZoqkC0/edit#gid=884617569"",""S4 Totals!$A$2:$O$255""),3,FALSE)"),0.0)</f>
        <v>0</v>
      </c>
      <c r="F120" s="146">
        <f t="shared" si="1"/>
        <v>0</v>
      </c>
      <c r="G120" s="16">
        <f>IFERROR(__xludf.DUMMYFUNCTION("VLOOKUP(A120,IMPORTRANGE(""1QZ5UxyNCwadreQAXnQ7oCoH982DjIA-QnZdO7ZoqkC0/edit#gid=884617569"",""S4 Totals!$A$2:$O$255""),4,FALSE)"),2.0)</f>
        <v>2</v>
      </c>
      <c r="H120" s="15">
        <f>IFERROR(__xludf.DUMMYFUNCTION("VLOOKUP(A120,IMPORTRANGE(""1QZ5UxyNCwadreQAXnQ7oCoH982DjIA-QnZdO7ZoqkC0/edit#gid=884617569"",""S4 Totals!$A$2:$O$255""),5,FALSE)"),0.031746031746031744)</f>
        <v>0.03174603175</v>
      </c>
      <c r="I120" s="143"/>
      <c r="J120" s="16">
        <f>IFERROR(__xludf.DUMMYFUNCTION("VLOOKUP(A120,IMPORTRANGE(""1QZ5UxyNCwadreQAXnQ7oCoH982DjIA-QnZdO7ZoqkC0/edit#gid=884617569"",""S4 Totals!$A$2:$O$255""),7,FALSE)"),4.0)</f>
        <v>4</v>
      </c>
      <c r="K120" s="15">
        <f>IFERROR(__xludf.DUMMYFUNCTION("VLOOKUP(A120,IMPORTRANGE(""1QZ5UxyNCwadreQAXnQ7oCoH982DjIA-QnZdO7ZoqkC0/edit#gid=884617569"",""S4 Totals!$A$2:$O$255""),8,FALSE)"),0.05714285714285714)</f>
        <v>0.05714285714</v>
      </c>
      <c r="L120" s="147"/>
      <c r="M120" s="16" t="str">
        <f>IFERROR(__xludf.DUMMYFUNCTION("VLOOKUP(A120,IMPORTRANGE(""1QZ5UxyNCwadreQAXnQ7oCoH982DjIA-QnZdO7ZoqkC0/edit#gid=884617569"",""S4 Totals!$A$2:$O$255""),10,FALSE)"),"")</f>
        <v/>
      </c>
      <c r="N120" s="15" t="str">
        <f>IFERROR(__xludf.DUMMYFUNCTION("VLOOKUP(A120,IMPORTRANGE(""1QZ5UxyNCwadreQAXnQ7oCoH982DjIA-QnZdO7ZoqkC0/edit#gid=884617569"",""S4 Totals!$A$2:$O$255""),11,FALSE)"),"")</f>
        <v/>
      </c>
      <c r="O120" s="110"/>
      <c r="P120" s="16" t="str">
        <f>IFERROR(__xludf.DUMMYFUNCTION("VLOOKUP(A120,IMPORTRANGE(""1QZ5UxyNCwadreQAXnQ7oCoH982DjIA-QnZdO7ZoqkC0/edit#gid=884617569"",""S4 Totals!$A$2:$O$255""),13,FALSE)"),"")</f>
        <v/>
      </c>
      <c r="Q120" s="15" t="str">
        <f>IFERROR(__xludf.DUMMYFUNCTION("VLOOKUP(A120,IMPORTRANGE(""1QZ5UxyNCwadreQAXnQ7oCoH982DjIA-QnZdO7ZoqkC0/edit#gid=884617569"",""S4 Totals!$A$2:$O$255""),14,FALSE)"),"")</f>
        <v/>
      </c>
      <c r="R120" s="110"/>
    </row>
    <row r="121">
      <c r="A121" s="128" t="s">
        <v>133</v>
      </c>
      <c r="B121" s="16">
        <f>IFERROR(__xludf.DUMMYFUNCTION("VLOOKUP(A121,IMPORTRANGE(""1aFCnJY1qhIj8-JckJhDJ18aqmVo17tofpQmOjcYa3u8/edit#gid=1878241338"",""S4 Totals!$A$2:$O$255""),2,FALSE)"),14.0)</f>
        <v>14</v>
      </c>
      <c r="C121" s="15">
        <f>IFERROR(__xludf.DUMMYFUNCTION("VLOOKUP(A121,IMPORTRANGE(""1aFCnJY1qhIj8-JckJhDJ18aqmVo17tofpQmOjcYa3u8/edit#gid=1878241338"",""S4 Totals!$A$2:$O$255""),3,FALSE)"),0.28)</f>
        <v>0.28</v>
      </c>
      <c r="D121" s="16">
        <f>IFERROR(__xludf.DUMMYFUNCTION("VLOOKUP(A121,IMPORTRANGE(""1QZ5UxyNCwadreQAXnQ7oCoH982DjIA-QnZdO7ZoqkC0/edit#gid=884617569"",""S4 Totals!$A$2:$O$255""),2,FALSE)"),7.0)</f>
        <v>7</v>
      </c>
      <c r="E121" s="15">
        <f>IFERROR(__xludf.DUMMYFUNCTION("VLOOKUP(A121,IMPORTRANGE(""1QZ5UxyNCwadreQAXnQ7oCoH982DjIA-QnZdO7ZoqkC0/edit#gid=884617569"",""S4 Totals!$A$2:$O$255""),3,FALSE)"),0.14893617021276595)</f>
        <v>0.1489361702</v>
      </c>
      <c r="F121" s="146">
        <f t="shared" si="1"/>
        <v>0.1310638298</v>
      </c>
      <c r="G121" s="16">
        <f>IFERROR(__xludf.DUMMYFUNCTION("VLOOKUP(A121,IMPORTRANGE(""1QZ5UxyNCwadreQAXnQ7oCoH982DjIA-QnZdO7ZoqkC0/edit#gid=884617569"",""S4 Totals!$A$2:$O$255""),4,FALSE)"),9.0)</f>
        <v>9</v>
      </c>
      <c r="H121" s="15">
        <f>IFERROR(__xludf.DUMMYFUNCTION("VLOOKUP(A121,IMPORTRANGE(""1QZ5UxyNCwadreQAXnQ7oCoH982DjIA-QnZdO7ZoqkC0/edit#gid=884617569"",""S4 Totals!$A$2:$O$255""),5,FALSE)"),0.14285714285714285)</f>
        <v>0.1428571429</v>
      </c>
      <c r="I121" s="143"/>
      <c r="J121" s="16">
        <f>IFERROR(__xludf.DUMMYFUNCTION("VLOOKUP(A121,IMPORTRANGE(""1QZ5UxyNCwadreQAXnQ7oCoH982DjIA-QnZdO7ZoqkC0/edit#gid=884617569"",""S4 Totals!$A$2:$O$255""),7,FALSE)"),9.0)</f>
        <v>9</v>
      </c>
      <c r="K121" s="15">
        <f>IFERROR(__xludf.DUMMYFUNCTION("VLOOKUP(A121,IMPORTRANGE(""1QZ5UxyNCwadreQAXnQ7oCoH982DjIA-QnZdO7ZoqkC0/edit#gid=884617569"",""S4 Totals!$A$2:$O$255""),8,FALSE)"),0.12857142857142856)</f>
        <v>0.1285714286</v>
      </c>
      <c r="L121" s="147"/>
      <c r="M121" s="16">
        <f>IFERROR(__xludf.DUMMYFUNCTION("VLOOKUP(A121,IMPORTRANGE(""1QZ5UxyNCwadreQAXnQ7oCoH982DjIA-QnZdO7ZoqkC0/edit#gid=884617569"",""S4 Totals!$A$2:$O$255""),10,FALSE)"),15.0)</f>
        <v>15</v>
      </c>
      <c r="N121" s="15">
        <f>IFERROR(__xludf.DUMMYFUNCTION("VLOOKUP(A121,IMPORTRANGE(""1QZ5UxyNCwadreQAXnQ7oCoH982DjIA-QnZdO7ZoqkC0/edit#gid=884617569"",""S4 Totals!$A$2:$O$255""),11,FALSE)"),0.20270270270270271)</f>
        <v>0.2027027027</v>
      </c>
      <c r="O121" s="110"/>
      <c r="P121" s="16" t="str">
        <f>IFERROR(__xludf.DUMMYFUNCTION("VLOOKUP(A121,IMPORTRANGE(""1QZ5UxyNCwadreQAXnQ7oCoH982DjIA-QnZdO7ZoqkC0/edit#gid=884617569"",""S4 Totals!$A$2:$O$255""),13,FALSE)"),"")</f>
        <v/>
      </c>
      <c r="Q121" s="15" t="str">
        <f>IFERROR(__xludf.DUMMYFUNCTION("VLOOKUP(A121,IMPORTRANGE(""1QZ5UxyNCwadreQAXnQ7oCoH982DjIA-QnZdO7ZoqkC0/edit#gid=884617569"",""S4 Totals!$A$2:$O$255""),14,FALSE)"),"")</f>
        <v/>
      </c>
      <c r="R121" s="110"/>
    </row>
    <row r="122">
      <c r="A122" s="128" t="s">
        <v>238</v>
      </c>
      <c r="B122" s="16">
        <f>IFERROR(__xludf.DUMMYFUNCTION("VLOOKUP(A122,IMPORTRANGE(""1aFCnJY1qhIj8-JckJhDJ18aqmVo17tofpQmOjcYa3u8/edit#gid=1878241338"",""S4 Totals!$A$2:$O$255""),2,FALSE)"),6.0)</f>
        <v>6</v>
      </c>
      <c r="C122" s="15">
        <f>IFERROR(__xludf.DUMMYFUNCTION("VLOOKUP(A122,IMPORTRANGE(""1aFCnJY1qhIj8-JckJhDJ18aqmVo17tofpQmOjcYa3u8/edit#gid=1878241338"",""S4 Totals!$A$2:$O$255""),3,FALSE)"),0.12)</f>
        <v>0.12</v>
      </c>
      <c r="D122" s="16">
        <f>IFERROR(__xludf.DUMMYFUNCTION("VLOOKUP(A122,IMPORTRANGE(""1QZ5UxyNCwadreQAXnQ7oCoH982DjIA-QnZdO7ZoqkC0/edit#gid=884617569"",""S4 Totals!$A$2:$O$255""),2,FALSE)"),6.0)</f>
        <v>6</v>
      </c>
      <c r="E122" s="15">
        <f>IFERROR(__xludf.DUMMYFUNCTION("VLOOKUP(A122,IMPORTRANGE(""1QZ5UxyNCwadreQAXnQ7oCoH982DjIA-QnZdO7ZoqkC0/edit#gid=884617569"",""S4 Totals!$A$2:$O$255""),3,FALSE)"),0.1276595744680851)</f>
        <v>0.1276595745</v>
      </c>
      <c r="F122" s="146">
        <f t="shared" si="1"/>
        <v>-0.007659574468</v>
      </c>
      <c r="G122" s="16">
        <f>IFERROR(__xludf.DUMMYFUNCTION("VLOOKUP(A122,IMPORTRANGE(""1QZ5UxyNCwadreQAXnQ7oCoH982DjIA-QnZdO7ZoqkC0/edit#gid=884617569"",""S4 Totals!$A$2:$O$255""),4,FALSE)"),11.0)</f>
        <v>11</v>
      </c>
      <c r="H122" s="15">
        <f>IFERROR(__xludf.DUMMYFUNCTION("VLOOKUP(A122,IMPORTRANGE(""1QZ5UxyNCwadreQAXnQ7oCoH982DjIA-QnZdO7ZoqkC0/edit#gid=884617569"",""S4 Totals!$A$2:$O$255""),5,FALSE)"),0.1746031746031746)</f>
        <v>0.1746031746</v>
      </c>
      <c r="I122" s="143"/>
      <c r="J122" s="16" t="str">
        <f>IFERROR(__xludf.DUMMYFUNCTION("VLOOKUP(A122,IMPORTRANGE(""1QZ5UxyNCwadreQAXnQ7oCoH982DjIA-QnZdO7ZoqkC0/edit#gid=884617569"",""S4 Totals!$A$2:$O$255""),7,FALSE)"),"")</f>
        <v/>
      </c>
      <c r="K122" s="15" t="str">
        <f>IFERROR(__xludf.DUMMYFUNCTION("VLOOKUP(A122,IMPORTRANGE(""1QZ5UxyNCwadreQAXnQ7oCoH982DjIA-QnZdO7ZoqkC0/edit#gid=884617569"",""S4 Totals!$A$2:$O$255""),8,FALSE)"),"")</f>
        <v/>
      </c>
      <c r="L122" s="147"/>
      <c r="M122" s="16" t="str">
        <f>IFERROR(__xludf.DUMMYFUNCTION("VLOOKUP(A122,IMPORTRANGE(""1QZ5UxyNCwadreQAXnQ7oCoH982DjIA-QnZdO7ZoqkC0/edit#gid=884617569"",""S4 Totals!$A$2:$O$255""),10,FALSE)"),"")</f>
        <v/>
      </c>
      <c r="N122" s="15" t="str">
        <f>IFERROR(__xludf.DUMMYFUNCTION("VLOOKUP(A122,IMPORTRANGE(""1QZ5UxyNCwadreQAXnQ7oCoH982DjIA-QnZdO7ZoqkC0/edit#gid=884617569"",""S4 Totals!$A$2:$O$255""),11,FALSE)"),"")</f>
        <v/>
      </c>
      <c r="O122" s="110"/>
      <c r="P122" s="16" t="str">
        <f>IFERROR(__xludf.DUMMYFUNCTION("VLOOKUP(A122,IMPORTRANGE(""1QZ5UxyNCwadreQAXnQ7oCoH982DjIA-QnZdO7ZoqkC0/edit#gid=884617569"",""S4 Totals!$A$2:$O$255""),13,FALSE)"),"")</f>
        <v/>
      </c>
      <c r="Q122" s="15" t="str">
        <f>IFERROR(__xludf.DUMMYFUNCTION("VLOOKUP(A122,IMPORTRANGE(""1QZ5UxyNCwadreQAXnQ7oCoH982DjIA-QnZdO7ZoqkC0/edit#gid=884617569"",""S4 Totals!$A$2:$O$255""),14,FALSE)"),"")</f>
        <v/>
      </c>
      <c r="R122" s="110"/>
    </row>
    <row r="123">
      <c r="A123" s="128" t="s">
        <v>239</v>
      </c>
      <c r="B123" s="16">
        <f>IFERROR(__xludf.DUMMYFUNCTION("VLOOKUP(A123,IMPORTRANGE(""1aFCnJY1qhIj8-JckJhDJ18aqmVo17tofpQmOjcYa3u8/edit#gid=1878241338"",""S4 Totals!$A$2:$O$255""),2,FALSE)"),3.0)</f>
        <v>3</v>
      </c>
      <c r="C123" s="15">
        <f>IFERROR(__xludf.DUMMYFUNCTION("VLOOKUP(A123,IMPORTRANGE(""1aFCnJY1qhIj8-JckJhDJ18aqmVo17tofpQmOjcYa3u8/edit#gid=1878241338"",""S4 Totals!$A$2:$O$255""),3,FALSE)"),0.06)</f>
        <v>0.06</v>
      </c>
      <c r="D123" s="16">
        <f>IFERROR(__xludf.DUMMYFUNCTION("VLOOKUP(A123,IMPORTRANGE(""1QZ5UxyNCwadreQAXnQ7oCoH982DjIA-QnZdO7ZoqkC0/edit#gid=884617569"",""S4 Totals!$A$2:$O$255""),2,FALSE)"),4.0)</f>
        <v>4</v>
      </c>
      <c r="E123" s="15">
        <f>IFERROR(__xludf.DUMMYFUNCTION("VLOOKUP(A123,IMPORTRANGE(""1QZ5UxyNCwadreQAXnQ7oCoH982DjIA-QnZdO7ZoqkC0/edit#gid=884617569"",""S4 Totals!$A$2:$O$255""),3,FALSE)"),0.0851063829787234)</f>
        <v>0.08510638298</v>
      </c>
      <c r="F123" s="146">
        <f t="shared" si="1"/>
        <v>-0.02510638298</v>
      </c>
      <c r="G123" s="16">
        <f>IFERROR(__xludf.DUMMYFUNCTION("VLOOKUP(A123,IMPORTRANGE(""1QZ5UxyNCwadreQAXnQ7oCoH982DjIA-QnZdO7ZoqkC0/edit#gid=884617569"",""S4 Totals!$A$2:$O$255""),4,FALSE)"),6.0)</f>
        <v>6</v>
      </c>
      <c r="H123" s="15">
        <f>IFERROR(__xludf.DUMMYFUNCTION("VLOOKUP(A123,IMPORTRANGE(""1QZ5UxyNCwadreQAXnQ7oCoH982DjIA-QnZdO7ZoqkC0/edit#gid=884617569"",""S4 Totals!$A$2:$O$255""),5,FALSE)"),0.09523809523809523)</f>
        <v>0.09523809524</v>
      </c>
      <c r="I123" s="143"/>
      <c r="J123" s="16" t="str">
        <f>IFERROR(__xludf.DUMMYFUNCTION("VLOOKUP(A123,IMPORTRANGE(""1QZ5UxyNCwadreQAXnQ7oCoH982DjIA-QnZdO7ZoqkC0/edit#gid=884617569"",""S4 Totals!$A$2:$O$255""),7,FALSE)"),"")</f>
        <v/>
      </c>
      <c r="K123" s="15" t="str">
        <f>IFERROR(__xludf.DUMMYFUNCTION("VLOOKUP(A123,IMPORTRANGE(""1QZ5UxyNCwadreQAXnQ7oCoH982DjIA-QnZdO7ZoqkC0/edit#gid=884617569"",""S4 Totals!$A$2:$O$255""),8,FALSE)"),"")</f>
        <v/>
      </c>
      <c r="L123" s="147"/>
      <c r="M123" s="16" t="str">
        <f>IFERROR(__xludf.DUMMYFUNCTION("VLOOKUP(A123,IMPORTRANGE(""1QZ5UxyNCwadreQAXnQ7oCoH982DjIA-QnZdO7ZoqkC0/edit#gid=884617569"",""S4 Totals!$A$2:$O$255""),10,FALSE)"),"")</f>
        <v/>
      </c>
      <c r="N123" s="15" t="str">
        <f>IFERROR(__xludf.DUMMYFUNCTION("VLOOKUP(A123,IMPORTRANGE(""1QZ5UxyNCwadreQAXnQ7oCoH982DjIA-QnZdO7ZoqkC0/edit#gid=884617569"",""S4 Totals!$A$2:$O$255""),11,FALSE)"),"")</f>
        <v/>
      </c>
      <c r="O123" s="110"/>
      <c r="P123" s="16" t="str">
        <f>IFERROR(__xludf.DUMMYFUNCTION("VLOOKUP(A123,IMPORTRANGE(""1QZ5UxyNCwadreQAXnQ7oCoH982DjIA-QnZdO7ZoqkC0/edit#gid=884617569"",""S4 Totals!$A$2:$O$255""),13,FALSE)"),"")</f>
        <v/>
      </c>
      <c r="Q123" s="15" t="str">
        <f>IFERROR(__xludf.DUMMYFUNCTION("VLOOKUP(A123,IMPORTRANGE(""1QZ5UxyNCwadreQAXnQ7oCoH982DjIA-QnZdO7ZoqkC0/edit#gid=884617569"",""S4 Totals!$A$2:$O$255""),14,FALSE)"),"")</f>
        <v/>
      </c>
      <c r="R123" s="110"/>
    </row>
    <row r="124">
      <c r="A124" s="128" t="s">
        <v>267</v>
      </c>
      <c r="B124" s="16">
        <f>IFERROR(__xludf.DUMMYFUNCTION("VLOOKUP(A124,IMPORTRANGE(""1aFCnJY1qhIj8-JckJhDJ18aqmVo17tofpQmOjcYa3u8/edit#gid=1878241338"",""S4 Totals!$A$2:$O$255""),2,FALSE)"),9.0)</f>
        <v>9</v>
      </c>
      <c r="C124" s="15">
        <f>IFERROR(__xludf.DUMMYFUNCTION("VLOOKUP(A124,IMPORTRANGE(""1aFCnJY1qhIj8-JckJhDJ18aqmVo17tofpQmOjcYa3u8/edit#gid=1878241338"",""S4 Totals!$A$2:$O$255""),3,FALSE)"),0.18)</f>
        <v>0.18</v>
      </c>
      <c r="D124" s="16" t="str">
        <f>IFERROR(__xludf.DUMMYFUNCTION("VLOOKUP(A124,IMPORTRANGE(""1QZ5UxyNCwadreQAXnQ7oCoH982DjIA-QnZdO7ZoqkC0/edit#gid=884617569"",""S4 Totals!$A$2:$O$255""),2,FALSE)"),"#N/A")</f>
        <v>#N/A</v>
      </c>
      <c r="E124" s="15" t="str">
        <f>IFERROR(__xludf.DUMMYFUNCTION("VLOOKUP(A124,IMPORTRANGE(""1QZ5UxyNCwadreQAXnQ7oCoH982DjIA-QnZdO7ZoqkC0/edit#gid=884617569"",""S4 Totals!$A$2:$O$255""),3,FALSE)"),"#N/A")</f>
        <v>#N/A</v>
      </c>
      <c r="F124" s="146" t="str">
        <f t="shared" si="1"/>
        <v>#N/A</v>
      </c>
      <c r="G124" s="16" t="str">
        <f>IFERROR(__xludf.DUMMYFUNCTION("VLOOKUP(A124,IMPORTRANGE(""1QZ5UxyNCwadreQAXnQ7oCoH982DjIA-QnZdO7ZoqkC0/edit#gid=884617569"",""S4 Totals!$A$2:$O$255""),4,FALSE)"),"#N/A")</f>
        <v>#N/A</v>
      </c>
      <c r="H124" s="15" t="str">
        <f>IFERROR(__xludf.DUMMYFUNCTION("VLOOKUP(A124,IMPORTRANGE(""1QZ5UxyNCwadreQAXnQ7oCoH982DjIA-QnZdO7ZoqkC0/edit#gid=884617569"",""S4 Totals!$A$2:$O$255""),5,FALSE)"),"#N/A")</f>
        <v>#N/A</v>
      </c>
      <c r="I124" s="143"/>
      <c r="J124" s="16" t="str">
        <f>IFERROR(__xludf.DUMMYFUNCTION("VLOOKUP(A124,IMPORTRANGE(""1QZ5UxyNCwadreQAXnQ7oCoH982DjIA-QnZdO7ZoqkC0/edit#gid=884617569"",""S4 Totals!$A$2:$O$255""),7,FALSE)"),"#N/A")</f>
        <v>#N/A</v>
      </c>
      <c r="K124" s="15" t="str">
        <f>IFERROR(__xludf.DUMMYFUNCTION("VLOOKUP(A124,IMPORTRANGE(""1QZ5UxyNCwadreQAXnQ7oCoH982DjIA-QnZdO7ZoqkC0/edit#gid=884617569"",""S4 Totals!$A$2:$O$255""),8,FALSE)"),"#N/A")</f>
        <v>#N/A</v>
      </c>
      <c r="L124" s="147"/>
      <c r="M124" s="16" t="str">
        <f>IFERROR(__xludf.DUMMYFUNCTION("VLOOKUP(A124,IMPORTRANGE(""1QZ5UxyNCwadreQAXnQ7oCoH982DjIA-QnZdO7ZoqkC0/edit#gid=884617569"",""S4 Totals!$A$2:$O$255""),10,FALSE)"),"#N/A")</f>
        <v>#N/A</v>
      </c>
      <c r="N124" s="15" t="str">
        <f>IFERROR(__xludf.DUMMYFUNCTION("VLOOKUP(A124,IMPORTRANGE(""1QZ5UxyNCwadreQAXnQ7oCoH982DjIA-QnZdO7ZoqkC0/edit#gid=884617569"",""S4 Totals!$A$2:$O$255""),11,FALSE)"),"#N/A")</f>
        <v>#N/A</v>
      </c>
      <c r="O124" s="110"/>
      <c r="P124" s="16" t="str">
        <f>IFERROR(__xludf.DUMMYFUNCTION("VLOOKUP(A124,IMPORTRANGE(""1QZ5UxyNCwadreQAXnQ7oCoH982DjIA-QnZdO7ZoqkC0/edit#gid=884617569"",""S4 Totals!$A$2:$O$255""),13,FALSE)"),"#N/A")</f>
        <v>#N/A</v>
      </c>
      <c r="Q124" s="15" t="str">
        <f>IFERROR(__xludf.DUMMYFUNCTION("VLOOKUP(A124,IMPORTRANGE(""1QZ5UxyNCwadreQAXnQ7oCoH982DjIA-QnZdO7ZoqkC0/edit#gid=884617569"",""S4 Totals!$A$2:$O$255""),14,FALSE)"),"#N/A")</f>
        <v>#N/A</v>
      </c>
      <c r="R124" s="110"/>
    </row>
    <row r="125">
      <c r="A125" s="128" t="s">
        <v>134</v>
      </c>
      <c r="B125" s="16">
        <f>IFERROR(__xludf.DUMMYFUNCTION("VLOOKUP(A125,IMPORTRANGE(""1aFCnJY1qhIj8-JckJhDJ18aqmVo17tofpQmOjcYa3u8/edit#gid=1878241338"",""S4 Totals!$A$2:$O$255""),2,FALSE)"),8.0)</f>
        <v>8</v>
      </c>
      <c r="C125" s="15">
        <f>IFERROR(__xludf.DUMMYFUNCTION("VLOOKUP(A125,IMPORTRANGE(""1aFCnJY1qhIj8-JckJhDJ18aqmVo17tofpQmOjcYa3u8/edit#gid=1878241338"",""S4 Totals!$A$2:$O$255""),3,FALSE)"),0.16)</f>
        <v>0.16</v>
      </c>
      <c r="D125" s="16">
        <f>IFERROR(__xludf.DUMMYFUNCTION("VLOOKUP(A125,IMPORTRANGE(""1QZ5UxyNCwadreQAXnQ7oCoH982DjIA-QnZdO7ZoqkC0/edit#gid=884617569"",""S4 Totals!$A$2:$O$255""),2,FALSE)"),9.0)</f>
        <v>9</v>
      </c>
      <c r="E125" s="15">
        <f>IFERROR(__xludf.DUMMYFUNCTION("VLOOKUP(A125,IMPORTRANGE(""1QZ5UxyNCwadreQAXnQ7oCoH982DjIA-QnZdO7ZoqkC0/edit#gid=884617569"",""S4 Totals!$A$2:$O$255""),3,FALSE)"),0.19148936170212766)</f>
        <v>0.1914893617</v>
      </c>
      <c r="F125" s="146">
        <f t="shared" si="1"/>
        <v>-0.0314893617</v>
      </c>
      <c r="G125" s="16">
        <f>IFERROR(__xludf.DUMMYFUNCTION("VLOOKUP(A125,IMPORTRANGE(""1QZ5UxyNCwadreQAXnQ7oCoH982DjIA-QnZdO7ZoqkC0/edit#gid=884617569"",""S4 Totals!$A$2:$O$255""),4,FALSE)"),7.0)</f>
        <v>7</v>
      </c>
      <c r="H125" s="15">
        <f>IFERROR(__xludf.DUMMYFUNCTION("VLOOKUP(A125,IMPORTRANGE(""1QZ5UxyNCwadreQAXnQ7oCoH982DjIA-QnZdO7ZoqkC0/edit#gid=884617569"",""S4 Totals!$A$2:$O$255""),5,FALSE)"),0.1111111111111111)</f>
        <v>0.1111111111</v>
      </c>
      <c r="I125" s="143"/>
      <c r="J125" s="16">
        <f>IFERROR(__xludf.DUMMYFUNCTION("VLOOKUP(A125,IMPORTRANGE(""1QZ5UxyNCwadreQAXnQ7oCoH982DjIA-QnZdO7ZoqkC0/edit#gid=884617569"",""S4 Totals!$A$2:$O$255""),7,FALSE)"),6.0)</f>
        <v>6</v>
      </c>
      <c r="K125" s="15">
        <f>IFERROR(__xludf.DUMMYFUNCTION("VLOOKUP(A125,IMPORTRANGE(""1QZ5UxyNCwadreQAXnQ7oCoH982DjIA-QnZdO7ZoqkC0/edit#gid=884617569"",""S4 Totals!$A$2:$O$255""),8,FALSE)"),0.08571428571428572)</f>
        <v>0.08571428571</v>
      </c>
      <c r="L125" s="147"/>
      <c r="M125" s="16">
        <f>IFERROR(__xludf.DUMMYFUNCTION("VLOOKUP(A125,IMPORTRANGE(""1QZ5UxyNCwadreQAXnQ7oCoH982DjIA-QnZdO7ZoqkC0/edit#gid=884617569"",""S4 Totals!$A$2:$O$255""),10,FALSE)"),9.0)</f>
        <v>9</v>
      </c>
      <c r="N125" s="15">
        <f>IFERROR(__xludf.DUMMYFUNCTION("VLOOKUP(A125,IMPORTRANGE(""1QZ5UxyNCwadreQAXnQ7oCoH982DjIA-QnZdO7ZoqkC0/edit#gid=884617569"",""S4 Totals!$A$2:$O$255""),11,FALSE)"),0.12162162162162163)</f>
        <v>0.1216216216</v>
      </c>
      <c r="O125" s="110"/>
      <c r="P125" s="16" t="str">
        <f>IFERROR(__xludf.DUMMYFUNCTION("VLOOKUP(A125,IMPORTRANGE(""1QZ5UxyNCwadreQAXnQ7oCoH982DjIA-QnZdO7ZoqkC0/edit#gid=884617569"",""S4 Totals!$A$2:$O$255""),13,FALSE)"),"")</f>
        <v/>
      </c>
      <c r="Q125" s="15" t="str">
        <f>IFERROR(__xludf.DUMMYFUNCTION("VLOOKUP(A125,IMPORTRANGE(""1QZ5UxyNCwadreQAXnQ7oCoH982DjIA-QnZdO7ZoqkC0/edit#gid=884617569"",""S4 Totals!$A$2:$O$255""),14,FALSE)"),"")</f>
        <v/>
      </c>
      <c r="R125" s="110"/>
    </row>
    <row r="126">
      <c r="A126" s="128" t="s">
        <v>240</v>
      </c>
      <c r="B126" s="16">
        <f>IFERROR(__xludf.DUMMYFUNCTION("VLOOKUP(A126,IMPORTRANGE(""1aFCnJY1qhIj8-JckJhDJ18aqmVo17tofpQmOjcYa3u8/edit#gid=1878241338"",""S4 Totals!$A$2:$O$255""),2,FALSE)"),3.0)</f>
        <v>3</v>
      </c>
      <c r="C126" s="15">
        <f>IFERROR(__xludf.DUMMYFUNCTION("VLOOKUP(A126,IMPORTRANGE(""1aFCnJY1qhIj8-JckJhDJ18aqmVo17tofpQmOjcYa3u8/edit#gid=1878241338"",""S4 Totals!$A$2:$O$255""),3,FALSE)"),0.06)</f>
        <v>0.06</v>
      </c>
      <c r="D126" s="16">
        <f>IFERROR(__xludf.DUMMYFUNCTION("VLOOKUP(A126,IMPORTRANGE(""1QZ5UxyNCwadreQAXnQ7oCoH982DjIA-QnZdO7ZoqkC0/edit#gid=884617569"",""S4 Totals!$A$2:$O$255""),2,FALSE)"),6.0)</f>
        <v>6</v>
      </c>
      <c r="E126" s="15">
        <f>IFERROR(__xludf.DUMMYFUNCTION("VLOOKUP(A126,IMPORTRANGE(""1QZ5UxyNCwadreQAXnQ7oCoH982DjIA-QnZdO7ZoqkC0/edit#gid=884617569"",""S4 Totals!$A$2:$O$255""),3,FALSE)"),0.1276595744680851)</f>
        <v>0.1276595745</v>
      </c>
      <c r="F126" s="146">
        <f t="shared" si="1"/>
        <v>-0.06765957447</v>
      </c>
      <c r="G126" s="16">
        <f>IFERROR(__xludf.DUMMYFUNCTION("VLOOKUP(A126,IMPORTRANGE(""1QZ5UxyNCwadreQAXnQ7oCoH982DjIA-QnZdO7ZoqkC0/edit#gid=884617569"",""S4 Totals!$A$2:$O$255""),4,FALSE)"),7.0)</f>
        <v>7</v>
      </c>
      <c r="H126" s="15">
        <f>IFERROR(__xludf.DUMMYFUNCTION("VLOOKUP(A126,IMPORTRANGE(""1QZ5UxyNCwadreQAXnQ7oCoH982DjIA-QnZdO7ZoqkC0/edit#gid=884617569"",""S4 Totals!$A$2:$O$255""),5,FALSE)"),0.1111111111111111)</f>
        <v>0.1111111111</v>
      </c>
      <c r="I126" s="143"/>
      <c r="J126" s="16">
        <f>IFERROR(__xludf.DUMMYFUNCTION("VLOOKUP(A126,IMPORTRANGE(""1QZ5UxyNCwadreQAXnQ7oCoH982DjIA-QnZdO7ZoqkC0/edit#gid=884617569"",""S4 Totals!$A$2:$O$255""),7,FALSE)"),9.0)</f>
        <v>9</v>
      </c>
      <c r="K126" s="15">
        <f>IFERROR(__xludf.DUMMYFUNCTION("VLOOKUP(A126,IMPORTRANGE(""1QZ5UxyNCwadreQAXnQ7oCoH982DjIA-QnZdO7ZoqkC0/edit#gid=884617569"",""S4 Totals!$A$2:$O$255""),8,FALSE)"),0.12857142857142856)</f>
        <v>0.1285714286</v>
      </c>
      <c r="L126" s="147"/>
      <c r="M126" s="16" t="str">
        <f>IFERROR(__xludf.DUMMYFUNCTION("VLOOKUP(A126,IMPORTRANGE(""1QZ5UxyNCwadreQAXnQ7oCoH982DjIA-QnZdO7ZoqkC0/edit#gid=884617569"",""S4 Totals!$A$2:$O$255""),10,FALSE)"),"")</f>
        <v/>
      </c>
      <c r="N126" s="15" t="str">
        <f>IFERROR(__xludf.DUMMYFUNCTION("VLOOKUP(A126,IMPORTRANGE(""1QZ5UxyNCwadreQAXnQ7oCoH982DjIA-QnZdO7ZoqkC0/edit#gid=884617569"",""S4 Totals!$A$2:$O$255""),11,FALSE)"),"")</f>
        <v/>
      </c>
      <c r="O126" s="110"/>
      <c r="P126" s="16" t="str">
        <f>IFERROR(__xludf.DUMMYFUNCTION("VLOOKUP(A126,IMPORTRANGE(""1QZ5UxyNCwadreQAXnQ7oCoH982DjIA-QnZdO7ZoqkC0/edit#gid=884617569"",""S4 Totals!$A$2:$O$255""),13,FALSE)"),"")</f>
        <v/>
      </c>
      <c r="Q126" s="15" t="str">
        <f>IFERROR(__xludf.DUMMYFUNCTION("VLOOKUP(A126,IMPORTRANGE(""1QZ5UxyNCwadreQAXnQ7oCoH982DjIA-QnZdO7ZoqkC0/edit#gid=884617569"",""S4 Totals!$A$2:$O$255""),14,FALSE)"),"")</f>
        <v/>
      </c>
      <c r="R126" s="110"/>
    </row>
    <row r="127">
      <c r="A127" s="128" t="s">
        <v>241</v>
      </c>
      <c r="B127" s="16">
        <f>IFERROR(__xludf.DUMMYFUNCTION("VLOOKUP(A127,IMPORTRANGE(""1aFCnJY1qhIj8-JckJhDJ18aqmVo17tofpQmOjcYa3u8/edit#gid=1878241338"",""S4 Totals!$A$2:$O$255""),2,FALSE)"),40.0)</f>
        <v>40</v>
      </c>
      <c r="C127" s="15">
        <f>IFERROR(__xludf.DUMMYFUNCTION("VLOOKUP(A127,IMPORTRANGE(""1aFCnJY1qhIj8-JckJhDJ18aqmVo17tofpQmOjcYa3u8/edit#gid=1878241338"",""S4 Totals!$A$2:$O$255""),3,FALSE)"),0.8)</f>
        <v>0.8</v>
      </c>
      <c r="D127" s="16">
        <f>IFERROR(__xludf.DUMMYFUNCTION("VLOOKUP(A127,IMPORTRANGE(""1QZ5UxyNCwadreQAXnQ7oCoH982DjIA-QnZdO7ZoqkC0/edit#gid=884617569"",""S4 Totals!$A$2:$O$255""),2,FALSE)"),25.0)</f>
        <v>25</v>
      </c>
      <c r="E127" s="15">
        <f>IFERROR(__xludf.DUMMYFUNCTION("VLOOKUP(A127,IMPORTRANGE(""1QZ5UxyNCwadreQAXnQ7oCoH982DjIA-QnZdO7ZoqkC0/edit#gid=884617569"",""S4 Totals!$A$2:$O$255""),3,FALSE)"),0.5319148936170213)</f>
        <v>0.5319148936</v>
      </c>
      <c r="F127" s="146">
        <f t="shared" si="1"/>
        <v>0.2680851064</v>
      </c>
      <c r="G127" s="16">
        <f>IFERROR(__xludf.DUMMYFUNCTION("VLOOKUP(A127,IMPORTRANGE(""1QZ5UxyNCwadreQAXnQ7oCoH982DjIA-QnZdO7ZoqkC0/edit#gid=884617569"",""S4 Totals!$A$2:$O$255""),4,FALSE)"),19.0)</f>
        <v>19</v>
      </c>
      <c r="H127" s="15">
        <f>IFERROR(__xludf.DUMMYFUNCTION("VLOOKUP(A127,IMPORTRANGE(""1QZ5UxyNCwadreQAXnQ7oCoH982DjIA-QnZdO7ZoqkC0/edit#gid=884617569"",""S4 Totals!$A$2:$O$255""),5,FALSE)"),0.30158730158730157)</f>
        <v>0.3015873016</v>
      </c>
      <c r="I127" s="143"/>
      <c r="J127" s="16" t="str">
        <f>IFERROR(__xludf.DUMMYFUNCTION("VLOOKUP(A127,IMPORTRANGE(""1QZ5UxyNCwadreQAXnQ7oCoH982DjIA-QnZdO7ZoqkC0/edit#gid=884617569"",""S4 Totals!$A$2:$O$255""),7,FALSE)"),"")</f>
        <v/>
      </c>
      <c r="K127" s="15" t="str">
        <f>IFERROR(__xludf.DUMMYFUNCTION("VLOOKUP(A127,IMPORTRANGE(""1QZ5UxyNCwadreQAXnQ7oCoH982DjIA-QnZdO7ZoqkC0/edit#gid=884617569"",""S4 Totals!$A$2:$O$255""),8,FALSE)"),"")</f>
        <v/>
      </c>
      <c r="L127" s="147"/>
      <c r="M127" s="16" t="str">
        <f>IFERROR(__xludf.DUMMYFUNCTION("VLOOKUP(A127,IMPORTRANGE(""1QZ5UxyNCwadreQAXnQ7oCoH982DjIA-QnZdO7ZoqkC0/edit#gid=884617569"",""S4 Totals!$A$2:$O$255""),10,FALSE)"),"")</f>
        <v/>
      </c>
      <c r="N127" s="15" t="str">
        <f>IFERROR(__xludf.DUMMYFUNCTION("VLOOKUP(A127,IMPORTRANGE(""1QZ5UxyNCwadreQAXnQ7oCoH982DjIA-QnZdO7ZoqkC0/edit#gid=884617569"",""S4 Totals!$A$2:$O$255""),11,FALSE)"),"")</f>
        <v/>
      </c>
      <c r="O127" s="110"/>
      <c r="P127" s="16" t="str">
        <f>IFERROR(__xludf.DUMMYFUNCTION("VLOOKUP(A127,IMPORTRANGE(""1QZ5UxyNCwadreQAXnQ7oCoH982DjIA-QnZdO7ZoqkC0/edit#gid=884617569"",""S4 Totals!$A$2:$O$255""),13,FALSE)"),"")</f>
        <v/>
      </c>
      <c r="Q127" s="15" t="str">
        <f>IFERROR(__xludf.DUMMYFUNCTION("VLOOKUP(A127,IMPORTRANGE(""1QZ5UxyNCwadreQAXnQ7oCoH982DjIA-QnZdO7ZoqkC0/edit#gid=884617569"",""S4 Totals!$A$2:$O$255""),14,FALSE)"),"")</f>
        <v/>
      </c>
      <c r="R127" s="110"/>
    </row>
    <row r="128">
      <c r="A128" s="128" t="s">
        <v>74</v>
      </c>
      <c r="B128" s="16">
        <f>IFERROR(__xludf.DUMMYFUNCTION("VLOOKUP(A128,IMPORTRANGE(""1aFCnJY1qhIj8-JckJhDJ18aqmVo17tofpQmOjcYa3u8/edit#gid=1878241338"",""S4 Totals!$A$2:$O$255""),2,FALSE)"),5.0)</f>
        <v>5</v>
      </c>
      <c r="C128" s="15">
        <f>IFERROR(__xludf.DUMMYFUNCTION("VLOOKUP(A128,IMPORTRANGE(""1aFCnJY1qhIj8-JckJhDJ18aqmVo17tofpQmOjcYa3u8/edit#gid=1878241338"",""S4 Totals!$A$2:$O$255""),3,FALSE)"),0.1)</f>
        <v>0.1</v>
      </c>
      <c r="D128" s="16">
        <f>IFERROR(__xludf.DUMMYFUNCTION("VLOOKUP(A128,IMPORTRANGE(""1QZ5UxyNCwadreQAXnQ7oCoH982DjIA-QnZdO7ZoqkC0/edit#gid=884617569"",""S4 Totals!$A$2:$O$255""),2,FALSE)"),9.0)</f>
        <v>9</v>
      </c>
      <c r="E128" s="15">
        <f>IFERROR(__xludf.DUMMYFUNCTION("VLOOKUP(A128,IMPORTRANGE(""1QZ5UxyNCwadreQAXnQ7oCoH982DjIA-QnZdO7ZoqkC0/edit#gid=884617569"",""S4 Totals!$A$2:$O$255""),3,FALSE)"),0.19148936170212766)</f>
        <v>0.1914893617</v>
      </c>
      <c r="F128" s="146">
        <f t="shared" si="1"/>
        <v>-0.0914893617</v>
      </c>
      <c r="G128" s="16">
        <f>IFERROR(__xludf.DUMMYFUNCTION("VLOOKUP(A128,IMPORTRANGE(""1QZ5UxyNCwadreQAXnQ7oCoH982DjIA-QnZdO7ZoqkC0/edit#gid=884617569"",""S4 Totals!$A$2:$O$255""),4,FALSE)"),8.0)</f>
        <v>8</v>
      </c>
      <c r="H128" s="15">
        <f>IFERROR(__xludf.DUMMYFUNCTION("VLOOKUP(A128,IMPORTRANGE(""1QZ5UxyNCwadreQAXnQ7oCoH982DjIA-QnZdO7ZoqkC0/edit#gid=884617569"",""S4 Totals!$A$2:$O$255""),5,FALSE)"),0.12698412698412698)</f>
        <v>0.126984127</v>
      </c>
      <c r="I128" s="143"/>
      <c r="J128" s="16">
        <f>IFERROR(__xludf.DUMMYFUNCTION("VLOOKUP(A128,IMPORTRANGE(""1QZ5UxyNCwadreQAXnQ7oCoH982DjIA-QnZdO7ZoqkC0/edit#gid=884617569"",""S4 Totals!$A$2:$O$255""),7,FALSE)"),7.0)</f>
        <v>7</v>
      </c>
      <c r="K128" s="15">
        <f>IFERROR(__xludf.DUMMYFUNCTION("VLOOKUP(A128,IMPORTRANGE(""1QZ5UxyNCwadreQAXnQ7oCoH982DjIA-QnZdO7ZoqkC0/edit#gid=884617569"",""S4 Totals!$A$2:$O$255""),8,FALSE)"),0.1)</f>
        <v>0.1</v>
      </c>
      <c r="L128" s="147"/>
      <c r="M128" s="16">
        <f>IFERROR(__xludf.DUMMYFUNCTION("VLOOKUP(A128,IMPORTRANGE(""1QZ5UxyNCwadreQAXnQ7oCoH982DjIA-QnZdO7ZoqkC0/edit#gid=884617569"",""S4 Totals!$A$2:$O$255""),10,FALSE)"),10.0)</f>
        <v>10</v>
      </c>
      <c r="N128" s="15">
        <f>IFERROR(__xludf.DUMMYFUNCTION("VLOOKUP(A128,IMPORTRANGE(""1QZ5UxyNCwadreQAXnQ7oCoH982DjIA-QnZdO7ZoqkC0/edit#gid=884617569"",""S4 Totals!$A$2:$O$255""),11,FALSE)"),0.13513513513513514)</f>
        <v>0.1351351351</v>
      </c>
      <c r="O128" s="110"/>
      <c r="P128" s="16">
        <f>IFERROR(__xludf.DUMMYFUNCTION("VLOOKUP(A128,IMPORTRANGE(""1QZ5UxyNCwadreQAXnQ7oCoH982DjIA-QnZdO7ZoqkC0/edit#gid=884617569"",""S4 Totals!$A$2:$O$255""),13,FALSE)"),10.0)</f>
        <v>10</v>
      </c>
      <c r="Q128" s="15">
        <f>IFERROR(__xludf.DUMMYFUNCTION("VLOOKUP(A128,IMPORTRANGE(""1QZ5UxyNCwadreQAXnQ7oCoH982DjIA-QnZdO7ZoqkC0/edit#gid=884617569"",""S4 Totals!$A$2:$O$255""),14,FALSE)"),0.13333333333333333)</f>
        <v>0.1333333333</v>
      </c>
      <c r="R128" s="110"/>
    </row>
    <row r="129">
      <c r="A129" s="128" t="s">
        <v>242</v>
      </c>
      <c r="B129" s="16">
        <f>IFERROR(__xludf.DUMMYFUNCTION("VLOOKUP(A129,IMPORTRANGE(""1aFCnJY1qhIj8-JckJhDJ18aqmVo17tofpQmOjcYa3u8/edit#gid=1878241338"",""S4 Totals!$A$2:$O$255""),2,FALSE)"),0.0)</f>
        <v>0</v>
      </c>
      <c r="C129" s="15">
        <f>IFERROR(__xludf.DUMMYFUNCTION("VLOOKUP(A129,IMPORTRANGE(""1aFCnJY1qhIj8-JckJhDJ18aqmVo17tofpQmOjcYa3u8/edit#gid=1878241338"",""S4 Totals!$A$2:$O$255""),3,FALSE)"),0.0)</f>
        <v>0</v>
      </c>
      <c r="D129" s="16">
        <f>IFERROR(__xludf.DUMMYFUNCTION("VLOOKUP(A129,IMPORTRANGE(""1QZ5UxyNCwadreQAXnQ7oCoH982DjIA-QnZdO7ZoqkC0/edit#gid=884617569"",""S4 Totals!$A$2:$O$255""),2,FALSE)"),0.0)</f>
        <v>0</v>
      </c>
      <c r="E129" s="15">
        <f>IFERROR(__xludf.DUMMYFUNCTION("VLOOKUP(A129,IMPORTRANGE(""1QZ5UxyNCwadreQAXnQ7oCoH982DjIA-QnZdO7ZoqkC0/edit#gid=884617569"",""S4 Totals!$A$2:$O$255""),3,FALSE)"),0.0)</f>
        <v>0</v>
      </c>
      <c r="F129" s="146">
        <f t="shared" si="1"/>
        <v>0</v>
      </c>
      <c r="G129" s="16">
        <f>IFERROR(__xludf.DUMMYFUNCTION("VLOOKUP(A129,IMPORTRANGE(""1QZ5UxyNCwadreQAXnQ7oCoH982DjIA-QnZdO7ZoqkC0/edit#gid=884617569"",""S4 Totals!$A$2:$O$255""),4,FALSE)"),0.0)</f>
        <v>0</v>
      </c>
      <c r="H129" s="15">
        <f>IFERROR(__xludf.DUMMYFUNCTION("VLOOKUP(A129,IMPORTRANGE(""1QZ5UxyNCwadreQAXnQ7oCoH982DjIA-QnZdO7ZoqkC0/edit#gid=884617569"",""S4 Totals!$A$2:$O$255""),5,FALSE)"),0.0)</f>
        <v>0</v>
      </c>
      <c r="I129" s="143"/>
      <c r="J129" s="16" t="str">
        <f>IFERROR(__xludf.DUMMYFUNCTION("VLOOKUP(A129,IMPORTRANGE(""1QZ5UxyNCwadreQAXnQ7oCoH982DjIA-QnZdO7ZoqkC0/edit#gid=884617569"",""S4 Totals!$A$2:$O$255""),7,FALSE)"),"")</f>
        <v/>
      </c>
      <c r="K129" s="15" t="str">
        <f>IFERROR(__xludf.DUMMYFUNCTION("VLOOKUP(A129,IMPORTRANGE(""1QZ5UxyNCwadreQAXnQ7oCoH982DjIA-QnZdO7ZoqkC0/edit#gid=884617569"",""S4 Totals!$A$2:$O$255""),8,FALSE)"),"")</f>
        <v/>
      </c>
      <c r="L129" s="147"/>
      <c r="M129" s="16" t="str">
        <f>IFERROR(__xludf.DUMMYFUNCTION("VLOOKUP(A129,IMPORTRANGE(""1QZ5UxyNCwadreQAXnQ7oCoH982DjIA-QnZdO7ZoqkC0/edit#gid=884617569"",""S4 Totals!$A$2:$O$255""),10,FALSE)"),"")</f>
        <v/>
      </c>
      <c r="N129" s="15" t="str">
        <f>IFERROR(__xludf.DUMMYFUNCTION("VLOOKUP(A129,IMPORTRANGE(""1QZ5UxyNCwadreQAXnQ7oCoH982DjIA-QnZdO7ZoqkC0/edit#gid=884617569"",""S4 Totals!$A$2:$O$255""),11,FALSE)"),"")</f>
        <v/>
      </c>
      <c r="O129" s="110"/>
      <c r="P129" s="16" t="str">
        <f>IFERROR(__xludf.DUMMYFUNCTION("VLOOKUP(A129,IMPORTRANGE(""1QZ5UxyNCwadreQAXnQ7oCoH982DjIA-QnZdO7ZoqkC0/edit#gid=884617569"",""S4 Totals!$A$2:$O$255""),13,FALSE)"),"")</f>
        <v/>
      </c>
      <c r="Q129" s="15" t="str">
        <f>IFERROR(__xludf.DUMMYFUNCTION("VLOOKUP(A129,IMPORTRANGE(""1QZ5UxyNCwadreQAXnQ7oCoH982DjIA-QnZdO7ZoqkC0/edit#gid=884617569"",""S4 Totals!$A$2:$O$255""),14,FALSE)"),"")</f>
        <v/>
      </c>
      <c r="R129" s="110"/>
    </row>
    <row r="130">
      <c r="A130" s="128" t="s">
        <v>243</v>
      </c>
      <c r="B130" s="16">
        <f>IFERROR(__xludf.DUMMYFUNCTION("VLOOKUP(A130,IMPORTRANGE(""1aFCnJY1qhIj8-JckJhDJ18aqmVo17tofpQmOjcYa3u8/edit#gid=1878241338"",""S4 Totals!$A$2:$O$255""),2,FALSE)"),4.0)</f>
        <v>4</v>
      </c>
      <c r="C130" s="15">
        <f>IFERROR(__xludf.DUMMYFUNCTION("VLOOKUP(A130,IMPORTRANGE(""1aFCnJY1qhIj8-JckJhDJ18aqmVo17tofpQmOjcYa3u8/edit#gid=1878241338"",""S4 Totals!$A$2:$O$255""),3,FALSE)"),0.08)</f>
        <v>0.08</v>
      </c>
      <c r="D130" s="16">
        <f>IFERROR(__xludf.DUMMYFUNCTION("VLOOKUP(A130,IMPORTRANGE(""1QZ5UxyNCwadreQAXnQ7oCoH982DjIA-QnZdO7ZoqkC0/edit#gid=884617569"",""S4 Totals!$A$2:$O$255""),2,FALSE)"),3.0)</f>
        <v>3</v>
      </c>
      <c r="E130" s="15">
        <f>IFERROR(__xludf.DUMMYFUNCTION("VLOOKUP(A130,IMPORTRANGE(""1QZ5UxyNCwadreQAXnQ7oCoH982DjIA-QnZdO7ZoqkC0/edit#gid=884617569"",""S4 Totals!$A$2:$O$255""),3,FALSE)"),0.06382978723404255)</f>
        <v>0.06382978723</v>
      </c>
      <c r="F130" s="146">
        <f t="shared" si="1"/>
        <v>0.01617021277</v>
      </c>
      <c r="G130" s="16">
        <f>IFERROR(__xludf.DUMMYFUNCTION("VLOOKUP(A130,IMPORTRANGE(""1QZ5UxyNCwadreQAXnQ7oCoH982DjIA-QnZdO7ZoqkC0/edit#gid=884617569"",""S4 Totals!$A$2:$O$255""),4,FALSE)"),2.0)</f>
        <v>2</v>
      </c>
      <c r="H130" s="15">
        <f>IFERROR(__xludf.DUMMYFUNCTION("VLOOKUP(A130,IMPORTRANGE(""1QZ5UxyNCwadreQAXnQ7oCoH982DjIA-QnZdO7ZoqkC0/edit#gid=884617569"",""S4 Totals!$A$2:$O$255""),5,FALSE)"),0.031746031746031744)</f>
        <v>0.03174603175</v>
      </c>
      <c r="I130" s="143"/>
      <c r="J130" s="16" t="str">
        <f>IFERROR(__xludf.DUMMYFUNCTION("VLOOKUP(A130,IMPORTRANGE(""1QZ5UxyNCwadreQAXnQ7oCoH982DjIA-QnZdO7ZoqkC0/edit#gid=884617569"",""S4 Totals!$A$2:$O$255""),7,FALSE)"),"")</f>
        <v/>
      </c>
      <c r="K130" s="15" t="str">
        <f>IFERROR(__xludf.DUMMYFUNCTION("VLOOKUP(A130,IMPORTRANGE(""1QZ5UxyNCwadreQAXnQ7oCoH982DjIA-QnZdO7ZoqkC0/edit#gid=884617569"",""S4 Totals!$A$2:$O$255""),8,FALSE)"),"")</f>
        <v/>
      </c>
      <c r="L130" s="147"/>
      <c r="M130" s="16" t="str">
        <f>IFERROR(__xludf.DUMMYFUNCTION("VLOOKUP(A130,IMPORTRANGE(""1QZ5UxyNCwadreQAXnQ7oCoH982DjIA-QnZdO7ZoqkC0/edit#gid=884617569"",""S4 Totals!$A$2:$O$255""),10,FALSE)"),"")</f>
        <v/>
      </c>
      <c r="N130" s="15" t="str">
        <f>IFERROR(__xludf.DUMMYFUNCTION("VLOOKUP(A130,IMPORTRANGE(""1QZ5UxyNCwadreQAXnQ7oCoH982DjIA-QnZdO7ZoqkC0/edit#gid=884617569"",""S4 Totals!$A$2:$O$255""),11,FALSE)"),"")</f>
        <v/>
      </c>
      <c r="O130" s="110"/>
      <c r="P130" s="16" t="str">
        <f>IFERROR(__xludf.DUMMYFUNCTION("VLOOKUP(A130,IMPORTRANGE(""1QZ5UxyNCwadreQAXnQ7oCoH982DjIA-QnZdO7ZoqkC0/edit#gid=884617569"",""S4 Totals!$A$2:$O$255""),13,FALSE)"),"")</f>
        <v/>
      </c>
      <c r="Q130" s="15" t="str">
        <f>IFERROR(__xludf.DUMMYFUNCTION("VLOOKUP(A130,IMPORTRANGE(""1QZ5UxyNCwadreQAXnQ7oCoH982DjIA-QnZdO7ZoqkC0/edit#gid=884617569"",""S4 Totals!$A$2:$O$255""),14,FALSE)"),"")</f>
        <v/>
      </c>
      <c r="R130" s="110"/>
    </row>
    <row r="131">
      <c r="A131" s="128" t="s">
        <v>63</v>
      </c>
      <c r="B131" s="16">
        <f>IFERROR(__xludf.DUMMYFUNCTION("VLOOKUP(A131,IMPORTRANGE(""1aFCnJY1qhIj8-JckJhDJ18aqmVo17tofpQmOjcYa3u8/edit#gid=1878241338"",""S4 Totals!$A$2:$O$255""),2,FALSE)"),11.0)</f>
        <v>11</v>
      </c>
      <c r="C131" s="15">
        <f>IFERROR(__xludf.DUMMYFUNCTION("VLOOKUP(A131,IMPORTRANGE(""1aFCnJY1qhIj8-JckJhDJ18aqmVo17tofpQmOjcYa3u8/edit#gid=1878241338"",""S4 Totals!$A$2:$O$255""),3,FALSE)"),0.22)</f>
        <v>0.22</v>
      </c>
      <c r="D131" s="16">
        <f>IFERROR(__xludf.DUMMYFUNCTION("VLOOKUP(A131,IMPORTRANGE(""1QZ5UxyNCwadreQAXnQ7oCoH982DjIA-QnZdO7ZoqkC0/edit#gid=884617569"",""S4 Totals!$A$2:$O$255""),2,FALSE)"),11.0)</f>
        <v>11</v>
      </c>
      <c r="E131" s="15">
        <f>IFERROR(__xludf.DUMMYFUNCTION("VLOOKUP(A131,IMPORTRANGE(""1QZ5UxyNCwadreQAXnQ7oCoH982DjIA-QnZdO7ZoqkC0/edit#gid=884617569"",""S4 Totals!$A$2:$O$255""),3,FALSE)"),0.23404255319148937)</f>
        <v>0.2340425532</v>
      </c>
      <c r="F131" s="146">
        <f t="shared" si="1"/>
        <v>-0.01404255319</v>
      </c>
      <c r="G131" s="16">
        <f>IFERROR(__xludf.DUMMYFUNCTION("VLOOKUP(A131,IMPORTRANGE(""1QZ5UxyNCwadreQAXnQ7oCoH982DjIA-QnZdO7ZoqkC0/edit#gid=884617569"",""S4 Totals!$A$2:$O$255""),4,FALSE)"),7.0)</f>
        <v>7</v>
      </c>
      <c r="H131" s="15">
        <f>IFERROR(__xludf.DUMMYFUNCTION("VLOOKUP(A131,IMPORTRANGE(""1QZ5UxyNCwadreQAXnQ7oCoH982DjIA-QnZdO7ZoqkC0/edit#gid=884617569"",""S4 Totals!$A$2:$O$255""),5,FALSE)"),0.1111111111111111)</f>
        <v>0.1111111111</v>
      </c>
      <c r="I131" s="143"/>
      <c r="J131" s="16">
        <f>IFERROR(__xludf.DUMMYFUNCTION("VLOOKUP(A131,IMPORTRANGE(""1QZ5UxyNCwadreQAXnQ7oCoH982DjIA-QnZdO7ZoqkC0/edit#gid=884617569"",""S4 Totals!$A$2:$O$255""),7,FALSE)"),4.0)</f>
        <v>4</v>
      </c>
      <c r="K131" s="15">
        <f>IFERROR(__xludf.DUMMYFUNCTION("VLOOKUP(A131,IMPORTRANGE(""1QZ5UxyNCwadreQAXnQ7oCoH982DjIA-QnZdO7ZoqkC0/edit#gid=884617569"",""S4 Totals!$A$2:$O$255""),8,FALSE)"),0.05714285714285714)</f>
        <v>0.05714285714</v>
      </c>
      <c r="L131" s="147"/>
      <c r="M131" s="16">
        <f>IFERROR(__xludf.DUMMYFUNCTION("VLOOKUP(A131,IMPORTRANGE(""1QZ5UxyNCwadreQAXnQ7oCoH982DjIA-QnZdO7ZoqkC0/edit#gid=884617569"",""S4 Totals!$A$2:$O$255""),10,FALSE)"),0.0)</f>
        <v>0</v>
      </c>
      <c r="N131" s="15">
        <f>IFERROR(__xludf.DUMMYFUNCTION("VLOOKUP(A131,IMPORTRANGE(""1QZ5UxyNCwadreQAXnQ7oCoH982DjIA-QnZdO7ZoqkC0/edit#gid=884617569"",""S4 Totals!$A$2:$O$255""),11,FALSE)"),0.0)</f>
        <v>0</v>
      </c>
      <c r="O131" s="110"/>
      <c r="P131" s="16">
        <f>IFERROR(__xludf.DUMMYFUNCTION("VLOOKUP(A131,IMPORTRANGE(""1QZ5UxyNCwadreQAXnQ7oCoH982DjIA-QnZdO7ZoqkC0/edit#gid=884617569"",""S4 Totals!$A$2:$O$255""),13,FALSE)"),0.0)</f>
        <v>0</v>
      </c>
      <c r="Q131" s="15">
        <f>IFERROR(__xludf.DUMMYFUNCTION("VLOOKUP(A131,IMPORTRANGE(""1QZ5UxyNCwadreQAXnQ7oCoH982DjIA-QnZdO7ZoqkC0/edit#gid=884617569"",""S4 Totals!$A$2:$O$255""),14,FALSE)"),0.0)</f>
        <v>0</v>
      </c>
      <c r="R131" s="110"/>
    </row>
    <row r="132">
      <c r="A132" s="128" t="s">
        <v>34</v>
      </c>
      <c r="B132" s="16">
        <f>IFERROR(__xludf.DUMMYFUNCTION("VLOOKUP(A132,IMPORTRANGE(""1aFCnJY1qhIj8-JckJhDJ18aqmVo17tofpQmOjcYa3u8/edit#gid=1878241338"",""S4 Totals!$A$2:$O$255""),2,FALSE)"),6.0)</f>
        <v>6</v>
      </c>
      <c r="C132" s="15">
        <f>IFERROR(__xludf.DUMMYFUNCTION("VLOOKUP(A132,IMPORTRANGE(""1aFCnJY1qhIj8-JckJhDJ18aqmVo17tofpQmOjcYa3u8/edit#gid=1878241338"",""S4 Totals!$A$2:$O$255""),3,FALSE)"),0.12)</f>
        <v>0.12</v>
      </c>
      <c r="D132" s="16">
        <f>IFERROR(__xludf.DUMMYFUNCTION("VLOOKUP(A132,IMPORTRANGE(""1QZ5UxyNCwadreQAXnQ7oCoH982DjIA-QnZdO7ZoqkC0/edit#gid=884617569"",""S4 Totals!$A$2:$O$255""),2,FALSE)"),8.0)</f>
        <v>8</v>
      </c>
      <c r="E132" s="15">
        <f>IFERROR(__xludf.DUMMYFUNCTION("VLOOKUP(A132,IMPORTRANGE(""1QZ5UxyNCwadreQAXnQ7oCoH982DjIA-QnZdO7ZoqkC0/edit#gid=884617569"",""S4 Totals!$A$2:$O$255""),3,FALSE)"),0.1702127659574468)</f>
        <v>0.170212766</v>
      </c>
      <c r="F132" s="146">
        <f t="shared" si="1"/>
        <v>-0.05021276596</v>
      </c>
      <c r="G132" s="16">
        <f>IFERROR(__xludf.DUMMYFUNCTION("VLOOKUP(A132,IMPORTRANGE(""1QZ5UxyNCwadreQAXnQ7oCoH982DjIA-QnZdO7ZoqkC0/edit#gid=884617569"",""S4 Totals!$A$2:$O$255""),4,FALSE)"),8.0)</f>
        <v>8</v>
      </c>
      <c r="H132" s="15">
        <f>IFERROR(__xludf.DUMMYFUNCTION("VLOOKUP(A132,IMPORTRANGE(""1QZ5UxyNCwadreQAXnQ7oCoH982DjIA-QnZdO7ZoqkC0/edit#gid=884617569"",""S4 Totals!$A$2:$O$255""),5,FALSE)"),0.12698412698412698)</f>
        <v>0.126984127</v>
      </c>
      <c r="I132" s="143"/>
      <c r="J132" s="16">
        <f>IFERROR(__xludf.DUMMYFUNCTION("VLOOKUP(A132,IMPORTRANGE(""1QZ5UxyNCwadreQAXnQ7oCoH982DjIA-QnZdO7ZoqkC0/edit#gid=884617569"",""S4 Totals!$A$2:$O$255""),7,FALSE)"),8.0)</f>
        <v>8</v>
      </c>
      <c r="K132" s="15">
        <f>IFERROR(__xludf.DUMMYFUNCTION("VLOOKUP(A132,IMPORTRANGE(""1QZ5UxyNCwadreQAXnQ7oCoH982DjIA-QnZdO7ZoqkC0/edit#gid=884617569"",""S4 Totals!$A$2:$O$255""),8,FALSE)"),0.11428571428571428)</f>
        <v>0.1142857143</v>
      </c>
      <c r="L132" s="147"/>
      <c r="M132" s="16">
        <f>IFERROR(__xludf.DUMMYFUNCTION("VLOOKUP(A132,IMPORTRANGE(""1QZ5UxyNCwadreQAXnQ7oCoH982DjIA-QnZdO7ZoqkC0/edit#gid=884617569"",""S4 Totals!$A$2:$O$255""),10,FALSE)"),15.0)</f>
        <v>15</v>
      </c>
      <c r="N132" s="15">
        <f>IFERROR(__xludf.DUMMYFUNCTION("VLOOKUP(A132,IMPORTRANGE(""1QZ5UxyNCwadreQAXnQ7oCoH982DjIA-QnZdO7ZoqkC0/edit#gid=884617569"",""S4 Totals!$A$2:$O$255""),11,FALSE)"),0.20270270270270271)</f>
        <v>0.2027027027</v>
      </c>
      <c r="O132" s="110"/>
      <c r="P132" s="16">
        <f>IFERROR(__xludf.DUMMYFUNCTION("VLOOKUP(A132,IMPORTRANGE(""1QZ5UxyNCwadreQAXnQ7oCoH982DjIA-QnZdO7ZoqkC0/edit#gid=884617569"",""S4 Totals!$A$2:$O$255""),13,FALSE)"),12.0)</f>
        <v>12</v>
      </c>
      <c r="Q132" s="15">
        <f>IFERROR(__xludf.DUMMYFUNCTION("VLOOKUP(A132,IMPORTRANGE(""1QZ5UxyNCwadreQAXnQ7oCoH982DjIA-QnZdO7ZoqkC0/edit#gid=884617569"",""S4 Totals!$A$2:$O$255""),14,FALSE)"),0.16)</f>
        <v>0.16</v>
      </c>
      <c r="R132" s="110"/>
    </row>
    <row r="133">
      <c r="A133" s="128" t="s">
        <v>268</v>
      </c>
      <c r="B133" s="16">
        <f>IFERROR(__xludf.DUMMYFUNCTION("VLOOKUP(A133,IMPORTRANGE(""1aFCnJY1qhIj8-JckJhDJ18aqmVo17tofpQmOjcYa3u8/edit#gid=1878241338"",""S4 Totals!$A$2:$O$255""),2,FALSE)"),1.0)</f>
        <v>1</v>
      </c>
      <c r="C133" s="15">
        <f>IFERROR(__xludf.DUMMYFUNCTION("VLOOKUP(A133,IMPORTRANGE(""1aFCnJY1qhIj8-JckJhDJ18aqmVo17tofpQmOjcYa3u8/edit#gid=1878241338"",""S4 Totals!$A$2:$O$255""),3,FALSE)"),0.02)</f>
        <v>0.02</v>
      </c>
      <c r="D133" s="16" t="str">
        <f>IFERROR(__xludf.DUMMYFUNCTION("VLOOKUP(A133,IMPORTRANGE(""1QZ5UxyNCwadreQAXnQ7oCoH982DjIA-QnZdO7ZoqkC0/edit#gid=884617569"",""S4 Totals!$A$2:$O$255""),2,FALSE)"),"#N/A")</f>
        <v>#N/A</v>
      </c>
      <c r="E133" s="15" t="str">
        <f>IFERROR(__xludf.DUMMYFUNCTION("VLOOKUP(A133,IMPORTRANGE(""1QZ5UxyNCwadreQAXnQ7oCoH982DjIA-QnZdO7ZoqkC0/edit#gid=884617569"",""S4 Totals!$A$2:$O$255""),3,FALSE)"),"#N/A")</f>
        <v>#N/A</v>
      </c>
      <c r="F133" s="146" t="str">
        <f t="shared" si="1"/>
        <v>#N/A</v>
      </c>
      <c r="G133" s="16" t="str">
        <f>IFERROR(__xludf.DUMMYFUNCTION("VLOOKUP(A133,IMPORTRANGE(""1QZ5UxyNCwadreQAXnQ7oCoH982DjIA-QnZdO7ZoqkC0/edit#gid=884617569"",""S4 Totals!$A$2:$O$255""),4,FALSE)"),"#N/A")</f>
        <v>#N/A</v>
      </c>
      <c r="H133" s="15" t="str">
        <f>IFERROR(__xludf.DUMMYFUNCTION("VLOOKUP(A133,IMPORTRANGE(""1QZ5UxyNCwadreQAXnQ7oCoH982DjIA-QnZdO7ZoqkC0/edit#gid=884617569"",""S4 Totals!$A$2:$O$255""),5,FALSE)"),"#N/A")</f>
        <v>#N/A</v>
      </c>
      <c r="I133" s="143"/>
      <c r="J133" s="16" t="str">
        <f>IFERROR(__xludf.DUMMYFUNCTION("VLOOKUP(A133,IMPORTRANGE(""1QZ5UxyNCwadreQAXnQ7oCoH982DjIA-QnZdO7ZoqkC0/edit#gid=884617569"",""S4 Totals!$A$2:$O$255""),7,FALSE)"),"#N/A")</f>
        <v>#N/A</v>
      </c>
      <c r="K133" s="15" t="str">
        <f>IFERROR(__xludf.DUMMYFUNCTION("VLOOKUP(A133,IMPORTRANGE(""1QZ5UxyNCwadreQAXnQ7oCoH982DjIA-QnZdO7ZoqkC0/edit#gid=884617569"",""S4 Totals!$A$2:$O$255""),8,FALSE)"),"#N/A")</f>
        <v>#N/A</v>
      </c>
      <c r="L133" s="147"/>
      <c r="M133" s="16" t="str">
        <f>IFERROR(__xludf.DUMMYFUNCTION("VLOOKUP(A133,IMPORTRANGE(""1QZ5UxyNCwadreQAXnQ7oCoH982DjIA-QnZdO7ZoqkC0/edit#gid=884617569"",""S4 Totals!$A$2:$O$255""),10,FALSE)"),"#N/A")</f>
        <v>#N/A</v>
      </c>
      <c r="N133" s="15" t="str">
        <f>IFERROR(__xludf.DUMMYFUNCTION("VLOOKUP(A133,IMPORTRANGE(""1QZ5UxyNCwadreQAXnQ7oCoH982DjIA-QnZdO7ZoqkC0/edit#gid=884617569"",""S4 Totals!$A$2:$O$255""),11,FALSE)"),"#N/A")</f>
        <v>#N/A</v>
      </c>
      <c r="O133" s="110"/>
      <c r="P133" s="16" t="str">
        <f>IFERROR(__xludf.DUMMYFUNCTION("VLOOKUP(A133,IMPORTRANGE(""1QZ5UxyNCwadreQAXnQ7oCoH982DjIA-QnZdO7ZoqkC0/edit#gid=884617569"",""S4 Totals!$A$2:$O$255""),13,FALSE)"),"#N/A")</f>
        <v>#N/A</v>
      </c>
      <c r="Q133" s="15" t="str">
        <f>IFERROR(__xludf.DUMMYFUNCTION("VLOOKUP(A133,IMPORTRANGE(""1QZ5UxyNCwadreQAXnQ7oCoH982DjIA-QnZdO7ZoqkC0/edit#gid=884617569"",""S4 Totals!$A$2:$O$255""),14,FALSE)"),"#N/A")</f>
        <v>#N/A</v>
      </c>
      <c r="R133" s="110"/>
    </row>
    <row r="134">
      <c r="A134" s="128" t="s">
        <v>65</v>
      </c>
      <c r="B134" s="16">
        <f>IFERROR(__xludf.DUMMYFUNCTION("VLOOKUP(A134,IMPORTRANGE(""1aFCnJY1qhIj8-JckJhDJ18aqmVo17tofpQmOjcYa3u8/edit#gid=1878241338"",""S4 Totals!$A$2:$O$255""),2,FALSE)"),15.0)</f>
        <v>15</v>
      </c>
      <c r="C134" s="15">
        <f>IFERROR(__xludf.DUMMYFUNCTION("VLOOKUP(A134,IMPORTRANGE(""1aFCnJY1qhIj8-JckJhDJ18aqmVo17tofpQmOjcYa3u8/edit#gid=1878241338"",""S4 Totals!$A$2:$O$255""),3,FALSE)"),0.3)</f>
        <v>0.3</v>
      </c>
      <c r="D134" s="16">
        <f>IFERROR(__xludf.DUMMYFUNCTION("VLOOKUP(A134,IMPORTRANGE(""1QZ5UxyNCwadreQAXnQ7oCoH982DjIA-QnZdO7ZoqkC0/edit#gid=884617569"",""S4 Totals!$A$2:$O$255""),2,FALSE)"),13.0)</f>
        <v>13</v>
      </c>
      <c r="E134" s="15">
        <f>IFERROR(__xludf.DUMMYFUNCTION("VLOOKUP(A134,IMPORTRANGE(""1QZ5UxyNCwadreQAXnQ7oCoH982DjIA-QnZdO7ZoqkC0/edit#gid=884617569"",""S4 Totals!$A$2:$O$255""),3,FALSE)"),0.2765957446808511)</f>
        <v>0.2765957447</v>
      </c>
      <c r="F134" s="146">
        <f t="shared" si="1"/>
        <v>0.02340425532</v>
      </c>
      <c r="G134" s="16">
        <f>IFERROR(__xludf.DUMMYFUNCTION("VLOOKUP(A134,IMPORTRANGE(""1QZ5UxyNCwadreQAXnQ7oCoH982DjIA-QnZdO7ZoqkC0/edit#gid=884617569"",""S4 Totals!$A$2:$O$255""),4,FALSE)"),27.0)</f>
        <v>27</v>
      </c>
      <c r="H134" s="15">
        <f>IFERROR(__xludf.DUMMYFUNCTION("VLOOKUP(A134,IMPORTRANGE(""1QZ5UxyNCwadreQAXnQ7oCoH982DjIA-QnZdO7ZoqkC0/edit#gid=884617569"",""S4 Totals!$A$2:$O$255""),5,FALSE)"),0.42857142857142855)</f>
        <v>0.4285714286</v>
      </c>
      <c r="I134" s="143"/>
      <c r="J134" s="16">
        <f>IFERROR(__xludf.DUMMYFUNCTION("VLOOKUP(A134,IMPORTRANGE(""1QZ5UxyNCwadreQAXnQ7oCoH982DjIA-QnZdO7ZoqkC0/edit#gid=884617569"",""S4 Totals!$A$2:$O$255""),7,FALSE)"),28.0)</f>
        <v>28</v>
      </c>
      <c r="K134" s="15">
        <f>IFERROR(__xludf.DUMMYFUNCTION("VLOOKUP(A134,IMPORTRANGE(""1QZ5UxyNCwadreQAXnQ7oCoH982DjIA-QnZdO7ZoqkC0/edit#gid=884617569"",""S4 Totals!$A$2:$O$255""),8,FALSE)"),0.4)</f>
        <v>0.4</v>
      </c>
      <c r="L134" s="147"/>
      <c r="M134" s="16">
        <f>IFERROR(__xludf.DUMMYFUNCTION("VLOOKUP(A134,IMPORTRANGE(""1QZ5UxyNCwadreQAXnQ7oCoH982DjIA-QnZdO7ZoqkC0/edit#gid=884617569"",""S4 Totals!$A$2:$O$255""),10,FALSE)"),26.0)</f>
        <v>26</v>
      </c>
      <c r="N134" s="15">
        <f>IFERROR(__xludf.DUMMYFUNCTION("VLOOKUP(A134,IMPORTRANGE(""1QZ5UxyNCwadreQAXnQ7oCoH982DjIA-QnZdO7ZoqkC0/edit#gid=884617569"",""S4 Totals!$A$2:$O$255""),11,FALSE)"),0.35135135135135137)</f>
        <v>0.3513513514</v>
      </c>
      <c r="O134" s="110"/>
      <c r="P134" s="16">
        <f>IFERROR(__xludf.DUMMYFUNCTION("VLOOKUP(A134,IMPORTRANGE(""1QZ5UxyNCwadreQAXnQ7oCoH982DjIA-QnZdO7ZoqkC0/edit#gid=884617569"",""S4 Totals!$A$2:$O$255""),13,FALSE)"),16.0)</f>
        <v>16</v>
      </c>
      <c r="Q134" s="15">
        <f>IFERROR(__xludf.DUMMYFUNCTION("VLOOKUP(A134,IMPORTRANGE(""1QZ5UxyNCwadreQAXnQ7oCoH982DjIA-QnZdO7ZoqkC0/edit#gid=884617569"",""S4 Totals!$A$2:$O$255""),14,FALSE)"),0.21333333333333335)</f>
        <v>0.2133333333</v>
      </c>
      <c r="R134" s="110"/>
    </row>
    <row r="135">
      <c r="A135" s="128" t="s">
        <v>181</v>
      </c>
      <c r="B135" s="16">
        <f>IFERROR(__xludf.DUMMYFUNCTION("VLOOKUP(A135,IMPORTRANGE(""1aFCnJY1qhIj8-JckJhDJ18aqmVo17tofpQmOjcYa3u8/edit#gid=1878241338"",""S4 Totals!$A$2:$O$255""),2,FALSE)"),3.0)</f>
        <v>3</v>
      </c>
      <c r="C135" s="15">
        <f>IFERROR(__xludf.DUMMYFUNCTION("VLOOKUP(A135,IMPORTRANGE(""1aFCnJY1qhIj8-JckJhDJ18aqmVo17tofpQmOjcYa3u8/edit#gid=1878241338"",""S4 Totals!$A$2:$O$255""),3,FALSE)"),0.06)</f>
        <v>0.06</v>
      </c>
      <c r="D135" s="16">
        <f>IFERROR(__xludf.DUMMYFUNCTION("VLOOKUP(A135,IMPORTRANGE(""1QZ5UxyNCwadreQAXnQ7oCoH982DjIA-QnZdO7ZoqkC0/edit#gid=884617569"",""S4 Totals!$A$2:$O$255""),2,FALSE)"),7.0)</f>
        <v>7</v>
      </c>
      <c r="E135" s="15">
        <f>IFERROR(__xludf.DUMMYFUNCTION("VLOOKUP(A135,IMPORTRANGE(""1QZ5UxyNCwadreQAXnQ7oCoH982DjIA-QnZdO7ZoqkC0/edit#gid=884617569"",""S4 Totals!$A$2:$O$255""),3,FALSE)"),0.14893617021276595)</f>
        <v>0.1489361702</v>
      </c>
      <c r="F135" s="146">
        <f t="shared" si="1"/>
        <v>-0.08893617021</v>
      </c>
      <c r="G135" s="16">
        <f>IFERROR(__xludf.DUMMYFUNCTION("VLOOKUP(A135,IMPORTRANGE(""1QZ5UxyNCwadreQAXnQ7oCoH982DjIA-QnZdO7ZoqkC0/edit#gid=884617569"",""S4 Totals!$A$2:$O$255""),4,FALSE)"),6.0)</f>
        <v>6</v>
      </c>
      <c r="H135" s="15">
        <f>IFERROR(__xludf.DUMMYFUNCTION("VLOOKUP(A135,IMPORTRANGE(""1QZ5UxyNCwadreQAXnQ7oCoH982DjIA-QnZdO7ZoqkC0/edit#gid=884617569"",""S4 Totals!$A$2:$O$255""),5,FALSE)"),0.09523809523809523)</f>
        <v>0.09523809524</v>
      </c>
      <c r="I135" s="143"/>
      <c r="J135" s="16">
        <f>IFERROR(__xludf.DUMMYFUNCTION("VLOOKUP(A135,IMPORTRANGE(""1QZ5UxyNCwadreQAXnQ7oCoH982DjIA-QnZdO7ZoqkC0/edit#gid=884617569"",""S4 Totals!$A$2:$O$255""),7,FALSE)"),4.0)</f>
        <v>4</v>
      </c>
      <c r="K135" s="15">
        <f>IFERROR(__xludf.DUMMYFUNCTION("VLOOKUP(A135,IMPORTRANGE(""1QZ5UxyNCwadreQAXnQ7oCoH982DjIA-QnZdO7ZoqkC0/edit#gid=884617569"",""S4 Totals!$A$2:$O$255""),8,FALSE)"),0.05714285714285714)</f>
        <v>0.05714285714</v>
      </c>
      <c r="L135" s="147"/>
      <c r="M135" s="16" t="str">
        <f>IFERROR(__xludf.DUMMYFUNCTION("VLOOKUP(A135,IMPORTRANGE(""1QZ5UxyNCwadreQAXnQ7oCoH982DjIA-QnZdO7ZoqkC0/edit#gid=884617569"",""S4 Totals!$A$2:$O$255""),10,FALSE)"),"")</f>
        <v/>
      </c>
      <c r="N135" s="15" t="str">
        <f>IFERROR(__xludf.DUMMYFUNCTION("VLOOKUP(A135,IMPORTRANGE(""1QZ5UxyNCwadreQAXnQ7oCoH982DjIA-QnZdO7ZoqkC0/edit#gid=884617569"",""S4 Totals!$A$2:$O$255""),11,FALSE)"),"")</f>
        <v/>
      </c>
      <c r="O135" s="110"/>
      <c r="P135" s="16" t="str">
        <f>IFERROR(__xludf.DUMMYFUNCTION("VLOOKUP(A135,IMPORTRANGE(""1QZ5UxyNCwadreQAXnQ7oCoH982DjIA-QnZdO7ZoqkC0/edit#gid=884617569"",""S4 Totals!$A$2:$O$255""),13,FALSE)"),"")</f>
        <v/>
      </c>
      <c r="Q135" s="15" t="str">
        <f>IFERROR(__xludf.DUMMYFUNCTION("VLOOKUP(A135,IMPORTRANGE(""1QZ5UxyNCwadreQAXnQ7oCoH982DjIA-QnZdO7ZoqkC0/edit#gid=884617569"",""S4 Totals!$A$2:$O$255""),14,FALSE)"),"")</f>
        <v/>
      </c>
      <c r="R135" s="110"/>
    </row>
    <row r="136">
      <c r="A136" s="128" t="s">
        <v>135</v>
      </c>
      <c r="B136" s="16">
        <f>IFERROR(__xludf.DUMMYFUNCTION("VLOOKUP(A136,IMPORTRANGE(""1aFCnJY1qhIj8-JckJhDJ18aqmVo17tofpQmOjcYa3u8/edit#gid=1878241338"",""S4 Totals!$A$2:$O$255""),2,FALSE)"),18.0)</f>
        <v>18</v>
      </c>
      <c r="C136" s="15">
        <f>IFERROR(__xludf.DUMMYFUNCTION("VLOOKUP(A136,IMPORTRANGE(""1aFCnJY1qhIj8-JckJhDJ18aqmVo17tofpQmOjcYa3u8/edit#gid=1878241338"",""S4 Totals!$A$2:$O$255""),3,FALSE)"),0.36)</f>
        <v>0.36</v>
      </c>
      <c r="D136" s="16">
        <f>IFERROR(__xludf.DUMMYFUNCTION("VLOOKUP(A136,IMPORTRANGE(""1QZ5UxyNCwadreQAXnQ7oCoH982DjIA-QnZdO7ZoqkC0/edit#gid=884617569"",""S4 Totals!$A$2:$O$255""),2,FALSE)"),18.0)</f>
        <v>18</v>
      </c>
      <c r="E136" s="15">
        <f>IFERROR(__xludf.DUMMYFUNCTION("VLOOKUP(A136,IMPORTRANGE(""1QZ5UxyNCwadreQAXnQ7oCoH982DjIA-QnZdO7ZoqkC0/edit#gid=884617569"",""S4 Totals!$A$2:$O$255""),3,FALSE)"),0.3829787234042553)</f>
        <v>0.3829787234</v>
      </c>
      <c r="F136" s="146">
        <f t="shared" si="1"/>
        <v>-0.0229787234</v>
      </c>
      <c r="G136" s="16">
        <f>IFERROR(__xludf.DUMMYFUNCTION("VLOOKUP(A136,IMPORTRANGE(""1QZ5UxyNCwadreQAXnQ7oCoH982DjIA-QnZdO7ZoqkC0/edit#gid=884617569"",""S4 Totals!$A$2:$O$255""),4,FALSE)"),17.0)</f>
        <v>17</v>
      </c>
      <c r="H136" s="15">
        <f>IFERROR(__xludf.DUMMYFUNCTION("VLOOKUP(A136,IMPORTRANGE(""1QZ5UxyNCwadreQAXnQ7oCoH982DjIA-QnZdO7ZoqkC0/edit#gid=884617569"",""S4 Totals!$A$2:$O$255""),5,FALSE)"),0.2698412698412698)</f>
        <v>0.2698412698</v>
      </c>
      <c r="I136" s="143"/>
      <c r="J136" s="16">
        <f>IFERROR(__xludf.DUMMYFUNCTION("VLOOKUP(A136,IMPORTRANGE(""1QZ5UxyNCwadreQAXnQ7oCoH982DjIA-QnZdO7ZoqkC0/edit#gid=884617569"",""S4 Totals!$A$2:$O$255""),7,FALSE)"),10.0)</f>
        <v>10</v>
      </c>
      <c r="K136" s="15">
        <f>IFERROR(__xludf.DUMMYFUNCTION("VLOOKUP(A136,IMPORTRANGE(""1QZ5UxyNCwadreQAXnQ7oCoH982DjIA-QnZdO7ZoqkC0/edit#gid=884617569"",""S4 Totals!$A$2:$O$255""),8,FALSE)"),0.14285714285714285)</f>
        <v>0.1428571429</v>
      </c>
      <c r="L136" s="147"/>
      <c r="M136" s="16">
        <f>IFERROR(__xludf.DUMMYFUNCTION("VLOOKUP(A136,IMPORTRANGE(""1QZ5UxyNCwadreQAXnQ7oCoH982DjIA-QnZdO7ZoqkC0/edit#gid=884617569"",""S4 Totals!$A$2:$O$255""),10,FALSE)"),7.0)</f>
        <v>7</v>
      </c>
      <c r="N136" s="15">
        <f>IFERROR(__xludf.DUMMYFUNCTION("VLOOKUP(A136,IMPORTRANGE(""1QZ5UxyNCwadreQAXnQ7oCoH982DjIA-QnZdO7ZoqkC0/edit#gid=884617569"",""S4 Totals!$A$2:$O$255""),11,FALSE)"),0.0945945945945946)</f>
        <v>0.09459459459</v>
      </c>
      <c r="O136" s="110"/>
      <c r="P136" s="16" t="str">
        <f>IFERROR(__xludf.DUMMYFUNCTION("VLOOKUP(A136,IMPORTRANGE(""1QZ5UxyNCwadreQAXnQ7oCoH982DjIA-QnZdO7ZoqkC0/edit#gid=884617569"",""S4 Totals!$A$2:$O$255""),13,FALSE)"),"")</f>
        <v/>
      </c>
      <c r="Q136" s="15" t="str">
        <f>IFERROR(__xludf.DUMMYFUNCTION("VLOOKUP(A136,IMPORTRANGE(""1QZ5UxyNCwadreQAXnQ7oCoH982DjIA-QnZdO7ZoqkC0/edit#gid=884617569"",""S4 Totals!$A$2:$O$255""),14,FALSE)"),"")</f>
        <v/>
      </c>
      <c r="R136" s="110"/>
    </row>
    <row r="137">
      <c r="A137" s="128" t="s">
        <v>136</v>
      </c>
      <c r="B137" s="16">
        <f>IFERROR(__xludf.DUMMYFUNCTION("VLOOKUP(A137,IMPORTRANGE(""1aFCnJY1qhIj8-JckJhDJ18aqmVo17tofpQmOjcYa3u8/edit#gid=1878241338"",""S4 Totals!$A$2:$O$255""),2,FALSE)"),15.0)</f>
        <v>15</v>
      </c>
      <c r="C137" s="15">
        <f>IFERROR(__xludf.DUMMYFUNCTION("VLOOKUP(A137,IMPORTRANGE(""1aFCnJY1qhIj8-JckJhDJ18aqmVo17tofpQmOjcYa3u8/edit#gid=1878241338"",""S4 Totals!$A$2:$O$255""),3,FALSE)"),0.3)</f>
        <v>0.3</v>
      </c>
      <c r="D137" s="16">
        <f>IFERROR(__xludf.DUMMYFUNCTION("VLOOKUP(A137,IMPORTRANGE(""1QZ5UxyNCwadreQAXnQ7oCoH982DjIA-QnZdO7ZoqkC0/edit#gid=884617569"",""S4 Totals!$A$2:$O$255""),2,FALSE)"),11.0)</f>
        <v>11</v>
      </c>
      <c r="E137" s="15">
        <f>IFERROR(__xludf.DUMMYFUNCTION("VLOOKUP(A137,IMPORTRANGE(""1QZ5UxyNCwadreQAXnQ7oCoH982DjIA-QnZdO7ZoqkC0/edit#gid=884617569"",""S4 Totals!$A$2:$O$255""),3,FALSE)"),0.23404255319148937)</f>
        <v>0.2340425532</v>
      </c>
      <c r="F137" s="146">
        <f t="shared" si="1"/>
        <v>0.06595744681</v>
      </c>
      <c r="G137" s="16">
        <f>IFERROR(__xludf.DUMMYFUNCTION("VLOOKUP(A137,IMPORTRANGE(""1QZ5UxyNCwadreQAXnQ7oCoH982DjIA-QnZdO7ZoqkC0/edit#gid=884617569"",""S4 Totals!$A$2:$O$255""),4,FALSE)"),23.0)</f>
        <v>23</v>
      </c>
      <c r="H137" s="15">
        <f>IFERROR(__xludf.DUMMYFUNCTION("VLOOKUP(A137,IMPORTRANGE(""1QZ5UxyNCwadreQAXnQ7oCoH982DjIA-QnZdO7ZoqkC0/edit#gid=884617569"",""S4 Totals!$A$2:$O$255""),5,FALSE)"),0.36507936507936506)</f>
        <v>0.3650793651</v>
      </c>
      <c r="I137" s="143"/>
      <c r="J137" s="16">
        <f>IFERROR(__xludf.DUMMYFUNCTION("VLOOKUP(A137,IMPORTRANGE(""1QZ5UxyNCwadreQAXnQ7oCoH982DjIA-QnZdO7ZoqkC0/edit#gid=884617569"",""S4 Totals!$A$2:$O$255""),7,FALSE)"),10.0)</f>
        <v>10</v>
      </c>
      <c r="K137" s="15">
        <f>IFERROR(__xludf.DUMMYFUNCTION("VLOOKUP(A137,IMPORTRANGE(""1QZ5UxyNCwadreQAXnQ7oCoH982DjIA-QnZdO7ZoqkC0/edit#gid=884617569"",""S4 Totals!$A$2:$O$255""),8,FALSE)"),0.14285714285714285)</f>
        <v>0.1428571429</v>
      </c>
      <c r="L137" s="147"/>
      <c r="M137" s="16">
        <f>IFERROR(__xludf.DUMMYFUNCTION("VLOOKUP(A137,IMPORTRANGE(""1QZ5UxyNCwadreQAXnQ7oCoH982DjIA-QnZdO7ZoqkC0/edit#gid=884617569"",""S4 Totals!$A$2:$O$255""),10,FALSE)"),18.0)</f>
        <v>18</v>
      </c>
      <c r="N137" s="15">
        <f>IFERROR(__xludf.DUMMYFUNCTION("VLOOKUP(A137,IMPORTRANGE(""1QZ5UxyNCwadreQAXnQ7oCoH982DjIA-QnZdO7ZoqkC0/edit#gid=884617569"",""S4 Totals!$A$2:$O$255""),11,FALSE)"),0.24324324324324326)</f>
        <v>0.2432432432</v>
      </c>
      <c r="O137" s="110"/>
      <c r="P137" s="16" t="str">
        <f>IFERROR(__xludf.DUMMYFUNCTION("VLOOKUP(A137,IMPORTRANGE(""1QZ5UxyNCwadreQAXnQ7oCoH982DjIA-QnZdO7ZoqkC0/edit#gid=884617569"",""S4 Totals!$A$2:$O$255""),13,FALSE)"),"")</f>
        <v/>
      </c>
      <c r="Q137" s="15" t="str">
        <f>IFERROR(__xludf.DUMMYFUNCTION("VLOOKUP(A137,IMPORTRANGE(""1QZ5UxyNCwadreQAXnQ7oCoH982DjIA-QnZdO7ZoqkC0/edit#gid=884617569"",""S4 Totals!$A$2:$O$255""),14,FALSE)"),"")</f>
        <v/>
      </c>
      <c r="R137" s="110"/>
    </row>
    <row r="138">
      <c r="A138" s="128" t="s">
        <v>88</v>
      </c>
      <c r="B138" s="16">
        <f>IFERROR(__xludf.DUMMYFUNCTION("VLOOKUP(A138,IMPORTRANGE(""1aFCnJY1qhIj8-JckJhDJ18aqmVo17tofpQmOjcYa3u8/edit#gid=1878241338"",""S4 Totals!$A$2:$O$255""),2,FALSE)"),0.0)</f>
        <v>0</v>
      </c>
      <c r="C138" s="15">
        <f>IFERROR(__xludf.DUMMYFUNCTION("VLOOKUP(A138,IMPORTRANGE(""1aFCnJY1qhIj8-JckJhDJ18aqmVo17tofpQmOjcYa3u8/edit#gid=1878241338"",""S4 Totals!$A$2:$O$255""),3,FALSE)"),0.0)</f>
        <v>0</v>
      </c>
      <c r="D138" s="16">
        <f>IFERROR(__xludf.DUMMYFUNCTION("VLOOKUP(A138,IMPORTRANGE(""1QZ5UxyNCwadreQAXnQ7oCoH982DjIA-QnZdO7ZoqkC0/edit#gid=884617569"",""S4 Totals!$A$2:$O$255""),2,FALSE)"),0.0)</f>
        <v>0</v>
      </c>
      <c r="E138" s="15">
        <f>IFERROR(__xludf.DUMMYFUNCTION("VLOOKUP(A138,IMPORTRANGE(""1QZ5UxyNCwadreQAXnQ7oCoH982DjIA-QnZdO7ZoqkC0/edit#gid=884617569"",""S4 Totals!$A$2:$O$255""),3,FALSE)"),0.0)</f>
        <v>0</v>
      </c>
      <c r="F138" s="146">
        <f t="shared" si="1"/>
        <v>0</v>
      </c>
      <c r="G138" s="16">
        <f>IFERROR(__xludf.DUMMYFUNCTION("VLOOKUP(A138,IMPORTRANGE(""1QZ5UxyNCwadreQAXnQ7oCoH982DjIA-QnZdO7ZoqkC0/edit#gid=884617569"",""S4 Totals!$A$2:$O$255""),4,FALSE)"),3.0)</f>
        <v>3</v>
      </c>
      <c r="H138" s="15">
        <f>IFERROR(__xludf.DUMMYFUNCTION("VLOOKUP(A138,IMPORTRANGE(""1QZ5UxyNCwadreQAXnQ7oCoH982DjIA-QnZdO7ZoqkC0/edit#gid=884617569"",""S4 Totals!$A$2:$O$255""),5,FALSE)"),0.047619047619047616)</f>
        <v>0.04761904762</v>
      </c>
      <c r="I138" s="143"/>
      <c r="J138" s="16">
        <f>IFERROR(__xludf.DUMMYFUNCTION("VLOOKUP(A138,IMPORTRANGE(""1QZ5UxyNCwadreQAXnQ7oCoH982DjIA-QnZdO7ZoqkC0/edit#gid=884617569"",""S4 Totals!$A$2:$O$255""),7,FALSE)"),3.0)</f>
        <v>3</v>
      </c>
      <c r="K138" s="15">
        <f>IFERROR(__xludf.DUMMYFUNCTION("VLOOKUP(A138,IMPORTRANGE(""1QZ5UxyNCwadreQAXnQ7oCoH982DjIA-QnZdO7ZoqkC0/edit#gid=884617569"",""S4 Totals!$A$2:$O$255""),8,FALSE)"),0.04285714285714286)</f>
        <v>0.04285714286</v>
      </c>
      <c r="L138" s="147"/>
      <c r="M138" s="16">
        <f>IFERROR(__xludf.DUMMYFUNCTION("VLOOKUP(A138,IMPORTRANGE(""1QZ5UxyNCwadreQAXnQ7oCoH982DjIA-QnZdO7ZoqkC0/edit#gid=884617569"",""S4 Totals!$A$2:$O$255""),10,FALSE)"),4.0)</f>
        <v>4</v>
      </c>
      <c r="N138" s="15">
        <f>IFERROR(__xludf.DUMMYFUNCTION("VLOOKUP(A138,IMPORTRANGE(""1QZ5UxyNCwadreQAXnQ7oCoH982DjIA-QnZdO7ZoqkC0/edit#gid=884617569"",""S4 Totals!$A$2:$O$255""),11,FALSE)"),0.05405405405405406)</f>
        <v>0.05405405405</v>
      </c>
      <c r="O138" s="110"/>
      <c r="P138" s="16">
        <f>IFERROR(__xludf.DUMMYFUNCTION("VLOOKUP(A138,IMPORTRANGE(""1QZ5UxyNCwadreQAXnQ7oCoH982DjIA-QnZdO7ZoqkC0/edit#gid=884617569"",""S4 Totals!$A$2:$O$255""),13,FALSE)"),1.0)</f>
        <v>1</v>
      </c>
      <c r="Q138" s="15">
        <f>IFERROR(__xludf.DUMMYFUNCTION("VLOOKUP(A138,IMPORTRANGE(""1QZ5UxyNCwadreQAXnQ7oCoH982DjIA-QnZdO7ZoqkC0/edit#gid=884617569"",""S4 Totals!$A$2:$O$255""),14,FALSE)"),0.013333333333333334)</f>
        <v>0.01333333333</v>
      </c>
      <c r="R138" s="110"/>
    </row>
    <row r="139">
      <c r="A139" s="128" t="s">
        <v>137</v>
      </c>
      <c r="B139" s="16">
        <f>IFERROR(__xludf.DUMMYFUNCTION("VLOOKUP(A139,IMPORTRANGE(""1aFCnJY1qhIj8-JckJhDJ18aqmVo17tofpQmOjcYa3u8/edit#gid=1878241338"",""S4 Totals!$A$2:$O$255""),2,FALSE)"),0.0)</f>
        <v>0</v>
      </c>
      <c r="C139" s="15">
        <f>IFERROR(__xludf.DUMMYFUNCTION("VLOOKUP(A139,IMPORTRANGE(""1aFCnJY1qhIj8-JckJhDJ18aqmVo17tofpQmOjcYa3u8/edit#gid=1878241338"",""S4 Totals!$A$2:$O$255""),3,FALSE)"),0.0)</f>
        <v>0</v>
      </c>
      <c r="D139" s="16">
        <f>IFERROR(__xludf.DUMMYFUNCTION("VLOOKUP(A139,IMPORTRANGE(""1QZ5UxyNCwadreQAXnQ7oCoH982DjIA-QnZdO7ZoqkC0/edit#gid=884617569"",""S4 Totals!$A$2:$O$255""),2,FALSE)"),0.0)</f>
        <v>0</v>
      </c>
      <c r="E139" s="15">
        <f>IFERROR(__xludf.DUMMYFUNCTION("VLOOKUP(A139,IMPORTRANGE(""1QZ5UxyNCwadreQAXnQ7oCoH982DjIA-QnZdO7ZoqkC0/edit#gid=884617569"",""S4 Totals!$A$2:$O$255""),3,FALSE)"),0.0)</f>
        <v>0</v>
      </c>
      <c r="F139" s="146">
        <f t="shared" si="1"/>
        <v>0</v>
      </c>
      <c r="G139" s="16">
        <f>IFERROR(__xludf.DUMMYFUNCTION("VLOOKUP(A139,IMPORTRANGE(""1QZ5UxyNCwadreQAXnQ7oCoH982DjIA-QnZdO7ZoqkC0/edit#gid=884617569"",""S4 Totals!$A$2:$O$255""),4,FALSE)"),0.0)</f>
        <v>0</v>
      </c>
      <c r="H139" s="15">
        <f>IFERROR(__xludf.DUMMYFUNCTION("VLOOKUP(A139,IMPORTRANGE(""1QZ5UxyNCwadreQAXnQ7oCoH982DjIA-QnZdO7ZoqkC0/edit#gid=884617569"",""S4 Totals!$A$2:$O$255""),5,FALSE)"),0.0)</f>
        <v>0</v>
      </c>
      <c r="I139" s="143"/>
      <c r="J139" s="16">
        <f>IFERROR(__xludf.DUMMYFUNCTION("VLOOKUP(A139,IMPORTRANGE(""1QZ5UxyNCwadreQAXnQ7oCoH982DjIA-QnZdO7ZoqkC0/edit#gid=884617569"",""S4 Totals!$A$2:$O$255""),7,FALSE)"),0.0)</f>
        <v>0</v>
      </c>
      <c r="K139" s="15">
        <f>IFERROR(__xludf.DUMMYFUNCTION("VLOOKUP(A139,IMPORTRANGE(""1QZ5UxyNCwadreQAXnQ7oCoH982DjIA-QnZdO7ZoqkC0/edit#gid=884617569"",""S4 Totals!$A$2:$O$255""),8,FALSE)"),0.0)</f>
        <v>0</v>
      </c>
      <c r="L139" s="147"/>
      <c r="M139" s="16">
        <f>IFERROR(__xludf.DUMMYFUNCTION("VLOOKUP(A139,IMPORTRANGE(""1QZ5UxyNCwadreQAXnQ7oCoH982DjIA-QnZdO7ZoqkC0/edit#gid=884617569"",""S4 Totals!$A$2:$O$255""),10,FALSE)"),0.0)</f>
        <v>0</v>
      </c>
      <c r="N139" s="15">
        <f>IFERROR(__xludf.DUMMYFUNCTION("VLOOKUP(A139,IMPORTRANGE(""1QZ5UxyNCwadreQAXnQ7oCoH982DjIA-QnZdO7ZoqkC0/edit#gid=884617569"",""S4 Totals!$A$2:$O$255""),11,FALSE)"),0.0)</f>
        <v>0</v>
      </c>
      <c r="O139" s="110"/>
      <c r="P139" s="16" t="str">
        <f>IFERROR(__xludf.DUMMYFUNCTION("VLOOKUP(A139,IMPORTRANGE(""1QZ5UxyNCwadreQAXnQ7oCoH982DjIA-QnZdO7ZoqkC0/edit#gid=884617569"",""S4 Totals!$A$2:$O$255""),13,FALSE)"),"")</f>
        <v/>
      </c>
      <c r="Q139" s="15" t="str">
        <f>IFERROR(__xludf.DUMMYFUNCTION("VLOOKUP(A139,IMPORTRANGE(""1QZ5UxyNCwadreQAXnQ7oCoH982DjIA-QnZdO7ZoqkC0/edit#gid=884617569"",""S4 Totals!$A$2:$O$255""),14,FALSE)"),"")</f>
        <v/>
      </c>
      <c r="R139" s="110"/>
    </row>
    <row r="140">
      <c r="A140" s="128" t="s">
        <v>67</v>
      </c>
      <c r="B140" s="16">
        <f>IFERROR(__xludf.DUMMYFUNCTION("VLOOKUP(A140,IMPORTRANGE(""1aFCnJY1qhIj8-JckJhDJ18aqmVo17tofpQmOjcYa3u8/edit#gid=1878241338"",""S4 Totals!$A$2:$O$255""),2,FALSE)"),14.0)</f>
        <v>14</v>
      </c>
      <c r="C140" s="15">
        <f>IFERROR(__xludf.DUMMYFUNCTION("VLOOKUP(A140,IMPORTRANGE(""1aFCnJY1qhIj8-JckJhDJ18aqmVo17tofpQmOjcYa3u8/edit#gid=1878241338"",""S4 Totals!$A$2:$O$255""),3,FALSE)"),0.28)</f>
        <v>0.28</v>
      </c>
      <c r="D140" s="16">
        <f>IFERROR(__xludf.DUMMYFUNCTION("VLOOKUP(A140,IMPORTRANGE(""1QZ5UxyNCwadreQAXnQ7oCoH982DjIA-QnZdO7ZoqkC0/edit#gid=884617569"",""S4 Totals!$A$2:$O$255""),2,FALSE)"),9.0)</f>
        <v>9</v>
      </c>
      <c r="E140" s="15">
        <f>IFERROR(__xludf.DUMMYFUNCTION("VLOOKUP(A140,IMPORTRANGE(""1QZ5UxyNCwadreQAXnQ7oCoH982DjIA-QnZdO7ZoqkC0/edit#gid=884617569"",""S4 Totals!$A$2:$O$255""),3,FALSE)"),0.19148936170212766)</f>
        <v>0.1914893617</v>
      </c>
      <c r="F140" s="146">
        <f t="shared" si="1"/>
        <v>0.0885106383</v>
      </c>
      <c r="G140" s="16">
        <f>IFERROR(__xludf.DUMMYFUNCTION("VLOOKUP(A140,IMPORTRANGE(""1QZ5UxyNCwadreQAXnQ7oCoH982DjIA-QnZdO7ZoqkC0/edit#gid=884617569"",""S4 Totals!$A$2:$O$255""),4,FALSE)"),7.0)</f>
        <v>7</v>
      </c>
      <c r="H140" s="15">
        <f>IFERROR(__xludf.DUMMYFUNCTION("VLOOKUP(A140,IMPORTRANGE(""1QZ5UxyNCwadreQAXnQ7oCoH982DjIA-QnZdO7ZoqkC0/edit#gid=884617569"",""S4 Totals!$A$2:$O$255""),5,FALSE)"),0.1111111111111111)</f>
        <v>0.1111111111</v>
      </c>
      <c r="I140" s="143"/>
      <c r="J140" s="16">
        <f>IFERROR(__xludf.DUMMYFUNCTION("VLOOKUP(A140,IMPORTRANGE(""1QZ5UxyNCwadreQAXnQ7oCoH982DjIA-QnZdO7ZoqkC0/edit#gid=884617569"",""S4 Totals!$A$2:$O$255""),7,FALSE)"),3.0)</f>
        <v>3</v>
      </c>
      <c r="K140" s="15">
        <f>IFERROR(__xludf.DUMMYFUNCTION("VLOOKUP(A140,IMPORTRANGE(""1QZ5UxyNCwadreQAXnQ7oCoH982DjIA-QnZdO7ZoqkC0/edit#gid=884617569"",""S4 Totals!$A$2:$O$255""),8,FALSE)"),0.04285714285714286)</f>
        <v>0.04285714286</v>
      </c>
      <c r="L140" s="147"/>
      <c r="M140" s="16">
        <f>IFERROR(__xludf.DUMMYFUNCTION("VLOOKUP(A140,IMPORTRANGE(""1QZ5UxyNCwadreQAXnQ7oCoH982DjIA-QnZdO7ZoqkC0/edit#gid=884617569"",""S4 Totals!$A$2:$O$255""),10,FALSE)"),1.0)</f>
        <v>1</v>
      </c>
      <c r="N140" s="15">
        <f>IFERROR(__xludf.DUMMYFUNCTION("VLOOKUP(A140,IMPORTRANGE(""1QZ5UxyNCwadreQAXnQ7oCoH982DjIA-QnZdO7ZoqkC0/edit#gid=884617569"",""S4 Totals!$A$2:$O$255""),11,FALSE)"),0.013513513513513514)</f>
        <v>0.01351351351</v>
      </c>
      <c r="O140" s="110"/>
      <c r="P140" s="16">
        <f>IFERROR(__xludf.DUMMYFUNCTION("VLOOKUP(A140,IMPORTRANGE(""1QZ5UxyNCwadreQAXnQ7oCoH982DjIA-QnZdO7ZoqkC0/edit#gid=884617569"",""S4 Totals!$A$2:$O$255""),13,FALSE)"),0.0)</f>
        <v>0</v>
      </c>
      <c r="Q140" s="15">
        <f>IFERROR(__xludf.DUMMYFUNCTION("VLOOKUP(A140,IMPORTRANGE(""1QZ5UxyNCwadreQAXnQ7oCoH982DjIA-QnZdO7ZoqkC0/edit#gid=884617569"",""S4 Totals!$A$2:$O$255""),14,FALSE)"),0.0)</f>
        <v>0</v>
      </c>
      <c r="R140" s="110"/>
    </row>
    <row r="141">
      <c r="A141" s="128" t="s">
        <v>68</v>
      </c>
      <c r="B141" s="16">
        <f>IFERROR(__xludf.DUMMYFUNCTION("VLOOKUP(A141,IMPORTRANGE(""1aFCnJY1qhIj8-JckJhDJ18aqmVo17tofpQmOjcYa3u8/edit#gid=1878241338"",""S4 Totals!$A$2:$O$255""),2,FALSE)"),18.0)</f>
        <v>18</v>
      </c>
      <c r="C141" s="15">
        <f>IFERROR(__xludf.DUMMYFUNCTION("VLOOKUP(A141,IMPORTRANGE(""1aFCnJY1qhIj8-JckJhDJ18aqmVo17tofpQmOjcYa3u8/edit#gid=1878241338"",""S4 Totals!$A$2:$O$255""),3,FALSE)"),0.36)</f>
        <v>0.36</v>
      </c>
      <c r="D141" s="16">
        <f>IFERROR(__xludf.DUMMYFUNCTION("VLOOKUP(A141,IMPORTRANGE(""1QZ5UxyNCwadreQAXnQ7oCoH982DjIA-QnZdO7ZoqkC0/edit#gid=884617569"",""S4 Totals!$A$2:$O$255""),2,FALSE)"),16.0)</f>
        <v>16</v>
      </c>
      <c r="E141" s="15">
        <f>IFERROR(__xludf.DUMMYFUNCTION("VLOOKUP(A141,IMPORTRANGE(""1QZ5UxyNCwadreQAXnQ7oCoH982DjIA-QnZdO7ZoqkC0/edit#gid=884617569"",""S4 Totals!$A$2:$O$255""),3,FALSE)"),0.3404255319148936)</f>
        <v>0.3404255319</v>
      </c>
      <c r="F141" s="146">
        <f t="shared" si="1"/>
        <v>0.01957446809</v>
      </c>
      <c r="G141" s="16">
        <f>IFERROR(__xludf.DUMMYFUNCTION("VLOOKUP(A141,IMPORTRANGE(""1QZ5UxyNCwadreQAXnQ7oCoH982DjIA-QnZdO7ZoqkC0/edit#gid=884617569"",""S4 Totals!$A$2:$O$255""),4,FALSE)"),22.0)</f>
        <v>22</v>
      </c>
      <c r="H141" s="15">
        <f>IFERROR(__xludf.DUMMYFUNCTION("VLOOKUP(A141,IMPORTRANGE(""1QZ5UxyNCwadreQAXnQ7oCoH982DjIA-QnZdO7ZoqkC0/edit#gid=884617569"",""S4 Totals!$A$2:$O$255""),5,FALSE)"),0.3492063492063492)</f>
        <v>0.3492063492</v>
      </c>
      <c r="I141" s="143"/>
      <c r="J141" s="16">
        <f>IFERROR(__xludf.DUMMYFUNCTION("VLOOKUP(A141,IMPORTRANGE(""1QZ5UxyNCwadreQAXnQ7oCoH982DjIA-QnZdO7ZoqkC0/edit#gid=884617569"",""S4 Totals!$A$2:$O$255""),7,FALSE)"),21.0)</f>
        <v>21</v>
      </c>
      <c r="K141" s="15">
        <f>IFERROR(__xludf.DUMMYFUNCTION("VLOOKUP(A141,IMPORTRANGE(""1QZ5UxyNCwadreQAXnQ7oCoH982DjIA-QnZdO7ZoqkC0/edit#gid=884617569"",""S4 Totals!$A$2:$O$255""),8,FALSE)"),0.3)</f>
        <v>0.3</v>
      </c>
      <c r="L141" s="147"/>
      <c r="M141" s="16">
        <f>IFERROR(__xludf.DUMMYFUNCTION("VLOOKUP(A141,IMPORTRANGE(""1QZ5UxyNCwadreQAXnQ7oCoH982DjIA-QnZdO7ZoqkC0/edit#gid=884617569"",""S4 Totals!$A$2:$O$255""),10,FALSE)"),18.0)</f>
        <v>18</v>
      </c>
      <c r="N141" s="15">
        <f>IFERROR(__xludf.DUMMYFUNCTION("VLOOKUP(A141,IMPORTRANGE(""1QZ5UxyNCwadreQAXnQ7oCoH982DjIA-QnZdO7ZoqkC0/edit#gid=884617569"",""S4 Totals!$A$2:$O$255""),11,FALSE)"),0.24324324324324326)</f>
        <v>0.2432432432</v>
      </c>
      <c r="O141" s="110"/>
      <c r="P141" s="16">
        <f>IFERROR(__xludf.DUMMYFUNCTION("VLOOKUP(A141,IMPORTRANGE(""1QZ5UxyNCwadreQAXnQ7oCoH982DjIA-QnZdO7ZoqkC0/edit#gid=884617569"",""S4 Totals!$A$2:$O$255""),13,FALSE)"),13.0)</f>
        <v>13</v>
      </c>
      <c r="Q141" s="15">
        <f>IFERROR(__xludf.DUMMYFUNCTION("VLOOKUP(A141,IMPORTRANGE(""1QZ5UxyNCwadreQAXnQ7oCoH982DjIA-QnZdO7ZoqkC0/edit#gid=884617569"",""S4 Totals!$A$2:$O$255""),14,FALSE)"),0.17333333333333334)</f>
        <v>0.1733333333</v>
      </c>
      <c r="R141" s="110"/>
    </row>
    <row r="142">
      <c r="A142" s="128" t="s">
        <v>69</v>
      </c>
      <c r="B142" s="16">
        <f>IFERROR(__xludf.DUMMYFUNCTION("VLOOKUP(A142,IMPORTRANGE(""1aFCnJY1qhIj8-JckJhDJ18aqmVo17tofpQmOjcYa3u8/edit#gid=1878241338"",""S4 Totals!$A$2:$O$255""),2,FALSE)"),1.0)</f>
        <v>1</v>
      </c>
      <c r="C142" s="15">
        <f>IFERROR(__xludf.DUMMYFUNCTION("VLOOKUP(A142,IMPORTRANGE(""1aFCnJY1qhIj8-JckJhDJ18aqmVo17tofpQmOjcYa3u8/edit#gid=1878241338"",""S4 Totals!$A$2:$O$255""),3,FALSE)"),0.02)</f>
        <v>0.02</v>
      </c>
      <c r="D142" s="16">
        <f>IFERROR(__xludf.DUMMYFUNCTION("VLOOKUP(A142,IMPORTRANGE(""1QZ5UxyNCwadreQAXnQ7oCoH982DjIA-QnZdO7ZoqkC0/edit#gid=884617569"",""S4 Totals!$A$2:$O$255""),2,FALSE)"),5.0)</f>
        <v>5</v>
      </c>
      <c r="E142" s="15">
        <f>IFERROR(__xludf.DUMMYFUNCTION("VLOOKUP(A142,IMPORTRANGE(""1QZ5UxyNCwadreQAXnQ7oCoH982DjIA-QnZdO7ZoqkC0/edit#gid=884617569"",""S4 Totals!$A$2:$O$255""),3,FALSE)"),0.10638297872340426)</f>
        <v>0.1063829787</v>
      </c>
      <c r="F142" s="146">
        <f t="shared" si="1"/>
        <v>-0.08638297872</v>
      </c>
      <c r="G142" s="16">
        <f>IFERROR(__xludf.DUMMYFUNCTION("VLOOKUP(A142,IMPORTRANGE(""1QZ5UxyNCwadreQAXnQ7oCoH982DjIA-QnZdO7ZoqkC0/edit#gid=884617569"",""S4 Totals!$A$2:$O$255""),4,FALSE)"),7.0)</f>
        <v>7</v>
      </c>
      <c r="H142" s="15">
        <f>IFERROR(__xludf.DUMMYFUNCTION("VLOOKUP(A142,IMPORTRANGE(""1QZ5UxyNCwadreQAXnQ7oCoH982DjIA-QnZdO7ZoqkC0/edit#gid=884617569"",""S4 Totals!$A$2:$O$255""),5,FALSE)"),0.1111111111111111)</f>
        <v>0.1111111111</v>
      </c>
      <c r="I142" s="143"/>
      <c r="J142" s="16">
        <f>IFERROR(__xludf.DUMMYFUNCTION("VLOOKUP(A142,IMPORTRANGE(""1QZ5UxyNCwadreQAXnQ7oCoH982DjIA-QnZdO7ZoqkC0/edit#gid=884617569"",""S4 Totals!$A$2:$O$255""),7,FALSE)"),6.0)</f>
        <v>6</v>
      </c>
      <c r="K142" s="15">
        <f>IFERROR(__xludf.DUMMYFUNCTION("VLOOKUP(A142,IMPORTRANGE(""1QZ5UxyNCwadreQAXnQ7oCoH982DjIA-QnZdO7ZoqkC0/edit#gid=884617569"",""S4 Totals!$A$2:$O$255""),8,FALSE)"),0.08571428571428572)</f>
        <v>0.08571428571</v>
      </c>
      <c r="L142" s="147"/>
      <c r="M142" s="16">
        <f>IFERROR(__xludf.DUMMYFUNCTION("VLOOKUP(A142,IMPORTRANGE(""1QZ5UxyNCwadreQAXnQ7oCoH982DjIA-QnZdO7ZoqkC0/edit#gid=884617569"",""S4 Totals!$A$2:$O$255""),10,FALSE)"),13.0)</f>
        <v>13</v>
      </c>
      <c r="N142" s="15">
        <f>IFERROR(__xludf.DUMMYFUNCTION("VLOOKUP(A142,IMPORTRANGE(""1QZ5UxyNCwadreQAXnQ7oCoH982DjIA-QnZdO7ZoqkC0/edit#gid=884617569"",""S4 Totals!$A$2:$O$255""),11,FALSE)"),0.17567567567567569)</f>
        <v>0.1756756757</v>
      </c>
      <c r="O142" s="110"/>
      <c r="P142" s="16">
        <f>IFERROR(__xludf.DUMMYFUNCTION("VLOOKUP(A142,IMPORTRANGE(""1QZ5UxyNCwadreQAXnQ7oCoH982DjIA-QnZdO7ZoqkC0/edit#gid=884617569"",""S4 Totals!$A$2:$O$255""),13,FALSE)"),14.0)</f>
        <v>14</v>
      </c>
      <c r="Q142" s="15">
        <f>IFERROR(__xludf.DUMMYFUNCTION("VLOOKUP(A142,IMPORTRANGE(""1QZ5UxyNCwadreQAXnQ7oCoH982DjIA-QnZdO7ZoqkC0/edit#gid=884617569"",""S4 Totals!$A$2:$O$255""),14,FALSE)"),0.18666666666666668)</f>
        <v>0.1866666667</v>
      </c>
      <c r="R142" s="110"/>
    </row>
    <row r="143">
      <c r="A143" s="128" t="s">
        <v>182</v>
      </c>
      <c r="B143" s="16">
        <f>IFERROR(__xludf.DUMMYFUNCTION("VLOOKUP(A143,IMPORTRANGE(""1aFCnJY1qhIj8-JckJhDJ18aqmVo17tofpQmOjcYa3u8/edit#gid=1878241338"",""S4 Totals!$A$2:$O$255""),2,FALSE)"),10.0)</f>
        <v>10</v>
      </c>
      <c r="C143" s="15">
        <f>IFERROR(__xludf.DUMMYFUNCTION("VLOOKUP(A143,IMPORTRANGE(""1aFCnJY1qhIj8-JckJhDJ18aqmVo17tofpQmOjcYa3u8/edit#gid=1878241338"",""S4 Totals!$A$2:$O$255""),3,FALSE)"),0.2)</f>
        <v>0.2</v>
      </c>
      <c r="D143" s="16">
        <f>IFERROR(__xludf.DUMMYFUNCTION("VLOOKUP(A143,IMPORTRANGE(""1QZ5UxyNCwadreQAXnQ7oCoH982DjIA-QnZdO7ZoqkC0/edit#gid=884617569"",""S4 Totals!$A$2:$O$255""),2,FALSE)"),14.0)</f>
        <v>14</v>
      </c>
      <c r="E143" s="15">
        <f>IFERROR(__xludf.DUMMYFUNCTION("VLOOKUP(A143,IMPORTRANGE(""1QZ5UxyNCwadreQAXnQ7oCoH982DjIA-QnZdO7ZoqkC0/edit#gid=884617569"",""S4 Totals!$A$2:$O$255""),3,FALSE)"),0.2978723404255319)</f>
        <v>0.2978723404</v>
      </c>
      <c r="F143" s="146">
        <f t="shared" si="1"/>
        <v>-0.09787234043</v>
      </c>
      <c r="G143" s="16">
        <f>IFERROR(__xludf.DUMMYFUNCTION("VLOOKUP(A143,IMPORTRANGE(""1QZ5UxyNCwadreQAXnQ7oCoH982DjIA-QnZdO7ZoqkC0/edit#gid=884617569"",""S4 Totals!$A$2:$O$255""),4,FALSE)"),13.0)</f>
        <v>13</v>
      </c>
      <c r="H143" s="15">
        <f>IFERROR(__xludf.DUMMYFUNCTION("VLOOKUP(A143,IMPORTRANGE(""1QZ5UxyNCwadreQAXnQ7oCoH982DjIA-QnZdO7ZoqkC0/edit#gid=884617569"",""S4 Totals!$A$2:$O$255""),5,FALSE)"),0.20634920634920634)</f>
        <v>0.2063492063</v>
      </c>
      <c r="I143" s="143"/>
      <c r="J143" s="16">
        <f>IFERROR(__xludf.DUMMYFUNCTION("VLOOKUP(A143,IMPORTRANGE(""1QZ5UxyNCwadreQAXnQ7oCoH982DjIA-QnZdO7ZoqkC0/edit#gid=884617569"",""S4 Totals!$A$2:$O$255""),7,FALSE)"),13.0)</f>
        <v>13</v>
      </c>
      <c r="K143" s="15">
        <f>IFERROR(__xludf.DUMMYFUNCTION("VLOOKUP(A143,IMPORTRANGE(""1QZ5UxyNCwadreQAXnQ7oCoH982DjIA-QnZdO7ZoqkC0/edit#gid=884617569"",""S4 Totals!$A$2:$O$255""),8,FALSE)"),0.18571428571428572)</f>
        <v>0.1857142857</v>
      </c>
      <c r="L143" s="147"/>
      <c r="M143" s="16" t="str">
        <f>IFERROR(__xludf.DUMMYFUNCTION("VLOOKUP(A143,IMPORTRANGE(""1QZ5UxyNCwadreQAXnQ7oCoH982DjIA-QnZdO7ZoqkC0/edit#gid=884617569"",""S4 Totals!$A$2:$O$255""),10,FALSE)"),"")</f>
        <v/>
      </c>
      <c r="N143" s="15" t="str">
        <f>IFERROR(__xludf.DUMMYFUNCTION("VLOOKUP(A143,IMPORTRANGE(""1QZ5UxyNCwadreQAXnQ7oCoH982DjIA-QnZdO7ZoqkC0/edit#gid=884617569"",""S4 Totals!$A$2:$O$255""),11,FALSE)"),"")</f>
        <v/>
      </c>
      <c r="O143" s="110"/>
      <c r="P143" s="16" t="str">
        <f>IFERROR(__xludf.DUMMYFUNCTION("VLOOKUP(A143,IMPORTRANGE(""1QZ5UxyNCwadreQAXnQ7oCoH982DjIA-QnZdO7ZoqkC0/edit#gid=884617569"",""S4 Totals!$A$2:$O$255""),13,FALSE)"),"")</f>
        <v/>
      </c>
      <c r="Q143" s="15" t="str">
        <f>IFERROR(__xludf.DUMMYFUNCTION("VLOOKUP(A143,IMPORTRANGE(""1QZ5UxyNCwadreQAXnQ7oCoH982DjIA-QnZdO7ZoqkC0/edit#gid=884617569"",""S4 Totals!$A$2:$O$255""),14,FALSE)"),"")</f>
        <v/>
      </c>
      <c r="R143" s="110"/>
    </row>
    <row r="144">
      <c r="A144" s="128" t="s">
        <v>70</v>
      </c>
      <c r="B144" s="16">
        <f>IFERROR(__xludf.DUMMYFUNCTION("VLOOKUP(A144,IMPORTRANGE(""1aFCnJY1qhIj8-JckJhDJ18aqmVo17tofpQmOjcYa3u8/edit#gid=1878241338"",""S4 Totals!$A$2:$O$255""),2,FALSE)"),21.0)</f>
        <v>21</v>
      </c>
      <c r="C144" s="15">
        <f>IFERROR(__xludf.DUMMYFUNCTION("VLOOKUP(A144,IMPORTRANGE(""1aFCnJY1qhIj8-JckJhDJ18aqmVo17tofpQmOjcYa3u8/edit#gid=1878241338"",""S4 Totals!$A$2:$O$255""),3,FALSE)"),0.42)</f>
        <v>0.42</v>
      </c>
      <c r="D144" s="16">
        <f>IFERROR(__xludf.DUMMYFUNCTION("VLOOKUP(A144,IMPORTRANGE(""1QZ5UxyNCwadreQAXnQ7oCoH982DjIA-QnZdO7ZoqkC0/edit#gid=884617569"",""S4 Totals!$A$2:$O$255""),2,FALSE)"),12.0)</f>
        <v>12</v>
      </c>
      <c r="E144" s="15">
        <f>IFERROR(__xludf.DUMMYFUNCTION("VLOOKUP(A144,IMPORTRANGE(""1QZ5UxyNCwadreQAXnQ7oCoH982DjIA-QnZdO7ZoqkC0/edit#gid=884617569"",""S4 Totals!$A$2:$O$255""),3,FALSE)"),0.2553191489361702)</f>
        <v>0.2553191489</v>
      </c>
      <c r="F144" s="146">
        <f t="shared" si="1"/>
        <v>0.1646808511</v>
      </c>
      <c r="G144" s="16">
        <f>IFERROR(__xludf.DUMMYFUNCTION("VLOOKUP(A144,IMPORTRANGE(""1QZ5UxyNCwadreQAXnQ7oCoH982DjIA-QnZdO7ZoqkC0/edit#gid=884617569"",""S4 Totals!$A$2:$O$255""),4,FALSE)"),11.0)</f>
        <v>11</v>
      </c>
      <c r="H144" s="15">
        <f>IFERROR(__xludf.DUMMYFUNCTION("VLOOKUP(A144,IMPORTRANGE(""1QZ5UxyNCwadreQAXnQ7oCoH982DjIA-QnZdO7ZoqkC0/edit#gid=884617569"",""S4 Totals!$A$2:$O$255""),5,FALSE)"),0.1746031746031746)</f>
        <v>0.1746031746</v>
      </c>
      <c r="I144" s="143"/>
      <c r="J144" s="16">
        <f>IFERROR(__xludf.DUMMYFUNCTION("VLOOKUP(A144,IMPORTRANGE(""1QZ5UxyNCwadreQAXnQ7oCoH982DjIA-QnZdO7ZoqkC0/edit#gid=884617569"",""S4 Totals!$A$2:$O$255""),7,FALSE)"),6.0)</f>
        <v>6</v>
      </c>
      <c r="K144" s="15">
        <f>IFERROR(__xludf.DUMMYFUNCTION("VLOOKUP(A144,IMPORTRANGE(""1QZ5UxyNCwadreQAXnQ7oCoH982DjIA-QnZdO7ZoqkC0/edit#gid=884617569"",""S4 Totals!$A$2:$O$255""),8,FALSE)"),0.08571428571428572)</f>
        <v>0.08571428571</v>
      </c>
      <c r="L144" s="147"/>
      <c r="M144" s="16">
        <f>IFERROR(__xludf.DUMMYFUNCTION("VLOOKUP(A144,IMPORTRANGE(""1QZ5UxyNCwadreQAXnQ7oCoH982DjIA-QnZdO7ZoqkC0/edit#gid=884617569"",""S4 Totals!$A$2:$O$255""),10,FALSE)"),11.0)</f>
        <v>11</v>
      </c>
      <c r="N144" s="15">
        <f>IFERROR(__xludf.DUMMYFUNCTION("VLOOKUP(A144,IMPORTRANGE(""1QZ5UxyNCwadreQAXnQ7oCoH982DjIA-QnZdO7ZoqkC0/edit#gid=884617569"",""S4 Totals!$A$2:$O$255""),11,FALSE)"),0.14864864864864866)</f>
        <v>0.1486486486</v>
      </c>
      <c r="O144" s="110"/>
      <c r="P144" s="16">
        <f>IFERROR(__xludf.DUMMYFUNCTION("VLOOKUP(A144,IMPORTRANGE(""1QZ5UxyNCwadreQAXnQ7oCoH982DjIA-QnZdO7ZoqkC0/edit#gid=884617569"",""S4 Totals!$A$2:$O$255""),13,FALSE)"),9.0)</f>
        <v>9</v>
      </c>
      <c r="Q144" s="15">
        <f>IFERROR(__xludf.DUMMYFUNCTION("VLOOKUP(A144,IMPORTRANGE(""1QZ5UxyNCwadreQAXnQ7oCoH982DjIA-QnZdO7ZoqkC0/edit#gid=884617569"",""S4 Totals!$A$2:$O$255""),14,FALSE)"),0.12)</f>
        <v>0.12</v>
      </c>
      <c r="R144" s="110"/>
    </row>
    <row r="145">
      <c r="A145" s="128" t="s">
        <v>138</v>
      </c>
      <c r="B145" s="16">
        <f>IFERROR(__xludf.DUMMYFUNCTION("VLOOKUP(A145,IMPORTRANGE(""1aFCnJY1qhIj8-JckJhDJ18aqmVo17tofpQmOjcYa3u8/edit#gid=1878241338"",""S4 Totals!$A$2:$O$255""),2,FALSE)"),14.0)</f>
        <v>14</v>
      </c>
      <c r="C145" s="15">
        <f>IFERROR(__xludf.DUMMYFUNCTION("VLOOKUP(A145,IMPORTRANGE(""1aFCnJY1qhIj8-JckJhDJ18aqmVo17tofpQmOjcYa3u8/edit#gid=1878241338"",""S4 Totals!$A$2:$O$255""),3,FALSE)"),0.28)</f>
        <v>0.28</v>
      </c>
      <c r="D145" s="16">
        <f>IFERROR(__xludf.DUMMYFUNCTION("VLOOKUP(A145,IMPORTRANGE(""1QZ5UxyNCwadreQAXnQ7oCoH982DjIA-QnZdO7ZoqkC0/edit#gid=884617569"",""S4 Totals!$A$2:$O$255""),2,FALSE)"),9.0)</f>
        <v>9</v>
      </c>
      <c r="E145" s="15">
        <f>IFERROR(__xludf.DUMMYFUNCTION("VLOOKUP(A145,IMPORTRANGE(""1QZ5UxyNCwadreQAXnQ7oCoH982DjIA-QnZdO7ZoqkC0/edit#gid=884617569"",""S4 Totals!$A$2:$O$255""),3,FALSE)"),0.19148936170212766)</f>
        <v>0.1914893617</v>
      </c>
      <c r="F145" s="146">
        <f t="shared" si="1"/>
        <v>0.0885106383</v>
      </c>
      <c r="G145" s="16">
        <f>IFERROR(__xludf.DUMMYFUNCTION("VLOOKUP(A145,IMPORTRANGE(""1QZ5UxyNCwadreQAXnQ7oCoH982DjIA-QnZdO7ZoqkC0/edit#gid=884617569"",""S4 Totals!$A$2:$O$255""),4,FALSE)"),7.0)</f>
        <v>7</v>
      </c>
      <c r="H145" s="15">
        <f>IFERROR(__xludf.DUMMYFUNCTION("VLOOKUP(A145,IMPORTRANGE(""1QZ5UxyNCwadreQAXnQ7oCoH982DjIA-QnZdO7ZoqkC0/edit#gid=884617569"",""S4 Totals!$A$2:$O$255""),5,FALSE)"),0.1111111111111111)</f>
        <v>0.1111111111</v>
      </c>
      <c r="I145" s="143"/>
      <c r="J145" s="16">
        <f>IFERROR(__xludf.DUMMYFUNCTION("VLOOKUP(A145,IMPORTRANGE(""1QZ5UxyNCwadreQAXnQ7oCoH982DjIA-QnZdO7ZoqkC0/edit#gid=884617569"",""S4 Totals!$A$2:$O$255""),7,FALSE)"),2.0)</f>
        <v>2</v>
      </c>
      <c r="K145" s="15">
        <f>IFERROR(__xludf.DUMMYFUNCTION("VLOOKUP(A145,IMPORTRANGE(""1QZ5UxyNCwadreQAXnQ7oCoH982DjIA-QnZdO7ZoqkC0/edit#gid=884617569"",""S4 Totals!$A$2:$O$255""),8,FALSE)"),0.02857142857142857)</f>
        <v>0.02857142857</v>
      </c>
      <c r="L145" s="147"/>
      <c r="M145" s="16">
        <f>IFERROR(__xludf.DUMMYFUNCTION("VLOOKUP(A145,IMPORTRANGE(""1QZ5UxyNCwadreQAXnQ7oCoH982DjIA-QnZdO7ZoqkC0/edit#gid=884617569"",""S4 Totals!$A$2:$O$255""),10,FALSE)"),6.0)</f>
        <v>6</v>
      </c>
      <c r="N145" s="15">
        <f>IFERROR(__xludf.DUMMYFUNCTION("VLOOKUP(A145,IMPORTRANGE(""1QZ5UxyNCwadreQAXnQ7oCoH982DjIA-QnZdO7ZoqkC0/edit#gid=884617569"",""S4 Totals!$A$2:$O$255""),11,FALSE)"),0.08108108108108109)</f>
        <v>0.08108108108</v>
      </c>
      <c r="O145" s="110"/>
      <c r="P145" s="16" t="str">
        <f>IFERROR(__xludf.DUMMYFUNCTION("VLOOKUP(A145,IMPORTRANGE(""1QZ5UxyNCwadreQAXnQ7oCoH982DjIA-QnZdO7ZoqkC0/edit#gid=884617569"",""S4 Totals!$A$2:$O$255""),13,FALSE)"),"")</f>
        <v/>
      </c>
      <c r="Q145" s="15" t="str">
        <f>IFERROR(__xludf.DUMMYFUNCTION("VLOOKUP(A145,IMPORTRANGE(""1QZ5UxyNCwadreQAXnQ7oCoH982DjIA-QnZdO7ZoqkC0/edit#gid=884617569"",""S4 Totals!$A$2:$O$255""),14,FALSE)"),"")</f>
        <v/>
      </c>
      <c r="R145" s="110"/>
    </row>
    <row r="146">
      <c r="A146" s="128" t="s">
        <v>21</v>
      </c>
      <c r="B146" s="16">
        <f>IFERROR(__xludf.DUMMYFUNCTION("VLOOKUP(A146,IMPORTRANGE(""1aFCnJY1qhIj8-JckJhDJ18aqmVo17tofpQmOjcYa3u8/edit#gid=1878241338"",""S4 Totals!$A$2:$O$255""),2,FALSE)"),19.0)</f>
        <v>19</v>
      </c>
      <c r="C146" s="15">
        <f>IFERROR(__xludf.DUMMYFUNCTION("VLOOKUP(A146,IMPORTRANGE(""1aFCnJY1qhIj8-JckJhDJ18aqmVo17tofpQmOjcYa3u8/edit#gid=1878241338"",""S4 Totals!$A$2:$O$255""),3,FALSE)"),0.38)</f>
        <v>0.38</v>
      </c>
      <c r="D146" s="16">
        <f>IFERROR(__xludf.DUMMYFUNCTION("VLOOKUP(A146,IMPORTRANGE(""1QZ5UxyNCwadreQAXnQ7oCoH982DjIA-QnZdO7ZoqkC0/edit#gid=884617569"",""S4 Totals!$A$2:$O$255""),2,FALSE)"),21.0)</f>
        <v>21</v>
      </c>
      <c r="E146" s="15">
        <f>IFERROR(__xludf.DUMMYFUNCTION("VLOOKUP(A146,IMPORTRANGE(""1QZ5UxyNCwadreQAXnQ7oCoH982DjIA-QnZdO7ZoqkC0/edit#gid=884617569"",""S4 Totals!$A$2:$O$255""),3,FALSE)"),0.44680851063829785)</f>
        <v>0.4468085106</v>
      </c>
      <c r="F146" s="146">
        <f t="shared" si="1"/>
        <v>-0.06680851064</v>
      </c>
      <c r="G146" s="16">
        <f>IFERROR(__xludf.DUMMYFUNCTION("VLOOKUP(A146,IMPORTRANGE(""1QZ5UxyNCwadreQAXnQ7oCoH982DjIA-QnZdO7ZoqkC0/edit#gid=884617569"",""S4 Totals!$A$2:$O$255""),4,FALSE)"),27.0)</f>
        <v>27</v>
      </c>
      <c r="H146" s="15">
        <f>IFERROR(__xludf.DUMMYFUNCTION("VLOOKUP(A146,IMPORTRANGE(""1QZ5UxyNCwadreQAXnQ7oCoH982DjIA-QnZdO7ZoqkC0/edit#gid=884617569"",""S4 Totals!$A$2:$O$255""),5,FALSE)"),0.42857142857142855)</f>
        <v>0.4285714286</v>
      </c>
      <c r="I146" s="143"/>
      <c r="J146" s="16">
        <f>IFERROR(__xludf.DUMMYFUNCTION("VLOOKUP(A146,IMPORTRANGE(""1QZ5UxyNCwadreQAXnQ7oCoH982DjIA-QnZdO7ZoqkC0/edit#gid=884617569"",""S4 Totals!$A$2:$O$255""),7,FALSE)"),24.0)</f>
        <v>24</v>
      </c>
      <c r="K146" s="15">
        <f>IFERROR(__xludf.DUMMYFUNCTION("VLOOKUP(A146,IMPORTRANGE(""1QZ5UxyNCwadreQAXnQ7oCoH982DjIA-QnZdO7ZoqkC0/edit#gid=884617569"",""S4 Totals!$A$2:$O$255""),8,FALSE)"),0.34285714285714286)</f>
        <v>0.3428571429</v>
      </c>
      <c r="L146" s="147"/>
      <c r="M146" s="16">
        <f>IFERROR(__xludf.DUMMYFUNCTION("VLOOKUP(A146,IMPORTRANGE(""1QZ5UxyNCwadreQAXnQ7oCoH982DjIA-QnZdO7ZoqkC0/edit#gid=884617569"",""S4 Totals!$A$2:$O$255""),10,FALSE)"),30.0)</f>
        <v>30</v>
      </c>
      <c r="N146" s="15">
        <f>IFERROR(__xludf.DUMMYFUNCTION("VLOOKUP(A146,IMPORTRANGE(""1QZ5UxyNCwadreQAXnQ7oCoH982DjIA-QnZdO7ZoqkC0/edit#gid=884617569"",""S4 Totals!$A$2:$O$255""),11,FALSE)"),0.40540540540540543)</f>
        <v>0.4054054054</v>
      </c>
      <c r="O146" s="110"/>
      <c r="P146" s="16">
        <f>IFERROR(__xludf.DUMMYFUNCTION("VLOOKUP(A146,IMPORTRANGE(""1QZ5UxyNCwadreQAXnQ7oCoH982DjIA-QnZdO7ZoqkC0/edit#gid=884617569"",""S4 Totals!$A$2:$O$255""),13,FALSE)"),28.0)</f>
        <v>28</v>
      </c>
      <c r="Q146" s="15">
        <f>IFERROR(__xludf.DUMMYFUNCTION("VLOOKUP(A146,IMPORTRANGE(""1QZ5UxyNCwadreQAXnQ7oCoH982DjIA-QnZdO7ZoqkC0/edit#gid=884617569"",""S4 Totals!$A$2:$O$255""),14,FALSE)"),0.37333333333333335)</f>
        <v>0.3733333333</v>
      </c>
      <c r="R146" s="110"/>
    </row>
    <row r="147">
      <c r="A147" s="128" t="s">
        <v>183</v>
      </c>
      <c r="B147" s="16">
        <f>IFERROR(__xludf.DUMMYFUNCTION("VLOOKUP(A147,IMPORTRANGE(""1aFCnJY1qhIj8-JckJhDJ18aqmVo17tofpQmOjcYa3u8/edit#gid=1878241338"",""S4 Totals!$A$2:$O$255""),2,FALSE)"),1.0)</f>
        <v>1</v>
      </c>
      <c r="C147" s="15">
        <f>IFERROR(__xludf.DUMMYFUNCTION("VLOOKUP(A147,IMPORTRANGE(""1aFCnJY1qhIj8-JckJhDJ18aqmVo17tofpQmOjcYa3u8/edit#gid=1878241338"",""S4 Totals!$A$2:$O$255""),3,FALSE)"),0.02)</f>
        <v>0.02</v>
      </c>
      <c r="D147" s="16">
        <f>IFERROR(__xludf.DUMMYFUNCTION("VLOOKUP(A147,IMPORTRANGE(""1QZ5UxyNCwadreQAXnQ7oCoH982DjIA-QnZdO7ZoqkC0/edit#gid=884617569"",""S4 Totals!$A$2:$O$255""),2,FALSE)"),2.0)</f>
        <v>2</v>
      </c>
      <c r="E147" s="15">
        <f>IFERROR(__xludf.DUMMYFUNCTION("VLOOKUP(A147,IMPORTRANGE(""1QZ5UxyNCwadreQAXnQ7oCoH982DjIA-QnZdO7ZoqkC0/edit#gid=884617569"",""S4 Totals!$A$2:$O$255""),3,FALSE)"),0.0425531914893617)</f>
        <v>0.04255319149</v>
      </c>
      <c r="F147" s="146">
        <f t="shared" si="1"/>
        <v>-0.02255319149</v>
      </c>
      <c r="G147" s="16">
        <f>IFERROR(__xludf.DUMMYFUNCTION("VLOOKUP(A147,IMPORTRANGE(""1QZ5UxyNCwadreQAXnQ7oCoH982DjIA-QnZdO7ZoqkC0/edit#gid=884617569"",""S4 Totals!$A$2:$O$255""),4,FALSE)"),4.0)</f>
        <v>4</v>
      </c>
      <c r="H147" s="15">
        <f>IFERROR(__xludf.DUMMYFUNCTION("VLOOKUP(A147,IMPORTRANGE(""1QZ5UxyNCwadreQAXnQ7oCoH982DjIA-QnZdO7ZoqkC0/edit#gid=884617569"",""S4 Totals!$A$2:$O$255""),5,FALSE)"),0.06349206349206349)</f>
        <v>0.06349206349</v>
      </c>
      <c r="I147" s="143"/>
      <c r="J147" s="16">
        <f>IFERROR(__xludf.DUMMYFUNCTION("VLOOKUP(A147,IMPORTRANGE(""1QZ5UxyNCwadreQAXnQ7oCoH982DjIA-QnZdO7ZoqkC0/edit#gid=884617569"",""S4 Totals!$A$2:$O$255""),7,FALSE)"),5.0)</f>
        <v>5</v>
      </c>
      <c r="K147" s="15">
        <f>IFERROR(__xludf.DUMMYFUNCTION("VLOOKUP(A147,IMPORTRANGE(""1QZ5UxyNCwadreQAXnQ7oCoH982DjIA-QnZdO7ZoqkC0/edit#gid=884617569"",""S4 Totals!$A$2:$O$255""),8,FALSE)"),0.07142857142857142)</f>
        <v>0.07142857143</v>
      </c>
      <c r="L147" s="147"/>
      <c r="M147" s="16" t="str">
        <f>IFERROR(__xludf.DUMMYFUNCTION("VLOOKUP(A147,IMPORTRANGE(""1QZ5UxyNCwadreQAXnQ7oCoH982DjIA-QnZdO7ZoqkC0/edit#gid=884617569"",""S4 Totals!$A$2:$O$255""),10,FALSE)"),"")</f>
        <v/>
      </c>
      <c r="N147" s="15" t="str">
        <f>IFERROR(__xludf.DUMMYFUNCTION("VLOOKUP(A147,IMPORTRANGE(""1QZ5UxyNCwadreQAXnQ7oCoH982DjIA-QnZdO7ZoqkC0/edit#gid=884617569"",""S4 Totals!$A$2:$O$255""),11,FALSE)"),"")</f>
        <v/>
      </c>
      <c r="O147" s="110"/>
      <c r="P147" s="16" t="str">
        <f>IFERROR(__xludf.DUMMYFUNCTION("VLOOKUP(A147,IMPORTRANGE(""1QZ5UxyNCwadreQAXnQ7oCoH982DjIA-QnZdO7ZoqkC0/edit#gid=884617569"",""S4 Totals!$A$2:$O$255""),13,FALSE)"),"")</f>
        <v/>
      </c>
      <c r="Q147" s="15" t="str">
        <f>IFERROR(__xludf.DUMMYFUNCTION("VLOOKUP(A147,IMPORTRANGE(""1QZ5UxyNCwadreQAXnQ7oCoH982DjIA-QnZdO7ZoqkC0/edit#gid=884617569"",""S4 Totals!$A$2:$O$255""),14,FALSE)"),"")</f>
        <v/>
      </c>
      <c r="R147" s="110"/>
    </row>
    <row r="148">
      <c r="A148" s="128" t="s">
        <v>72</v>
      </c>
      <c r="B148" s="16">
        <f>IFERROR(__xludf.DUMMYFUNCTION("VLOOKUP(A148,IMPORTRANGE(""1aFCnJY1qhIj8-JckJhDJ18aqmVo17tofpQmOjcYa3u8/edit#gid=1878241338"",""S4 Totals!$A$2:$O$255""),2,FALSE)"),22.0)</f>
        <v>22</v>
      </c>
      <c r="C148" s="15">
        <f>IFERROR(__xludf.DUMMYFUNCTION("VLOOKUP(A148,IMPORTRANGE(""1aFCnJY1qhIj8-JckJhDJ18aqmVo17tofpQmOjcYa3u8/edit#gid=1878241338"",""S4 Totals!$A$2:$O$255""),3,FALSE)"),0.44)</f>
        <v>0.44</v>
      </c>
      <c r="D148" s="16">
        <f>IFERROR(__xludf.DUMMYFUNCTION("VLOOKUP(A148,IMPORTRANGE(""1QZ5UxyNCwadreQAXnQ7oCoH982DjIA-QnZdO7ZoqkC0/edit#gid=884617569"",""S4 Totals!$A$2:$O$255""),2,FALSE)"),16.0)</f>
        <v>16</v>
      </c>
      <c r="E148" s="15">
        <f>IFERROR(__xludf.DUMMYFUNCTION("VLOOKUP(A148,IMPORTRANGE(""1QZ5UxyNCwadreQAXnQ7oCoH982DjIA-QnZdO7ZoqkC0/edit#gid=884617569"",""S4 Totals!$A$2:$O$255""),3,FALSE)"),0.3404255319148936)</f>
        <v>0.3404255319</v>
      </c>
      <c r="F148" s="146">
        <f t="shared" si="1"/>
        <v>0.09957446809</v>
      </c>
      <c r="G148" s="16">
        <f>IFERROR(__xludf.DUMMYFUNCTION("VLOOKUP(A148,IMPORTRANGE(""1QZ5UxyNCwadreQAXnQ7oCoH982DjIA-QnZdO7ZoqkC0/edit#gid=884617569"",""S4 Totals!$A$2:$O$255""),4,FALSE)"),25.0)</f>
        <v>25</v>
      </c>
      <c r="H148" s="15">
        <f>IFERROR(__xludf.DUMMYFUNCTION("VLOOKUP(A148,IMPORTRANGE(""1QZ5UxyNCwadreQAXnQ7oCoH982DjIA-QnZdO7ZoqkC0/edit#gid=884617569"",""S4 Totals!$A$2:$O$255""),5,FALSE)"),0.3968253968253968)</f>
        <v>0.3968253968</v>
      </c>
      <c r="I148" s="143"/>
      <c r="J148" s="16">
        <f>IFERROR(__xludf.DUMMYFUNCTION("VLOOKUP(A148,IMPORTRANGE(""1QZ5UxyNCwadreQAXnQ7oCoH982DjIA-QnZdO7ZoqkC0/edit#gid=884617569"",""S4 Totals!$A$2:$O$255""),7,FALSE)"),29.0)</f>
        <v>29</v>
      </c>
      <c r="K148" s="15">
        <f>IFERROR(__xludf.DUMMYFUNCTION("VLOOKUP(A148,IMPORTRANGE(""1QZ5UxyNCwadreQAXnQ7oCoH982DjIA-QnZdO7ZoqkC0/edit#gid=884617569"",""S4 Totals!$A$2:$O$255""),8,FALSE)"),0.4142857142857143)</f>
        <v>0.4142857143</v>
      </c>
      <c r="L148" s="147"/>
      <c r="M148" s="16">
        <f>IFERROR(__xludf.DUMMYFUNCTION("VLOOKUP(A148,IMPORTRANGE(""1QZ5UxyNCwadreQAXnQ7oCoH982DjIA-QnZdO7ZoqkC0/edit#gid=884617569"",""S4 Totals!$A$2:$O$255""),10,FALSE)"),28.0)</f>
        <v>28</v>
      </c>
      <c r="N148" s="15">
        <f>IFERROR(__xludf.DUMMYFUNCTION("VLOOKUP(A148,IMPORTRANGE(""1QZ5UxyNCwadreQAXnQ7oCoH982DjIA-QnZdO7ZoqkC0/edit#gid=884617569"",""S4 Totals!$A$2:$O$255""),11,FALSE)"),0.3783783783783784)</f>
        <v>0.3783783784</v>
      </c>
      <c r="O148" s="110"/>
      <c r="P148" s="16">
        <f>IFERROR(__xludf.DUMMYFUNCTION("VLOOKUP(A148,IMPORTRANGE(""1QZ5UxyNCwadreQAXnQ7oCoH982DjIA-QnZdO7ZoqkC0/edit#gid=884617569"",""S4 Totals!$A$2:$O$255""),13,FALSE)"),23.0)</f>
        <v>23</v>
      </c>
      <c r="Q148" s="15">
        <f>IFERROR(__xludf.DUMMYFUNCTION("VLOOKUP(A148,IMPORTRANGE(""1QZ5UxyNCwadreQAXnQ7oCoH982DjIA-QnZdO7ZoqkC0/edit#gid=884617569"",""S4 Totals!$A$2:$O$255""),14,FALSE)"),0.30666666666666664)</f>
        <v>0.3066666667</v>
      </c>
      <c r="R148" s="110"/>
    </row>
    <row r="149">
      <c r="A149" s="128" t="s">
        <v>73</v>
      </c>
      <c r="B149" s="16">
        <f>IFERROR(__xludf.DUMMYFUNCTION("VLOOKUP(A149,IMPORTRANGE(""1aFCnJY1qhIj8-JckJhDJ18aqmVo17tofpQmOjcYa3u8/edit#gid=1878241338"",""S4 Totals!$A$2:$O$255""),2,FALSE)"),12.0)</f>
        <v>12</v>
      </c>
      <c r="C149" s="15">
        <f>IFERROR(__xludf.DUMMYFUNCTION("VLOOKUP(A149,IMPORTRANGE(""1aFCnJY1qhIj8-JckJhDJ18aqmVo17tofpQmOjcYa3u8/edit#gid=1878241338"",""S4 Totals!$A$2:$O$255""),3,FALSE)"),0.24)</f>
        <v>0.24</v>
      </c>
      <c r="D149" s="16">
        <f>IFERROR(__xludf.DUMMYFUNCTION("VLOOKUP(A149,IMPORTRANGE(""1QZ5UxyNCwadreQAXnQ7oCoH982DjIA-QnZdO7ZoqkC0/edit#gid=884617569"",""S4 Totals!$A$2:$O$255""),2,FALSE)"),8.0)</f>
        <v>8</v>
      </c>
      <c r="E149" s="15">
        <f>IFERROR(__xludf.DUMMYFUNCTION("VLOOKUP(A149,IMPORTRANGE(""1QZ5UxyNCwadreQAXnQ7oCoH982DjIA-QnZdO7ZoqkC0/edit#gid=884617569"",""S4 Totals!$A$2:$O$255""),3,FALSE)"),0.1702127659574468)</f>
        <v>0.170212766</v>
      </c>
      <c r="F149" s="146">
        <f t="shared" si="1"/>
        <v>0.06978723404</v>
      </c>
      <c r="G149" s="16">
        <f>IFERROR(__xludf.DUMMYFUNCTION("VLOOKUP(A149,IMPORTRANGE(""1QZ5UxyNCwadreQAXnQ7oCoH982DjIA-QnZdO7ZoqkC0/edit#gid=884617569"",""S4 Totals!$A$2:$O$255""),4,FALSE)"),11.0)</f>
        <v>11</v>
      </c>
      <c r="H149" s="15">
        <f>IFERROR(__xludf.DUMMYFUNCTION("VLOOKUP(A149,IMPORTRANGE(""1QZ5UxyNCwadreQAXnQ7oCoH982DjIA-QnZdO7ZoqkC0/edit#gid=884617569"",""S4 Totals!$A$2:$O$255""),5,FALSE)"),0.1746031746031746)</f>
        <v>0.1746031746</v>
      </c>
      <c r="I149" s="143"/>
      <c r="J149" s="16">
        <f>IFERROR(__xludf.DUMMYFUNCTION("VLOOKUP(A149,IMPORTRANGE(""1QZ5UxyNCwadreQAXnQ7oCoH982DjIA-QnZdO7ZoqkC0/edit#gid=884617569"",""S4 Totals!$A$2:$O$255""),7,FALSE)"),3.0)</f>
        <v>3</v>
      </c>
      <c r="K149" s="15">
        <f>IFERROR(__xludf.DUMMYFUNCTION("VLOOKUP(A149,IMPORTRANGE(""1QZ5UxyNCwadreQAXnQ7oCoH982DjIA-QnZdO7ZoqkC0/edit#gid=884617569"",""S4 Totals!$A$2:$O$255""),8,FALSE)"),0.04285714285714286)</f>
        <v>0.04285714286</v>
      </c>
      <c r="L149" s="147"/>
      <c r="M149" s="16">
        <f>IFERROR(__xludf.DUMMYFUNCTION("VLOOKUP(A149,IMPORTRANGE(""1QZ5UxyNCwadreQAXnQ7oCoH982DjIA-QnZdO7ZoqkC0/edit#gid=884617569"",""S4 Totals!$A$2:$O$255""),10,FALSE)"),1.0)</f>
        <v>1</v>
      </c>
      <c r="N149" s="15">
        <f>IFERROR(__xludf.DUMMYFUNCTION("VLOOKUP(A149,IMPORTRANGE(""1QZ5UxyNCwadreQAXnQ7oCoH982DjIA-QnZdO7ZoqkC0/edit#gid=884617569"",""S4 Totals!$A$2:$O$255""),11,FALSE)"),0.013513513513513514)</f>
        <v>0.01351351351</v>
      </c>
      <c r="O149" s="110"/>
      <c r="P149" s="16">
        <f>IFERROR(__xludf.DUMMYFUNCTION("VLOOKUP(A149,IMPORTRANGE(""1QZ5UxyNCwadreQAXnQ7oCoH982DjIA-QnZdO7ZoqkC0/edit#gid=884617569"",""S4 Totals!$A$2:$O$255""),13,FALSE)"),1.0)</f>
        <v>1</v>
      </c>
      <c r="Q149" s="15">
        <f>IFERROR(__xludf.DUMMYFUNCTION("VLOOKUP(A149,IMPORTRANGE(""1QZ5UxyNCwadreQAXnQ7oCoH982DjIA-QnZdO7ZoqkC0/edit#gid=884617569"",""S4 Totals!$A$2:$O$255""),14,FALSE)"),0.013333333333333334)</f>
        <v>0.01333333333</v>
      </c>
      <c r="R149" s="110"/>
    </row>
    <row r="150">
      <c r="A150" s="134" t="s">
        <v>276</v>
      </c>
      <c r="B150" s="16" t="str">
        <f>IFERROR(__xludf.DUMMYFUNCTION("VLOOKUP(A150,IMPORTRANGE(""1aFCnJY1qhIj8-JckJhDJ18aqmVo17tofpQmOjcYa3u8/edit#gid=1878241338"",""S4 Totals!$A$2:$O$255""),2,FALSE)"),"#N/A")</f>
        <v>#N/A</v>
      </c>
      <c r="C150" s="15" t="str">
        <f>IFERROR(__xludf.DUMMYFUNCTION("VLOOKUP(A150,IMPORTRANGE(""1aFCnJY1qhIj8-JckJhDJ18aqmVo17tofpQmOjcYa3u8/edit#gid=1878241338"",""S4 Totals!$A$2:$O$255""),3,FALSE)"),"#N/A")</f>
        <v>#N/A</v>
      </c>
      <c r="D150" s="16" t="str">
        <f>IFERROR(__xludf.DUMMYFUNCTION("VLOOKUP(A150,IMPORTRANGE(""1QZ5UxyNCwadreQAXnQ7oCoH982DjIA-QnZdO7ZoqkC0/edit#gid=884617569"",""S4 Totals!$A$2:$O$255""),2,FALSE)"),"#N/A")</f>
        <v>#N/A</v>
      </c>
      <c r="E150" s="15" t="str">
        <f>IFERROR(__xludf.DUMMYFUNCTION("VLOOKUP(A150,IMPORTRANGE(""1QZ5UxyNCwadreQAXnQ7oCoH982DjIA-QnZdO7ZoqkC0/edit#gid=884617569"",""S4 Totals!$A$2:$O$255""),3,FALSE)"),"#N/A")</f>
        <v>#N/A</v>
      </c>
      <c r="F150" s="146" t="str">
        <f t="shared" si="1"/>
        <v>#N/A</v>
      </c>
      <c r="G150" s="16" t="str">
        <f>IFERROR(__xludf.DUMMYFUNCTION("VLOOKUP(A150,IMPORTRANGE(""1QZ5UxyNCwadreQAXnQ7oCoH982DjIA-QnZdO7ZoqkC0/edit#gid=884617569"",""S4 Totals!$A$2:$O$255""),4,FALSE)"),"#N/A")</f>
        <v>#N/A</v>
      </c>
      <c r="H150" s="15" t="str">
        <f>IFERROR(__xludf.DUMMYFUNCTION("VLOOKUP(A150,IMPORTRANGE(""1QZ5UxyNCwadreQAXnQ7oCoH982DjIA-QnZdO7ZoqkC0/edit#gid=884617569"",""S4 Totals!$A$2:$O$255""),5,FALSE)"),"#N/A")</f>
        <v>#N/A</v>
      </c>
      <c r="I150" s="143"/>
      <c r="J150" s="16" t="str">
        <f>IFERROR(__xludf.DUMMYFUNCTION("VLOOKUP(A150,IMPORTRANGE(""1QZ5UxyNCwadreQAXnQ7oCoH982DjIA-QnZdO7ZoqkC0/edit#gid=884617569"",""S4 Totals!$A$2:$O$255""),7,FALSE)"),"#N/A")</f>
        <v>#N/A</v>
      </c>
      <c r="K150" s="15" t="str">
        <f>IFERROR(__xludf.DUMMYFUNCTION("VLOOKUP(A150,IMPORTRANGE(""1QZ5UxyNCwadreQAXnQ7oCoH982DjIA-QnZdO7ZoqkC0/edit#gid=884617569"",""S4 Totals!$A$2:$O$255""),8,FALSE)"),"#N/A")</f>
        <v>#N/A</v>
      </c>
      <c r="L150" s="147"/>
      <c r="M150" s="16" t="str">
        <f>IFERROR(__xludf.DUMMYFUNCTION("VLOOKUP(A150,IMPORTRANGE(""1QZ5UxyNCwadreQAXnQ7oCoH982DjIA-QnZdO7ZoqkC0/edit#gid=884617569"",""S4 Totals!$A$2:$O$255""),10,FALSE)"),"#N/A")</f>
        <v>#N/A</v>
      </c>
      <c r="N150" s="15" t="str">
        <f>IFERROR(__xludf.DUMMYFUNCTION("VLOOKUP(A150,IMPORTRANGE(""1QZ5UxyNCwadreQAXnQ7oCoH982DjIA-QnZdO7ZoqkC0/edit#gid=884617569"",""S4 Totals!$A$2:$O$255""),11,FALSE)"),"#N/A")</f>
        <v>#N/A</v>
      </c>
      <c r="O150" s="110"/>
      <c r="P150" s="16" t="str">
        <f>IFERROR(__xludf.DUMMYFUNCTION("VLOOKUP(A150,IMPORTRANGE(""1QZ5UxyNCwadreQAXnQ7oCoH982DjIA-QnZdO7ZoqkC0/edit#gid=884617569"",""S4 Totals!$A$2:$O$255""),13,FALSE)"),"#N/A")</f>
        <v>#N/A</v>
      </c>
      <c r="Q150" s="15" t="str">
        <f>IFERROR(__xludf.DUMMYFUNCTION("VLOOKUP(A150,IMPORTRANGE(""1QZ5UxyNCwadreQAXnQ7oCoH982DjIA-QnZdO7ZoqkC0/edit#gid=884617569"",""S4 Totals!$A$2:$O$255""),14,FALSE)"),"#N/A")</f>
        <v>#N/A</v>
      </c>
      <c r="R150" s="110"/>
    </row>
    <row r="151">
      <c r="A151" s="128" t="s">
        <v>139</v>
      </c>
      <c r="B151" s="16">
        <f>IFERROR(__xludf.DUMMYFUNCTION("VLOOKUP(A151,IMPORTRANGE(""1aFCnJY1qhIj8-JckJhDJ18aqmVo17tofpQmOjcYa3u8/edit#gid=1878241338"",""S4 Totals!$A$2:$O$255""),2,FALSE)"),0.0)</f>
        <v>0</v>
      </c>
      <c r="C151" s="15">
        <f>IFERROR(__xludf.DUMMYFUNCTION("VLOOKUP(A151,IMPORTRANGE(""1aFCnJY1qhIj8-JckJhDJ18aqmVo17tofpQmOjcYa3u8/edit#gid=1878241338"",""S4 Totals!$A$2:$O$255""),3,FALSE)"),0.0)</f>
        <v>0</v>
      </c>
      <c r="D151" s="16">
        <f>IFERROR(__xludf.DUMMYFUNCTION("VLOOKUP(A151,IMPORTRANGE(""1QZ5UxyNCwadreQAXnQ7oCoH982DjIA-QnZdO7ZoqkC0/edit#gid=884617569"",""S4 Totals!$A$2:$O$255""),2,FALSE)"),0.0)</f>
        <v>0</v>
      </c>
      <c r="E151" s="15">
        <f>IFERROR(__xludf.DUMMYFUNCTION("VLOOKUP(A151,IMPORTRANGE(""1QZ5UxyNCwadreQAXnQ7oCoH982DjIA-QnZdO7ZoqkC0/edit#gid=884617569"",""S4 Totals!$A$2:$O$255""),3,FALSE)"),0.0)</f>
        <v>0</v>
      </c>
      <c r="F151" s="146">
        <f t="shared" si="1"/>
        <v>0</v>
      </c>
      <c r="G151" s="16">
        <f>IFERROR(__xludf.DUMMYFUNCTION("VLOOKUP(A151,IMPORTRANGE(""1QZ5UxyNCwadreQAXnQ7oCoH982DjIA-QnZdO7ZoqkC0/edit#gid=884617569"",""S4 Totals!$A$2:$O$255""),4,FALSE)"),0.0)</f>
        <v>0</v>
      </c>
      <c r="H151" s="15">
        <f>IFERROR(__xludf.DUMMYFUNCTION("VLOOKUP(A151,IMPORTRANGE(""1QZ5UxyNCwadreQAXnQ7oCoH982DjIA-QnZdO7ZoqkC0/edit#gid=884617569"",""S4 Totals!$A$2:$O$255""),5,FALSE)"),0.0)</f>
        <v>0</v>
      </c>
      <c r="I151" s="143"/>
      <c r="J151" s="16">
        <f>IFERROR(__xludf.DUMMYFUNCTION("VLOOKUP(A151,IMPORTRANGE(""1QZ5UxyNCwadreQAXnQ7oCoH982DjIA-QnZdO7ZoqkC0/edit#gid=884617569"",""S4 Totals!$A$2:$O$255""),7,FALSE)"),0.0)</f>
        <v>0</v>
      </c>
      <c r="K151" s="15">
        <f>IFERROR(__xludf.DUMMYFUNCTION("VLOOKUP(A151,IMPORTRANGE(""1QZ5UxyNCwadreQAXnQ7oCoH982DjIA-QnZdO7ZoqkC0/edit#gid=884617569"",""S4 Totals!$A$2:$O$255""),8,FALSE)"),0.0)</f>
        <v>0</v>
      </c>
      <c r="L151" s="147"/>
      <c r="M151" s="16">
        <f>IFERROR(__xludf.DUMMYFUNCTION("VLOOKUP(A151,IMPORTRANGE(""1QZ5UxyNCwadreQAXnQ7oCoH982DjIA-QnZdO7ZoqkC0/edit#gid=884617569"",""S4 Totals!$A$2:$O$255""),10,FALSE)"),0.0)</f>
        <v>0</v>
      </c>
      <c r="N151" s="15">
        <f>IFERROR(__xludf.DUMMYFUNCTION("VLOOKUP(A151,IMPORTRANGE(""1QZ5UxyNCwadreQAXnQ7oCoH982DjIA-QnZdO7ZoqkC0/edit#gid=884617569"",""S4 Totals!$A$2:$O$255""),11,FALSE)"),0.0)</f>
        <v>0</v>
      </c>
      <c r="O151" s="110"/>
      <c r="P151" s="16" t="str">
        <f>IFERROR(__xludf.DUMMYFUNCTION("VLOOKUP(A151,IMPORTRANGE(""1QZ5UxyNCwadreQAXnQ7oCoH982DjIA-QnZdO7ZoqkC0/edit#gid=884617569"",""S4 Totals!$A$2:$O$255""),13,FALSE)"),"")</f>
        <v/>
      </c>
      <c r="Q151" s="15" t="str">
        <f>IFERROR(__xludf.DUMMYFUNCTION("VLOOKUP(A151,IMPORTRANGE(""1QZ5UxyNCwadreQAXnQ7oCoH982DjIA-QnZdO7ZoqkC0/edit#gid=884617569"",""S4 Totals!$A$2:$O$255""),14,FALSE)"),"")</f>
        <v/>
      </c>
      <c r="R151" s="110"/>
    </row>
    <row r="152">
      <c r="A152" s="128" t="s">
        <v>184</v>
      </c>
      <c r="B152" s="16">
        <f>IFERROR(__xludf.DUMMYFUNCTION("VLOOKUP(A152,IMPORTRANGE(""1aFCnJY1qhIj8-JckJhDJ18aqmVo17tofpQmOjcYa3u8/edit#gid=1878241338"",""S4 Totals!$A$2:$O$255""),2,FALSE)"),1.0)</f>
        <v>1</v>
      </c>
      <c r="C152" s="15">
        <f>IFERROR(__xludf.DUMMYFUNCTION("VLOOKUP(A152,IMPORTRANGE(""1aFCnJY1qhIj8-JckJhDJ18aqmVo17tofpQmOjcYa3u8/edit#gid=1878241338"",""S4 Totals!$A$2:$O$255""),3,FALSE)"),0.02)</f>
        <v>0.02</v>
      </c>
      <c r="D152" s="16">
        <f>IFERROR(__xludf.DUMMYFUNCTION("VLOOKUP(A152,IMPORTRANGE(""1QZ5UxyNCwadreQAXnQ7oCoH982DjIA-QnZdO7ZoqkC0/edit#gid=884617569"",""S4 Totals!$A$2:$O$255""),2,FALSE)"),5.0)</f>
        <v>5</v>
      </c>
      <c r="E152" s="15">
        <f>IFERROR(__xludf.DUMMYFUNCTION("VLOOKUP(A152,IMPORTRANGE(""1QZ5UxyNCwadreQAXnQ7oCoH982DjIA-QnZdO7ZoqkC0/edit#gid=884617569"",""S4 Totals!$A$2:$O$255""),3,FALSE)"),0.10638297872340426)</f>
        <v>0.1063829787</v>
      </c>
      <c r="F152" s="146">
        <f t="shared" si="1"/>
        <v>-0.08638297872</v>
      </c>
      <c r="G152" s="16">
        <f>IFERROR(__xludf.DUMMYFUNCTION("VLOOKUP(A152,IMPORTRANGE(""1QZ5UxyNCwadreQAXnQ7oCoH982DjIA-QnZdO7ZoqkC0/edit#gid=884617569"",""S4 Totals!$A$2:$O$255""),4,FALSE)"),7.0)</f>
        <v>7</v>
      </c>
      <c r="H152" s="15">
        <f>IFERROR(__xludf.DUMMYFUNCTION("VLOOKUP(A152,IMPORTRANGE(""1QZ5UxyNCwadreQAXnQ7oCoH982DjIA-QnZdO7ZoqkC0/edit#gid=884617569"",""S4 Totals!$A$2:$O$255""),5,FALSE)"),0.1111111111111111)</f>
        <v>0.1111111111</v>
      </c>
      <c r="I152" s="143"/>
      <c r="J152" s="16">
        <f>IFERROR(__xludf.DUMMYFUNCTION("VLOOKUP(A152,IMPORTRANGE(""1QZ5UxyNCwadreQAXnQ7oCoH982DjIA-QnZdO7ZoqkC0/edit#gid=884617569"",""S4 Totals!$A$2:$O$255""),7,FALSE)"),5.0)</f>
        <v>5</v>
      </c>
      <c r="K152" s="15">
        <f>IFERROR(__xludf.DUMMYFUNCTION("VLOOKUP(A152,IMPORTRANGE(""1QZ5UxyNCwadreQAXnQ7oCoH982DjIA-QnZdO7ZoqkC0/edit#gid=884617569"",""S4 Totals!$A$2:$O$255""),8,FALSE)"),0.07142857142857142)</f>
        <v>0.07142857143</v>
      </c>
      <c r="L152" s="147"/>
      <c r="M152" s="16" t="str">
        <f>IFERROR(__xludf.DUMMYFUNCTION("VLOOKUP(A152,IMPORTRANGE(""1QZ5UxyNCwadreQAXnQ7oCoH982DjIA-QnZdO7ZoqkC0/edit#gid=884617569"",""S4 Totals!$A$2:$O$255""),10,FALSE)"),"")</f>
        <v/>
      </c>
      <c r="N152" s="15" t="str">
        <f>IFERROR(__xludf.DUMMYFUNCTION("VLOOKUP(A152,IMPORTRANGE(""1QZ5UxyNCwadreQAXnQ7oCoH982DjIA-QnZdO7ZoqkC0/edit#gid=884617569"",""S4 Totals!$A$2:$O$255""),11,FALSE)"),"")</f>
        <v/>
      </c>
      <c r="O152" s="110"/>
      <c r="P152" s="16" t="str">
        <f>IFERROR(__xludf.DUMMYFUNCTION("VLOOKUP(A152,IMPORTRANGE(""1QZ5UxyNCwadreQAXnQ7oCoH982DjIA-QnZdO7ZoqkC0/edit#gid=884617569"",""S4 Totals!$A$2:$O$255""),13,FALSE)"),"")</f>
        <v/>
      </c>
      <c r="Q152" s="15" t="str">
        <f>IFERROR(__xludf.DUMMYFUNCTION("VLOOKUP(A152,IMPORTRANGE(""1QZ5UxyNCwadreQAXnQ7oCoH982DjIA-QnZdO7ZoqkC0/edit#gid=884617569"",""S4 Totals!$A$2:$O$255""),14,FALSE)"),"")</f>
        <v/>
      </c>
      <c r="R152" s="110"/>
    </row>
    <row r="153">
      <c r="A153" s="128" t="s">
        <v>185</v>
      </c>
      <c r="B153" s="16">
        <f>IFERROR(__xludf.DUMMYFUNCTION("VLOOKUP(A153,IMPORTRANGE(""1aFCnJY1qhIj8-JckJhDJ18aqmVo17tofpQmOjcYa3u8/edit#gid=1878241338"",""S4 Totals!$A$2:$O$255""),2,FALSE)"),0.0)</f>
        <v>0</v>
      </c>
      <c r="C153" s="15">
        <f>IFERROR(__xludf.DUMMYFUNCTION("VLOOKUP(A153,IMPORTRANGE(""1aFCnJY1qhIj8-JckJhDJ18aqmVo17tofpQmOjcYa3u8/edit#gid=1878241338"",""S4 Totals!$A$2:$O$255""),3,FALSE)"),0.0)</f>
        <v>0</v>
      </c>
      <c r="D153" s="16">
        <f>IFERROR(__xludf.DUMMYFUNCTION("VLOOKUP(A153,IMPORTRANGE(""1QZ5UxyNCwadreQAXnQ7oCoH982DjIA-QnZdO7ZoqkC0/edit#gid=884617569"",""S4 Totals!$A$2:$O$255""),2,FALSE)"),0.0)</f>
        <v>0</v>
      </c>
      <c r="E153" s="15">
        <f>IFERROR(__xludf.DUMMYFUNCTION("VLOOKUP(A153,IMPORTRANGE(""1QZ5UxyNCwadreQAXnQ7oCoH982DjIA-QnZdO7ZoqkC0/edit#gid=884617569"",""S4 Totals!$A$2:$O$255""),3,FALSE)"),0.0)</f>
        <v>0</v>
      </c>
      <c r="F153" s="146">
        <f t="shared" si="1"/>
        <v>0</v>
      </c>
      <c r="G153" s="16">
        <f>IFERROR(__xludf.DUMMYFUNCTION("VLOOKUP(A153,IMPORTRANGE(""1QZ5UxyNCwadreQAXnQ7oCoH982DjIA-QnZdO7ZoqkC0/edit#gid=884617569"",""S4 Totals!$A$2:$O$255""),4,FALSE)"),0.0)</f>
        <v>0</v>
      </c>
      <c r="H153" s="15">
        <f>IFERROR(__xludf.DUMMYFUNCTION("VLOOKUP(A153,IMPORTRANGE(""1QZ5UxyNCwadreQAXnQ7oCoH982DjIA-QnZdO7ZoqkC0/edit#gid=884617569"",""S4 Totals!$A$2:$O$255""),5,FALSE)"),0.0)</f>
        <v>0</v>
      </c>
      <c r="I153" s="143"/>
      <c r="J153" s="16">
        <f>IFERROR(__xludf.DUMMYFUNCTION("VLOOKUP(A153,IMPORTRANGE(""1QZ5UxyNCwadreQAXnQ7oCoH982DjIA-QnZdO7ZoqkC0/edit#gid=884617569"",""S4 Totals!$A$2:$O$255""),7,FALSE)"),0.0)</f>
        <v>0</v>
      </c>
      <c r="K153" s="15">
        <f>IFERROR(__xludf.DUMMYFUNCTION("VLOOKUP(A153,IMPORTRANGE(""1QZ5UxyNCwadreQAXnQ7oCoH982DjIA-QnZdO7ZoqkC0/edit#gid=884617569"",""S4 Totals!$A$2:$O$255""),8,FALSE)"),0.0)</f>
        <v>0</v>
      </c>
      <c r="L153" s="147"/>
      <c r="M153" s="16" t="str">
        <f>IFERROR(__xludf.DUMMYFUNCTION("VLOOKUP(A153,IMPORTRANGE(""1QZ5UxyNCwadreQAXnQ7oCoH982DjIA-QnZdO7ZoqkC0/edit#gid=884617569"",""S4 Totals!$A$2:$O$255""),10,FALSE)"),"")</f>
        <v/>
      </c>
      <c r="N153" s="15" t="str">
        <f>IFERROR(__xludf.DUMMYFUNCTION("VLOOKUP(A153,IMPORTRANGE(""1QZ5UxyNCwadreQAXnQ7oCoH982DjIA-QnZdO7ZoqkC0/edit#gid=884617569"",""S4 Totals!$A$2:$O$255""),11,FALSE)"),"")</f>
        <v/>
      </c>
      <c r="O153" s="110"/>
      <c r="P153" s="16" t="str">
        <f>IFERROR(__xludf.DUMMYFUNCTION("VLOOKUP(A153,IMPORTRANGE(""1QZ5UxyNCwadreQAXnQ7oCoH982DjIA-QnZdO7ZoqkC0/edit#gid=884617569"",""S4 Totals!$A$2:$O$255""),13,FALSE)"),"")</f>
        <v/>
      </c>
      <c r="Q153" s="15" t="str">
        <f>IFERROR(__xludf.DUMMYFUNCTION("VLOOKUP(A153,IMPORTRANGE(""1QZ5UxyNCwadreQAXnQ7oCoH982DjIA-QnZdO7ZoqkC0/edit#gid=884617569"",""S4 Totals!$A$2:$O$255""),14,FALSE)"),"")</f>
        <v/>
      </c>
      <c r="R153" s="110"/>
    </row>
    <row r="154">
      <c r="A154" s="128" t="s">
        <v>22</v>
      </c>
      <c r="B154" s="16">
        <f>IFERROR(__xludf.DUMMYFUNCTION("VLOOKUP(A154,IMPORTRANGE(""1aFCnJY1qhIj8-JckJhDJ18aqmVo17tofpQmOjcYa3u8/edit#gid=1878241338"",""S4 Totals!$A$2:$O$255""),2,FALSE)"),0.0)</f>
        <v>0</v>
      </c>
      <c r="C154" s="15">
        <f>IFERROR(__xludf.DUMMYFUNCTION("VLOOKUP(A154,IMPORTRANGE(""1aFCnJY1qhIj8-JckJhDJ18aqmVo17tofpQmOjcYa3u8/edit#gid=1878241338"",""S4 Totals!$A$2:$O$255""),3,FALSE)"),0.0)</f>
        <v>0</v>
      </c>
      <c r="D154" s="16">
        <f>IFERROR(__xludf.DUMMYFUNCTION("VLOOKUP(A154,IMPORTRANGE(""1QZ5UxyNCwadreQAXnQ7oCoH982DjIA-QnZdO7ZoqkC0/edit#gid=884617569"",""S4 Totals!$A$2:$O$255""),2,FALSE)"),0.0)</f>
        <v>0</v>
      </c>
      <c r="E154" s="15">
        <f>IFERROR(__xludf.DUMMYFUNCTION("VLOOKUP(A154,IMPORTRANGE(""1QZ5UxyNCwadreQAXnQ7oCoH982DjIA-QnZdO7ZoqkC0/edit#gid=884617569"",""S4 Totals!$A$2:$O$255""),3,FALSE)"),0.0)</f>
        <v>0</v>
      </c>
      <c r="F154" s="146">
        <f t="shared" si="1"/>
        <v>0</v>
      </c>
      <c r="G154" s="16">
        <f>IFERROR(__xludf.DUMMYFUNCTION("VLOOKUP(A154,IMPORTRANGE(""1QZ5UxyNCwadreQAXnQ7oCoH982DjIA-QnZdO7ZoqkC0/edit#gid=884617569"",""S4 Totals!$A$2:$O$255""),4,FALSE)"),0.0)</f>
        <v>0</v>
      </c>
      <c r="H154" s="15">
        <f>IFERROR(__xludf.DUMMYFUNCTION("VLOOKUP(A154,IMPORTRANGE(""1QZ5UxyNCwadreQAXnQ7oCoH982DjIA-QnZdO7ZoqkC0/edit#gid=884617569"",""S4 Totals!$A$2:$O$255""),5,FALSE)"),0.0)</f>
        <v>0</v>
      </c>
      <c r="I154" s="143"/>
      <c r="J154" s="16">
        <f>IFERROR(__xludf.DUMMYFUNCTION("VLOOKUP(A154,IMPORTRANGE(""1QZ5UxyNCwadreQAXnQ7oCoH982DjIA-QnZdO7ZoqkC0/edit#gid=884617569"",""S4 Totals!$A$2:$O$255""),7,FALSE)"),0.0)</f>
        <v>0</v>
      </c>
      <c r="K154" s="15">
        <f>IFERROR(__xludf.DUMMYFUNCTION("VLOOKUP(A154,IMPORTRANGE(""1QZ5UxyNCwadreQAXnQ7oCoH982DjIA-QnZdO7ZoqkC0/edit#gid=884617569"",""S4 Totals!$A$2:$O$255""),8,FALSE)"),0.0)</f>
        <v>0</v>
      </c>
      <c r="L154" s="147"/>
      <c r="M154" s="16">
        <f>IFERROR(__xludf.DUMMYFUNCTION("VLOOKUP(A154,IMPORTRANGE(""1QZ5UxyNCwadreQAXnQ7oCoH982DjIA-QnZdO7ZoqkC0/edit#gid=884617569"",""S4 Totals!$A$2:$O$255""),10,FALSE)"),0.0)</f>
        <v>0</v>
      </c>
      <c r="N154" s="15">
        <f>IFERROR(__xludf.DUMMYFUNCTION("VLOOKUP(A154,IMPORTRANGE(""1QZ5UxyNCwadreQAXnQ7oCoH982DjIA-QnZdO7ZoqkC0/edit#gid=884617569"",""S4 Totals!$A$2:$O$255""),11,FALSE)"),0.0)</f>
        <v>0</v>
      </c>
      <c r="O154" s="110"/>
      <c r="P154" s="16">
        <f>IFERROR(__xludf.DUMMYFUNCTION("VLOOKUP(A154,IMPORTRANGE(""1QZ5UxyNCwadreQAXnQ7oCoH982DjIA-QnZdO7ZoqkC0/edit#gid=884617569"",""S4 Totals!$A$2:$O$255""),13,FALSE)"),1.0)</f>
        <v>1</v>
      </c>
      <c r="Q154" s="15">
        <f>IFERROR(__xludf.DUMMYFUNCTION("VLOOKUP(A154,IMPORTRANGE(""1QZ5UxyNCwadreQAXnQ7oCoH982DjIA-QnZdO7ZoqkC0/edit#gid=884617569"",""S4 Totals!$A$2:$O$255""),14,FALSE)"),0.013333333333333334)</f>
        <v>0.01333333333</v>
      </c>
      <c r="R154" s="110"/>
    </row>
    <row r="155">
      <c r="A155" s="128" t="s">
        <v>100</v>
      </c>
      <c r="B155" s="16">
        <f>IFERROR(__xludf.DUMMYFUNCTION("VLOOKUP(A155,IMPORTRANGE(""1aFCnJY1qhIj8-JckJhDJ18aqmVo17tofpQmOjcYa3u8/edit#gid=1878241338"",""S4 Totals!$A$2:$O$255""),2,FALSE)"),5.0)</f>
        <v>5</v>
      </c>
      <c r="C155" s="15">
        <f>IFERROR(__xludf.DUMMYFUNCTION("VLOOKUP(A155,IMPORTRANGE(""1aFCnJY1qhIj8-JckJhDJ18aqmVo17tofpQmOjcYa3u8/edit#gid=1878241338"",""S4 Totals!$A$2:$O$255""),3,FALSE)"),0.1)</f>
        <v>0.1</v>
      </c>
      <c r="D155" s="16">
        <f>IFERROR(__xludf.DUMMYFUNCTION("VLOOKUP(A155,IMPORTRANGE(""1QZ5UxyNCwadreQAXnQ7oCoH982DjIA-QnZdO7ZoqkC0/edit#gid=884617569"",""S4 Totals!$A$2:$O$255""),2,FALSE)"),8.0)</f>
        <v>8</v>
      </c>
      <c r="E155" s="15">
        <f>IFERROR(__xludf.DUMMYFUNCTION("VLOOKUP(A155,IMPORTRANGE(""1QZ5UxyNCwadreQAXnQ7oCoH982DjIA-QnZdO7ZoqkC0/edit#gid=884617569"",""S4 Totals!$A$2:$O$255""),3,FALSE)"),0.1702127659574468)</f>
        <v>0.170212766</v>
      </c>
      <c r="F155" s="146">
        <f t="shared" si="1"/>
        <v>-0.07021276596</v>
      </c>
      <c r="G155" s="16">
        <f>IFERROR(__xludf.DUMMYFUNCTION("VLOOKUP(A155,IMPORTRANGE(""1QZ5UxyNCwadreQAXnQ7oCoH982DjIA-QnZdO7ZoqkC0/edit#gid=884617569"",""S4 Totals!$A$2:$O$255""),4,FALSE)"),6.0)</f>
        <v>6</v>
      </c>
      <c r="H155" s="15">
        <f>IFERROR(__xludf.DUMMYFUNCTION("VLOOKUP(A155,IMPORTRANGE(""1QZ5UxyNCwadreQAXnQ7oCoH982DjIA-QnZdO7ZoqkC0/edit#gid=884617569"",""S4 Totals!$A$2:$O$255""),5,FALSE)"),0.09523809523809523)</f>
        <v>0.09523809524</v>
      </c>
      <c r="I155" s="143"/>
      <c r="J155" s="16">
        <f>IFERROR(__xludf.DUMMYFUNCTION("VLOOKUP(A155,IMPORTRANGE(""1QZ5UxyNCwadreQAXnQ7oCoH982DjIA-QnZdO7ZoqkC0/edit#gid=884617569"",""S4 Totals!$A$2:$O$255""),7,FALSE)"),6.0)</f>
        <v>6</v>
      </c>
      <c r="K155" s="15">
        <f>IFERROR(__xludf.DUMMYFUNCTION("VLOOKUP(A155,IMPORTRANGE(""1QZ5UxyNCwadreQAXnQ7oCoH982DjIA-QnZdO7ZoqkC0/edit#gid=884617569"",""S4 Totals!$A$2:$O$255""),8,FALSE)"),0.08571428571428572)</f>
        <v>0.08571428571</v>
      </c>
      <c r="L155" s="147"/>
      <c r="M155" s="16">
        <f>IFERROR(__xludf.DUMMYFUNCTION("VLOOKUP(A155,IMPORTRANGE(""1QZ5UxyNCwadreQAXnQ7oCoH982DjIA-QnZdO7ZoqkC0/edit#gid=884617569"",""S4 Totals!$A$2:$O$255""),10,FALSE)"),9.0)</f>
        <v>9</v>
      </c>
      <c r="N155" s="15">
        <f>IFERROR(__xludf.DUMMYFUNCTION("VLOOKUP(A155,IMPORTRANGE(""1QZ5UxyNCwadreQAXnQ7oCoH982DjIA-QnZdO7ZoqkC0/edit#gid=884617569"",""S4 Totals!$A$2:$O$255""),11,FALSE)"),0.12162162162162163)</f>
        <v>0.1216216216</v>
      </c>
      <c r="O155" s="110"/>
      <c r="P155" s="16">
        <f>IFERROR(__xludf.DUMMYFUNCTION("VLOOKUP(A155,IMPORTRANGE(""1QZ5UxyNCwadreQAXnQ7oCoH982DjIA-QnZdO7ZoqkC0/edit#gid=884617569"",""S4 Totals!$A$2:$O$255""),13,FALSE)"),10.0)</f>
        <v>10</v>
      </c>
      <c r="Q155" s="15">
        <f>IFERROR(__xludf.DUMMYFUNCTION("VLOOKUP(A155,IMPORTRANGE(""1QZ5UxyNCwadreQAXnQ7oCoH982DjIA-QnZdO7ZoqkC0/edit#gid=884617569"",""S4 Totals!$A$2:$O$255""),14,FALSE)"),0.13333333333333333)</f>
        <v>0.1333333333</v>
      </c>
      <c r="R155" s="110"/>
    </row>
    <row r="156">
      <c r="A156" s="128" t="s">
        <v>76</v>
      </c>
      <c r="B156" s="16">
        <f>IFERROR(__xludf.DUMMYFUNCTION("VLOOKUP(A156,IMPORTRANGE(""1aFCnJY1qhIj8-JckJhDJ18aqmVo17tofpQmOjcYa3u8/edit#gid=1878241338"",""S4 Totals!$A$2:$O$255""),2,FALSE)"),2.0)</f>
        <v>2</v>
      </c>
      <c r="C156" s="15">
        <f>IFERROR(__xludf.DUMMYFUNCTION("VLOOKUP(A156,IMPORTRANGE(""1aFCnJY1qhIj8-JckJhDJ18aqmVo17tofpQmOjcYa3u8/edit#gid=1878241338"",""S4 Totals!$A$2:$O$255""),3,FALSE)"),0.04)</f>
        <v>0.04</v>
      </c>
      <c r="D156" s="16">
        <f>IFERROR(__xludf.DUMMYFUNCTION("VLOOKUP(A156,IMPORTRANGE(""1QZ5UxyNCwadreQAXnQ7oCoH982DjIA-QnZdO7ZoqkC0/edit#gid=884617569"",""S4 Totals!$A$2:$O$255""),2,FALSE)"),4.0)</f>
        <v>4</v>
      </c>
      <c r="E156" s="15">
        <f>IFERROR(__xludf.DUMMYFUNCTION("VLOOKUP(A156,IMPORTRANGE(""1QZ5UxyNCwadreQAXnQ7oCoH982DjIA-QnZdO7ZoqkC0/edit#gid=884617569"",""S4 Totals!$A$2:$O$255""),3,FALSE)"),0.0851063829787234)</f>
        <v>0.08510638298</v>
      </c>
      <c r="F156" s="146">
        <f t="shared" si="1"/>
        <v>-0.04510638298</v>
      </c>
      <c r="G156" s="16">
        <f>IFERROR(__xludf.DUMMYFUNCTION("VLOOKUP(A156,IMPORTRANGE(""1QZ5UxyNCwadreQAXnQ7oCoH982DjIA-QnZdO7ZoqkC0/edit#gid=884617569"",""S4 Totals!$A$2:$O$255""),4,FALSE)"),5.0)</f>
        <v>5</v>
      </c>
      <c r="H156" s="15">
        <f>IFERROR(__xludf.DUMMYFUNCTION("VLOOKUP(A156,IMPORTRANGE(""1QZ5UxyNCwadreQAXnQ7oCoH982DjIA-QnZdO7ZoqkC0/edit#gid=884617569"",""S4 Totals!$A$2:$O$255""),5,FALSE)"),0.07936507936507936)</f>
        <v>0.07936507937</v>
      </c>
      <c r="I156" s="143"/>
      <c r="J156" s="16">
        <f>IFERROR(__xludf.DUMMYFUNCTION("VLOOKUP(A156,IMPORTRANGE(""1QZ5UxyNCwadreQAXnQ7oCoH982DjIA-QnZdO7ZoqkC0/edit#gid=884617569"",""S4 Totals!$A$2:$O$255""),7,FALSE)"),7.0)</f>
        <v>7</v>
      </c>
      <c r="K156" s="15">
        <f>IFERROR(__xludf.DUMMYFUNCTION("VLOOKUP(A156,IMPORTRANGE(""1QZ5UxyNCwadreQAXnQ7oCoH982DjIA-QnZdO7ZoqkC0/edit#gid=884617569"",""S4 Totals!$A$2:$O$255""),8,FALSE)"),0.1)</f>
        <v>0.1</v>
      </c>
      <c r="L156" s="147"/>
      <c r="M156" s="16">
        <f>IFERROR(__xludf.DUMMYFUNCTION("VLOOKUP(A156,IMPORTRANGE(""1QZ5UxyNCwadreQAXnQ7oCoH982DjIA-QnZdO7ZoqkC0/edit#gid=884617569"",""S4 Totals!$A$2:$O$255""),10,FALSE)"),1.0)</f>
        <v>1</v>
      </c>
      <c r="N156" s="15">
        <f>IFERROR(__xludf.DUMMYFUNCTION("VLOOKUP(A156,IMPORTRANGE(""1QZ5UxyNCwadreQAXnQ7oCoH982DjIA-QnZdO7ZoqkC0/edit#gid=884617569"",""S4 Totals!$A$2:$O$255""),11,FALSE)"),0.013513513513513514)</f>
        <v>0.01351351351</v>
      </c>
      <c r="O156" s="110"/>
      <c r="P156" s="16">
        <f>IFERROR(__xludf.DUMMYFUNCTION("VLOOKUP(A156,IMPORTRANGE(""1QZ5UxyNCwadreQAXnQ7oCoH982DjIA-QnZdO7ZoqkC0/edit#gid=884617569"",""S4 Totals!$A$2:$O$255""),13,FALSE)"),2.0)</f>
        <v>2</v>
      </c>
      <c r="Q156" s="15">
        <f>IFERROR(__xludf.DUMMYFUNCTION("VLOOKUP(A156,IMPORTRANGE(""1QZ5UxyNCwadreQAXnQ7oCoH982DjIA-QnZdO7ZoqkC0/edit#gid=884617569"",""S4 Totals!$A$2:$O$255""),14,FALSE)"),0.02666666666666667)</f>
        <v>0.02666666667</v>
      </c>
      <c r="R156" s="110"/>
    </row>
    <row r="157">
      <c r="A157" s="128" t="s">
        <v>186</v>
      </c>
      <c r="B157" s="16">
        <f>IFERROR(__xludf.DUMMYFUNCTION("VLOOKUP(A157,IMPORTRANGE(""1aFCnJY1qhIj8-JckJhDJ18aqmVo17tofpQmOjcYa3u8/edit#gid=1878241338"",""S4 Totals!$A$2:$O$255""),2,FALSE)"),5.0)</f>
        <v>5</v>
      </c>
      <c r="C157" s="15">
        <f>IFERROR(__xludf.DUMMYFUNCTION("VLOOKUP(A157,IMPORTRANGE(""1aFCnJY1qhIj8-JckJhDJ18aqmVo17tofpQmOjcYa3u8/edit#gid=1878241338"",""S4 Totals!$A$2:$O$255""),3,FALSE)"),0.1)</f>
        <v>0.1</v>
      </c>
      <c r="D157" s="16">
        <f>IFERROR(__xludf.DUMMYFUNCTION("VLOOKUP(A157,IMPORTRANGE(""1QZ5UxyNCwadreQAXnQ7oCoH982DjIA-QnZdO7ZoqkC0/edit#gid=884617569"",""S4 Totals!$A$2:$O$255""),2,FALSE)"),7.0)</f>
        <v>7</v>
      </c>
      <c r="E157" s="15">
        <f>IFERROR(__xludf.DUMMYFUNCTION("VLOOKUP(A157,IMPORTRANGE(""1QZ5UxyNCwadreQAXnQ7oCoH982DjIA-QnZdO7ZoqkC0/edit#gid=884617569"",""S4 Totals!$A$2:$O$255""),3,FALSE)"),0.14893617021276595)</f>
        <v>0.1489361702</v>
      </c>
      <c r="F157" s="146">
        <f t="shared" si="1"/>
        <v>-0.04893617021</v>
      </c>
      <c r="G157" s="16">
        <f>IFERROR(__xludf.DUMMYFUNCTION("VLOOKUP(A157,IMPORTRANGE(""1QZ5UxyNCwadreQAXnQ7oCoH982DjIA-QnZdO7ZoqkC0/edit#gid=884617569"",""S4 Totals!$A$2:$O$255""),4,FALSE)"),12.0)</f>
        <v>12</v>
      </c>
      <c r="H157" s="15">
        <f>IFERROR(__xludf.DUMMYFUNCTION("VLOOKUP(A157,IMPORTRANGE(""1QZ5UxyNCwadreQAXnQ7oCoH982DjIA-QnZdO7ZoqkC0/edit#gid=884617569"",""S4 Totals!$A$2:$O$255""),5,FALSE)"),0.19047619047619047)</f>
        <v>0.1904761905</v>
      </c>
      <c r="I157" s="143"/>
      <c r="J157" s="16">
        <f>IFERROR(__xludf.DUMMYFUNCTION("VLOOKUP(A157,IMPORTRANGE(""1QZ5UxyNCwadreQAXnQ7oCoH982DjIA-QnZdO7ZoqkC0/edit#gid=884617569"",""S4 Totals!$A$2:$O$255""),7,FALSE)"),9.0)</f>
        <v>9</v>
      </c>
      <c r="K157" s="15">
        <f>IFERROR(__xludf.DUMMYFUNCTION("VLOOKUP(A157,IMPORTRANGE(""1QZ5UxyNCwadreQAXnQ7oCoH982DjIA-QnZdO7ZoqkC0/edit#gid=884617569"",""S4 Totals!$A$2:$O$255""),8,FALSE)"),0.12857142857142856)</f>
        <v>0.1285714286</v>
      </c>
      <c r="L157" s="147"/>
      <c r="M157" s="16" t="str">
        <f>IFERROR(__xludf.DUMMYFUNCTION("VLOOKUP(A157,IMPORTRANGE(""1QZ5UxyNCwadreQAXnQ7oCoH982DjIA-QnZdO7ZoqkC0/edit#gid=884617569"",""S4 Totals!$A$2:$O$255""),10,FALSE)"),"")</f>
        <v/>
      </c>
      <c r="N157" s="15" t="str">
        <f>IFERROR(__xludf.DUMMYFUNCTION("VLOOKUP(A157,IMPORTRANGE(""1QZ5UxyNCwadreQAXnQ7oCoH982DjIA-QnZdO7ZoqkC0/edit#gid=884617569"",""S4 Totals!$A$2:$O$255""),11,FALSE)"),"")</f>
        <v/>
      </c>
      <c r="O157" s="110"/>
      <c r="P157" s="16" t="str">
        <f>IFERROR(__xludf.DUMMYFUNCTION("VLOOKUP(A157,IMPORTRANGE(""1QZ5UxyNCwadreQAXnQ7oCoH982DjIA-QnZdO7ZoqkC0/edit#gid=884617569"",""S4 Totals!$A$2:$O$255""),13,FALSE)"),"")</f>
        <v/>
      </c>
      <c r="Q157" s="15" t="str">
        <f>IFERROR(__xludf.DUMMYFUNCTION("VLOOKUP(A157,IMPORTRANGE(""1QZ5UxyNCwadreQAXnQ7oCoH982DjIA-QnZdO7ZoqkC0/edit#gid=884617569"",""S4 Totals!$A$2:$O$255""),14,FALSE)"),"")</f>
        <v/>
      </c>
      <c r="R157" s="110"/>
    </row>
    <row r="158">
      <c r="A158" s="128" t="s">
        <v>187</v>
      </c>
      <c r="B158" s="16">
        <f>IFERROR(__xludf.DUMMYFUNCTION("VLOOKUP(A158,IMPORTRANGE(""1aFCnJY1qhIj8-JckJhDJ18aqmVo17tofpQmOjcYa3u8/edit#gid=1878241338"",""S4 Totals!$A$2:$O$255""),2,FALSE)"),9.0)</f>
        <v>9</v>
      </c>
      <c r="C158" s="15">
        <f>IFERROR(__xludf.DUMMYFUNCTION("VLOOKUP(A158,IMPORTRANGE(""1aFCnJY1qhIj8-JckJhDJ18aqmVo17tofpQmOjcYa3u8/edit#gid=1878241338"",""S4 Totals!$A$2:$O$255""),3,FALSE)"),0.18)</f>
        <v>0.18</v>
      </c>
      <c r="D158" s="16">
        <f>IFERROR(__xludf.DUMMYFUNCTION("VLOOKUP(A158,IMPORTRANGE(""1QZ5UxyNCwadreQAXnQ7oCoH982DjIA-QnZdO7ZoqkC0/edit#gid=884617569"",""S4 Totals!$A$2:$O$255""),2,FALSE)"),7.0)</f>
        <v>7</v>
      </c>
      <c r="E158" s="15">
        <f>IFERROR(__xludf.DUMMYFUNCTION("VLOOKUP(A158,IMPORTRANGE(""1QZ5UxyNCwadreQAXnQ7oCoH982DjIA-QnZdO7ZoqkC0/edit#gid=884617569"",""S4 Totals!$A$2:$O$255""),3,FALSE)"),0.14893617021276595)</f>
        <v>0.1489361702</v>
      </c>
      <c r="F158" s="146">
        <f t="shared" si="1"/>
        <v>0.03106382979</v>
      </c>
      <c r="G158" s="16">
        <f>IFERROR(__xludf.DUMMYFUNCTION("VLOOKUP(A158,IMPORTRANGE(""1QZ5UxyNCwadreQAXnQ7oCoH982DjIA-QnZdO7ZoqkC0/edit#gid=884617569"",""S4 Totals!$A$2:$O$255""),4,FALSE)"),9.0)</f>
        <v>9</v>
      </c>
      <c r="H158" s="15">
        <f>IFERROR(__xludf.DUMMYFUNCTION("VLOOKUP(A158,IMPORTRANGE(""1QZ5UxyNCwadreQAXnQ7oCoH982DjIA-QnZdO7ZoqkC0/edit#gid=884617569"",""S4 Totals!$A$2:$O$255""),5,FALSE)"),0.14285714285714285)</f>
        <v>0.1428571429</v>
      </c>
      <c r="I158" s="143"/>
      <c r="J158" s="16">
        <f>IFERROR(__xludf.DUMMYFUNCTION("VLOOKUP(A158,IMPORTRANGE(""1QZ5UxyNCwadreQAXnQ7oCoH982DjIA-QnZdO7ZoqkC0/edit#gid=884617569"",""S4 Totals!$A$2:$O$255""),7,FALSE)"),8.0)</f>
        <v>8</v>
      </c>
      <c r="K158" s="15">
        <f>IFERROR(__xludf.DUMMYFUNCTION("VLOOKUP(A158,IMPORTRANGE(""1QZ5UxyNCwadreQAXnQ7oCoH982DjIA-QnZdO7ZoqkC0/edit#gid=884617569"",""S4 Totals!$A$2:$O$255""),8,FALSE)"),0.11428571428571428)</f>
        <v>0.1142857143</v>
      </c>
      <c r="L158" s="147"/>
      <c r="M158" s="16" t="str">
        <f>IFERROR(__xludf.DUMMYFUNCTION("VLOOKUP(A158,IMPORTRANGE(""1QZ5UxyNCwadreQAXnQ7oCoH982DjIA-QnZdO7ZoqkC0/edit#gid=884617569"",""S4 Totals!$A$2:$O$255""),10,FALSE)"),"")</f>
        <v/>
      </c>
      <c r="N158" s="15" t="str">
        <f>IFERROR(__xludf.DUMMYFUNCTION("VLOOKUP(A158,IMPORTRANGE(""1QZ5UxyNCwadreQAXnQ7oCoH982DjIA-QnZdO7ZoqkC0/edit#gid=884617569"",""S4 Totals!$A$2:$O$255""),11,FALSE)"),"")</f>
        <v/>
      </c>
      <c r="O158" s="110"/>
      <c r="P158" s="16" t="str">
        <f>IFERROR(__xludf.DUMMYFUNCTION("VLOOKUP(A158,IMPORTRANGE(""1QZ5UxyNCwadreQAXnQ7oCoH982DjIA-QnZdO7ZoqkC0/edit#gid=884617569"",""S4 Totals!$A$2:$O$255""),13,FALSE)"),"")</f>
        <v/>
      </c>
      <c r="Q158" s="15" t="str">
        <f>IFERROR(__xludf.DUMMYFUNCTION("VLOOKUP(A158,IMPORTRANGE(""1QZ5UxyNCwadreQAXnQ7oCoH982DjIA-QnZdO7ZoqkC0/edit#gid=884617569"",""S4 Totals!$A$2:$O$255""),14,FALSE)"),"")</f>
        <v/>
      </c>
      <c r="R158" s="110"/>
    </row>
    <row r="159">
      <c r="A159" s="128" t="s">
        <v>140</v>
      </c>
      <c r="B159" s="16">
        <f>IFERROR(__xludf.DUMMYFUNCTION("VLOOKUP(A159,IMPORTRANGE(""1aFCnJY1qhIj8-JckJhDJ18aqmVo17tofpQmOjcYa3u8/edit#gid=1878241338"",""S4 Totals!$A$2:$O$255""),2,FALSE)"),11.0)</f>
        <v>11</v>
      </c>
      <c r="C159" s="15">
        <f>IFERROR(__xludf.DUMMYFUNCTION("VLOOKUP(A159,IMPORTRANGE(""1aFCnJY1qhIj8-JckJhDJ18aqmVo17tofpQmOjcYa3u8/edit#gid=1878241338"",""S4 Totals!$A$2:$O$255""),3,FALSE)"),0.22)</f>
        <v>0.22</v>
      </c>
      <c r="D159" s="16">
        <f>IFERROR(__xludf.DUMMYFUNCTION("VLOOKUP(A159,IMPORTRANGE(""1QZ5UxyNCwadreQAXnQ7oCoH982DjIA-QnZdO7ZoqkC0/edit#gid=884617569"",""S4 Totals!$A$2:$O$255""),2,FALSE)"),6.0)</f>
        <v>6</v>
      </c>
      <c r="E159" s="15">
        <f>IFERROR(__xludf.DUMMYFUNCTION("VLOOKUP(A159,IMPORTRANGE(""1QZ5UxyNCwadreQAXnQ7oCoH982DjIA-QnZdO7ZoqkC0/edit#gid=884617569"",""S4 Totals!$A$2:$O$255""),3,FALSE)"),0.1276595744680851)</f>
        <v>0.1276595745</v>
      </c>
      <c r="F159" s="146">
        <f t="shared" si="1"/>
        <v>0.09234042553</v>
      </c>
      <c r="G159" s="16">
        <f>IFERROR(__xludf.DUMMYFUNCTION("VLOOKUP(A159,IMPORTRANGE(""1QZ5UxyNCwadreQAXnQ7oCoH982DjIA-QnZdO7ZoqkC0/edit#gid=884617569"",""S4 Totals!$A$2:$O$255""),4,FALSE)"),10.0)</f>
        <v>10</v>
      </c>
      <c r="H159" s="15">
        <f>IFERROR(__xludf.DUMMYFUNCTION("VLOOKUP(A159,IMPORTRANGE(""1QZ5UxyNCwadreQAXnQ7oCoH982DjIA-QnZdO7ZoqkC0/edit#gid=884617569"",""S4 Totals!$A$2:$O$255""),5,FALSE)"),0.15873015873015872)</f>
        <v>0.1587301587</v>
      </c>
      <c r="I159" s="143"/>
      <c r="J159" s="16">
        <f>IFERROR(__xludf.DUMMYFUNCTION("VLOOKUP(A159,IMPORTRANGE(""1QZ5UxyNCwadreQAXnQ7oCoH982DjIA-QnZdO7ZoqkC0/edit#gid=884617569"",""S4 Totals!$A$2:$O$255""),7,FALSE)"),6.0)</f>
        <v>6</v>
      </c>
      <c r="K159" s="15">
        <f>IFERROR(__xludf.DUMMYFUNCTION("VLOOKUP(A159,IMPORTRANGE(""1QZ5UxyNCwadreQAXnQ7oCoH982DjIA-QnZdO7ZoqkC0/edit#gid=884617569"",""S4 Totals!$A$2:$O$255""),8,FALSE)"),0.08571428571428572)</f>
        <v>0.08571428571</v>
      </c>
      <c r="L159" s="147"/>
      <c r="M159" s="16">
        <f>IFERROR(__xludf.DUMMYFUNCTION("VLOOKUP(A159,IMPORTRANGE(""1QZ5UxyNCwadreQAXnQ7oCoH982DjIA-QnZdO7ZoqkC0/edit#gid=884617569"",""S4 Totals!$A$2:$O$255""),10,FALSE)"),5.0)</f>
        <v>5</v>
      </c>
      <c r="N159" s="15">
        <f>IFERROR(__xludf.DUMMYFUNCTION("VLOOKUP(A159,IMPORTRANGE(""1QZ5UxyNCwadreQAXnQ7oCoH982DjIA-QnZdO7ZoqkC0/edit#gid=884617569"",""S4 Totals!$A$2:$O$255""),11,FALSE)"),0.06756756756756757)</f>
        <v>0.06756756757</v>
      </c>
      <c r="O159" s="110"/>
      <c r="P159" s="16" t="str">
        <f>IFERROR(__xludf.DUMMYFUNCTION("VLOOKUP(A159,IMPORTRANGE(""1QZ5UxyNCwadreQAXnQ7oCoH982DjIA-QnZdO7ZoqkC0/edit#gid=884617569"",""S4 Totals!$A$2:$O$255""),13,FALSE)"),"")</f>
        <v/>
      </c>
      <c r="Q159" s="15" t="str">
        <f>IFERROR(__xludf.DUMMYFUNCTION("VLOOKUP(A159,IMPORTRANGE(""1QZ5UxyNCwadreQAXnQ7oCoH982DjIA-QnZdO7ZoqkC0/edit#gid=884617569"",""S4 Totals!$A$2:$O$255""),14,FALSE)"),"")</f>
        <v/>
      </c>
      <c r="R159" s="110"/>
    </row>
    <row r="160">
      <c r="A160" s="128" t="s">
        <v>244</v>
      </c>
      <c r="B160" s="16">
        <f>IFERROR(__xludf.DUMMYFUNCTION("VLOOKUP(A160,IMPORTRANGE(""1aFCnJY1qhIj8-JckJhDJ18aqmVo17tofpQmOjcYa3u8/edit#gid=1878241338"",""S4 Totals!$A$2:$O$255""),2,FALSE)"),13.0)</f>
        <v>13</v>
      </c>
      <c r="C160" s="15">
        <f>IFERROR(__xludf.DUMMYFUNCTION("VLOOKUP(A160,IMPORTRANGE(""1aFCnJY1qhIj8-JckJhDJ18aqmVo17tofpQmOjcYa3u8/edit#gid=1878241338"",""S4 Totals!$A$2:$O$255""),3,FALSE)"),0.26)</f>
        <v>0.26</v>
      </c>
      <c r="D160" s="16">
        <f>IFERROR(__xludf.DUMMYFUNCTION("VLOOKUP(A160,IMPORTRANGE(""1QZ5UxyNCwadreQAXnQ7oCoH982DjIA-QnZdO7ZoqkC0/edit#gid=884617569"",""S4 Totals!$A$2:$O$255""),2,FALSE)"),15.0)</f>
        <v>15</v>
      </c>
      <c r="E160" s="15">
        <f>IFERROR(__xludf.DUMMYFUNCTION("VLOOKUP(A160,IMPORTRANGE(""1QZ5UxyNCwadreQAXnQ7oCoH982DjIA-QnZdO7ZoqkC0/edit#gid=884617569"",""S4 Totals!$A$2:$O$255""),3,FALSE)"),0.3191489361702128)</f>
        <v>0.3191489362</v>
      </c>
      <c r="F160" s="146">
        <f t="shared" si="1"/>
        <v>-0.05914893617</v>
      </c>
      <c r="G160" s="16">
        <f>IFERROR(__xludf.DUMMYFUNCTION("VLOOKUP(A160,IMPORTRANGE(""1QZ5UxyNCwadreQAXnQ7oCoH982DjIA-QnZdO7ZoqkC0/edit#gid=884617569"",""S4 Totals!$A$2:$O$255""),4,FALSE)"),16.0)</f>
        <v>16</v>
      </c>
      <c r="H160" s="15">
        <f>IFERROR(__xludf.DUMMYFUNCTION("VLOOKUP(A160,IMPORTRANGE(""1QZ5UxyNCwadreQAXnQ7oCoH982DjIA-QnZdO7ZoqkC0/edit#gid=884617569"",""S4 Totals!$A$2:$O$255""),5,FALSE)"),0.25396825396825395)</f>
        <v>0.253968254</v>
      </c>
      <c r="I160" s="143"/>
      <c r="J160" s="16" t="str">
        <f>IFERROR(__xludf.DUMMYFUNCTION("VLOOKUP(A160,IMPORTRANGE(""1QZ5UxyNCwadreQAXnQ7oCoH982DjIA-QnZdO7ZoqkC0/edit#gid=884617569"",""S4 Totals!$A$2:$O$255""),7,FALSE)"),"")</f>
        <v/>
      </c>
      <c r="K160" s="15" t="str">
        <f>IFERROR(__xludf.DUMMYFUNCTION("VLOOKUP(A160,IMPORTRANGE(""1QZ5UxyNCwadreQAXnQ7oCoH982DjIA-QnZdO7ZoqkC0/edit#gid=884617569"",""S4 Totals!$A$2:$O$255""),8,FALSE)"),"")</f>
        <v/>
      </c>
      <c r="L160" s="147"/>
      <c r="M160" s="16" t="str">
        <f>IFERROR(__xludf.DUMMYFUNCTION("VLOOKUP(A160,IMPORTRANGE(""1QZ5UxyNCwadreQAXnQ7oCoH982DjIA-QnZdO7ZoqkC0/edit#gid=884617569"",""S4 Totals!$A$2:$O$255""),10,FALSE)"),"")</f>
        <v/>
      </c>
      <c r="N160" s="15" t="str">
        <f>IFERROR(__xludf.DUMMYFUNCTION("VLOOKUP(A160,IMPORTRANGE(""1QZ5UxyNCwadreQAXnQ7oCoH982DjIA-QnZdO7ZoqkC0/edit#gid=884617569"",""S4 Totals!$A$2:$O$255""),11,FALSE)"),"")</f>
        <v/>
      </c>
      <c r="O160" s="110"/>
      <c r="P160" s="16" t="str">
        <f>IFERROR(__xludf.DUMMYFUNCTION("VLOOKUP(A160,IMPORTRANGE(""1QZ5UxyNCwadreQAXnQ7oCoH982DjIA-QnZdO7ZoqkC0/edit#gid=884617569"",""S4 Totals!$A$2:$O$255""),13,FALSE)"),"")</f>
        <v/>
      </c>
      <c r="Q160" s="15" t="str">
        <f>IFERROR(__xludf.DUMMYFUNCTION("VLOOKUP(A160,IMPORTRANGE(""1QZ5UxyNCwadreQAXnQ7oCoH982DjIA-QnZdO7ZoqkC0/edit#gid=884617569"",""S4 Totals!$A$2:$O$255""),14,FALSE)"),"")</f>
        <v/>
      </c>
      <c r="R160" s="110"/>
    </row>
    <row r="161">
      <c r="A161" s="128" t="s">
        <v>188</v>
      </c>
      <c r="B161" s="16">
        <f>IFERROR(__xludf.DUMMYFUNCTION("VLOOKUP(A161,IMPORTRANGE(""1aFCnJY1qhIj8-JckJhDJ18aqmVo17tofpQmOjcYa3u8/edit#gid=1878241338"",""S4 Totals!$A$2:$O$255""),2,FALSE)"),8.0)</f>
        <v>8</v>
      </c>
      <c r="C161" s="15">
        <f>IFERROR(__xludf.DUMMYFUNCTION("VLOOKUP(A161,IMPORTRANGE(""1aFCnJY1qhIj8-JckJhDJ18aqmVo17tofpQmOjcYa3u8/edit#gid=1878241338"",""S4 Totals!$A$2:$O$255""),3,FALSE)"),0.16)</f>
        <v>0.16</v>
      </c>
      <c r="D161" s="16">
        <f>IFERROR(__xludf.DUMMYFUNCTION("VLOOKUP(A161,IMPORTRANGE(""1QZ5UxyNCwadreQAXnQ7oCoH982DjIA-QnZdO7ZoqkC0/edit#gid=884617569"",""S4 Totals!$A$2:$O$255""),2,FALSE)"),10.0)</f>
        <v>10</v>
      </c>
      <c r="E161" s="15">
        <f>IFERROR(__xludf.DUMMYFUNCTION("VLOOKUP(A161,IMPORTRANGE(""1QZ5UxyNCwadreQAXnQ7oCoH982DjIA-QnZdO7ZoqkC0/edit#gid=884617569"",""S4 Totals!$A$2:$O$255""),3,FALSE)"),0.2127659574468085)</f>
        <v>0.2127659574</v>
      </c>
      <c r="F161" s="146">
        <f t="shared" si="1"/>
        <v>-0.05276595745</v>
      </c>
      <c r="G161" s="16">
        <f>IFERROR(__xludf.DUMMYFUNCTION("VLOOKUP(A161,IMPORTRANGE(""1QZ5UxyNCwadreQAXnQ7oCoH982DjIA-QnZdO7ZoqkC0/edit#gid=884617569"",""S4 Totals!$A$2:$O$255""),4,FALSE)"),9.0)</f>
        <v>9</v>
      </c>
      <c r="H161" s="15">
        <f>IFERROR(__xludf.DUMMYFUNCTION("VLOOKUP(A161,IMPORTRANGE(""1QZ5UxyNCwadreQAXnQ7oCoH982DjIA-QnZdO7ZoqkC0/edit#gid=884617569"",""S4 Totals!$A$2:$O$255""),5,FALSE)"),0.14285714285714285)</f>
        <v>0.1428571429</v>
      </c>
      <c r="I161" s="143"/>
      <c r="J161" s="16">
        <f>IFERROR(__xludf.DUMMYFUNCTION("VLOOKUP(A161,IMPORTRANGE(""1QZ5UxyNCwadreQAXnQ7oCoH982DjIA-QnZdO7ZoqkC0/edit#gid=884617569"",""S4 Totals!$A$2:$O$255""),7,FALSE)"),8.0)</f>
        <v>8</v>
      </c>
      <c r="K161" s="15">
        <f>IFERROR(__xludf.DUMMYFUNCTION("VLOOKUP(A161,IMPORTRANGE(""1QZ5UxyNCwadreQAXnQ7oCoH982DjIA-QnZdO7ZoqkC0/edit#gid=884617569"",""S4 Totals!$A$2:$O$255""),8,FALSE)"),0.11428571428571428)</f>
        <v>0.1142857143</v>
      </c>
      <c r="L161" s="147"/>
      <c r="M161" s="16" t="str">
        <f>IFERROR(__xludf.DUMMYFUNCTION("VLOOKUP(A161,IMPORTRANGE(""1QZ5UxyNCwadreQAXnQ7oCoH982DjIA-QnZdO7ZoqkC0/edit#gid=884617569"",""S4 Totals!$A$2:$O$255""),10,FALSE)"),"")</f>
        <v/>
      </c>
      <c r="N161" s="15" t="str">
        <f>IFERROR(__xludf.DUMMYFUNCTION("VLOOKUP(A161,IMPORTRANGE(""1QZ5UxyNCwadreQAXnQ7oCoH982DjIA-QnZdO7ZoqkC0/edit#gid=884617569"",""S4 Totals!$A$2:$O$255""),11,FALSE)"),"")</f>
        <v/>
      </c>
      <c r="O161" s="110"/>
      <c r="P161" s="16" t="str">
        <f>IFERROR(__xludf.DUMMYFUNCTION("VLOOKUP(A161,IMPORTRANGE(""1QZ5UxyNCwadreQAXnQ7oCoH982DjIA-QnZdO7ZoqkC0/edit#gid=884617569"",""S4 Totals!$A$2:$O$255""),13,FALSE)"),"")</f>
        <v/>
      </c>
      <c r="Q161" s="15" t="str">
        <f>IFERROR(__xludf.DUMMYFUNCTION("VLOOKUP(A161,IMPORTRANGE(""1QZ5UxyNCwadreQAXnQ7oCoH982DjIA-QnZdO7ZoqkC0/edit#gid=884617569"",""S4 Totals!$A$2:$O$255""),14,FALSE)"),"")</f>
        <v/>
      </c>
      <c r="R161" s="110"/>
    </row>
    <row r="162">
      <c r="A162" s="128" t="s">
        <v>189</v>
      </c>
      <c r="B162" s="16">
        <f>IFERROR(__xludf.DUMMYFUNCTION("VLOOKUP(A162,IMPORTRANGE(""1aFCnJY1qhIj8-JckJhDJ18aqmVo17tofpQmOjcYa3u8/edit#gid=1878241338"",""S4 Totals!$A$2:$O$255""),2,FALSE)"),9.0)</f>
        <v>9</v>
      </c>
      <c r="C162" s="15">
        <f>IFERROR(__xludf.DUMMYFUNCTION("VLOOKUP(A162,IMPORTRANGE(""1aFCnJY1qhIj8-JckJhDJ18aqmVo17tofpQmOjcYa3u8/edit#gid=1878241338"",""S4 Totals!$A$2:$O$255""),3,FALSE)"),0.18)</f>
        <v>0.18</v>
      </c>
      <c r="D162" s="16">
        <f>IFERROR(__xludf.DUMMYFUNCTION("VLOOKUP(A162,IMPORTRANGE(""1QZ5UxyNCwadreQAXnQ7oCoH982DjIA-QnZdO7ZoqkC0/edit#gid=884617569"",""S4 Totals!$A$2:$O$255""),2,FALSE)"),14.0)</f>
        <v>14</v>
      </c>
      <c r="E162" s="15">
        <f>IFERROR(__xludf.DUMMYFUNCTION("VLOOKUP(A162,IMPORTRANGE(""1QZ5UxyNCwadreQAXnQ7oCoH982DjIA-QnZdO7ZoqkC0/edit#gid=884617569"",""S4 Totals!$A$2:$O$255""),3,FALSE)"),0.2978723404255319)</f>
        <v>0.2978723404</v>
      </c>
      <c r="F162" s="146">
        <f t="shared" si="1"/>
        <v>-0.1178723404</v>
      </c>
      <c r="G162" s="16">
        <f>IFERROR(__xludf.DUMMYFUNCTION("VLOOKUP(A162,IMPORTRANGE(""1QZ5UxyNCwadreQAXnQ7oCoH982DjIA-QnZdO7ZoqkC0/edit#gid=884617569"",""S4 Totals!$A$2:$O$255""),4,FALSE)"),6.0)</f>
        <v>6</v>
      </c>
      <c r="H162" s="15">
        <f>IFERROR(__xludf.DUMMYFUNCTION("VLOOKUP(A162,IMPORTRANGE(""1QZ5UxyNCwadreQAXnQ7oCoH982DjIA-QnZdO7ZoqkC0/edit#gid=884617569"",""S4 Totals!$A$2:$O$255""),5,FALSE)"),0.09523809523809523)</f>
        <v>0.09523809524</v>
      </c>
      <c r="I162" s="143"/>
      <c r="J162" s="16">
        <f>IFERROR(__xludf.DUMMYFUNCTION("VLOOKUP(A162,IMPORTRANGE(""1QZ5UxyNCwadreQAXnQ7oCoH982DjIA-QnZdO7ZoqkC0/edit#gid=884617569"",""S4 Totals!$A$2:$O$255""),7,FALSE)"),6.0)</f>
        <v>6</v>
      </c>
      <c r="K162" s="15">
        <f>IFERROR(__xludf.DUMMYFUNCTION("VLOOKUP(A162,IMPORTRANGE(""1QZ5UxyNCwadreQAXnQ7oCoH982DjIA-QnZdO7ZoqkC0/edit#gid=884617569"",""S4 Totals!$A$2:$O$255""),8,FALSE)"),0.08571428571428572)</f>
        <v>0.08571428571</v>
      </c>
      <c r="L162" s="147"/>
      <c r="M162" s="16" t="str">
        <f>IFERROR(__xludf.DUMMYFUNCTION("VLOOKUP(A162,IMPORTRANGE(""1QZ5UxyNCwadreQAXnQ7oCoH982DjIA-QnZdO7ZoqkC0/edit#gid=884617569"",""S4 Totals!$A$2:$O$255""),10,FALSE)"),"")</f>
        <v/>
      </c>
      <c r="N162" s="15" t="str">
        <f>IFERROR(__xludf.DUMMYFUNCTION("VLOOKUP(A162,IMPORTRANGE(""1QZ5UxyNCwadreQAXnQ7oCoH982DjIA-QnZdO7ZoqkC0/edit#gid=884617569"",""S4 Totals!$A$2:$O$255""),11,FALSE)"),"")</f>
        <v/>
      </c>
      <c r="O162" s="110"/>
      <c r="P162" s="16" t="str">
        <f>IFERROR(__xludf.DUMMYFUNCTION("VLOOKUP(A162,IMPORTRANGE(""1QZ5UxyNCwadreQAXnQ7oCoH982DjIA-QnZdO7ZoqkC0/edit#gid=884617569"",""S4 Totals!$A$2:$O$255""),13,FALSE)"),"")</f>
        <v/>
      </c>
      <c r="Q162" s="15" t="str">
        <f>IFERROR(__xludf.DUMMYFUNCTION("VLOOKUP(A162,IMPORTRANGE(""1QZ5UxyNCwadreQAXnQ7oCoH982DjIA-QnZdO7ZoqkC0/edit#gid=884617569"",""S4 Totals!$A$2:$O$255""),14,FALSE)"),"")</f>
        <v/>
      </c>
      <c r="R162" s="110"/>
    </row>
    <row r="163">
      <c r="A163" s="128" t="s">
        <v>77</v>
      </c>
      <c r="B163" s="16">
        <f>IFERROR(__xludf.DUMMYFUNCTION("VLOOKUP(A163,IMPORTRANGE(""1aFCnJY1qhIj8-JckJhDJ18aqmVo17tofpQmOjcYa3u8/edit#gid=1878241338"",""S4 Totals!$A$2:$O$255""),2,FALSE)"),19.0)</f>
        <v>19</v>
      </c>
      <c r="C163" s="15">
        <f>IFERROR(__xludf.DUMMYFUNCTION("VLOOKUP(A163,IMPORTRANGE(""1aFCnJY1qhIj8-JckJhDJ18aqmVo17tofpQmOjcYa3u8/edit#gid=1878241338"",""S4 Totals!$A$2:$O$255""),3,FALSE)"),0.38)</f>
        <v>0.38</v>
      </c>
      <c r="D163" s="16">
        <f>IFERROR(__xludf.DUMMYFUNCTION("VLOOKUP(A163,IMPORTRANGE(""1QZ5UxyNCwadreQAXnQ7oCoH982DjIA-QnZdO7ZoqkC0/edit#gid=884617569"",""S4 Totals!$A$2:$O$255""),2,FALSE)"),18.0)</f>
        <v>18</v>
      </c>
      <c r="E163" s="15">
        <f>IFERROR(__xludf.DUMMYFUNCTION("VLOOKUP(A163,IMPORTRANGE(""1QZ5UxyNCwadreQAXnQ7oCoH982DjIA-QnZdO7ZoqkC0/edit#gid=884617569"",""S4 Totals!$A$2:$O$255""),3,FALSE)"),0.3829787234042553)</f>
        <v>0.3829787234</v>
      </c>
      <c r="F163" s="146">
        <f t="shared" si="1"/>
        <v>-0.002978723404</v>
      </c>
      <c r="G163" s="16">
        <f>IFERROR(__xludf.DUMMYFUNCTION("VLOOKUP(A163,IMPORTRANGE(""1QZ5UxyNCwadreQAXnQ7oCoH982DjIA-QnZdO7ZoqkC0/edit#gid=884617569"",""S4 Totals!$A$2:$O$255""),4,FALSE)"),25.0)</f>
        <v>25</v>
      </c>
      <c r="H163" s="15">
        <f>IFERROR(__xludf.DUMMYFUNCTION("VLOOKUP(A163,IMPORTRANGE(""1QZ5UxyNCwadreQAXnQ7oCoH982DjIA-QnZdO7ZoqkC0/edit#gid=884617569"",""S4 Totals!$A$2:$O$255""),5,FALSE)"),0.3968253968253968)</f>
        <v>0.3968253968</v>
      </c>
      <c r="I163" s="143"/>
      <c r="J163" s="16">
        <f>IFERROR(__xludf.DUMMYFUNCTION("VLOOKUP(A163,IMPORTRANGE(""1QZ5UxyNCwadreQAXnQ7oCoH982DjIA-QnZdO7ZoqkC0/edit#gid=884617569"",""S4 Totals!$A$2:$O$255""),7,FALSE)"),28.0)</f>
        <v>28</v>
      </c>
      <c r="K163" s="15">
        <f>IFERROR(__xludf.DUMMYFUNCTION("VLOOKUP(A163,IMPORTRANGE(""1QZ5UxyNCwadreQAXnQ7oCoH982DjIA-QnZdO7ZoqkC0/edit#gid=884617569"",""S4 Totals!$A$2:$O$255""),8,FALSE)"),0.4)</f>
        <v>0.4</v>
      </c>
      <c r="L163" s="147"/>
      <c r="M163" s="16">
        <f>IFERROR(__xludf.DUMMYFUNCTION("VLOOKUP(A163,IMPORTRANGE(""1QZ5UxyNCwadreQAXnQ7oCoH982DjIA-QnZdO7ZoqkC0/edit#gid=884617569"",""S4 Totals!$A$2:$O$255""),10,FALSE)"),8.0)</f>
        <v>8</v>
      </c>
      <c r="N163" s="15">
        <f>IFERROR(__xludf.DUMMYFUNCTION("VLOOKUP(A163,IMPORTRANGE(""1QZ5UxyNCwadreQAXnQ7oCoH982DjIA-QnZdO7ZoqkC0/edit#gid=884617569"",""S4 Totals!$A$2:$O$255""),11,FALSE)"),0.10810810810810811)</f>
        <v>0.1081081081</v>
      </c>
      <c r="O163" s="110"/>
      <c r="P163" s="16">
        <f>IFERROR(__xludf.DUMMYFUNCTION("VLOOKUP(A163,IMPORTRANGE(""1QZ5UxyNCwadreQAXnQ7oCoH982DjIA-QnZdO7ZoqkC0/edit#gid=884617569"",""S4 Totals!$A$2:$O$255""),13,FALSE)"),3.0)</f>
        <v>3</v>
      </c>
      <c r="Q163" s="15">
        <f>IFERROR(__xludf.DUMMYFUNCTION("VLOOKUP(A163,IMPORTRANGE(""1QZ5UxyNCwadreQAXnQ7oCoH982DjIA-QnZdO7ZoqkC0/edit#gid=884617569"",""S4 Totals!$A$2:$O$255""),14,FALSE)"),0.04)</f>
        <v>0.04</v>
      </c>
      <c r="R163" s="110"/>
    </row>
    <row r="164">
      <c r="A164" s="128" t="s">
        <v>78</v>
      </c>
      <c r="B164" s="16">
        <f>IFERROR(__xludf.DUMMYFUNCTION("VLOOKUP(A164,IMPORTRANGE(""1aFCnJY1qhIj8-JckJhDJ18aqmVo17tofpQmOjcYa3u8/edit#gid=1878241338"",""S4 Totals!$A$2:$O$255""),2,FALSE)"),16.0)</f>
        <v>16</v>
      </c>
      <c r="C164" s="15">
        <f>IFERROR(__xludf.DUMMYFUNCTION("VLOOKUP(A164,IMPORTRANGE(""1aFCnJY1qhIj8-JckJhDJ18aqmVo17tofpQmOjcYa3u8/edit#gid=1878241338"",""S4 Totals!$A$2:$O$255""),3,FALSE)"),0.32)</f>
        <v>0.32</v>
      </c>
      <c r="D164" s="16">
        <f>IFERROR(__xludf.DUMMYFUNCTION("VLOOKUP(A164,IMPORTRANGE(""1QZ5UxyNCwadreQAXnQ7oCoH982DjIA-QnZdO7ZoqkC0/edit#gid=884617569"",""S4 Totals!$A$2:$O$255""),2,FALSE)"),12.0)</f>
        <v>12</v>
      </c>
      <c r="E164" s="15">
        <f>IFERROR(__xludf.DUMMYFUNCTION("VLOOKUP(A164,IMPORTRANGE(""1QZ5UxyNCwadreQAXnQ7oCoH982DjIA-QnZdO7ZoqkC0/edit#gid=884617569"",""S4 Totals!$A$2:$O$255""),3,FALSE)"),0.2553191489361702)</f>
        <v>0.2553191489</v>
      </c>
      <c r="F164" s="146">
        <f t="shared" si="1"/>
        <v>0.06468085106</v>
      </c>
      <c r="G164" s="16">
        <f>IFERROR(__xludf.DUMMYFUNCTION("VLOOKUP(A164,IMPORTRANGE(""1QZ5UxyNCwadreQAXnQ7oCoH982DjIA-QnZdO7ZoqkC0/edit#gid=884617569"",""S4 Totals!$A$2:$O$255""),4,FALSE)"),21.0)</f>
        <v>21</v>
      </c>
      <c r="H164" s="15">
        <f>IFERROR(__xludf.DUMMYFUNCTION("VLOOKUP(A164,IMPORTRANGE(""1QZ5UxyNCwadreQAXnQ7oCoH982DjIA-QnZdO7ZoqkC0/edit#gid=884617569"",""S4 Totals!$A$2:$O$255""),5,FALSE)"),0.3333333333333333)</f>
        <v>0.3333333333</v>
      </c>
      <c r="I164" s="143"/>
      <c r="J164" s="16">
        <f>IFERROR(__xludf.DUMMYFUNCTION("VLOOKUP(A164,IMPORTRANGE(""1QZ5UxyNCwadreQAXnQ7oCoH982DjIA-QnZdO7ZoqkC0/edit#gid=884617569"",""S4 Totals!$A$2:$O$255""),7,FALSE)"),10.0)</f>
        <v>10</v>
      </c>
      <c r="K164" s="15">
        <f>IFERROR(__xludf.DUMMYFUNCTION("VLOOKUP(A164,IMPORTRANGE(""1QZ5UxyNCwadreQAXnQ7oCoH982DjIA-QnZdO7ZoqkC0/edit#gid=884617569"",""S4 Totals!$A$2:$O$255""),8,FALSE)"),0.14285714285714285)</f>
        <v>0.1428571429</v>
      </c>
      <c r="L164" s="147"/>
      <c r="M164" s="16">
        <f>IFERROR(__xludf.DUMMYFUNCTION("VLOOKUP(A164,IMPORTRANGE(""1QZ5UxyNCwadreQAXnQ7oCoH982DjIA-QnZdO7ZoqkC0/edit#gid=884617569"",""S4 Totals!$A$2:$O$255""),10,FALSE)"),12.0)</f>
        <v>12</v>
      </c>
      <c r="N164" s="15">
        <f>IFERROR(__xludf.DUMMYFUNCTION("VLOOKUP(A164,IMPORTRANGE(""1QZ5UxyNCwadreQAXnQ7oCoH982DjIA-QnZdO7ZoqkC0/edit#gid=884617569"",""S4 Totals!$A$2:$O$255""),11,FALSE)"),0.16216216216216217)</f>
        <v>0.1621621622</v>
      </c>
      <c r="O164" s="110"/>
      <c r="P164" s="16">
        <f>IFERROR(__xludf.DUMMYFUNCTION("VLOOKUP(A164,IMPORTRANGE(""1QZ5UxyNCwadreQAXnQ7oCoH982DjIA-QnZdO7ZoqkC0/edit#gid=884617569"",""S4 Totals!$A$2:$O$255""),13,FALSE)"),8.0)</f>
        <v>8</v>
      </c>
      <c r="Q164" s="15">
        <f>IFERROR(__xludf.DUMMYFUNCTION("VLOOKUP(A164,IMPORTRANGE(""1QZ5UxyNCwadreQAXnQ7oCoH982DjIA-QnZdO7ZoqkC0/edit#gid=884617569"",""S4 Totals!$A$2:$O$255""),14,FALSE)"),0.10666666666666667)</f>
        <v>0.1066666667</v>
      </c>
      <c r="R164" s="110"/>
    </row>
    <row r="165">
      <c r="A165" s="128" t="s">
        <v>141</v>
      </c>
      <c r="B165" s="16">
        <f>IFERROR(__xludf.DUMMYFUNCTION("VLOOKUP(A165,IMPORTRANGE(""1aFCnJY1qhIj8-JckJhDJ18aqmVo17tofpQmOjcYa3u8/edit#gid=1878241338"",""S4 Totals!$A$2:$O$255""),2,FALSE)"),0.0)</f>
        <v>0</v>
      </c>
      <c r="C165" s="15">
        <f>IFERROR(__xludf.DUMMYFUNCTION("VLOOKUP(A165,IMPORTRANGE(""1aFCnJY1qhIj8-JckJhDJ18aqmVo17tofpQmOjcYa3u8/edit#gid=1878241338"",""S4 Totals!$A$2:$O$255""),3,FALSE)"),0.0)</f>
        <v>0</v>
      </c>
      <c r="D165" s="16">
        <f>IFERROR(__xludf.DUMMYFUNCTION("VLOOKUP(A165,IMPORTRANGE(""1QZ5UxyNCwadreQAXnQ7oCoH982DjIA-QnZdO7ZoqkC0/edit#gid=884617569"",""S4 Totals!$A$2:$O$255""),2,FALSE)"),0.0)</f>
        <v>0</v>
      </c>
      <c r="E165" s="15">
        <f>IFERROR(__xludf.DUMMYFUNCTION("VLOOKUP(A165,IMPORTRANGE(""1QZ5UxyNCwadreQAXnQ7oCoH982DjIA-QnZdO7ZoqkC0/edit#gid=884617569"",""S4 Totals!$A$2:$O$255""),3,FALSE)"),0.0)</f>
        <v>0</v>
      </c>
      <c r="F165" s="146">
        <f t="shared" si="1"/>
        <v>0</v>
      </c>
      <c r="G165" s="16">
        <f>IFERROR(__xludf.DUMMYFUNCTION("VLOOKUP(A165,IMPORTRANGE(""1QZ5UxyNCwadreQAXnQ7oCoH982DjIA-QnZdO7ZoqkC0/edit#gid=884617569"",""S4 Totals!$A$2:$O$255""),4,FALSE)"),0.0)</f>
        <v>0</v>
      </c>
      <c r="H165" s="15">
        <f>IFERROR(__xludf.DUMMYFUNCTION("VLOOKUP(A165,IMPORTRANGE(""1QZ5UxyNCwadreQAXnQ7oCoH982DjIA-QnZdO7ZoqkC0/edit#gid=884617569"",""S4 Totals!$A$2:$O$255""),5,FALSE)"),0.0)</f>
        <v>0</v>
      </c>
      <c r="I165" s="143"/>
      <c r="J165" s="16">
        <f>IFERROR(__xludf.DUMMYFUNCTION("VLOOKUP(A165,IMPORTRANGE(""1QZ5UxyNCwadreQAXnQ7oCoH982DjIA-QnZdO7ZoqkC0/edit#gid=884617569"",""S4 Totals!$A$2:$O$255""),7,FALSE)"),0.0)</f>
        <v>0</v>
      </c>
      <c r="K165" s="15">
        <f>IFERROR(__xludf.DUMMYFUNCTION("VLOOKUP(A165,IMPORTRANGE(""1QZ5UxyNCwadreQAXnQ7oCoH982DjIA-QnZdO7ZoqkC0/edit#gid=884617569"",""S4 Totals!$A$2:$O$255""),8,FALSE)"),0.0)</f>
        <v>0</v>
      </c>
      <c r="L165" s="147"/>
      <c r="M165" s="16">
        <f>IFERROR(__xludf.DUMMYFUNCTION("VLOOKUP(A165,IMPORTRANGE(""1QZ5UxyNCwadreQAXnQ7oCoH982DjIA-QnZdO7ZoqkC0/edit#gid=884617569"",""S4 Totals!$A$2:$O$255""),10,FALSE)"),0.0)</f>
        <v>0</v>
      </c>
      <c r="N165" s="15">
        <f>IFERROR(__xludf.DUMMYFUNCTION("VLOOKUP(A165,IMPORTRANGE(""1QZ5UxyNCwadreQAXnQ7oCoH982DjIA-QnZdO7ZoqkC0/edit#gid=884617569"",""S4 Totals!$A$2:$O$255""),11,FALSE)"),0.0)</f>
        <v>0</v>
      </c>
      <c r="O165" s="110"/>
      <c r="P165" s="16" t="str">
        <f>IFERROR(__xludf.DUMMYFUNCTION("VLOOKUP(A165,IMPORTRANGE(""1QZ5UxyNCwadreQAXnQ7oCoH982DjIA-QnZdO7ZoqkC0/edit#gid=884617569"",""S4 Totals!$A$2:$O$255""),13,FALSE)"),"")</f>
        <v/>
      </c>
      <c r="Q165" s="15" t="str">
        <f>IFERROR(__xludf.DUMMYFUNCTION("VLOOKUP(A165,IMPORTRANGE(""1QZ5UxyNCwadreQAXnQ7oCoH982DjIA-QnZdO7ZoqkC0/edit#gid=884617569"",""S4 Totals!$A$2:$O$255""),14,FALSE)"),"")</f>
        <v/>
      </c>
      <c r="R165" s="110"/>
    </row>
    <row r="166">
      <c r="A166" s="128" t="s">
        <v>79</v>
      </c>
      <c r="B166" s="16">
        <f>IFERROR(__xludf.DUMMYFUNCTION("VLOOKUP(A166,IMPORTRANGE(""1aFCnJY1qhIj8-JckJhDJ18aqmVo17tofpQmOjcYa3u8/edit#gid=1878241338"",""S4 Totals!$A$2:$O$255""),2,FALSE)"),14.0)</f>
        <v>14</v>
      </c>
      <c r="C166" s="15">
        <f>IFERROR(__xludf.DUMMYFUNCTION("VLOOKUP(A166,IMPORTRANGE(""1aFCnJY1qhIj8-JckJhDJ18aqmVo17tofpQmOjcYa3u8/edit#gid=1878241338"",""S4 Totals!$A$2:$O$255""),3,FALSE)"),0.28)</f>
        <v>0.28</v>
      </c>
      <c r="D166" s="16">
        <f>IFERROR(__xludf.DUMMYFUNCTION("VLOOKUP(A166,IMPORTRANGE(""1QZ5UxyNCwadreQAXnQ7oCoH982DjIA-QnZdO7ZoqkC0/edit#gid=884617569"",""S4 Totals!$A$2:$O$255""),2,FALSE)"),17.0)</f>
        <v>17</v>
      </c>
      <c r="E166" s="15">
        <f>IFERROR(__xludf.DUMMYFUNCTION("VLOOKUP(A166,IMPORTRANGE(""1QZ5UxyNCwadreQAXnQ7oCoH982DjIA-QnZdO7ZoqkC0/edit#gid=884617569"",""S4 Totals!$A$2:$O$255""),3,FALSE)"),0.3617021276595745)</f>
        <v>0.3617021277</v>
      </c>
      <c r="F166" s="146">
        <f t="shared" si="1"/>
        <v>-0.08170212766</v>
      </c>
      <c r="G166" s="16">
        <f>IFERROR(__xludf.DUMMYFUNCTION("VLOOKUP(A166,IMPORTRANGE(""1QZ5UxyNCwadreQAXnQ7oCoH982DjIA-QnZdO7ZoqkC0/edit#gid=884617569"",""S4 Totals!$A$2:$O$255""),4,FALSE)"),15.0)</f>
        <v>15</v>
      </c>
      <c r="H166" s="15">
        <f>IFERROR(__xludf.DUMMYFUNCTION("VLOOKUP(A166,IMPORTRANGE(""1QZ5UxyNCwadreQAXnQ7oCoH982DjIA-QnZdO7ZoqkC0/edit#gid=884617569"",""S4 Totals!$A$2:$O$255""),5,FALSE)"),0.23809523809523808)</f>
        <v>0.2380952381</v>
      </c>
      <c r="I166" s="143"/>
      <c r="J166" s="16">
        <f>IFERROR(__xludf.DUMMYFUNCTION("VLOOKUP(A166,IMPORTRANGE(""1QZ5UxyNCwadreQAXnQ7oCoH982DjIA-QnZdO7ZoqkC0/edit#gid=884617569"",""S4 Totals!$A$2:$O$255""),7,FALSE)"),14.0)</f>
        <v>14</v>
      </c>
      <c r="K166" s="15">
        <f>IFERROR(__xludf.DUMMYFUNCTION("VLOOKUP(A166,IMPORTRANGE(""1QZ5UxyNCwadreQAXnQ7oCoH982DjIA-QnZdO7ZoqkC0/edit#gid=884617569"",""S4 Totals!$A$2:$O$255""),8,FALSE)"),0.2)</f>
        <v>0.2</v>
      </c>
      <c r="L166" s="147"/>
      <c r="M166" s="16">
        <f>IFERROR(__xludf.DUMMYFUNCTION("VLOOKUP(A166,IMPORTRANGE(""1QZ5UxyNCwadreQAXnQ7oCoH982DjIA-QnZdO7ZoqkC0/edit#gid=884617569"",""S4 Totals!$A$2:$O$255""),10,FALSE)"),16.0)</f>
        <v>16</v>
      </c>
      <c r="N166" s="15">
        <f>IFERROR(__xludf.DUMMYFUNCTION("VLOOKUP(A166,IMPORTRANGE(""1QZ5UxyNCwadreQAXnQ7oCoH982DjIA-QnZdO7ZoqkC0/edit#gid=884617569"",""S4 Totals!$A$2:$O$255""),11,FALSE)"),0.21621621621621623)</f>
        <v>0.2162162162</v>
      </c>
      <c r="O166" s="110"/>
      <c r="P166" s="16">
        <f>IFERROR(__xludf.DUMMYFUNCTION("VLOOKUP(A166,IMPORTRANGE(""1QZ5UxyNCwadreQAXnQ7oCoH982DjIA-QnZdO7ZoqkC0/edit#gid=884617569"",""S4 Totals!$A$2:$O$255""),13,FALSE)"),12.0)</f>
        <v>12</v>
      </c>
      <c r="Q166" s="15">
        <f>IFERROR(__xludf.DUMMYFUNCTION("VLOOKUP(A166,IMPORTRANGE(""1QZ5UxyNCwadreQAXnQ7oCoH982DjIA-QnZdO7ZoqkC0/edit#gid=884617569"",""S4 Totals!$A$2:$O$255""),14,FALSE)"),0.16)</f>
        <v>0.16</v>
      </c>
      <c r="R166" s="110"/>
    </row>
    <row r="167">
      <c r="A167" s="128" t="s">
        <v>80</v>
      </c>
      <c r="B167" s="16">
        <f>IFERROR(__xludf.DUMMYFUNCTION("VLOOKUP(A167,IMPORTRANGE(""1aFCnJY1qhIj8-JckJhDJ18aqmVo17tofpQmOjcYa3u8/edit#gid=1878241338"",""S4 Totals!$A$2:$O$255""),2,FALSE)"),16.0)</f>
        <v>16</v>
      </c>
      <c r="C167" s="15">
        <f>IFERROR(__xludf.DUMMYFUNCTION("VLOOKUP(A167,IMPORTRANGE(""1aFCnJY1qhIj8-JckJhDJ18aqmVo17tofpQmOjcYa3u8/edit#gid=1878241338"",""S4 Totals!$A$2:$O$255""),3,FALSE)"),0.32)</f>
        <v>0.32</v>
      </c>
      <c r="D167" s="16">
        <f>IFERROR(__xludf.DUMMYFUNCTION("VLOOKUP(A167,IMPORTRANGE(""1QZ5UxyNCwadreQAXnQ7oCoH982DjIA-QnZdO7ZoqkC0/edit#gid=884617569"",""S4 Totals!$A$2:$O$255""),2,FALSE)"),15.0)</f>
        <v>15</v>
      </c>
      <c r="E167" s="15">
        <f>IFERROR(__xludf.DUMMYFUNCTION("VLOOKUP(A167,IMPORTRANGE(""1QZ5UxyNCwadreQAXnQ7oCoH982DjIA-QnZdO7ZoqkC0/edit#gid=884617569"",""S4 Totals!$A$2:$O$255""),3,FALSE)"),0.3191489361702128)</f>
        <v>0.3191489362</v>
      </c>
      <c r="F167" s="146">
        <f t="shared" si="1"/>
        <v>0.0008510638298</v>
      </c>
      <c r="G167" s="16">
        <f>IFERROR(__xludf.DUMMYFUNCTION("VLOOKUP(A167,IMPORTRANGE(""1QZ5UxyNCwadreQAXnQ7oCoH982DjIA-QnZdO7ZoqkC0/edit#gid=884617569"",""S4 Totals!$A$2:$O$255""),4,FALSE)"),17.0)</f>
        <v>17</v>
      </c>
      <c r="H167" s="15">
        <f>IFERROR(__xludf.DUMMYFUNCTION("VLOOKUP(A167,IMPORTRANGE(""1QZ5UxyNCwadreQAXnQ7oCoH982DjIA-QnZdO7ZoqkC0/edit#gid=884617569"",""S4 Totals!$A$2:$O$255""),5,FALSE)"),0.2698412698412698)</f>
        <v>0.2698412698</v>
      </c>
      <c r="I167" s="143"/>
      <c r="J167" s="16">
        <f>IFERROR(__xludf.DUMMYFUNCTION("VLOOKUP(A167,IMPORTRANGE(""1QZ5UxyNCwadreQAXnQ7oCoH982DjIA-QnZdO7ZoqkC0/edit#gid=884617569"",""S4 Totals!$A$2:$O$255""),7,FALSE)"),23.0)</f>
        <v>23</v>
      </c>
      <c r="K167" s="15">
        <f>IFERROR(__xludf.DUMMYFUNCTION("VLOOKUP(A167,IMPORTRANGE(""1QZ5UxyNCwadreQAXnQ7oCoH982DjIA-QnZdO7ZoqkC0/edit#gid=884617569"",""S4 Totals!$A$2:$O$255""),8,FALSE)"),0.32857142857142857)</f>
        <v>0.3285714286</v>
      </c>
      <c r="L167" s="147"/>
      <c r="M167" s="16">
        <f>IFERROR(__xludf.DUMMYFUNCTION("VLOOKUP(A167,IMPORTRANGE(""1QZ5UxyNCwadreQAXnQ7oCoH982DjIA-QnZdO7ZoqkC0/edit#gid=884617569"",""S4 Totals!$A$2:$O$255""),10,FALSE)"),12.0)</f>
        <v>12</v>
      </c>
      <c r="N167" s="15">
        <f>IFERROR(__xludf.DUMMYFUNCTION("VLOOKUP(A167,IMPORTRANGE(""1QZ5UxyNCwadreQAXnQ7oCoH982DjIA-QnZdO7ZoqkC0/edit#gid=884617569"",""S4 Totals!$A$2:$O$255""),11,FALSE)"),0.16216216216216217)</f>
        <v>0.1621621622</v>
      </c>
      <c r="O167" s="110"/>
      <c r="P167" s="16">
        <f>IFERROR(__xludf.DUMMYFUNCTION("VLOOKUP(A167,IMPORTRANGE(""1QZ5UxyNCwadreQAXnQ7oCoH982DjIA-QnZdO7ZoqkC0/edit#gid=884617569"",""S4 Totals!$A$2:$O$255""),13,FALSE)"),12.0)</f>
        <v>12</v>
      </c>
      <c r="Q167" s="15">
        <f>IFERROR(__xludf.DUMMYFUNCTION("VLOOKUP(A167,IMPORTRANGE(""1QZ5UxyNCwadreQAXnQ7oCoH982DjIA-QnZdO7ZoqkC0/edit#gid=884617569"",""S4 Totals!$A$2:$O$255""),14,FALSE)"),0.16)</f>
        <v>0.16</v>
      </c>
      <c r="R167" s="110"/>
    </row>
    <row r="168">
      <c r="A168" s="128" t="s">
        <v>142</v>
      </c>
      <c r="B168" s="16">
        <f>IFERROR(__xludf.DUMMYFUNCTION("VLOOKUP(A168,IMPORTRANGE(""1aFCnJY1qhIj8-JckJhDJ18aqmVo17tofpQmOjcYa3u8/edit#gid=1878241338"",""S4 Totals!$A$2:$O$255""),2,FALSE)"),0.0)</f>
        <v>0</v>
      </c>
      <c r="C168" s="15">
        <f>IFERROR(__xludf.DUMMYFUNCTION("VLOOKUP(A168,IMPORTRANGE(""1aFCnJY1qhIj8-JckJhDJ18aqmVo17tofpQmOjcYa3u8/edit#gid=1878241338"",""S4 Totals!$A$2:$O$255""),3,FALSE)"),0.0)</f>
        <v>0</v>
      </c>
      <c r="D168" s="16">
        <f>IFERROR(__xludf.DUMMYFUNCTION("VLOOKUP(A168,IMPORTRANGE(""1QZ5UxyNCwadreQAXnQ7oCoH982DjIA-QnZdO7ZoqkC0/edit#gid=884617569"",""S4 Totals!$A$2:$O$255""),2,FALSE)"),1.0)</f>
        <v>1</v>
      </c>
      <c r="E168" s="15">
        <f>IFERROR(__xludf.DUMMYFUNCTION("VLOOKUP(A168,IMPORTRANGE(""1QZ5UxyNCwadreQAXnQ7oCoH982DjIA-QnZdO7ZoqkC0/edit#gid=884617569"",""S4 Totals!$A$2:$O$255""),3,FALSE)"),0.02127659574468085)</f>
        <v>0.02127659574</v>
      </c>
      <c r="F168" s="146">
        <f t="shared" si="1"/>
        <v>-0.02127659574</v>
      </c>
      <c r="G168" s="16">
        <f>IFERROR(__xludf.DUMMYFUNCTION("VLOOKUP(A168,IMPORTRANGE(""1QZ5UxyNCwadreQAXnQ7oCoH982DjIA-QnZdO7ZoqkC0/edit#gid=884617569"",""S4 Totals!$A$2:$O$255""),4,FALSE)"),3.0)</f>
        <v>3</v>
      </c>
      <c r="H168" s="15">
        <f>IFERROR(__xludf.DUMMYFUNCTION("VLOOKUP(A168,IMPORTRANGE(""1QZ5UxyNCwadreQAXnQ7oCoH982DjIA-QnZdO7ZoqkC0/edit#gid=884617569"",""S4 Totals!$A$2:$O$255""),5,FALSE)"),0.047619047619047616)</f>
        <v>0.04761904762</v>
      </c>
      <c r="I168" s="143"/>
      <c r="J168" s="16">
        <f>IFERROR(__xludf.DUMMYFUNCTION("VLOOKUP(A168,IMPORTRANGE(""1QZ5UxyNCwadreQAXnQ7oCoH982DjIA-QnZdO7ZoqkC0/edit#gid=884617569"",""S4 Totals!$A$2:$O$255""),7,FALSE)"),2.0)</f>
        <v>2</v>
      </c>
      <c r="K168" s="15">
        <f>IFERROR(__xludf.DUMMYFUNCTION("VLOOKUP(A168,IMPORTRANGE(""1QZ5UxyNCwadreQAXnQ7oCoH982DjIA-QnZdO7ZoqkC0/edit#gid=884617569"",""S4 Totals!$A$2:$O$255""),8,FALSE)"),0.02857142857142857)</f>
        <v>0.02857142857</v>
      </c>
      <c r="L168" s="147"/>
      <c r="M168" s="16">
        <f>IFERROR(__xludf.DUMMYFUNCTION("VLOOKUP(A168,IMPORTRANGE(""1QZ5UxyNCwadreQAXnQ7oCoH982DjIA-QnZdO7ZoqkC0/edit#gid=884617569"",""S4 Totals!$A$2:$O$255""),10,FALSE)"),0.0)</f>
        <v>0</v>
      </c>
      <c r="N168" s="15">
        <f>IFERROR(__xludf.DUMMYFUNCTION("VLOOKUP(A168,IMPORTRANGE(""1QZ5UxyNCwadreQAXnQ7oCoH982DjIA-QnZdO7ZoqkC0/edit#gid=884617569"",""S4 Totals!$A$2:$O$255""),11,FALSE)"),0.0)</f>
        <v>0</v>
      </c>
      <c r="O168" s="110"/>
      <c r="P168" s="16" t="str">
        <f>IFERROR(__xludf.DUMMYFUNCTION("VLOOKUP(A168,IMPORTRANGE(""1QZ5UxyNCwadreQAXnQ7oCoH982DjIA-QnZdO7ZoqkC0/edit#gid=884617569"",""S4 Totals!$A$2:$O$255""),13,FALSE)"),"")</f>
        <v/>
      </c>
      <c r="Q168" s="15" t="str">
        <f>IFERROR(__xludf.DUMMYFUNCTION("VLOOKUP(A168,IMPORTRANGE(""1QZ5UxyNCwadreQAXnQ7oCoH982DjIA-QnZdO7ZoqkC0/edit#gid=884617569"",""S4 Totals!$A$2:$O$255""),14,FALSE)"),"")</f>
        <v/>
      </c>
      <c r="R168" s="110"/>
    </row>
    <row r="169">
      <c r="A169" s="128" t="s">
        <v>82</v>
      </c>
      <c r="B169" s="16">
        <f>IFERROR(__xludf.DUMMYFUNCTION("VLOOKUP(A169,IMPORTRANGE(""1aFCnJY1qhIj8-JckJhDJ18aqmVo17tofpQmOjcYa3u8/edit#gid=1878241338"",""S4 Totals!$A$2:$O$255""),2,FALSE)"),7.0)</f>
        <v>7</v>
      </c>
      <c r="C169" s="15">
        <f>IFERROR(__xludf.DUMMYFUNCTION("VLOOKUP(A169,IMPORTRANGE(""1aFCnJY1qhIj8-JckJhDJ18aqmVo17tofpQmOjcYa3u8/edit#gid=1878241338"",""S4 Totals!$A$2:$O$255""),3,FALSE)"),0.14)</f>
        <v>0.14</v>
      </c>
      <c r="D169" s="16">
        <f>IFERROR(__xludf.DUMMYFUNCTION("VLOOKUP(A169,IMPORTRANGE(""1QZ5UxyNCwadreQAXnQ7oCoH982DjIA-QnZdO7ZoqkC0/edit#gid=884617569"",""S4 Totals!$A$2:$O$255""),2,FALSE)"),11.0)</f>
        <v>11</v>
      </c>
      <c r="E169" s="15">
        <f>IFERROR(__xludf.DUMMYFUNCTION("VLOOKUP(A169,IMPORTRANGE(""1QZ5UxyNCwadreQAXnQ7oCoH982DjIA-QnZdO7ZoqkC0/edit#gid=884617569"",""S4 Totals!$A$2:$O$255""),3,FALSE)"),0.23404255319148937)</f>
        <v>0.2340425532</v>
      </c>
      <c r="F169" s="146">
        <f t="shared" si="1"/>
        <v>-0.09404255319</v>
      </c>
      <c r="G169" s="16">
        <f>IFERROR(__xludf.DUMMYFUNCTION("VLOOKUP(A169,IMPORTRANGE(""1QZ5UxyNCwadreQAXnQ7oCoH982DjIA-QnZdO7ZoqkC0/edit#gid=884617569"",""S4 Totals!$A$2:$O$255""),4,FALSE)"),13.0)</f>
        <v>13</v>
      </c>
      <c r="H169" s="15">
        <f>IFERROR(__xludf.DUMMYFUNCTION("VLOOKUP(A169,IMPORTRANGE(""1QZ5UxyNCwadreQAXnQ7oCoH982DjIA-QnZdO7ZoqkC0/edit#gid=884617569"",""S4 Totals!$A$2:$O$255""),5,FALSE)"),0.20634920634920634)</f>
        <v>0.2063492063</v>
      </c>
      <c r="I169" s="143"/>
      <c r="J169" s="16">
        <f>IFERROR(__xludf.DUMMYFUNCTION("VLOOKUP(A169,IMPORTRANGE(""1QZ5UxyNCwadreQAXnQ7oCoH982DjIA-QnZdO7ZoqkC0/edit#gid=884617569"",""S4 Totals!$A$2:$O$255""),7,FALSE)"),9.0)</f>
        <v>9</v>
      </c>
      <c r="K169" s="15">
        <f>IFERROR(__xludf.DUMMYFUNCTION("VLOOKUP(A169,IMPORTRANGE(""1QZ5UxyNCwadreQAXnQ7oCoH982DjIA-QnZdO7ZoqkC0/edit#gid=884617569"",""S4 Totals!$A$2:$O$255""),8,FALSE)"),0.12857142857142856)</f>
        <v>0.1285714286</v>
      </c>
      <c r="L169" s="147"/>
      <c r="M169" s="16">
        <f>IFERROR(__xludf.DUMMYFUNCTION("VLOOKUP(A169,IMPORTRANGE(""1QZ5UxyNCwadreQAXnQ7oCoH982DjIA-QnZdO7ZoqkC0/edit#gid=884617569"",""S4 Totals!$A$2:$O$255""),10,FALSE)"),10.0)</f>
        <v>10</v>
      </c>
      <c r="N169" s="15">
        <f>IFERROR(__xludf.DUMMYFUNCTION("VLOOKUP(A169,IMPORTRANGE(""1QZ5UxyNCwadreQAXnQ7oCoH982DjIA-QnZdO7ZoqkC0/edit#gid=884617569"",""S4 Totals!$A$2:$O$255""),11,FALSE)"),0.13513513513513514)</f>
        <v>0.1351351351</v>
      </c>
      <c r="O169" s="110"/>
      <c r="P169" s="16">
        <f>IFERROR(__xludf.DUMMYFUNCTION("VLOOKUP(A169,IMPORTRANGE(""1QZ5UxyNCwadreQAXnQ7oCoH982DjIA-QnZdO7ZoqkC0/edit#gid=884617569"",""S4 Totals!$A$2:$O$255""),13,FALSE)"),11.0)</f>
        <v>11</v>
      </c>
      <c r="Q169" s="15">
        <f>IFERROR(__xludf.DUMMYFUNCTION("VLOOKUP(A169,IMPORTRANGE(""1QZ5UxyNCwadreQAXnQ7oCoH982DjIA-QnZdO7ZoqkC0/edit#gid=884617569"",""S4 Totals!$A$2:$O$255""),14,FALSE)"),0.14666666666666667)</f>
        <v>0.1466666667</v>
      </c>
      <c r="R169" s="110"/>
    </row>
    <row r="170">
      <c r="A170" s="128" t="s">
        <v>66</v>
      </c>
      <c r="B170" s="16">
        <f>IFERROR(__xludf.DUMMYFUNCTION("VLOOKUP(A170,IMPORTRANGE(""1aFCnJY1qhIj8-JckJhDJ18aqmVo17tofpQmOjcYa3u8/edit#gid=1878241338"",""S4 Totals!$A$2:$O$255""),2,FALSE)"),23.0)</f>
        <v>23</v>
      </c>
      <c r="C170" s="15">
        <f>IFERROR(__xludf.DUMMYFUNCTION("VLOOKUP(A170,IMPORTRANGE(""1aFCnJY1qhIj8-JckJhDJ18aqmVo17tofpQmOjcYa3u8/edit#gid=1878241338"",""S4 Totals!$A$2:$O$255""),3,FALSE)"),0.46)</f>
        <v>0.46</v>
      </c>
      <c r="D170" s="16">
        <f>IFERROR(__xludf.DUMMYFUNCTION("VLOOKUP(A170,IMPORTRANGE(""1QZ5UxyNCwadreQAXnQ7oCoH982DjIA-QnZdO7ZoqkC0/edit#gid=884617569"",""S4 Totals!$A$2:$O$255""),2,FALSE)"),25.0)</f>
        <v>25</v>
      </c>
      <c r="E170" s="15">
        <f>IFERROR(__xludf.DUMMYFUNCTION("VLOOKUP(A170,IMPORTRANGE(""1QZ5UxyNCwadreQAXnQ7oCoH982DjIA-QnZdO7ZoqkC0/edit#gid=884617569"",""S4 Totals!$A$2:$O$255""),3,FALSE)"),0.5319148936170213)</f>
        <v>0.5319148936</v>
      </c>
      <c r="F170" s="146">
        <f t="shared" si="1"/>
        <v>-0.07191489362</v>
      </c>
      <c r="G170" s="16">
        <f>IFERROR(__xludf.DUMMYFUNCTION("VLOOKUP(A170,IMPORTRANGE(""1QZ5UxyNCwadreQAXnQ7oCoH982DjIA-QnZdO7ZoqkC0/edit#gid=884617569"",""S4 Totals!$A$2:$O$255""),4,FALSE)"),24.0)</f>
        <v>24</v>
      </c>
      <c r="H170" s="15">
        <f>IFERROR(__xludf.DUMMYFUNCTION("VLOOKUP(A170,IMPORTRANGE(""1QZ5UxyNCwadreQAXnQ7oCoH982DjIA-QnZdO7ZoqkC0/edit#gid=884617569"",""S4 Totals!$A$2:$O$255""),5,FALSE)"),0.38095238095238093)</f>
        <v>0.380952381</v>
      </c>
      <c r="I170" s="143"/>
      <c r="J170" s="16">
        <f>IFERROR(__xludf.DUMMYFUNCTION("VLOOKUP(A170,IMPORTRANGE(""1QZ5UxyNCwadreQAXnQ7oCoH982DjIA-QnZdO7ZoqkC0/edit#gid=884617569"",""S4 Totals!$A$2:$O$255""),7,FALSE)"),33.0)</f>
        <v>33</v>
      </c>
      <c r="K170" s="15">
        <f>IFERROR(__xludf.DUMMYFUNCTION("VLOOKUP(A170,IMPORTRANGE(""1QZ5UxyNCwadreQAXnQ7oCoH982DjIA-QnZdO7ZoqkC0/edit#gid=884617569"",""S4 Totals!$A$2:$O$255""),8,FALSE)"),0.4714285714285714)</f>
        <v>0.4714285714</v>
      </c>
      <c r="L170" s="147"/>
      <c r="M170" s="16">
        <f>IFERROR(__xludf.DUMMYFUNCTION("VLOOKUP(A170,IMPORTRANGE(""1QZ5UxyNCwadreQAXnQ7oCoH982DjIA-QnZdO7ZoqkC0/edit#gid=884617569"",""S4 Totals!$A$2:$O$255""),10,FALSE)"),40.0)</f>
        <v>40</v>
      </c>
      <c r="N170" s="15">
        <f>IFERROR(__xludf.DUMMYFUNCTION("VLOOKUP(A170,IMPORTRANGE(""1QZ5UxyNCwadreQAXnQ7oCoH982DjIA-QnZdO7ZoqkC0/edit#gid=884617569"",""S4 Totals!$A$2:$O$255""),11,FALSE)"),0.5405405405405406)</f>
        <v>0.5405405405</v>
      </c>
      <c r="O170" s="110"/>
      <c r="P170" s="16">
        <f>IFERROR(__xludf.DUMMYFUNCTION("VLOOKUP(A170,IMPORTRANGE(""1QZ5UxyNCwadreQAXnQ7oCoH982DjIA-QnZdO7ZoqkC0/edit#gid=884617569"",""S4 Totals!$A$2:$O$255""),13,FALSE)"),27.0)</f>
        <v>27</v>
      </c>
      <c r="Q170" s="15">
        <f>IFERROR(__xludf.DUMMYFUNCTION("VLOOKUP(A170,IMPORTRANGE(""1QZ5UxyNCwadreQAXnQ7oCoH982DjIA-QnZdO7ZoqkC0/edit#gid=884617569"",""S4 Totals!$A$2:$O$255""),14,FALSE)"),0.36)</f>
        <v>0.36</v>
      </c>
      <c r="R170" s="110"/>
    </row>
    <row r="171">
      <c r="A171" s="128" t="s">
        <v>245</v>
      </c>
      <c r="B171" s="16">
        <f>IFERROR(__xludf.DUMMYFUNCTION("VLOOKUP(A171,IMPORTRANGE(""1aFCnJY1qhIj8-JckJhDJ18aqmVo17tofpQmOjcYa3u8/edit#gid=1878241338"",""S4 Totals!$A$2:$O$255""),2,FALSE)"),13.0)</f>
        <v>13</v>
      </c>
      <c r="C171" s="15">
        <f>IFERROR(__xludf.DUMMYFUNCTION("VLOOKUP(A171,IMPORTRANGE(""1aFCnJY1qhIj8-JckJhDJ18aqmVo17tofpQmOjcYa3u8/edit#gid=1878241338"",""S4 Totals!$A$2:$O$255""),3,FALSE)"),0.26)</f>
        <v>0.26</v>
      </c>
      <c r="D171" s="16">
        <f>IFERROR(__xludf.DUMMYFUNCTION("VLOOKUP(A171,IMPORTRANGE(""1QZ5UxyNCwadreQAXnQ7oCoH982DjIA-QnZdO7ZoqkC0/edit#gid=884617569"",""S4 Totals!$A$2:$O$255""),2,FALSE)"),9.0)</f>
        <v>9</v>
      </c>
      <c r="E171" s="15">
        <f>IFERROR(__xludf.DUMMYFUNCTION("VLOOKUP(A171,IMPORTRANGE(""1QZ5UxyNCwadreQAXnQ7oCoH982DjIA-QnZdO7ZoqkC0/edit#gid=884617569"",""S4 Totals!$A$2:$O$255""),3,FALSE)"),0.19148936170212766)</f>
        <v>0.1914893617</v>
      </c>
      <c r="F171" s="146">
        <f t="shared" si="1"/>
        <v>0.0685106383</v>
      </c>
      <c r="G171" s="16">
        <f>IFERROR(__xludf.DUMMYFUNCTION("VLOOKUP(A171,IMPORTRANGE(""1QZ5UxyNCwadreQAXnQ7oCoH982DjIA-QnZdO7ZoqkC0/edit#gid=884617569"",""S4 Totals!$A$2:$O$255""),4,FALSE)"),5.0)</f>
        <v>5</v>
      </c>
      <c r="H171" s="15">
        <f>IFERROR(__xludf.DUMMYFUNCTION("VLOOKUP(A171,IMPORTRANGE(""1QZ5UxyNCwadreQAXnQ7oCoH982DjIA-QnZdO7ZoqkC0/edit#gid=884617569"",""S4 Totals!$A$2:$O$255""),5,FALSE)"),0.07936507936507936)</f>
        <v>0.07936507937</v>
      </c>
      <c r="I171" s="143"/>
      <c r="J171" s="16" t="str">
        <f>IFERROR(__xludf.DUMMYFUNCTION("VLOOKUP(A171,IMPORTRANGE(""1QZ5UxyNCwadreQAXnQ7oCoH982DjIA-QnZdO7ZoqkC0/edit#gid=884617569"",""S4 Totals!$A$2:$O$255""),7,FALSE)"),"")</f>
        <v/>
      </c>
      <c r="K171" s="15" t="str">
        <f>IFERROR(__xludf.DUMMYFUNCTION("VLOOKUP(A171,IMPORTRANGE(""1QZ5UxyNCwadreQAXnQ7oCoH982DjIA-QnZdO7ZoqkC0/edit#gid=884617569"",""S4 Totals!$A$2:$O$255""),8,FALSE)"),"")</f>
        <v/>
      </c>
      <c r="L171" s="147"/>
      <c r="M171" s="16" t="str">
        <f>IFERROR(__xludf.DUMMYFUNCTION("VLOOKUP(A171,IMPORTRANGE(""1QZ5UxyNCwadreQAXnQ7oCoH982DjIA-QnZdO7ZoqkC0/edit#gid=884617569"",""S4 Totals!$A$2:$O$255""),10,FALSE)"),"")</f>
        <v/>
      </c>
      <c r="N171" s="15" t="str">
        <f>IFERROR(__xludf.DUMMYFUNCTION("VLOOKUP(A171,IMPORTRANGE(""1QZ5UxyNCwadreQAXnQ7oCoH982DjIA-QnZdO7ZoqkC0/edit#gid=884617569"",""S4 Totals!$A$2:$O$255""),11,FALSE)"),"")</f>
        <v/>
      </c>
      <c r="O171" s="110"/>
      <c r="P171" s="16" t="str">
        <f>IFERROR(__xludf.DUMMYFUNCTION("VLOOKUP(A171,IMPORTRANGE(""1QZ5UxyNCwadreQAXnQ7oCoH982DjIA-QnZdO7ZoqkC0/edit#gid=884617569"",""S4 Totals!$A$2:$O$255""),13,FALSE)"),"")</f>
        <v/>
      </c>
      <c r="Q171" s="15" t="str">
        <f>IFERROR(__xludf.DUMMYFUNCTION("VLOOKUP(A171,IMPORTRANGE(""1QZ5UxyNCwadreQAXnQ7oCoH982DjIA-QnZdO7ZoqkC0/edit#gid=884617569"",""S4 Totals!$A$2:$O$255""),14,FALSE)"),"")</f>
        <v/>
      </c>
      <c r="R171" s="110"/>
    </row>
    <row r="172">
      <c r="A172" s="128" t="s">
        <v>143</v>
      </c>
      <c r="B172" s="16">
        <f>IFERROR(__xludf.DUMMYFUNCTION("VLOOKUP(A172,IMPORTRANGE(""1aFCnJY1qhIj8-JckJhDJ18aqmVo17tofpQmOjcYa3u8/edit#gid=1878241338"",""S4 Totals!$A$2:$O$255""),2,FALSE)"),27.0)</f>
        <v>27</v>
      </c>
      <c r="C172" s="15">
        <f>IFERROR(__xludf.DUMMYFUNCTION("VLOOKUP(A172,IMPORTRANGE(""1aFCnJY1qhIj8-JckJhDJ18aqmVo17tofpQmOjcYa3u8/edit#gid=1878241338"",""S4 Totals!$A$2:$O$255""),3,FALSE)"),0.54)</f>
        <v>0.54</v>
      </c>
      <c r="D172" s="16">
        <f>IFERROR(__xludf.DUMMYFUNCTION("VLOOKUP(A172,IMPORTRANGE(""1QZ5UxyNCwadreQAXnQ7oCoH982DjIA-QnZdO7ZoqkC0/edit#gid=884617569"",""S4 Totals!$A$2:$O$255""),2,FALSE)"),26.0)</f>
        <v>26</v>
      </c>
      <c r="E172" s="15">
        <f>IFERROR(__xludf.DUMMYFUNCTION("VLOOKUP(A172,IMPORTRANGE(""1QZ5UxyNCwadreQAXnQ7oCoH982DjIA-QnZdO7ZoqkC0/edit#gid=884617569"",""S4 Totals!$A$2:$O$255""),3,FALSE)"),0.5531914893617021)</f>
        <v>0.5531914894</v>
      </c>
      <c r="F172" s="146">
        <f t="shared" si="1"/>
        <v>-0.01319148936</v>
      </c>
      <c r="G172" s="16">
        <f>IFERROR(__xludf.DUMMYFUNCTION("VLOOKUP(A172,IMPORTRANGE(""1QZ5UxyNCwadreQAXnQ7oCoH982DjIA-QnZdO7ZoqkC0/edit#gid=884617569"",""S4 Totals!$A$2:$O$255""),4,FALSE)"),18.0)</f>
        <v>18</v>
      </c>
      <c r="H172" s="15">
        <f>IFERROR(__xludf.DUMMYFUNCTION("VLOOKUP(A172,IMPORTRANGE(""1QZ5UxyNCwadreQAXnQ7oCoH982DjIA-QnZdO7ZoqkC0/edit#gid=884617569"",""S4 Totals!$A$2:$O$255""),5,FALSE)"),0.2857142857142857)</f>
        <v>0.2857142857</v>
      </c>
      <c r="I172" s="143"/>
      <c r="J172" s="16">
        <f>IFERROR(__xludf.DUMMYFUNCTION("VLOOKUP(A172,IMPORTRANGE(""1QZ5UxyNCwadreQAXnQ7oCoH982DjIA-QnZdO7ZoqkC0/edit#gid=884617569"",""S4 Totals!$A$2:$O$255""),7,FALSE)"),8.0)</f>
        <v>8</v>
      </c>
      <c r="K172" s="15">
        <f>IFERROR(__xludf.DUMMYFUNCTION("VLOOKUP(A172,IMPORTRANGE(""1QZ5UxyNCwadreQAXnQ7oCoH982DjIA-QnZdO7ZoqkC0/edit#gid=884617569"",""S4 Totals!$A$2:$O$255""),8,FALSE)"),0.11428571428571428)</f>
        <v>0.1142857143</v>
      </c>
      <c r="L172" s="147"/>
      <c r="M172" s="16">
        <f>IFERROR(__xludf.DUMMYFUNCTION("VLOOKUP(A172,IMPORTRANGE(""1QZ5UxyNCwadreQAXnQ7oCoH982DjIA-QnZdO7ZoqkC0/edit#gid=884617569"",""S4 Totals!$A$2:$O$255""),10,FALSE)"),11.0)</f>
        <v>11</v>
      </c>
      <c r="N172" s="15">
        <f>IFERROR(__xludf.DUMMYFUNCTION("VLOOKUP(A172,IMPORTRANGE(""1QZ5UxyNCwadreQAXnQ7oCoH982DjIA-QnZdO7ZoqkC0/edit#gid=884617569"",""S4 Totals!$A$2:$O$255""),11,FALSE)"),0.14864864864864866)</f>
        <v>0.1486486486</v>
      </c>
      <c r="O172" s="110"/>
      <c r="P172" s="16" t="str">
        <f>IFERROR(__xludf.DUMMYFUNCTION("VLOOKUP(A172,IMPORTRANGE(""1QZ5UxyNCwadreQAXnQ7oCoH982DjIA-QnZdO7ZoqkC0/edit#gid=884617569"",""S4 Totals!$A$2:$O$255""),13,FALSE)"),"")</f>
        <v/>
      </c>
      <c r="Q172" s="15" t="str">
        <f>IFERROR(__xludf.DUMMYFUNCTION("VLOOKUP(A172,IMPORTRANGE(""1QZ5UxyNCwadreQAXnQ7oCoH982DjIA-QnZdO7ZoqkC0/edit#gid=884617569"",""S4 Totals!$A$2:$O$255""),14,FALSE)"),"")</f>
        <v/>
      </c>
      <c r="R172" s="110"/>
    </row>
    <row r="173">
      <c r="A173" s="128" t="s">
        <v>269</v>
      </c>
      <c r="B173" s="16">
        <f>IFERROR(__xludf.DUMMYFUNCTION("VLOOKUP(A173,IMPORTRANGE(""1aFCnJY1qhIj8-JckJhDJ18aqmVo17tofpQmOjcYa3u8/edit#gid=1878241338"",""S4 Totals!$A$2:$O$255""),2,FALSE)"),5.0)</f>
        <v>5</v>
      </c>
      <c r="C173" s="15">
        <f>IFERROR(__xludf.DUMMYFUNCTION("VLOOKUP(A173,IMPORTRANGE(""1aFCnJY1qhIj8-JckJhDJ18aqmVo17tofpQmOjcYa3u8/edit#gid=1878241338"",""S4 Totals!$A$2:$O$255""),3,FALSE)"),0.1)</f>
        <v>0.1</v>
      </c>
      <c r="D173" s="16" t="str">
        <f>IFERROR(__xludf.DUMMYFUNCTION("VLOOKUP(A173,IMPORTRANGE(""1QZ5UxyNCwadreQAXnQ7oCoH982DjIA-QnZdO7ZoqkC0/edit#gid=884617569"",""S4 Totals!$A$2:$O$255""),2,FALSE)"),"#N/A")</f>
        <v>#N/A</v>
      </c>
      <c r="E173" s="15" t="str">
        <f>IFERROR(__xludf.DUMMYFUNCTION("VLOOKUP(A173,IMPORTRANGE(""1QZ5UxyNCwadreQAXnQ7oCoH982DjIA-QnZdO7ZoqkC0/edit#gid=884617569"",""S4 Totals!$A$2:$O$255""),3,FALSE)"),"#N/A")</f>
        <v>#N/A</v>
      </c>
      <c r="F173" s="146" t="str">
        <f t="shared" si="1"/>
        <v>#N/A</v>
      </c>
      <c r="G173" s="16" t="str">
        <f>IFERROR(__xludf.DUMMYFUNCTION("VLOOKUP(A173,IMPORTRANGE(""1QZ5UxyNCwadreQAXnQ7oCoH982DjIA-QnZdO7ZoqkC0/edit#gid=884617569"",""S4 Totals!$A$2:$O$255""),4,FALSE)"),"#N/A")</f>
        <v>#N/A</v>
      </c>
      <c r="H173" s="15" t="str">
        <f>IFERROR(__xludf.DUMMYFUNCTION("VLOOKUP(A173,IMPORTRANGE(""1QZ5UxyNCwadreQAXnQ7oCoH982DjIA-QnZdO7ZoqkC0/edit#gid=884617569"",""S4 Totals!$A$2:$O$255""),5,FALSE)"),"#N/A")</f>
        <v>#N/A</v>
      </c>
      <c r="I173" s="143"/>
      <c r="J173" s="16" t="str">
        <f>IFERROR(__xludf.DUMMYFUNCTION("VLOOKUP(A173,IMPORTRANGE(""1QZ5UxyNCwadreQAXnQ7oCoH982DjIA-QnZdO7ZoqkC0/edit#gid=884617569"",""S4 Totals!$A$2:$O$255""),7,FALSE)"),"#N/A")</f>
        <v>#N/A</v>
      </c>
      <c r="K173" s="15" t="str">
        <f>IFERROR(__xludf.DUMMYFUNCTION("VLOOKUP(A173,IMPORTRANGE(""1QZ5UxyNCwadreQAXnQ7oCoH982DjIA-QnZdO7ZoqkC0/edit#gid=884617569"",""S4 Totals!$A$2:$O$255""),8,FALSE)"),"#N/A")</f>
        <v>#N/A</v>
      </c>
      <c r="L173" s="147"/>
      <c r="M173" s="16" t="str">
        <f>IFERROR(__xludf.DUMMYFUNCTION("VLOOKUP(A173,IMPORTRANGE(""1QZ5UxyNCwadreQAXnQ7oCoH982DjIA-QnZdO7ZoqkC0/edit#gid=884617569"",""S4 Totals!$A$2:$O$255""),10,FALSE)"),"#N/A")</f>
        <v>#N/A</v>
      </c>
      <c r="N173" s="15" t="str">
        <f>IFERROR(__xludf.DUMMYFUNCTION("VLOOKUP(A173,IMPORTRANGE(""1QZ5UxyNCwadreQAXnQ7oCoH982DjIA-QnZdO7ZoqkC0/edit#gid=884617569"",""S4 Totals!$A$2:$O$255""),11,FALSE)"),"#N/A")</f>
        <v>#N/A</v>
      </c>
      <c r="O173" s="110"/>
      <c r="P173" s="16" t="str">
        <f>IFERROR(__xludf.DUMMYFUNCTION("VLOOKUP(A173,IMPORTRANGE(""1QZ5UxyNCwadreQAXnQ7oCoH982DjIA-QnZdO7ZoqkC0/edit#gid=884617569"",""S4 Totals!$A$2:$O$255""),13,FALSE)"),"#N/A")</f>
        <v>#N/A</v>
      </c>
      <c r="Q173" s="15" t="str">
        <f>IFERROR(__xludf.DUMMYFUNCTION("VLOOKUP(A173,IMPORTRANGE(""1QZ5UxyNCwadreQAXnQ7oCoH982DjIA-QnZdO7ZoqkC0/edit#gid=884617569"",""S4 Totals!$A$2:$O$255""),14,FALSE)"),"#N/A")</f>
        <v>#N/A</v>
      </c>
      <c r="R173" s="110"/>
    </row>
    <row r="174">
      <c r="A174" s="128" t="s">
        <v>190</v>
      </c>
      <c r="B174" s="16">
        <f>IFERROR(__xludf.DUMMYFUNCTION("VLOOKUP(A174,IMPORTRANGE(""1aFCnJY1qhIj8-JckJhDJ18aqmVo17tofpQmOjcYa3u8/edit#gid=1878241338"",""S4 Totals!$A$2:$O$255""),2,FALSE)"),22.0)</f>
        <v>22</v>
      </c>
      <c r="C174" s="15">
        <f>IFERROR(__xludf.DUMMYFUNCTION("VLOOKUP(A174,IMPORTRANGE(""1aFCnJY1qhIj8-JckJhDJ18aqmVo17tofpQmOjcYa3u8/edit#gid=1878241338"",""S4 Totals!$A$2:$O$255""),3,FALSE)"),0.44)</f>
        <v>0.44</v>
      </c>
      <c r="D174" s="16">
        <f>IFERROR(__xludf.DUMMYFUNCTION("VLOOKUP(A174,IMPORTRANGE(""1QZ5UxyNCwadreQAXnQ7oCoH982DjIA-QnZdO7ZoqkC0/edit#gid=884617569"",""S4 Totals!$A$2:$O$255""),2,FALSE)"),22.0)</f>
        <v>22</v>
      </c>
      <c r="E174" s="15">
        <f>IFERROR(__xludf.DUMMYFUNCTION("VLOOKUP(A174,IMPORTRANGE(""1QZ5UxyNCwadreQAXnQ7oCoH982DjIA-QnZdO7ZoqkC0/edit#gid=884617569"",""S4 Totals!$A$2:$O$255""),3,FALSE)"),0.46808510638297873)</f>
        <v>0.4680851064</v>
      </c>
      <c r="F174" s="146">
        <f t="shared" si="1"/>
        <v>-0.02808510638</v>
      </c>
      <c r="G174" s="16">
        <f>IFERROR(__xludf.DUMMYFUNCTION("VLOOKUP(A174,IMPORTRANGE(""1QZ5UxyNCwadreQAXnQ7oCoH982DjIA-QnZdO7ZoqkC0/edit#gid=884617569"",""S4 Totals!$A$2:$O$255""),4,FALSE)"),27.0)</f>
        <v>27</v>
      </c>
      <c r="H174" s="15">
        <f>IFERROR(__xludf.DUMMYFUNCTION("VLOOKUP(A174,IMPORTRANGE(""1QZ5UxyNCwadreQAXnQ7oCoH982DjIA-QnZdO7ZoqkC0/edit#gid=884617569"",""S4 Totals!$A$2:$O$255""),5,FALSE)"),0.42857142857142855)</f>
        <v>0.4285714286</v>
      </c>
      <c r="I174" s="143"/>
      <c r="J174" s="16">
        <f>IFERROR(__xludf.DUMMYFUNCTION("VLOOKUP(A174,IMPORTRANGE(""1QZ5UxyNCwadreQAXnQ7oCoH982DjIA-QnZdO7ZoqkC0/edit#gid=884617569"",""S4 Totals!$A$2:$O$255""),7,FALSE)"),28.0)</f>
        <v>28</v>
      </c>
      <c r="K174" s="15">
        <f>IFERROR(__xludf.DUMMYFUNCTION("VLOOKUP(A174,IMPORTRANGE(""1QZ5UxyNCwadreQAXnQ7oCoH982DjIA-QnZdO7ZoqkC0/edit#gid=884617569"",""S4 Totals!$A$2:$O$255""),8,FALSE)"),0.4)</f>
        <v>0.4</v>
      </c>
      <c r="L174" s="147"/>
      <c r="M174" s="16" t="str">
        <f>IFERROR(__xludf.DUMMYFUNCTION("VLOOKUP(A174,IMPORTRANGE(""1QZ5UxyNCwadreQAXnQ7oCoH982DjIA-QnZdO7ZoqkC0/edit#gid=884617569"",""S4 Totals!$A$2:$O$255""),10,FALSE)"),"")</f>
        <v/>
      </c>
      <c r="N174" s="15" t="str">
        <f>IFERROR(__xludf.DUMMYFUNCTION("VLOOKUP(A174,IMPORTRANGE(""1QZ5UxyNCwadreQAXnQ7oCoH982DjIA-QnZdO7ZoqkC0/edit#gid=884617569"",""S4 Totals!$A$2:$O$255""),11,FALSE)"),"")</f>
        <v/>
      </c>
      <c r="O174" s="110"/>
      <c r="P174" s="16" t="str">
        <f>IFERROR(__xludf.DUMMYFUNCTION("VLOOKUP(A174,IMPORTRANGE(""1QZ5UxyNCwadreQAXnQ7oCoH982DjIA-QnZdO7ZoqkC0/edit#gid=884617569"",""S4 Totals!$A$2:$O$255""),13,FALSE)"),"")</f>
        <v/>
      </c>
      <c r="Q174" s="15" t="str">
        <f>IFERROR(__xludf.DUMMYFUNCTION("VLOOKUP(A174,IMPORTRANGE(""1QZ5UxyNCwadreQAXnQ7oCoH982DjIA-QnZdO7ZoqkC0/edit#gid=884617569"",""S4 Totals!$A$2:$O$255""),14,FALSE)"),"")</f>
        <v/>
      </c>
      <c r="R174" s="110"/>
    </row>
    <row r="175">
      <c r="A175" s="128" t="s">
        <v>246</v>
      </c>
      <c r="B175" s="16">
        <f>IFERROR(__xludf.DUMMYFUNCTION("VLOOKUP(A175,IMPORTRANGE(""1aFCnJY1qhIj8-JckJhDJ18aqmVo17tofpQmOjcYa3u8/edit#gid=1878241338"",""S4 Totals!$A$2:$O$255""),2,FALSE)"),3.0)</f>
        <v>3</v>
      </c>
      <c r="C175" s="15">
        <f>IFERROR(__xludf.DUMMYFUNCTION("VLOOKUP(A175,IMPORTRANGE(""1aFCnJY1qhIj8-JckJhDJ18aqmVo17tofpQmOjcYa3u8/edit#gid=1878241338"",""S4 Totals!$A$2:$O$255""),3,FALSE)"),0.06)</f>
        <v>0.06</v>
      </c>
      <c r="D175" s="16">
        <f>IFERROR(__xludf.DUMMYFUNCTION("VLOOKUP(A175,IMPORTRANGE(""1QZ5UxyNCwadreQAXnQ7oCoH982DjIA-QnZdO7ZoqkC0/edit#gid=884617569"",""S4 Totals!$A$2:$O$255""),2,FALSE)"),0.0)</f>
        <v>0</v>
      </c>
      <c r="E175" s="15">
        <f>IFERROR(__xludf.DUMMYFUNCTION("VLOOKUP(A175,IMPORTRANGE(""1QZ5UxyNCwadreQAXnQ7oCoH982DjIA-QnZdO7ZoqkC0/edit#gid=884617569"",""S4 Totals!$A$2:$O$255""),3,FALSE)"),0.0)</f>
        <v>0</v>
      </c>
      <c r="F175" s="146">
        <f t="shared" si="1"/>
        <v>0.06</v>
      </c>
      <c r="G175" s="16">
        <f>IFERROR(__xludf.DUMMYFUNCTION("VLOOKUP(A175,IMPORTRANGE(""1QZ5UxyNCwadreQAXnQ7oCoH982DjIA-QnZdO7ZoqkC0/edit#gid=884617569"",""S4 Totals!$A$2:$O$255""),4,FALSE)"),0.0)</f>
        <v>0</v>
      </c>
      <c r="H175" s="15">
        <f>IFERROR(__xludf.DUMMYFUNCTION("VLOOKUP(A175,IMPORTRANGE(""1QZ5UxyNCwadreQAXnQ7oCoH982DjIA-QnZdO7ZoqkC0/edit#gid=884617569"",""S4 Totals!$A$2:$O$255""),5,FALSE)"),0.0)</f>
        <v>0</v>
      </c>
      <c r="I175" s="143"/>
      <c r="J175" s="16" t="str">
        <f>IFERROR(__xludf.DUMMYFUNCTION("VLOOKUP(A175,IMPORTRANGE(""1QZ5UxyNCwadreQAXnQ7oCoH982DjIA-QnZdO7ZoqkC0/edit#gid=884617569"",""S4 Totals!$A$2:$O$255""),7,FALSE)"),"")</f>
        <v/>
      </c>
      <c r="K175" s="15" t="str">
        <f>IFERROR(__xludf.DUMMYFUNCTION("VLOOKUP(A175,IMPORTRANGE(""1QZ5UxyNCwadreQAXnQ7oCoH982DjIA-QnZdO7ZoqkC0/edit#gid=884617569"",""S4 Totals!$A$2:$O$255""),8,FALSE)"),"")</f>
        <v/>
      </c>
      <c r="L175" s="147"/>
      <c r="M175" s="16" t="str">
        <f>IFERROR(__xludf.DUMMYFUNCTION("VLOOKUP(A175,IMPORTRANGE(""1QZ5UxyNCwadreQAXnQ7oCoH982DjIA-QnZdO7ZoqkC0/edit#gid=884617569"",""S4 Totals!$A$2:$O$255""),10,FALSE)"),"")</f>
        <v/>
      </c>
      <c r="N175" s="15" t="str">
        <f>IFERROR(__xludf.DUMMYFUNCTION("VLOOKUP(A175,IMPORTRANGE(""1QZ5UxyNCwadreQAXnQ7oCoH982DjIA-QnZdO7ZoqkC0/edit#gid=884617569"",""S4 Totals!$A$2:$O$255""),11,FALSE)"),"")</f>
        <v/>
      </c>
      <c r="O175" s="110"/>
      <c r="P175" s="16" t="str">
        <f>IFERROR(__xludf.DUMMYFUNCTION("VLOOKUP(A175,IMPORTRANGE(""1QZ5UxyNCwadreQAXnQ7oCoH982DjIA-QnZdO7ZoqkC0/edit#gid=884617569"",""S4 Totals!$A$2:$O$255""),13,FALSE)"),"")</f>
        <v/>
      </c>
      <c r="Q175" s="15" t="str">
        <f>IFERROR(__xludf.DUMMYFUNCTION("VLOOKUP(A175,IMPORTRANGE(""1QZ5UxyNCwadreQAXnQ7oCoH982DjIA-QnZdO7ZoqkC0/edit#gid=884617569"",""S4 Totals!$A$2:$O$255""),14,FALSE)"),"")</f>
        <v/>
      </c>
      <c r="R175" s="110"/>
    </row>
    <row r="176">
      <c r="A176" s="128" t="s">
        <v>191</v>
      </c>
      <c r="B176" s="16">
        <f>IFERROR(__xludf.DUMMYFUNCTION("VLOOKUP(A176,IMPORTRANGE(""1aFCnJY1qhIj8-JckJhDJ18aqmVo17tofpQmOjcYa3u8/edit#gid=1878241338"",""S4 Totals!$A$2:$O$255""),2,FALSE)"),7.0)</f>
        <v>7</v>
      </c>
      <c r="C176" s="15">
        <f>IFERROR(__xludf.DUMMYFUNCTION("VLOOKUP(A176,IMPORTRANGE(""1aFCnJY1qhIj8-JckJhDJ18aqmVo17tofpQmOjcYa3u8/edit#gid=1878241338"",""S4 Totals!$A$2:$O$255""),3,FALSE)"),0.14)</f>
        <v>0.14</v>
      </c>
      <c r="D176" s="16">
        <f>IFERROR(__xludf.DUMMYFUNCTION("VLOOKUP(A176,IMPORTRANGE(""1QZ5UxyNCwadreQAXnQ7oCoH982DjIA-QnZdO7ZoqkC0/edit#gid=884617569"",""S4 Totals!$A$2:$O$255""),2,FALSE)"),10.0)</f>
        <v>10</v>
      </c>
      <c r="E176" s="15">
        <f>IFERROR(__xludf.DUMMYFUNCTION("VLOOKUP(A176,IMPORTRANGE(""1QZ5UxyNCwadreQAXnQ7oCoH982DjIA-QnZdO7ZoqkC0/edit#gid=884617569"",""S4 Totals!$A$2:$O$255""),3,FALSE)"),0.2127659574468085)</f>
        <v>0.2127659574</v>
      </c>
      <c r="F176" s="146">
        <f t="shared" si="1"/>
        <v>-0.07276595745</v>
      </c>
      <c r="G176" s="16">
        <f>IFERROR(__xludf.DUMMYFUNCTION("VLOOKUP(A176,IMPORTRANGE(""1QZ5UxyNCwadreQAXnQ7oCoH982DjIA-QnZdO7ZoqkC0/edit#gid=884617569"",""S4 Totals!$A$2:$O$255""),4,FALSE)"),7.0)</f>
        <v>7</v>
      </c>
      <c r="H176" s="15">
        <f>IFERROR(__xludf.DUMMYFUNCTION("VLOOKUP(A176,IMPORTRANGE(""1QZ5UxyNCwadreQAXnQ7oCoH982DjIA-QnZdO7ZoqkC0/edit#gid=884617569"",""S4 Totals!$A$2:$O$255""),5,FALSE)"),0.1111111111111111)</f>
        <v>0.1111111111</v>
      </c>
      <c r="I176" s="143"/>
      <c r="J176" s="16">
        <f>IFERROR(__xludf.DUMMYFUNCTION("VLOOKUP(A176,IMPORTRANGE(""1QZ5UxyNCwadreQAXnQ7oCoH982DjIA-QnZdO7ZoqkC0/edit#gid=884617569"",""S4 Totals!$A$2:$O$255""),7,FALSE)"),0.0)</f>
        <v>0</v>
      </c>
      <c r="K176" s="15">
        <f>IFERROR(__xludf.DUMMYFUNCTION("VLOOKUP(A176,IMPORTRANGE(""1QZ5UxyNCwadreQAXnQ7oCoH982DjIA-QnZdO7ZoqkC0/edit#gid=884617569"",""S4 Totals!$A$2:$O$255""),8,FALSE)"),0.0)</f>
        <v>0</v>
      </c>
      <c r="L176" s="147"/>
      <c r="M176" s="16" t="str">
        <f>IFERROR(__xludf.DUMMYFUNCTION("VLOOKUP(A176,IMPORTRANGE(""1QZ5UxyNCwadreQAXnQ7oCoH982DjIA-QnZdO7ZoqkC0/edit#gid=884617569"",""S4 Totals!$A$2:$O$255""),10,FALSE)"),"")</f>
        <v/>
      </c>
      <c r="N176" s="15" t="str">
        <f>IFERROR(__xludf.DUMMYFUNCTION("VLOOKUP(A176,IMPORTRANGE(""1QZ5UxyNCwadreQAXnQ7oCoH982DjIA-QnZdO7ZoqkC0/edit#gid=884617569"",""S4 Totals!$A$2:$O$255""),11,FALSE)"),"")</f>
        <v/>
      </c>
      <c r="O176" s="110"/>
      <c r="P176" s="16" t="str">
        <f>IFERROR(__xludf.DUMMYFUNCTION("VLOOKUP(A176,IMPORTRANGE(""1QZ5UxyNCwadreQAXnQ7oCoH982DjIA-QnZdO7ZoqkC0/edit#gid=884617569"",""S4 Totals!$A$2:$O$255""),13,FALSE)"),"")</f>
        <v/>
      </c>
      <c r="Q176" s="15" t="str">
        <f>IFERROR(__xludf.DUMMYFUNCTION("VLOOKUP(A176,IMPORTRANGE(""1QZ5UxyNCwadreQAXnQ7oCoH982DjIA-QnZdO7ZoqkC0/edit#gid=884617569"",""S4 Totals!$A$2:$O$255""),14,FALSE)"),"")</f>
        <v/>
      </c>
      <c r="R176" s="110"/>
    </row>
    <row r="177">
      <c r="A177" s="128" t="s">
        <v>83</v>
      </c>
      <c r="B177" s="16">
        <f>IFERROR(__xludf.DUMMYFUNCTION("VLOOKUP(A177,IMPORTRANGE(""1aFCnJY1qhIj8-JckJhDJ18aqmVo17tofpQmOjcYa3u8/edit#gid=1878241338"",""S4 Totals!$A$2:$O$255""),2,FALSE)"),2.0)</f>
        <v>2</v>
      </c>
      <c r="C177" s="15">
        <f>IFERROR(__xludf.DUMMYFUNCTION("VLOOKUP(A177,IMPORTRANGE(""1aFCnJY1qhIj8-JckJhDJ18aqmVo17tofpQmOjcYa3u8/edit#gid=1878241338"",""S4 Totals!$A$2:$O$255""),3,FALSE)"),0.04)</f>
        <v>0.04</v>
      </c>
      <c r="D177" s="16">
        <f>IFERROR(__xludf.DUMMYFUNCTION("VLOOKUP(A177,IMPORTRANGE(""1QZ5UxyNCwadreQAXnQ7oCoH982DjIA-QnZdO7ZoqkC0/edit#gid=884617569"",""S4 Totals!$A$2:$O$255""),2,FALSE)"),4.0)</f>
        <v>4</v>
      </c>
      <c r="E177" s="15">
        <f>IFERROR(__xludf.DUMMYFUNCTION("VLOOKUP(A177,IMPORTRANGE(""1QZ5UxyNCwadreQAXnQ7oCoH982DjIA-QnZdO7ZoqkC0/edit#gid=884617569"",""S4 Totals!$A$2:$O$255""),3,FALSE)"),0.0851063829787234)</f>
        <v>0.08510638298</v>
      </c>
      <c r="F177" s="146">
        <f t="shared" si="1"/>
        <v>-0.04510638298</v>
      </c>
      <c r="G177" s="16">
        <f>IFERROR(__xludf.DUMMYFUNCTION("VLOOKUP(A177,IMPORTRANGE(""1QZ5UxyNCwadreQAXnQ7oCoH982DjIA-QnZdO7ZoqkC0/edit#gid=884617569"",""S4 Totals!$A$2:$O$255""),4,FALSE)"),5.0)</f>
        <v>5</v>
      </c>
      <c r="H177" s="15">
        <f>IFERROR(__xludf.DUMMYFUNCTION("VLOOKUP(A177,IMPORTRANGE(""1QZ5UxyNCwadreQAXnQ7oCoH982DjIA-QnZdO7ZoqkC0/edit#gid=884617569"",""S4 Totals!$A$2:$O$255""),5,FALSE)"),0.07936507936507936)</f>
        <v>0.07936507937</v>
      </c>
      <c r="I177" s="143"/>
      <c r="J177" s="16">
        <f>IFERROR(__xludf.DUMMYFUNCTION("VLOOKUP(A177,IMPORTRANGE(""1QZ5UxyNCwadreQAXnQ7oCoH982DjIA-QnZdO7ZoqkC0/edit#gid=884617569"",""S4 Totals!$A$2:$O$255""),7,FALSE)"),7.0)</f>
        <v>7</v>
      </c>
      <c r="K177" s="15">
        <f>IFERROR(__xludf.DUMMYFUNCTION("VLOOKUP(A177,IMPORTRANGE(""1QZ5UxyNCwadreQAXnQ7oCoH982DjIA-QnZdO7ZoqkC0/edit#gid=884617569"",""S4 Totals!$A$2:$O$255""),8,FALSE)"),0.1)</f>
        <v>0.1</v>
      </c>
      <c r="L177" s="147"/>
      <c r="M177" s="16">
        <f>IFERROR(__xludf.DUMMYFUNCTION("VLOOKUP(A177,IMPORTRANGE(""1QZ5UxyNCwadreQAXnQ7oCoH982DjIA-QnZdO7ZoqkC0/edit#gid=884617569"",""S4 Totals!$A$2:$O$255""),10,FALSE)"),1.0)</f>
        <v>1</v>
      </c>
      <c r="N177" s="15">
        <f>IFERROR(__xludf.DUMMYFUNCTION("VLOOKUP(A177,IMPORTRANGE(""1QZ5UxyNCwadreQAXnQ7oCoH982DjIA-QnZdO7ZoqkC0/edit#gid=884617569"",""S4 Totals!$A$2:$O$255""),11,FALSE)"),0.013513513513513514)</f>
        <v>0.01351351351</v>
      </c>
      <c r="O177" s="110"/>
      <c r="P177" s="16">
        <f>IFERROR(__xludf.DUMMYFUNCTION("VLOOKUP(A177,IMPORTRANGE(""1QZ5UxyNCwadreQAXnQ7oCoH982DjIA-QnZdO7ZoqkC0/edit#gid=884617569"",""S4 Totals!$A$2:$O$255""),13,FALSE)"),2.0)</f>
        <v>2</v>
      </c>
      <c r="Q177" s="15">
        <f>IFERROR(__xludf.DUMMYFUNCTION("VLOOKUP(A177,IMPORTRANGE(""1QZ5UxyNCwadreQAXnQ7oCoH982DjIA-QnZdO7ZoqkC0/edit#gid=884617569"",""S4 Totals!$A$2:$O$255""),14,FALSE)"),0.02666666666666667)</f>
        <v>0.02666666667</v>
      </c>
      <c r="R177" s="110"/>
    </row>
    <row r="178">
      <c r="A178" s="128" t="s">
        <v>247</v>
      </c>
      <c r="B178" s="16">
        <f>IFERROR(__xludf.DUMMYFUNCTION("VLOOKUP(A178,IMPORTRANGE(""1aFCnJY1qhIj8-JckJhDJ18aqmVo17tofpQmOjcYa3u8/edit#gid=1878241338"",""S4 Totals!$A$2:$O$255""),2,FALSE)"),10.0)</f>
        <v>10</v>
      </c>
      <c r="C178" s="15">
        <f>IFERROR(__xludf.DUMMYFUNCTION("VLOOKUP(A178,IMPORTRANGE(""1aFCnJY1qhIj8-JckJhDJ18aqmVo17tofpQmOjcYa3u8/edit#gid=1878241338"",""S4 Totals!$A$2:$O$255""),3,FALSE)"),0.2)</f>
        <v>0.2</v>
      </c>
      <c r="D178" s="16">
        <f>IFERROR(__xludf.DUMMYFUNCTION("VLOOKUP(A178,IMPORTRANGE(""1QZ5UxyNCwadreQAXnQ7oCoH982DjIA-QnZdO7ZoqkC0/edit#gid=884617569"",""S4 Totals!$A$2:$O$255""),2,FALSE)"),6.0)</f>
        <v>6</v>
      </c>
      <c r="E178" s="15">
        <f>IFERROR(__xludf.DUMMYFUNCTION("VLOOKUP(A178,IMPORTRANGE(""1QZ5UxyNCwadreQAXnQ7oCoH982DjIA-QnZdO7ZoqkC0/edit#gid=884617569"",""S4 Totals!$A$2:$O$255""),3,FALSE)"),0.1276595744680851)</f>
        <v>0.1276595745</v>
      </c>
      <c r="F178" s="146">
        <f t="shared" si="1"/>
        <v>0.07234042553</v>
      </c>
      <c r="G178" s="16">
        <f>IFERROR(__xludf.DUMMYFUNCTION("VLOOKUP(A178,IMPORTRANGE(""1QZ5UxyNCwadreQAXnQ7oCoH982DjIA-QnZdO7ZoqkC0/edit#gid=884617569"",""S4 Totals!$A$2:$O$255""),4,FALSE)"),6.0)</f>
        <v>6</v>
      </c>
      <c r="H178" s="15">
        <f>IFERROR(__xludf.DUMMYFUNCTION("VLOOKUP(A178,IMPORTRANGE(""1QZ5UxyNCwadreQAXnQ7oCoH982DjIA-QnZdO7ZoqkC0/edit#gid=884617569"",""S4 Totals!$A$2:$O$255""),5,FALSE)"),0.09523809523809523)</f>
        <v>0.09523809524</v>
      </c>
      <c r="I178" s="143"/>
      <c r="J178" s="16" t="str">
        <f>IFERROR(__xludf.DUMMYFUNCTION("VLOOKUP(A178,IMPORTRANGE(""1QZ5UxyNCwadreQAXnQ7oCoH982DjIA-QnZdO7ZoqkC0/edit#gid=884617569"",""S4 Totals!$A$2:$O$255""),7,FALSE)"),"")</f>
        <v/>
      </c>
      <c r="K178" s="15" t="str">
        <f>IFERROR(__xludf.DUMMYFUNCTION("VLOOKUP(A178,IMPORTRANGE(""1QZ5UxyNCwadreQAXnQ7oCoH982DjIA-QnZdO7ZoqkC0/edit#gid=884617569"",""S4 Totals!$A$2:$O$255""),8,FALSE)"),"")</f>
        <v/>
      </c>
      <c r="L178" s="147"/>
      <c r="M178" s="16" t="str">
        <f>IFERROR(__xludf.DUMMYFUNCTION("VLOOKUP(A178,IMPORTRANGE(""1QZ5UxyNCwadreQAXnQ7oCoH982DjIA-QnZdO7ZoqkC0/edit#gid=884617569"",""S4 Totals!$A$2:$O$255""),10,FALSE)"),"")</f>
        <v/>
      </c>
      <c r="N178" s="15" t="str">
        <f>IFERROR(__xludf.DUMMYFUNCTION("VLOOKUP(A178,IMPORTRANGE(""1QZ5UxyNCwadreQAXnQ7oCoH982DjIA-QnZdO7ZoqkC0/edit#gid=884617569"",""S4 Totals!$A$2:$O$255""),11,FALSE)"),"")</f>
        <v/>
      </c>
      <c r="O178" s="110"/>
      <c r="P178" s="16" t="str">
        <f>IFERROR(__xludf.DUMMYFUNCTION("VLOOKUP(A178,IMPORTRANGE(""1QZ5UxyNCwadreQAXnQ7oCoH982DjIA-QnZdO7ZoqkC0/edit#gid=884617569"",""S4 Totals!$A$2:$O$255""),13,FALSE)"),"")</f>
        <v/>
      </c>
      <c r="Q178" s="15" t="str">
        <f>IFERROR(__xludf.DUMMYFUNCTION("VLOOKUP(A178,IMPORTRANGE(""1QZ5UxyNCwadreQAXnQ7oCoH982DjIA-QnZdO7ZoqkC0/edit#gid=884617569"",""S4 Totals!$A$2:$O$255""),14,FALSE)"),"")</f>
        <v/>
      </c>
      <c r="R178" s="110"/>
    </row>
    <row r="179">
      <c r="A179" s="128" t="s">
        <v>84</v>
      </c>
      <c r="B179" s="16">
        <f>IFERROR(__xludf.DUMMYFUNCTION("VLOOKUP(A179,IMPORTRANGE(""1aFCnJY1qhIj8-JckJhDJ18aqmVo17tofpQmOjcYa3u8/edit#gid=1878241338"",""S4 Totals!$A$2:$O$255""),2,FALSE)"),16.0)</f>
        <v>16</v>
      </c>
      <c r="C179" s="15">
        <f>IFERROR(__xludf.DUMMYFUNCTION("VLOOKUP(A179,IMPORTRANGE(""1aFCnJY1qhIj8-JckJhDJ18aqmVo17tofpQmOjcYa3u8/edit#gid=1878241338"",""S4 Totals!$A$2:$O$255""),3,FALSE)"),0.32)</f>
        <v>0.32</v>
      </c>
      <c r="D179" s="16">
        <f>IFERROR(__xludf.DUMMYFUNCTION("VLOOKUP(A179,IMPORTRANGE(""1QZ5UxyNCwadreQAXnQ7oCoH982DjIA-QnZdO7ZoqkC0/edit#gid=884617569"",""S4 Totals!$A$2:$O$255""),2,FALSE)"),20.0)</f>
        <v>20</v>
      </c>
      <c r="E179" s="15">
        <f>IFERROR(__xludf.DUMMYFUNCTION("VLOOKUP(A179,IMPORTRANGE(""1QZ5UxyNCwadreQAXnQ7oCoH982DjIA-QnZdO7ZoqkC0/edit#gid=884617569"",""S4 Totals!$A$2:$O$255""),3,FALSE)"),0.425531914893617)</f>
        <v>0.4255319149</v>
      </c>
      <c r="F179" s="146">
        <f t="shared" si="1"/>
        <v>-0.1055319149</v>
      </c>
      <c r="G179" s="16">
        <f>IFERROR(__xludf.DUMMYFUNCTION("VLOOKUP(A179,IMPORTRANGE(""1QZ5UxyNCwadreQAXnQ7oCoH982DjIA-QnZdO7ZoqkC0/edit#gid=884617569"",""S4 Totals!$A$2:$O$255""),4,FALSE)"),26.0)</f>
        <v>26</v>
      </c>
      <c r="H179" s="15">
        <f>IFERROR(__xludf.DUMMYFUNCTION("VLOOKUP(A179,IMPORTRANGE(""1QZ5UxyNCwadreQAXnQ7oCoH982DjIA-QnZdO7ZoqkC0/edit#gid=884617569"",""S4 Totals!$A$2:$O$255""),5,FALSE)"),0.4126984126984127)</f>
        <v>0.4126984127</v>
      </c>
      <c r="I179" s="143"/>
      <c r="J179" s="16">
        <f>IFERROR(__xludf.DUMMYFUNCTION("VLOOKUP(A179,IMPORTRANGE(""1QZ5UxyNCwadreQAXnQ7oCoH982DjIA-QnZdO7ZoqkC0/edit#gid=884617569"",""S4 Totals!$A$2:$O$255""),7,FALSE)"),21.0)</f>
        <v>21</v>
      </c>
      <c r="K179" s="15">
        <f>IFERROR(__xludf.DUMMYFUNCTION("VLOOKUP(A179,IMPORTRANGE(""1QZ5UxyNCwadreQAXnQ7oCoH982DjIA-QnZdO7ZoqkC0/edit#gid=884617569"",""S4 Totals!$A$2:$O$255""),8,FALSE)"),0.3)</f>
        <v>0.3</v>
      </c>
      <c r="L179" s="147"/>
      <c r="M179" s="16">
        <f>IFERROR(__xludf.DUMMYFUNCTION("VLOOKUP(A179,IMPORTRANGE(""1QZ5UxyNCwadreQAXnQ7oCoH982DjIA-QnZdO7ZoqkC0/edit#gid=884617569"",""S4 Totals!$A$2:$O$255""),10,FALSE)"),28.0)</f>
        <v>28</v>
      </c>
      <c r="N179" s="15">
        <f>IFERROR(__xludf.DUMMYFUNCTION("VLOOKUP(A179,IMPORTRANGE(""1QZ5UxyNCwadreQAXnQ7oCoH982DjIA-QnZdO7ZoqkC0/edit#gid=884617569"",""S4 Totals!$A$2:$O$255""),11,FALSE)"),0.3783783783783784)</f>
        <v>0.3783783784</v>
      </c>
      <c r="O179" s="110"/>
      <c r="P179" s="16">
        <f>IFERROR(__xludf.DUMMYFUNCTION("VLOOKUP(A179,IMPORTRANGE(""1QZ5UxyNCwadreQAXnQ7oCoH982DjIA-QnZdO7ZoqkC0/edit#gid=884617569"",""S4 Totals!$A$2:$O$255""),13,FALSE)"),20.0)</f>
        <v>20</v>
      </c>
      <c r="Q179" s="15">
        <f>IFERROR(__xludf.DUMMYFUNCTION("VLOOKUP(A179,IMPORTRANGE(""1QZ5UxyNCwadreQAXnQ7oCoH982DjIA-QnZdO7ZoqkC0/edit#gid=884617569"",""S4 Totals!$A$2:$O$255""),14,FALSE)"),0.26666666666666666)</f>
        <v>0.2666666667</v>
      </c>
      <c r="R179" s="110"/>
    </row>
    <row r="180">
      <c r="A180" s="128" t="s">
        <v>192</v>
      </c>
      <c r="B180" s="16">
        <f>IFERROR(__xludf.DUMMYFUNCTION("VLOOKUP(A180,IMPORTRANGE(""1aFCnJY1qhIj8-JckJhDJ18aqmVo17tofpQmOjcYa3u8/edit#gid=1878241338"",""S4 Totals!$A$2:$O$255""),2,FALSE)"),14.0)</f>
        <v>14</v>
      </c>
      <c r="C180" s="15">
        <f>IFERROR(__xludf.DUMMYFUNCTION("VLOOKUP(A180,IMPORTRANGE(""1aFCnJY1qhIj8-JckJhDJ18aqmVo17tofpQmOjcYa3u8/edit#gid=1878241338"",""S4 Totals!$A$2:$O$255""),3,FALSE)"),0.28)</f>
        <v>0.28</v>
      </c>
      <c r="D180" s="16">
        <f>IFERROR(__xludf.DUMMYFUNCTION("VLOOKUP(A180,IMPORTRANGE(""1QZ5UxyNCwadreQAXnQ7oCoH982DjIA-QnZdO7ZoqkC0/edit#gid=884617569"",""S4 Totals!$A$2:$O$255""),2,FALSE)"),13.0)</f>
        <v>13</v>
      </c>
      <c r="E180" s="15">
        <f>IFERROR(__xludf.DUMMYFUNCTION("VLOOKUP(A180,IMPORTRANGE(""1QZ5UxyNCwadreQAXnQ7oCoH982DjIA-QnZdO7ZoqkC0/edit#gid=884617569"",""S4 Totals!$A$2:$O$255""),3,FALSE)"),0.2765957446808511)</f>
        <v>0.2765957447</v>
      </c>
      <c r="F180" s="146">
        <f t="shared" si="1"/>
        <v>0.003404255319</v>
      </c>
      <c r="G180" s="16">
        <f>IFERROR(__xludf.DUMMYFUNCTION("VLOOKUP(A180,IMPORTRANGE(""1QZ5UxyNCwadreQAXnQ7oCoH982DjIA-QnZdO7ZoqkC0/edit#gid=884617569"",""S4 Totals!$A$2:$O$255""),4,FALSE)"),12.0)</f>
        <v>12</v>
      </c>
      <c r="H180" s="15">
        <f>IFERROR(__xludf.DUMMYFUNCTION("VLOOKUP(A180,IMPORTRANGE(""1QZ5UxyNCwadreQAXnQ7oCoH982DjIA-QnZdO7ZoqkC0/edit#gid=884617569"",""S4 Totals!$A$2:$O$255""),5,FALSE)"),0.19047619047619047)</f>
        <v>0.1904761905</v>
      </c>
      <c r="I180" s="143"/>
      <c r="J180" s="16">
        <f>IFERROR(__xludf.DUMMYFUNCTION("VLOOKUP(A180,IMPORTRANGE(""1QZ5UxyNCwadreQAXnQ7oCoH982DjIA-QnZdO7ZoqkC0/edit#gid=884617569"",""S4 Totals!$A$2:$O$255""),7,FALSE)"),8.0)</f>
        <v>8</v>
      </c>
      <c r="K180" s="15">
        <f>IFERROR(__xludf.DUMMYFUNCTION("VLOOKUP(A180,IMPORTRANGE(""1QZ5UxyNCwadreQAXnQ7oCoH982DjIA-QnZdO7ZoqkC0/edit#gid=884617569"",""S4 Totals!$A$2:$O$255""),8,FALSE)"),0.11428571428571428)</f>
        <v>0.1142857143</v>
      </c>
      <c r="L180" s="147"/>
      <c r="M180" s="16" t="str">
        <f>IFERROR(__xludf.DUMMYFUNCTION("VLOOKUP(A180,IMPORTRANGE(""1QZ5UxyNCwadreQAXnQ7oCoH982DjIA-QnZdO7ZoqkC0/edit#gid=884617569"",""S4 Totals!$A$2:$O$255""),10,FALSE)"),"")</f>
        <v/>
      </c>
      <c r="N180" s="15" t="str">
        <f>IFERROR(__xludf.DUMMYFUNCTION("VLOOKUP(A180,IMPORTRANGE(""1QZ5UxyNCwadreQAXnQ7oCoH982DjIA-QnZdO7ZoqkC0/edit#gid=884617569"",""S4 Totals!$A$2:$O$255""),11,FALSE)"),"")</f>
        <v/>
      </c>
      <c r="O180" s="110"/>
      <c r="P180" s="16" t="str">
        <f>IFERROR(__xludf.DUMMYFUNCTION("VLOOKUP(A180,IMPORTRANGE(""1QZ5UxyNCwadreQAXnQ7oCoH982DjIA-QnZdO7ZoqkC0/edit#gid=884617569"",""S4 Totals!$A$2:$O$255""),13,FALSE)"),"")</f>
        <v/>
      </c>
      <c r="Q180" s="15" t="str">
        <f>IFERROR(__xludf.DUMMYFUNCTION("VLOOKUP(A180,IMPORTRANGE(""1QZ5UxyNCwadreQAXnQ7oCoH982DjIA-QnZdO7ZoqkC0/edit#gid=884617569"",""S4 Totals!$A$2:$O$255""),14,FALSE)"),"")</f>
        <v/>
      </c>
      <c r="R180" s="110"/>
    </row>
    <row r="181">
      <c r="A181" s="128" t="s">
        <v>85</v>
      </c>
      <c r="B181" s="16">
        <f>IFERROR(__xludf.DUMMYFUNCTION("VLOOKUP(A181,IMPORTRANGE(""1aFCnJY1qhIj8-JckJhDJ18aqmVo17tofpQmOjcYa3u8/edit#gid=1878241338"",""S4 Totals!$A$2:$O$255""),2,FALSE)"),22.0)</f>
        <v>22</v>
      </c>
      <c r="C181" s="15">
        <f>IFERROR(__xludf.DUMMYFUNCTION("VLOOKUP(A181,IMPORTRANGE(""1aFCnJY1qhIj8-JckJhDJ18aqmVo17tofpQmOjcYa3u8/edit#gid=1878241338"",""S4 Totals!$A$2:$O$255""),3,FALSE)"),0.44)</f>
        <v>0.44</v>
      </c>
      <c r="D181" s="16">
        <f>IFERROR(__xludf.DUMMYFUNCTION("VLOOKUP(A181,IMPORTRANGE(""1QZ5UxyNCwadreQAXnQ7oCoH982DjIA-QnZdO7ZoqkC0/edit#gid=884617569"",""S4 Totals!$A$2:$O$255""),2,FALSE)"),16.0)</f>
        <v>16</v>
      </c>
      <c r="E181" s="15">
        <f>IFERROR(__xludf.DUMMYFUNCTION("VLOOKUP(A181,IMPORTRANGE(""1QZ5UxyNCwadreQAXnQ7oCoH982DjIA-QnZdO7ZoqkC0/edit#gid=884617569"",""S4 Totals!$A$2:$O$255""),3,FALSE)"),0.3404255319148936)</f>
        <v>0.3404255319</v>
      </c>
      <c r="F181" s="146">
        <f t="shared" si="1"/>
        <v>0.09957446809</v>
      </c>
      <c r="G181" s="16">
        <f>IFERROR(__xludf.DUMMYFUNCTION("VLOOKUP(A181,IMPORTRANGE(""1QZ5UxyNCwadreQAXnQ7oCoH982DjIA-QnZdO7ZoqkC0/edit#gid=884617569"",""S4 Totals!$A$2:$O$255""),4,FALSE)"),25.0)</f>
        <v>25</v>
      </c>
      <c r="H181" s="15">
        <f>IFERROR(__xludf.DUMMYFUNCTION("VLOOKUP(A181,IMPORTRANGE(""1QZ5UxyNCwadreQAXnQ7oCoH982DjIA-QnZdO7ZoqkC0/edit#gid=884617569"",""S4 Totals!$A$2:$O$255""),5,FALSE)"),0.3968253968253968)</f>
        <v>0.3968253968</v>
      </c>
      <c r="I181" s="143"/>
      <c r="J181" s="16">
        <f>IFERROR(__xludf.DUMMYFUNCTION("VLOOKUP(A181,IMPORTRANGE(""1QZ5UxyNCwadreQAXnQ7oCoH982DjIA-QnZdO7ZoqkC0/edit#gid=884617569"",""S4 Totals!$A$2:$O$255""),7,FALSE)"),29.0)</f>
        <v>29</v>
      </c>
      <c r="K181" s="15">
        <f>IFERROR(__xludf.DUMMYFUNCTION("VLOOKUP(A181,IMPORTRANGE(""1QZ5UxyNCwadreQAXnQ7oCoH982DjIA-QnZdO7ZoqkC0/edit#gid=884617569"",""S4 Totals!$A$2:$O$255""),8,FALSE)"),0.4142857142857143)</f>
        <v>0.4142857143</v>
      </c>
      <c r="L181" s="147"/>
      <c r="M181" s="16">
        <f>IFERROR(__xludf.DUMMYFUNCTION("VLOOKUP(A181,IMPORTRANGE(""1QZ5UxyNCwadreQAXnQ7oCoH982DjIA-QnZdO7ZoqkC0/edit#gid=884617569"",""S4 Totals!$A$2:$O$255""),10,FALSE)"),28.0)</f>
        <v>28</v>
      </c>
      <c r="N181" s="15">
        <f>IFERROR(__xludf.DUMMYFUNCTION("VLOOKUP(A181,IMPORTRANGE(""1QZ5UxyNCwadreQAXnQ7oCoH982DjIA-QnZdO7ZoqkC0/edit#gid=884617569"",""S4 Totals!$A$2:$O$255""),11,FALSE)"),0.3783783783783784)</f>
        <v>0.3783783784</v>
      </c>
      <c r="O181" s="110"/>
      <c r="P181" s="16">
        <f>IFERROR(__xludf.DUMMYFUNCTION("VLOOKUP(A181,IMPORTRANGE(""1QZ5UxyNCwadreQAXnQ7oCoH982DjIA-QnZdO7ZoqkC0/edit#gid=884617569"",""S4 Totals!$A$2:$O$255""),13,FALSE)"),23.0)</f>
        <v>23</v>
      </c>
      <c r="Q181" s="15">
        <f>IFERROR(__xludf.DUMMYFUNCTION("VLOOKUP(A181,IMPORTRANGE(""1QZ5UxyNCwadreQAXnQ7oCoH982DjIA-QnZdO7ZoqkC0/edit#gid=884617569"",""S4 Totals!$A$2:$O$255""),14,FALSE)"),0.30666666666666664)</f>
        <v>0.3066666667</v>
      </c>
      <c r="R181" s="110"/>
    </row>
    <row r="182">
      <c r="A182" s="128" t="s">
        <v>86</v>
      </c>
      <c r="B182" s="16">
        <f>IFERROR(__xludf.DUMMYFUNCTION("VLOOKUP(A182,IMPORTRANGE(""1aFCnJY1qhIj8-JckJhDJ18aqmVo17tofpQmOjcYa3u8/edit#gid=1878241338"",""S4 Totals!$A$2:$O$255""),2,FALSE)"),26.0)</f>
        <v>26</v>
      </c>
      <c r="C182" s="15">
        <f>IFERROR(__xludf.DUMMYFUNCTION("VLOOKUP(A182,IMPORTRANGE(""1aFCnJY1qhIj8-JckJhDJ18aqmVo17tofpQmOjcYa3u8/edit#gid=1878241338"",""S4 Totals!$A$2:$O$255""),3,FALSE)"),0.52)</f>
        <v>0.52</v>
      </c>
      <c r="D182" s="16">
        <f>IFERROR(__xludf.DUMMYFUNCTION("VLOOKUP(A182,IMPORTRANGE(""1QZ5UxyNCwadreQAXnQ7oCoH982DjIA-QnZdO7ZoqkC0/edit#gid=884617569"",""S4 Totals!$A$2:$O$255""),2,FALSE)"),24.0)</f>
        <v>24</v>
      </c>
      <c r="E182" s="15">
        <f>IFERROR(__xludf.DUMMYFUNCTION("VLOOKUP(A182,IMPORTRANGE(""1QZ5UxyNCwadreQAXnQ7oCoH982DjIA-QnZdO7ZoqkC0/edit#gid=884617569"",""S4 Totals!$A$2:$O$255""),3,FALSE)"),0.5106382978723404)</f>
        <v>0.5106382979</v>
      </c>
      <c r="F182" s="146">
        <f t="shared" si="1"/>
        <v>0.009361702128</v>
      </c>
      <c r="G182" s="16">
        <f>IFERROR(__xludf.DUMMYFUNCTION("VLOOKUP(A182,IMPORTRANGE(""1QZ5UxyNCwadreQAXnQ7oCoH982DjIA-QnZdO7ZoqkC0/edit#gid=884617569"",""S4 Totals!$A$2:$O$255""),4,FALSE)"),29.0)</f>
        <v>29</v>
      </c>
      <c r="H182" s="15">
        <f>IFERROR(__xludf.DUMMYFUNCTION("VLOOKUP(A182,IMPORTRANGE(""1QZ5UxyNCwadreQAXnQ7oCoH982DjIA-QnZdO7ZoqkC0/edit#gid=884617569"",""S4 Totals!$A$2:$O$255""),5,FALSE)"),0.4603174603174603)</f>
        <v>0.4603174603</v>
      </c>
      <c r="I182" s="143"/>
      <c r="J182" s="16">
        <f>IFERROR(__xludf.DUMMYFUNCTION("VLOOKUP(A182,IMPORTRANGE(""1QZ5UxyNCwadreQAXnQ7oCoH982DjIA-QnZdO7ZoqkC0/edit#gid=884617569"",""S4 Totals!$A$2:$O$255""),7,FALSE)"),35.0)</f>
        <v>35</v>
      </c>
      <c r="K182" s="15">
        <f>IFERROR(__xludf.DUMMYFUNCTION("VLOOKUP(A182,IMPORTRANGE(""1QZ5UxyNCwadreQAXnQ7oCoH982DjIA-QnZdO7ZoqkC0/edit#gid=884617569"",""S4 Totals!$A$2:$O$255""),8,FALSE)"),0.5)</f>
        <v>0.5</v>
      </c>
      <c r="L182" s="147"/>
      <c r="M182" s="16">
        <f>IFERROR(__xludf.DUMMYFUNCTION("VLOOKUP(A182,IMPORTRANGE(""1QZ5UxyNCwadreQAXnQ7oCoH982DjIA-QnZdO7ZoqkC0/edit#gid=884617569"",""S4 Totals!$A$2:$O$255""),10,FALSE)"),37.0)</f>
        <v>37</v>
      </c>
      <c r="N182" s="15">
        <f>IFERROR(__xludf.DUMMYFUNCTION("VLOOKUP(A182,IMPORTRANGE(""1QZ5UxyNCwadreQAXnQ7oCoH982DjIA-QnZdO7ZoqkC0/edit#gid=884617569"",""S4 Totals!$A$2:$O$255""),11,FALSE)"),0.5)</f>
        <v>0.5</v>
      </c>
      <c r="O182" s="110"/>
      <c r="P182" s="16">
        <f>IFERROR(__xludf.DUMMYFUNCTION("VLOOKUP(A182,IMPORTRANGE(""1QZ5UxyNCwadreQAXnQ7oCoH982DjIA-QnZdO7ZoqkC0/edit#gid=884617569"",""S4 Totals!$A$2:$O$255""),13,FALSE)"),27.0)</f>
        <v>27</v>
      </c>
      <c r="Q182" s="15">
        <f>IFERROR(__xludf.DUMMYFUNCTION("VLOOKUP(A182,IMPORTRANGE(""1QZ5UxyNCwadreQAXnQ7oCoH982DjIA-QnZdO7ZoqkC0/edit#gid=884617569"",""S4 Totals!$A$2:$O$255""),14,FALSE)"),0.36)</f>
        <v>0.36</v>
      </c>
      <c r="R182" s="110"/>
    </row>
    <row r="183">
      <c r="A183" s="128" t="s">
        <v>248</v>
      </c>
      <c r="B183" s="16">
        <f>IFERROR(__xludf.DUMMYFUNCTION("VLOOKUP(A183,IMPORTRANGE(""1aFCnJY1qhIj8-JckJhDJ18aqmVo17tofpQmOjcYa3u8/edit#gid=1878241338"",""S4 Totals!$A$2:$O$255""),2,FALSE)"),3.0)</f>
        <v>3</v>
      </c>
      <c r="C183" s="15">
        <f>IFERROR(__xludf.DUMMYFUNCTION("VLOOKUP(A183,IMPORTRANGE(""1aFCnJY1qhIj8-JckJhDJ18aqmVo17tofpQmOjcYa3u8/edit#gid=1878241338"",""S4 Totals!$A$2:$O$255""),3,FALSE)"),0.06)</f>
        <v>0.06</v>
      </c>
      <c r="D183" s="16">
        <f>IFERROR(__xludf.DUMMYFUNCTION("VLOOKUP(A183,IMPORTRANGE(""1QZ5UxyNCwadreQAXnQ7oCoH982DjIA-QnZdO7ZoqkC0/edit#gid=884617569"",""S4 Totals!$A$2:$O$255""),2,FALSE)"),0.0)</f>
        <v>0</v>
      </c>
      <c r="E183" s="15">
        <f>IFERROR(__xludf.DUMMYFUNCTION("VLOOKUP(A183,IMPORTRANGE(""1QZ5UxyNCwadreQAXnQ7oCoH982DjIA-QnZdO7ZoqkC0/edit#gid=884617569"",""S4 Totals!$A$2:$O$255""),3,FALSE)"),0.0)</f>
        <v>0</v>
      </c>
      <c r="F183" s="146">
        <f t="shared" si="1"/>
        <v>0.06</v>
      </c>
      <c r="G183" s="16">
        <f>IFERROR(__xludf.DUMMYFUNCTION("VLOOKUP(A183,IMPORTRANGE(""1QZ5UxyNCwadreQAXnQ7oCoH982DjIA-QnZdO7ZoqkC0/edit#gid=884617569"",""S4 Totals!$A$2:$O$255""),4,FALSE)"),4.0)</f>
        <v>4</v>
      </c>
      <c r="H183" s="15">
        <f>IFERROR(__xludf.DUMMYFUNCTION("VLOOKUP(A183,IMPORTRANGE(""1QZ5UxyNCwadreQAXnQ7oCoH982DjIA-QnZdO7ZoqkC0/edit#gid=884617569"",""S4 Totals!$A$2:$O$255""),5,FALSE)"),0.06349206349206349)</f>
        <v>0.06349206349</v>
      </c>
      <c r="I183" s="143"/>
      <c r="J183" s="16" t="str">
        <f>IFERROR(__xludf.DUMMYFUNCTION("VLOOKUP(A183,IMPORTRANGE(""1QZ5UxyNCwadreQAXnQ7oCoH982DjIA-QnZdO7ZoqkC0/edit#gid=884617569"",""S4 Totals!$A$2:$O$255""),7,FALSE)"),"")</f>
        <v/>
      </c>
      <c r="K183" s="15" t="str">
        <f>IFERROR(__xludf.DUMMYFUNCTION("VLOOKUP(A183,IMPORTRANGE(""1QZ5UxyNCwadreQAXnQ7oCoH982DjIA-QnZdO7ZoqkC0/edit#gid=884617569"",""S4 Totals!$A$2:$O$255""),8,FALSE)"),"")</f>
        <v/>
      </c>
      <c r="L183" s="147"/>
      <c r="M183" s="16" t="str">
        <f>IFERROR(__xludf.DUMMYFUNCTION("VLOOKUP(A183,IMPORTRANGE(""1QZ5UxyNCwadreQAXnQ7oCoH982DjIA-QnZdO7ZoqkC0/edit#gid=884617569"",""S4 Totals!$A$2:$O$255""),10,FALSE)"),"")</f>
        <v/>
      </c>
      <c r="N183" s="15" t="str">
        <f>IFERROR(__xludf.DUMMYFUNCTION("VLOOKUP(A183,IMPORTRANGE(""1QZ5UxyNCwadreQAXnQ7oCoH982DjIA-QnZdO7ZoqkC0/edit#gid=884617569"",""S4 Totals!$A$2:$O$255""),11,FALSE)"),"")</f>
        <v/>
      </c>
      <c r="O183" s="110"/>
      <c r="P183" s="16" t="str">
        <f>IFERROR(__xludf.DUMMYFUNCTION("VLOOKUP(A183,IMPORTRANGE(""1QZ5UxyNCwadreQAXnQ7oCoH982DjIA-QnZdO7ZoqkC0/edit#gid=884617569"",""S4 Totals!$A$2:$O$255""),13,FALSE)"),"")</f>
        <v/>
      </c>
      <c r="Q183" s="15" t="str">
        <f>IFERROR(__xludf.DUMMYFUNCTION("VLOOKUP(A183,IMPORTRANGE(""1QZ5UxyNCwadreQAXnQ7oCoH982DjIA-QnZdO7ZoqkC0/edit#gid=884617569"",""S4 Totals!$A$2:$O$255""),14,FALSE)"),"")</f>
        <v/>
      </c>
      <c r="R183" s="110"/>
    </row>
    <row r="184">
      <c r="A184" s="128" t="s">
        <v>87</v>
      </c>
      <c r="B184" s="16">
        <f>IFERROR(__xludf.DUMMYFUNCTION("VLOOKUP(A184,IMPORTRANGE(""1aFCnJY1qhIj8-JckJhDJ18aqmVo17tofpQmOjcYa3u8/edit#gid=1878241338"",""S4 Totals!$A$2:$O$255""),2,FALSE)"),16.0)</f>
        <v>16</v>
      </c>
      <c r="C184" s="15">
        <f>IFERROR(__xludf.DUMMYFUNCTION("VLOOKUP(A184,IMPORTRANGE(""1aFCnJY1qhIj8-JckJhDJ18aqmVo17tofpQmOjcYa3u8/edit#gid=1878241338"",""S4 Totals!$A$2:$O$255""),3,FALSE)"),0.32)</f>
        <v>0.32</v>
      </c>
      <c r="D184" s="16">
        <f>IFERROR(__xludf.DUMMYFUNCTION("VLOOKUP(A184,IMPORTRANGE(""1QZ5UxyNCwadreQAXnQ7oCoH982DjIA-QnZdO7ZoqkC0/edit#gid=884617569"",""S4 Totals!$A$2:$O$255""),2,FALSE)"),13.0)</f>
        <v>13</v>
      </c>
      <c r="E184" s="15">
        <f>IFERROR(__xludf.DUMMYFUNCTION("VLOOKUP(A184,IMPORTRANGE(""1QZ5UxyNCwadreQAXnQ7oCoH982DjIA-QnZdO7ZoqkC0/edit#gid=884617569"",""S4 Totals!$A$2:$O$255""),3,FALSE)"),0.2765957446808511)</f>
        <v>0.2765957447</v>
      </c>
      <c r="F184" s="146">
        <f t="shared" si="1"/>
        <v>0.04340425532</v>
      </c>
      <c r="G184" s="16">
        <f>IFERROR(__xludf.DUMMYFUNCTION("VLOOKUP(A184,IMPORTRANGE(""1QZ5UxyNCwadreQAXnQ7oCoH982DjIA-QnZdO7ZoqkC0/edit#gid=884617569"",""S4 Totals!$A$2:$O$255""),4,FALSE)"),11.0)</f>
        <v>11</v>
      </c>
      <c r="H184" s="15">
        <f>IFERROR(__xludf.DUMMYFUNCTION("VLOOKUP(A184,IMPORTRANGE(""1QZ5UxyNCwadreQAXnQ7oCoH982DjIA-QnZdO7ZoqkC0/edit#gid=884617569"",""S4 Totals!$A$2:$O$255""),5,FALSE)"),0.1746031746031746)</f>
        <v>0.1746031746</v>
      </c>
      <c r="I184" s="143"/>
      <c r="J184" s="16">
        <f>IFERROR(__xludf.DUMMYFUNCTION("VLOOKUP(A184,IMPORTRANGE(""1QZ5UxyNCwadreQAXnQ7oCoH982DjIA-QnZdO7ZoqkC0/edit#gid=884617569"",""S4 Totals!$A$2:$O$255""),7,FALSE)"),13.0)</f>
        <v>13</v>
      </c>
      <c r="K184" s="15">
        <f>IFERROR(__xludf.DUMMYFUNCTION("VLOOKUP(A184,IMPORTRANGE(""1QZ5UxyNCwadreQAXnQ7oCoH982DjIA-QnZdO7ZoqkC0/edit#gid=884617569"",""S4 Totals!$A$2:$O$255""),8,FALSE)"),0.18571428571428572)</f>
        <v>0.1857142857</v>
      </c>
      <c r="L184" s="147"/>
      <c r="M184" s="16">
        <f>IFERROR(__xludf.DUMMYFUNCTION("VLOOKUP(A184,IMPORTRANGE(""1QZ5UxyNCwadreQAXnQ7oCoH982DjIA-QnZdO7ZoqkC0/edit#gid=884617569"",""S4 Totals!$A$2:$O$255""),10,FALSE)"),11.0)</f>
        <v>11</v>
      </c>
      <c r="N184" s="15">
        <f>IFERROR(__xludf.DUMMYFUNCTION("VLOOKUP(A184,IMPORTRANGE(""1QZ5UxyNCwadreQAXnQ7oCoH982DjIA-QnZdO7ZoqkC0/edit#gid=884617569"",""S4 Totals!$A$2:$O$255""),11,FALSE)"),0.14864864864864866)</f>
        <v>0.1486486486</v>
      </c>
      <c r="O184" s="110"/>
      <c r="P184" s="16">
        <f>IFERROR(__xludf.DUMMYFUNCTION("VLOOKUP(A184,IMPORTRANGE(""1QZ5UxyNCwadreQAXnQ7oCoH982DjIA-QnZdO7ZoqkC0/edit#gid=884617569"",""S4 Totals!$A$2:$O$255""),13,FALSE)"),2.0)</f>
        <v>2</v>
      </c>
      <c r="Q184" s="15">
        <f>IFERROR(__xludf.DUMMYFUNCTION("VLOOKUP(A184,IMPORTRANGE(""1QZ5UxyNCwadreQAXnQ7oCoH982DjIA-QnZdO7ZoqkC0/edit#gid=884617569"",""S4 Totals!$A$2:$O$255""),14,FALSE)"),0.02666666666666667)</f>
        <v>0.02666666667</v>
      </c>
      <c r="R184" s="110"/>
    </row>
    <row r="185">
      <c r="A185" s="128" t="s">
        <v>62</v>
      </c>
      <c r="B185" s="16">
        <f>IFERROR(__xludf.DUMMYFUNCTION("VLOOKUP(A185,IMPORTRANGE(""1aFCnJY1qhIj8-JckJhDJ18aqmVo17tofpQmOjcYa3u8/edit#gid=1878241338"",""S4 Totals!$A$2:$O$255""),2,FALSE)"),22.0)</f>
        <v>22</v>
      </c>
      <c r="C185" s="15">
        <f>IFERROR(__xludf.DUMMYFUNCTION("VLOOKUP(A185,IMPORTRANGE(""1aFCnJY1qhIj8-JckJhDJ18aqmVo17tofpQmOjcYa3u8/edit#gid=1878241338"",""S4 Totals!$A$2:$O$255""),3,FALSE)"),0.44)</f>
        <v>0.44</v>
      </c>
      <c r="D185" s="16">
        <f>IFERROR(__xludf.DUMMYFUNCTION("VLOOKUP(A185,IMPORTRANGE(""1QZ5UxyNCwadreQAXnQ7oCoH982DjIA-QnZdO7ZoqkC0/edit#gid=884617569"",""S4 Totals!$A$2:$O$255""),2,FALSE)"),23.0)</f>
        <v>23</v>
      </c>
      <c r="E185" s="15">
        <f>IFERROR(__xludf.DUMMYFUNCTION("VLOOKUP(A185,IMPORTRANGE(""1QZ5UxyNCwadreQAXnQ7oCoH982DjIA-QnZdO7ZoqkC0/edit#gid=884617569"",""S4 Totals!$A$2:$O$255""),3,FALSE)"),0.48936170212765956)</f>
        <v>0.4893617021</v>
      </c>
      <c r="F185" s="146">
        <f t="shared" si="1"/>
        <v>-0.04936170213</v>
      </c>
      <c r="G185" s="16">
        <f>IFERROR(__xludf.DUMMYFUNCTION("VLOOKUP(A185,IMPORTRANGE(""1QZ5UxyNCwadreQAXnQ7oCoH982DjIA-QnZdO7ZoqkC0/edit#gid=884617569"",""S4 Totals!$A$2:$O$255""),4,FALSE)"),37.0)</f>
        <v>37</v>
      </c>
      <c r="H185" s="15">
        <f>IFERROR(__xludf.DUMMYFUNCTION("VLOOKUP(A185,IMPORTRANGE(""1QZ5UxyNCwadreQAXnQ7oCoH982DjIA-QnZdO7ZoqkC0/edit#gid=884617569"",""S4 Totals!$A$2:$O$255""),5,FALSE)"),0.5873015873015873)</f>
        <v>0.5873015873</v>
      </c>
      <c r="I185" s="143"/>
      <c r="J185" s="16">
        <f>IFERROR(__xludf.DUMMYFUNCTION("VLOOKUP(A185,IMPORTRANGE(""1QZ5UxyNCwadreQAXnQ7oCoH982DjIA-QnZdO7ZoqkC0/edit#gid=884617569"",""S4 Totals!$A$2:$O$255""),7,FALSE)"),41.0)</f>
        <v>41</v>
      </c>
      <c r="K185" s="15">
        <f>IFERROR(__xludf.DUMMYFUNCTION("VLOOKUP(A185,IMPORTRANGE(""1QZ5UxyNCwadreQAXnQ7oCoH982DjIA-QnZdO7ZoqkC0/edit#gid=884617569"",""S4 Totals!$A$2:$O$255""),8,FALSE)"),0.5857142857142857)</f>
        <v>0.5857142857</v>
      </c>
      <c r="L185" s="147"/>
      <c r="M185" s="16">
        <f>IFERROR(__xludf.DUMMYFUNCTION("VLOOKUP(A185,IMPORTRANGE(""1QZ5UxyNCwadreQAXnQ7oCoH982DjIA-QnZdO7ZoqkC0/edit#gid=884617569"",""S4 Totals!$A$2:$O$255""),10,FALSE)"),33.0)</f>
        <v>33</v>
      </c>
      <c r="N185" s="15">
        <f>IFERROR(__xludf.DUMMYFUNCTION("VLOOKUP(A185,IMPORTRANGE(""1QZ5UxyNCwadreQAXnQ7oCoH982DjIA-QnZdO7ZoqkC0/edit#gid=884617569"",""S4 Totals!$A$2:$O$255""),11,FALSE)"),0.44594594594594594)</f>
        <v>0.4459459459</v>
      </c>
      <c r="O185" s="110"/>
      <c r="P185" s="16">
        <f>IFERROR(__xludf.DUMMYFUNCTION("VLOOKUP(A185,IMPORTRANGE(""1QZ5UxyNCwadreQAXnQ7oCoH982DjIA-QnZdO7ZoqkC0/edit#gid=884617569"",""S4 Totals!$A$2:$O$255""),13,FALSE)"),29.0)</f>
        <v>29</v>
      </c>
      <c r="Q185" s="15">
        <f>IFERROR(__xludf.DUMMYFUNCTION("VLOOKUP(A185,IMPORTRANGE(""1QZ5UxyNCwadreQAXnQ7oCoH982DjIA-QnZdO7ZoqkC0/edit#gid=884617569"",""S4 Totals!$A$2:$O$255""),14,FALSE)"),0.38666666666666666)</f>
        <v>0.3866666667</v>
      </c>
      <c r="R185" s="110"/>
    </row>
    <row r="186">
      <c r="A186" s="128" t="s">
        <v>249</v>
      </c>
      <c r="B186" s="16">
        <f>IFERROR(__xludf.DUMMYFUNCTION("VLOOKUP(A186,IMPORTRANGE(""1aFCnJY1qhIj8-JckJhDJ18aqmVo17tofpQmOjcYa3u8/edit#gid=1878241338"",""S4 Totals!$A$2:$O$255""),2,FALSE)"),2.0)</f>
        <v>2</v>
      </c>
      <c r="C186" s="15">
        <f>IFERROR(__xludf.DUMMYFUNCTION("VLOOKUP(A186,IMPORTRANGE(""1aFCnJY1qhIj8-JckJhDJ18aqmVo17tofpQmOjcYa3u8/edit#gid=1878241338"",""S4 Totals!$A$2:$O$255""),3,FALSE)"),0.04)</f>
        <v>0.04</v>
      </c>
      <c r="D186" s="16">
        <f>IFERROR(__xludf.DUMMYFUNCTION("VLOOKUP(A186,IMPORTRANGE(""1QZ5UxyNCwadreQAXnQ7oCoH982DjIA-QnZdO7ZoqkC0/edit#gid=884617569"",""S4 Totals!$A$2:$O$255""),2,FALSE)"),5.0)</f>
        <v>5</v>
      </c>
      <c r="E186" s="15">
        <f>IFERROR(__xludf.DUMMYFUNCTION("VLOOKUP(A186,IMPORTRANGE(""1QZ5UxyNCwadreQAXnQ7oCoH982DjIA-QnZdO7ZoqkC0/edit#gid=884617569"",""S4 Totals!$A$2:$O$255""),3,FALSE)"),0.10638297872340426)</f>
        <v>0.1063829787</v>
      </c>
      <c r="F186" s="146">
        <f t="shared" si="1"/>
        <v>-0.06638297872</v>
      </c>
      <c r="G186" s="16">
        <f>IFERROR(__xludf.DUMMYFUNCTION("VLOOKUP(A186,IMPORTRANGE(""1QZ5UxyNCwadreQAXnQ7oCoH982DjIA-QnZdO7ZoqkC0/edit#gid=884617569"",""S4 Totals!$A$2:$O$255""),4,FALSE)"),12.0)</f>
        <v>12</v>
      </c>
      <c r="H186" s="15">
        <f>IFERROR(__xludf.DUMMYFUNCTION("VLOOKUP(A186,IMPORTRANGE(""1QZ5UxyNCwadreQAXnQ7oCoH982DjIA-QnZdO7ZoqkC0/edit#gid=884617569"",""S4 Totals!$A$2:$O$255""),5,FALSE)"),0.19047619047619047)</f>
        <v>0.1904761905</v>
      </c>
      <c r="I186" s="143"/>
      <c r="J186" s="16" t="str">
        <f>IFERROR(__xludf.DUMMYFUNCTION("VLOOKUP(A186,IMPORTRANGE(""1QZ5UxyNCwadreQAXnQ7oCoH982DjIA-QnZdO7ZoqkC0/edit#gid=884617569"",""S4 Totals!$A$2:$O$255""),7,FALSE)"),"")</f>
        <v/>
      </c>
      <c r="K186" s="15" t="str">
        <f>IFERROR(__xludf.DUMMYFUNCTION("VLOOKUP(A186,IMPORTRANGE(""1QZ5UxyNCwadreQAXnQ7oCoH982DjIA-QnZdO7ZoqkC0/edit#gid=884617569"",""S4 Totals!$A$2:$O$255""),8,FALSE)"),"")</f>
        <v/>
      </c>
      <c r="L186" s="147"/>
      <c r="M186" s="16" t="str">
        <f>IFERROR(__xludf.DUMMYFUNCTION("VLOOKUP(A186,IMPORTRANGE(""1QZ5UxyNCwadreQAXnQ7oCoH982DjIA-QnZdO7ZoqkC0/edit#gid=884617569"",""S4 Totals!$A$2:$O$255""),10,FALSE)"),"")</f>
        <v/>
      </c>
      <c r="N186" s="15" t="str">
        <f>IFERROR(__xludf.DUMMYFUNCTION("VLOOKUP(A186,IMPORTRANGE(""1QZ5UxyNCwadreQAXnQ7oCoH982DjIA-QnZdO7ZoqkC0/edit#gid=884617569"",""S4 Totals!$A$2:$O$255""),11,FALSE)"),"")</f>
        <v/>
      </c>
      <c r="O186" s="110"/>
      <c r="P186" s="16" t="str">
        <f>IFERROR(__xludf.DUMMYFUNCTION("VLOOKUP(A186,IMPORTRANGE(""1QZ5UxyNCwadreQAXnQ7oCoH982DjIA-QnZdO7ZoqkC0/edit#gid=884617569"",""S4 Totals!$A$2:$O$255""),13,FALSE)"),"")</f>
        <v/>
      </c>
      <c r="Q186" s="15" t="str">
        <f>IFERROR(__xludf.DUMMYFUNCTION("VLOOKUP(A186,IMPORTRANGE(""1QZ5UxyNCwadreQAXnQ7oCoH982DjIA-QnZdO7ZoqkC0/edit#gid=884617569"",""S4 Totals!$A$2:$O$255""),14,FALSE)"),"")</f>
        <v/>
      </c>
      <c r="R186" s="110"/>
    </row>
    <row r="187">
      <c r="A187" s="128" t="s">
        <v>250</v>
      </c>
      <c r="B187" s="16">
        <f>IFERROR(__xludf.DUMMYFUNCTION("VLOOKUP(A187,IMPORTRANGE(""1aFCnJY1qhIj8-JckJhDJ18aqmVo17tofpQmOjcYa3u8/edit#gid=1878241338"",""S4 Totals!$A$2:$O$255""),2,FALSE)"),2.0)</f>
        <v>2</v>
      </c>
      <c r="C187" s="15">
        <f>IFERROR(__xludf.DUMMYFUNCTION("VLOOKUP(A187,IMPORTRANGE(""1aFCnJY1qhIj8-JckJhDJ18aqmVo17tofpQmOjcYa3u8/edit#gid=1878241338"",""S4 Totals!$A$2:$O$255""),3,FALSE)"),0.04)</f>
        <v>0.04</v>
      </c>
      <c r="D187" s="16">
        <f>IFERROR(__xludf.DUMMYFUNCTION("VLOOKUP(A187,IMPORTRANGE(""1QZ5UxyNCwadreQAXnQ7oCoH982DjIA-QnZdO7ZoqkC0/edit#gid=884617569"",""S4 Totals!$A$2:$O$255""),2,FALSE)"),3.0)</f>
        <v>3</v>
      </c>
      <c r="E187" s="15">
        <f>IFERROR(__xludf.DUMMYFUNCTION("VLOOKUP(A187,IMPORTRANGE(""1QZ5UxyNCwadreQAXnQ7oCoH982DjIA-QnZdO7ZoqkC0/edit#gid=884617569"",""S4 Totals!$A$2:$O$255""),3,FALSE)"),0.06382978723404255)</f>
        <v>0.06382978723</v>
      </c>
      <c r="F187" s="146">
        <f t="shared" si="1"/>
        <v>-0.02382978723</v>
      </c>
      <c r="G187" s="16">
        <f>IFERROR(__xludf.DUMMYFUNCTION("VLOOKUP(A187,IMPORTRANGE(""1QZ5UxyNCwadreQAXnQ7oCoH982DjIA-QnZdO7ZoqkC0/edit#gid=884617569"",""S4 Totals!$A$2:$O$255""),4,FALSE)"),6.0)</f>
        <v>6</v>
      </c>
      <c r="H187" s="15">
        <f>IFERROR(__xludf.DUMMYFUNCTION("VLOOKUP(A187,IMPORTRANGE(""1QZ5UxyNCwadreQAXnQ7oCoH982DjIA-QnZdO7ZoqkC0/edit#gid=884617569"",""S4 Totals!$A$2:$O$255""),5,FALSE)"),0.09523809523809523)</f>
        <v>0.09523809524</v>
      </c>
      <c r="I187" s="143"/>
      <c r="J187" s="16" t="str">
        <f>IFERROR(__xludf.DUMMYFUNCTION("VLOOKUP(A187,IMPORTRANGE(""1QZ5UxyNCwadreQAXnQ7oCoH982DjIA-QnZdO7ZoqkC0/edit#gid=884617569"",""S4 Totals!$A$2:$O$255""),7,FALSE)"),"")</f>
        <v/>
      </c>
      <c r="K187" s="15" t="str">
        <f>IFERROR(__xludf.DUMMYFUNCTION("VLOOKUP(A187,IMPORTRANGE(""1QZ5UxyNCwadreQAXnQ7oCoH982DjIA-QnZdO7ZoqkC0/edit#gid=884617569"",""S4 Totals!$A$2:$O$255""),8,FALSE)"),"")</f>
        <v/>
      </c>
      <c r="L187" s="147"/>
      <c r="M187" s="16" t="str">
        <f>IFERROR(__xludf.DUMMYFUNCTION("VLOOKUP(A187,IMPORTRANGE(""1QZ5UxyNCwadreQAXnQ7oCoH982DjIA-QnZdO7ZoqkC0/edit#gid=884617569"",""S4 Totals!$A$2:$O$255""),10,FALSE)"),"")</f>
        <v/>
      </c>
      <c r="N187" s="15" t="str">
        <f>IFERROR(__xludf.DUMMYFUNCTION("VLOOKUP(A187,IMPORTRANGE(""1QZ5UxyNCwadreQAXnQ7oCoH982DjIA-QnZdO7ZoqkC0/edit#gid=884617569"",""S4 Totals!$A$2:$O$255""),11,FALSE)"),"")</f>
        <v/>
      </c>
      <c r="O187" s="110"/>
      <c r="P187" s="16" t="str">
        <f>IFERROR(__xludf.DUMMYFUNCTION("VLOOKUP(A187,IMPORTRANGE(""1QZ5UxyNCwadreQAXnQ7oCoH982DjIA-QnZdO7ZoqkC0/edit#gid=884617569"",""S4 Totals!$A$2:$O$255""),13,FALSE)"),"")</f>
        <v/>
      </c>
      <c r="Q187" s="15" t="str">
        <f>IFERROR(__xludf.DUMMYFUNCTION("VLOOKUP(A187,IMPORTRANGE(""1QZ5UxyNCwadreQAXnQ7oCoH982DjIA-QnZdO7ZoqkC0/edit#gid=884617569"",""S4 Totals!$A$2:$O$255""),14,FALSE)"),"")</f>
        <v/>
      </c>
      <c r="R187" s="110"/>
    </row>
    <row r="188">
      <c r="A188" s="128" t="s">
        <v>251</v>
      </c>
      <c r="B188" s="16">
        <f>IFERROR(__xludf.DUMMYFUNCTION("VLOOKUP(A188,IMPORTRANGE(""1aFCnJY1qhIj8-JckJhDJ18aqmVo17tofpQmOjcYa3u8/edit#gid=1878241338"",""S4 Totals!$A$2:$O$255""),2,FALSE)"),2.0)</f>
        <v>2</v>
      </c>
      <c r="C188" s="15">
        <f>IFERROR(__xludf.DUMMYFUNCTION("VLOOKUP(A188,IMPORTRANGE(""1aFCnJY1qhIj8-JckJhDJ18aqmVo17tofpQmOjcYa3u8/edit#gid=1878241338"",""S4 Totals!$A$2:$O$255""),3,FALSE)"),0.04)</f>
        <v>0.04</v>
      </c>
      <c r="D188" s="16">
        <f>IFERROR(__xludf.DUMMYFUNCTION("VLOOKUP(A188,IMPORTRANGE(""1QZ5UxyNCwadreQAXnQ7oCoH982DjIA-QnZdO7ZoqkC0/edit#gid=884617569"",""S4 Totals!$A$2:$O$255""),2,FALSE)"),3.0)</f>
        <v>3</v>
      </c>
      <c r="E188" s="15">
        <f>IFERROR(__xludf.DUMMYFUNCTION("VLOOKUP(A188,IMPORTRANGE(""1QZ5UxyNCwadreQAXnQ7oCoH982DjIA-QnZdO7ZoqkC0/edit#gid=884617569"",""S4 Totals!$A$2:$O$255""),3,FALSE)"),0.06382978723404255)</f>
        <v>0.06382978723</v>
      </c>
      <c r="F188" s="146">
        <f t="shared" si="1"/>
        <v>-0.02382978723</v>
      </c>
      <c r="G188" s="16">
        <f>IFERROR(__xludf.DUMMYFUNCTION("VLOOKUP(A188,IMPORTRANGE(""1QZ5UxyNCwadreQAXnQ7oCoH982DjIA-QnZdO7ZoqkC0/edit#gid=884617569"",""S4 Totals!$A$2:$O$255""),4,FALSE)"),8.0)</f>
        <v>8</v>
      </c>
      <c r="H188" s="15">
        <f>IFERROR(__xludf.DUMMYFUNCTION("VLOOKUP(A188,IMPORTRANGE(""1QZ5UxyNCwadreQAXnQ7oCoH982DjIA-QnZdO7ZoqkC0/edit#gid=884617569"",""S4 Totals!$A$2:$O$255""),5,FALSE)"),0.12698412698412698)</f>
        <v>0.126984127</v>
      </c>
      <c r="I188" s="143"/>
      <c r="J188" s="16" t="str">
        <f>IFERROR(__xludf.DUMMYFUNCTION("VLOOKUP(A188,IMPORTRANGE(""1QZ5UxyNCwadreQAXnQ7oCoH982DjIA-QnZdO7ZoqkC0/edit#gid=884617569"",""S4 Totals!$A$2:$O$255""),7,FALSE)"),"")</f>
        <v/>
      </c>
      <c r="K188" s="15" t="str">
        <f>IFERROR(__xludf.DUMMYFUNCTION("VLOOKUP(A188,IMPORTRANGE(""1QZ5UxyNCwadreQAXnQ7oCoH982DjIA-QnZdO7ZoqkC0/edit#gid=884617569"",""S4 Totals!$A$2:$O$255""),8,FALSE)"),"")</f>
        <v/>
      </c>
      <c r="L188" s="147"/>
      <c r="M188" s="16" t="str">
        <f>IFERROR(__xludf.DUMMYFUNCTION("VLOOKUP(A188,IMPORTRANGE(""1QZ5UxyNCwadreQAXnQ7oCoH982DjIA-QnZdO7ZoqkC0/edit#gid=884617569"",""S4 Totals!$A$2:$O$255""),10,FALSE)"),"")</f>
        <v/>
      </c>
      <c r="N188" s="15" t="str">
        <f>IFERROR(__xludf.DUMMYFUNCTION("VLOOKUP(A188,IMPORTRANGE(""1QZ5UxyNCwadreQAXnQ7oCoH982DjIA-QnZdO7ZoqkC0/edit#gid=884617569"",""S4 Totals!$A$2:$O$255""),11,FALSE)"),"")</f>
        <v/>
      </c>
      <c r="O188" s="110"/>
      <c r="P188" s="16" t="str">
        <f>IFERROR(__xludf.DUMMYFUNCTION("VLOOKUP(A188,IMPORTRANGE(""1QZ5UxyNCwadreQAXnQ7oCoH982DjIA-QnZdO7ZoqkC0/edit#gid=884617569"",""S4 Totals!$A$2:$O$255""),13,FALSE)"),"")</f>
        <v/>
      </c>
      <c r="Q188" s="15" t="str">
        <f>IFERROR(__xludf.DUMMYFUNCTION("VLOOKUP(A188,IMPORTRANGE(""1QZ5UxyNCwadreQAXnQ7oCoH982DjIA-QnZdO7ZoqkC0/edit#gid=884617569"",""S4 Totals!$A$2:$O$255""),14,FALSE)"),"")</f>
        <v/>
      </c>
      <c r="R188" s="110"/>
    </row>
    <row r="189">
      <c r="A189" s="128" t="s">
        <v>193</v>
      </c>
      <c r="B189" s="16">
        <f>IFERROR(__xludf.DUMMYFUNCTION("VLOOKUP(A189,IMPORTRANGE(""1aFCnJY1qhIj8-JckJhDJ18aqmVo17tofpQmOjcYa3u8/edit#gid=1878241338"",""S4 Totals!$A$2:$O$255""),2,FALSE)"),1.0)</f>
        <v>1</v>
      </c>
      <c r="C189" s="15">
        <f>IFERROR(__xludf.DUMMYFUNCTION("VLOOKUP(A189,IMPORTRANGE(""1aFCnJY1qhIj8-JckJhDJ18aqmVo17tofpQmOjcYa3u8/edit#gid=1878241338"",""S4 Totals!$A$2:$O$255""),3,FALSE)"),0.02)</f>
        <v>0.02</v>
      </c>
      <c r="D189" s="16">
        <f>IFERROR(__xludf.DUMMYFUNCTION("VLOOKUP(A189,IMPORTRANGE(""1QZ5UxyNCwadreQAXnQ7oCoH982DjIA-QnZdO7ZoqkC0/edit#gid=884617569"",""S4 Totals!$A$2:$O$255""),2,FALSE)"),1.0)</f>
        <v>1</v>
      </c>
      <c r="E189" s="15">
        <f>IFERROR(__xludf.DUMMYFUNCTION("VLOOKUP(A189,IMPORTRANGE(""1QZ5UxyNCwadreQAXnQ7oCoH982DjIA-QnZdO7ZoqkC0/edit#gid=884617569"",""S4 Totals!$A$2:$O$255""),3,FALSE)"),0.02127659574468085)</f>
        <v>0.02127659574</v>
      </c>
      <c r="F189" s="146">
        <f t="shared" si="1"/>
        <v>-0.001276595745</v>
      </c>
      <c r="G189" s="16">
        <f>IFERROR(__xludf.DUMMYFUNCTION("VLOOKUP(A189,IMPORTRANGE(""1QZ5UxyNCwadreQAXnQ7oCoH982DjIA-QnZdO7ZoqkC0/edit#gid=884617569"",""S4 Totals!$A$2:$O$255""),4,FALSE)"),3.0)</f>
        <v>3</v>
      </c>
      <c r="H189" s="15">
        <f>IFERROR(__xludf.DUMMYFUNCTION("VLOOKUP(A189,IMPORTRANGE(""1QZ5UxyNCwadreQAXnQ7oCoH982DjIA-QnZdO7ZoqkC0/edit#gid=884617569"",""S4 Totals!$A$2:$O$255""),5,FALSE)"),0.047619047619047616)</f>
        <v>0.04761904762</v>
      </c>
      <c r="I189" s="143"/>
      <c r="J189" s="16">
        <f>IFERROR(__xludf.DUMMYFUNCTION("VLOOKUP(A189,IMPORTRANGE(""1QZ5UxyNCwadreQAXnQ7oCoH982DjIA-QnZdO7ZoqkC0/edit#gid=884617569"",""S4 Totals!$A$2:$O$255""),7,FALSE)"),1.0)</f>
        <v>1</v>
      </c>
      <c r="K189" s="15">
        <f>IFERROR(__xludf.DUMMYFUNCTION("VLOOKUP(A189,IMPORTRANGE(""1QZ5UxyNCwadreQAXnQ7oCoH982DjIA-QnZdO7ZoqkC0/edit#gid=884617569"",""S4 Totals!$A$2:$O$255""),8,FALSE)"),0.014285714285714285)</f>
        <v>0.01428571429</v>
      </c>
      <c r="L189" s="147"/>
      <c r="M189" s="16" t="str">
        <f>IFERROR(__xludf.DUMMYFUNCTION("VLOOKUP(A189,IMPORTRANGE(""1QZ5UxyNCwadreQAXnQ7oCoH982DjIA-QnZdO7ZoqkC0/edit#gid=884617569"",""S4 Totals!$A$2:$O$255""),10,FALSE)"),"")</f>
        <v/>
      </c>
      <c r="N189" s="15" t="str">
        <f>IFERROR(__xludf.DUMMYFUNCTION("VLOOKUP(A189,IMPORTRANGE(""1QZ5UxyNCwadreQAXnQ7oCoH982DjIA-QnZdO7ZoqkC0/edit#gid=884617569"",""S4 Totals!$A$2:$O$255""),11,FALSE)"),"")</f>
        <v/>
      </c>
      <c r="O189" s="110"/>
      <c r="P189" s="16" t="str">
        <f>IFERROR(__xludf.DUMMYFUNCTION("VLOOKUP(A189,IMPORTRANGE(""1QZ5UxyNCwadreQAXnQ7oCoH982DjIA-QnZdO7ZoqkC0/edit#gid=884617569"",""S4 Totals!$A$2:$O$255""),13,FALSE)"),"")</f>
        <v/>
      </c>
      <c r="Q189" s="15" t="str">
        <f>IFERROR(__xludf.DUMMYFUNCTION("VLOOKUP(A189,IMPORTRANGE(""1QZ5UxyNCwadreQAXnQ7oCoH982DjIA-QnZdO7ZoqkC0/edit#gid=884617569"",""S4 Totals!$A$2:$O$255""),14,FALSE)"),"")</f>
        <v/>
      </c>
      <c r="R189" s="110"/>
    </row>
    <row r="190">
      <c r="A190" s="128" t="s">
        <v>194</v>
      </c>
      <c r="B190" s="16">
        <f>IFERROR(__xludf.DUMMYFUNCTION("VLOOKUP(A190,IMPORTRANGE(""1aFCnJY1qhIj8-JckJhDJ18aqmVo17tofpQmOjcYa3u8/edit#gid=1878241338"",""S4 Totals!$A$2:$O$255""),2,FALSE)"),8.0)</f>
        <v>8</v>
      </c>
      <c r="C190" s="15">
        <f>IFERROR(__xludf.DUMMYFUNCTION("VLOOKUP(A190,IMPORTRANGE(""1aFCnJY1qhIj8-JckJhDJ18aqmVo17tofpQmOjcYa3u8/edit#gid=1878241338"",""S4 Totals!$A$2:$O$255""),3,FALSE)"),0.16)</f>
        <v>0.16</v>
      </c>
      <c r="D190" s="16">
        <f>IFERROR(__xludf.DUMMYFUNCTION("VLOOKUP(A190,IMPORTRANGE(""1QZ5UxyNCwadreQAXnQ7oCoH982DjIA-QnZdO7ZoqkC0/edit#gid=884617569"",""S4 Totals!$A$2:$O$255""),2,FALSE)"),9.0)</f>
        <v>9</v>
      </c>
      <c r="E190" s="15">
        <f>IFERROR(__xludf.DUMMYFUNCTION("VLOOKUP(A190,IMPORTRANGE(""1QZ5UxyNCwadreQAXnQ7oCoH982DjIA-QnZdO7ZoqkC0/edit#gid=884617569"",""S4 Totals!$A$2:$O$255""),3,FALSE)"),0.19148936170212766)</f>
        <v>0.1914893617</v>
      </c>
      <c r="F190" s="146">
        <f t="shared" si="1"/>
        <v>-0.0314893617</v>
      </c>
      <c r="G190" s="16">
        <f>IFERROR(__xludf.DUMMYFUNCTION("VLOOKUP(A190,IMPORTRANGE(""1QZ5UxyNCwadreQAXnQ7oCoH982DjIA-QnZdO7ZoqkC0/edit#gid=884617569"",""S4 Totals!$A$2:$O$255""),4,FALSE)"),11.0)</f>
        <v>11</v>
      </c>
      <c r="H190" s="15">
        <f>IFERROR(__xludf.DUMMYFUNCTION("VLOOKUP(A190,IMPORTRANGE(""1QZ5UxyNCwadreQAXnQ7oCoH982DjIA-QnZdO7ZoqkC0/edit#gid=884617569"",""S4 Totals!$A$2:$O$255""),5,FALSE)"),0.1746031746031746)</f>
        <v>0.1746031746</v>
      </c>
      <c r="I190" s="143"/>
      <c r="J190" s="16">
        <f>IFERROR(__xludf.DUMMYFUNCTION("VLOOKUP(A190,IMPORTRANGE(""1QZ5UxyNCwadreQAXnQ7oCoH982DjIA-QnZdO7ZoqkC0/edit#gid=884617569"",""S4 Totals!$A$2:$O$255""),7,FALSE)"),7.0)</f>
        <v>7</v>
      </c>
      <c r="K190" s="15">
        <f>IFERROR(__xludf.DUMMYFUNCTION("VLOOKUP(A190,IMPORTRANGE(""1QZ5UxyNCwadreQAXnQ7oCoH982DjIA-QnZdO7ZoqkC0/edit#gid=884617569"",""S4 Totals!$A$2:$O$255""),8,FALSE)"),0.1)</f>
        <v>0.1</v>
      </c>
      <c r="L190" s="147"/>
      <c r="M190" s="16" t="str">
        <f>IFERROR(__xludf.DUMMYFUNCTION("VLOOKUP(A190,IMPORTRANGE(""1QZ5UxyNCwadreQAXnQ7oCoH982DjIA-QnZdO7ZoqkC0/edit#gid=884617569"",""S4 Totals!$A$2:$O$255""),10,FALSE)"),"")</f>
        <v/>
      </c>
      <c r="N190" s="15" t="str">
        <f>IFERROR(__xludf.DUMMYFUNCTION("VLOOKUP(A190,IMPORTRANGE(""1QZ5UxyNCwadreQAXnQ7oCoH982DjIA-QnZdO7ZoqkC0/edit#gid=884617569"",""S4 Totals!$A$2:$O$255""),11,FALSE)"),"")</f>
        <v/>
      </c>
      <c r="O190" s="110"/>
      <c r="P190" s="16" t="str">
        <f>IFERROR(__xludf.DUMMYFUNCTION("VLOOKUP(A190,IMPORTRANGE(""1QZ5UxyNCwadreQAXnQ7oCoH982DjIA-QnZdO7ZoqkC0/edit#gid=884617569"",""S4 Totals!$A$2:$O$255""),13,FALSE)"),"")</f>
        <v/>
      </c>
      <c r="Q190" s="15" t="str">
        <f>IFERROR(__xludf.DUMMYFUNCTION("VLOOKUP(A190,IMPORTRANGE(""1QZ5UxyNCwadreQAXnQ7oCoH982DjIA-QnZdO7ZoqkC0/edit#gid=884617569"",""S4 Totals!$A$2:$O$255""),14,FALSE)"),"")</f>
        <v/>
      </c>
      <c r="R190" s="110"/>
    </row>
    <row r="191">
      <c r="A191" s="134" t="s">
        <v>277</v>
      </c>
      <c r="B191" s="16">
        <f>IFERROR(__xludf.DUMMYFUNCTION("VLOOKUP(A191,IMPORTRANGE(""1aFCnJY1qhIj8-JckJhDJ18aqmVo17tofpQmOjcYa3u8/edit#gid=1878241338"",""S4 Totals!$A$2:$O$255""),2,FALSE)"),0.0)</f>
        <v>0</v>
      </c>
      <c r="C191" s="15">
        <f>IFERROR(__xludf.DUMMYFUNCTION("VLOOKUP(A191,IMPORTRANGE(""1aFCnJY1qhIj8-JckJhDJ18aqmVo17tofpQmOjcYa3u8/edit#gid=1878241338"",""S4 Totals!$A$2:$O$255""),3,FALSE)"),0.0)</f>
        <v>0</v>
      </c>
      <c r="D191" s="16" t="str">
        <f>IFERROR(__xludf.DUMMYFUNCTION("VLOOKUP(A191,IMPORTRANGE(""1QZ5UxyNCwadreQAXnQ7oCoH982DjIA-QnZdO7ZoqkC0/edit#gid=884617569"",""S4 Totals!$A$2:$O$255""),2,FALSE)"),"#N/A")</f>
        <v>#N/A</v>
      </c>
      <c r="E191" s="15" t="str">
        <f>IFERROR(__xludf.DUMMYFUNCTION("VLOOKUP(A191,IMPORTRANGE(""1QZ5UxyNCwadreQAXnQ7oCoH982DjIA-QnZdO7ZoqkC0/edit#gid=884617569"",""S4 Totals!$A$2:$O$255""),3,FALSE)"),"#N/A")</f>
        <v>#N/A</v>
      </c>
      <c r="F191" s="146" t="str">
        <f t="shared" si="1"/>
        <v>#N/A</v>
      </c>
      <c r="G191" s="16" t="str">
        <f>IFERROR(__xludf.DUMMYFUNCTION("VLOOKUP(A191,IMPORTRANGE(""1QZ5UxyNCwadreQAXnQ7oCoH982DjIA-QnZdO7ZoqkC0/edit#gid=884617569"",""S4 Totals!$A$2:$O$255""),4,FALSE)"),"#N/A")</f>
        <v>#N/A</v>
      </c>
      <c r="H191" s="15" t="str">
        <f>IFERROR(__xludf.DUMMYFUNCTION("VLOOKUP(A191,IMPORTRANGE(""1QZ5UxyNCwadreQAXnQ7oCoH982DjIA-QnZdO7ZoqkC0/edit#gid=884617569"",""S4 Totals!$A$2:$O$255""),5,FALSE)"),"#N/A")</f>
        <v>#N/A</v>
      </c>
      <c r="I191" s="143"/>
      <c r="J191" s="16" t="str">
        <f>IFERROR(__xludf.DUMMYFUNCTION("VLOOKUP(A191,IMPORTRANGE(""1QZ5UxyNCwadreQAXnQ7oCoH982DjIA-QnZdO7ZoqkC0/edit#gid=884617569"",""S4 Totals!$A$2:$O$255""),7,FALSE)"),"#N/A")</f>
        <v>#N/A</v>
      </c>
      <c r="K191" s="15" t="str">
        <f>IFERROR(__xludf.DUMMYFUNCTION("VLOOKUP(A191,IMPORTRANGE(""1QZ5UxyNCwadreQAXnQ7oCoH982DjIA-QnZdO7ZoqkC0/edit#gid=884617569"",""S4 Totals!$A$2:$O$255""),8,FALSE)"),"#N/A")</f>
        <v>#N/A</v>
      </c>
      <c r="L191" s="147"/>
      <c r="M191" s="16" t="str">
        <f>IFERROR(__xludf.DUMMYFUNCTION("VLOOKUP(A191,IMPORTRANGE(""1QZ5UxyNCwadreQAXnQ7oCoH982DjIA-QnZdO7ZoqkC0/edit#gid=884617569"",""S4 Totals!$A$2:$O$255""),10,FALSE)"),"#N/A")</f>
        <v>#N/A</v>
      </c>
      <c r="N191" s="15" t="str">
        <f>IFERROR(__xludf.DUMMYFUNCTION("VLOOKUP(A191,IMPORTRANGE(""1QZ5UxyNCwadreQAXnQ7oCoH982DjIA-QnZdO7ZoqkC0/edit#gid=884617569"",""S4 Totals!$A$2:$O$255""),11,FALSE)"),"#N/A")</f>
        <v>#N/A</v>
      </c>
      <c r="O191" s="110"/>
      <c r="P191" s="16" t="str">
        <f>IFERROR(__xludf.DUMMYFUNCTION("VLOOKUP(A191,IMPORTRANGE(""1QZ5UxyNCwadreQAXnQ7oCoH982DjIA-QnZdO7ZoqkC0/edit#gid=884617569"",""S4 Totals!$A$2:$O$255""),13,FALSE)"),"#N/A")</f>
        <v>#N/A</v>
      </c>
      <c r="Q191" s="15" t="str">
        <f>IFERROR(__xludf.DUMMYFUNCTION("VLOOKUP(A191,IMPORTRANGE(""1QZ5UxyNCwadreQAXnQ7oCoH982DjIA-QnZdO7ZoqkC0/edit#gid=884617569"",""S4 Totals!$A$2:$O$255""),14,FALSE)"),"#N/A")</f>
        <v>#N/A</v>
      </c>
      <c r="R191" s="110"/>
    </row>
    <row r="192">
      <c r="A192" s="128" t="s">
        <v>44</v>
      </c>
      <c r="B192" s="16">
        <f>IFERROR(__xludf.DUMMYFUNCTION("VLOOKUP(A192,IMPORTRANGE(""1aFCnJY1qhIj8-JckJhDJ18aqmVo17tofpQmOjcYa3u8/edit#gid=1878241338"",""S4 Totals!$A$2:$O$255""),2,FALSE)"),4.0)</f>
        <v>4</v>
      </c>
      <c r="C192" s="15">
        <f>IFERROR(__xludf.DUMMYFUNCTION("VLOOKUP(A192,IMPORTRANGE(""1aFCnJY1qhIj8-JckJhDJ18aqmVo17tofpQmOjcYa3u8/edit#gid=1878241338"",""S4 Totals!$A$2:$O$255""),3,FALSE)"),0.08)</f>
        <v>0.08</v>
      </c>
      <c r="D192" s="16">
        <f>IFERROR(__xludf.DUMMYFUNCTION("VLOOKUP(A192,IMPORTRANGE(""1QZ5UxyNCwadreQAXnQ7oCoH982DjIA-QnZdO7ZoqkC0/edit#gid=884617569"",""S4 Totals!$A$2:$O$255""),2,FALSE)"),6.0)</f>
        <v>6</v>
      </c>
      <c r="E192" s="15">
        <f>IFERROR(__xludf.DUMMYFUNCTION("VLOOKUP(A192,IMPORTRANGE(""1QZ5UxyNCwadreQAXnQ7oCoH982DjIA-QnZdO7ZoqkC0/edit#gid=884617569"",""S4 Totals!$A$2:$O$255""),3,FALSE)"),0.1276595744680851)</f>
        <v>0.1276595745</v>
      </c>
      <c r="F192" s="146">
        <f t="shared" si="1"/>
        <v>-0.04765957447</v>
      </c>
      <c r="G192" s="16">
        <f>IFERROR(__xludf.DUMMYFUNCTION("VLOOKUP(A192,IMPORTRANGE(""1QZ5UxyNCwadreQAXnQ7oCoH982DjIA-QnZdO7ZoqkC0/edit#gid=884617569"",""S4 Totals!$A$2:$O$255""),4,FALSE)"),6.0)</f>
        <v>6</v>
      </c>
      <c r="H192" s="15">
        <f>IFERROR(__xludf.DUMMYFUNCTION("VLOOKUP(A192,IMPORTRANGE(""1QZ5UxyNCwadreQAXnQ7oCoH982DjIA-QnZdO7ZoqkC0/edit#gid=884617569"",""S4 Totals!$A$2:$O$255""),5,FALSE)"),0.09523809523809523)</f>
        <v>0.09523809524</v>
      </c>
      <c r="I192" s="143"/>
      <c r="J192" s="16">
        <f>IFERROR(__xludf.DUMMYFUNCTION("VLOOKUP(A192,IMPORTRANGE(""1QZ5UxyNCwadreQAXnQ7oCoH982DjIA-QnZdO7ZoqkC0/edit#gid=884617569"",""S4 Totals!$A$2:$O$255""),7,FALSE)"),5.0)</f>
        <v>5</v>
      </c>
      <c r="K192" s="15">
        <f>IFERROR(__xludf.DUMMYFUNCTION("VLOOKUP(A192,IMPORTRANGE(""1QZ5UxyNCwadreQAXnQ7oCoH982DjIA-QnZdO7ZoqkC0/edit#gid=884617569"",""S4 Totals!$A$2:$O$255""),8,FALSE)"),0.07142857142857142)</f>
        <v>0.07142857143</v>
      </c>
      <c r="L192" s="147"/>
      <c r="M192" s="16">
        <f>IFERROR(__xludf.DUMMYFUNCTION("VLOOKUP(A192,IMPORTRANGE(""1QZ5UxyNCwadreQAXnQ7oCoH982DjIA-QnZdO7ZoqkC0/edit#gid=884617569"",""S4 Totals!$A$2:$O$255""),10,FALSE)"),9.0)</f>
        <v>9</v>
      </c>
      <c r="N192" s="15">
        <f>IFERROR(__xludf.DUMMYFUNCTION("VLOOKUP(A192,IMPORTRANGE(""1QZ5UxyNCwadreQAXnQ7oCoH982DjIA-QnZdO7ZoqkC0/edit#gid=884617569"",""S4 Totals!$A$2:$O$255""),11,FALSE)"),0.12162162162162163)</f>
        <v>0.1216216216</v>
      </c>
      <c r="O192" s="110"/>
      <c r="P192" s="16">
        <f>IFERROR(__xludf.DUMMYFUNCTION("VLOOKUP(A192,IMPORTRANGE(""1QZ5UxyNCwadreQAXnQ7oCoH982DjIA-QnZdO7ZoqkC0/edit#gid=884617569"",""S4 Totals!$A$2:$O$255""),13,FALSE)"),5.0)</f>
        <v>5</v>
      </c>
      <c r="Q192" s="15">
        <f>IFERROR(__xludf.DUMMYFUNCTION("VLOOKUP(A192,IMPORTRANGE(""1QZ5UxyNCwadreQAXnQ7oCoH982DjIA-QnZdO7ZoqkC0/edit#gid=884617569"",""S4 Totals!$A$2:$O$255""),14,FALSE)"),0.06666666666666667)</f>
        <v>0.06666666667</v>
      </c>
      <c r="R192" s="110"/>
    </row>
    <row r="193">
      <c r="A193" s="128" t="s">
        <v>252</v>
      </c>
      <c r="B193" s="16">
        <f>IFERROR(__xludf.DUMMYFUNCTION("VLOOKUP(A193,IMPORTRANGE(""1aFCnJY1qhIj8-JckJhDJ18aqmVo17tofpQmOjcYa3u8/edit#gid=1878241338"",""S4 Totals!$A$2:$O$255""),2,FALSE)"),3.0)</f>
        <v>3</v>
      </c>
      <c r="C193" s="15">
        <f>IFERROR(__xludf.DUMMYFUNCTION("VLOOKUP(A193,IMPORTRANGE(""1aFCnJY1qhIj8-JckJhDJ18aqmVo17tofpQmOjcYa3u8/edit#gid=1878241338"",""S4 Totals!$A$2:$O$255""),3,FALSE)"),0.06)</f>
        <v>0.06</v>
      </c>
      <c r="D193" s="16">
        <f>IFERROR(__xludf.DUMMYFUNCTION("VLOOKUP(A193,IMPORTRANGE(""1QZ5UxyNCwadreQAXnQ7oCoH982DjIA-QnZdO7ZoqkC0/edit#gid=884617569"",""S4 Totals!$A$2:$O$255""),2,FALSE)"),0.0)</f>
        <v>0</v>
      </c>
      <c r="E193" s="15">
        <f>IFERROR(__xludf.DUMMYFUNCTION("VLOOKUP(A193,IMPORTRANGE(""1QZ5UxyNCwadreQAXnQ7oCoH982DjIA-QnZdO7ZoqkC0/edit#gid=884617569"",""S4 Totals!$A$2:$O$255""),3,FALSE)"),0.0)</f>
        <v>0</v>
      </c>
      <c r="F193" s="146">
        <f t="shared" si="1"/>
        <v>0.06</v>
      </c>
      <c r="G193" s="16">
        <f>IFERROR(__xludf.DUMMYFUNCTION("VLOOKUP(A193,IMPORTRANGE(""1QZ5UxyNCwadreQAXnQ7oCoH982DjIA-QnZdO7ZoqkC0/edit#gid=884617569"",""S4 Totals!$A$2:$O$255""),4,FALSE)"),4.0)</f>
        <v>4</v>
      </c>
      <c r="H193" s="15">
        <f>IFERROR(__xludf.DUMMYFUNCTION("VLOOKUP(A193,IMPORTRANGE(""1QZ5UxyNCwadreQAXnQ7oCoH982DjIA-QnZdO7ZoqkC0/edit#gid=884617569"",""S4 Totals!$A$2:$O$255""),5,FALSE)"),0.06349206349206349)</f>
        <v>0.06349206349</v>
      </c>
      <c r="I193" s="143"/>
      <c r="J193" s="16" t="str">
        <f>IFERROR(__xludf.DUMMYFUNCTION("VLOOKUP(A193,IMPORTRANGE(""1QZ5UxyNCwadreQAXnQ7oCoH982DjIA-QnZdO7ZoqkC0/edit#gid=884617569"",""S4 Totals!$A$2:$O$255""),7,FALSE)"),"")</f>
        <v/>
      </c>
      <c r="K193" s="15" t="str">
        <f>IFERROR(__xludf.DUMMYFUNCTION("VLOOKUP(A193,IMPORTRANGE(""1QZ5UxyNCwadreQAXnQ7oCoH982DjIA-QnZdO7ZoqkC0/edit#gid=884617569"",""S4 Totals!$A$2:$O$255""),8,FALSE)"),"")</f>
        <v/>
      </c>
      <c r="L193" s="147"/>
      <c r="M193" s="16" t="str">
        <f>IFERROR(__xludf.DUMMYFUNCTION("VLOOKUP(A193,IMPORTRANGE(""1QZ5UxyNCwadreQAXnQ7oCoH982DjIA-QnZdO7ZoqkC0/edit#gid=884617569"",""S4 Totals!$A$2:$O$255""),10,FALSE)"),"")</f>
        <v/>
      </c>
      <c r="N193" s="15" t="str">
        <f>IFERROR(__xludf.DUMMYFUNCTION("VLOOKUP(A193,IMPORTRANGE(""1QZ5UxyNCwadreQAXnQ7oCoH982DjIA-QnZdO7ZoqkC0/edit#gid=884617569"",""S4 Totals!$A$2:$O$255""),11,FALSE)"),"")</f>
        <v/>
      </c>
      <c r="O193" s="110"/>
      <c r="P193" s="16" t="str">
        <f>IFERROR(__xludf.DUMMYFUNCTION("VLOOKUP(A193,IMPORTRANGE(""1QZ5UxyNCwadreQAXnQ7oCoH982DjIA-QnZdO7ZoqkC0/edit#gid=884617569"",""S4 Totals!$A$2:$O$255""),13,FALSE)"),"")</f>
        <v/>
      </c>
      <c r="Q193" s="15" t="str">
        <f>IFERROR(__xludf.DUMMYFUNCTION("VLOOKUP(A193,IMPORTRANGE(""1QZ5UxyNCwadreQAXnQ7oCoH982DjIA-QnZdO7ZoqkC0/edit#gid=884617569"",""S4 Totals!$A$2:$O$255""),14,FALSE)"),"")</f>
        <v/>
      </c>
      <c r="R193" s="110"/>
    </row>
    <row r="194">
      <c r="A194" s="128" t="s">
        <v>90</v>
      </c>
      <c r="B194" s="16">
        <f>IFERROR(__xludf.DUMMYFUNCTION("VLOOKUP(A194,IMPORTRANGE(""1aFCnJY1qhIj8-JckJhDJ18aqmVo17tofpQmOjcYa3u8/edit#gid=1878241338"",""S4 Totals!$A$2:$O$255""),2,FALSE)"),4.0)</f>
        <v>4</v>
      </c>
      <c r="C194" s="15">
        <f>IFERROR(__xludf.DUMMYFUNCTION("VLOOKUP(A194,IMPORTRANGE(""1aFCnJY1qhIj8-JckJhDJ18aqmVo17tofpQmOjcYa3u8/edit#gid=1878241338"",""S4 Totals!$A$2:$O$255""),3,FALSE)"),0.08)</f>
        <v>0.08</v>
      </c>
      <c r="D194" s="16">
        <f>IFERROR(__xludf.DUMMYFUNCTION("VLOOKUP(A194,IMPORTRANGE(""1QZ5UxyNCwadreQAXnQ7oCoH982DjIA-QnZdO7ZoqkC0/edit#gid=884617569"",""S4 Totals!$A$2:$O$255""),2,FALSE)"),13.0)</f>
        <v>13</v>
      </c>
      <c r="E194" s="15">
        <f>IFERROR(__xludf.DUMMYFUNCTION("VLOOKUP(A194,IMPORTRANGE(""1QZ5UxyNCwadreQAXnQ7oCoH982DjIA-QnZdO7ZoqkC0/edit#gid=884617569"",""S4 Totals!$A$2:$O$255""),3,FALSE)"),0.2765957446808511)</f>
        <v>0.2765957447</v>
      </c>
      <c r="F194" s="146">
        <f t="shared" si="1"/>
        <v>-0.1965957447</v>
      </c>
      <c r="G194" s="16">
        <f>IFERROR(__xludf.DUMMYFUNCTION("VLOOKUP(A194,IMPORTRANGE(""1QZ5UxyNCwadreQAXnQ7oCoH982DjIA-QnZdO7ZoqkC0/edit#gid=884617569"",""S4 Totals!$A$2:$O$255""),4,FALSE)"),18.0)</f>
        <v>18</v>
      </c>
      <c r="H194" s="15">
        <f>IFERROR(__xludf.DUMMYFUNCTION("VLOOKUP(A194,IMPORTRANGE(""1QZ5UxyNCwadreQAXnQ7oCoH982DjIA-QnZdO7ZoqkC0/edit#gid=884617569"",""S4 Totals!$A$2:$O$255""),5,FALSE)"),0.2857142857142857)</f>
        <v>0.2857142857</v>
      </c>
      <c r="I194" s="143"/>
      <c r="J194" s="16">
        <f>IFERROR(__xludf.DUMMYFUNCTION("VLOOKUP(A194,IMPORTRANGE(""1QZ5UxyNCwadreQAXnQ7oCoH982DjIA-QnZdO7ZoqkC0/edit#gid=884617569"",""S4 Totals!$A$2:$O$255""),7,FALSE)"),14.0)</f>
        <v>14</v>
      </c>
      <c r="K194" s="15">
        <f>IFERROR(__xludf.DUMMYFUNCTION("VLOOKUP(A194,IMPORTRANGE(""1QZ5UxyNCwadreQAXnQ7oCoH982DjIA-QnZdO7ZoqkC0/edit#gid=884617569"",""S4 Totals!$A$2:$O$255""),8,FALSE)"),0.2)</f>
        <v>0.2</v>
      </c>
      <c r="L194" s="147"/>
      <c r="M194" s="16">
        <f>IFERROR(__xludf.DUMMYFUNCTION("VLOOKUP(A194,IMPORTRANGE(""1QZ5UxyNCwadreQAXnQ7oCoH982DjIA-QnZdO7ZoqkC0/edit#gid=884617569"",""S4 Totals!$A$2:$O$255""),10,FALSE)"),19.0)</f>
        <v>19</v>
      </c>
      <c r="N194" s="15">
        <f>IFERROR(__xludf.DUMMYFUNCTION("VLOOKUP(A194,IMPORTRANGE(""1QZ5UxyNCwadreQAXnQ7oCoH982DjIA-QnZdO7ZoqkC0/edit#gid=884617569"",""S4 Totals!$A$2:$O$255""),11,FALSE)"),0.25675675675675674)</f>
        <v>0.2567567568</v>
      </c>
      <c r="O194" s="110"/>
      <c r="P194" s="16">
        <f>IFERROR(__xludf.DUMMYFUNCTION("VLOOKUP(A194,IMPORTRANGE(""1QZ5UxyNCwadreQAXnQ7oCoH982DjIA-QnZdO7ZoqkC0/edit#gid=884617569"",""S4 Totals!$A$2:$O$255""),13,FALSE)"),19.0)</f>
        <v>19</v>
      </c>
      <c r="Q194" s="15">
        <f>IFERROR(__xludf.DUMMYFUNCTION("VLOOKUP(A194,IMPORTRANGE(""1QZ5UxyNCwadreQAXnQ7oCoH982DjIA-QnZdO7ZoqkC0/edit#gid=884617569"",""S4 Totals!$A$2:$O$255""),14,FALSE)"),0.25333333333333335)</f>
        <v>0.2533333333</v>
      </c>
      <c r="R194" s="110"/>
    </row>
    <row r="195">
      <c r="A195" s="128" t="s">
        <v>91</v>
      </c>
      <c r="B195" s="16">
        <f>IFERROR(__xludf.DUMMYFUNCTION("VLOOKUP(A195,IMPORTRANGE(""1aFCnJY1qhIj8-JckJhDJ18aqmVo17tofpQmOjcYa3u8/edit#gid=1878241338"",""S4 Totals!$A$2:$O$255""),2,FALSE)"),15.0)</f>
        <v>15</v>
      </c>
      <c r="C195" s="15">
        <f>IFERROR(__xludf.DUMMYFUNCTION("VLOOKUP(A195,IMPORTRANGE(""1aFCnJY1qhIj8-JckJhDJ18aqmVo17tofpQmOjcYa3u8/edit#gid=1878241338"",""S4 Totals!$A$2:$O$255""),3,FALSE)"),0.3)</f>
        <v>0.3</v>
      </c>
      <c r="D195" s="16">
        <f>IFERROR(__xludf.DUMMYFUNCTION("VLOOKUP(A195,IMPORTRANGE(""1QZ5UxyNCwadreQAXnQ7oCoH982DjIA-QnZdO7ZoqkC0/edit#gid=884617569"",""S4 Totals!$A$2:$O$255""),2,FALSE)"),2.0)</f>
        <v>2</v>
      </c>
      <c r="E195" s="15">
        <f>IFERROR(__xludf.DUMMYFUNCTION("VLOOKUP(A195,IMPORTRANGE(""1QZ5UxyNCwadreQAXnQ7oCoH982DjIA-QnZdO7ZoqkC0/edit#gid=884617569"",""S4 Totals!$A$2:$O$255""),3,FALSE)"),0.0425531914893617)</f>
        <v>0.04255319149</v>
      </c>
      <c r="F195" s="146">
        <f t="shared" si="1"/>
        <v>0.2574468085</v>
      </c>
      <c r="G195" s="16">
        <f>IFERROR(__xludf.DUMMYFUNCTION("VLOOKUP(A195,IMPORTRANGE(""1QZ5UxyNCwadreQAXnQ7oCoH982DjIA-QnZdO7ZoqkC0/edit#gid=884617569"",""S4 Totals!$A$2:$O$255""),4,FALSE)"),4.0)</f>
        <v>4</v>
      </c>
      <c r="H195" s="15">
        <f>IFERROR(__xludf.DUMMYFUNCTION("VLOOKUP(A195,IMPORTRANGE(""1QZ5UxyNCwadreQAXnQ7oCoH982DjIA-QnZdO7ZoqkC0/edit#gid=884617569"",""S4 Totals!$A$2:$O$255""),5,FALSE)"),0.06349206349206349)</f>
        <v>0.06349206349</v>
      </c>
      <c r="I195" s="143"/>
      <c r="J195" s="16">
        <f>IFERROR(__xludf.DUMMYFUNCTION("VLOOKUP(A195,IMPORTRANGE(""1QZ5UxyNCwadreQAXnQ7oCoH982DjIA-QnZdO7ZoqkC0/edit#gid=884617569"",""S4 Totals!$A$2:$O$255""),7,FALSE)"),3.0)</f>
        <v>3</v>
      </c>
      <c r="K195" s="15">
        <f>IFERROR(__xludf.DUMMYFUNCTION("VLOOKUP(A195,IMPORTRANGE(""1QZ5UxyNCwadreQAXnQ7oCoH982DjIA-QnZdO7ZoqkC0/edit#gid=884617569"",""S4 Totals!$A$2:$O$255""),8,FALSE)"),0.04285714285714286)</f>
        <v>0.04285714286</v>
      </c>
      <c r="L195" s="147"/>
      <c r="M195" s="16">
        <f>IFERROR(__xludf.DUMMYFUNCTION("VLOOKUP(A195,IMPORTRANGE(""1QZ5UxyNCwadreQAXnQ7oCoH982DjIA-QnZdO7ZoqkC0/edit#gid=884617569"",""S4 Totals!$A$2:$O$255""),10,FALSE)"),0.0)</f>
        <v>0</v>
      </c>
      <c r="N195" s="15">
        <f>IFERROR(__xludf.DUMMYFUNCTION("VLOOKUP(A195,IMPORTRANGE(""1QZ5UxyNCwadreQAXnQ7oCoH982DjIA-QnZdO7ZoqkC0/edit#gid=884617569"",""S4 Totals!$A$2:$O$255""),11,FALSE)"),0.0)</f>
        <v>0</v>
      </c>
      <c r="O195" s="110"/>
      <c r="P195" s="16">
        <f>IFERROR(__xludf.DUMMYFUNCTION("VLOOKUP(A195,IMPORTRANGE(""1QZ5UxyNCwadreQAXnQ7oCoH982DjIA-QnZdO7ZoqkC0/edit#gid=884617569"",""S4 Totals!$A$2:$O$255""),13,FALSE)"),0.0)</f>
        <v>0</v>
      </c>
      <c r="Q195" s="15">
        <f>IFERROR(__xludf.DUMMYFUNCTION("VLOOKUP(A195,IMPORTRANGE(""1QZ5UxyNCwadreQAXnQ7oCoH982DjIA-QnZdO7ZoqkC0/edit#gid=884617569"",""S4 Totals!$A$2:$O$255""),14,FALSE)"),0.0)</f>
        <v>0</v>
      </c>
      <c r="R195" s="110"/>
    </row>
    <row r="196">
      <c r="A196" s="128" t="s">
        <v>144</v>
      </c>
      <c r="B196" s="16">
        <f>IFERROR(__xludf.DUMMYFUNCTION("VLOOKUP(A196,IMPORTRANGE(""1aFCnJY1qhIj8-JckJhDJ18aqmVo17tofpQmOjcYa3u8/edit#gid=1878241338"",""S4 Totals!$A$2:$O$255""),2,FALSE)"),9.0)</f>
        <v>9</v>
      </c>
      <c r="C196" s="15">
        <f>IFERROR(__xludf.DUMMYFUNCTION("VLOOKUP(A196,IMPORTRANGE(""1aFCnJY1qhIj8-JckJhDJ18aqmVo17tofpQmOjcYa3u8/edit#gid=1878241338"",""S4 Totals!$A$2:$O$255""),3,FALSE)"),0.18)</f>
        <v>0.18</v>
      </c>
      <c r="D196" s="16">
        <f>IFERROR(__xludf.DUMMYFUNCTION("VLOOKUP(A196,IMPORTRANGE(""1QZ5UxyNCwadreQAXnQ7oCoH982DjIA-QnZdO7ZoqkC0/edit#gid=884617569"",""S4 Totals!$A$2:$O$255""),2,FALSE)"),14.0)</f>
        <v>14</v>
      </c>
      <c r="E196" s="15">
        <f>IFERROR(__xludf.DUMMYFUNCTION("VLOOKUP(A196,IMPORTRANGE(""1QZ5UxyNCwadreQAXnQ7oCoH982DjIA-QnZdO7ZoqkC0/edit#gid=884617569"",""S4 Totals!$A$2:$O$255""),3,FALSE)"),0.2978723404255319)</f>
        <v>0.2978723404</v>
      </c>
      <c r="F196" s="146">
        <f t="shared" si="1"/>
        <v>-0.1178723404</v>
      </c>
      <c r="G196" s="16">
        <f>IFERROR(__xludf.DUMMYFUNCTION("VLOOKUP(A196,IMPORTRANGE(""1QZ5UxyNCwadreQAXnQ7oCoH982DjIA-QnZdO7ZoqkC0/edit#gid=884617569"",""S4 Totals!$A$2:$O$255""),4,FALSE)"),21.0)</f>
        <v>21</v>
      </c>
      <c r="H196" s="15">
        <f>IFERROR(__xludf.DUMMYFUNCTION("VLOOKUP(A196,IMPORTRANGE(""1QZ5UxyNCwadreQAXnQ7oCoH982DjIA-QnZdO7ZoqkC0/edit#gid=884617569"",""S4 Totals!$A$2:$O$255""),5,FALSE)"),0.3333333333333333)</f>
        <v>0.3333333333</v>
      </c>
      <c r="I196" s="143"/>
      <c r="J196" s="16">
        <f>IFERROR(__xludf.DUMMYFUNCTION("VLOOKUP(A196,IMPORTRANGE(""1QZ5UxyNCwadreQAXnQ7oCoH982DjIA-QnZdO7ZoqkC0/edit#gid=884617569"",""S4 Totals!$A$2:$O$255""),7,FALSE)"),6.0)</f>
        <v>6</v>
      </c>
      <c r="K196" s="15">
        <f>IFERROR(__xludf.DUMMYFUNCTION("VLOOKUP(A196,IMPORTRANGE(""1QZ5UxyNCwadreQAXnQ7oCoH982DjIA-QnZdO7ZoqkC0/edit#gid=884617569"",""S4 Totals!$A$2:$O$255""),8,FALSE)"),0.08571428571428572)</f>
        <v>0.08571428571</v>
      </c>
      <c r="L196" s="147"/>
      <c r="M196" s="16">
        <f>IFERROR(__xludf.DUMMYFUNCTION("VLOOKUP(A196,IMPORTRANGE(""1QZ5UxyNCwadreQAXnQ7oCoH982DjIA-QnZdO7ZoqkC0/edit#gid=884617569"",""S4 Totals!$A$2:$O$255""),10,FALSE)"),0.0)</f>
        <v>0</v>
      </c>
      <c r="N196" s="15">
        <f>IFERROR(__xludf.DUMMYFUNCTION("VLOOKUP(A196,IMPORTRANGE(""1QZ5UxyNCwadreQAXnQ7oCoH982DjIA-QnZdO7ZoqkC0/edit#gid=884617569"",""S4 Totals!$A$2:$O$255""),11,FALSE)"),0.0)</f>
        <v>0</v>
      </c>
      <c r="O196" s="110"/>
      <c r="P196" s="16" t="str">
        <f>IFERROR(__xludf.DUMMYFUNCTION("VLOOKUP(A196,IMPORTRANGE(""1QZ5UxyNCwadreQAXnQ7oCoH982DjIA-QnZdO7ZoqkC0/edit#gid=884617569"",""S4 Totals!$A$2:$O$255""),13,FALSE)"),"")</f>
        <v/>
      </c>
      <c r="Q196" s="15" t="str">
        <f>IFERROR(__xludf.DUMMYFUNCTION("VLOOKUP(A196,IMPORTRANGE(""1QZ5UxyNCwadreQAXnQ7oCoH982DjIA-QnZdO7ZoqkC0/edit#gid=884617569"",""S4 Totals!$A$2:$O$255""),14,FALSE)"),"")</f>
        <v/>
      </c>
      <c r="R196" s="110"/>
    </row>
    <row r="197">
      <c r="A197" s="128" t="s">
        <v>92</v>
      </c>
      <c r="B197" s="16">
        <f>IFERROR(__xludf.DUMMYFUNCTION("VLOOKUP(A197,IMPORTRANGE(""1aFCnJY1qhIj8-JckJhDJ18aqmVo17tofpQmOjcYa3u8/edit#gid=1878241338"",""S4 Totals!$A$2:$O$255""),2,FALSE)"),23.0)</f>
        <v>23</v>
      </c>
      <c r="C197" s="15">
        <f>IFERROR(__xludf.DUMMYFUNCTION("VLOOKUP(A197,IMPORTRANGE(""1aFCnJY1qhIj8-JckJhDJ18aqmVo17tofpQmOjcYa3u8/edit#gid=1878241338"",""S4 Totals!$A$2:$O$255""),3,FALSE)"),0.46)</f>
        <v>0.46</v>
      </c>
      <c r="D197" s="16">
        <f>IFERROR(__xludf.DUMMYFUNCTION("VLOOKUP(A197,IMPORTRANGE(""1QZ5UxyNCwadreQAXnQ7oCoH982DjIA-QnZdO7ZoqkC0/edit#gid=884617569"",""S4 Totals!$A$2:$O$255""),2,FALSE)"),21.0)</f>
        <v>21</v>
      </c>
      <c r="E197" s="15">
        <f>IFERROR(__xludf.DUMMYFUNCTION("VLOOKUP(A197,IMPORTRANGE(""1QZ5UxyNCwadreQAXnQ7oCoH982DjIA-QnZdO7ZoqkC0/edit#gid=884617569"",""S4 Totals!$A$2:$O$255""),3,FALSE)"),0.44680851063829785)</f>
        <v>0.4468085106</v>
      </c>
      <c r="F197" s="146">
        <f t="shared" si="1"/>
        <v>0.01319148936</v>
      </c>
      <c r="G197" s="16">
        <f>IFERROR(__xludf.DUMMYFUNCTION("VLOOKUP(A197,IMPORTRANGE(""1QZ5UxyNCwadreQAXnQ7oCoH982DjIA-QnZdO7ZoqkC0/edit#gid=884617569"",""S4 Totals!$A$2:$O$255""),4,FALSE)"),27.0)</f>
        <v>27</v>
      </c>
      <c r="H197" s="15">
        <f>IFERROR(__xludf.DUMMYFUNCTION("VLOOKUP(A197,IMPORTRANGE(""1QZ5UxyNCwadreQAXnQ7oCoH982DjIA-QnZdO7ZoqkC0/edit#gid=884617569"",""S4 Totals!$A$2:$O$255""),5,FALSE)"),0.42857142857142855)</f>
        <v>0.4285714286</v>
      </c>
      <c r="I197" s="143"/>
      <c r="J197" s="16">
        <f>IFERROR(__xludf.DUMMYFUNCTION("VLOOKUP(A197,IMPORTRANGE(""1QZ5UxyNCwadreQAXnQ7oCoH982DjIA-QnZdO7ZoqkC0/edit#gid=884617569"",""S4 Totals!$A$2:$O$255""),7,FALSE)"),20.0)</f>
        <v>20</v>
      </c>
      <c r="K197" s="15">
        <f>IFERROR(__xludf.DUMMYFUNCTION("VLOOKUP(A197,IMPORTRANGE(""1QZ5UxyNCwadreQAXnQ7oCoH982DjIA-QnZdO7ZoqkC0/edit#gid=884617569"",""S4 Totals!$A$2:$O$255""),8,FALSE)"),0.2857142857142857)</f>
        <v>0.2857142857</v>
      </c>
      <c r="L197" s="147"/>
      <c r="M197" s="16">
        <f>IFERROR(__xludf.DUMMYFUNCTION("VLOOKUP(A197,IMPORTRANGE(""1QZ5UxyNCwadreQAXnQ7oCoH982DjIA-QnZdO7ZoqkC0/edit#gid=884617569"",""S4 Totals!$A$2:$O$255""),10,FALSE)"),23.0)</f>
        <v>23</v>
      </c>
      <c r="N197" s="15">
        <f>IFERROR(__xludf.DUMMYFUNCTION("VLOOKUP(A197,IMPORTRANGE(""1QZ5UxyNCwadreQAXnQ7oCoH982DjIA-QnZdO7ZoqkC0/edit#gid=884617569"",""S4 Totals!$A$2:$O$255""),11,FALSE)"),0.3108108108108108)</f>
        <v>0.3108108108</v>
      </c>
      <c r="O197" s="110"/>
      <c r="P197" s="16">
        <f>IFERROR(__xludf.DUMMYFUNCTION("VLOOKUP(A197,IMPORTRANGE(""1QZ5UxyNCwadreQAXnQ7oCoH982DjIA-QnZdO7ZoqkC0/edit#gid=884617569"",""S4 Totals!$A$2:$O$255""),13,FALSE)"),17.0)</f>
        <v>17</v>
      </c>
      <c r="Q197" s="15">
        <f>IFERROR(__xludf.DUMMYFUNCTION("VLOOKUP(A197,IMPORTRANGE(""1QZ5UxyNCwadreQAXnQ7oCoH982DjIA-QnZdO7ZoqkC0/edit#gid=884617569"",""S4 Totals!$A$2:$O$255""),14,FALSE)"),0.22666666666666666)</f>
        <v>0.2266666667</v>
      </c>
      <c r="R197" s="110"/>
    </row>
    <row r="198">
      <c r="A198" s="128" t="s">
        <v>93</v>
      </c>
      <c r="B198" s="16">
        <f>IFERROR(__xludf.DUMMYFUNCTION("VLOOKUP(A198,IMPORTRANGE(""1aFCnJY1qhIj8-JckJhDJ18aqmVo17tofpQmOjcYa3u8/edit#gid=1878241338"",""S4 Totals!$A$2:$O$255""),2,FALSE)"),5.0)</f>
        <v>5</v>
      </c>
      <c r="C198" s="15">
        <f>IFERROR(__xludf.DUMMYFUNCTION("VLOOKUP(A198,IMPORTRANGE(""1aFCnJY1qhIj8-JckJhDJ18aqmVo17tofpQmOjcYa3u8/edit#gid=1878241338"",""S4 Totals!$A$2:$O$255""),3,FALSE)"),0.1)</f>
        <v>0.1</v>
      </c>
      <c r="D198" s="16">
        <f>IFERROR(__xludf.DUMMYFUNCTION("VLOOKUP(A198,IMPORTRANGE(""1QZ5UxyNCwadreQAXnQ7oCoH982DjIA-QnZdO7ZoqkC0/edit#gid=884617569"",""S4 Totals!$A$2:$O$255""),2,FALSE)"),7.0)</f>
        <v>7</v>
      </c>
      <c r="E198" s="15">
        <f>IFERROR(__xludf.DUMMYFUNCTION("VLOOKUP(A198,IMPORTRANGE(""1QZ5UxyNCwadreQAXnQ7oCoH982DjIA-QnZdO7ZoqkC0/edit#gid=884617569"",""S4 Totals!$A$2:$O$255""),3,FALSE)"),0.14893617021276595)</f>
        <v>0.1489361702</v>
      </c>
      <c r="F198" s="146">
        <f t="shared" si="1"/>
        <v>-0.04893617021</v>
      </c>
      <c r="G198" s="16">
        <f>IFERROR(__xludf.DUMMYFUNCTION("VLOOKUP(A198,IMPORTRANGE(""1QZ5UxyNCwadreQAXnQ7oCoH982DjIA-QnZdO7ZoqkC0/edit#gid=884617569"",""S4 Totals!$A$2:$O$255""),4,FALSE)"),10.0)</f>
        <v>10</v>
      </c>
      <c r="H198" s="15">
        <f>IFERROR(__xludf.DUMMYFUNCTION("VLOOKUP(A198,IMPORTRANGE(""1QZ5UxyNCwadreQAXnQ7oCoH982DjIA-QnZdO7ZoqkC0/edit#gid=884617569"",""S4 Totals!$A$2:$O$255""),5,FALSE)"),0.15873015873015872)</f>
        <v>0.1587301587</v>
      </c>
      <c r="I198" s="143"/>
      <c r="J198" s="16">
        <f>IFERROR(__xludf.DUMMYFUNCTION("VLOOKUP(A198,IMPORTRANGE(""1QZ5UxyNCwadreQAXnQ7oCoH982DjIA-QnZdO7ZoqkC0/edit#gid=884617569"",""S4 Totals!$A$2:$O$255""),7,FALSE)"),14.0)</f>
        <v>14</v>
      </c>
      <c r="K198" s="15">
        <f>IFERROR(__xludf.DUMMYFUNCTION("VLOOKUP(A198,IMPORTRANGE(""1QZ5UxyNCwadreQAXnQ7oCoH982DjIA-QnZdO7ZoqkC0/edit#gid=884617569"",""S4 Totals!$A$2:$O$255""),8,FALSE)"),0.2)</f>
        <v>0.2</v>
      </c>
      <c r="L198" s="147"/>
      <c r="M198" s="16">
        <f>IFERROR(__xludf.DUMMYFUNCTION("VLOOKUP(A198,IMPORTRANGE(""1QZ5UxyNCwadreQAXnQ7oCoH982DjIA-QnZdO7ZoqkC0/edit#gid=884617569"",""S4 Totals!$A$2:$O$255""),10,FALSE)"),21.0)</f>
        <v>21</v>
      </c>
      <c r="N198" s="15">
        <f>IFERROR(__xludf.DUMMYFUNCTION("VLOOKUP(A198,IMPORTRANGE(""1QZ5UxyNCwadreQAXnQ7oCoH982DjIA-QnZdO7ZoqkC0/edit#gid=884617569"",""S4 Totals!$A$2:$O$255""),11,FALSE)"),0.28378378378378377)</f>
        <v>0.2837837838</v>
      </c>
      <c r="O198" s="110"/>
      <c r="P198" s="16">
        <f>IFERROR(__xludf.DUMMYFUNCTION("VLOOKUP(A198,IMPORTRANGE(""1QZ5UxyNCwadreQAXnQ7oCoH982DjIA-QnZdO7ZoqkC0/edit#gid=884617569"",""S4 Totals!$A$2:$O$255""),13,FALSE)"),18.0)</f>
        <v>18</v>
      </c>
      <c r="Q198" s="15">
        <f>IFERROR(__xludf.DUMMYFUNCTION("VLOOKUP(A198,IMPORTRANGE(""1QZ5UxyNCwadreQAXnQ7oCoH982DjIA-QnZdO7ZoqkC0/edit#gid=884617569"",""S4 Totals!$A$2:$O$255""),14,FALSE)"),0.24)</f>
        <v>0.24</v>
      </c>
      <c r="R198" s="110"/>
    </row>
    <row r="199">
      <c r="A199" s="128" t="s">
        <v>145</v>
      </c>
      <c r="B199" s="16">
        <f>IFERROR(__xludf.DUMMYFUNCTION("VLOOKUP(A199,IMPORTRANGE(""1aFCnJY1qhIj8-JckJhDJ18aqmVo17tofpQmOjcYa3u8/edit#gid=1878241338"",""S4 Totals!$A$2:$O$255""),2,FALSE)"),12.0)</f>
        <v>12</v>
      </c>
      <c r="C199" s="15">
        <f>IFERROR(__xludf.DUMMYFUNCTION("VLOOKUP(A199,IMPORTRANGE(""1aFCnJY1qhIj8-JckJhDJ18aqmVo17tofpQmOjcYa3u8/edit#gid=1878241338"",""S4 Totals!$A$2:$O$255""),3,FALSE)"),0.24)</f>
        <v>0.24</v>
      </c>
      <c r="D199" s="16">
        <f>IFERROR(__xludf.DUMMYFUNCTION("VLOOKUP(A199,IMPORTRANGE(""1QZ5UxyNCwadreQAXnQ7oCoH982DjIA-QnZdO7ZoqkC0/edit#gid=884617569"",""S4 Totals!$A$2:$O$255""),2,FALSE)"),12.0)</f>
        <v>12</v>
      </c>
      <c r="E199" s="15">
        <f>IFERROR(__xludf.DUMMYFUNCTION("VLOOKUP(A199,IMPORTRANGE(""1QZ5UxyNCwadreQAXnQ7oCoH982DjIA-QnZdO7ZoqkC0/edit#gid=884617569"",""S4 Totals!$A$2:$O$255""),3,FALSE)"),0.2553191489361702)</f>
        <v>0.2553191489</v>
      </c>
      <c r="F199" s="146">
        <f t="shared" si="1"/>
        <v>-0.01531914894</v>
      </c>
      <c r="G199" s="16">
        <f>IFERROR(__xludf.DUMMYFUNCTION("VLOOKUP(A199,IMPORTRANGE(""1QZ5UxyNCwadreQAXnQ7oCoH982DjIA-QnZdO7ZoqkC0/edit#gid=884617569"",""S4 Totals!$A$2:$O$255""),4,FALSE)"),9.0)</f>
        <v>9</v>
      </c>
      <c r="H199" s="15">
        <f>IFERROR(__xludf.DUMMYFUNCTION("VLOOKUP(A199,IMPORTRANGE(""1QZ5UxyNCwadreQAXnQ7oCoH982DjIA-QnZdO7ZoqkC0/edit#gid=884617569"",""S4 Totals!$A$2:$O$255""),5,FALSE)"),0.14285714285714285)</f>
        <v>0.1428571429</v>
      </c>
      <c r="I199" s="143"/>
      <c r="J199" s="16">
        <f>IFERROR(__xludf.DUMMYFUNCTION("VLOOKUP(A199,IMPORTRANGE(""1QZ5UxyNCwadreQAXnQ7oCoH982DjIA-QnZdO7ZoqkC0/edit#gid=884617569"",""S4 Totals!$A$2:$O$255""),7,FALSE)"),10.0)</f>
        <v>10</v>
      </c>
      <c r="K199" s="15">
        <f>IFERROR(__xludf.DUMMYFUNCTION("VLOOKUP(A199,IMPORTRANGE(""1QZ5UxyNCwadreQAXnQ7oCoH982DjIA-QnZdO7ZoqkC0/edit#gid=884617569"",""S4 Totals!$A$2:$O$255""),8,FALSE)"),0.14285714285714285)</f>
        <v>0.1428571429</v>
      </c>
      <c r="L199" s="147"/>
      <c r="M199" s="16">
        <f>IFERROR(__xludf.DUMMYFUNCTION("VLOOKUP(A199,IMPORTRANGE(""1QZ5UxyNCwadreQAXnQ7oCoH982DjIA-QnZdO7ZoqkC0/edit#gid=884617569"",""S4 Totals!$A$2:$O$255""),10,FALSE)"),14.0)</f>
        <v>14</v>
      </c>
      <c r="N199" s="15">
        <f>IFERROR(__xludf.DUMMYFUNCTION("VLOOKUP(A199,IMPORTRANGE(""1QZ5UxyNCwadreQAXnQ7oCoH982DjIA-QnZdO7ZoqkC0/edit#gid=884617569"",""S4 Totals!$A$2:$O$255""),11,FALSE)"),0.1891891891891892)</f>
        <v>0.1891891892</v>
      </c>
      <c r="O199" s="110"/>
      <c r="P199" s="16" t="str">
        <f>IFERROR(__xludf.DUMMYFUNCTION("VLOOKUP(A199,IMPORTRANGE(""1QZ5UxyNCwadreQAXnQ7oCoH982DjIA-QnZdO7ZoqkC0/edit#gid=884617569"",""S4 Totals!$A$2:$O$255""),13,FALSE)"),"")</f>
        <v/>
      </c>
      <c r="Q199" s="15" t="str">
        <f>IFERROR(__xludf.DUMMYFUNCTION("VLOOKUP(A199,IMPORTRANGE(""1QZ5UxyNCwadreQAXnQ7oCoH982DjIA-QnZdO7ZoqkC0/edit#gid=884617569"",""S4 Totals!$A$2:$O$255""),14,FALSE)"),"")</f>
        <v/>
      </c>
      <c r="R199" s="110"/>
    </row>
    <row r="200">
      <c r="A200" s="128" t="s">
        <v>146</v>
      </c>
      <c r="B200" s="16">
        <f>IFERROR(__xludf.DUMMYFUNCTION("VLOOKUP(A200,IMPORTRANGE(""1aFCnJY1qhIj8-JckJhDJ18aqmVo17tofpQmOjcYa3u8/edit#gid=1878241338"",""S4 Totals!$A$2:$O$255""),2,FALSE)"),3.0)</f>
        <v>3</v>
      </c>
      <c r="C200" s="15">
        <f>IFERROR(__xludf.DUMMYFUNCTION("VLOOKUP(A200,IMPORTRANGE(""1aFCnJY1qhIj8-JckJhDJ18aqmVo17tofpQmOjcYa3u8/edit#gid=1878241338"",""S4 Totals!$A$2:$O$255""),3,FALSE)"),0.06)</f>
        <v>0.06</v>
      </c>
      <c r="D200" s="16">
        <f>IFERROR(__xludf.DUMMYFUNCTION("VLOOKUP(A200,IMPORTRANGE(""1QZ5UxyNCwadreQAXnQ7oCoH982DjIA-QnZdO7ZoqkC0/edit#gid=884617569"",""S4 Totals!$A$2:$O$255""),2,FALSE)"),4.0)</f>
        <v>4</v>
      </c>
      <c r="E200" s="15">
        <f>IFERROR(__xludf.DUMMYFUNCTION("VLOOKUP(A200,IMPORTRANGE(""1QZ5UxyNCwadreQAXnQ7oCoH982DjIA-QnZdO7ZoqkC0/edit#gid=884617569"",""S4 Totals!$A$2:$O$255""),3,FALSE)"),0.0851063829787234)</f>
        <v>0.08510638298</v>
      </c>
      <c r="F200" s="146">
        <f t="shared" si="1"/>
        <v>-0.02510638298</v>
      </c>
      <c r="G200" s="16">
        <f>IFERROR(__xludf.DUMMYFUNCTION("VLOOKUP(A200,IMPORTRANGE(""1QZ5UxyNCwadreQAXnQ7oCoH982DjIA-QnZdO7ZoqkC0/edit#gid=884617569"",""S4 Totals!$A$2:$O$255""),4,FALSE)"),6.0)</f>
        <v>6</v>
      </c>
      <c r="H200" s="15">
        <f>IFERROR(__xludf.DUMMYFUNCTION("VLOOKUP(A200,IMPORTRANGE(""1QZ5UxyNCwadreQAXnQ7oCoH982DjIA-QnZdO7ZoqkC0/edit#gid=884617569"",""S4 Totals!$A$2:$O$255""),5,FALSE)"),0.09523809523809523)</f>
        <v>0.09523809524</v>
      </c>
      <c r="I200" s="143"/>
      <c r="J200" s="16">
        <f>IFERROR(__xludf.DUMMYFUNCTION("VLOOKUP(A200,IMPORTRANGE(""1QZ5UxyNCwadreQAXnQ7oCoH982DjIA-QnZdO7ZoqkC0/edit#gid=884617569"",""S4 Totals!$A$2:$O$255""),7,FALSE)"),3.0)</f>
        <v>3</v>
      </c>
      <c r="K200" s="15">
        <f>IFERROR(__xludf.DUMMYFUNCTION("VLOOKUP(A200,IMPORTRANGE(""1QZ5UxyNCwadreQAXnQ7oCoH982DjIA-QnZdO7ZoqkC0/edit#gid=884617569"",""S4 Totals!$A$2:$O$255""),8,FALSE)"),0.04285714285714286)</f>
        <v>0.04285714286</v>
      </c>
      <c r="L200" s="147"/>
      <c r="M200" s="16">
        <f>IFERROR(__xludf.DUMMYFUNCTION("VLOOKUP(A200,IMPORTRANGE(""1QZ5UxyNCwadreQAXnQ7oCoH982DjIA-QnZdO7ZoqkC0/edit#gid=884617569"",""S4 Totals!$A$2:$O$255""),10,FALSE)"),0.0)</f>
        <v>0</v>
      </c>
      <c r="N200" s="15">
        <f>IFERROR(__xludf.DUMMYFUNCTION("VLOOKUP(A200,IMPORTRANGE(""1QZ5UxyNCwadreQAXnQ7oCoH982DjIA-QnZdO7ZoqkC0/edit#gid=884617569"",""S4 Totals!$A$2:$O$255""),11,FALSE)"),0.0)</f>
        <v>0</v>
      </c>
      <c r="O200" s="110"/>
      <c r="P200" s="16" t="str">
        <f>IFERROR(__xludf.DUMMYFUNCTION("VLOOKUP(A200,IMPORTRANGE(""1QZ5UxyNCwadreQAXnQ7oCoH982DjIA-QnZdO7ZoqkC0/edit#gid=884617569"",""S4 Totals!$A$2:$O$255""),13,FALSE)"),"")</f>
        <v/>
      </c>
      <c r="Q200" s="15" t="str">
        <f>IFERROR(__xludf.DUMMYFUNCTION("VLOOKUP(A200,IMPORTRANGE(""1QZ5UxyNCwadreQAXnQ7oCoH982DjIA-QnZdO7ZoqkC0/edit#gid=884617569"",""S4 Totals!$A$2:$O$255""),14,FALSE)"),"")</f>
        <v/>
      </c>
      <c r="R200" s="110"/>
    </row>
    <row r="201">
      <c r="A201" s="128" t="s">
        <v>270</v>
      </c>
      <c r="B201" s="16">
        <f>IFERROR(__xludf.DUMMYFUNCTION("VLOOKUP(A201,IMPORTRANGE(""1aFCnJY1qhIj8-JckJhDJ18aqmVo17tofpQmOjcYa3u8/edit#gid=1878241338"",""S4 Totals!$A$2:$O$255""),2,FALSE)"),0.0)</f>
        <v>0</v>
      </c>
      <c r="C201" s="15">
        <f>IFERROR(__xludf.DUMMYFUNCTION("VLOOKUP(A201,IMPORTRANGE(""1aFCnJY1qhIj8-JckJhDJ18aqmVo17tofpQmOjcYa3u8/edit#gid=1878241338"",""S4 Totals!$A$2:$O$255""),3,FALSE)"),0.0)</f>
        <v>0</v>
      </c>
      <c r="D201" s="16" t="str">
        <f>IFERROR(__xludf.DUMMYFUNCTION("VLOOKUP(A201,IMPORTRANGE(""1QZ5UxyNCwadreQAXnQ7oCoH982DjIA-QnZdO7ZoqkC0/edit#gid=884617569"",""S4 Totals!$A$2:$O$255""),2,FALSE)"),"#N/A")</f>
        <v>#N/A</v>
      </c>
      <c r="E201" s="15" t="str">
        <f>IFERROR(__xludf.DUMMYFUNCTION("VLOOKUP(A201,IMPORTRANGE(""1QZ5UxyNCwadreQAXnQ7oCoH982DjIA-QnZdO7ZoqkC0/edit#gid=884617569"",""S4 Totals!$A$2:$O$255""),3,FALSE)"),"#N/A")</f>
        <v>#N/A</v>
      </c>
      <c r="F201" s="146" t="str">
        <f t="shared" si="1"/>
        <v>#N/A</v>
      </c>
      <c r="G201" s="16" t="str">
        <f>IFERROR(__xludf.DUMMYFUNCTION("VLOOKUP(A201,IMPORTRANGE(""1QZ5UxyNCwadreQAXnQ7oCoH982DjIA-QnZdO7ZoqkC0/edit#gid=884617569"",""S4 Totals!$A$2:$O$255""),4,FALSE)"),"#N/A")</f>
        <v>#N/A</v>
      </c>
      <c r="H201" s="15" t="str">
        <f>IFERROR(__xludf.DUMMYFUNCTION("VLOOKUP(A201,IMPORTRANGE(""1QZ5UxyNCwadreQAXnQ7oCoH982DjIA-QnZdO7ZoqkC0/edit#gid=884617569"",""S4 Totals!$A$2:$O$255""),5,FALSE)"),"#N/A")</f>
        <v>#N/A</v>
      </c>
      <c r="I201" s="143"/>
      <c r="J201" s="16" t="str">
        <f>IFERROR(__xludf.DUMMYFUNCTION("VLOOKUP(A201,IMPORTRANGE(""1QZ5UxyNCwadreQAXnQ7oCoH982DjIA-QnZdO7ZoqkC0/edit#gid=884617569"",""S4 Totals!$A$2:$O$255""),7,FALSE)"),"#N/A")</f>
        <v>#N/A</v>
      </c>
      <c r="K201" s="15" t="str">
        <f>IFERROR(__xludf.DUMMYFUNCTION("VLOOKUP(A201,IMPORTRANGE(""1QZ5UxyNCwadreQAXnQ7oCoH982DjIA-QnZdO7ZoqkC0/edit#gid=884617569"",""S4 Totals!$A$2:$O$255""),8,FALSE)"),"#N/A")</f>
        <v>#N/A</v>
      </c>
      <c r="L201" s="147"/>
      <c r="M201" s="16" t="str">
        <f>IFERROR(__xludf.DUMMYFUNCTION("VLOOKUP(A201,IMPORTRANGE(""1QZ5UxyNCwadreQAXnQ7oCoH982DjIA-QnZdO7ZoqkC0/edit#gid=884617569"",""S4 Totals!$A$2:$O$255""),10,FALSE)"),"#N/A")</f>
        <v>#N/A</v>
      </c>
      <c r="N201" s="15" t="str">
        <f>IFERROR(__xludf.DUMMYFUNCTION("VLOOKUP(A201,IMPORTRANGE(""1QZ5UxyNCwadreQAXnQ7oCoH982DjIA-QnZdO7ZoqkC0/edit#gid=884617569"",""S4 Totals!$A$2:$O$255""),11,FALSE)"),"#N/A")</f>
        <v>#N/A</v>
      </c>
      <c r="O201" s="110"/>
      <c r="P201" s="16" t="str">
        <f>IFERROR(__xludf.DUMMYFUNCTION("VLOOKUP(A201,IMPORTRANGE(""1QZ5UxyNCwadreQAXnQ7oCoH982DjIA-QnZdO7ZoqkC0/edit#gid=884617569"",""S4 Totals!$A$2:$O$255""),13,FALSE)"),"#N/A")</f>
        <v>#N/A</v>
      </c>
      <c r="Q201" s="15" t="str">
        <f>IFERROR(__xludf.DUMMYFUNCTION("VLOOKUP(A201,IMPORTRANGE(""1QZ5UxyNCwadreQAXnQ7oCoH982DjIA-QnZdO7ZoqkC0/edit#gid=884617569"",""S4 Totals!$A$2:$O$255""),14,FALSE)"),"#N/A")</f>
        <v>#N/A</v>
      </c>
      <c r="R201" s="110"/>
    </row>
    <row r="202">
      <c r="A202" s="128" t="s">
        <v>271</v>
      </c>
      <c r="B202" s="16">
        <f>IFERROR(__xludf.DUMMYFUNCTION("VLOOKUP(A202,IMPORTRANGE(""1aFCnJY1qhIj8-JckJhDJ18aqmVo17tofpQmOjcYa3u8/edit#gid=1878241338"",""S4 Totals!$A$2:$O$255""),2,FALSE)"),0.0)</f>
        <v>0</v>
      </c>
      <c r="C202" s="15">
        <f>IFERROR(__xludf.DUMMYFUNCTION("VLOOKUP(A202,IMPORTRANGE(""1aFCnJY1qhIj8-JckJhDJ18aqmVo17tofpQmOjcYa3u8/edit#gid=1878241338"",""S4 Totals!$A$2:$O$255""),3,FALSE)"),0.0)</f>
        <v>0</v>
      </c>
      <c r="D202" s="16" t="str">
        <f>IFERROR(__xludf.DUMMYFUNCTION("VLOOKUP(A202,IMPORTRANGE(""1QZ5UxyNCwadreQAXnQ7oCoH982DjIA-QnZdO7ZoqkC0/edit#gid=884617569"",""S4 Totals!$A$2:$O$255""),2,FALSE)"),"#N/A")</f>
        <v>#N/A</v>
      </c>
      <c r="E202" s="15" t="str">
        <f>IFERROR(__xludf.DUMMYFUNCTION("VLOOKUP(A202,IMPORTRANGE(""1QZ5UxyNCwadreQAXnQ7oCoH982DjIA-QnZdO7ZoqkC0/edit#gid=884617569"",""S4 Totals!$A$2:$O$255""),3,FALSE)"),"#N/A")</f>
        <v>#N/A</v>
      </c>
      <c r="F202" s="146" t="str">
        <f t="shared" si="1"/>
        <v>#N/A</v>
      </c>
      <c r="G202" s="16" t="str">
        <f>IFERROR(__xludf.DUMMYFUNCTION("VLOOKUP(A202,IMPORTRANGE(""1QZ5UxyNCwadreQAXnQ7oCoH982DjIA-QnZdO7ZoqkC0/edit#gid=884617569"",""S4 Totals!$A$2:$O$255""),4,FALSE)"),"#N/A")</f>
        <v>#N/A</v>
      </c>
      <c r="H202" s="15" t="str">
        <f>IFERROR(__xludf.DUMMYFUNCTION("VLOOKUP(A202,IMPORTRANGE(""1QZ5UxyNCwadreQAXnQ7oCoH982DjIA-QnZdO7ZoqkC0/edit#gid=884617569"",""S4 Totals!$A$2:$O$255""),5,FALSE)"),"#N/A")</f>
        <v>#N/A</v>
      </c>
      <c r="I202" s="143"/>
      <c r="J202" s="16" t="str">
        <f>IFERROR(__xludf.DUMMYFUNCTION("VLOOKUP(A202,IMPORTRANGE(""1QZ5UxyNCwadreQAXnQ7oCoH982DjIA-QnZdO7ZoqkC0/edit#gid=884617569"",""S4 Totals!$A$2:$O$255""),7,FALSE)"),"#N/A")</f>
        <v>#N/A</v>
      </c>
      <c r="K202" s="15" t="str">
        <f>IFERROR(__xludf.DUMMYFUNCTION("VLOOKUP(A202,IMPORTRANGE(""1QZ5UxyNCwadreQAXnQ7oCoH982DjIA-QnZdO7ZoqkC0/edit#gid=884617569"",""S4 Totals!$A$2:$O$255""),8,FALSE)"),"#N/A")</f>
        <v>#N/A</v>
      </c>
      <c r="L202" s="147"/>
      <c r="M202" s="16" t="str">
        <f>IFERROR(__xludf.DUMMYFUNCTION("VLOOKUP(A202,IMPORTRANGE(""1QZ5UxyNCwadreQAXnQ7oCoH982DjIA-QnZdO7ZoqkC0/edit#gid=884617569"",""S4 Totals!$A$2:$O$255""),10,FALSE)"),"#N/A")</f>
        <v>#N/A</v>
      </c>
      <c r="N202" s="15" t="str">
        <f>IFERROR(__xludf.DUMMYFUNCTION("VLOOKUP(A202,IMPORTRANGE(""1QZ5UxyNCwadreQAXnQ7oCoH982DjIA-QnZdO7ZoqkC0/edit#gid=884617569"",""S4 Totals!$A$2:$O$255""),11,FALSE)"),"#N/A")</f>
        <v>#N/A</v>
      </c>
      <c r="O202" s="110"/>
      <c r="P202" s="16" t="str">
        <f>IFERROR(__xludf.DUMMYFUNCTION("VLOOKUP(A202,IMPORTRANGE(""1QZ5UxyNCwadreQAXnQ7oCoH982DjIA-QnZdO7ZoqkC0/edit#gid=884617569"",""S4 Totals!$A$2:$O$255""),13,FALSE)"),"#N/A")</f>
        <v>#N/A</v>
      </c>
      <c r="Q202" s="15" t="str">
        <f>IFERROR(__xludf.DUMMYFUNCTION("VLOOKUP(A202,IMPORTRANGE(""1QZ5UxyNCwadreQAXnQ7oCoH982DjIA-QnZdO7ZoqkC0/edit#gid=884617569"",""S4 Totals!$A$2:$O$255""),14,FALSE)"),"#N/A")</f>
        <v>#N/A</v>
      </c>
      <c r="R202" s="110"/>
    </row>
    <row r="203">
      <c r="A203" s="136" t="s">
        <v>278</v>
      </c>
      <c r="B203" s="16">
        <f>IFERROR(__xludf.DUMMYFUNCTION("VLOOKUP(A203,IMPORTRANGE(""1aFCnJY1qhIj8-JckJhDJ18aqmVo17tofpQmOjcYa3u8/edit#gid=1878241338"",""S4 Totals!$A$2:$O$255""),2,FALSE)"),0.0)</f>
        <v>0</v>
      </c>
      <c r="C203" s="15">
        <f>IFERROR(__xludf.DUMMYFUNCTION("VLOOKUP(A203,IMPORTRANGE(""1aFCnJY1qhIj8-JckJhDJ18aqmVo17tofpQmOjcYa3u8/edit#gid=1878241338"",""S4 Totals!$A$2:$O$255""),3,FALSE)"),0.0)</f>
        <v>0</v>
      </c>
      <c r="D203" s="16" t="str">
        <f>IFERROR(__xludf.DUMMYFUNCTION("VLOOKUP(A203,IMPORTRANGE(""1QZ5UxyNCwadreQAXnQ7oCoH982DjIA-QnZdO7ZoqkC0/edit#gid=884617569"",""S4 Totals!$A$2:$O$255""),2,FALSE)"),"#N/A")</f>
        <v>#N/A</v>
      </c>
      <c r="E203" s="15" t="str">
        <f>IFERROR(__xludf.DUMMYFUNCTION("VLOOKUP(A203,IMPORTRANGE(""1QZ5UxyNCwadreQAXnQ7oCoH982DjIA-QnZdO7ZoqkC0/edit#gid=884617569"",""S4 Totals!$A$2:$O$255""),3,FALSE)"),"#N/A")</f>
        <v>#N/A</v>
      </c>
      <c r="F203" s="146" t="str">
        <f t="shared" si="1"/>
        <v>#N/A</v>
      </c>
      <c r="G203" s="16" t="str">
        <f>IFERROR(__xludf.DUMMYFUNCTION("VLOOKUP(A203,IMPORTRANGE(""1QZ5UxyNCwadreQAXnQ7oCoH982DjIA-QnZdO7ZoqkC0/edit#gid=884617569"",""S4 Totals!$A$2:$O$255""),4,FALSE)"),"#N/A")</f>
        <v>#N/A</v>
      </c>
      <c r="H203" s="15" t="str">
        <f>IFERROR(__xludf.DUMMYFUNCTION("VLOOKUP(A203,IMPORTRANGE(""1QZ5UxyNCwadreQAXnQ7oCoH982DjIA-QnZdO7ZoqkC0/edit#gid=884617569"",""S4 Totals!$A$2:$O$255""),5,FALSE)"),"#N/A")</f>
        <v>#N/A</v>
      </c>
      <c r="I203" s="143"/>
      <c r="J203" s="16" t="str">
        <f>IFERROR(__xludf.DUMMYFUNCTION("VLOOKUP(A203,IMPORTRANGE(""1QZ5UxyNCwadreQAXnQ7oCoH982DjIA-QnZdO7ZoqkC0/edit#gid=884617569"",""S4 Totals!$A$2:$O$255""),7,FALSE)"),"#N/A")</f>
        <v>#N/A</v>
      </c>
      <c r="K203" s="15" t="str">
        <f>IFERROR(__xludf.DUMMYFUNCTION("VLOOKUP(A203,IMPORTRANGE(""1QZ5UxyNCwadreQAXnQ7oCoH982DjIA-QnZdO7ZoqkC0/edit#gid=884617569"",""S4 Totals!$A$2:$O$255""),8,FALSE)"),"#N/A")</f>
        <v>#N/A</v>
      </c>
      <c r="L203" s="147"/>
      <c r="M203" s="16" t="str">
        <f>IFERROR(__xludf.DUMMYFUNCTION("VLOOKUP(A203,IMPORTRANGE(""1QZ5UxyNCwadreQAXnQ7oCoH982DjIA-QnZdO7ZoqkC0/edit#gid=884617569"",""S4 Totals!$A$2:$O$255""),10,FALSE)"),"#N/A")</f>
        <v>#N/A</v>
      </c>
      <c r="N203" s="15" t="str">
        <f>IFERROR(__xludf.DUMMYFUNCTION("VLOOKUP(A203,IMPORTRANGE(""1QZ5UxyNCwadreQAXnQ7oCoH982DjIA-QnZdO7ZoqkC0/edit#gid=884617569"",""S4 Totals!$A$2:$O$255""),11,FALSE)"),"#N/A")</f>
        <v>#N/A</v>
      </c>
      <c r="O203" s="110"/>
      <c r="P203" s="16" t="str">
        <f>IFERROR(__xludf.DUMMYFUNCTION("VLOOKUP(A203,IMPORTRANGE(""1QZ5UxyNCwadreQAXnQ7oCoH982DjIA-QnZdO7ZoqkC0/edit#gid=884617569"",""S4 Totals!$A$2:$O$255""),13,FALSE)"),"#N/A")</f>
        <v>#N/A</v>
      </c>
      <c r="Q203" s="15" t="str">
        <f>IFERROR(__xludf.DUMMYFUNCTION("VLOOKUP(A203,IMPORTRANGE(""1QZ5UxyNCwadreQAXnQ7oCoH982DjIA-QnZdO7ZoqkC0/edit#gid=884617569"",""S4 Totals!$A$2:$O$255""),14,FALSE)"),"#N/A")</f>
        <v>#N/A</v>
      </c>
      <c r="R203" s="110"/>
    </row>
    <row r="204">
      <c r="A204" s="128" t="s">
        <v>195</v>
      </c>
      <c r="B204" s="16">
        <f>IFERROR(__xludf.DUMMYFUNCTION("VLOOKUP(A204,IMPORTRANGE(""1aFCnJY1qhIj8-JckJhDJ18aqmVo17tofpQmOjcYa3u8/edit#gid=1878241338"",""S4 Totals!$A$2:$O$255""),2,FALSE)"),2.0)</f>
        <v>2</v>
      </c>
      <c r="C204" s="15">
        <f>IFERROR(__xludf.DUMMYFUNCTION("VLOOKUP(A204,IMPORTRANGE(""1aFCnJY1qhIj8-JckJhDJ18aqmVo17tofpQmOjcYa3u8/edit#gid=1878241338"",""S4 Totals!$A$2:$O$255""),3,FALSE)"),0.04)</f>
        <v>0.04</v>
      </c>
      <c r="D204" s="16">
        <f>IFERROR(__xludf.DUMMYFUNCTION("VLOOKUP(A204,IMPORTRANGE(""1QZ5UxyNCwadreQAXnQ7oCoH982DjIA-QnZdO7ZoqkC0/edit#gid=884617569"",""S4 Totals!$A$2:$O$255""),2,FALSE)"),4.0)</f>
        <v>4</v>
      </c>
      <c r="E204" s="15">
        <f>IFERROR(__xludf.DUMMYFUNCTION("VLOOKUP(A204,IMPORTRANGE(""1QZ5UxyNCwadreQAXnQ7oCoH982DjIA-QnZdO7ZoqkC0/edit#gid=884617569"",""S4 Totals!$A$2:$O$255""),3,FALSE)"),0.0851063829787234)</f>
        <v>0.08510638298</v>
      </c>
      <c r="F204" s="146">
        <f t="shared" si="1"/>
        <v>-0.04510638298</v>
      </c>
      <c r="G204" s="16">
        <f>IFERROR(__xludf.DUMMYFUNCTION("VLOOKUP(A204,IMPORTRANGE(""1QZ5UxyNCwadreQAXnQ7oCoH982DjIA-QnZdO7ZoqkC0/edit#gid=884617569"",""S4 Totals!$A$2:$O$255""),4,FALSE)"),4.0)</f>
        <v>4</v>
      </c>
      <c r="H204" s="15">
        <f>IFERROR(__xludf.DUMMYFUNCTION("VLOOKUP(A204,IMPORTRANGE(""1QZ5UxyNCwadreQAXnQ7oCoH982DjIA-QnZdO7ZoqkC0/edit#gid=884617569"",""S4 Totals!$A$2:$O$255""),5,FALSE)"),0.06349206349206349)</f>
        <v>0.06349206349</v>
      </c>
      <c r="I204" s="143"/>
      <c r="J204" s="16">
        <f>IFERROR(__xludf.DUMMYFUNCTION("VLOOKUP(A204,IMPORTRANGE(""1QZ5UxyNCwadreQAXnQ7oCoH982DjIA-QnZdO7ZoqkC0/edit#gid=884617569"",""S4 Totals!$A$2:$O$255""),7,FALSE)"),3.0)</f>
        <v>3</v>
      </c>
      <c r="K204" s="15">
        <f>IFERROR(__xludf.DUMMYFUNCTION("VLOOKUP(A204,IMPORTRANGE(""1QZ5UxyNCwadreQAXnQ7oCoH982DjIA-QnZdO7ZoqkC0/edit#gid=884617569"",""S4 Totals!$A$2:$O$255""),8,FALSE)"),0.04285714285714286)</f>
        <v>0.04285714286</v>
      </c>
      <c r="L204" s="147"/>
      <c r="M204" s="16" t="str">
        <f>IFERROR(__xludf.DUMMYFUNCTION("VLOOKUP(A204,IMPORTRANGE(""1QZ5UxyNCwadreQAXnQ7oCoH982DjIA-QnZdO7ZoqkC0/edit#gid=884617569"",""S4 Totals!$A$2:$O$255""),10,FALSE)"),"")</f>
        <v/>
      </c>
      <c r="N204" s="15" t="str">
        <f>IFERROR(__xludf.DUMMYFUNCTION("VLOOKUP(A204,IMPORTRANGE(""1QZ5UxyNCwadreQAXnQ7oCoH982DjIA-QnZdO7ZoqkC0/edit#gid=884617569"",""S4 Totals!$A$2:$O$255""),11,FALSE)"),"")</f>
        <v/>
      </c>
      <c r="O204" s="110"/>
      <c r="P204" s="16" t="str">
        <f>IFERROR(__xludf.DUMMYFUNCTION("VLOOKUP(A204,IMPORTRANGE(""1QZ5UxyNCwadreQAXnQ7oCoH982DjIA-QnZdO7ZoqkC0/edit#gid=884617569"",""S4 Totals!$A$2:$O$255""),13,FALSE)"),"")</f>
        <v/>
      </c>
      <c r="Q204" s="15" t="str">
        <f>IFERROR(__xludf.DUMMYFUNCTION("VLOOKUP(A204,IMPORTRANGE(""1QZ5UxyNCwadreQAXnQ7oCoH982DjIA-QnZdO7ZoqkC0/edit#gid=884617569"",""S4 Totals!$A$2:$O$255""),14,FALSE)"),"")</f>
        <v/>
      </c>
      <c r="R204" s="110"/>
    </row>
    <row r="205">
      <c r="A205" s="128" t="s">
        <v>196</v>
      </c>
      <c r="B205" s="16">
        <f>IFERROR(__xludf.DUMMYFUNCTION("VLOOKUP(A205,IMPORTRANGE(""1aFCnJY1qhIj8-JckJhDJ18aqmVo17tofpQmOjcYa3u8/edit#gid=1878241338"",""S4 Totals!$A$2:$O$255""),2,FALSE)"),16.0)</f>
        <v>16</v>
      </c>
      <c r="C205" s="15">
        <f>IFERROR(__xludf.DUMMYFUNCTION("VLOOKUP(A205,IMPORTRANGE(""1aFCnJY1qhIj8-JckJhDJ18aqmVo17tofpQmOjcYa3u8/edit#gid=1878241338"",""S4 Totals!$A$2:$O$255""),3,FALSE)"),0.32)</f>
        <v>0.32</v>
      </c>
      <c r="D205" s="16">
        <f>IFERROR(__xludf.DUMMYFUNCTION("VLOOKUP(A205,IMPORTRANGE(""1QZ5UxyNCwadreQAXnQ7oCoH982DjIA-QnZdO7ZoqkC0/edit#gid=884617569"",""S4 Totals!$A$2:$O$255""),2,FALSE)"),14.0)</f>
        <v>14</v>
      </c>
      <c r="E205" s="15">
        <f>IFERROR(__xludf.DUMMYFUNCTION("VLOOKUP(A205,IMPORTRANGE(""1QZ5UxyNCwadreQAXnQ7oCoH982DjIA-QnZdO7ZoqkC0/edit#gid=884617569"",""S4 Totals!$A$2:$O$255""),3,FALSE)"),0.2978723404255319)</f>
        <v>0.2978723404</v>
      </c>
      <c r="F205" s="146">
        <f t="shared" si="1"/>
        <v>0.02212765957</v>
      </c>
      <c r="G205" s="16">
        <f>IFERROR(__xludf.DUMMYFUNCTION("VLOOKUP(A205,IMPORTRANGE(""1QZ5UxyNCwadreQAXnQ7oCoH982DjIA-QnZdO7ZoqkC0/edit#gid=884617569"",""S4 Totals!$A$2:$O$255""),4,FALSE)"),12.0)</f>
        <v>12</v>
      </c>
      <c r="H205" s="15">
        <f>IFERROR(__xludf.DUMMYFUNCTION("VLOOKUP(A205,IMPORTRANGE(""1QZ5UxyNCwadreQAXnQ7oCoH982DjIA-QnZdO7ZoqkC0/edit#gid=884617569"",""S4 Totals!$A$2:$O$255""),5,FALSE)"),0.19047619047619047)</f>
        <v>0.1904761905</v>
      </c>
      <c r="I205" s="143"/>
      <c r="J205" s="16">
        <f>IFERROR(__xludf.DUMMYFUNCTION("VLOOKUP(A205,IMPORTRANGE(""1QZ5UxyNCwadreQAXnQ7oCoH982DjIA-QnZdO7ZoqkC0/edit#gid=884617569"",""S4 Totals!$A$2:$O$255""),7,FALSE)"),6.0)</f>
        <v>6</v>
      </c>
      <c r="K205" s="15">
        <f>IFERROR(__xludf.DUMMYFUNCTION("VLOOKUP(A205,IMPORTRANGE(""1QZ5UxyNCwadreQAXnQ7oCoH982DjIA-QnZdO7ZoqkC0/edit#gid=884617569"",""S4 Totals!$A$2:$O$255""),8,FALSE)"),0.08571428571428572)</f>
        <v>0.08571428571</v>
      </c>
      <c r="L205" s="147"/>
      <c r="M205" s="16" t="str">
        <f>IFERROR(__xludf.DUMMYFUNCTION("VLOOKUP(A205,IMPORTRANGE(""1QZ5UxyNCwadreQAXnQ7oCoH982DjIA-QnZdO7ZoqkC0/edit#gid=884617569"",""S4 Totals!$A$2:$O$255""),10,FALSE)"),"")</f>
        <v/>
      </c>
      <c r="N205" s="15" t="str">
        <f>IFERROR(__xludf.DUMMYFUNCTION("VLOOKUP(A205,IMPORTRANGE(""1QZ5UxyNCwadreQAXnQ7oCoH982DjIA-QnZdO7ZoqkC0/edit#gid=884617569"",""S4 Totals!$A$2:$O$255""),11,FALSE)"),"")</f>
        <v/>
      </c>
      <c r="O205" s="110"/>
      <c r="P205" s="16" t="str">
        <f>IFERROR(__xludf.DUMMYFUNCTION("VLOOKUP(A205,IMPORTRANGE(""1QZ5UxyNCwadreQAXnQ7oCoH982DjIA-QnZdO7ZoqkC0/edit#gid=884617569"",""S4 Totals!$A$2:$O$255""),13,FALSE)"),"")</f>
        <v/>
      </c>
      <c r="Q205" s="15" t="str">
        <f>IFERROR(__xludf.DUMMYFUNCTION("VLOOKUP(A205,IMPORTRANGE(""1QZ5UxyNCwadreQAXnQ7oCoH982DjIA-QnZdO7ZoqkC0/edit#gid=884617569"",""S4 Totals!$A$2:$O$255""),14,FALSE)"),"")</f>
        <v/>
      </c>
      <c r="R205" s="110"/>
    </row>
    <row r="206">
      <c r="A206" s="128" t="s">
        <v>272</v>
      </c>
      <c r="B206" s="16">
        <f>IFERROR(__xludf.DUMMYFUNCTION("VLOOKUP(A206,IMPORTRANGE(""1aFCnJY1qhIj8-JckJhDJ18aqmVo17tofpQmOjcYa3u8/edit#gid=1878241338"",""S4 Totals!$A$2:$O$255""),2,FALSE)"),0.0)</f>
        <v>0</v>
      </c>
      <c r="C206" s="15">
        <f>IFERROR(__xludf.DUMMYFUNCTION("VLOOKUP(A206,IMPORTRANGE(""1aFCnJY1qhIj8-JckJhDJ18aqmVo17tofpQmOjcYa3u8/edit#gid=1878241338"",""S4 Totals!$A$2:$O$255""),3,FALSE)"),0.0)</f>
        <v>0</v>
      </c>
      <c r="D206" s="16" t="str">
        <f>IFERROR(__xludf.DUMMYFUNCTION("VLOOKUP(A206,IMPORTRANGE(""1QZ5UxyNCwadreQAXnQ7oCoH982DjIA-QnZdO7ZoqkC0/edit#gid=884617569"",""S4 Totals!$A$2:$O$255""),2,FALSE)"),"#N/A")</f>
        <v>#N/A</v>
      </c>
      <c r="E206" s="15" t="str">
        <f>IFERROR(__xludf.DUMMYFUNCTION("VLOOKUP(A206,IMPORTRANGE(""1QZ5UxyNCwadreQAXnQ7oCoH982DjIA-QnZdO7ZoqkC0/edit#gid=884617569"",""S4 Totals!$A$2:$O$255""),3,FALSE)"),"#N/A")</f>
        <v>#N/A</v>
      </c>
      <c r="F206" s="146" t="str">
        <f t="shared" si="1"/>
        <v>#N/A</v>
      </c>
      <c r="G206" s="16" t="str">
        <f>IFERROR(__xludf.DUMMYFUNCTION("VLOOKUP(A206,IMPORTRANGE(""1QZ5UxyNCwadreQAXnQ7oCoH982DjIA-QnZdO7ZoqkC0/edit#gid=884617569"",""S4 Totals!$A$2:$O$255""),4,FALSE)"),"#N/A")</f>
        <v>#N/A</v>
      </c>
      <c r="H206" s="15" t="str">
        <f>IFERROR(__xludf.DUMMYFUNCTION("VLOOKUP(A206,IMPORTRANGE(""1QZ5UxyNCwadreQAXnQ7oCoH982DjIA-QnZdO7ZoqkC0/edit#gid=884617569"",""S4 Totals!$A$2:$O$255""),5,FALSE)"),"#N/A")</f>
        <v>#N/A</v>
      </c>
      <c r="I206" s="143"/>
      <c r="J206" s="16" t="str">
        <f>IFERROR(__xludf.DUMMYFUNCTION("VLOOKUP(A206,IMPORTRANGE(""1QZ5UxyNCwadreQAXnQ7oCoH982DjIA-QnZdO7ZoqkC0/edit#gid=884617569"",""S4 Totals!$A$2:$O$255""),7,FALSE)"),"#N/A")</f>
        <v>#N/A</v>
      </c>
      <c r="K206" s="15" t="str">
        <f>IFERROR(__xludf.DUMMYFUNCTION("VLOOKUP(A206,IMPORTRANGE(""1QZ5UxyNCwadreQAXnQ7oCoH982DjIA-QnZdO7ZoqkC0/edit#gid=884617569"",""S4 Totals!$A$2:$O$255""),8,FALSE)"),"#N/A")</f>
        <v>#N/A</v>
      </c>
      <c r="L206" s="147"/>
      <c r="M206" s="16" t="str">
        <f>IFERROR(__xludf.DUMMYFUNCTION("VLOOKUP(A206,IMPORTRANGE(""1QZ5UxyNCwadreQAXnQ7oCoH982DjIA-QnZdO7ZoqkC0/edit#gid=884617569"",""S4 Totals!$A$2:$O$255""),10,FALSE)"),"#N/A")</f>
        <v>#N/A</v>
      </c>
      <c r="N206" s="15" t="str">
        <f>IFERROR(__xludf.DUMMYFUNCTION("VLOOKUP(A206,IMPORTRANGE(""1QZ5UxyNCwadreQAXnQ7oCoH982DjIA-QnZdO7ZoqkC0/edit#gid=884617569"",""S4 Totals!$A$2:$O$255""),11,FALSE)"),"#N/A")</f>
        <v>#N/A</v>
      </c>
      <c r="O206" s="110"/>
      <c r="P206" s="16" t="str">
        <f>IFERROR(__xludf.DUMMYFUNCTION("VLOOKUP(A206,IMPORTRANGE(""1QZ5UxyNCwadreQAXnQ7oCoH982DjIA-QnZdO7ZoqkC0/edit#gid=884617569"",""S4 Totals!$A$2:$O$255""),13,FALSE)"),"#N/A")</f>
        <v>#N/A</v>
      </c>
      <c r="Q206" s="15" t="str">
        <f>IFERROR(__xludf.DUMMYFUNCTION("VLOOKUP(A206,IMPORTRANGE(""1QZ5UxyNCwadreQAXnQ7oCoH982DjIA-QnZdO7ZoqkC0/edit#gid=884617569"",""S4 Totals!$A$2:$O$255""),14,FALSE)"),"#N/A")</f>
        <v>#N/A</v>
      </c>
      <c r="R206" s="110"/>
    </row>
    <row r="207">
      <c r="A207" s="128" t="s">
        <v>147</v>
      </c>
      <c r="B207" s="16">
        <f>IFERROR(__xludf.DUMMYFUNCTION("VLOOKUP(A207,IMPORTRANGE(""1aFCnJY1qhIj8-JckJhDJ18aqmVo17tofpQmOjcYa3u8/edit#gid=1878241338"",""S4 Totals!$A$2:$O$255""),2,FALSE)"),1.0)</f>
        <v>1</v>
      </c>
      <c r="C207" s="15">
        <f>IFERROR(__xludf.DUMMYFUNCTION("VLOOKUP(A207,IMPORTRANGE(""1aFCnJY1qhIj8-JckJhDJ18aqmVo17tofpQmOjcYa3u8/edit#gid=1878241338"",""S4 Totals!$A$2:$O$255""),3,FALSE)"),0.02)</f>
        <v>0.02</v>
      </c>
      <c r="D207" s="16">
        <f>IFERROR(__xludf.DUMMYFUNCTION("VLOOKUP(A207,IMPORTRANGE(""1QZ5UxyNCwadreQAXnQ7oCoH982DjIA-QnZdO7ZoqkC0/edit#gid=884617569"",""S4 Totals!$A$2:$O$255""),2,FALSE)"),0.0)</f>
        <v>0</v>
      </c>
      <c r="E207" s="15">
        <f>IFERROR(__xludf.DUMMYFUNCTION("VLOOKUP(A207,IMPORTRANGE(""1QZ5UxyNCwadreQAXnQ7oCoH982DjIA-QnZdO7ZoqkC0/edit#gid=884617569"",""S4 Totals!$A$2:$O$255""),3,FALSE)"),0.0)</f>
        <v>0</v>
      </c>
      <c r="F207" s="146">
        <f t="shared" si="1"/>
        <v>0.02</v>
      </c>
      <c r="G207" s="16">
        <f>IFERROR(__xludf.DUMMYFUNCTION("VLOOKUP(A207,IMPORTRANGE(""1QZ5UxyNCwadreQAXnQ7oCoH982DjIA-QnZdO7ZoqkC0/edit#gid=884617569"",""S4 Totals!$A$2:$O$255""),4,FALSE)"),1.0)</f>
        <v>1</v>
      </c>
      <c r="H207" s="15">
        <f>IFERROR(__xludf.DUMMYFUNCTION("VLOOKUP(A207,IMPORTRANGE(""1QZ5UxyNCwadreQAXnQ7oCoH982DjIA-QnZdO7ZoqkC0/edit#gid=884617569"",""S4 Totals!$A$2:$O$255""),5,FALSE)"),0.015873015873015872)</f>
        <v>0.01587301587</v>
      </c>
      <c r="I207" s="143"/>
      <c r="J207" s="16">
        <f>IFERROR(__xludf.DUMMYFUNCTION("VLOOKUP(A207,IMPORTRANGE(""1QZ5UxyNCwadreQAXnQ7oCoH982DjIA-QnZdO7ZoqkC0/edit#gid=884617569"",""S4 Totals!$A$2:$O$255""),7,FALSE)"),2.0)</f>
        <v>2</v>
      </c>
      <c r="K207" s="15">
        <f>IFERROR(__xludf.DUMMYFUNCTION("VLOOKUP(A207,IMPORTRANGE(""1QZ5UxyNCwadreQAXnQ7oCoH982DjIA-QnZdO7ZoqkC0/edit#gid=884617569"",""S4 Totals!$A$2:$O$255""),8,FALSE)"),0.02857142857142857)</f>
        <v>0.02857142857</v>
      </c>
      <c r="L207" s="147"/>
      <c r="M207" s="16">
        <f>IFERROR(__xludf.DUMMYFUNCTION("VLOOKUP(A207,IMPORTRANGE(""1QZ5UxyNCwadreQAXnQ7oCoH982DjIA-QnZdO7ZoqkC0/edit#gid=884617569"",""S4 Totals!$A$2:$O$255""),10,FALSE)"),2.0)</f>
        <v>2</v>
      </c>
      <c r="N207" s="15">
        <f>IFERROR(__xludf.DUMMYFUNCTION("VLOOKUP(A207,IMPORTRANGE(""1QZ5UxyNCwadreQAXnQ7oCoH982DjIA-QnZdO7ZoqkC0/edit#gid=884617569"",""S4 Totals!$A$2:$O$255""),11,FALSE)"),0.02702702702702703)</f>
        <v>0.02702702703</v>
      </c>
      <c r="O207" s="110"/>
      <c r="P207" s="16" t="str">
        <f>IFERROR(__xludf.DUMMYFUNCTION("VLOOKUP(A207,IMPORTRANGE(""1QZ5UxyNCwadreQAXnQ7oCoH982DjIA-QnZdO7ZoqkC0/edit#gid=884617569"",""S4 Totals!$A$2:$O$255""),13,FALSE)"),"")</f>
        <v/>
      </c>
      <c r="Q207" s="15" t="str">
        <f>IFERROR(__xludf.DUMMYFUNCTION("VLOOKUP(A207,IMPORTRANGE(""1QZ5UxyNCwadreQAXnQ7oCoH982DjIA-QnZdO7ZoqkC0/edit#gid=884617569"",""S4 Totals!$A$2:$O$255""),14,FALSE)"),"")</f>
        <v/>
      </c>
      <c r="R207" s="110"/>
    </row>
    <row r="208">
      <c r="A208" s="128" t="s">
        <v>197</v>
      </c>
      <c r="B208" s="16">
        <f>IFERROR(__xludf.DUMMYFUNCTION("VLOOKUP(A208,IMPORTRANGE(""1aFCnJY1qhIj8-JckJhDJ18aqmVo17tofpQmOjcYa3u8/edit#gid=1878241338"",""S4 Totals!$A$2:$O$255""),2,FALSE)"),6.0)</f>
        <v>6</v>
      </c>
      <c r="C208" s="15">
        <f>IFERROR(__xludf.DUMMYFUNCTION("VLOOKUP(A208,IMPORTRANGE(""1aFCnJY1qhIj8-JckJhDJ18aqmVo17tofpQmOjcYa3u8/edit#gid=1878241338"",""S4 Totals!$A$2:$O$255""),3,FALSE)"),0.12)</f>
        <v>0.12</v>
      </c>
      <c r="D208" s="16">
        <f>IFERROR(__xludf.DUMMYFUNCTION("VLOOKUP(A208,IMPORTRANGE(""1QZ5UxyNCwadreQAXnQ7oCoH982DjIA-QnZdO7ZoqkC0/edit#gid=884617569"",""S4 Totals!$A$2:$O$255""),2,FALSE)"),8.0)</f>
        <v>8</v>
      </c>
      <c r="E208" s="15">
        <f>IFERROR(__xludf.DUMMYFUNCTION("VLOOKUP(A208,IMPORTRANGE(""1QZ5UxyNCwadreQAXnQ7oCoH982DjIA-QnZdO7ZoqkC0/edit#gid=884617569"",""S4 Totals!$A$2:$O$255""),3,FALSE)"),0.1702127659574468)</f>
        <v>0.170212766</v>
      </c>
      <c r="F208" s="146">
        <f t="shared" si="1"/>
        <v>-0.05021276596</v>
      </c>
      <c r="G208" s="16">
        <f>IFERROR(__xludf.DUMMYFUNCTION("VLOOKUP(A208,IMPORTRANGE(""1QZ5UxyNCwadreQAXnQ7oCoH982DjIA-QnZdO7ZoqkC0/edit#gid=884617569"",""S4 Totals!$A$2:$O$255""),4,FALSE)"),2.0)</f>
        <v>2</v>
      </c>
      <c r="H208" s="15">
        <f>IFERROR(__xludf.DUMMYFUNCTION("VLOOKUP(A208,IMPORTRANGE(""1QZ5UxyNCwadreQAXnQ7oCoH982DjIA-QnZdO7ZoqkC0/edit#gid=884617569"",""S4 Totals!$A$2:$O$255""),5,FALSE)"),0.031746031746031744)</f>
        <v>0.03174603175</v>
      </c>
      <c r="I208" s="143"/>
      <c r="J208" s="16">
        <f>IFERROR(__xludf.DUMMYFUNCTION("VLOOKUP(A208,IMPORTRANGE(""1QZ5UxyNCwadreQAXnQ7oCoH982DjIA-QnZdO7ZoqkC0/edit#gid=884617569"",""S4 Totals!$A$2:$O$255""),7,FALSE)"),2.0)</f>
        <v>2</v>
      </c>
      <c r="K208" s="15">
        <f>IFERROR(__xludf.DUMMYFUNCTION("VLOOKUP(A208,IMPORTRANGE(""1QZ5UxyNCwadreQAXnQ7oCoH982DjIA-QnZdO7ZoqkC0/edit#gid=884617569"",""S4 Totals!$A$2:$O$255""),8,FALSE)"),0.02857142857142857)</f>
        <v>0.02857142857</v>
      </c>
      <c r="L208" s="147"/>
      <c r="M208" s="16" t="str">
        <f>IFERROR(__xludf.DUMMYFUNCTION("VLOOKUP(A208,IMPORTRANGE(""1QZ5UxyNCwadreQAXnQ7oCoH982DjIA-QnZdO7ZoqkC0/edit#gid=884617569"",""S4 Totals!$A$2:$O$255""),10,FALSE)"),"")</f>
        <v/>
      </c>
      <c r="N208" s="15" t="str">
        <f>IFERROR(__xludf.DUMMYFUNCTION("VLOOKUP(A208,IMPORTRANGE(""1QZ5UxyNCwadreQAXnQ7oCoH982DjIA-QnZdO7ZoqkC0/edit#gid=884617569"",""S4 Totals!$A$2:$O$255""),11,FALSE)"),"")</f>
        <v/>
      </c>
      <c r="O208" s="110"/>
      <c r="P208" s="16" t="str">
        <f>IFERROR(__xludf.DUMMYFUNCTION("VLOOKUP(A208,IMPORTRANGE(""1QZ5UxyNCwadreQAXnQ7oCoH982DjIA-QnZdO7ZoqkC0/edit#gid=884617569"",""S4 Totals!$A$2:$O$255""),13,FALSE)"),"")</f>
        <v/>
      </c>
      <c r="Q208" s="15" t="str">
        <f>IFERROR(__xludf.DUMMYFUNCTION("VLOOKUP(A208,IMPORTRANGE(""1QZ5UxyNCwadreQAXnQ7oCoH982DjIA-QnZdO7ZoqkC0/edit#gid=884617569"",""S4 Totals!$A$2:$O$255""),14,FALSE)"),"")</f>
        <v/>
      </c>
      <c r="R208" s="110"/>
    </row>
    <row r="209">
      <c r="A209" s="128" t="s">
        <v>148</v>
      </c>
      <c r="B209" s="16">
        <f>IFERROR(__xludf.DUMMYFUNCTION("VLOOKUP(A209,IMPORTRANGE(""1aFCnJY1qhIj8-JckJhDJ18aqmVo17tofpQmOjcYa3u8/edit#gid=1878241338"",""S4 Totals!$A$2:$O$255""),2,FALSE)"),22.0)</f>
        <v>22</v>
      </c>
      <c r="C209" s="15">
        <f>IFERROR(__xludf.DUMMYFUNCTION("VLOOKUP(A209,IMPORTRANGE(""1aFCnJY1qhIj8-JckJhDJ18aqmVo17tofpQmOjcYa3u8/edit#gid=1878241338"",""S4 Totals!$A$2:$O$255""),3,FALSE)"),0.44)</f>
        <v>0.44</v>
      </c>
      <c r="D209" s="16">
        <f>IFERROR(__xludf.DUMMYFUNCTION("VLOOKUP(A209,IMPORTRANGE(""1QZ5UxyNCwadreQAXnQ7oCoH982DjIA-QnZdO7ZoqkC0/edit#gid=884617569"",""S4 Totals!$A$2:$O$255""),2,FALSE)"),16.0)</f>
        <v>16</v>
      </c>
      <c r="E209" s="15">
        <f>IFERROR(__xludf.DUMMYFUNCTION("VLOOKUP(A209,IMPORTRANGE(""1QZ5UxyNCwadreQAXnQ7oCoH982DjIA-QnZdO7ZoqkC0/edit#gid=884617569"",""S4 Totals!$A$2:$O$255""),3,FALSE)"),0.3404255319148936)</f>
        <v>0.3404255319</v>
      </c>
      <c r="F209" s="146">
        <f t="shared" si="1"/>
        <v>0.09957446809</v>
      </c>
      <c r="G209" s="16">
        <f>IFERROR(__xludf.DUMMYFUNCTION("VLOOKUP(A209,IMPORTRANGE(""1QZ5UxyNCwadreQAXnQ7oCoH982DjIA-QnZdO7ZoqkC0/edit#gid=884617569"",""S4 Totals!$A$2:$O$255""),4,FALSE)"),25.0)</f>
        <v>25</v>
      </c>
      <c r="H209" s="15">
        <f>IFERROR(__xludf.DUMMYFUNCTION("VLOOKUP(A209,IMPORTRANGE(""1QZ5UxyNCwadreQAXnQ7oCoH982DjIA-QnZdO7ZoqkC0/edit#gid=884617569"",""S4 Totals!$A$2:$O$255""),5,FALSE)"),0.3968253968253968)</f>
        <v>0.3968253968</v>
      </c>
      <c r="I209" s="143"/>
      <c r="J209" s="16">
        <f>IFERROR(__xludf.DUMMYFUNCTION("VLOOKUP(A209,IMPORTRANGE(""1QZ5UxyNCwadreQAXnQ7oCoH982DjIA-QnZdO7ZoqkC0/edit#gid=884617569"",""S4 Totals!$A$2:$O$255""),7,FALSE)"),29.0)</f>
        <v>29</v>
      </c>
      <c r="K209" s="15">
        <f>IFERROR(__xludf.DUMMYFUNCTION("VLOOKUP(A209,IMPORTRANGE(""1QZ5UxyNCwadreQAXnQ7oCoH982DjIA-QnZdO7ZoqkC0/edit#gid=884617569"",""S4 Totals!$A$2:$O$255""),8,FALSE)"),0.4142857142857143)</f>
        <v>0.4142857143</v>
      </c>
      <c r="L209" s="147"/>
      <c r="M209" s="16">
        <f>IFERROR(__xludf.DUMMYFUNCTION("VLOOKUP(A209,IMPORTRANGE(""1QZ5UxyNCwadreQAXnQ7oCoH982DjIA-QnZdO7ZoqkC0/edit#gid=884617569"",""S4 Totals!$A$2:$O$255""),10,FALSE)"),28.0)</f>
        <v>28</v>
      </c>
      <c r="N209" s="15">
        <f>IFERROR(__xludf.DUMMYFUNCTION("VLOOKUP(A209,IMPORTRANGE(""1QZ5UxyNCwadreQAXnQ7oCoH982DjIA-QnZdO7ZoqkC0/edit#gid=884617569"",""S4 Totals!$A$2:$O$255""),11,FALSE)"),0.3783783783783784)</f>
        <v>0.3783783784</v>
      </c>
      <c r="O209" s="110"/>
      <c r="P209" s="16" t="str">
        <f>IFERROR(__xludf.DUMMYFUNCTION("VLOOKUP(A209,IMPORTRANGE(""1QZ5UxyNCwadreQAXnQ7oCoH982DjIA-QnZdO7ZoqkC0/edit#gid=884617569"",""S4 Totals!$A$2:$O$255""),13,FALSE)"),"")</f>
        <v/>
      </c>
      <c r="Q209" s="15" t="str">
        <f>IFERROR(__xludf.DUMMYFUNCTION("VLOOKUP(A209,IMPORTRANGE(""1QZ5UxyNCwadreQAXnQ7oCoH982DjIA-QnZdO7ZoqkC0/edit#gid=884617569"",""S4 Totals!$A$2:$O$255""),14,FALSE)"),"")</f>
        <v/>
      </c>
      <c r="R209" s="110"/>
    </row>
    <row r="210">
      <c r="A210" s="128" t="s">
        <v>149</v>
      </c>
      <c r="B210" s="16">
        <f>IFERROR(__xludf.DUMMYFUNCTION("VLOOKUP(A210,IMPORTRANGE(""1aFCnJY1qhIj8-JckJhDJ18aqmVo17tofpQmOjcYa3u8/edit#gid=1878241338"",""S4 Totals!$A$2:$O$255""),2,FALSE)"),16.0)</f>
        <v>16</v>
      </c>
      <c r="C210" s="15">
        <f>IFERROR(__xludf.DUMMYFUNCTION("VLOOKUP(A210,IMPORTRANGE(""1aFCnJY1qhIj8-JckJhDJ18aqmVo17tofpQmOjcYa3u8/edit#gid=1878241338"",""S4 Totals!$A$2:$O$255""),3,FALSE)"),0.32)</f>
        <v>0.32</v>
      </c>
      <c r="D210" s="16">
        <f>IFERROR(__xludf.DUMMYFUNCTION("VLOOKUP(A210,IMPORTRANGE(""1QZ5UxyNCwadreQAXnQ7oCoH982DjIA-QnZdO7ZoqkC0/edit#gid=884617569"",""S4 Totals!$A$2:$O$255""),2,FALSE)"),10.0)</f>
        <v>10</v>
      </c>
      <c r="E210" s="15">
        <f>IFERROR(__xludf.DUMMYFUNCTION("VLOOKUP(A210,IMPORTRANGE(""1QZ5UxyNCwadreQAXnQ7oCoH982DjIA-QnZdO7ZoqkC0/edit#gid=884617569"",""S4 Totals!$A$2:$O$255""),3,FALSE)"),0.2127659574468085)</f>
        <v>0.2127659574</v>
      </c>
      <c r="F210" s="146">
        <f t="shared" si="1"/>
        <v>0.1072340426</v>
      </c>
      <c r="G210" s="16">
        <f>IFERROR(__xludf.DUMMYFUNCTION("VLOOKUP(A210,IMPORTRANGE(""1QZ5UxyNCwadreQAXnQ7oCoH982DjIA-QnZdO7ZoqkC0/edit#gid=884617569"",""S4 Totals!$A$2:$O$255""),4,FALSE)"),8.0)</f>
        <v>8</v>
      </c>
      <c r="H210" s="15">
        <f>IFERROR(__xludf.DUMMYFUNCTION("VLOOKUP(A210,IMPORTRANGE(""1QZ5UxyNCwadreQAXnQ7oCoH982DjIA-QnZdO7ZoqkC0/edit#gid=884617569"",""S4 Totals!$A$2:$O$255""),5,FALSE)"),0.12698412698412698)</f>
        <v>0.126984127</v>
      </c>
      <c r="I210" s="143"/>
      <c r="J210" s="16">
        <f>IFERROR(__xludf.DUMMYFUNCTION("VLOOKUP(A210,IMPORTRANGE(""1QZ5UxyNCwadreQAXnQ7oCoH982DjIA-QnZdO7ZoqkC0/edit#gid=884617569"",""S4 Totals!$A$2:$O$255""),7,FALSE)"),8.0)</f>
        <v>8</v>
      </c>
      <c r="K210" s="15">
        <f>IFERROR(__xludf.DUMMYFUNCTION("VLOOKUP(A210,IMPORTRANGE(""1QZ5UxyNCwadreQAXnQ7oCoH982DjIA-QnZdO7ZoqkC0/edit#gid=884617569"",""S4 Totals!$A$2:$O$255""),8,FALSE)"),0.11428571428571428)</f>
        <v>0.1142857143</v>
      </c>
      <c r="L210" s="147"/>
      <c r="M210" s="16">
        <f>IFERROR(__xludf.DUMMYFUNCTION("VLOOKUP(A210,IMPORTRANGE(""1QZ5UxyNCwadreQAXnQ7oCoH982DjIA-QnZdO7ZoqkC0/edit#gid=884617569"",""S4 Totals!$A$2:$O$255""),10,FALSE)"),14.0)</f>
        <v>14</v>
      </c>
      <c r="N210" s="15">
        <f>IFERROR(__xludf.DUMMYFUNCTION("VLOOKUP(A210,IMPORTRANGE(""1QZ5UxyNCwadreQAXnQ7oCoH982DjIA-QnZdO7ZoqkC0/edit#gid=884617569"",""S4 Totals!$A$2:$O$255""),11,FALSE)"),0.1891891891891892)</f>
        <v>0.1891891892</v>
      </c>
      <c r="O210" s="110"/>
      <c r="P210" s="16" t="str">
        <f>IFERROR(__xludf.DUMMYFUNCTION("VLOOKUP(A210,IMPORTRANGE(""1QZ5UxyNCwadreQAXnQ7oCoH982DjIA-QnZdO7ZoqkC0/edit#gid=884617569"",""S4 Totals!$A$2:$O$255""),13,FALSE)"),"")</f>
        <v/>
      </c>
      <c r="Q210" s="15" t="str">
        <f>IFERROR(__xludf.DUMMYFUNCTION("VLOOKUP(A210,IMPORTRANGE(""1QZ5UxyNCwadreQAXnQ7oCoH982DjIA-QnZdO7ZoqkC0/edit#gid=884617569"",""S4 Totals!$A$2:$O$255""),14,FALSE)"),"")</f>
        <v/>
      </c>
      <c r="R210" s="110"/>
    </row>
    <row r="211">
      <c r="A211" s="128" t="s">
        <v>150</v>
      </c>
      <c r="B211" s="16">
        <f>IFERROR(__xludf.DUMMYFUNCTION("VLOOKUP(A211,IMPORTRANGE(""1aFCnJY1qhIj8-JckJhDJ18aqmVo17tofpQmOjcYa3u8/edit#gid=1878241338"",""S4 Totals!$A$2:$O$255""),2,FALSE)"),5.0)</f>
        <v>5</v>
      </c>
      <c r="C211" s="15">
        <f>IFERROR(__xludf.DUMMYFUNCTION("VLOOKUP(A211,IMPORTRANGE(""1aFCnJY1qhIj8-JckJhDJ18aqmVo17tofpQmOjcYa3u8/edit#gid=1878241338"",""S4 Totals!$A$2:$O$255""),3,FALSE)"),0.1)</f>
        <v>0.1</v>
      </c>
      <c r="D211" s="16">
        <f>IFERROR(__xludf.DUMMYFUNCTION("VLOOKUP(A211,IMPORTRANGE(""1QZ5UxyNCwadreQAXnQ7oCoH982DjIA-QnZdO7ZoqkC0/edit#gid=884617569"",""S4 Totals!$A$2:$O$255""),2,FALSE)"),8.0)</f>
        <v>8</v>
      </c>
      <c r="E211" s="15">
        <f>IFERROR(__xludf.DUMMYFUNCTION("VLOOKUP(A211,IMPORTRANGE(""1QZ5UxyNCwadreQAXnQ7oCoH982DjIA-QnZdO7ZoqkC0/edit#gid=884617569"",""S4 Totals!$A$2:$O$255""),3,FALSE)"),0.1702127659574468)</f>
        <v>0.170212766</v>
      </c>
      <c r="F211" s="146">
        <f t="shared" si="1"/>
        <v>-0.07021276596</v>
      </c>
      <c r="G211" s="16">
        <f>IFERROR(__xludf.DUMMYFUNCTION("VLOOKUP(A211,IMPORTRANGE(""1QZ5UxyNCwadreQAXnQ7oCoH982DjIA-QnZdO7ZoqkC0/edit#gid=884617569"",""S4 Totals!$A$2:$O$255""),4,FALSE)"),8.0)</f>
        <v>8</v>
      </c>
      <c r="H211" s="15">
        <f>IFERROR(__xludf.DUMMYFUNCTION("VLOOKUP(A211,IMPORTRANGE(""1QZ5UxyNCwadreQAXnQ7oCoH982DjIA-QnZdO7ZoqkC0/edit#gid=884617569"",""S4 Totals!$A$2:$O$255""),5,FALSE)"),0.12698412698412698)</f>
        <v>0.126984127</v>
      </c>
      <c r="I211" s="143"/>
      <c r="J211" s="16">
        <f>IFERROR(__xludf.DUMMYFUNCTION("VLOOKUP(A211,IMPORTRANGE(""1QZ5UxyNCwadreQAXnQ7oCoH982DjIA-QnZdO7ZoqkC0/edit#gid=884617569"",""S4 Totals!$A$2:$O$255""),7,FALSE)"),7.0)</f>
        <v>7</v>
      </c>
      <c r="K211" s="15">
        <f>IFERROR(__xludf.DUMMYFUNCTION("VLOOKUP(A211,IMPORTRANGE(""1QZ5UxyNCwadreQAXnQ7oCoH982DjIA-QnZdO7ZoqkC0/edit#gid=884617569"",""S4 Totals!$A$2:$O$255""),8,FALSE)"),0.1)</f>
        <v>0.1</v>
      </c>
      <c r="L211" s="147"/>
      <c r="M211" s="16">
        <f>IFERROR(__xludf.DUMMYFUNCTION("VLOOKUP(A211,IMPORTRANGE(""1QZ5UxyNCwadreQAXnQ7oCoH982DjIA-QnZdO7ZoqkC0/edit#gid=884617569"",""S4 Totals!$A$2:$O$255""),10,FALSE)"),9.0)</f>
        <v>9</v>
      </c>
      <c r="N211" s="15">
        <f>IFERROR(__xludf.DUMMYFUNCTION("VLOOKUP(A211,IMPORTRANGE(""1QZ5UxyNCwadreQAXnQ7oCoH982DjIA-QnZdO7ZoqkC0/edit#gid=884617569"",""S4 Totals!$A$2:$O$255""),11,FALSE)"),0.12162162162162163)</f>
        <v>0.1216216216</v>
      </c>
      <c r="O211" s="110"/>
      <c r="P211" s="16" t="str">
        <f>IFERROR(__xludf.DUMMYFUNCTION("VLOOKUP(A211,IMPORTRANGE(""1QZ5UxyNCwadreQAXnQ7oCoH982DjIA-QnZdO7ZoqkC0/edit#gid=884617569"",""S4 Totals!$A$2:$O$255""),13,FALSE)"),"")</f>
        <v/>
      </c>
      <c r="Q211" s="15" t="str">
        <f>IFERROR(__xludf.DUMMYFUNCTION("VLOOKUP(A211,IMPORTRANGE(""1QZ5UxyNCwadreQAXnQ7oCoH982DjIA-QnZdO7ZoqkC0/edit#gid=884617569"",""S4 Totals!$A$2:$O$255""),14,FALSE)"),"")</f>
        <v/>
      </c>
      <c r="R211" s="110"/>
    </row>
    <row r="212">
      <c r="A212" s="128" t="s">
        <v>81</v>
      </c>
      <c r="B212" s="16">
        <f>IFERROR(__xludf.DUMMYFUNCTION("VLOOKUP(A212,IMPORTRANGE(""1aFCnJY1qhIj8-JckJhDJ18aqmVo17tofpQmOjcYa3u8/edit#gid=1878241338"",""S4 Totals!$A$2:$O$255""),2,FALSE)"),12.0)</f>
        <v>12</v>
      </c>
      <c r="C212" s="15">
        <f>IFERROR(__xludf.DUMMYFUNCTION("VLOOKUP(A212,IMPORTRANGE(""1aFCnJY1qhIj8-JckJhDJ18aqmVo17tofpQmOjcYa3u8/edit#gid=1878241338"",""S4 Totals!$A$2:$O$255""),3,FALSE)"),0.24)</f>
        <v>0.24</v>
      </c>
      <c r="D212" s="16">
        <f>IFERROR(__xludf.DUMMYFUNCTION("VLOOKUP(A212,IMPORTRANGE(""1QZ5UxyNCwadreQAXnQ7oCoH982DjIA-QnZdO7ZoqkC0/edit#gid=884617569"",""S4 Totals!$A$2:$O$255""),2,FALSE)"),22.0)</f>
        <v>22</v>
      </c>
      <c r="E212" s="15">
        <f>IFERROR(__xludf.DUMMYFUNCTION("VLOOKUP(A212,IMPORTRANGE(""1QZ5UxyNCwadreQAXnQ7oCoH982DjIA-QnZdO7ZoqkC0/edit#gid=884617569"",""S4 Totals!$A$2:$O$255""),3,FALSE)"),0.46808510638297873)</f>
        <v>0.4680851064</v>
      </c>
      <c r="F212" s="146">
        <f t="shared" si="1"/>
        <v>-0.2280851064</v>
      </c>
      <c r="G212" s="16">
        <f>IFERROR(__xludf.DUMMYFUNCTION("VLOOKUP(A212,IMPORTRANGE(""1QZ5UxyNCwadreQAXnQ7oCoH982DjIA-QnZdO7ZoqkC0/edit#gid=884617569"",""S4 Totals!$A$2:$O$255""),4,FALSE)"),16.0)</f>
        <v>16</v>
      </c>
      <c r="H212" s="15">
        <f>IFERROR(__xludf.DUMMYFUNCTION("VLOOKUP(A212,IMPORTRANGE(""1QZ5UxyNCwadreQAXnQ7oCoH982DjIA-QnZdO7ZoqkC0/edit#gid=884617569"",""S4 Totals!$A$2:$O$255""),5,FALSE)"),0.25396825396825395)</f>
        <v>0.253968254</v>
      </c>
      <c r="I212" s="143"/>
      <c r="J212" s="16">
        <f>IFERROR(__xludf.DUMMYFUNCTION("VLOOKUP(A212,IMPORTRANGE(""1QZ5UxyNCwadreQAXnQ7oCoH982DjIA-QnZdO7ZoqkC0/edit#gid=884617569"",""S4 Totals!$A$2:$O$255""),7,FALSE)"),29.0)</f>
        <v>29</v>
      </c>
      <c r="K212" s="15">
        <f>IFERROR(__xludf.DUMMYFUNCTION("VLOOKUP(A212,IMPORTRANGE(""1QZ5UxyNCwadreQAXnQ7oCoH982DjIA-QnZdO7ZoqkC0/edit#gid=884617569"",""S4 Totals!$A$2:$O$255""),8,FALSE)"),0.4142857142857143)</f>
        <v>0.4142857143</v>
      </c>
      <c r="L212" s="147"/>
      <c r="M212" s="16">
        <f>IFERROR(__xludf.DUMMYFUNCTION("VLOOKUP(A212,IMPORTRANGE(""1QZ5UxyNCwadreQAXnQ7oCoH982DjIA-QnZdO7ZoqkC0/edit#gid=884617569"",""S4 Totals!$A$2:$O$255""),10,FALSE)"),27.0)</f>
        <v>27</v>
      </c>
      <c r="N212" s="15">
        <f>IFERROR(__xludf.DUMMYFUNCTION("VLOOKUP(A212,IMPORTRANGE(""1QZ5UxyNCwadreQAXnQ7oCoH982DjIA-QnZdO7ZoqkC0/edit#gid=884617569"",""S4 Totals!$A$2:$O$255""),11,FALSE)"),0.36486486486486486)</f>
        <v>0.3648648649</v>
      </c>
      <c r="O212" s="110"/>
      <c r="P212" s="16">
        <f>IFERROR(__xludf.DUMMYFUNCTION("VLOOKUP(A212,IMPORTRANGE(""1QZ5UxyNCwadreQAXnQ7oCoH982DjIA-QnZdO7ZoqkC0/edit#gid=884617569"",""S4 Totals!$A$2:$O$255""),13,FALSE)"),19.0)</f>
        <v>19</v>
      </c>
      <c r="Q212" s="15">
        <f>IFERROR(__xludf.DUMMYFUNCTION("VLOOKUP(A212,IMPORTRANGE(""1QZ5UxyNCwadreQAXnQ7oCoH982DjIA-QnZdO7ZoqkC0/edit#gid=884617569"",""S4 Totals!$A$2:$O$255""),14,FALSE)"),0.25333333333333335)</f>
        <v>0.2533333333</v>
      </c>
      <c r="R212" s="110"/>
    </row>
    <row r="213">
      <c r="A213" s="128" t="s">
        <v>253</v>
      </c>
      <c r="B213" s="16">
        <f>IFERROR(__xludf.DUMMYFUNCTION("VLOOKUP(A213,IMPORTRANGE(""1aFCnJY1qhIj8-JckJhDJ18aqmVo17tofpQmOjcYa3u8/edit#gid=1878241338"",""S4 Totals!$A$2:$O$255""),2,FALSE)"),40.0)</f>
        <v>40</v>
      </c>
      <c r="C213" s="15">
        <f>IFERROR(__xludf.DUMMYFUNCTION("VLOOKUP(A213,IMPORTRANGE(""1aFCnJY1qhIj8-JckJhDJ18aqmVo17tofpQmOjcYa3u8/edit#gid=1878241338"",""S4 Totals!$A$2:$O$255""),3,FALSE)"),0.8)</f>
        <v>0.8</v>
      </c>
      <c r="D213" s="16">
        <f>IFERROR(__xludf.DUMMYFUNCTION("VLOOKUP(A213,IMPORTRANGE(""1QZ5UxyNCwadreQAXnQ7oCoH982DjIA-QnZdO7ZoqkC0/edit#gid=884617569"",""S4 Totals!$A$2:$O$255""),2,FALSE)"),25.0)</f>
        <v>25</v>
      </c>
      <c r="E213" s="15">
        <f>IFERROR(__xludf.DUMMYFUNCTION("VLOOKUP(A213,IMPORTRANGE(""1QZ5UxyNCwadreQAXnQ7oCoH982DjIA-QnZdO7ZoqkC0/edit#gid=884617569"",""S4 Totals!$A$2:$O$255""),3,FALSE)"),0.5319148936170213)</f>
        <v>0.5319148936</v>
      </c>
      <c r="F213" s="146">
        <f t="shared" si="1"/>
        <v>0.2680851064</v>
      </c>
      <c r="G213" s="16">
        <f>IFERROR(__xludf.DUMMYFUNCTION("VLOOKUP(A213,IMPORTRANGE(""1QZ5UxyNCwadreQAXnQ7oCoH982DjIA-QnZdO7ZoqkC0/edit#gid=884617569"",""S4 Totals!$A$2:$O$255""),4,FALSE)"),19.0)</f>
        <v>19</v>
      </c>
      <c r="H213" s="15">
        <f>IFERROR(__xludf.DUMMYFUNCTION("VLOOKUP(A213,IMPORTRANGE(""1QZ5UxyNCwadreQAXnQ7oCoH982DjIA-QnZdO7ZoqkC0/edit#gid=884617569"",""S4 Totals!$A$2:$O$255""),5,FALSE)"),0.30158730158730157)</f>
        <v>0.3015873016</v>
      </c>
      <c r="I213" s="143"/>
      <c r="J213" s="16" t="str">
        <f>IFERROR(__xludf.DUMMYFUNCTION("VLOOKUP(A213,IMPORTRANGE(""1QZ5UxyNCwadreQAXnQ7oCoH982DjIA-QnZdO7ZoqkC0/edit#gid=884617569"",""S4 Totals!$A$2:$O$255""),7,FALSE)"),"")</f>
        <v/>
      </c>
      <c r="K213" s="15" t="str">
        <f>IFERROR(__xludf.DUMMYFUNCTION("VLOOKUP(A213,IMPORTRANGE(""1QZ5UxyNCwadreQAXnQ7oCoH982DjIA-QnZdO7ZoqkC0/edit#gid=884617569"",""S4 Totals!$A$2:$O$255""),8,FALSE)"),"")</f>
        <v/>
      </c>
      <c r="L213" s="147"/>
      <c r="M213" s="16" t="str">
        <f>IFERROR(__xludf.DUMMYFUNCTION("VLOOKUP(A213,IMPORTRANGE(""1QZ5UxyNCwadreQAXnQ7oCoH982DjIA-QnZdO7ZoqkC0/edit#gid=884617569"",""S4 Totals!$A$2:$O$255""),10,FALSE)"),"")</f>
        <v/>
      </c>
      <c r="N213" s="15" t="str">
        <f>IFERROR(__xludf.DUMMYFUNCTION("VLOOKUP(A213,IMPORTRANGE(""1QZ5UxyNCwadreQAXnQ7oCoH982DjIA-QnZdO7ZoqkC0/edit#gid=884617569"",""S4 Totals!$A$2:$O$255""),11,FALSE)"),"")</f>
        <v/>
      </c>
      <c r="O213" s="110"/>
      <c r="P213" s="16" t="str">
        <f>IFERROR(__xludf.DUMMYFUNCTION("VLOOKUP(A213,IMPORTRANGE(""1QZ5UxyNCwadreQAXnQ7oCoH982DjIA-QnZdO7ZoqkC0/edit#gid=884617569"",""S4 Totals!$A$2:$O$255""),13,FALSE)"),"")</f>
        <v/>
      </c>
      <c r="Q213" s="15" t="str">
        <f>IFERROR(__xludf.DUMMYFUNCTION("VLOOKUP(A213,IMPORTRANGE(""1QZ5UxyNCwadreQAXnQ7oCoH982DjIA-QnZdO7ZoqkC0/edit#gid=884617569"",""S4 Totals!$A$2:$O$255""),14,FALSE)"),"")</f>
        <v/>
      </c>
      <c r="R213" s="110"/>
    </row>
    <row r="214">
      <c r="A214" s="128" t="s">
        <v>151</v>
      </c>
      <c r="B214" s="16">
        <f>IFERROR(__xludf.DUMMYFUNCTION("VLOOKUP(A214,IMPORTRANGE(""1aFCnJY1qhIj8-JckJhDJ18aqmVo17tofpQmOjcYa3u8/edit#gid=1878241338"",""S4 Totals!$A$2:$O$255""),2,FALSE)"),21.0)</f>
        <v>21</v>
      </c>
      <c r="C214" s="15">
        <f>IFERROR(__xludf.DUMMYFUNCTION("VLOOKUP(A214,IMPORTRANGE(""1aFCnJY1qhIj8-JckJhDJ18aqmVo17tofpQmOjcYa3u8/edit#gid=1878241338"",""S4 Totals!$A$2:$O$255""),3,FALSE)"),0.42)</f>
        <v>0.42</v>
      </c>
      <c r="D214" s="16">
        <f>IFERROR(__xludf.DUMMYFUNCTION("VLOOKUP(A214,IMPORTRANGE(""1QZ5UxyNCwadreQAXnQ7oCoH982DjIA-QnZdO7ZoqkC0/edit#gid=884617569"",""S4 Totals!$A$2:$O$255""),2,FALSE)"),19.0)</f>
        <v>19</v>
      </c>
      <c r="E214" s="15">
        <f>IFERROR(__xludf.DUMMYFUNCTION("VLOOKUP(A214,IMPORTRANGE(""1QZ5UxyNCwadreQAXnQ7oCoH982DjIA-QnZdO7ZoqkC0/edit#gid=884617569"",""S4 Totals!$A$2:$O$255""),3,FALSE)"),0.40425531914893614)</f>
        <v>0.4042553191</v>
      </c>
      <c r="F214" s="146">
        <f t="shared" si="1"/>
        <v>0.01574468085</v>
      </c>
      <c r="G214" s="16">
        <f>IFERROR(__xludf.DUMMYFUNCTION("VLOOKUP(A214,IMPORTRANGE(""1QZ5UxyNCwadreQAXnQ7oCoH982DjIA-QnZdO7ZoqkC0/edit#gid=884617569"",""S4 Totals!$A$2:$O$255""),4,FALSE)"),20.0)</f>
        <v>20</v>
      </c>
      <c r="H214" s="15">
        <f>IFERROR(__xludf.DUMMYFUNCTION("VLOOKUP(A214,IMPORTRANGE(""1QZ5UxyNCwadreQAXnQ7oCoH982DjIA-QnZdO7ZoqkC0/edit#gid=884617569"",""S4 Totals!$A$2:$O$255""),5,FALSE)"),0.31746031746031744)</f>
        <v>0.3174603175</v>
      </c>
      <c r="I214" s="143"/>
      <c r="J214" s="16">
        <f>IFERROR(__xludf.DUMMYFUNCTION("VLOOKUP(A214,IMPORTRANGE(""1QZ5UxyNCwadreQAXnQ7oCoH982DjIA-QnZdO7ZoqkC0/edit#gid=884617569"",""S4 Totals!$A$2:$O$255""),7,FALSE)"),22.0)</f>
        <v>22</v>
      </c>
      <c r="K214" s="15">
        <f>IFERROR(__xludf.DUMMYFUNCTION("VLOOKUP(A214,IMPORTRANGE(""1QZ5UxyNCwadreQAXnQ7oCoH982DjIA-QnZdO7ZoqkC0/edit#gid=884617569"",""S4 Totals!$A$2:$O$255""),8,FALSE)"),0.3142857142857143)</f>
        <v>0.3142857143</v>
      </c>
      <c r="L214" s="147"/>
      <c r="M214" s="16">
        <f>IFERROR(__xludf.DUMMYFUNCTION("VLOOKUP(A214,IMPORTRANGE(""1QZ5UxyNCwadreQAXnQ7oCoH982DjIA-QnZdO7ZoqkC0/edit#gid=884617569"",""S4 Totals!$A$2:$O$255""),10,FALSE)"),23.0)</f>
        <v>23</v>
      </c>
      <c r="N214" s="15">
        <f>IFERROR(__xludf.DUMMYFUNCTION("VLOOKUP(A214,IMPORTRANGE(""1QZ5UxyNCwadreQAXnQ7oCoH982DjIA-QnZdO7ZoqkC0/edit#gid=884617569"",""S4 Totals!$A$2:$O$255""),11,FALSE)"),0.3108108108108108)</f>
        <v>0.3108108108</v>
      </c>
      <c r="O214" s="110"/>
      <c r="P214" s="16" t="str">
        <f>IFERROR(__xludf.DUMMYFUNCTION("VLOOKUP(A214,IMPORTRANGE(""1QZ5UxyNCwadreQAXnQ7oCoH982DjIA-QnZdO7ZoqkC0/edit#gid=884617569"",""S4 Totals!$A$2:$O$255""),13,FALSE)"),"")</f>
        <v/>
      </c>
      <c r="Q214" s="15" t="str">
        <f>IFERROR(__xludf.DUMMYFUNCTION("VLOOKUP(A214,IMPORTRANGE(""1QZ5UxyNCwadreQAXnQ7oCoH982DjIA-QnZdO7ZoqkC0/edit#gid=884617569"",""S4 Totals!$A$2:$O$255""),14,FALSE)"),"")</f>
        <v/>
      </c>
      <c r="R214" s="110"/>
    </row>
    <row r="215">
      <c r="A215" s="128" t="s">
        <v>198</v>
      </c>
      <c r="B215" s="16">
        <f>IFERROR(__xludf.DUMMYFUNCTION("VLOOKUP(A215,IMPORTRANGE(""1aFCnJY1qhIj8-JckJhDJ18aqmVo17tofpQmOjcYa3u8/edit#gid=1878241338"",""S4 Totals!$A$2:$O$255""),2,FALSE)"),3.0)</f>
        <v>3</v>
      </c>
      <c r="C215" s="15">
        <f>IFERROR(__xludf.DUMMYFUNCTION("VLOOKUP(A215,IMPORTRANGE(""1aFCnJY1qhIj8-JckJhDJ18aqmVo17tofpQmOjcYa3u8/edit#gid=1878241338"",""S4 Totals!$A$2:$O$255""),3,FALSE)"),0.06)</f>
        <v>0.06</v>
      </c>
      <c r="D215" s="16">
        <f>IFERROR(__xludf.DUMMYFUNCTION("VLOOKUP(A215,IMPORTRANGE(""1QZ5UxyNCwadreQAXnQ7oCoH982DjIA-QnZdO7ZoqkC0/edit#gid=884617569"",""S4 Totals!$A$2:$O$255""),2,FALSE)"),4.0)</f>
        <v>4</v>
      </c>
      <c r="E215" s="15">
        <f>IFERROR(__xludf.DUMMYFUNCTION("VLOOKUP(A215,IMPORTRANGE(""1QZ5UxyNCwadreQAXnQ7oCoH982DjIA-QnZdO7ZoqkC0/edit#gid=884617569"",""S4 Totals!$A$2:$O$255""),3,FALSE)"),0.0851063829787234)</f>
        <v>0.08510638298</v>
      </c>
      <c r="F215" s="146">
        <f t="shared" si="1"/>
        <v>-0.02510638298</v>
      </c>
      <c r="G215" s="16">
        <f>IFERROR(__xludf.DUMMYFUNCTION("VLOOKUP(A215,IMPORTRANGE(""1QZ5UxyNCwadreQAXnQ7oCoH982DjIA-QnZdO7ZoqkC0/edit#gid=884617569"",""S4 Totals!$A$2:$O$255""),4,FALSE)"),3.0)</f>
        <v>3</v>
      </c>
      <c r="H215" s="15">
        <f>IFERROR(__xludf.DUMMYFUNCTION("VLOOKUP(A215,IMPORTRANGE(""1QZ5UxyNCwadreQAXnQ7oCoH982DjIA-QnZdO7ZoqkC0/edit#gid=884617569"",""S4 Totals!$A$2:$O$255""),5,FALSE)"),0.047619047619047616)</f>
        <v>0.04761904762</v>
      </c>
      <c r="I215" s="143"/>
      <c r="J215" s="16">
        <f>IFERROR(__xludf.DUMMYFUNCTION("VLOOKUP(A215,IMPORTRANGE(""1QZ5UxyNCwadreQAXnQ7oCoH982DjIA-QnZdO7ZoqkC0/edit#gid=884617569"",""S4 Totals!$A$2:$O$255""),7,FALSE)"),1.0)</f>
        <v>1</v>
      </c>
      <c r="K215" s="15">
        <f>IFERROR(__xludf.DUMMYFUNCTION("VLOOKUP(A215,IMPORTRANGE(""1QZ5UxyNCwadreQAXnQ7oCoH982DjIA-QnZdO7ZoqkC0/edit#gid=884617569"",""S4 Totals!$A$2:$O$255""),8,FALSE)"),0.014285714285714285)</f>
        <v>0.01428571429</v>
      </c>
      <c r="L215" s="147"/>
      <c r="M215" s="16" t="str">
        <f>IFERROR(__xludf.DUMMYFUNCTION("VLOOKUP(A215,IMPORTRANGE(""1QZ5UxyNCwadreQAXnQ7oCoH982DjIA-QnZdO7ZoqkC0/edit#gid=884617569"",""S4 Totals!$A$2:$O$255""),10,FALSE)"),"")</f>
        <v/>
      </c>
      <c r="N215" s="15" t="str">
        <f>IFERROR(__xludf.DUMMYFUNCTION("VLOOKUP(A215,IMPORTRANGE(""1QZ5UxyNCwadreQAXnQ7oCoH982DjIA-QnZdO7ZoqkC0/edit#gid=884617569"",""S4 Totals!$A$2:$O$255""),11,FALSE)"),"")</f>
        <v/>
      </c>
      <c r="O215" s="110"/>
      <c r="P215" s="16" t="str">
        <f>IFERROR(__xludf.DUMMYFUNCTION("VLOOKUP(A215,IMPORTRANGE(""1QZ5UxyNCwadreQAXnQ7oCoH982DjIA-QnZdO7ZoqkC0/edit#gid=884617569"",""S4 Totals!$A$2:$O$255""),13,FALSE)"),"")</f>
        <v/>
      </c>
      <c r="Q215" s="15" t="str">
        <f>IFERROR(__xludf.DUMMYFUNCTION("VLOOKUP(A215,IMPORTRANGE(""1QZ5UxyNCwadreQAXnQ7oCoH982DjIA-QnZdO7ZoqkC0/edit#gid=884617569"",""S4 Totals!$A$2:$O$255""),14,FALSE)"),"")</f>
        <v/>
      </c>
      <c r="R215" s="110"/>
    </row>
    <row r="216">
      <c r="A216" s="128" t="s">
        <v>95</v>
      </c>
      <c r="B216" s="16">
        <f>IFERROR(__xludf.DUMMYFUNCTION("VLOOKUP(A216,IMPORTRANGE(""1aFCnJY1qhIj8-JckJhDJ18aqmVo17tofpQmOjcYa3u8/edit#gid=1878241338"",""S4 Totals!$A$2:$O$255""),2,FALSE)"),20.0)</f>
        <v>20</v>
      </c>
      <c r="C216" s="15">
        <f>IFERROR(__xludf.DUMMYFUNCTION("VLOOKUP(A216,IMPORTRANGE(""1aFCnJY1qhIj8-JckJhDJ18aqmVo17tofpQmOjcYa3u8/edit#gid=1878241338"",""S4 Totals!$A$2:$O$255""),3,FALSE)"),0.4)</f>
        <v>0.4</v>
      </c>
      <c r="D216" s="16">
        <f>IFERROR(__xludf.DUMMYFUNCTION("VLOOKUP(A216,IMPORTRANGE(""1QZ5UxyNCwadreQAXnQ7oCoH982DjIA-QnZdO7ZoqkC0/edit#gid=884617569"",""S4 Totals!$A$2:$O$255""),2,FALSE)"),11.0)</f>
        <v>11</v>
      </c>
      <c r="E216" s="15">
        <f>IFERROR(__xludf.DUMMYFUNCTION("VLOOKUP(A216,IMPORTRANGE(""1QZ5UxyNCwadreQAXnQ7oCoH982DjIA-QnZdO7ZoqkC0/edit#gid=884617569"",""S4 Totals!$A$2:$O$255""),3,FALSE)"),0.23404255319148937)</f>
        <v>0.2340425532</v>
      </c>
      <c r="F216" s="146">
        <f t="shared" si="1"/>
        <v>0.1659574468</v>
      </c>
      <c r="G216" s="16">
        <f>IFERROR(__xludf.DUMMYFUNCTION("VLOOKUP(A216,IMPORTRANGE(""1QZ5UxyNCwadreQAXnQ7oCoH982DjIA-QnZdO7ZoqkC0/edit#gid=884617569"",""S4 Totals!$A$2:$O$255""),4,FALSE)"),17.0)</f>
        <v>17</v>
      </c>
      <c r="H216" s="15">
        <f>IFERROR(__xludf.DUMMYFUNCTION("VLOOKUP(A216,IMPORTRANGE(""1QZ5UxyNCwadreQAXnQ7oCoH982DjIA-QnZdO7ZoqkC0/edit#gid=884617569"",""S4 Totals!$A$2:$O$255""),5,FALSE)"),0.2698412698412698)</f>
        <v>0.2698412698</v>
      </c>
      <c r="I216" s="143"/>
      <c r="J216" s="16">
        <f>IFERROR(__xludf.DUMMYFUNCTION("VLOOKUP(A216,IMPORTRANGE(""1QZ5UxyNCwadreQAXnQ7oCoH982DjIA-QnZdO7ZoqkC0/edit#gid=884617569"",""S4 Totals!$A$2:$O$255""),7,FALSE)"),24.0)</f>
        <v>24</v>
      </c>
      <c r="K216" s="15">
        <f>IFERROR(__xludf.DUMMYFUNCTION("VLOOKUP(A216,IMPORTRANGE(""1QZ5UxyNCwadreQAXnQ7oCoH982DjIA-QnZdO7ZoqkC0/edit#gid=884617569"",""S4 Totals!$A$2:$O$255""),8,FALSE)"),0.34285714285714286)</f>
        <v>0.3428571429</v>
      </c>
      <c r="L216" s="147"/>
      <c r="M216" s="16">
        <f>IFERROR(__xludf.DUMMYFUNCTION("VLOOKUP(A216,IMPORTRANGE(""1QZ5UxyNCwadreQAXnQ7oCoH982DjIA-QnZdO7ZoqkC0/edit#gid=884617569"",""S4 Totals!$A$2:$O$255""),10,FALSE)"),22.0)</f>
        <v>22</v>
      </c>
      <c r="N216" s="15">
        <f>IFERROR(__xludf.DUMMYFUNCTION("VLOOKUP(A216,IMPORTRANGE(""1QZ5UxyNCwadreQAXnQ7oCoH982DjIA-QnZdO7ZoqkC0/edit#gid=884617569"",""S4 Totals!$A$2:$O$255""),11,FALSE)"),0.2972972972972973)</f>
        <v>0.2972972973</v>
      </c>
      <c r="O216" s="110"/>
      <c r="P216" s="16">
        <f>IFERROR(__xludf.DUMMYFUNCTION("VLOOKUP(A216,IMPORTRANGE(""1QZ5UxyNCwadreQAXnQ7oCoH982DjIA-QnZdO7ZoqkC0/edit#gid=884617569"",""S4 Totals!$A$2:$O$255""),13,FALSE)"),21.0)</f>
        <v>21</v>
      </c>
      <c r="Q216" s="15">
        <f>IFERROR(__xludf.DUMMYFUNCTION("VLOOKUP(A216,IMPORTRANGE(""1QZ5UxyNCwadreQAXnQ7oCoH982DjIA-QnZdO7ZoqkC0/edit#gid=884617569"",""S4 Totals!$A$2:$O$255""),14,FALSE)"),0.28)</f>
        <v>0.28</v>
      </c>
      <c r="R216" s="110"/>
    </row>
    <row r="217">
      <c r="A217" s="128" t="s">
        <v>199</v>
      </c>
      <c r="B217" s="16">
        <f>IFERROR(__xludf.DUMMYFUNCTION("VLOOKUP(A217,IMPORTRANGE(""1aFCnJY1qhIj8-JckJhDJ18aqmVo17tofpQmOjcYa3u8/edit#gid=1878241338"",""S4 Totals!$A$2:$O$255""),2,FALSE)"),6.0)</f>
        <v>6</v>
      </c>
      <c r="C217" s="15">
        <f>IFERROR(__xludf.DUMMYFUNCTION("VLOOKUP(A217,IMPORTRANGE(""1aFCnJY1qhIj8-JckJhDJ18aqmVo17tofpQmOjcYa3u8/edit#gid=1878241338"",""S4 Totals!$A$2:$O$255""),3,FALSE)"),0.12)</f>
        <v>0.12</v>
      </c>
      <c r="D217" s="16">
        <f>IFERROR(__xludf.DUMMYFUNCTION("VLOOKUP(A217,IMPORTRANGE(""1QZ5UxyNCwadreQAXnQ7oCoH982DjIA-QnZdO7ZoqkC0/edit#gid=884617569"",""S4 Totals!$A$2:$O$255""),2,FALSE)"),0.0)</f>
        <v>0</v>
      </c>
      <c r="E217" s="15">
        <f>IFERROR(__xludf.DUMMYFUNCTION("VLOOKUP(A217,IMPORTRANGE(""1QZ5UxyNCwadreQAXnQ7oCoH982DjIA-QnZdO7ZoqkC0/edit#gid=884617569"",""S4 Totals!$A$2:$O$255""),3,FALSE)"),0.0)</f>
        <v>0</v>
      </c>
      <c r="F217" s="146">
        <f t="shared" si="1"/>
        <v>0.12</v>
      </c>
      <c r="G217" s="16">
        <f>IFERROR(__xludf.DUMMYFUNCTION("VLOOKUP(A217,IMPORTRANGE(""1QZ5UxyNCwadreQAXnQ7oCoH982DjIA-QnZdO7ZoqkC0/edit#gid=884617569"",""S4 Totals!$A$2:$O$255""),4,FALSE)"),1.0)</f>
        <v>1</v>
      </c>
      <c r="H217" s="15">
        <f>IFERROR(__xludf.DUMMYFUNCTION("VLOOKUP(A217,IMPORTRANGE(""1QZ5UxyNCwadreQAXnQ7oCoH982DjIA-QnZdO7ZoqkC0/edit#gid=884617569"",""S4 Totals!$A$2:$O$255""),5,FALSE)"),0.015873015873015872)</f>
        <v>0.01587301587</v>
      </c>
      <c r="I217" s="143"/>
      <c r="J217" s="16">
        <f>IFERROR(__xludf.DUMMYFUNCTION("VLOOKUP(A217,IMPORTRANGE(""1QZ5UxyNCwadreQAXnQ7oCoH982DjIA-QnZdO7ZoqkC0/edit#gid=884617569"",""S4 Totals!$A$2:$O$255""),7,FALSE)"),7.0)</f>
        <v>7</v>
      </c>
      <c r="K217" s="15">
        <f>IFERROR(__xludf.DUMMYFUNCTION("VLOOKUP(A217,IMPORTRANGE(""1QZ5UxyNCwadreQAXnQ7oCoH982DjIA-QnZdO7ZoqkC0/edit#gid=884617569"",""S4 Totals!$A$2:$O$255""),8,FALSE)"),0.1)</f>
        <v>0.1</v>
      </c>
      <c r="L217" s="147"/>
      <c r="M217" s="16" t="str">
        <f>IFERROR(__xludf.DUMMYFUNCTION("VLOOKUP(A217,IMPORTRANGE(""1QZ5UxyNCwadreQAXnQ7oCoH982DjIA-QnZdO7ZoqkC0/edit#gid=884617569"",""S4 Totals!$A$2:$O$255""),10,FALSE)"),"")</f>
        <v/>
      </c>
      <c r="N217" s="15" t="str">
        <f>IFERROR(__xludf.DUMMYFUNCTION("VLOOKUP(A217,IMPORTRANGE(""1QZ5UxyNCwadreQAXnQ7oCoH982DjIA-QnZdO7ZoqkC0/edit#gid=884617569"",""S4 Totals!$A$2:$O$255""),11,FALSE)"),"")</f>
        <v/>
      </c>
      <c r="O217" s="110"/>
      <c r="P217" s="16" t="str">
        <f>IFERROR(__xludf.DUMMYFUNCTION("VLOOKUP(A217,IMPORTRANGE(""1QZ5UxyNCwadreQAXnQ7oCoH982DjIA-QnZdO7ZoqkC0/edit#gid=884617569"",""S4 Totals!$A$2:$O$255""),13,FALSE)"),"")</f>
        <v/>
      </c>
      <c r="Q217" s="15" t="str">
        <f>IFERROR(__xludf.DUMMYFUNCTION("VLOOKUP(A217,IMPORTRANGE(""1QZ5UxyNCwadreQAXnQ7oCoH982DjIA-QnZdO7ZoqkC0/edit#gid=884617569"",""S4 Totals!$A$2:$O$255""),14,FALSE)"),"")</f>
        <v/>
      </c>
      <c r="R217" s="110"/>
    </row>
    <row r="218">
      <c r="A218" s="128" t="s">
        <v>254</v>
      </c>
      <c r="B218" s="16">
        <f>IFERROR(__xludf.DUMMYFUNCTION("VLOOKUP(A218,IMPORTRANGE(""1aFCnJY1qhIj8-JckJhDJ18aqmVo17tofpQmOjcYa3u8/edit#gid=1878241338"",""S4 Totals!$A$2:$O$255""),2,FALSE)"),2.0)</f>
        <v>2</v>
      </c>
      <c r="C218" s="15">
        <f>IFERROR(__xludf.DUMMYFUNCTION("VLOOKUP(A218,IMPORTRANGE(""1aFCnJY1qhIj8-JckJhDJ18aqmVo17tofpQmOjcYa3u8/edit#gid=1878241338"",""S4 Totals!$A$2:$O$255""),3,FALSE)"),0.04)</f>
        <v>0.04</v>
      </c>
      <c r="D218" s="16">
        <f>IFERROR(__xludf.DUMMYFUNCTION("VLOOKUP(A218,IMPORTRANGE(""1QZ5UxyNCwadreQAXnQ7oCoH982DjIA-QnZdO7ZoqkC0/edit#gid=884617569"",""S4 Totals!$A$2:$O$255""),2,FALSE)"),5.0)</f>
        <v>5</v>
      </c>
      <c r="E218" s="15">
        <f>IFERROR(__xludf.DUMMYFUNCTION("VLOOKUP(A218,IMPORTRANGE(""1QZ5UxyNCwadreQAXnQ7oCoH982DjIA-QnZdO7ZoqkC0/edit#gid=884617569"",""S4 Totals!$A$2:$O$255""),3,FALSE)"),0.10638297872340426)</f>
        <v>0.1063829787</v>
      </c>
      <c r="F218" s="146">
        <f t="shared" si="1"/>
        <v>-0.06638297872</v>
      </c>
      <c r="G218" s="16">
        <f>IFERROR(__xludf.DUMMYFUNCTION("VLOOKUP(A218,IMPORTRANGE(""1QZ5UxyNCwadreQAXnQ7oCoH982DjIA-QnZdO7ZoqkC0/edit#gid=884617569"",""S4 Totals!$A$2:$O$255""),4,FALSE)"),6.0)</f>
        <v>6</v>
      </c>
      <c r="H218" s="15">
        <f>IFERROR(__xludf.DUMMYFUNCTION("VLOOKUP(A218,IMPORTRANGE(""1QZ5UxyNCwadreQAXnQ7oCoH982DjIA-QnZdO7ZoqkC0/edit#gid=884617569"",""S4 Totals!$A$2:$O$255""),5,FALSE)"),0.09523809523809523)</f>
        <v>0.09523809524</v>
      </c>
      <c r="I218" s="143"/>
      <c r="J218" s="16" t="str">
        <f>IFERROR(__xludf.DUMMYFUNCTION("VLOOKUP(A218,IMPORTRANGE(""1QZ5UxyNCwadreQAXnQ7oCoH982DjIA-QnZdO7ZoqkC0/edit#gid=884617569"",""S4 Totals!$A$2:$O$255""),7,FALSE)"),"")</f>
        <v/>
      </c>
      <c r="K218" s="15" t="str">
        <f>IFERROR(__xludf.DUMMYFUNCTION("VLOOKUP(A218,IMPORTRANGE(""1QZ5UxyNCwadreQAXnQ7oCoH982DjIA-QnZdO7ZoqkC0/edit#gid=884617569"",""S4 Totals!$A$2:$O$255""),8,FALSE)"),"")</f>
        <v/>
      </c>
      <c r="L218" s="147"/>
      <c r="M218" s="16" t="str">
        <f>IFERROR(__xludf.DUMMYFUNCTION("VLOOKUP(A218,IMPORTRANGE(""1QZ5UxyNCwadreQAXnQ7oCoH982DjIA-QnZdO7ZoqkC0/edit#gid=884617569"",""S4 Totals!$A$2:$O$255""),10,FALSE)"),"")</f>
        <v/>
      </c>
      <c r="N218" s="15" t="str">
        <f>IFERROR(__xludf.DUMMYFUNCTION("VLOOKUP(A218,IMPORTRANGE(""1QZ5UxyNCwadreQAXnQ7oCoH982DjIA-QnZdO7ZoqkC0/edit#gid=884617569"",""S4 Totals!$A$2:$O$255""),11,FALSE)"),"")</f>
        <v/>
      </c>
      <c r="O218" s="110"/>
      <c r="P218" s="16" t="str">
        <f>IFERROR(__xludf.DUMMYFUNCTION("VLOOKUP(A218,IMPORTRANGE(""1QZ5UxyNCwadreQAXnQ7oCoH982DjIA-QnZdO7ZoqkC0/edit#gid=884617569"",""S4 Totals!$A$2:$O$255""),13,FALSE)"),"")</f>
        <v/>
      </c>
      <c r="Q218" s="15" t="str">
        <f>IFERROR(__xludf.DUMMYFUNCTION("VLOOKUP(A218,IMPORTRANGE(""1QZ5UxyNCwadreQAXnQ7oCoH982DjIA-QnZdO7ZoqkC0/edit#gid=884617569"",""S4 Totals!$A$2:$O$255""),14,FALSE)"),"")</f>
        <v/>
      </c>
      <c r="R218" s="110"/>
    </row>
    <row r="219">
      <c r="A219" s="128" t="s">
        <v>96</v>
      </c>
      <c r="B219" s="16">
        <f>IFERROR(__xludf.DUMMYFUNCTION("VLOOKUP(A219,IMPORTRANGE(""1aFCnJY1qhIj8-JckJhDJ18aqmVo17tofpQmOjcYa3u8/edit#gid=1878241338"",""S4 Totals!$A$2:$O$255""),2,FALSE)"),26.0)</f>
        <v>26</v>
      </c>
      <c r="C219" s="15">
        <f>IFERROR(__xludf.DUMMYFUNCTION("VLOOKUP(A219,IMPORTRANGE(""1aFCnJY1qhIj8-JckJhDJ18aqmVo17tofpQmOjcYa3u8/edit#gid=1878241338"",""S4 Totals!$A$2:$O$255""),3,FALSE)"),0.52)</f>
        <v>0.52</v>
      </c>
      <c r="D219" s="16">
        <f>IFERROR(__xludf.DUMMYFUNCTION("VLOOKUP(A219,IMPORTRANGE(""1QZ5UxyNCwadreQAXnQ7oCoH982DjIA-QnZdO7ZoqkC0/edit#gid=884617569"",""S4 Totals!$A$2:$O$255""),2,FALSE)"),25.0)</f>
        <v>25</v>
      </c>
      <c r="E219" s="15">
        <f>IFERROR(__xludf.DUMMYFUNCTION("VLOOKUP(A219,IMPORTRANGE(""1QZ5UxyNCwadreQAXnQ7oCoH982DjIA-QnZdO7ZoqkC0/edit#gid=884617569"",""S4 Totals!$A$2:$O$255""),3,FALSE)"),0.5319148936170213)</f>
        <v>0.5319148936</v>
      </c>
      <c r="F219" s="146">
        <f t="shared" si="1"/>
        <v>-0.01191489362</v>
      </c>
      <c r="G219" s="16">
        <f>IFERROR(__xludf.DUMMYFUNCTION("VLOOKUP(A219,IMPORTRANGE(""1QZ5UxyNCwadreQAXnQ7oCoH982DjIA-QnZdO7ZoqkC0/edit#gid=884617569"",""S4 Totals!$A$2:$O$255""),4,FALSE)"),17.0)</f>
        <v>17</v>
      </c>
      <c r="H219" s="15">
        <f>IFERROR(__xludf.DUMMYFUNCTION("VLOOKUP(A219,IMPORTRANGE(""1QZ5UxyNCwadreQAXnQ7oCoH982DjIA-QnZdO7ZoqkC0/edit#gid=884617569"",""S4 Totals!$A$2:$O$255""),5,FALSE)"),0.2698412698412698)</f>
        <v>0.2698412698</v>
      </c>
      <c r="I219" s="143"/>
      <c r="J219" s="16">
        <f>IFERROR(__xludf.DUMMYFUNCTION("VLOOKUP(A219,IMPORTRANGE(""1QZ5UxyNCwadreQAXnQ7oCoH982DjIA-QnZdO7ZoqkC0/edit#gid=884617569"",""S4 Totals!$A$2:$O$255""),7,FALSE)"),23.0)</f>
        <v>23</v>
      </c>
      <c r="K219" s="15">
        <f>IFERROR(__xludf.DUMMYFUNCTION("VLOOKUP(A219,IMPORTRANGE(""1QZ5UxyNCwadreQAXnQ7oCoH982DjIA-QnZdO7ZoqkC0/edit#gid=884617569"",""S4 Totals!$A$2:$O$255""),8,FALSE)"),0.32857142857142857)</f>
        <v>0.3285714286</v>
      </c>
      <c r="L219" s="147"/>
      <c r="M219" s="16">
        <f>IFERROR(__xludf.DUMMYFUNCTION("VLOOKUP(A219,IMPORTRANGE(""1QZ5UxyNCwadreQAXnQ7oCoH982DjIA-QnZdO7ZoqkC0/edit#gid=884617569"",""S4 Totals!$A$2:$O$255""),10,FALSE)"),24.0)</f>
        <v>24</v>
      </c>
      <c r="N219" s="15">
        <f>IFERROR(__xludf.DUMMYFUNCTION("VLOOKUP(A219,IMPORTRANGE(""1QZ5UxyNCwadreQAXnQ7oCoH982DjIA-QnZdO7ZoqkC0/edit#gid=884617569"",""S4 Totals!$A$2:$O$255""),11,FALSE)"),0.32432432432432434)</f>
        <v>0.3243243243</v>
      </c>
      <c r="O219" s="110"/>
      <c r="P219" s="16">
        <f>IFERROR(__xludf.DUMMYFUNCTION("VLOOKUP(A219,IMPORTRANGE(""1QZ5UxyNCwadreQAXnQ7oCoH982DjIA-QnZdO7ZoqkC0/edit#gid=884617569"",""S4 Totals!$A$2:$O$255""),13,FALSE)"),17.0)</f>
        <v>17</v>
      </c>
      <c r="Q219" s="15">
        <f>IFERROR(__xludf.DUMMYFUNCTION("VLOOKUP(A219,IMPORTRANGE(""1QZ5UxyNCwadreQAXnQ7oCoH982DjIA-QnZdO7ZoqkC0/edit#gid=884617569"",""S4 Totals!$A$2:$O$255""),14,FALSE)"),0.22666666666666666)</f>
        <v>0.2266666667</v>
      </c>
      <c r="R219" s="110"/>
    </row>
    <row r="220">
      <c r="A220" s="128" t="s">
        <v>255</v>
      </c>
      <c r="B220" s="16">
        <f>IFERROR(__xludf.DUMMYFUNCTION("VLOOKUP(A220,IMPORTRANGE(""1aFCnJY1qhIj8-JckJhDJ18aqmVo17tofpQmOjcYa3u8/edit#gid=1878241338"",""S4 Totals!$A$2:$O$255""),2,FALSE)"),7.0)</f>
        <v>7</v>
      </c>
      <c r="C220" s="15">
        <f>IFERROR(__xludf.DUMMYFUNCTION("VLOOKUP(A220,IMPORTRANGE(""1aFCnJY1qhIj8-JckJhDJ18aqmVo17tofpQmOjcYa3u8/edit#gid=1878241338"",""S4 Totals!$A$2:$O$255""),3,FALSE)"),0.14)</f>
        <v>0.14</v>
      </c>
      <c r="D220" s="16">
        <f>IFERROR(__xludf.DUMMYFUNCTION("VLOOKUP(A220,IMPORTRANGE(""1QZ5UxyNCwadreQAXnQ7oCoH982DjIA-QnZdO7ZoqkC0/edit#gid=884617569"",""S4 Totals!$A$2:$O$255""),2,FALSE)"),10.0)</f>
        <v>10</v>
      </c>
      <c r="E220" s="15">
        <f>IFERROR(__xludf.DUMMYFUNCTION("VLOOKUP(A220,IMPORTRANGE(""1QZ5UxyNCwadreQAXnQ7oCoH982DjIA-QnZdO7ZoqkC0/edit#gid=884617569"",""S4 Totals!$A$2:$O$255""),3,FALSE)"),0.2127659574468085)</f>
        <v>0.2127659574</v>
      </c>
      <c r="F220" s="146">
        <f t="shared" si="1"/>
        <v>-0.07276595745</v>
      </c>
      <c r="G220" s="16">
        <f>IFERROR(__xludf.DUMMYFUNCTION("VLOOKUP(A220,IMPORTRANGE(""1QZ5UxyNCwadreQAXnQ7oCoH982DjIA-QnZdO7ZoqkC0/edit#gid=884617569"",""S4 Totals!$A$2:$O$255""),4,FALSE)"),10.0)</f>
        <v>10</v>
      </c>
      <c r="H220" s="15">
        <f>IFERROR(__xludf.DUMMYFUNCTION("VLOOKUP(A220,IMPORTRANGE(""1QZ5UxyNCwadreQAXnQ7oCoH982DjIA-QnZdO7ZoqkC0/edit#gid=884617569"",""S4 Totals!$A$2:$O$255""),5,FALSE)"),0.15873015873015872)</f>
        <v>0.1587301587</v>
      </c>
      <c r="I220" s="143"/>
      <c r="J220" s="16" t="str">
        <f>IFERROR(__xludf.DUMMYFUNCTION("VLOOKUP(A220,IMPORTRANGE(""1QZ5UxyNCwadreQAXnQ7oCoH982DjIA-QnZdO7ZoqkC0/edit#gid=884617569"",""S4 Totals!$A$2:$O$255""),7,FALSE)"),"")</f>
        <v/>
      </c>
      <c r="K220" s="15" t="str">
        <f>IFERROR(__xludf.DUMMYFUNCTION("VLOOKUP(A220,IMPORTRANGE(""1QZ5UxyNCwadreQAXnQ7oCoH982DjIA-QnZdO7ZoqkC0/edit#gid=884617569"",""S4 Totals!$A$2:$O$255""),8,FALSE)"),"")</f>
        <v/>
      </c>
      <c r="L220" s="147"/>
      <c r="M220" s="16" t="str">
        <f>IFERROR(__xludf.DUMMYFUNCTION("VLOOKUP(A220,IMPORTRANGE(""1QZ5UxyNCwadreQAXnQ7oCoH982DjIA-QnZdO7ZoqkC0/edit#gid=884617569"",""S4 Totals!$A$2:$O$255""),10,FALSE)"),"")</f>
        <v/>
      </c>
      <c r="N220" s="15" t="str">
        <f>IFERROR(__xludf.DUMMYFUNCTION("VLOOKUP(A220,IMPORTRANGE(""1QZ5UxyNCwadreQAXnQ7oCoH982DjIA-QnZdO7ZoqkC0/edit#gid=884617569"",""S4 Totals!$A$2:$O$255""),11,FALSE)"),"")</f>
        <v/>
      </c>
      <c r="O220" s="110"/>
      <c r="P220" s="16" t="str">
        <f>IFERROR(__xludf.DUMMYFUNCTION("VLOOKUP(A220,IMPORTRANGE(""1QZ5UxyNCwadreQAXnQ7oCoH982DjIA-QnZdO7ZoqkC0/edit#gid=884617569"",""S4 Totals!$A$2:$O$255""),13,FALSE)"),"")</f>
        <v/>
      </c>
      <c r="Q220" s="15" t="str">
        <f>IFERROR(__xludf.DUMMYFUNCTION("VLOOKUP(A220,IMPORTRANGE(""1QZ5UxyNCwadreQAXnQ7oCoH982DjIA-QnZdO7ZoqkC0/edit#gid=884617569"",""S4 Totals!$A$2:$O$255""),14,FALSE)"),"")</f>
        <v/>
      </c>
      <c r="R220" s="110"/>
    </row>
    <row r="221">
      <c r="A221" s="128" t="s">
        <v>97</v>
      </c>
      <c r="B221" s="16">
        <f>IFERROR(__xludf.DUMMYFUNCTION("VLOOKUP(A221,IMPORTRANGE(""1aFCnJY1qhIj8-JckJhDJ18aqmVo17tofpQmOjcYa3u8/edit#gid=1878241338"",""S4 Totals!$A$2:$O$255""),2,FALSE)"),26.0)</f>
        <v>26</v>
      </c>
      <c r="C221" s="15">
        <f>IFERROR(__xludf.DUMMYFUNCTION("VLOOKUP(A221,IMPORTRANGE(""1aFCnJY1qhIj8-JckJhDJ18aqmVo17tofpQmOjcYa3u8/edit#gid=1878241338"",""S4 Totals!$A$2:$O$255""),3,FALSE)"),0.52)</f>
        <v>0.52</v>
      </c>
      <c r="D221" s="16">
        <f>IFERROR(__xludf.DUMMYFUNCTION("VLOOKUP(A221,IMPORTRANGE(""1QZ5UxyNCwadreQAXnQ7oCoH982DjIA-QnZdO7ZoqkC0/edit#gid=884617569"",""S4 Totals!$A$2:$O$255""),2,FALSE)"),25.0)</f>
        <v>25</v>
      </c>
      <c r="E221" s="15">
        <f>IFERROR(__xludf.DUMMYFUNCTION("VLOOKUP(A221,IMPORTRANGE(""1QZ5UxyNCwadreQAXnQ7oCoH982DjIA-QnZdO7ZoqkC0/edit#gid=884617569"",""S4 Totals!$A$2:$O$255""),3,FALSE)"),0.5319148936170213)</f>
        <v>0.5319148936</v>
      </c>
      <c r="F221" s="146">
        <f t="shared" si="1"/>
        <v>-0.01191489362</v>
      </c>
      <c r="G221" s="16">
        <f>IFERROR(__xludf.DUMMYFUNCTION("VLOOKUP(A221,IMPORTRANGE(""1QZ5UxyNCwadreQAXnQ7oCoH982DjIA-QnZdO7ZoqkC0/edit#gid=884617569"",""S4 Totals!$A$2:$O$255""),4,FALSE)"),17.0)</f>
        <v>17</v>
      </c>
      <c r="H221" s="15">
        <f>IFERROR(__xludf.DUMMYFUNCTION("VLOOKUP(A221,IMPORTRANGE(""1QZ5UxyNCwadreQAXnQ7oCoH982DjIA-QnZdO7ZoqkC0/edit#gid=884617569"",""S4 Totals!$A$2:$O$255""),5,FALSE)"),0.2698412698412698)</f>
        <v>0.2698412698</v>
      </c>
      <c r="I221" s="143"/>
      <c r="J221" s="16">
        <f>IFERROR(__xludf.DUMMYFUNCTION("VLOOKUP(A221,IMPORTRANGE(""1QZ5UxyNCwadreQAXnQ7oCoH982DjIA-QnZdO7ZoqkC0/edit#gid=884617569"",""S4 Totals!$A$2:$O$255""),7,FALSE)"),23.0)</f>
        <v>23</v>
      </c>
      <c r="K221" s="15">
        <f>IFERROR(__xludf.DUMMYFUNCTION("VLOOKUP(A221,IMPORTRANGE(""1QZ5UxyNCwadreQAXnQ7oCoH982DjIA-QnZdO7ZoqkC0/edit#gid=884617569"",""S4 Totals!$A$2:$O$255""),8,FALSE)"),0.32857142857142857)</f>
        <v>0.3285714286</v>
      </c>
      <c r="L221" s="147"/>
      <c r="M221" s="16">
        <f>IFERROR(__xludf.DUMMYFUNCTION("VLOOKUP(A221,IMPORTRANGE(""1QZ5UxyNCwadreQAXnQ7oCoH982DjIA-QnZdO7ZoqkC0/edit#gid=884617569"",""S4 Totals!$A$2:$O$255""),10,FALSE)"),24.0)</f>
        <v>24</v>
      </c>
      <c r="N221" s="15">
        <f>IFERROR(__xludf.DUMMYFUNCTION("VLOOKUP(A221,IMPORTRANGE(""1QZ5UxyNCwadreQAXnQ7oCoH982DjIA-QnZdO7ZoqkC0/edit#gid=884617569"",""S4 Totals!$A$2:$O$255""),11,FALSE)"),0.32432432432432434)</f>
        <v>0.3243243243</v>
      </c>
      <c r="O221" s="110"/>
      <c r="P221" s="16">
        <f>IFERROR(__xludf.DUMMYFUNCTION("VLOOKUP(A221,IMPORTRANGE(""1QZ5UxyNCwadreQAXnQ7oCoH982DjIA-QnZdO7ZoqkC0/edit#gid=884617569"",""S4 Totals!$A$2:$O$255""),13,FALSE)"),17.0)</f>
        <v>17</v>
      </c>
      <c r="Q221" s="15">
        <f>IFERROR(__xludf.DUMMYFUNCTION("VLOOKUP(A221,IMPORTRANGE(""1QZ5UxyNCwadreQAXnQ7oCoH982DjIA-QnZdO7ZoqkC0/edit#gid=884617569"",""S4 Totals!$A$2:$O$255""),14,FALSE)"),0.22666666666666666)</f>
        <v>0.2266666667</v>
      </c>
      <c r="R221" s="110"/>
    </row>
    <row r="222">
      <c r="A222" s="128" t="s">
        <v>30</v>
      </c>
      <c r="B222" s="16">
        <f>IFERROR(__xludf.DUMMYFUNCTION("VLOOKUP(A222,IMPORTRANGE(""1aFCnJY1qhIj8-JckJhDJ18aqmVo17tofpQmOjcYa3u8/edit#gid=1878241338"",""S4 Totals!$A$2:$O$255""),2,FALSE)"),5.0)</f>
        <v>5</v>
      </c>
      <c r="C222" s="15">
        <f>IFERROR(__xludf.DUMMYFUNCTION("VLOOKUP(A222,IMPORTRANGE(""1aFCnJY1qhIj8-JckJhDJ18aqmVo17tofpQmOjcYa3u8/edit#gid=1878241338"",""S4 Totals!$A$2:$O$255""),3,FALSE)"),0.1)</f>
        <v>0.1</v>
      </c>
      <c r="D222" s="16">
        <f>IFERROR(__xludf.DUMMYFUNCTION("VLOOKUP(A222,IMPORTRANGE(""1QZ5UxyNCwadreQAXnQ7oCoH982DjIA-QnZdO7ZoqkC0/edit#gid=884617569"",""S4 Totals!$A$2:$O$255""),2,FALSE)"),4.0)</f>
        <v>4</v>
      </c>
      <c r="E222" s="15">
        <f>IFERROR(__xludf.DUMMYFUNCTION("VLOOKUP(A222,IMPORTRANGE(""1QZ5UxyNCwadreQAXnQ7oCoH982DjIA-QnZdO7ZoqkC0/edit#gid=884617569"",""S4 Totals!$A$2:$O$255""),3,FALSE)"),0.0851063829787234)</f>
        <v>0.08510638298</v>
      </c>
      <c r="F222" s="146">
        <f t="shared" si="1"/>
        <v>0.01489361702</v>
      </c>
      <c r="G222" s="16">
        <f>IFERROR(__xludf.DUMMYFUNCTION("VLOOKUP(A222,IMPORTRANGE(""1QZ5UxyNCwadreQAXnQ7oCoH982DjIA-QnZdO7ZoqkC0/edit#gid=884617569"",""S4 Totals!$A$2:$O$255""),4,FALSE)"),6.0)</f>
        <v>6</v>
      </c>
      <c r="H222" s="15">
        <f>IFERROR(__xludf.DUMMYFUNCTION("VLOOKUP(A222,IMPORTRANGE(""1QZ5UxyNCwadreQAXnQ7oCoH982DjIA-QnZdO7ZoqkC0/edit#gid=884617569"",""S4 Totals!$A$2:$O$255""),5,FALSE)"),0.09523809523809523)</f>
        <v>0.09523809524</v>
      </c>
      <c r="I222" s="143"/>
      <c r="J222" s="16">
        <f>IFERROR(__xludf.DUMMYFUNCTION("VLOOKUP(A222,IMPORTRANGE(""1QZ5UxyNCwadreQAXnQ7oCoH982DjIA-QnZdO7ZoqkC0/edit#gid=884617569"",""S4 Totals!$A$2:$O$255""),7,FALSE)"),6.0)</f>
        <v>6</v>
      </c>
      <c r="K222" s="15">
        <f>IFERROR(__xludf.DUMMYFUNCTION("VLOOKUP(A222,IMPORTRANGE(""1QZ5UxyNCwadreQAXnQ7oCoH982DjIA-QnZdO7ZoqkC0/edit#gid=884617569"",""S4 Totals!$A$2:$O$255""),8,FALSE)"),0.08571428571428572)</f>
        <v>0.08571428571</v>
      </c>
      <c r="L222" s="147"/>
      <c r="M222" s="16">
        <f>IFERROR(__xludf.DUMMYFUNCTION("VLOOKUP(A222,IMPORTRANGE(""1QZ5UxyNCwadreQAXnQ7oCoH982DjIA-QnZdO7ZoqkC0/edit#gid=884617569"",""S4 Totals!$A$2:$O$255""),10,FALSE)"),16.0)</f>
        <v>16</v>
      </c>
      <c r="N222" s="15">
        <f>IFERROR(__xludf.DUMMYFUNCTION("VLOOKUP(A222,IMPORTRANGE(""1QZ5UxyNCwadreQAXnQ7oCoH982DjIA-QnZdO7ZoqkC0/edit#gid=884617569"",""S4 Totals!$A$2:$O$255""),11,FALSE)"),0.21621621621621623)</f>
        <v>0.2162162162</v>
      </c>
      <c r="O222" s="110"/>
      <c r="P222" s="16">
        <f>IFERROR(__xludf.DUMMYFUNCTION("VLOOKUP(A222,IMPORTRANGE(""1QZ5UxyNCwadreQAXnQ7oCoH982DjIA-QnZdO7ZoqkC0/edit#gid=884617569"",""S4 Totals!$A$2:$O$255""),13,FALSE)"),10.0)</f>
        <v>10</v>
      </c>
      <c r="Q222" s="15">
        <f>IFERROR(__xludf.DUMMYFUNCTION("VLOOKUP(A222,IMPORTRANGE(""1QZ5UxyNCwadreQAXnQ7oCoH982DjIA-QnZdO7ZoqkC0/edit#gid=884617569"",""S4 Totals!$A$2:$O$255""),14,FALSE)"),0.13333333333333333)</f>
        <v>0.1333333333</v>
      </c>
      <c r="R222" s="110"/>
    </row>
    <row r="223">
      <c r="A223" s="128" t="s">
        <v>200</v>
      </c>
      <c r="B223" s="16">
        <f>IFERROR(__xludf.DUMMYFUNCTION("VLOOKUP(A223,IMPORTRANGE(""1aFCnJY1qhIj8-JckJhDJ18aqmVo17tofpQmOjcYa3u8/edit#gid=1878241338"",""S4 Totals!$A$2:$O$255""),2,FALSE)"),5.0)</f>
        <v>5</v>
      </c>
      <c r="C223" s="15">
        <f>IFERROR(__xludf.DUMMYFUNCTION("VLOOKUP(A223,IMPORTRANGE(""1aFCnJY1qhIj8-JckJhDJ18aqmVo17tofpQmOjcYa3u8/edit#gid=1878241338"",""S4 Totals!$A$2:$O$255""),3,FALSE)"),0.1)</f>
        <v>0.1</v>
      </c>
      <c r="D223" s="16">
        <f>IFERROR(__xludf.DUMMYFUNCTION("VLOOKUP(A223,IMPORTRANGE(""1QZ5UxyNCwadreQAXnQ7oCoH982DjIA-QnZdO7ZoqkC0/edit#gid=884617569"",""S4 Totals!$A$2:$O$255""),2,FALSE)"),7.0)</f>
        <v>7</v>
      </c>
      <c r="E223" s="15">
        <f>IFERROR(__xludf.DUMMYFUNCTION("VLOOKUP(A223,IMPORTRANGE(""1QZ5UxyNCwadreQAXnQ7oCoH982DjIA-QnZdO7ZoqkC0/edit#gid=884617569"",""S4 Totals!$A$2:$O$255""),3,FALSE)"),0.14893617021276595)</f>
        <v>0.1489361702</v>
      </c>
      <c r="F223" s="146">
        <f t="shared" si="1"/>
        <v>-0.04893617021</v>
      </c>
      <c r="G223" s="16">
        <f>IFERROR(__xludf.DUMMYFUNCTION("VLOOKUP(A223,IMPORTRANGE(""1QZ5UxyNCwadreQAXnQ7oCoH982DjIA-QnZdO7ZoqkC0/edit#gid=884617569"",""S4 Totals!$A$2:$O$255""),4,FALSE)"),5.0)</f>
        <v>5</v>
      </c>
      <c r="H223" s="15">
        <f>IFERROR(__xludf.DUMMYFUNCTION("VLOOKUP(A223,IMPORTRANGE(""1QZ5UxyNCwadreQAXnQ7oCoH982DjIA-QnZdO7ZoqkC0/edit#gid=884617569"",""S4 Totals!$A$2:$O$255""),5,FALSE)"),0.07936507936507936)</f>
        <v>0.07936507937</v>
      </c>
      <c r="I223" s="143"/>
      <c r="J223" s="16">
        <f>IFERROR(__xludf.DUMMYFUNCTION("VLOOKUP(A223,IMPORTRANGE(""1QZ5UxyNCwadreQAXnQ7oCoH982DjIA-QnZdO7ZoqkC0/edit#gid=884617569"",""S4 Totals!$A$2:$O$255""),7,FALSE)"),3.0)</f>
        <v>3</v>
      </c>
      <c r="K223" s="15">
        <f>IFERROR(__xludf.DUMMYFUNCTION("VLOOKUP(A223,IMPORTRANGE(""1QZ5UxyNCwadreQAXnQ7oCoH982DjIA-QnZdO7ZoqkC0/edit#gid=884617569"",""S4 Totals!$A$2:$O$255""),8,FALSE)"),0.04285714285714286)</f>
        <v>0.04285714286</v>
      </c>
      <c r="L223" s="147"/>
      <c r="M223" s="16" t="str">
        <f>IFERROR(__xludf.DUMMYFUNCTION("VLOOKUP(A223,IMPORTRANGE(""1QZ5UxyNCwadreQAXnQ7oCoH982DjIA-QnZdO7ZoqkC0/edit#gid=884617569"",""S4 Totals!$A$2:$O$255""),10,FALSE)"),"")</f>
        <v/>
      </c>
      <c r="N223" s="15" t="str">
        <f>IFERROR(__xludf.DUMMYFUNCTION("VLOOKUP(A223,IMPORTRANGE(""1QZ5UxyNCwadreQAXnQ7oCoH982DjIA-QnZdO7ZoqkC0/edit#gid=884617569"",""S4 Totals!$A$2:$O$255""),11,FALSE)"),"")</f>
        <v/>
      </c>
      <c r="O223" s="110"/>
      <c r="P223" s="16" t="str">
        <f>IFERROR(__xludf.DUMMYFUNCTION("VLOOKUP(A223,IMPORTRANGE(""1QZ5UxyNCwadreQAXnQ7oCoH982DjIA-QnZdO7ZoqkC0/edit#gid=884617569"",""S4 Totals!$A$2:$O$255""),13,FALSE)"),"")</f>
        <v/>
      </c>
      <c r="Q223" s="15" t="str">
        <f>IFERROR(__xludf.DUMMYFUNCTION("VLOOKUP(A223,IMPORTRANGE(""1QZ5UxyNCwadreQAXnQ7oCoH982DjIA-QnZdO7ZoqkC0/edit#gid=884617569"",""S4 Totals!$A$2:$O$255""),14,FALSE)"),"")</f>
        <v/>
      </c>
      <c r="R223" s="110"/>
    </row>
    <row r="224">
      <c r="A224" s="128" t="s">
        <v>201</v>
      </c>
      <c r="B224" s="16">
        <f>IFERROR(__xludf.DUMMYFUNCTION("VLOOKUP(A224,IMPORTRANGE(""1aFCnJY1qhIj8-JckJhDJ18aqmVo17tofpQmOjcYa3u8/edit#gid=1878241338"",""S4 Totals!$A$2:$O$255""),2,FALSE)"),0.0)</f>
        <v>0</v>
      </c>
      <c r="C224" s="15">
        <f>IFERROR(__xludf.DUMMYFUNCTION("VLOOKUP(A224,IMPORTRANGE(""1aFCnJY1qhIj8-JckJhDJ18aqmVo17tofpQmOjcYa3u8/edit#gid=1878241338"",""S4 Totals!$A$2:$O$255""),3,FALSE)"),0.0)</f>
        <v>0</v>
      </c>
      <c r="D224" s="16">
        <f>IFERROR(__xludf.DUMMYFUNCTION("VLOOKUP(A224,IMPORTRANGE(""1QZ5UxyNCwadreQAXnQ7oCoH982DjIA-QnZdO7ZoqkC0/edit#gid=884617569"",""S4 Totals!$A$2:$O$255""),2,FALSE)"),0.0)</f>
        <v>0</v>
      </c>
      <c r="E224" s="15">
        <f>IFERROR(__xludf.DUMMYFUNCTION("VLOOKUP(A224,IMPORTRANGE(""1QZ5UxyNCwadreQAXnQ7oCoH982DjIA-QnZdO7ZoqkC0/edit#gid=884617569"",""S4 Totals!$A$2:$O$255""),3,FALSE)"),0.0)</f>
        <v>0</v>
      </c>
      <c r="F224" s="146">
        <f t="shared" si="1"/>
        <v>0</v>
      </c>
      <c r="G224" s="16">
        <f>IFERROR(__xludf.DUMMYFUNCTION("VLOOKUP(A224,IMPORTRANGE(""1QZ5UxyNCwadreQAXnQ7oCoH982DjIA-QnZdO7ZoqkC0/edit#gid=884617569"",""S4 Totals!$A$2:$O$255""),4,FALSE)"),0.0)</f>
        <v>0</v>
      </c>
      <c r="H224" s="15">
        <f>IFERROR(__xludf.DUMMYFUNCTION("VLOOKUP(A224,IMPORTRANGE(""1QZ5UxyNCwadreQAXnQ7oCoH982DjIA-QnZdO7ZoqkC0/edit#gid=884617569"",""S4 Totals!$A$2:$O$255""),5,FALSE)"),0.0)</f>
        <v>0</v>
      </c>
      <c r="I224" s="143"/>
      <c r="J224" s="16">
        <f>IFERROR(__xludf.DUMMYFUNCTION("VLOOKUP(A224,IMPORTRANGE(""1QZ5UxyNCwadreQAXnQ7oCoH982DjIA-QnZdO7ZoqkC0/edit#gid=884617569"",""S4 Totals!$A$2:$O$255""),7,FALSE)"),0.0)</f>
        <v>0</v>
      </c>
      <c r="K224" s="15">
        <f>IFERROR(__xludf.DUMMYFUNCTION("VLOOKUP(A224,IMPORTRANGE(""1QZ5UxyNCwadreQAXnQ7oCoH982DjIA-QnZdO7ZoqkC0/edit#gid=884617569"",""S4 Totals!$A$2:$O$255""),8,FALSE)"),0.0)</f>
        <v>0</v>
      </c>
      <c r="L224" s="147"/>
      <c r="M224" s="16" t="str">
        <f>IFERROR(__xludf.DUMMYFUNCTION("VLOOKUP(A224,IMPORTRANGE(""1QZ5UxyNCwadreQAXnQ7oCoH982DjIA-QnZdO7ZoqkC0/edit#gid=884617569"",""S4 Totals!$A$2:$O$255""),10,FALSE)"),"")</f>
        <v/>
      </c>
      <c r="N224" s="15" t="str">
        <f>IFERROR(__xludf.DUMMYFUNCTION("VLOOKUP(A224,IMPORTRANGE(""1QZ5UxyNCwadreQAXnQ7oCoH982DjIA-QnZdO7ZoqkC0/edit#gid=884617569"",""S4 Totals!$A$2:$O$255""),11,FALSE)"),"")</f>
        <v/>
      </c>
      <c r="O224" s="110"/>
      <c r="P224" s="16" t="str">
        <f>IFERROR(__xludf.DUMMYFUNCTION("VLOOKUP(A224,IMPORTRANGE(""1QZ5UxyNCwadreQAXnQ7oCoH982DjIA-QnZdO7ZoqkC0/edit#gid=884617569"",""S4 Totals!$A$2:$O$255""),13,FALSE)"),"")</f>
        <v/>
      </c>
      <c r="Q224" s="15" t="str">
        <f>IFERROR(__xludf.DUMMYFUNCTION("VLOOKUP(A224,IMPORTRANGE(""1QZ5UxyNCwadreQAXnQ7oCoH982DjIA-QnZdO7ZoqkC0/edit#gid=884617569"",""S4 Totals!$A$2:$O$255""),14,FALSE)"),"")</f>
        <v/>
      </c>
      <c r="R224" s="110"/>
    </row>
    <row r="225">
      <c r="A225" s="128" t="s">
        <v>202</v>
      </c>
      <c r="B225" s="16">
        <f>IFERROR(__xludf.DUMMYFUNCTION("VLOOKUP(A225,IMPORTRANGE(""1aFCnJY1qhIj8-JckJhDJ18aqmVo17tofpQmOjcYa3u8/edit#gid=1878241338"",""S4 Totals!$A$2:$O$255""),2,FALSE)"),12.0)</f>
        <v>12</v>
      </c>
      <c r="C225" s="15">
        <f>IFERROR(__xludf.DUMMYFUNCTION("VLOOKUP(A225,IMPORTRANGE(""1aFCnJY1qhIj8-JckJhDJ18aqmVo17tofpQmOjcYa3u8/edit#gid=1878241338"",""S4 Totals!$A$2:$O$255""),3,FALSE)"),0.24)</f>
        <v>0.24</v>
      </c>
      <c r="D225" s="16">
        <f>IFERROR(__xludf.DUMMYFUNCTION("VLOOKUP(A225,IMPORTRANGE(""1QZ5UxyNCwadreQAXnQ7oCoH982DjIA-QnZdO7ZoqkC0/edit#gid=884617569"",""S4 Totals!$A$2:$O$255""),2,FALSE)"),14.0)</f>
        <v>14</v>
      </c>
      <c r="E225" s="15">
        <f>IFERROR(__xludf.DUMMYFUNCTION("VLOOKUP(A225,IMPORTRANGE(""1QZ5UxyNCwadreQAXnQ7oCoH982DjIA-QnZdO7ZoqkC0/edit#gid=884617569"",""S4 Totals!$A$2:$O$255""),3,FALSE)"),0.2978723404255319)</f>
        <v>0.2978723404</v>
      </c>
      <c r="F225" s="146">
        <f t="shared" si="1"/>
        <v>-0.05787234043</v>
      </c>
      <c r="G225" s="16">
        <f>IFERROR(__xludf.DUMMYFUNCTION("VLOOKUP(A225,IMPORTRANGE(""1QZ5UxyNCwadreQAXnQ7oCoH982DjIA-QnZdO7ZoqkC0/edit#gid=884617569"",""S4 Totals!$A$2:$O$255""),4,FALSE)"),10.0)</f>
        <v>10</v>
      </c>
      <c r="H225" s="15">
        <f>IFERROR(__xludf.DUMMYFUNCTION("VLOOKUP(A225,IMPORTRANGE(""1QZ5UxyNCwadreQAXnQ7oCoH982DjIA-QnZdO7ZoqkC0/edit#gid=884617569"",""S4 Totals!$A$2:$O$255""),5,FALSE)"),0.15873015873015872)</f>
        <v>0.1587301587</v>
      </c>
      <c r="I225" s="143"/>
      <c r="J225" s="16">
        <f>IFERROR(__xludf.DUMMYFUNCTION("VLOOKUP(A225,IMPORTRANGE(""1QZ5UxyNCwadreQAXnQ7oCoH982DjIA-QnZdO7ZoqkC0/edit#gid=884617569"",""S4 Totals!$A$2:$O$255""),7,FALSE)"),4.0)</f>
        <v>4</v>
      </c>
      <c r="K225" s="15">
        <f>IFERROR(__xludf.DUMMYFUNCTION("VLOOKUP(A225,IMPORTRANGE(""1QZ5UxyNCwadreQAXnQ7oCoH982DjIA-QnZdO7ZoqkC0/edit#gid=884617569"",""S4 Totals!$A$2:$O$255""),8,FALSE)"),0.05714285714285714)</f>
        <v>0.05714285714</v>
      </c>
      <c r="L225" s="147"/>
      <c r="M225" s="16" t="str">
        <f>IFERROR(__xludf.DUMMYFUNCTION("VLOOKUP(A225,IMPORTRANGE(""1QZ5UxyNCwadreQAXnQ7oCoH982DjIA-QnZdO7ZoqkC0/edit#gid=884617569"",""S4 Totals!$A$2:$O$255""),10,FALSE)"),"")</f>
        <v/>
      </c>
      <c r="N225" s="15" t="str">
        <f>IFERROR(__xludf.DUMMYFUNCTION("VLOOKUP(A225,IMPORTRANGE(""1QZ5UxyNCwadreQAXnQ7oCoH982DjIA-QnZdO7ZoqkC0/edit#gid=884617569"",""S4 Totals!$A$2:$O$255""),11,FALSE)"),"")</f>
        <v/>
      </c>
      <c r="O225" s="110"/>
      <c r="P225" s="16" t="str">
        <f>IFERROR(__xludf.DUMMYFUNCTION("VLOOKUP(A225,IMPORTRANGE(""1QZ5UxyNCwadreQAXnQ7oCoH982DjIA-QnZdO7ZoqkC0/edit#gid=884617569"",""S4 Totals!$A$2:$O$255""),13,FALSE)"),"")</f>
        <v/>
      </c>
      <c r="Q225" s="15" t="str">
        <f>IFERROR(__xludf.DUMMYFUNCTION("VLOOKUP(A225,IMPORTRANGE(""1QZ5UxyNCwadreQAXnQ7oCoH982DjIA-QnZdO7ZoqkC0/edit#gid=884617569"",""S4 Totals!$A$2:$O$255""),14,FALSE)"),"")</f>
        <v/>
      </c>
      <c r="R225" s="110"/>
    </row>
    <row r="226">
      <c r="A226" s="128" t="s">
        <v>203</v>
      </c>
      <c r="B226" s="16">
        <f>IFERROR(__xludf.DUMMYFUNCTION("VLOOKUP(A226,IMPORTRANGE(""1aFCnJY1qhIj8-JckJhDJ18aqmVo17tofpQmOjcYa3u8/edit#gid=1878241338"",""S4 Totals!$A$2:$O$255""),2,FALSE)"),0.0)</f>
        <v>0</v>
      </c>
      <c r="C226" s="15">
        <f>IFERROR(__xludf.DUMMYFUNCTION("VLOOKUP(A226,IMPORTRANGE(""1aFCnJY1qhIj8-JckJhDJ18aqmVo17tofpQmOjcYa3u8/edit#gid=1878241338"",""S4 Totals!$A$2:$O$255""),3,FALSE)"),0.0)</f>
        <v>0</v>
      </c>
      <c r="D226" s="16">
        <f>IFERROR(__xludf.DUMMYFUNCTION("VLOOKUP(A226,IMPORTRANGE(""1QZ5UxyNCwadreQAXnQ7oCoH982DjIA-QnZdO7ZoqkC0/edit#gid=884617569"",""S4 Totals!$A$2:$O$255""),2,FALSE)"),3.0)</f>
        <v>3</v>
      </c>
      <c r="E226" s="15">
        <f>IFERROR(__xludf.DUMMYFUNCTION("VLOOKUP(A226,IMPORTRANGE(""1QZ5UxyNCwadreQAXnQ7oCoH982DjIA-QnZdO7ZoqkC0/edit#gid=884617569"",""S4 Totals!$A$2:$O$255""),3,FALSE)"),0.06382978723404255)</f>
        <v>0.06382978723</v>
      </c>
      <c r="F226" s="146">
        <f t="shared" si="1"/>
        <v>-0.06382978723</v>
      </c>
      <c r="G226" s="16">
        <f>IFERROR(__xludf.DUMMYFUNCTION("VLOOKUP(A226,IMPORTRANGE(""1QZ5UxyNCwadreQAXnQ7oCoH982DjIA-QnZdO7ZoqkC0/edit#gid=884617569"",""S4 Totals!$A$2:$O$255""),4,FALSE)"),3.0)</f>
        <v>3</v>
      </c>
      <c r="H226" s="15">
        <f>IFERROR(__xludf.DUMMYFUNCTION("VLOOKUP(A226,IMPORTRANGE(""1QZ5UxyNCwadreQAXnQ7oCoH982DjIA-QnZdO7ZoqkC0/edit#gid=884617569"",""S4 Totals!$A$2:$O$255""),5,FALSE)"),0.047619047619047616)</f>
        <v>0.04761904762</v>
      </c>
      <c r="I226" s="143"/>
      <c r="J226" s="16">
        <f>IFERROR(__xludf.DUMMYFUNCTION("VLOOKUP(A226,IMPORTRANGE(""1QZ5UxyNCwadreQAXnQ7oCoH982DjIA-QnZdO7ZoqkC0/edit#gid=884617569"",""S4 Totals!$A$2:$O$255""),7,FALSE)"),2.0)</f>
        <v>2</v>
      </c>
      <c r="K226" s="15">
        <f>IFERROR(__xludf.DUMMYFUNCTION("VLOOKUP(A226,IMPORTRANGE(""1QZ5UxyNCwadreQAXnQ7oCoH982DjIA-QnZdO7ZoqkC0/edit#gid=884617569"",""S4 Totals!$A$2:$O$255""),8,FALSE)"),0.02857142857142857)</f>
        <v>0.02857142857</v>
      </c>
      <c r="L226" s="147"/>
      <c r="M226" s="16" t="str">
        <f>IFERROR(__xludf.DUMMYFUNCTION("VLOOKUP(A226,IMPORTRANGE(""1QZ5UxyNCwadreQAXnQ7oCoH982DjIA-QnZdO7ZoqkC0/edit#gid=884617569"",""S4 Totals!$A$2:$O$255""),10,FALSE)"),"")</f>
        <v/>
      </c>
      <c r="N226" s="15" t="str">
        <f>IFERROR(__xludf.DUMMYFUNCTION("VLOOKUP(A226,IMPORTRANGE(""1QZ5UxyNCwadreQAXnQ7oCoH982DjIA-QnZdO7ZoqkC0/edit#gid=884617569"",""S4 Totals!$A$2:$O$255""),11,FALSE)"),"")</f>
        <v/>
      </c>
      <c r="O226" s="110"/>
      <c r="P226" s="16" t="str">
        <f>IFERROR(__xludf.DUMMYFUNCTION("VLOOKUP(A226,IMPORTRANGE(""1QZ5UxyNCwadreQAXnQ7oCoH982DjIA-QnZdO7ZoqkC0/edit#gid=884617569"",""S4 Totals!$A$2:$O$255""),13,FALSE)"),"")</f>
        <v/>
      </c>
      <c r="Q226" s="15" t="str">
        <f>IFERROR(__xludf.DUMMYFUNCTION("VLOOKUP(A226,IMPORTRANGE(""1QZ5UxyNCwadreQAXnQ7oCoH982DjIA-QnZdO7ZoqkC0/edit#gid=884617569"",""S4 Totals!$A$2:$O$255""),14,FALSE)"),"")</f>
        <v/>
      </c>
      <c r="R226" s="110"/>
    </row>
    <row r="227">
      <c r="A227" s="128" t="s">
        <v>99</v>
      </c>
      <c r="B227" s="16">
        <f>IFERROR(__xludf.DUMMYFUNCTION("VLOOKUP(A227,IMPORTRANGE(""1aFCnJY1qhIj8-JckJhDJ18aqmVo17tofpQmOjcYa3u8/edit#gid=1878241338"",""S4 Totals!$A$2:$O$255""),2,FALSE)"),25.0)</f>
        <v>25</v>
      </c>
      <c r="C227" s="15">
        <f>IFERROR(__xludf.DUMMYFUNCTION("VLOOKUP(A227,IMPORTRANGE(""1aFCnJY1qhIj8-JckJhDJ18aqmVo17tofpQmOjcYa3u8/edit#gid=1878241338"",""S4 Totals!$A$2:$O$255""),3,FALSE)"),0.5)</f>
        <v>0.5</v>
      </c>
      <c r="D227" s="16">
        <f>IFERROR(__xludf.DUMMYFUNCTION("VLOOKUP(A227,IMPORTRANGE(""1QZ5UxyNCwadreQAXnQ7oCoH982DjIA-QnZdO7ZoqkC0/edit#gid=884617569"",""S4 Totals!$A$2:$O$255""),2,FALSE)"),24.0)</f>
        <v>24</v>
      </c>
      <c r="E227" s="15">
        <f>IFERROR(__xludf.DUMMYFUNCTION("VLOOKUP(A227,IMPORTRANGE(""1QZ5UxyNCwadreQAXnQ7oCoH982DjIA-QnZdO7ZoqkC0/edit#gid=884617569"",""S4 Totals!$A$2:$O$255""),3,FALSE)"),0.5106382978723404)</f>
        <v>0.5106382979</v>
      </c>
      <c r="F227" s="146">
        <f t="shared" si="1"/>
        <v>-0.01063829787</v>
      </c>
      <c r="G227" s="16">
        <f>IFERROR(__xludf.DUMMYFUNCTION("VLOOKUP(A227,IMPORTRANGE(""1QZ5UxyNCwadreQAXnQ7oCoH982DjIA-QnZdO7ZoqkC0/edit#gid=884617569"",""S4 Totals!$A$2:$O$255""),4,FALSE)"),23.0)</f>
        <v>23</v>
      </c>
      <c r="H227" s="15">
        <f>IFERROR(__xludf.DUMMYFUNCTION("VLOOKUP(A227,IMPORTRANGE(""1QZ5UxyNCwadreQAXnQ7oCoH982DjIA-QnZdO7ZoqkC0/edit#gid=884617569"",""S4 Totals!$A$2:$O$255""),5,FALSE)"),0.36507936507936506)</f>
        <v>0.3650793651</v>
      </c>
      <c r="I227" s="143"/>
      <c r="J227" s="16">
        <f>IFERROR(__xludf.DUMMYFUNCTION("VLOOKUP(A227,IMPORTRANGE(""1QZ5UxyNCwadreQAXnQ7oCoH982DjIA-QnZdO7ZoqkC0/edit#gid=884617569"",""S4 Totals!$A$2:$O$255""),7,FALSE)"),22.0)</f>
        <v>22</v>
      </c>
      <c r="K227" s="15">
        <f>IFERROR(__xludf.DUMMYFUNCTION("VLOOKUP(A227,IMPORTRANGE(""1QZ5UxyNCwadreQAXnQ7oCoH982DjIA-QnZdO7ZoqkC0/edit#gid=884617569"",""S4 Totals!$A$2:$O$255""),8,FALSE)"),0.3142857142857143)</f>
        <v>0.3142857143</v>
      </c>
      <c r="L227" s="147"/>
      <c r="M227" s="16">
        <f>IFERROR(__xludf.DUMMYFUNCTION("VLOOKUP(A227,IMPORTRANGE(""1QZ5UxyNCwadreQAXnQ7oCoH982DjIA-QnZdO7ZoqkC0/edit#gid=884617569"",""S4 Totals!$A$2:$O$255""),10,FALSE)"),28.0)</f>
        <v>28</v>
      </c>
      <c r="N227" s="15">
        <f>IFERROR(__xludf.DUMMYFUNCTION("VLOOKUP(A227,IMPORTRANGE(""1QZ5UxyNCwadreQAXnQ7oCoH982DjIA-QnZdO7ZoqkC0/edit#gid=884617569"",""S4 Totals!$A$2:$O$255""),11,FALSE)"),0.3783783783783784)</f>
        <v>0.3783783784</v>
      </c>
      <c r="O227" s="110"/>
      <c r="P227" s="16">
        <f>IFERROR(__xludf.DUMMYFUNCTION("VLOOKUP(A227,IMPORTRANGE(""1QZ5UxyNCwadreQAXnQ7oCoH982DjIA-QnZdO7ZoqkC0/edit#gid=884617569"",""S4 Totals!$A$2:$O$255""),13,FALSE)"),14.0)</f>
        <v>14</v>
      </c>
      <c r="Q227" s="15">
        <f>IFERROR(__xludf.DUMMYFUNCTION("VLOOKUP(A227,IMPORTRANGE(""1QZ5UxyNCwadreQAXnQ7oCoH982DjIA-QnZdO7ZoqkC0/edit#gid=884617569"",""S4 Totals!$A$2:$O$255""),14,FALSE)"),0.18666666666666668)</f>
        <v>0.1866666667</v>
      </c>
      <c r="R227" s="110"/>
    </row>
    <row r="228">
      <c r="A228" s="128" t="s">
        <v>204</v>
      </c>
      <c r="B228" s="16">
        <f>IFERROR(__xludf.DUMMYFUNCTION("VLOOKUP(A228,IMPORTRANGE(""1aFCnJY1qhIj8-JckJhDJ18aqmVo17tofpQmOjcYa3u8/edit#gid=1878241338"",""S4 Totals!$A$2:$O$255""),2,FALSE)"),9.0)</f>
        <v>9</v>
      </c>
      <c r="C228" s="15">
        <f>IFERROR(__xludf.DUMMYFUNCTION("VLOOKUP(A228,IMPORTRANGE(""1aFCnJY1qhIj8-JckJhDJ18aqmVo17tofpQmOjcYa3u8/edit#gid=1878241338"",""S4 Totals!$A$2:$O$255""),3,FALSE)"),0.18)</f>
        <v>0.18</v>
      </c>
      <c r="D228" s="16">
        <f>IFERROR(__xludf.DUMMYFUNCTION("VLOOKUP(A228,IMPORTRANGE(""1QZ5UxyNCwadreQAXnQ7oCoH982DjIA-QnZdO7ZoqkC0/edit#gid=884617569"",""S4 Totals!$A$2:$O$255""),2,FALSE)"),9.0)</f>
        <v>9</v>
      </c>
      <c r="E228" s="15">
        <f>IFERROR(__xludf.DUMMYFUNCTION("VLOOKUP(A228,IMPORTRANGE(""1QZ5UxyNCwadreQAXnQ7oCoH982DjIA-QnZdO7ZoqkC0/edit#gid=884617569"",""S4 Totals!$A$2:$O$255""),3,FALSE)"),0.19148936170212766)</f>
        <v>0.1914893617</v>
      </c>
      <c r="F228" s="146">
        <f t="shared" si="1"/>
        <v>-0.0114893617</v>
      </c>
      <c r="G228" s="16">
        <f>IFERROR(__xludf.DUMMYFUNCTION("VLOOKUP(A228,IMPORTRANGE(""1QZ5UxyNCwadreQAXnQ7oCoH982DjIA-QnZdO7ZoqkC0/edit#gid=884617569"",""S4 Totals!$A$2:$O$255""),4,FALSE)"),4.0)</f>
        <v>4</v>
      </c>
      <c r="H228" s="15">
        <f>IFERROR(__xludf.DUMMYFUNCTION("VLOOKUP(A228,IMPORTRANGE(""1QZ5UxyNCwadreQAXnQ7oCoH982DjIA-QnZdO7ZoqkC0/edit#gid=884617569"",""S4 Totals!$A$2:$O$255""),5,FALSE)"),0.06349206349206349)</f>
        <v>0.06349206349</v>
      </c>
      <c r="I228" s="143"/>
      <c r="J228" s="16">
        <f>IFERROR(__xludf.DUMMYFUNCTION("VLOOKUP(A228,IMPORTRANGE(""1QZ5UxyNCwadreQAXnQ7oCoH982DjIA-QnZdO7ZoqkC0/edit#gid=884617569"",""S4 Totals!$A$2:$O$255""),7,FALSE)"),4.0)</f>
        <v>4</v>
      </c>
      <c r="K228" s="15">
        <f>IFERROR(__xludf.DUMMYFUNCTION("VLOOKUP(A228,IMPORTRANGE(""1QZ5UxyNCwadreQAXnQ7oCoH982DjIA-QnZdO7ZoqkC0/edit#gid=884617569"",""S4 Totals!$A$2:$O$255""),8,FALSE)"),0.05714285714285714)</f>
        <v>0.05714285714</v>
      </c>
      <c r="L228" s="147"/>
      <c r="M228" s="16" t="str">
        <f>IFERROR(__xludf.DUMMYFUNCTION("VLOOKUP(A228,IMPORTRANGE(""1QZ5UxyNCwadreQAXnQ7oCoH982DjIA-QnZdO7ZoqkC0/edit#gid=884617569"",""S4 Totals!$A$2:$O$255""),10,FALSE)"),"")</f>
        <v/>
      </c>
      <c r="N228" s="15" t="str">
        <f>IFERROR(__xludf.DUMMYFUNCTION("VLOOKUP(A228,IMPORTRANGE(""1QZ5UxyNCwadreQAXnQ7oCoH982DjIA-QnZdO7ZoqkC0/edit#gid=884617569"",""S4 Totals!$A$2:$O$255""),11,FALSE)"),"")</f>
        <v/>
      </c>
      <c r="O228" s="110"/>
      <c r="P228" s="16" t="str">
        <f>IFERROR(__xludf.DUMMYFUNCTION("VLOOKUP(A228,IMPORTRANGE(""1QZ5UxyNCwadreQAXnQ7oCoH982DjIA-QnZdO7ZoqkC0/edit#gid=884617569"",""S4 Totals!$A$2:$O$255""),13,FALSE)"),"")</f>
        <v/>
      </c>
      <c r="Q228" s="15" t="str">
        <f>IFERROR(__xludf.DUMMYFUNCTION("VLOOKUP(A228,IMPORTRANGE(""1QZ5UxyNCwadreQAXnQ7oCoH982DjIA-QnZdO7ZoqkC0/edit#gid=884617569"",""S4 Totals!$A$2:$O$255""),14,FALSE)"),"")</f>
        <v/>
      </c>
      <c r="R228" s="110"/>
    </row>
    <row r="229">
      <c r="A229" s="128" t="s">
        <v>152</v>
      </c>
      <c r="B229" s="16">
        <f>IFERROR(__xludf.DUMMYFUNCTION("VLOOKUP(A229,IMPORTRANGE(""1aFCnJY1qhIj8-JckJhDJ18aqmVo17tofpQmOjcYa3u8/edit#gid=1878241338"",""S4 Totals!$A$2:$O$255""),2,FALSE)"),0.0)</f>
        <v>0</v>
      </c>
      <c r="C229" s="15">
        <f>IFERROR(__xludf.DUMMYFUNCTION("VLOOKUP(A229,IMPORTRANGE(""1aFCnJY1qhIj8-JckJhDJ18aqmVo17tofpQmOjcYa3u8/edit#gid=1878241338"",""S4 Totals!$A$2:$O$255""),3,FALSE)"),0.0)</f>
        <v>0</v>
      </c>
      <c r="D229" s="16">
        <f>IFERROR(__xludf.DUMMYFUNCTION("VLOOKUP(A229,IMPORTRANGE(""1QZ5UxyNCwadreQAXnQ7oCoH982DjIA-QnZdO7ZoqkC0/edit#gid=884617569"",""S4 Totals!$A$2:$O$255""),2,FALSE)"),0.0)</f>
        <v>0</v>
      </c>
      <c r="E229" s="15">
        <f>IFERROR(__xludf.DUMMYFUNCTION("VLOOKUP(A229,IMPORTRANGE(""1QZ5UxyNCwadreQAXnQ7oCoH982DjIA-QnZdO7ZoqkC0/edit#gid=884617569"",""S4 Totals!$A$2:$O$255""),3,FALSE)"),0.0)</f>
        <v>0</v>
      </c>
      <c r="F229" s="146">
        <f t="shared" si="1"/>
        <v>0</v>
      </c>
      <c r="G229" s="16">
        <f>IFERROR(__xludf.DUMMYFUNCTION("VLOOKUP(A229,IMPORTRANGE(""1QZ5UxyNCwadreQAXnQ7oCoH982DjIA-QnZdO7ZoqkC0/edit#gid=884617569"",""S4 Totals!$A$2:$O$255""),4,FALSE)"),1.0)</f>
        <v>1</v>
      </c>
      <c r="H229" s="15">
        <f>IFERROR(__xludf.DUMMYFUNCTION("VLOOKUP(A229,IMPORTRANGE(""1QZ5UxyNCwadreQAXnQ7oCoH982DjIA-QnZdO7ZoqkC0/edit#gid=884617569"",""S4 Totals!$A$2:$O$255""),5,FALSE)"),0.015873015873015872)</f>
        <v>0.01587301587</v>
      </c>
      <c r="I229" s="143"/>
      <c r="J229" s="16">
        <f>IFERROR(__xludf.DUMMYFUNCTION("VLOOKUP(A229,IMPORTRANGE(""1QZ5UxyNCwadreQAXnQ7oCoH982DjIA-QnZdO7ZoqkC0/edit#gid=884617569"",""S4 Totals!$A$2:$O$255""),7,FALSE)"),1.0)</f>
        <v>1</v>
      </c>
      <c r="K229" s="15">
        <f>IFERROR(__xludf.DUMMYFUNCTION("VLOOKUP(A229,IMPORTRANGE(""1QZ5UxyNCwadreQAXnQ7oCoH982DjIA-QnZdO7ZoqkC0/edit#gid=884617569"",""S4 Totals!$A$2:$O$255""),8,FALSE)"),0.014285714285714285)</f>
        <v>0.01428571429</v>
      </c>
      <c r="L229" s="147"/>
      <c r="M229" s="16">
        <f>IFERROR(__xludf.DUMMYFUNCTION("VLOOKUP(A229,IMPORTRANGE(""1QZ5UxyNCwadreQAXnQ7oCoH982DjIA-QnZdO7ZoqkC0/edit#gid=884617569"",""S4 Totals!$A$2:$O$255""),10,FALSE)"),1.0)</f>
        <v>1</v>
      </c>
      <c r="N229" s="15">
        <f>IFERROR(__xludf.DUMMYFUNCTION("VLOOKUP(A229,IMPORTRANGE(""1QZ5UxyNCwadreQAXnQ7oCoH982DjIA-QnZdO7ZoqkC0/edit#gid=884617569"",""S4 Totals!$A$2:$O$255""),11,FALSE)"),0.013513513513513514)</f>
        <v>0.01351351351</v>
      </c>
      <c r="O229" s="110"/>
      <c r="P229" s="16" t="str">
        <f>IFERROR(__xludf.DUMMYFUNCTION("VLOOKUP(A229,IMPORTRANGE(""1QZ5UxyNCwadreQAXnQ7oCoH982DjIA-QnZdO7ZoqkC0/edit#gid=884617569"",""S4 Totals!$A$2:$O$255""),13,FALSE)"),"")</f>
        <v/>
      </c>
      <c r="Q229" s="15" t="str">
        <f>IFERROR(__xludf.DUMMYFUNCTION("VLOOKUP(A229,IMPORTRANGE(""1QZ5UxyNCwadreQAXnQ7oCoH982DjIA-QnZdO7ZoqkC0/edit#gid=884617569"",""S4 Totals!$A$2:$O$255""),14,FALSE)"),"")</f>
        <v/>
      </c>
      <c r="R229" s="110"/>
    </row>
    <row r="230">
      <c r="A230" s="128" t="s">
        <v>49</v>
      </c>
      <c r="B230" s="16">
        <f>IFERROR(__xludf.DUMMYFUNCTION("VLOOKUP(A230,IMPORTRANGE(""1aFCnJY1qhIj8-JckJhDJ18aqmVo17tofpQmOjcYa3u8/edit#gid=1878241338"",""S4 Totals!$A$2:$O$255""),2,FALSE)"),4.0)</f>
        <v>4</v>
      </c>
      <c r="C230" s="15">
        <f>IFERROR(__xludf.DUMMYFUNCTION("VLOOKUP(A230,IMPORTRANGE(""1aFCnJY1qhIj8-JckJhDJ18aqmVo17tofpQmOjcYa3u8/edit#gid=1878241338"",""S4 Totals!$A$2:$O$255""),3,FALSE)"),0.08)</f>
        <v>0.08</v>
      </c>
      <c r="D230" s="16">
        <f>IFERROR(__xludf.DUMMYFUNCTION("VLOOKUP(A230,IMPORTRANGE(""1QZ5UxyNCwadreQAXnQ7oCoH982DjIA-QnZdO7ZoqkC0/edit#gid=884617569"",""S4 Totals!$A$2:$O$255""),2,FALSE)"),7.0)</f>
        <v>7</v>
      </c>
      <c r="E230" s="15">
        <f>IFERROR(__xludf.DUMMYFUNCTION("VLOOKUP(A230,IMPORTRANGE(""1QZ5UxyNCwadreQAXnQ7oCoH982DjIA-QnZdO7ZoqkC0/edit#gid=884617569"",""S4 Totals!$A$2:$O$255""),3,FALSE)"),0.14893617021276595)</f>
        <v>0.1489361702</v>
      </c>
      <c r="F230" s="146">
        <f t="shared" si="1"/>
        <v>-0.06893617021</v>
      </c>
      <c r="G230" s="16">
        <f>IFERROR(__xludf.DUMMYFUNCTION("VLOOKUP(A230,IMPORTRANGE(""1QZ5UxyNCwadreQAXnQ7oCoH982DjIA-QnZdO7ZoqkC0/edit#gid=884617569"",""S4 Totals!$A$2:$O$255""),4,FALSE)"),9.0)</f>
        <v>9</v>
      </c>
      <c r="H230" s="15">
        <f>IFERROR(__xludf.DUMMYFUNCTION("VLOOKUP(A230,IMPORTRANGE(""1QZ5UxyNCwadreQAXnQ7oCoH982DjIA-QnZdO7ZoqkC0/edit#gid=884617569"",""S4 Totals!$A$2:$O$255""),5,FALSE)"),0.14285714285714285)</f>
        <v>0.1428571429</v>
      </c>
      <c r="I230" s="143"/>
      <c r="J230" s="16">
        <f>IFERROR(__xludf.DUMMYFUNCTION("VLOOKUP(A230,IMPORTRANGE(""1QZ5UxyNCwadreQAXnQ7oCoH982DjIA-QnZdO7ZoqkC0/edit#gid=884617569"",""S4 Totals!$A$2:$O$255""),7,FALSE)"),5.0)</f>
        <v>5</v>
      </c>
      <c r="K230" s="15">
        <f>IFERROR(__xludf.DUMMYFUNCTION("VLOOKUP(A230,IMPORTRANGE(""1QZ5UxyNCwadreQAXnQ7oCoH982DjIA-QnZdO7ZoqkC0/edit#gid=884617569"",""S4 Totals!$A$2:$O$255""),8,FALSE)"),0.07142857142857142)</f>
        <v>0.07142857143</v>
      </c>
      <c r="L230" s="147"/>
      <c r="M230" s="16">
        <f>IFERROR(__xludf.DUMMYFUNCTION("VLOOKUP(A230,IMPORTRANGE(""1QZ5UxyNCwadreQAXnQ7oCoH982DjIA-QnZdO7ZoqkC0/edit#gid=884617569"",""S4 Totals!$A$2:$O$255""),10,FALSE)"),10.0)</f>
        <v>10</v>
      </c>
      <c r="N230" s="15">
        <f>IFERROR(__xludf.DUMMYFUNCTION("VLOOKUP(A230,IMPORTRANGE(""1QZ5UxyNCwadreQAXnQ7oCoH982DjIA-QnZdO7ZoqkC0/edit#gid=884617569"",""S4 Totals!$A$2:$O$255""),11,FALSE)"),0.13513513513513514)</f>
        <v>0.1351351351</v>
      </c>
      <c r="O230" s="110"/>
      <c r="P230" s="16">
        <f>IFERROR(__xludf.DUMMYFUNCTION("VLOOKUP(A230,IMPORTRANGE(""1QZ5UxyNCwadreQAXnQ7oCoH982DjIA-QnZdO7ZoqkC0/edit#gid=884617569"",""S4 Totals!$A$2:$O$255""),13,FALSE)"),6.0)</f>
        <v>6</v>
      </c>
      <c r="Q230" s="15">
        <f>IFERROR(__xludf.DUMMYFUNCTION("VLOOKUP(A230,IMPORTRANGE(""1QZ5UxyNCwadreQAXnQ7oCoH982DjIA-QnZdO7ZoqkC0/edit#gid=884617569"",""S4 Totals!$A$2:$O$255""),14,FALSE)"),0.08)</f>
        <v>0.08</v>
      </c>
      <c r="R230" s="110"/>
    </row>
    <row r="231">
      <c r="A231" s="128" t="s">
        <v>256</v>
      </c>
      <c r="B231" s="16">
        <f>IFERROR(__xludf.DUMMYFUNCTION("VLOOKUP(A231,IMPORTRANGE(""1aFCnJY1qhIj8-JckJhDJ18aqmVo17tofpQmOjcYa3u8/edit#gid=1878241338"",""S4 Totals!$A$2:$O$255""),2,FALSE)"),1.0)</f>
        <v>1</v>
      </c>
      <c r="C231" s="15">
        <f>IFERROR(__xludf.DUMMYFUNCTION("VLOOKUP(A231,IMPORTRANGE(""1aFCnJY1qhIj8-JckJhDJ18aqmVo17tofpQmOjcYa3u8/edit#gid=1878241338"",""S4 Totals!$A$2:$O$255""),3,FALSE)"),0.02)</f>
        <v>0.02</v>
      </c>
      <c r="D231" s="16">
        <f>IFERROR(__xludf.DUMMYFUNCTION("VLOOKUP(A231,IMPORTRANGE(""1QZ5UxyNCwadreQAXnQ7oCoH982DjIA-QnZdO7ZoqkC0/edit#gid=884617569"",""S4 Totals!$A$2:$O$255""),2,FALSE)"),4.0)</f>
        <v>4</v>
      </c>
      <c r="E231" s="15">
        <f>IFERROR(__xludf.DUMMYFUNCTION("VLOOKUP(A231,IMPORTRANGE(""1QZ5UxyNCwadreQAXnQ7oCoH982DjIA-QnZdO7ZoqkC0/edit#gid=884617569"",""S4 Totals!$A$2:$O$255""),3,FALSE)"),0.0851063829787234)</f>
        <v>0.08510638298</v>
      </c>
      <c r="F231" s="146">
        <f t="shared" si="1"/>
        <v>-0.06510638298</v>
      </c>
      <c r="G231" s="16">
        <f>IFERROR(__xludf.DUMMYFUNCTION("VLOOKUP(A231,IMPORTRANGE(""1QZ5UxyNCwadreQAXnQ7oCoH982DjIA-QnZdO7ZoqkC0/edit#gid=884617569"",""S4 Totals!$A$2:$O$255""),4,FALSE)"),6.0)</f>
        <v>6</v>
      </c>
      <c r="H231" s="15">
        <f>IFERROR(__xludf.DUMMYFUNCTION("VLOOKUP(A231,IMPORTRANGE(""1QZ5UxyNCwadreQAXnQ7oCoH982DjIA-QnZdO7ZoqkC0/edit#gid=884617569"",""S4 Totals!$A$2:$O$255""),5,FALSE)"),0.09523809523809523)</f>
        <v>0.09523809524</v>
      </c>
      <c r="I231" s="143"/>
      <c r="J231" s="16" t="str">
        <f>IFERROR(__xludf.DUMMYFUNCTION("VLOOKUP(A231,IMPORTRANGE(""1QZ5UxyNCwadreQAXnQ7oCoH982DjIA-QnZdO7ZoqkC0/edit#gid=884617569"",""S4 Totals!$A$2:$O$255""),7,FALSE)"),"")</f>
        <v/>
      </c>
      <c r="K231" s="15" t="str">
        <f>IFERROR(__xludf.DUMMYFUNCTION("VLOOKUP(A231,IMPORTRANGE(""1QZ5UxyNCwadreQAXnQ7oCoH982DjIA-QnZdO7ZoqkC0/edit#gid=884617569"",""S4 Totals!$A$2:$O$255""),8,FALSE)"),"")</f>
        <v/>
      </c>
      <c r="L231" s="147"/>
      <c r="M231" s="16" t="str">
        <f>IFERROR(__xludf.DUMMYFUNCTION("VLOOKUP(A231,IMPORTRANGE(""1QZ5UxyNCwadreQAXnQ7oCoH982DjIA-QnZdO7ZoqkC0/edit#gid=884617569"",""S4 Totals!$A$2:$O$255""),10,FALSE)"),"")</f>
        <v/>
      </c>
      <c r="N231" s="15" t="str">
        <f>IFERROR(__xludf.DUMMYFUNCTION("VLOOKUP(A231,IMPORTRANGE(""1QZ5UxyNCwadreQAXnQ7oCoH982DjIA-QnZdO7ZoqkC0/edit#gid=884617569"",""S4 Totals!$A$2:$O$255""),11,FALSE)"),"")</f>
        <v/>
      </c>
      <c r="O231" s="110"/>
      <c r="P231" s="16" t="str">
        <f>IFERROR(__xludf.DUMMYFUNCTION("VLOOKUP(A231,IMPORTRANGE(""1QZ5UxyNCwadreQAXnQ7oCoH982DjIA-QnZdO7ZoqkC0/edit#gid=884617569"",""S4 Totals!$A$2:$O$255""),13,FALSE)"),"")</f>
        <v/>
      </c>
      <c r="Q231" s="15" t="str">
        <f>IFERROR(__xludf.DUMMYFUNCTION("VLOOKUP(A231,IMPORTRANGE(""1QZ5UxyNCwadreQAXnQ7oCoH982DjIA-QnZdO7ZoqkC0/edit#gid=884617569"",""S4 Totals!$A$2:$O$255""),14,FALSE)"),"")</f>
        <v/>
      </c>
      <c r="R231" s="110"/>
    </row>
    <row r="232">
      <c r="A232" s="128" t="s">
        <v>205</v>
      </c>
      <c r="B232" s="16">
        <f>IFERROR(__xludf.DUMMYFUNCTION("VLOOKUP(A232,IMPORTRANGE(""1aFCnJY1qhIj8-JckJhDJ18aqmVo17tofpQmOjcYa3u8/edit#gid=1878241338"",""S4 Totals!$A$2:$O$255""),2,FALSE)"),11.0)</f>
        <v>11</v>
      </c>
      <c r="C232" s="15">
        <f>IFERROR(__xludf.DUMMYFUNCTION("VLOOKUP(A232,IMPORTRANGE(""1aFCnJY1qhIj8-JckJhDJ18aqmVo17tofpQmOjcYa3u8/edit#gid=1878241338"",""S4 Totals!$A$2:$O$255""),3,FALSE)"),0.22)</f>
        <v>0.22</v>
      </c>
      <c r="D232" s="16">
        <f>IFERROR(__xludf.DUMMYFUNCTION("VLOOKUP(A232,IMPORTRANGE(""1QZ5UxyNCwadreQAXnQ7oCoH982DjIA-QnZdO7ZoqkC0/edit#gid=884617569"",""S4 Totals!$A$2:$O$255""),2,FALSE)"),11.0)</f>
        <v>11</v>
      </c>
      <c r="E232" s="15">
        <f>IFERROR(__xludf.DUMMYFUNCTION("VLOOKUP(A232,IMPORTRANGE(""1QZ5UxyNCwadreQAXnQ7oCoH982DjIA-QnZdO7ZoqkC0/edit#gid=884617569"",""S4 Totals!$A$2:$O$255""),3,FALSE)"),0.23404255319148937)</f>
        <v>0.2340425532</v>
      </c>
      <c r="F232" s="146">
        <f t="shared" si="1"/>
        <v>-0.01404255319</v>
      </c>
      <c r="G232" s="16">
        <f>IFERROR(__xludf.DUMMYFUNCTION("VLOOKUP(A232,IMPORTRANGE(""1QZ5UxyNCwadreQAXnQ7oCoH982DjIA-QnZdO7ZoqkC0/edit#gid=884617569"",""S4 Totals!$A$2:$O$255""),4,FALSE)"),7.0)</f>
        <v>7</v>
      </c>
      <c r="H232" s="15">
        <f>IFERROR(__xludf.DUMMYFUNCTION("VLOOKUP(A232,IMPORTRANGE(""1QZ5UxyNCwadreQAXnQ7oCoH982DjIA-QnZdO7ZoqkC0/edit#gid=884617569"",""S4 Totals!$A$2:$O$255""),5,FALSE)"),0.1111111111111111)</f>
        <v>0.1111111111</v>
      </c>
      <c r="I232" s="143"/>
      <c r="J232" s="16">
        <f>IFERROR(__xludf.DUMMYFUNCTION("VLOOKUP(A232,IMPORTRANGE(""1QZ5UxyNCwadreQAXnQ7oCoH982DjIA-QnZdO7ZoqkC0/edit#gid=884617569"",""S4 Totals!$A$2:$O$255""),7,FALSE)"),6.0)</f>
        <v>6</v>
      </c>
      <c r="K232" s="15">
        <f>IFERROR(__xludf.DUMMYFUNCTION("VLOOKUP(A232,IMPORTRANGE(""1QZ5UxyNCwadreQAXnQ7oCoH982DjIA-QnZdO7ZoqkC0/edit#gid=884617569"",""S4 Totals!$A$2:$O$255""),8,FALSE)"),0.08571428571428572)</f>
        <v>0.08571428571</v>
      </c>
      <c r="L232" s="147"/>
      <c r="M232" s="16" t="str">
        <f>IFERROR(__xludf.DUMMYFUNCTION("VLOOKUP(A232,IMPORTRANGE(""1QZ5UxyNCwadreQAXnQ7oCoH982DjIA-QnZdO7ZoqkC0/edit#gid=884617569"",""S4 Totals!$A$2:$O$255""),10,FALSE)"),"")</f>
        <v/>
      </c>
      <c r="N232" s="15" t="str">
        <f>IFERROR(__xludf.DUMMYFUNCTION("VLOOKUP(A232,IMPORTRANGE(""1QZ5UxyNCwadreQAXnQ7oCoH982DjIA-QnZdO7ZoqkC0/edit#gid=884617569"",""S4 Totals!$A$2:$O$255""),11,FALSE)"),"")</f>
        <v/>
      </c>
      <c r="O232" s="110"/>
      <c r="P232" s="16" t="str">
        <f>IFERROR(__xludf.DUMMYFUNCTION("VLOOKUP(A232,IMPORTRANGE(""1QZ5UxyNCwadreQAXnQ7oCoH982DjIA-QnZdO7ZoqkC0/edit#gid=884617569"",""S4 Totals!$A$2:$O$255""),13,FALSE)"),"")</f>
        <v/>
      </c>
      <c r="Q232" s="15" t="str">
        <f>IFERROR(__xludf.DUMMYFUNCTION("VLOOKUP(A232,IMPORTRANGE(""1QZ5UxyNCwadreQAXnQ7oCoH982DjIA-QnZdO7ZoqkC0/edit#gid=884617569"",""S4 Totals!$A$2:$O$255""),14,FALSE)"),"")</f>
        <v/>
      </c>
      <c r="R232" s="110"/>
    </row>
    <row r="233">
      <c r="A233" s="128" t="s">
        <v>101</v>
      </c>
      <c r="B233" s="16">
        <f>IFERROR(__xludf.DUMMYFUNCTION("VLOOKUP(A233,IMPORTRANGE(""1aFCnJY1qhIj8-JckJhDJ18aqmVo17tofpQmOjcYa3u8/edit#gid=1878241338"",""S4 Totals!$A$2:$O$255""),2,FALSE)"),11.0)</f>
        <v>11</v>
      </c>
      <c r="C233" s="15">
        <f>IFERROR(__xludf.DUMMYFUNCTION("VLOOKUP(A233,IMPORTRANGE(""1aFCnJY1qhIj8-JckJhDJ18aqmVo17tofpQmOjcYa3u8/edit#gid=1878241338"",""S4 Totals!$A$2:$O$255""),3,FALSE)"),0.22)</f>
        <v>0.22</v>
      </c>
      <c r="D233" s="16">
        <f>IFERROR(__xludf.DUMMYFUNCTION("VLOOKUP(A233,IMPORTRANGE(""1QZ5UxyNCwadreQAXnQ7oCoH982DjIA-QnZdO7ZoqkC0/edit#gid=884617569"",""S4 Totals!$A$2:$O$255""),2,FALSE)"),10.0)</f>
        <v>10</v>
      </c>
      <c r="E233" s="15">
        <f>IFERROR(__xludf.DUMMYFUNCTION("VLOOKUP(A233,IMPORTRANGE(""1QZ5UxyNCwadreQAXnQ7oCoH982DjIA-QnZdO7ZoqkC0/edit#gid=884617569"",""S4 Totals!$A$2:$O$255""),3,FALSE)"),0.2127659574468085)</f>
        <v>0.2127659574</v>
      </c>
      <c r="F233" s="146">
        <f t="shared" si="1"/>
        <v>0.007234042553</v>
      </c>
      <c r="G233" s="16">
        <f>IFERROR(__xludf.DUMMYFUNCTION("VLOOKUP(A233,IMPORTRANGE(""1QZ5UxyNCwadreQAXnQ7oCoH982DjIA-QnZdO7ZoqkC0/edit#gid=884617569"",""S4 Totals!$A$2:$O$255""),4,FALSE)"),13.0)</f>
        <v>13</v>
      </c>
      <c r="H233" s="15">
        <f>IFERROR(__xludf.DUMMYFUNCTION("VLOOKUP(A233,IMPORTRANGE(""1QZ5UxyNCwadreQAXnQ7oCoH982DjIA-QnZdO7ZoqkC0/edit#gid=884617569"",""S4 Totals!$A$2:$O$255""),5,FALSE)"),0.20634920634920634)</f>
        <v>0.2063492063</v>
      </c>
      <c r="I233" s="143"/>
      <c r="J233" s="16">
        <f>IFERROR(__xludf.DUMMYFUNCTION("VLOOKUP(A233,IMPORTRANGE(""1QZ5UxyNCwadreQAXnQ7oCoH982DjIA-QnZdO7ZoqkC0/edit#gid=884617569"",""S4 Totals!$A$2:$O$255""),7,FALSE)"),10.0)</f>
        <v>10</v>
      </c>
      <c r="K233" s="15">
        <f>IFERROR(__xludf.DUMMYFUNCTION("VLOOKUP(A233,IMPORTRANGE(""1QZ5UxyNCwadreQAXnQ7oCoH982DjIA-QnZdO7ZoqkC0/edit#gid=884617569"",""S4 Totals!$A$2:$O$255""),8,FALSE)"),0.14285714285714285)</f>
        <v>0.1428571429</v>
      </c>
      <c r="L233" s="147"/>
      <c r="M233" s="16">
        <f>IFERROR(__xludf.DUMMYFUNCTION("VLOOKUP(A233,IMPORTRANGE(""1QZ5UxyNCwadreQAXnQ7oCoH982DjIA-QnZdO7ZoqkC0/edit#gid=884617569"",""S4 Totals!$A$2:$O$255""),10,FALSE)"),15.0)</f>
        <v>15</v>
      </c>
      <c r="N233" s="15">
        <f>IFERROR(__xludf.DUMMYFUNCTION("VLOOKUP(A233,IMPORTRANGE(""1QZ5UxyNCwadreQAXnQ7oCoH982DjIA-QnZdO7ZoqkC0/edit#gid=884617569"",""S4 Totals!$A$2:$O$255""),11,FALSE)"),0.20270270270270271)</f>
        <v>0.2027027027</v>
      </c>
      <c r="O233" s="110"/>
      <c r="P233" s="16">
        <f>IFERROR(__xludf.DUMMYFUNCTION("VLOOKUP(A233,IMPORTRANGE(""1QZ5UxyNCwadreQAXnQ7oCoH982DjIA-QnZdO7ZoqkC0/edit#gid=884617569"",""S4 Totals!$A$2:$O$255""),13,FALSE)"),9.0)</f>
        <v>9</v>
      </c>
      <c r="Q233" s="15">
        <f>IFERROR(__xludf.DUMMYFUNCTION("VLOOKUP(A233,IMPORTRANGE(""1QZ5UxyNCwadreQAXnQ7oCoH982DjIA-QnZdO7ZoqkC0/edit#gid=884617569"",""S4 Totals!$A$2:$O$255""),14,FALSE)"),0.12)</f>
        <v>0.12</v>
      </c>
      <c r="R233" s="110"/>
    </row>
    <row r="234">
      <c r="A234" s="128" t="s">
        <v>102</v>
      </c>
      <c r="B234" s="16">
        <f>IFERROR(__xludf.DUMMYFUNCTION("VLOOKUP(A234,IMPORTRANGE(""1aFCnJY1qhIj8-JckJhDJ18aqmVo17tofpQmOjcYa3u8/edit#gid=1878241338"",""S4 Totals!$A$2:$O$255""),2,FALSE)"),24.0)</f>
        <v>24</v>
      </c>
      <c r="C234" s="15">
        <f>IFERROR(__xludf.DUMMYFUNCTION("VLOOKUP(A234,IMPORTRANGE(""1aFCnJY1qhIj8-JckJhDJ18aqmVo17tofpQmOjcYa3u8/edit#gid=1878241338"",""S4 Totals!$A$2:$O$255""),3,FALSE)"),0.48)</f>
        <v>0.48</v>
      </c>
      <c r="D234" s="16">
        <f>IFERROR(__xludf.DUMMYFUNCTION("VLOOKUP(A234,IMPORTRANGE(""1QZ5UxyNCwadreQAXnQ7oCoH982DjIA-QnZdO7ZoqkC0/edit#gid=884617569"",""S4 Totals!$A$2:$O$255""),2,FALSE)"),20.0)</f>
        <v>20</v>
      </c>
      <c r="E234" s="15">
        <f>IFERROR(__xludf.DUMMYFUNCTION("VLOOKUP(A234,IMPORTRANGE(""1QZ5UxyNCwadreQAXnQ7oCoH982DjIA-QnZdO7ZoqkC0/edit#gid=884617569"",""S4 Totals!$A$2:$O$255""),3,FALSE)"),0.425531914893617)</f>
        <v>0.4255319149</v>
      </c>
      <c r="F234" s="146">
        <f t="shared" si="1"/>
        <v>0.05446808511</v>
      </c>
      <c r="G234" s="16">
        <f>IFERROR(__xludf.DUMMYFUNCTION("VLOOKUP(A234,IMPORTRANGE(""1QZ5UxyNCwadreQAXnQ7oCoH982DjIA-QnZdO7ZoqkC0/edit#gid=884617569"",""S4 Totals!$A$2:$O$255""),4,FALSE)"),26.0)</f>
        <v>26</v>
      </c>
      <c r="H234" s="15">
        <f>IFERROR(__xludf.DUMMYFUNCTION("VLOOKUP(A234,IMPORTRANGE(""1QZ5UxyNCwadreQAXnQ7oCoH982DjIA-QnZdO7ZoqkC0/edit#gid=884617569"",""S4 Totals!$A$2:$O$255""),5,FALSE)"),0.4126984126984127)</f>
        <v>0.4126984127</v>
      </c>
      <c r="I234" s="143"/>
      <c r="J234" s="16">
        <f>IFERROR(__xludf.DUMMYFUNCTION("VLOOKUP(A234,IMPORTRANGE(""1QZ5UxyNCwadreQAXnQ7oCoH982DjIA-QnZdO7ZoqkC0/edit#gid=884617569"",""S4 Totals!$A$2:$O$255""),7,FALSE)"),28.0)</f>
        <v>28</v>
      </c>
      <c r="K234" s="15">
        <f>IFERROR(__xludf.DUMMYFUNCTION("VLOOKUP(A234,IMPORTRANGE(""1QZ5UxyNCwadreQAXnQ7oCoH982DjIA-QnZdO7ZoqkC0/edit#gid=884617569"",""S4 Totals!$A$2:$O$255""),8,FALSE)"),0.4)</f>
        <v>0.4</v>
      </c>
      <c r="L234" s="147"/>
      <c r="M234" s="16">
        <f>IFERROR(__xludf.DUMMYFUNCTION("VLOOKUP(A234,IMPORTRANGE(""1QZ5UxyNCwadreQAXnQ7oCoH982DjIA-QnZdO7ZoqkC0/edit#gid=884617569"",""S4 Totals!$A$2:$O$255""),10,FALSE)"),20.0)</f>
        <v>20</v>
      </c>
      <c r="N234" s="15">
        <f>IFERROR(__xludf.DUMMYFUNCTION("VLOOKUP(A234,IMPORTRANGE(""1QZ5UxyNCwadreQAXnQ7oCoH982DjIA-QnZdO7ZoqkC0/edit#gid=884617569"",""S4 Totals!$A$2:$O$255""),11,FALSE)"),0.2702702702702703)</f>
        <v>0.2702702703</v>
      </c>
      <c r="O234" s="110"/>
      <c r="P234" s="16">
        <f>IFERROR(__xludf.DUMMYFUNCTION("VLOOKUP(A234,IMPORTRANGE(""1QZ5UxyNCwadreQAXnQ7oCoH982DjIA-QnZdO7ZoqkC0/edit#gid=884617569"",""S4 Totals!$A$2:$O$255""),13,FALSE)"),19.0)</f>
        <v>19</v>
      </c>
      <c r="Q234" s="15">
        <f>IFERROR(__xludf.DUMMYFUNCTION("VLOOKUP(A234,IMPORTRANGE(""1QZ5UxyNCwadreQAXnQ7oCoH982DjIA-QnZdO7ZoqkC0/edit#gid=884617569"",""S4 Totals!$A$2:$O$255""),14,FALSE)"),0.25333333333333335)</f>
        <v>0.2533333333</v>
      </c>
      <c r="R234" s="110"/>
    </row>
    <row r="235">
      <c r="A235" s="128" t="s">
        <v>257</v>
      </c>
      <c r="B235" s="16">
        <f>IFERROR(__xludf.DUMMYFUNCTION("VLOOKUP(A235,IMPORTRANGE(""1aFCnJY1qhIj8-JckJhDJ18aqmVo17tofpQmOjcYa3u8/edit#gid=1878241338"",""S4 Totals!$A$2:$O$255""),2,FALSE)"),3.0)</f>
        <v>3</v>
      </c>
      <c r="C235" s="15">
        <f>IFERROR(__xludf.DUMMYFUNCTION("VLOOKUP(A235,IMPORTRANGE(""1aFCnJY1qhIj8-JckJhDJ18aqmVo17tofpQmOjcYa3u8/edit#gid=1878241338"",""S4 Totals!$A$2:$O$255""),3,FALSE)"),0.06)</f>
        <v>0.06</v>
      </c>
      <c r="D235" s="16">
        <f>IFERROR(__xludf.DUMMYFUNCTION("VLOOKUP(A235,IMPORTRANGE(""1QZ5UxyNCwadreQAXnQ7oCoH982DjIA-QnZdO7ZoqkC0/edit#gid=884617569"",""S4 Totals!$A$2:$O$255""),2,FALSE)"),3.0)</f>
        <v>3</v>
      </c>
      <c r="E235" s="15">
        <f>IFERROR(__xludf.DUMMYFUNCTION("VLOOKUP(A235,IMPORTRANGE(""1QZ5UxyNCwadreQAXnQ7oCoH982DjIA-QnZdO7ZoqkC0/edit#gid=884617569"",""S4 Totals!$A$2:$O$255""),3,FALSE)"),0.06382978723404255)</f>
        <v>0.06382978723</v>
      </c>
      <c r="F235" s="146">
        <f t="shared" si="1"/>
        <v>-0.003829787234</v>
      </c>
      <c r="G235" s="16">
        <f>IFERROR(__xludf.DUMMYFUNCTION("VLOOKUP(A235,IMPORTRANGE(""1QZ5UxyNCwadreQAXnQ7oCoH982DjIA-QnZdO7ZoqkC0/edit#gid=884617569"",""S4 Totals!$A$2:$O$255""),4,FALSE)"),1.0)</f>
        <v>1</v>
      </c>
      <c r="H235" s="15">
        <f>IFERROR(__xludf.DUMMYFUNCTION("VLOOKUP(A235,IMPORTRANGE(""1QZ5UxyNCwadreQAXnQ7oCoH982DjIA-QnZdO7ZoqkC0/edit#gid=884617569"",""S4 Totals!$A$2:$O$255""),5,FALSE)"),0.015873015873015872)</f>
        <v>0.01587301587</v>
      </c>
      <c r="I235" s="143"/>
      <c r="J235" s="16" t="str">
        <f>IFERROR(__xludf.DUMMYFUNCTION("VLOOKUP(A235,IMPORTRANGE(""1QZ5UxyNCwadreQAXnQ7oCoH982DjIA-QnZdO7ZoqkC0/edit#gid=884617569"",""S4 Totals!$A$2:$O$255""),7,FALSE)"),"")</f>
        <v/>
      </c>
      <c r="K235" s="15" t="str">
        <f>IFERROR(__xludf.DUMMYFUNCTION("VLOOKUP(A235,IMPORTRANGE(""1QZ5UxyNCwadreQAXnQ7oCoH982DjIA-QnZdO7ZoqkC0/edit#gid=884617569"",""S4 Totals!$A$2:$O$255""),8,FALSE)"),"")</f>
        <v/>
      </c>
      <c r="L235" s="147"/>
      <c r="M235" s="16" t="str">
        <f>IFERROR(__xludf.DUMMYFUNCTION("VLOOKUP(A235,IMPORTRANGE(""1QZ5UxyNCwadreQAXnQ7oCoH982DjIA-QnZdO7ZoqkC0/edit#gid=884617569"",""S4 Totals!$A$2:$O$255""),10,FALSE)"),"")</f>
        <v/>
      </c>
      <c r="N235" s="15" t="str">
        <f>IFERROR(__xludf.DUMMYFUNCTION("VLOOKUP(A235,IMPORTRANGE(""1QZ5UxyNCwadreQAXnQ7oCoH982DjIA-QnZdO7ZoqkC0/edit#gid=884617569"",""S4 Totals!$A$2:$O$255""),11,FALSE)"),"")</f>
        <v/>
      </c>
      <c r="O235" s="110"/>
      <c r="P235" s="16" t="str">
        <f>IFERROR(__xludf.DUMMYFUNCTION("VLOOKUP(A235,IMPORTRANGE(""1QZ5UxyNCwadreQAXnQ7oCoH982DjIA-QnZdO7ZoqkC0/edit#gid=884617569"",""S4 Totals!$A$2:$O$255""),13,FALSE)"),"")</f>
        <v/>
      </c>
      <c r="Q235" s="15" t="str">
        <f>IFERROR(__xludf.DUMMYFUNCTION("VLOOKUP(A235,IMPORTRANGE(""1QZ5UxyNCwadreQAXnQ7oCoH982DjIA-QnZdO7ZoqkC0/edit#gid=884617569"",""S4 Totals!$A$2:$O$255""),14,FALSE)"),"")</f>
        <v/>
      </c>
      <c r="R235" s="110"/>
    </row>
    <row r="236">
      <c r="A236" s="128" t="s">
        <v>103</v>
      </c>
      <c r="B236" s="16">
        <f>IFERROR(__xludf.DUMMYFUNCTION("VLOOKUP(A236,IMPORTRANGE(""1aFCnJY1qhIj8-JckJhDJ18aqmVo17tofpQmOjcYa3u8/edit#gid=1878241338"",""S4 Totals!$A$2:$O$255""),2,FALSE)"),24.0)</f>
        <v>24</v>
      </c>
      <c r="C236" s="15">
        <f>IFERROR(__xludf.DUMMYFUNCTION("VLOOKUP(A236,IMPORTRANGE(""1aFCnJY1qhIj8-JckJhDJ18aqmVo17tofpQmOjcYa3u8/edit#gid=1878241338"",""S4 Totals!$A$2:$O$255""),3,FALSE)"),0.48)</f>
        <v>0.48</v>
      </c>
      <c r="D236" s="16">
        <f>IFERROR(__xludf.DUMMYFUNCTION("VLOOKUP(A236,IMPORTRANGE(""1QZ5UxyNCwadreQAXnQ7oCoH982DjIA-QnZdO7ZoqkC0/edit#gid=884617569"",""S4 Totals!$A$2:$O$255""),2,FALSE)"),19.0)</f>
        <v>19</v>
      </c>
      <c r="E236" s="15">
        <f>IFERROR(__xludf.DUMMYFUNCTION("VLOOKUP(A236,IMPORTRANGE(""1QZ5UxyNCwadreQAXnQ7oCoH982DjIA-QnZdO7ZoqkC0/edit#gid=884617569"",""S4 Totals!$A$2:$O$255""),3,FALSE)"),0.40425531914893614)</f>
        <v>0.4042553191</v>
      </c>
      <c r="F236" s="146">
        <f t="shared" si="1"/>
        <v>0.07574468085</v>
      </c>
      <c r="G236" s="16">
        <f>IFERROR(__xludf.DUMMYFUNCTION("VLOOKUP(A236,IMPORTRANGE(""1QZ5UxyNCwadreQAXnQ7oCoH982DjIA-QnZdO7ZoqkC0/edit#gid=884617569"",""S4 Totals!$A$2:$O$255""),4,FALSE)"),23.0)</f>
        <v>23</v>
      </c>
      <c r="H236" s="15">
        <f>IFERROR(__xludf.DUMMYFUNCTION("VLOOKUP(A236,IMPORTRANGE(""1QZ5UxyNCwadreQAXnQ7oCoH982DjIA-QnZdO7ZoqkC0/edit#gid=884617569"",""S4 Totals!$A$2:$O$255""),5,FALSE)"),0.36507936507936506)</f>
        <v>0.3650793651</v>
      </c>
      <c r="I236" s="143"/>
      <c r="J236" s="16">
        <f>IFERROR(__xludf.DUMMYFUNCTION("VLOOKUP(A236,IMPORTRANGE(""1QZ5UxyNCwadreQAXnQ7oCoH982DjIA-QnZdO7ZoqkC0/edit#gid=884617569"",""S4 Totals!$A$2:$O$255""),7,FALSE)"),19.0)</f>
        <v>19</v>
      </c>
      <c r="K236" s="15">
        <f>IFERROR(__xludf.DUMMYFUNCTION("VLOOKUP(A236,IMPORTRANGE(""1QZ5UxyNCwadreQAXnQ7oCoH982DjIA-QnZdO7ZoqkC0/edit#gid=884617569"",""S4 Totals!$A$2:$O$255""),8,FALSE)"),0.2714285714285714)</f>
        <v>0.2714285714</v>
      </c>
      <c r="L236" s="147"/>
      <c r="M236" s="16">
        <f>IFERROR(__xludf.DUMMYFUNCTION("VLOOKUP(A236,IMPORTRANGE(""1QZ5UxyNCwadreQAXnQ7oCoH982DjIA-QnZdO7ZoqkC0/edit#gid=884617569"",""S4 Totals!$A$2:$O$255""),10,FALSE)"),22.0)</f>
        <v>22</v>
      </c>
      <c r="N236" s="15">
        <f>IFERROR(__xludf.DUMMYFUNCTION("VLOOKUP(A236,IMPORTRANGE(""1QZ5UxyNCwadreQAXnQ7oCoH982DjIA-QnZdO7ZoqkC0/edit#gid=884617569"",""S4 Totals!$A$2:$O$255""),11,FALSE)"),0.2972972972972973)</f>
        <v>0.2972972973</v>
      </c>
      <c r="O236" s="110"/>
      <c r="P236" s="16">
        <f>IFERROR(__xludf.DUMMYFUNCTION("VLOOKUP(A236,IMPORTRANGE(""1QZ5UxyNCwadreQAXnQ7oCoH982DjIA-QnZdO7ZoqkC0/edit#gid=884617569"",""S4 Totals!$A$2:$O$255""),13,FALSE)"),9.0)</f>
        <v>9</v>
      </c>
      <c r="Q236" s="15">
        <f>IFERROR(__xludf.DUMMYFUNCTION("VLOOKUP(A236,IMPORTRANGE(""1QZ5UxyNCwadreQAXnQ7oCoH982DjIA-QnZdO7ZoqkC0/edit#gid=884617569"",""S4 Totals!$A$2:$O$255""),14,FALSE)"),0.12)</f>
        <v>0.12</v>
      </c>
      <c r="R236" s="110"/>
    </row>
    <row r="237">
      <c r="A237" s="128" t="s">
        <v>104</v>
      </c>
      <c r="B237" s="16">
        <f>IFERROR(__xludf.DUMMYFUNCTION("VLOOKUP(A237,IMPORTRANGE(""1aFCnJY1qhIj8-JckJhDJ18aqmVo17tofpQmOjcYa3u8/edit#gid=1878241338"",""S4 Totals!$A$2:$O$255""),2,FALSE)"),4.0)</f>
        <v>4</v>
      </c>
      <c r="C237" s="15">
        <f>IFERROR(__xludf.DUMMYFUNCTION("VLOOKUP(A237,IMPORTRANGE(""1aFCnJY1qhIj8-JckJhDJ18aqmVo17tofpQmOjcYa3u8/edit#gid=1878241338"",""S4 Totals!$A$2:$O$255""),3,FALSE)"),0.08)</f>
        <v>0.08</v>
      </c>
      <c r="D237" s="16">
        <f>IFERROR(__xludf.DUMMYFUNCTION("VLOOKUP(A237,IMPORTRANGE(""1QZ5UxyNCwadreQAXnQ7oCoH982DjIA-QnZdO7ZoqkC0/edit#gid=884617569"",""S4 Totals!$A$2:$O$255""),2,FALSE)"),7.0)</f>
        <v>7</v>
      </c>
      <c r="E237" s="15">
        <f>IFERROR(__xludf.DUMMYFUNCTION("VLOOKUP(A237,IMPORTRANGE(""1QZ5UxyNCwadreQAXnQ7oCoH982DjIA-QnZdO7ZoqkC0/edit#gid=884617569"",""S4 Totals!$A$2:$O$255""),3,FALSE)"),0.14893617021276595)</f>
        <v>0.1489361702</v>
      </c>
      <c r="F237" s="146">
        <f t="shared" si="1"/>
        <v>-0.06893617021</v>
      </c>
      <c r="G237" s="16">
        <f>IFERROR(__xludf.DUMMYFUNCTION("VLOOKUP(A237,IMPORTRANGE(""1QZ5UxyNCwadreQAXnQ7oCoH982DjIA-QnZdO7ZoqkC0/edit#gid=884617569"",""S4 Totals!$A$2:$O$255""),4,FALSE)"),5.0)</f>
        <v>5</v>
      </c>
      <c r="H237" s="15">
        <f>IFERROR(__xludf.DUMMYFUNCTION("VLOOKUP(A237,IMPORTRANGE(""1QZ5UxyNCwadreQAXnQ7oCoH982DjIA-QnZdO7ZoqkC0/edit#gid=884617569"",""S4 Totals!$A$2:$O$255""),5,FALSE)"),0.07936507936507936)</f>
        <v>0.07936507937</v>
      </c>
      <c r="I237" s="143"/>
      <c r="J237" s="16">
        <f>IFERROR(__xludf.DUMMYFUNCTION("VLOOKUP(A237,IMPORTRANGE(""1QZ5UxyNCwadreQAXnQ7oCoH982DjIA-QnZdO7ZoqkC0/edit#gid=884617569"",""S4 Totals!$A$2:$O$255""),7,FALSE)"),1.0)</f>
        <v>1</v>
      </c>
      <c r="K237" s="15">
        <f>IFERROR(__xludf.DUMMYFUNCTION("VLOOKUP(A237,IMPORTRANGE(""1QZ5UxyNCwadreQAXnQ7oCoH982DjIA-QnZdO7ZoqkC0/edit#gid=884617569"",""S4 Totals!$A$2:$O$255""),8,FALSE)"),0.014285714285714285)</f>
        <v>0.01428571429</v>
      </c>
      <c r="L237" s="147"/>
      <c r="M237" s="16">
        <f>IFERROR(__xludf.DUMMYFUNCTION("VLOOKUP(A237,IMPORTRANGE(""1QZ5UxyNCwadreQAXnQ7oCoH982DjIA-QnZdO7ZoqkC0/edit#gid=884617569"",""S4 Totals!$A$2:$O$255""),10,FALSE)"),5.0)</f>
        <v>5</v>
      </c>
      <c r="N237" s="15">
        <f>IFERROR(__xludf.DUMMYFUNCTION("VLOOKUP(A237,IMPORTRANGE(""1QZ5UxyNCwadreQAXnQ7oCoH982DjIA-QnZdO7ZoqkC0/edit#gid=884617569"",""S4 Totals!$A$2:$O$255""),11,FALSE)"),0.06756756756756757)</f>
        <v>0.06756756757</v>
      </c>
      <c r="O237" s="110"/>
      <c r="P237" s="16">
        <f>IFERROR(__xludf.DUMMYFUNCTION("VLOOKUP(A237,IMPORTRANGE(""1QZ5UxyNCwadreQAXnQ7oCoH982DjIA-QnZdO7ZoqkC0/edit#gid=884617569"",""S4 Totals!$A$2:$O$255""),13,FALSE)"),5.0)</f>
        <v>5</v>
      </c>
      <c r="Q237" s="15">
        <f>IFERROR(__xludf.DUMMYFUNCTION("VLOOKUP(A237,IMPORTRANGE(""1QZ5UxyNCwadreQAXnQ7oCoH982DjIA-QnZdO7ZoqkC0/edit#gid=884617569"",""S4 Totals!$A$2:$O$255""),14,FALSE)"),0.06666666666666667)</f>
        <v>0.06666666667</v>
      </c>
      <c r="R237" s="110"/>
    </row>
    <row r="238">
      <c r="A238" s="128" t="s">
        <v>153</v>
      </c>
      <c r="B238" s="16">
        <f>IFERROR(__xludf.DUMMYFUNCTION("VLOOKUP(A238,IMPORTRANGE(""1aFCnJY1qhIj8-JckJhDJ18aqmVo17tofpQmOjcYa3u8/edit#gid=1878241338"",""S4 Totals!$A$2:$O$255""),2,FALSE)"),4.0)</f>
        <v>4</v>
      </c>
      <c r="C238" s="15">
        <f>IFERROR(__xludf.DUMMYFUNCTION("VLOOKUP(A238,IMPORTRANGE(""1aFCnJY1qhIj8-JckJhDJ18aqmVo17tofpQmOjcYa3u8/edit#gid=1878241338"",""S4 Totals!$A$2:$O$255""),3,FALSE)"),0.08)</f>
        <v>0.08</v>
      </c>
      <c r="D238" s="16">
        <f>IFERROR(__xludf.DUMMYFUNCTION("VLOOKUP(A238,IMPORTRANGE(""1QZ5UxyNCwadreQAXnQ7oCoH982DjIA-QnZdO7ZoqkC0/edit#gid=884617569"",""S4 Totals!$A$2:$O$255""),2,FALSE)"),6.0)</f>
        <v>6</v>
      </c>
      <c r="E238" s="15">
        <f>IFERROR(__xludf.DUMMYFUNCTION("VLOOKUP(A238,IMPORTRANGE(""1QZ5UxyNCwadreQAXnQ7oCoH982DjIA-QnZdO7ZoqkC0/edit#gid=884617569"",""S4 Totals!$A$2:$O$255""),3,FALSE)"),0.1276595744680851)</f>
        <v>0.1276595745</v>
      </c>
      <c r="F238" s="146">
        <f t="shared" si="1"/>
        <v>-0.04765957447</v>
      </c>
      <c r="G238" s="16">
        <f>IFERROR(__xludf.DUMMYFUNCTION("VLOOKUP(A238,IMPORTRANGE(""1QZ5UxyNCwadreQAXnQ7oCoH982DjIA-QnZdO7ZoqkC0/edit#gid=884617569"",""S4 Totals!$A$2:$O$255""),4,FALSE)"),4.0)</f>
        <v>4</v>
      </c>
      <c r="H238" s="15">
        <f>IFERROR(__xludf.DUMMYFUNCTION("VLOOKUP(A238,IMPORTRANGE(""1QZ5UxyNCwadreQAXnQ7oCoH982DjIA-QnZdO7ZoqkC0/edit#gid=884617569"",""S4 Totals!$A$2:$O$255""),5,FALSE)"),0.06349206349206349)</f>
        <v>0.06349206349</v>
      </c>
      <c r="I238" s="143"/>
      <c r="J238" s="16">
        <f>IFERROR(__xludf.DUMMYFUNCTION("VLOOKUP(A238,IMPORTRANGE(""1QZ5UxyNCwadreQAXnQ7oCoH982DjIA-QnZdO7ZoqkC0/edit#gid=884617569"",""S4 Totals!$A$2:$O$255""),7,FALSE)"),5.0)</f>
        <v>5</v>
      </c>
      <c r="K238" s="15">
        <f>IFERROR(__xludf.DUMMYFUNCTION("VLOOKUP(A238,IMPORTRANGE(""1QZ5UxyNCwadreQAXnQ7oCoH982DjIA-QnZdO7ZoqkC0/edit#gid=884617569"",""S4 Totals!$A$2:$O$255""),8,FALSE)"),0.07142857142857142)</f>
        <v>0.07142857143</v>
      </c>
      <c r="L238" s="147"/>
      <c r="M238" s="16">
        <f>IFERROR(__xludf.DUMMYFUNCTION("VLOOKUP(A238,IMPORTRANGE(""1QZ5UxyNCwadreQAXnQ7oCoH982DjIA-QnZdO7ZoqkC0/edit#gid=884617569"",""S4 Totals!$A$2:$O$255""),10,FALSE)"),6.0)</f>
        <v>6</v>
      </c>
      <c r="N238" s="15">
        <f>IFERROR(__xludf.DUMMYFUNCTION("VLOOKUP(A238,IMPORTRANGE(""1QZ5UxyNCwadreQAXnQ7oCoH982DjIA-QnZdO7ZoqkC0/edit#gid=884617569"",""S4 Totals!$A$2:$O$255""),11,FALSE)"),0.08108108108108109)</f>
        <v>0.08108108108</v>
      </c>
      <c r="O238" s="110"/>
      <c r="P238" s="16" t="str">
        <f>IFERROR(__xludf.DUMMYFUNCTION("VLOOKUP(A238,IMPORTRANGE(""1QZ5UxyNCwadreQAXnQ7oCoH982DjIA-QnZdO7ZoqkC0/edit#gid=884617569"",""S4 Totals!$A$2:$O$255""),13,FALSE)"),"")</f>
        <v/>
      </c>
      <c r="Q238" s="15" t="str">
        <f>IFERROR(__xludf.DUMMYFUNCTION("VLOOKUP(A238,IMPORTRANGE(""1QZ5UxyNCwadreQAXnQ7oCoH982DjIA-QnZdO7ZoqkC0/edit#gid=884617569"",""S4 Totals!$A$2:$O$255""),14,FALSE)"),"")</f>
        <v/>
      </c>
      <c r="R238" s="110"/>
    </row>
    <row r="239">
      <c r="A239" s="128" t="s">
        <v>154</v>
      </c>
      <c r="B239" s="16">
        <f>IFERROR(__xludf.DUMMYFUNCTION("VLOOKUP(A239,IMPORTRANGE(""1aFCnJY1qhIj8-JckJhDJ18aqmVo17tofpQmOjcYa3u8/edit#gid=1878241338"",""S4 Totals!$A$2:$O$255""),2,FALSE)"),0.0)</f>
        <v>0</v>
      </c>
      <c r="C239" s="15">
        <f>IFERROR(__xludf.DUMMYFUNCTION("VLOOKUP(A239,IMPORTRANGE(""1aFCnJY1qhIj8-JckJhDJ18aqmVo17tofpQmOjcYa3u8/edit#gid=1878241338"",""S4 Totals!$A$2:$O$255""),3,FALSE)"),0.0)</f>
        <v>0</v>
      </c>
      <c r="D239" s="16">
        <f>IFERROR(__xludf.DUMMYFUNCTION("VLOOKUP(A239,IMPORTRANGE(""1QZ5UxyNCwadreQAXnQ7oCoH982DjIA-QnZdO7ZoqkC0/edit#gid=884617569"",""S4 Totals!$A$2:$O$255""),2,FALSE)"),24.0)</f>
        <v>24</v>
      </c>
      <c r="E239" s="15">
        <f>IFERROR(__xludf.DUMMYFUNCTION("VLOOKUP(A239,IMPORTRANGE(""1QZ5UxyNCwadreQAXnQ7oCoH982DjIA-QnZdO7ZoqkC0/edit#gid=884617569"",""S4 Totals!$A$2:$O$255""),3,FALSE)"),0.5106382978723404)</f>
        <v>0.5106382979</v>
      </c>
      <c r="F239" s="146">
        <f t="shared" si="1"/>
        <v>-0.5106382979</v>
      </c>
      <c r="G239" s="16">
        <f>IFERROR(__xludf.DUMMYFUNCTION("VLOOKUP(A239,IMPORTRANGE(""1QZ5UxyNCwadreQAXnQ7oCoH982DjIA-QnZdO7ZoqkC0/edit#gid=884617569"",""S4 Totals!$A$2:$O$255""),4,FALSE)"),23.0)</f>
        <v>23</v>
      </c>
      <c r="H239" s="15">
        <f>IFERROR(__xludf.DUMMYFUNCTION("VLOOKUP(A239,IMPORTRANGE(""1QZ5UxyNCwadreQAXnQ7oCoH982DjIA-QnZdO7ZoqkC0/edit#gid=884617569"",""S4 Totals!$A$2:$O$255""),5,FALSE)"),0.36507936507936506)</f>
        <v>0.3650793651</v>
      </c>
      <c r="I239" s="143"/>
      <c r="J239" s="16">
        <f>IFERROR(__xludf.DUMMYFUNCTION("VLOOKUP(A239,IMPORTRANGE(""1QZ5UxyNCwadreQAXnQ7oCoH982DjIA-QnZdO7ZoqkC0/edit#gid=884617569"",""S4 Totals!$A$2:$O$255""),7,FALSE)"),22.0)</f>
        <v>22</v>
      </c>
      <c r="K239" s="15">
        <f>IFERROR(__xludf.DUMMYFUNCTION("VLOOKUP(A239,IMPORTRANGE(""1QZ5UxyNCwadreQAXnQ7oCoH982DjIA-QnZdO7ZoqkC0/edit#gid=884617569"",""S4 Totals!$A$2:$O$255""),8,FALSE)"),0.3142857142857143)</f>
        <v>0.3142857143</v>
      </c>
      <c r="L239" s="147"/>
      <c r="M239" s="16">
        <f>IFERROR(__xludf.DUMMYFUNCTION("VLOOKUP(A239,IMPORTRANGE(""1QZ5UxyNCwadreQAXnQ7oCoH982DjIA-QnZdO7ZoqkC0/edit#gid=884617569"",""S4 Totals!$A$2:$O$255""),10,FALSE)"),28.0)</f>
        <v>28</v>
      </c>
      <c r="N239" s="15">
        <f>IFERROR(__xludf.DUMMYFUNCTION("VLOOKUP(A239,IMPORTRANGE(""1QZ5UxyNCwadreQAXnQ7oCoH982DjIA-QnZdO7ZoqkC0/edit#gid=884617569"",""S4 Totals!$A$2:$O$255""),11,FALSE)"),0.3783783783783784)</f>
        <v>0.3783783784</v>
      </c>
      <c r="O239" s="110"/>
      <c r="P239" s="16" t="str">
        <f>IFERROR(__xludf.DUMMYFUNCTION("VLOOKUP(A239,IMPORTRANGE(""1QZ5UxyNCwadreQAXnQ7oCoH982DjIA-QnZdO7ZoqkC0/edit#gid=884617569"",""S4 Totals!$A$2:$O$255""),13,FALSE)"),"")</f>
        <v/>
      </c>
      <c r="Q239" s="15" t="str">
        <f>IFERROR(__xludf.DUMMYFUNCTION("VLOOKUP(A239,IMPORTRANGE(""1QZ5UxyNCwadreQAXnQ7oCoH982DjIA-QnZdO7ZoqkC0/edit#gid=884617569"",""S4 Totals!$A$2:$O$255""),14,FALSE)"),"")</f>
        <v/>
      </c>
      <c r="R239" s="110"/>
    </row>
    <row r="240">
      <c r="A240" s="128" t="s">
        <v>155</v>
      </c>
      <c r="B240" s="16">
        <f>IFERROR(__xludf.DUMMYFUNCTION("VLOOKUP(A240,IMPORTRANGE(""1aFCnJY1qhIj8-JckJhDJ18aqmVo17tofpQmOjcYa3u8/edit#gid=1878241338"",""S4 Totals!$A$2:$O$255""),2,FALSE)"),26.0)</f>
        <v>26</v>
      </c>
      <c r="C240" s="15">
        <f>IFERROR(__xludf.DUMMYFUNCTION("VLOOKUP(A240,IMPORTRANGE(""1aFCnJY1qhIj8-JckJhDJ18aqmVo17tofpQmOjcYa3u8/edit#gid=1878241338"",""S4 Totals!$A$2:$O$255""),3,FALSE)"),0.52)</f>
        <v>0.52</v>
      </c>
      <c r="D240" s="16">
        <f>IFERROR(__xludf.DUMMYFUNCTION("VLOOKUP(A240,IMPORTRANGE(""1QZ5UxyNCwadreQAXnQ7oCoH982DjIA-QnZdO7ZoqkC0/edit#gid=884617569"",""S4 Totals!$A$2:$O$255""),2,FALSE)"),25.0)</f>
        <v>25</v>
      </c>
      <c r="E240" s="15">
        <f>IFERROR(__xludf.DUMMYFUNCTION("VLOOKUP(A240,IMPORTRANGE(""1QZ5UxyNCwadreQAXnQ7oCoH982DjIA-QnZdO7ZoqkC0/edit#gid=884617569"",""S4 Totals!$A$2:$O$255""),3,FALSE)"),0.5319148936170213)</f>
        <v>0.5319148936</v>
      </c>
      <c r="F240" s="146">
        <f t="shared" si="1"/>
        <v>-0.01191489362</v>
      </c>
      <c r="G240" s="16">
        <f>IFERROR(__xludf.DUMMYFUNCTION("VLOOKUP(A240,IMPORTRANGE(""1QZ5UxyNCwadreQAXnQ7oCoH982DjIA-QnZdO7ZoqkC0/edit#gid=884617569"",""S4 Totals!$A$2:$O$255""),4,FALSE)"),17.0)</f>
        <v>17</v>
      </c>
      <c r="H240" s="15">
        <f>IFERROR(__xludf.DUMMYFUNCTION("VLOOKUP(A240,IMPORTRANGE(""1QZ5UxyNCwadreQAXnQ7oCoH982DjIA-QnZdO7ZoqkC0/edit#gid=884617569"",""S4 Totals!$A$2:$O$255""),5,FALSE)"),0.2698412698412698)</f>
        <v>0.2698412698</v>
      </c>
      <c r="I240" s="143"/>
      <c r="J240" s="16">
        <f>IFERROR(__xludf.DUMMYFUNCTION("VLOOKUP(A240,IMPORTRANGE(""1QZ5UxyNCwadreQAXnQ7oCoH982DjIA-QnZdO7ZoqkC0/edit#gid=884617569"",""S4 Totals!$A$2:$O$255""),7,FALSE)"),23.0)</f>
        <v>23</v>
      </c>
      <c r="K240" s="15">
        <f>IFERROR(__xludf.DUMMYFUNCTION("VLOOKUP(A240,IMPORTRANGE(""1QZ5UxyNCwadreQAXnQ7oCoH982DjIA-QnZdO7ZoqkC0/edit#gid=884617569"",""S4 Totals!$A$2:$O$255""),8,FALSE)"),0.32857142857142857)</f>
        <v>0.3285714286</v>
      </c>
      <c r="L240" s="147"/>
      <c r="M240" s="16">
        <f>IFERROR(__xludf.DUMMYFUNCTION("VLOOKUP(A240,IMPORTRANGE(""1QZ5UxyNCwadreQAXnQ7oCoH982DjIA-QnZdO7ZoqkC0/edit#gid=884617569"",""S4 Totals!$A$2:$O$255""),10,FALSE)"),24.0)</f>
        <v>24</v>
      </c>
      <c r="N240" s="15">
        <f>IFERROR(__xludf.DUMMYFUNCTION("VLOOKUP(A240,IMPORTRANGE(""1QZ5UxyNCwadreQAXnQ7oCoH982DjIA-QnZdO7ZoqkC0/edit#gid=884617569"",""S4 Totals!$A$2:$O$255""),11,FALSE)"),0.32432432432432434)</f>
        <v>0.3243243243</v>
      </c>
      <c r="O240" s="110"/>
      <c r="P240" s="16" t="str">
        <f>IFERROR(__xludf.DUMMYFUNCTION("VLOOKUP(A240,IMPORTRANGE(""1QZ5UxyNCwadreQAXnQ7oCoH982DjIA-QnZdO7ZoqkC0/edit#gid=884617569"",""S4 Totals!$A$2:$O$255""),13,FALSE)"),"")</f>
        <v/>
      </c>
      <c r="Q240" s="15" t="str">
        <f>IFERROR(__xludf.DUMMYFUNCTION("VLOOKUP(A240,IMPORTRANGE(""1QZ5UxyNCwadreQAXnQ7oCoH982DjIA-QnZdO7ZoqkC0/edit#gid=884617569"",""S4 Totals!$A$2:$O$255""),14,FALSE)"),"")</f>
        <v/>
      </c>
      <c r="R240" s="110"/>
    </row>
    <row r="241">
      <c r="A241" s="128" t="s">
        <v>156</v>
      </c>
      <c r="B241" s="16">
        <f>IFERROR(__xludf.DUMMYFUNCTION("VLOOKUP(A241,IMPORTRANGE(""1aFCnJY1qhIj8-JckJhDJ18aqmVo17tofpQmOjcYa3u8/edit#gid=1878241338"",""S4 Totals!$A$2:$O$255""),2,FALSE)"),10.0)</f>
        <v>10</v>
      </c>
      <c r="C241" s="15">
        <f>IFERROR(__xludf.DUMMYFUNCTION("VLOOKUP(A241,IMPORTRANGE(""1aFCnJY1qhIj8-JckJhDJ18aqmVo17tofpQmOjcYa3u8/edit#gid=1878241338"",""S4 Totals!$A$2:$O$255""),3,FALSE)"),0.2)</f>
        <v>0.2</v>
      </c>
      <c r="D241" s="16">
        <f>IFERROR(__xludf.DUMMYFUNCTION("VLOOKUP(A241,IMPORTRANGE(""1QZ5UxyNCwadreQAXnQ7oCoH982DjIA-QnZdO7ZoqkC0/edit#gid=884617569"",""S4 Totals!$A$2:$O$255""),2,FALSE)"),7.0)</f>
        <v>7</v>
      </c>
      <c r="E241" s="15">
        <f>IFERROR(__xludf.DUMMYFUNCTION("VLOOKUP(A241,IMPORTRANGE(""1QZ5UxyNCwadreQAXnQ7oCoH982DjIA-QnZdO7ZoqkC0/edit#gid=884617569"",""S4 Totals!$A$2:$O$255""),3,FALSE)"),0.14893617021276595)</f>
        <v>0.1489361702</v>
      </c>
      <c r="F241" s="146">
        <f t="shared" si="1"/>
        <v>0.05106382979</v>
      </c>
      <c r="G241" s="16">
        <f>IFERROR(__xludf.DUMMYFUNCTION("VLOOKUP(A241,IMPORTRANGE(""1QZ5UxyNCwadreQAXnQ7oCoH982DjIA-QnZdO7ZoqkC0/edit#gid=884617569"",""S4 Totals!$A$2:$O$255""),4,FALSE)"),10.0)</f>
        <v>10</v>
      </c>
      <c r="H241" s="15">
        <f>IFERROR(__xludf.DUMMYFUNCTION("VLOOKUP(A241,IMPORTRANGE(""1QZ5UxyNCwadreQAXnQ7oCoH982DjIA-QnZdO7ZoqkC0/edit#gid=884617569"",""S4 Totals!$A$2:$O$255""),5,FALSE)"),0.15873015873015872)</f>
        <v>0.1587301587</v>
      </c>
      <c r="I241" s="149"/>
      <c r="J241" s="16">
        <f>IFERROR(__xludf.DUMMYFUNCTION("VLOOKUP(A241,IMPORTRANGE(""1QZ5UxyNCwadreQAXnQ7oCoH982DjIA-QnZdO7ZoqkC0/edit#gid=884617569"",""S4 Totals!$A$2:$O$255""),7,FALSE)"),4.0)</f>
        <v>4</v>
      </c>
      <c r="K241" s="15">
        <f>IFERROR(__xludf.DUMMYFUNCTION("VLOOKUP(A241,IMPORTRANGE(""1QZ5UxyNCwadreQAXnQ7oCoH982DjIA-QnZdO7ZoqkC0/edit#gid=884617569"",""S4 Totals!$A$2:$O$255""),8,FALSE)"),0.05714285714285714)</f>
        <v>0.05714285714</v>
      </c>
      <c r="L241" s="149"/>
      <c r="M241" s="16">
        <f>IFERROR(__xludf.DUMMYFUNCTION("VLOOKUP(A241,IMPORTRANGE(""1QZ5UxyNCwadreQAXnQ7oCoH982DjIA-QnZdO7ZoqkC0/edit#gid=884617569"",""S4 Totals!$A$2:$O$255""),10,FALSE)"),5.0)</f>
        <v>5</v>
      </c>
      <c r="N241" s="15">
        <f>IFERROR(__xludf.DUMMYFUNCTION("VLOOKUP(A241,IMPORTRANGE(""1QZ5UxyNCwadreQAXnQ7oCoH982DjIA-QnZdO7ZoqkC0/edit#gid=884617569"",""S4 Totals!$A$2:$O$255""),11,FALSE)"),0.06756756756756757)</f>
        <v>0.06756756757</v>
      </c>
      <c r="O241" s="149"/>
      <c r="P241" s="16" t="str">
        <f>IFERROR(__xludf.DUMMYFUNCTION("VLOOKUP(A241,IMPORTRANGE(""1QZ5UxyNCwadreQAXnQ7oCoH982DjIA-QnZdO7ZoqkC0/edit#gid=884617569"",""S4 Totals!$A$2:$O$255""),13,FALSE)"),"")</f>
        <v/>
      </c>
      <c r="Q241" s="15" t="str">
        <f>IFERROR(__xludf.DUMMYFUNCTION("VLOOKUP(A241,IMPORTRANGE(""1QZ5UxyNCwadreQAXnQ7oCoH982DjIA-QnZdO7ZoqkC0/edit#gid=884617569"",""S4 Totals!$A$2:$O$255""),14,FALSE)"),"")</f>
        <v/>
      </c>
      <c r="R241" s="149"/>
    </row>
    <row r="242">
      <c r="A242" s="128" t="s">
        <v>157</v>
      </c>
      <c r="B242" s="16">
        <f>IFERROR(__xludf.DUMMYFUNCTION("VLOOKUP(A242,IMPORTRANGE(""1aFCnJY1qhIj8-JckJhDJ18aqmVo17tofpQmOjcYa3u8/edit#gid=1878241338"",""S4 Totals!$A$2:$O$255""),2,FALSE)"),5.0)</f>
        <v>5</v>
      </c>
      <c r="C242" s="15">
        <f>IFERROR(__xludf.DUMMYFUNCTION("VLOOKUP(A242,IMPORTRANGE(""1aFCnJY1qhIj8-JckJhDJ18aqmVo17tofpQmOjcYa3u8/edit#gid=1878241338"",""S4 Totals!$A$2:$O$255""),3,FALSE)"),0.1)</f>
        <v>0.1</v>
      </c>
      <c r="D242" s="16">
        <f>IFERROR(__xludf.DUMMYFUNCTION("VLOOKUP(A242,IMPORTRANGE(""1QZ5UxyNCwadreQAXnQ7oCoH982DjIA-QnZdO7ZoqkC0/edit#gid=884617569"",""S4 Totals!$A$2:$O$255""),2,FALSE)"),8.0)</f>
        <v>8</v>
      </c>
      <c r="E242" s="15">
        <f>IFERROR(__xludf.DUMMYFUNCTION("VLOOKUP(A242,IMPORTRANGE(""1QZ5UxyNCwadreQAXnQ7oCoH982DjIA-QnZdO7ZoqkC0/edit#gid=884617569"",""S4 Totals!$A$2:$O$255""),3,FALSE)"),0.1702127659574468)</f>
        <v>0.170212766</v>
      </c>
      <c r="F242" s="146">
        <f t="shared" si="1"/>
        <v>-0.07021276596</v>
      </c>
      <c r="G242" s="16">
        <f>IFERROR(__xludf.DUMMYFUNCTION("VLOOKUP(A242,IMPORTRANGE(""1QZ5UxyNCwadreQAXnQ7oCoH982DjIA-QnZdO7ZoqkC0/edit#gid=884617569"",""S4 Totals!$A$2:$O$255""),4,FALSE)"),4.0)</f>
        <v>4</v>
      </c>
      <c r="H242" s="15">
        <f>IFERROR(__xludf.DUMMYFUNCTION("VLOOKUP(A242,IMPORTRANGE(""1QZ5UxyNCwadreQAXnQ7oCoH982DjIA-QnZdO7ZoqkC0/edit#gid=884617569"",""S4 Totals!$A$2:$O$255""),5,FALSE)"),0.06349206349206349)</f>
        <v>0.06349206349</v>
      </c>
      <c r="I242" s="112"/>
      <c r="J242" s="16">
        <f>IFERROR(__xludf.DUMMYFUNCTION("VLOOKUP(A242,IMPORTRANGE(""1QZ5UxyNCwadreQAXnQ7oCoH982DjIA-QnZdO7ZoqkC0/edit#gid=884617569"",""S4 Totals!$A$2:$O$255""),7,FALSE)"),1.0)</f>
        <v>1</v>
      </c>
      <c r="K242" s="15">
        <f>IFERROR(__xludf.DUMMYFUNCTION("VLOOKUP(A242,IMPORTRANGE(""1QZ5UxyNCwadreQAXnQ7oCoH982DjIA-QnZdO7ZoqkC0/edit#gid=884617569"",""S4 Totals!$A$2:$O$255""),8,FALSE)"),0.014285714285714285)</f>
        <v>0.01428571429</v>
      </c>
      <c r="L242" s="112"/>
      <c r="M242" s="16">
        <f>IFERROR(__xludf.DUMMYFUNCTION("VLOOKUP(A242,IMPORTRANGE(""1QZ5UxyNCwadreQAXnQ7oCoH982DjIA-QnZdO7ZoqkC0/edit#gid=884617569"",""S4 Totals!$A$2:$O$255""),10,FALSE)"),2.0)</f>
        <v>2</v>
      </c>
      <c r="N242" s="15">
        <f>IFERROR(__xludf.DUMMYFUNCTION("VLOOKUP(A242,IMPORTRANGE(""1QZ5UxyNCwadreQAXnQ7oCoH982DjIA-QnZdO7ZoqkC0/edit#gid=884617569"",""S4 Totals!$A$2:$O$255""),11,FALSE)"),0.02702702702702703)</f>
        <v>0.02702702703</v>
      </c>
      <c r="O242" s="112"/>
      <c r="P242" s="16" t="str">
        <f>IFERROR(__xludf.DUMMYFUNCTION("VLOOKUP(A242,IMPORTRANGE(""1QZ5UxyNCwadreQAXnQ7oCoH982DjIA-QnZdO7ZoqkC0/edit#gid=884617569"",""S4 Totals!$A$2:$O$255""),13,FALSE)"),"")</f>
        <v/>
      </c>
      <c r="Q242" s="15" t="str">
        <f>IFERROR(__xludf.DUMMYFUNCTION("VLOOKUP(A242,IMPORTRANGE(""1QZ5UxyNCwadreQAXnQ7oCoH982DjIA-QnZdO7ZoqkC0/edit#gid=884617569"",""S4 Totals!$A$2:$O$255""),14,FALSE)"),"")</f>
        <v/>
      </c>
      <c r="R242" s="112"/>
    </row>
    <row r="243">
      <c r="A243" s="128" t="s">
        <v>206</v>
      </c>
      <c r="B243" s="16">
        <f>IFERROR(__xludf.DUMMYFUNCTION("VLOOKUP(A243,IMPORTRANGE(""1aFCnJY1qhIj8-JckJhDJ18aqmVo17tofpQmOjcYa3u8/edit#gid=1878241338"",""S4 Totals!$A$2:$O$255""),2,FALSE)"),9.0)</f>
        <v>9</v>
      </c>
      <c r="C243" s="15">
        <f>IFERROR(__xludf.DUMMYFUNCTION("VLOOKUP(A243,IMPORTRANGE(""1aFCnJY1qhIj8-JckJhDJ18aqmVo17tofpQmOjcYa3u8/edit#gid=1878241338"",""S4 Totals!$A$2:$O$255""),3,FALSE)"),0.18)</f>
        <v>0.18</v>
      </c>
      <c r="D243" s="16">
        <f>IFERROR(__xludf.DUMMYFUNCTION("VLOOKUP(A243,IMPORTRANGE(""1QZ5UxyNCwadreQAXnQ7oCoH982DjIA-QnZdO7ZoqkC0/edit#gid=884617569"",""S4 Totals!$A$2:$O$255""),2,FALSE)"),8.0)</f>
        <v>8</v>
      </c>
      <c r="E243" s="15">
        <f>IFERROR(__xludf.DUMMYFUNCTION("VLOOKUP(A243,IMPORTRANGE(""1QZ5UxyNCwadreQAXnQ7oCoH982DjIA-QnZdO7ZoqkC0/edit#gid=884617569"",""S4 Totals!$A$2:$O$255""),3,FALSE)"),0.1702127659574468)</f>
        <v>0.170212766</v>
      </c>
      <c r="F243" s="146">
        <f t="shared" si="1"/>
        <v>0.009787234043</v>
      </c>
      <c r="G243" s="16">
        <f>IFERROR(__xludf.DUMMYFUNCTION("VLOOKUP(A243,IMPORTRANGE(""1QZ5UxyNCwadreQAXnQ7oCoH982DjIA-QnZdO7ZoqkC0/edit#gid=884617569"",""S4 Totals!$A$2:$O$255""),4,FALSE)"),16.0)</f>
        <v>16</v>
      </c>
      <c r="H243" s="15">
        <f>IFERROR(__xludf.DUMMYFUNCTION("VLOOKUP(A243,IMPORTRANGE(""1QZ5UxyNCwadreQAXnQ7oCoH982DjIA-QnZdO7ZoqkC0/edit#gid=884617569"",""S4 Totals!$A$2:$O$255""),5,FALSE)"),0.25396825396825395)</f>
        <v>0.253968254</v>
      </c>
      <c r="I243" s="112"/>
      <c r="J243" s="16">
        <f>IFERROR(__xludf.DUMMYFUNCTION("VLOOKUP(A243,IMPORTRANGE(""1QZ5UxyNCwadreQAXnQ7oCoH982DjIA-QnZdO7ZoqkC0/edit#gid=884617569"",""S4 Totals!$A$2:$O$255""),7,FALSE)"),9.0)</f>
        <v>9</v>
      </c>
      <c r="K243" s="15">
        <f>IFERROR(__xludf.DUMMYFUNCTION("VLOOKUP(A243,IMPORTRANGE(""1QZ5UxyNCwadreQAXnQ7oCoH982DjIA-QnZdO7ZoqkC0/edit#gid=884617569"",""S4 Totals!$A$2:$O$255""),8,FALSE)"),0.12857142857142856)</f>
        <v>0.1285714286</v>
      </c>
      <c r="L243" s="112"/>
      <c r="M243" s="16" t="str">
        <f>IFERROR(__xludf.DUMMYFUNCTION("VLOOKUP(A243,IMPORTRANGE(""1QZ5UxyNCwadreQAXnQ7oCoH982DjIA-QnZdO7ZoqkC0/edit#gid=884617569"",""S4 Totals!$A$2:$O$255""),10,FALSE)"),"")</f>
        <v/>
      </c>
      <c r="N243" s="15" t="str">
        <f>IFERROR(__xludf.DUMMYFUNCTION("VLOOKUP(A243,IMPORTRANGE(""1QZ5UxyNCwadreQAXnQ7oCoH982DjIA-QnZdO7ZoqkC0/edit#gid=884617569"",""S4 Totals!$A$2:$O$255""),11,FALSE)"),"")</f>
        <v/>
      </c>
      <c r="O243" s="112"/>
      <c r="P243" s="16" t="str">
        <f>IFERROR(__xludf.DUMMYFUNCTION("VLOOKUP(A243,IMPORTRANGE(""1QZ5UxyNCwadreQAXnQ7oCoH982DjIA-QnZdO7ZoqkC0/edit#gid=884617569"",""S4 Totals!$A$2:$O$255""),13,FALSE)"),"")</f>
        <v/>
      </c>
      <c r="Q243" s="15" t="str">
        <f>IFERROR(__xludf.DUMMYFUNCTION("VLOOKUP(A243,IMPORTRANGE(""1QZ5UxyNCwadreQAXnQ7oCoH982DjIA-QnZdO7ZoqkC0/edit#gid=884617569"",""S4 Totals!$A$2:$O$255""),14,FALSE)"),"")</f>
        <v/>
      </c>
      <c r="R243" s="112"/>
    </row>
    <row r="244">
      <c r="A244" s="128" t="s">
        <v>105</v>
      </c>
      <c r="B244" s="16">
        <f>IFERROR(__xludf.DUMMYFUNCTION("VLOOKUP(A244,IMPORTRANGE(""1aFCnJY1qhIj8-JckJhDJ18aqmVo17tofpQmOjcYa3u8/edit#gid=1878241338"",""S4 Totals!$A$2:$O$255""),2,FALSE)"),6.0)</f>
        <v>6</v>
      </c>
      <c r="C244" s="15">
        <f>IFERROR(__xludf.DUMMYFUNCTION("VLOOKUP(A244,IMPORTRANGE(""1aFCnJY1qhIj8-JckJhDJ18aqmVo17tofpQmOjcYa3u8/edit#gid=1878241338"",""S4 Totals!$A$2:$O$255""),3,FALSE)"),0.12)</f>
        <v>0.12</v>
      </c>
      <c r="D244" s="16">
        <f>IFERROR(__xludf.DUMMYFUNCTION("VLOOKUP(A244,IMPORTRANGE(""1QZ5UxyNCwadreQAXnQ7oCoH982DjIA-QnZdO7ZoqkC0/edit#gid=884617569"",""S4 Totals!$A$2:$O$255""),2,FALSE)"),10.0)</f>
        <v>10</v>
      </c>
      <c r="E244" s="15">
        <f>IFERROR(__xludf.DUMMYFUNCTION("VLOOKUP(A244,IMPORTRANGE(""1QZ5UxyNCwadreQAXnQ7oCoH982DjIA-QnZdO7ZoqkC0/edit#gid=884617569"",""S4 Totals!$A$2:$O$255""),3,FALSE)"),0.2127659574468085)</f>
        <v>0.2127659574</v>
      </c>
      <c r="F244" s="146">
        <f t="shared" si="1"/>
        <v>-0.09276595745</v>
      </c>
      <c r="G244" s="16">
        <f>IFERROR(__xludf.DUMMYFUNCTION("VLOOKUP(A244,IMPORTRANGE(""1QZ5UxyNCwadreQAXnQ7oCoH982DjIA-QnZdO7ZoqkC0/edit#gid=884617569"",""S4 Totals!$A$2:$O$255""),4,FALSE)"),11.0)</f>
        <v>11</v>
      </c>
      <c r="H244" s="15">
        <f>IFERROR(__xludf.DUMMYFUNCTION("VLOOKUP(A244,IMPORTRANGE(""1QZ5UxyNCwadreQAXnQ7oCoH982DjIA-QnZdO7ZoqkC0/edit#gid=884617569"",""S4 Totals!$A$2:$O$255""),5,FALSE)"),0.1746031746031746)</f>
        <v>0.1746031746</v>
      </c>
      <c r="I244" s="112"/>
      <c r="J244" s="16">
        <f>IFERROR(__xludf.DUMMYFUNCTION("VLOOKUP(A244,IMPORTRANGE(""1QZ5UxyNCwadreQAXnQ7oCoH982DjIA-QnZdO7ZoqkC0/edit#gid=884617569"",""S4 Totals!$A$2:$O$255""),7,FALSE)"),13.0)</f>
        <v>13</v>
      </c>
      <c r="K244" s="15">
        <f>IFERROR(__xludf.DUMMYFUNCTION("VLOOKUP(A244,IMPORTRANGE(""1QZ5UxyNCwadreQAXnQ7oCoH982DjIA-QnZdO7ZoqkC0/edit#gid=884617569"",""S4 Totals!$A$2:$O$255""),8,FALSE)"),0.18571428571428572)</f>
        <v>0.1857142857</v>
      </c>
      <c r="L244" s="112"/>
      <c r="M244" s="16">
        <f>IFERROR(__xludf.DUMMYFUNCTION("VLOOKUP(A244,IMPORTRANGE(""1QZ5UxyNCwadreQAXnQ7oCoH982DjIA-QnZdO7ZoqkC0/edit#gid=884617569"",""S4 Totals!$A$2:$O$255""),10,FALSE)"),14.0)</f>
        <v>14</v>
      </c>
      <c r="N244" s="15">
        <f>IFERROR(__xludf.DUMMYFUNCTION("VLOOKUP(A244,IMPORTRANGE(""1QZ5UxyNCwadreQAXnQ7oCoH982DjIA-QnZdO7ZoqkC0/edit#gid=884617569"",""S4 Totals!$A$2:$O$255""),11,FALSE)"),0.1891891891891892)</f>
        <v>0.1891891892</v>
      </c>
      <c r="O244" s="112"/>
      <c r="P244" s="16">
        <f>IFERROR(__xludf.DUMMYFUNCTION("VLOOKUP(A244,IMPORTRANGE(""1QZ5UxyNCwadreQAXnQ7oCoH982DjIA-QnZdO7ZoqkC0/edit#gid=884617569"",""S4 Totals!$A$2:$O$255""),13,FALSE)"),7.0)</f>
        <v>7</v>
      </c>
      <c r="Q244" s="15">
        <f>IFERROR(__xludf.DUMMYFUNCTION("VLOOKUP(A244,IMPORTRANGE(""1QZ5UxyNCwadreQAXnQ7oCoH982DjIA-QnZdO7ZoqkC0/edit#gid=884617569"",""S4 Totals!$A$2:$O$255""),14,FALSE)"),0.09333333333333334)</f>
        <v>0.09333333333</v>
      </c>
      <c r="R244" s="112"/>
    </row>
    <row r="245">
      <c r="A245" s="128" t="s">
        <v>56</v>
      </c>
      <c r="B245" s="16">
        <f>IFERROR(__xludf.DUMMYFUNCTION("VLOOKUP(A245,IMPORTRANGE(""1aFCnJY1qhIj8-JckJhDJ18aqmVo17tofpQmOjcYa3u8/edit#gid=1878241338"",""S4 Totals!$A$2:$O$255""),2,FALSE)"),16.0)</f>
        <v>16</v>
      </c>
      <c r="C245" s="15">
        <f>IFERROR(__xludf.DUMMYFUNCTION("VLOOKUP(A245,IMPORTRANGE(""1aFCnJY1qhIj8-JckJhDJ18aqmVo17tofpQmOjcYa3u8/edit#gid=1878241338"",""S4 Totals!$A$2:$O$255""),3,FALSE)"),0.32)</f>
        <v>0.32</v>
      </c>
      <c r="D245" s="16">
        <f>IFERROR(__xludf.DUMMYFUNCTION("VLOOKUP(A245,IMPORTRANGE(""1QZ5UxyNCwadreQAXnQ7oCoH982DjIA-QnZdO7ZoqkC0/edit#gid=884617569"",""S4 Totals!$A$2:$O$255""),2,FALSE)"),15.0)</f>
        <v>15</v>
      </c>
      <c r="E245" s="15">
        <f>IFERROR(__xludf.DUMMYFUNCTION("VLOOKUP(A245,IMPORTRANGE(""1QZ5UxyNCwadreQAXnQ7oCoH982DjIA-QnZdO7ZoqkC0/edit#gid=884617569"",""S4 Totals!$A$2:$O$255""),3,FALSE)"),0.3191489361702128)</f>
        <v>0.3191489362</v>
      </c>
      <c r="F245" s="146">
        <f t="shared" si="1"/>
        <v>0.0008510638298</v>
      </c>
      <c r="G245" s="16">
        <f>IFERROR(__xludf.DUMMYFUNCTION("VLOOKUP(A245,IMPORTRANGE(""1QZ5UxyNCwadreQAXnQ7oCoH982DjIA-QnZdO7ZoqkC0/edit#gid=884617569"",""S4 Totals!$A$2:$O$255""),4,FALSE)"),16.0)</f>
        <v>16</v>
      </c>
      <c r="H245" s="15">
        <f>IFERROR(__xludf.DUMMYFUNCTION("VLOOKUP(A245,IMPORTRANGE(""1QZ5UxyNCwadreQAXnQ7oCoH982DjIA-QnZdO7ZoqkC0/edit#gid=884617569"",""S4 Totals!$A$2:$O$255""),5,FALSE)"),0.25396825396825395)</f>
        <v>0.253968254</v>
      </c>
      <c r="I245" s="108"/>
      <c r="J245" s="16">
        <f>IFERROR(__xludf.DUMMYFUNCTION("VLOOKUP(A245,IMPORTRANGE(""1QZ5UxyNCwadreQAXnQ7oCoH982DjIA-QnZdO7ZoqkC0/edit#gid=884617569"",""S4 Totals!$A$2:$O$255""),7,FALSE)"),15.0)</f>
        <v>15</v>
      </c>
      <c r="K245" s="15">
        <f>IFERROR(__xludf.DUMMYFUNCTION("VLOOKUP(A245,IMPORTRANGE(""1QZ5UxyNCwadreQAXnQ7oCoH982DjIA-QnZdO7ZoqkC0/edit#gid=884617569"",""S4 Totals!$A$2:$O$255""),8,FALSE)"),0.21428571428571427)</f>
        <v>0.2142857143</v>
      </c>
      <c r="L245" s="112"/>
      <c r="M245" s="16">
        <f>IFERROR(__xludf.DUMMYFUNCTION("VLOOKUP(A245,IMPORTRANGE(""1QZ5UxyNCwadreQAXnQ7oCoH982DjIA-QnZdO7ZoqkC0/edit#gid=884617569"",""S4 Totals!$A$2:$O$255""),10,FALSE)"),18.0)</f>
        <v>18</v>
      </c>
      <c r="N245" s="15">
        <f>IFERROR(__xludf.DUMMYFUNCTION("VLOOKUP(A245,IMPORTRANGE(""1QZ5UxyNCwadreQAXnQ7oCoH982DjIA-QnZdO7ZoqkC0/edit#gid=884617569"",""S4 Totals!$A$2:$O$255""),11,FALSE)"),0.24324324324324326)</f>
        <v>0.2432432432</v>
      </c>
      <c r="O245" s="112"/>
      <c r="P245" s="16">
        <f>IFERROR(__xludf.DUMMYFUNCTION("VLOOKUP(A245,IMPORTRANGE(""1QZ5UxyNCwadreQAXnQ7oCoH982DjIA-QnZdO7ZoqkC0/edit#gid=884617569"",""S4 Totals!$A$2:$O$255""),13,FALSE)"),16.0)</f>
        <v>16</v>
      </c>
      <c r="Q245" s="15">
        <f>IFERROR(__xludf.DUMMYFUNCTION("VLOOKUP(A245,IMPORTRANGE(""1QZ5UxyNCwadreQAXnQ7oCoH982DjIA-QnZdO7ZoqkC0/edit#gid=884617569"",""S4 Totals!$A$2:$O$255""),14,FALSE)"),0.21333333333333335)</f>
        <v>0.2133333333</v>
      </c>
      <c r="R245" s="112"/>
    </row>
    <row r="246">
      <c r="A246" s="128" t="s">
        <v>258</v>
      </c>
      <c r="B246" s="16">
        <f>IFERROR(__xludf.DUMMYFUNCTION("VLOOKUP(A246,IMPORTRANGE(""1aFCnJY1qhIj8-JckJhDJ18aqmVo17tofpQmOjcYa3u8/edit#gid=1878241338"",""S4 Totals!$A$2:$O$255""),2,FALSE)"),8.0)</f>
        <v>8</v>
      </c>
      <c r="C246" s="15">
        <f>IFERROR(__xludf.DUMMYFUNCTION("VLOOKUP(A246,IMPORTRANGE(""1aFCnJY1qhIj8-JckJhDJ18aqmVo17tofpQmOjcYa3u8/edit#gid=1878241338"",""S4 Totals!$A$2:$O$255""),3,FALSE)"),0.16)</f>
        <v>0.16</v>
      </c>
      <c r="D246" s="16">
        <f>IFERROR(__xludf.DUMMYFUNCTION("VLOOKUP(A246,IMPORTRANGE(""1QZ5UxyNCwadreQAXnQ7oCoH982DjIA-QnZdO7ZoqkC0/edit#gid=884617569"",""S4 Totals!$A$2:$O$255""),2,FALSE)"),10.0)</f>
        <v>10</v>
      </c>
      <c r="E246" s="15">
        <f>IFERROR(__xludf.DUMMYFUNCTION("VLOOKUP(A246,IMPORTRANGE(""1QZ5UxyNCwadreQAXnQ7oCoH982DjIA-QnZdO7ZoqkC0/edit#gid=884617569"",""S4 Totals!$A$2:$O$255""),3,FALSE)"),0.2127659574468085)</f>
        <v>0.2127659574</v>
      </c>
      <c r="F246" s="146">
        <f t="shared" si="1"/>
        <v>-0.05276595745</v>
      </c>
      <c r="G246" s="16">
        <f>IFERROR(__xludf.DUMMYFUNCTION("VLOOKUP(A246,IMPORTRANGE(""1QZ5UxyNCwadreQAXnQ7oCoH982DjIA-QnZdO7ZoqkC0/edit#gid=884617569"",""S4 Totals!$A$2:$O$255""),4,FALSE)"),7.0)</f>
        <v>7</v>
      </c>
      <c r="H246" s="15">
        <f>IFERROR(__xludf.DUMMYFUNCTION("VLOOKUP(A246,IMPORTRANGE(""1QZ5UxyNCwadreQAXnQ7oCoH982DjIA-QnZdO7ZoqkC0/edit#gid=884617569"",""S4 Totals!$A$2:$O$255""),5,FALSE)"),0.1111111111111111)</f>
        <v>0.1111111111</v>
      </c>
      <c r="I246" s="108"/>
      <c r="J246" s="16" t="str">
        <f>IFERROR(__xludf.DUMMYFUNCTION("VLOOKUP(A246,IMPORTRANGE(""1QZ5UxyNCwadreQAXnQ7oCoH982DjIA-QnZdO7ZoqkC0/edit#gid=884617569"",""S4 Totals!$A$2:$O$255""),7,FALSE)"),"")</f>
        <v/>
      </c>
      <c r="K246" s="15" t="str">
        <f>IFERROR(__xludf.DUMMYFUNCTION("VLOOKUP(A246,IMPORTRANGE(""1QZ5UxyNCwadreQAXnQ7oCoH982DjIA-QnZdO7ZoqkC0/edit#gid=884617569"",""S4 Totals!$A$2:$O$255""),8,FALSE)"),"")</f>
        <v/>
      </c>
      <c r="L246" s="112"/>
      <c r="M246" s="16" t="str">
        <f>IFERROR(__xludf.DUMMYFUNCTION("VLOOKUP(A246,IMPORTRANGE(""1QZ5UxyNCwadreQAXnQ7oCoH982DjIA-QnZdO7ZoqkC0/edit#gid=884617569"",""S4 Totals!$A$2:$O$255""),10,FALSE)"),"")</f>
        <v/>
      </c>
      <c r="N246" s="15" t="str">
        <f>IFERROR(__xludf.DUMMYFUNCTION("VLOOKUP(A246,IMPORTRANGE(""1QZ5UxyNCwadreQAXnQ7oCoH982DjIA-QnZdO7ZoqkC0/edit#gid=884617569"",""S4 Totals!$A$2:$O$255""),11,FALSE)"),"")</f>
        <v/>
      </c>
      <c r="O246" s="112"/>
      <c r="P246" s="16" t="str">
        <f>IFERROR(__xludf.DUMMYFUNCTION("VLOOKUP(A246,IMPORTRANGE(""1QZ5UxyNCwadreQAXnQ7oCoH982DjIA-QnZdO7ZoqkC0/edit#gid=884617569"",""S4 Totals!$A$2:$O$255""),13,FALSE)"),"")</f>
        <v/>
      </c>
      <c r="Q246" s="15" t="str">
        <f>IFERROR(__xludf.DUMMYFUNCTION("VLOOKUP(A246,IMPORTRANGE(""1QZ5UxyNCwadreQAXnQ7oCoH982DjIA-QnZdO7ZoqkC0/edit#gid=884617569"",""S4 Totals!$A$2:$O$255""),14,FALSE)"),"")</f>
        <v/>
      </c>
      <c r="R246" s="112"/>
    </row>
    <row r="247">
      <c r="A247" s="128" t="s">
        <v>107</v>
      </c>
      <c r="B247" s="16">
        <f>IFERROR(__xludf.DUMMYFUNCTION("VLOOKUP(A247,IMPORTRANGE(""1aFCnJY1qhIj8-JckJhDJ18aqmVo17tofpQmOjcYa3u8/edit#gid=1878241338"",""S4 Totals!$A$2:$O$255""),2,FALSE)"),14.0)</f>
        <v>14</v>
      </c>
      <c r="C247" s="15">
        <f>IFERROR(__xludf.DUMMYFUNCTION("VLOOKUP(A247,IMPORTRANGE(""1aFCnJY1qhIj8-JckJhDJ18aqmVo17tofpQmOjcYa3u8/edit#gid=1878241338"",""S4 Totals!$A$2:$O$255""),3,FALSE)"),0.28)</f>
        <v>0.28</v>
      </c>
      <c r="D247" s="16">
        <f>IFERROR(__xludf.DUMMYFUNCTION("VLOOKUP(A247,IMPORTRANGE(""1QZ5UxyNCwadreQAXnQ7oCoH982DjIA-QnZdO7ZoqkC0/edit#gid=884617569"",""S4 Totals!$A$2:$O$255""),2,FALSE)"),5.0)</f>
        <v>5</v>
      </c>
      <c r="E247" s="15">
        <f>IFERROR(__xludf.DUMMYFUNCTION("VLOOKUP(A247,IMPORTRANGE(""1QZ5UxyNCwadreQAXnQ7oCoH982DjIA-QnZdO7ZoqkC0/edit#gid=884617569"",""S4 Totals!$A$2:$O$255""),3,FALSE)"),0.10638297872340426)</f>
        <v>0.1063829787</v>
      </c>
      <c r="F247" s="146">
        <f t="shared" si="1"/>
        <v>0.1736170213</v>
      </c>
      <c r="G247" s="16">
        <f>IFERROR(__xludf.DUMMYFUNCTION("VLOOKUP(A247,IMPORTRANGE(""1QZ5UxyNCwadreQAXnQ7oCoH982DjIA-QnZdO7ZoqkC0/edit#gid=884617569"",""S4 Totals!$A$2:$O$255""),4,FALSE)"),17.0)</f>
        <v>17</v>
      </c>
      <c r="H247" s="15">
        <f>IFERROR(__xludf.DUMMYFUNCTION("VLOOKUP(A247,IMPORTRANGE(""1QZ5UxyNCwadreQAXnQ7oCoH982DjIA-QnZdO7ZoqkC0/edit#gid=884617569"",""S4 Totals!$A$2:$O$255""),5,FALSE)"),0.2698412698412698)</f>
        <v>0.2698412698</v>
      </c>
      <c r="I247" s="112"/>
      <c r="J247" s="16">
        <f>IFERROR(__xludf.DUMMYFUNCTION("VLOOKUP(A247,IMPORTRANGE(""1QZ5UxyNCwadreQAXnQ7oCoH982DjIA-QnZdO7ZoqkC0/edit#gid=884617569"",""S4 Totals!$A$2:$O$255""),7,FALSE)"),23.0)</f>
        <v>23</v>
      </c>
      <c r="K247" s="15">
        <f>IFERROR(__xludf.DUMMYFUNCTION("VLOOKUP(A247,IMPORTRANGE(""1QZ5UxyNCwadreQAXnQ7oCoH982DjIA-QnZdO7ZoqkC0/edit#gid=884617569"",""S4 Totals!$A$2:$O$255""),8,FALSE)"),0.32857142857142857)</f>
        <v>0.3285714286</v>
      </c>
      <c r="L247" s="112"/>
      <c r="M247" s="16">
        <f>IFERROR(__xludf.DUMMYFUNCTION("VLOOKUP(A247,IMPORTRANGE(""1QZ5UxyNCwadreQAXnQ7oCoH982DjIA-QnZdO7ZoqkC0/edit#gid=884617569"",""S4 Totals!$A$2:$O$255""),10,FALSE)"),24.0)</f>
        <v>24</v>
      </c>
      <c r="N247" s="15">
        <f>IFERROR(__xludf.DUMMYFUNCTION("VLOOKUP(A247,IMPORTRANGE(""1QZ5UxyNCwadreQAXnQ7oCoH982DjIA-QnZdO7ZoqkC0/edit#gid=884617569"",""S4 Totals!$A$2:$O$255""),11,FALSE)"),0.32432432432432434)</f>
        <v>0.3243243243</v>
      </c>
      <c r="O247" s="112"/>
      <c r="P247" s="16">
        <f>IFERROR(__xludf.DUMMYFUNCTION("VLOOKUP(A247,IMPORTRANGE(""1QZ5UxyNCwadreQAXnQ7oCoH982DjIA-QnZdO7ZoqkC0/edit#gid=884617569"",""S4 Totals!$A$2:$O$255""),13,FALSE)"),17.0)</f>
        <v>17</v>
      </c>
      <c r="Q247" s="15">
        <f>IFERROR(__xludf.DUMMYFUNCTION("VLOOKUP(A247,IMPORTRANGE(""1QZ5UxyNCwadreQAXnQ7oCoH982DjIA-QnZdO7ZoqkC0/edit#gid=884617569"",""S4 Totals!$A$2:$O$255""),14,FALSE)"),0.22666666666666666)</f>
        <v>0.2266666667</v>
      </c>
      <c r="R247" s="112"/>
    </row>
    <row r="248">
      <c r="A248" s="128" t="s">
        <v>158</v>
      </c>
      <c r="B248" s="16">
        <f>IFERROR(__xludf.DUMMYFUNCTION("VLOOKUP(A248,IMPORTRANGE(""1aFCnJY1qhIj8-JckJhDJ18aqmVo17tofpQmOjcYa3u8/edit#gid=1878241338"",""S4 Totals!$A$2:$O$255""),2,FALSE)"),0.0)</f>
        <v>0</v>
      </c>
      <c r="C248" s="15">
        <f>IFERROR(__xludf.DUMMYFUNCTION("VLOOKUP(A248,IMPORTRANGE(""1aFCnJY1qhIj8-JckJhDJ18aqmVo17tofpQmOjcYa3u8/edit#gid=1878241338"",""S4 Totals!$A$2:$O$255""),3,FALSE)"),0.0)</f>
        <v>0</v>
      </c>
      <c r="D248" s="16">
        <f>IFERROR(__xludf.DUMMYFUNCTION("VLOOKUP(A248,IMPORTRANGE(""1QZ5UxyNCwadreQAXnQ7oCoH982DjIA-QnZdO7ZoqkC0/edit#gid=884617569"",""S4 Totals!$A$2:$O$255""),2,FALSE)"),0.0)</f>
        <v>0</v>
      </c>
      <c r="E248" s="15">
        <f>IFERROR(__xludf.DUMMYFUNCTION("VLOOKUP(A248,IMPORTRANGE(""1QZ5UxyNCwadreQAXnQ7oCoH982DjIA-QnZdO7ZoqkC0/edit#gid=884617569"",""S4 Totals!$A$2:$O$255""),3,FALSE)"),0.0)</f>
        <v>0</v>
      </c>
      <c r="F248" s="146">
        <f t="shared" si="1"/>
        <v>0</v>
      </c>
      <c r="G248" s="16">
        <f>IFERROR(__xludf.DUMMYFUNCTION("VLOOKUP(A248,IMPORTRANGE(""1QZ5UxyNCwadreQAXnQ7oCoH982DjIA-QnZdO7ZoqkC0/edit#gid=884617569"",""S4 Totals!$A$2:$O$255""),4,FALSE)"),0.0)</f>
        <v>0</v>
      </c>
      <c r="H248" s="15">
        <f>IFERROR(__xludf.DUMMYFUNCTION("VLOOKUP(A248,IMPORTRANGE(""1QZ5UxyNCwadreQAXnQ7oCoH982DjIA-QnZdO7ZoqkC0/edit#gid=884617569"",""S4 Totals!$A$2:$O$255""),5,FALSE)"),0.0)</f>
        <v>0</v>
      </c>
      <c r="I248" s="112"/>
      <c r="J248" s="16">
        <f>IFERROR(__xludf.DUMMYFUNCTION("VLOOKUP(A248,IMPORTRANGE(""1QZ5UxyNCwadreQAXnQ7oCoH982DjIA-QnZdO7ZoqkC0/edit#gid=884617569"",""S4 Totals!$A$2:$O$255""),7,FALSE)"),0.0)</f>
        <v>0</v>
      </c>
      <c r="K248" s="15">
        <f>IFERROR(__xludf.DUMMYFUNCTION("VLOOKUP(A248,IMPORTRANGE(""1QZ5UxyNCwadreQAXnQ7oCoH982DjIA-QnZdO7ZoqkC0/edit#gid=884617569"",""S4 Totals!$A$2:$O$255""),8,FALSE)"),0.0)</f>
        <v>0</v>
      </c>
      <c r="L248" s="112"/>
      <c r="M248" s="16">
        <f>IFERROR(__xludf.DUMMYFUNCTION("VLOOKUP(A248,IMPORTRANGE(""1QZ5UxyNCwadreQAXnQ7oCoH982DjIA-QnZdO7ZoqkC0/edit#gid=884617569"",""S4 Totals!$A$2:$O$255""),10,FALSE)"),0.0)</f>
        <v>0</v>
      </c>
      <c r="N248" s="15">
        <f>IFERROR(__xludf.DUMMYFUNCTION("VLOOKUP(A248,IMPORTRANGE(""1QZ5UxyNCwadreQAXnQ7oCoH982DjIA-QnZdO7ZoqkC0/edit#gid=884617569"",""S4 Totals!$A$2:$O$255""),11,FALSE)"),0.0)</f>
        <v>0</v>
      </c>
      <c r="O248" s="112"/>
      <c r="P248" s="16" t="str">
        <f>IFERROR(__xludf.DUMMYFUNCTION("VLOOKUP(A248,IMPORTRANGE(""1QZ5UxyNCwadreQAXnQ7oCoH982DjIA-QnZdO7ZoqkC0/edit#gid=884617569"",""S4 Totals!$A$2:$O$255""),13,FALSE)"),"")</f>
        <v/>
      </c>
      <c r="Q248" s="15" t="str">
        <f>IFERROR(__xludf.DUMMYFUNCTION("VLOOKUP(A248,IMPORTRANGE(""1QZ5UxyNCwadreQAXnQ7oCoH982DjIA-QnZdO7ZoqkC0/edit#gid=884617569"",""S4 Totals!$A$2:$O$255""),14,FALSE)"),"")</f>
        <v/>
      </c>
      <c r="R248" s="112"/>
    </row>
    <row r="249">
      <c r="A249" s="128" t="s">
        <v>108</v>
      </c>
      <c r="B249" s="16">
        <f>IFERROR(__xludf.DUMMYFUNCTION("VLOOKUP(A249,IMPORTRANGE(""1aFCnJY1qhIj8-JckJhDJ18aqmVo17tofpQmOjcYa3u8/edit#gid=1878241338"",""S4 Totals!$A$2:$O$255""),2,FALSE)"),13.0)</f>
        <v>13</v>
      </c>
      <c r="C249" s="15">
        <f>IFERROR(__xludf.DUMMYFUNCTION("VLOOKUP(A249,IMPORTRANGE(""1aFCnJY1qhIj8-JckJhDJ18aqmVo17tofpQmOjcYa3u8/edit#gid=1878241338"",""S4 Totals!$A$2:$O$255""),3,FALSE)"),0.26)</f>
        <v>0.26</v>
      </c>
      <c r="D249" s="16">
        <f>IFERROR(__xludf.DUMMYFUNCTION("VLOOKUP(A249,IMPORTRANGE(""1QZ5UxyNCwadreQAXnQ7oCoH982DjIA-QnZdO7ZoqkC0/edit#gid=884617569"",""S4 Totals!$A$2:$O$255""),2,FALSE)"),13.0)</f>
        <v>13</v>
      </c>
      <c r="E249" s="15">
        <f>IFERROR(__xludf.DUMMYFUNCTION("VLOOKUP(A249,IMPORTRANGE(""1QZ5UxyNCwadreQAXnQ7oCoH982DjIA-QnZdO7ZoqkC0/edit#gid=884617569"",""S4 Totals!$A$2:$O$255""),3,FALSE)"),0.2765957446808511)</f>
        <v>0.2765957447</v>
      </c>
      <c r="F249" s="146">
        <f t="shared" si="1"/>
        <v>-0.01659574468</v>
      </c>
      <c r="G249" s="16">
        <f>IFERROR(__xludf.DUMMYFUNCTION("VLOOKUP(A249,IMPORTRANGE(""1QZ5UxyNCwadreQAXnQ7oCoH982DjIA-QnZdO7ZoqkC0/edit#gid=884617569"",""S4 Totals!$A$2:$O$255""),4,FALSE)"),14.0)</f>
        <v>14</v>
      </c>
      <c r="H249" s="15">
        <f>IFERROR(__xludf.DUMMYFUNCTION("VLOOKUP(A249,IMPORTRANGE(""1QZ5UxyNCwadreQAXnQ7oCoH982DjIA-QnZdO7ZoqkC0/edit#gid=884617569"",""S4 Totals!$A$2:$O$255""),5,FALSE)"),0.2222222222222222)</f>
        <v>0.2222222222</v>
      </c>
      <c r="I249" s="112"/>
      <c r="J249" s="16">
        <f>IFERROR(__xludf.DUMMYFUNCTION("VLOOKUP(A249,IMPORTRANGE(""1QZ5UxyNCwadreQAXnQ7oCoH982DjIA-QnZdO7ZoqkC0/edit#gid=884617569"",""S4 Totals!$A$2:$O$255""),7,FALSE)"),8.0)</f>
        <v>8</v>
      </c>
      <c r="K249" s="15">
        <f>IFERROR(__xludf.DUMMYFUNCTION("VLOOKUP(A249,IMPORTRANGE(""1QZ5UxyNCwadreQAXnQ7oCoH982DjIA-QnZdO7ZoqkC0/edit#gid=884617569"",""S4 Totals!$A$2:$O$255""),8,FALSE)"),0.11428571428571428)</f>
        <v>0.1142857143</v>
      </c>
      <c r="L249" s="112"/>
      <c r="M249" s="16">
        <f>IFERROR(__xludf.DUMMYFUNCTION("VLOOKUP(A249,IMPORTRANGE(""1QZ5UxyNCwadreQAXnQ7oCoH982DjIA-QnZdO7ZoqkC0/edit#gid=884617569"",""S4 Totals!$A$2:$O$255""),10,FALSE)"),16.0)</f>
        <v>16</v>
      </c>
      <c r="N249" s="15">
        <f>IFERROR(__xludf.DUMMYFUNCTION("VLOOKUP(A249,IMPORTRANGE(""1QZ5UxyNCwadreQAXnQ7oCoH982DjIA-QnZdO7ZoqkC0/edit#gid=884617569"",""S4 Totals!$A$2:$O$255""),11,FALSE)"),0.21621621621621623)</f>
        <v>0.2162162162</v>
      </c>
      <c r="O249" s="112"/>
      <c r="P249" s="16">
        <f>IFERROR(__xludf.DUMMYFUNCTION("VLOOKUP(A249,IMPORTRANGE(""1QZ5UxyNCwadreQAXnQ7oCoH982DjIA-QnZdO7ZoqkC0/edit#gid=884617569"",""S4 Totals!$A$2:$O$255""),13,FALSE)"),9.0)</f>
        <v>9</v>
      </c>
      <c r="Q249" s="15">
        <f>IFERROR(__xludf.DUMMYFUNCTION("VLOOKUP(A249,IMPORTRANGE(""1QZ5UxyNCwadreQAXnQ7oCoH982DjIA-QnZdO7ZoqkC0/edit#gid=884617569"",""S4 Totals!$A$2:$O$255""),14,FALSE)"),0.12)</f>
        <v>0.12</v>
      </c>
      <c r="R249" s="112"/>
    </row>
    <row r="250">
      <c r="A250" s="128" t="s">
        <v>109</v>
      </c>
      <c r="B250" s="16">
        <f>IFERROR(__xludf.DUMMYFUNCTION("VLOOKUP(A250,IMPORTRANGE(""1aFCnJY1qhIj8-JckJhDJ18aqmVo17tofpQmOjcYa3u8/edit#gid=1878241338"",""S4 Totals!$A$2:$O$255""),2,FALSE)"),22.0)</f>
        <v>22</v>
      </c>
      <c r="C250" s="15">
        <f>IFERROR(__xludf.DUMMYFUNCTION("VLOOKUP(A250,IMPORTRANGE(""1aFCnJY1qhIj8-JckJhDJ18aqmVo17tofpQmOjcYa3u8/edit#gid=1878241338"",""S4 Totals!$A$2:$O$255""),3,FALSE)"),0.44)</f>
        <v>0.44</v>
      </c>
      <c r="D250" s="16">
        <f>IFERROR(__xludf.DUMMYFUNCTION("VLOOKUP(A250,IMPORTRANGE(""1QZ5UxyNCwadreQAXnQ7oCoH982DjIA-QnZdO7ZoqkC0/edit#gid=884617569"",""S4 Totals!$A$2:$O$255""),2,FALSE)"),16.0)</f>
        <v>16</v>
      </c>
      <c r="E250" s="15">
        <f>IFERROR(__xludf.DUMMYFUNCTION("VLOOKUP(A250,IMPORTRANGE(""1QZ5UxyNCwadreQAXnQ7oCoH982DjIA-QnZdO7ZoqkC0/edit#gid=884617569"",""S4 Totals!$A$2:$O$255""),3,FALSE)"),0.3404255319148936)</f>
        <v>0.3404255319</v>
      </c>
      <c r="F250" s="146">
        <f t="shared" si="1"/>
        <v>0.09957446809</v>
      </c>
      <c r="G250" s="16">
        <f>IFERROR(__xludf.DUMMYFUNCTION("VLOOKUP(A250,IMPORTRANGE(""1QZ5UxyNCwadreQAXnQ7oCoH982DjIA-QnZdO7ZoqkC0/edit#gid=884617569"",""S4 Totals!$A$2:$O$255""),4,FALSE)"),25.0)</f>
        <v>25</v>
      </c>
      <c r="H250" s="15">
        <f>IFERROR(__xludf.DUMMYFUNCTION("VLOOKUP(A250,IMPORTRANGE(""1QZ5UxyNCwadreQAXnQ7oCoH982DjIA-QnZdO7ZoqkC0/edit#gid=884617569"",""S4 Totals!$A$2:$O$255""),5,FALSE)"),0.3968253968253968)</f>
        <v>0.3968253968</v>
      </c>
      <c r="I250" s="112"/>
      <c r="J250" s="16">
        <f>IFERROR(__xludf.DUMMYFUNCTION("VLOOKUP(A250,IMPORTRANGE(""1QZ5UxyNCwadreQAXnQ7oCoH982DjIA-QnZdO7ZoqkC0/edit#gid=884617569"",""S4 Totals!$A$2:$O$255""),7,FALSE)"),29.0)</f>
        <v>29</v>
      </c>
      <c r="K250" s="15">
        <f>IFERROR(__xludf.DUMMYFUNCTION("VLOOKUP(A250,IMPORTRANGE(""1QZ5UxyNCwadreQAXnQ7oCoH982DjIA-QnZdO7ZoqkC0/edit#gid=884617569"",""S4 Totals!$A$2:$O$255""),8,FALSE)"),0.4142857142857143)</f>
        <v>0.4142857143</v>
      </c>
      <c r="L250" s="112"/>
      <c r="M250" s="16">
        <f>IFERROR(__xludf.DUMMYFUNCTION("VLOOKUP(A250,IMPORTRANGE(""1QZ5UxyNCwadreQAXnQ7oCoH982DjIA-QnZdO7ZoqkC0/edit#gid=884617569"",""S4 Totals!$A$2:$O$255""),10,FALSE)"),28.0)</f>
        <v>28</v>
      </c>
      <c r="N250" s="15">
        <f>IFERROR(__xludf.DUMMYFUNCTION("VLOOKUP(A250,IMPORTRANGE(""1QZ5UxyNCwadreQAXnQ7oCoH982DjIA-QnZdO7ZoqkC0/edit#gid=884617569"",""S4 Totals!$A$2:$O$255""),11,FALSE)"),0.3783783783783784)</f>
        <v>0.3783783784</v>
      </c>
      <c r="O250" s="112"/>
      <c r="P250" s="16">
        <f>IFERROR(__xludf.DUMMYFUNCTION("VLOOKUP(A250,IMPORTRANGE(""1QZ5UxyNCwadreQAXnQ7oCoH982DjIA-QnZdO7ZoqkC0/edit#gid=884617569"",""S4 Totals!$A$2:$O$255""),13,FALSE)"),23.0)</f>
        <v>23</v>
      </c>
      <c r="Q250" s="15">
        <f>IFERROR(__xludf.DUMMYFUNCTION("VLOOKUP(A250,IMPORTRANGE(""1QZ5UxyNCwadreQAXnQ7oCoH982DjIA-QnZdO7ZoqkC0/edit#gid=884617569"",""S4 Totals!$A$2:$O$255""),14,FALSE)"),0.30666666666666664)</f>
        <v>0.3066666667</v>
      </c>
      <c r="R250" s="112"/>
    </row>
    <row r="251">
      <c r="A251" s="128" t="s">
        <v>259</v>
      </c>
      <c r="B251" s="16">
        <f>IFERROR(__xludf.DUMMYFUNCTION("VLOOKUP(A251,IMPORTRANGE(""1aFCnJY1qhIj8-JckJhDJ18aqmVo17tofpQmOjcYa3u8/edit#gid=1878241338"",""S4 Totals!$A$2:$O$255""),2,FALSE)"),26.0)</f>
        <v>26</v>
      </c>
      <c r="C251" s="15">
        <f>IFERROR(__xludf.DUMMYFUNCTION("VLOOKUP(A251,IMPORTRANGE(""1aFCnJY1qhIj8-JckJhDJ18aqmVo17tofpQmOjcYa3u8/edit#gid=1878241338"",""S4 Totals!$A$2:$O$255""),3,FALSE)"),0.52)</f>
        <v>0.52</v>
      </c>
      <c r="D251" s="16">
        <f>IFERROR(__xludf.DUMMYFUNCTION("VLOOKUP(A251,IMPORTRANGE(""1QZ5UxyNCwadreQAXnQ7oCoH982DjIA-QnZdO7ZoqkC0/edit#gid=884617569"",""S4 Totals!$A$2:$O$255""),2,FALSE)"),14.0)</f>
        <v>14</v>
      </c>
      <c r="E251" s="15">
        <f>IFERROR(__xludf.DUMMYFUNCTION("VLOOKUP(A251,IMPORTRANGE(""1QZ5UxyNCwadreQAXnQ7oCoH982DjIA-QnZdO7ZoqkC0/edit#gid=884617569"",""S4 Totals!$A$2:$O$255""),3,FALSE)"),0.2978723404255319)</f>
        <v>0.2978723404</v>
      </c>
      <c r="F251" s="146">
        <f t="shared" si="1"/>
        <v>0.2221276596</v>
      </c>
      <c r="G251" s="16">
        <f>IFERROR(__xludf.DUMMYFUNCTION("VLOOKUP(A251,IMPORTRANGE(""1QZ5UxyNCwadreQAXnQ7oCoH982DjIA-QnZdO7ZoqkC0/edit#gid=884617569"",""S4 Totals!$A$2:$O$255""),4,FALSE)"),9.0)</f>
        <v>9</v>
      </c>
      <c r="H251" s="15">
        <f>IFERROR(__xludf.DUMMYFUNCTION("VLOOKUP(A251,IMPORTRANGE(""1QZ5UxyNCwadreQAXnQ7oCoH982DjIA-QnZdO7ZoqkC0/edit#gid=884617569"",""S4 Totals!$A$2:$O$255""),5,FALSE)"),0.14285714285714285)</f>
        <v>0.1428571429</v>
      </c>
      <c r="I251" s="112"/>
      <c r="J251" s="16" t="str">
        <f>IFERROR(__xludf.DUMMYFUNCTION("VLOOKUP(A251,IMPORTRANGE(""1QZ5UxyNCwadreQAXnQ7oCoH982DjIA-QnZdO7ZoqkC0/edit#gid=884617569"",""S4 Totals!$A$2:$O$255""),7,FALSE)"),"")</f>
        <v/>
      </c>
      <c r="K251" s="15" t="str">
        <f>IFERROR(__xludf.DUMMYFUNCTION("VLOOKUP(A251,IMPORTRANGE(""1QZ5UxyNCwadreQAXnQ7oCoH982DjIA-QnZdO7ZoqkC0/edit#gid=884617569"",""S4 Totals!$A$2:$O$255""),8,FALSE)"),"")</f>
        <v/>
      </c>
      <c r="L251" s="112"/>
      <c r="M251" s="16" t="str">
        <f>IFERROR(__xludf.DUMMYFUNCTION("VLOOKUP(A251,IMPORTRANGE(""1QZ5UxyNCwadreQAXnQ7oCoH982DjIA-QnZdO7ZoqkC0/edit#gid=884617569"",""S4 Totals!$A$2:$O$255""),10,FALSE)"),"")</f>
        <v/>
      </c>
      <c r="N251" s="15" t="str">
        <f>IFERROR(__xludf.DUMMYFUNCTION("VLOOKUP(A251,IMPORTRANGE(""1QZ5UxyNCwadreQAXnQ7oCoH982DjIA-QnZdO7ZoqkC0/edit#gid=884617569"",""S4 Totals!$A$2:$O$255""),11,FALSE)"),"")</f>
        <v/>
      </c>
      <c r="O251" s="112"/>
      <c r="P251" s="16" t="str">
        <f>IFERROR(__xludf.DUMMYFUNCTION("VLOOKUP(A251,IMPORTRANGE(""1QZ5UxyNCwadreQAXnQ7oCoH982DjIA-QnZdO7ZoqkC0/edit#gid=884617569"",""S4 Totals!$A$2:$O$255""),13,FALSE)"),"")</f>
        <v/>
      </c>
      <c r="Q251" s="15" t="str">
        <f>IFERROR(__xludf.DUMMYFUNCTION("VLOOKUP(A251,IMPORTRANGE(""1QZ5UxyNCwadreQAXnQ7oCoH982DjIA-QnZdO7ZoqkC0/edit#gid=884617569"",""S4 Totals!$A$2:$O$255""),14,FALSE)"),"")</f>
        <v/>
      </c>
      <c r="R251" s="112"/>
    </row>
    <row r="252">
      <c r="A252" s="36"/>
      <c r="D252" s="9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>
      <c r="A253" s="36"/>
      <c r="F253" s="36"/>
      <c r="G253" s="35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>
      <c r="A254" s="36"/>
      <c r="F254" s="36"/>
      <c r="G254" s="35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>
      <c r="A255" s="36"/>
      <c r="F255" s="36"/>
      <c r="G255" s="35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>
      <c r="A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>
      <c r="A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>
      <c r="A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>
      <c r="A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>
      <c r="A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>
      <c r="A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>
      <c r="A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>
      <c r="A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>
      <c r="A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>
      <c r="A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>
      <c r="A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>
      <c r="A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>
      <c r="A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>
      <c r="A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>
      <c r="A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>
      <c r="A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>
      <c r="A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>
      <c r="A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>
      <c r="A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>
      <c r="A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>
      <c r="A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>
      <c r="A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>
      <c r="A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>
      <c r="A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>
      <c r="A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>
      <c r="A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>
      <c r="A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>
      <c r="A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>
      <c r="A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>
      <c r="A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>
      <c r="A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>
      <c r="A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>
      <c r="A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>
      <c r="A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>
      <c r="A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>
      <c r="A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>
      <c r="A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>
      <c r="A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>
      <c r="A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>
      <c r="A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>
      <c r="A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>
      <c r="A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>
      <c r="A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>
      <c r="A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>
      <c r="A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>
      <c r="A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>
      <c r="A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>
      <c r="A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>
      <c r="A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>
      <c r="A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>
      <c r="A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>
      <c r="A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>
      <c r="A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>
      <c r="A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>
      <c r="A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>
      <c r="A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>
      <c r="A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>
      <c r="A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>
      <c r="A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>
      <c r="A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>
      <c r="A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>
      <c r="A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>
      <c r="A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>
      <c r="A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>
      <c r="A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>
      <c r="A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>
      <c r="A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>
      <c r="A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>
      <c r="A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>
      <c r="A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>
      <c r="A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>
      <c r="A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>
      <c r="A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>
      <c r="A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>
      <c r="A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>
      <c r="A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>
      <c r="A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>
      <c r="A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>
      <c r="A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>
      <c r="A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>
      <c r="A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>
      <c r="A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>
      <c r="A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>
      <c r="A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>
      <c r="A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>
      <c r="A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>
      <c r="A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>
      <c r="A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>
      <c r="A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>
      <c r="A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>
      <c r="A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>
      <c r="A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>
      <c r="A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>
      <c r="A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>
      <c r="A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>
      <c r="A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>
      <c r="A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>
      <c r="A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>
      <c r="A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>
      <c r="A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>
      <c r="A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>
      <c r="A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>
      <c r="A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>
      <c r="A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>
      <c r="A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>
      <c r="A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>
      <c r="A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>
      <c r="A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>
      <c r="A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>
      <c r="A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>
      <c r="A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>
      <c r="A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>
      <c r="A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>
      <c r="A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>
      <c r="A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>
      <c r="A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>
      <c r="A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>
      <c r="A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>
      <c r="A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>
      <c r="A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>
      <c r="A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>
      <c r="A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>
      <c r="A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>
      <c r="A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>
      <c r="A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>
      <c r="A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>
      <c r="A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>
      <c r="A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>
      <c r="A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>
      <c r="A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>
      <c r="A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>
      <c r="A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>
      <c r="A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>
      <c r="A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>
      <c r="A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>
      <c r="A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>
      <c r="A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>
      <c r="A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>
      <c r="A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>
      <c r="A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>
      <c r="A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>
      <c r="A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>
      <c r="A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>
      <c r="A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>
      <c r="A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>
      <c r="A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>
      <c r="A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>
      <c r="A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>
      <c r="A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>
      <c r="A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>
      <c r="A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>
      <c r="A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>
      <c r="A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>
      <c r="A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>
      <c r="A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>
      <c r="A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>
      <c r="A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>
      <c r="A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>
      <c r="A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>
      <c r="A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>
      <c r="A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>
      <c r="A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>
      <c r="A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>
      <c r="A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>
      <c r="A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>
      <c r="A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>
      <c r="A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>
      <c r="A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>
      <c r="A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>
      <c r="A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>
      <c r="A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>
      <c r="A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>
      <c r="A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>
      <c r="A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>
      <c r="A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>
      <c r="A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>
      <c r="A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>
      <c r="A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>
      <c r="A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>
      <c r="A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>
      <c r="A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>
      <c r="A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>
      <c r="A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>
      <c r="A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>
      <c r="A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>
      <c r="A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>
      <c r="A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>
      <c r="A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>
      <c r="A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>
      <c r="A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>
      <c r="A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>
      <c r="A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>
      <c r="A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>
      <c r="A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>
      <c r="A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>
      <c r="A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>
      <c r="A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>
      <c r="A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>
      <c r="A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>
      <c r="A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>
      <c r="A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>
      <c r="A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>
      <c r="A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>
      <c r="A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>
      <c r="A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>
      <c r="A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>
      <c r="A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>
      <c r="A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>
      <c r="A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>
      <c r="A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>
      <c r="A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>
      <c r="A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>
      <c r="A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>
      <c r="A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>
      <c r="A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>
      <c r="A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>
      <c r="A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>
      <c r="A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>
      <c r="A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>
      <c r="A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>
      <c r="A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>
      <c r="A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>
      <c r="A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>
      <c r="A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>
      <c r="A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>
      <c r="A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>
      <c r="A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>
      <c r="A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>
      <c r="A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>
      <c r="A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>
      <c r="A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>
      <c r="A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>
      <c r="A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>
      <c r="A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>
      <c r="A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>
      <c r="A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>
      <c r="A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>
      <c r="A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>
      <c r="A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>
      <c r="A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>
      <c r="A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>
      <c r="A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>
      <c r="A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>
      <c r="A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>
      <c r="A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>
      <c r="A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>
      <c r="A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>
      <c r="A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>
      <c r="A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>
      <c r="A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>
      <c r="A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>
      <c r="A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>
      <c r="A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>
      <c r="A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>
      <c r="A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>
      <c r="A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>
      <c r="A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>
      <c r="A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>
      <c r="A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>
      <c r="A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>
      <c r="A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>
      <c r="A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>
      <c r="A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>
      <c r="A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>
      <c r="A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>
      <c r="A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>
      <c r="A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>
      <c r="A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>
      <c r="A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>
      <c r="A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>
      <c r="A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>
      <c r="A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>
      <c r="A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>
      <c r="A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>
      <c r="A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>
      <c r="A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>
      <c r="A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>
      <c r="A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>
      <c r="A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>
      <c r="A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>
      <c r="A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>
      <c r="A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>
      <c r="A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>
      <c r="A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>
      <c r="A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>
      <c r="A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>
      <c r="A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>
      <c r="A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>
      <c r="A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>
      <c r="A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>
      <c r="A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>
      <c r="A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>
      <c r="A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>
      <c r="A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>
      <c r="A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>
      <c r="A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>
      <c r="A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>
      <c r="A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>
      <c r="A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>
      <c r="A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>
      <c r="A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>
      <c r="A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>
      <c r="A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>
      <c r="A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>
      <c r="A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>
      <c r="A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>
      <c r="A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>
      <c r="A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>
      <c r="A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>
      <c r="A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>
      <c r="A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>
      <c r="A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>
      <c r="A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>
      <c r="A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>
      <c r="A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>
      <c r="A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>
      <c r="A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>
      <c r="A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>
      <c r="A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>
      <c r="A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>
      <c r="A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>
      <c r="A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>
      <c r="A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>
      <c r="A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>
      <c r="A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>
      <c r="A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>
      <c r="A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>
      <c r="A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>
      <c r="A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>
      <c r="A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>
      <c r="A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>
      <c r="A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>
      <c r="A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>
      <c r="A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>
      <c r="A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>
      <c r="A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>
      <c r="A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>
      <c r="A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>
      <c r="A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>
      <c r="A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>
      <c r="A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>
      <c r="A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>
      <c r="A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>
      <c r="A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>
      <c r="A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>
      <c r="A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>
      <c r="A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>
      <c r="A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>
      <c r="A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>
      <c r="A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>
      <c r="A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>
      <c r="A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>
      <c r="A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>
      <c r="A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>
      <c r="A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>
      <c r="A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>
      <c r="A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>
      <c r="A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>
      <c r="A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>
      <c r="A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>
      <c r="A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>
      <c r="A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>
      <c r="A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>
      <c r="A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>
      <c r="A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>
      <c r="A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>
      <c r="A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>
      <c r="A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>
      <c r="A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>
      <c r="A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>
      <c r="A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>
      <c r="A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>
      <c r="A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>
      <c r="A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>
      <c r="A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>
      <c r="A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>
      <c r="A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>
      <c r="A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>
      <c r="A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>
      <c r="A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>
      <c r="A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>
      <c r="A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>
      <c r="A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>
      <c r="A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>
      <c r="A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>
      <c r="A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>
      <c r="A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>
      <c r="A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>
      <c r="A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>
      <c r="A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>
      <c r="A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>
      <c r="A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>
      <c r="A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>
      <c r="A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>
      <c r="A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>
      <c r="A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>
      <c r="A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>
      <c r="A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>
      <c r="A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>
      <c r="A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>
      <c r="A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>
      <c r="A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>
      <c r="A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>
      <c r="A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>
      <c r="A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>
      <c r="A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>
      <c r="A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>
      <c r="A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>
      <c r="A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>
      <c r="A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>
      <c r="A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>
      <c r="A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>
      <c r="A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>
      <c r="A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>
      <c r="A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>
      <c r="A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>
      <c r="A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>
      <c r="A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>
      <c r="A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>
      <c r="A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>
      <c r="A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>
      <c r="A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>
      <c r="A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>
      <c r="A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>
      <c r="A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>
      <c r="A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>
      <c r="A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>
      <c r="A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>
      <c r="A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>
      <c r="A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>
      <c r="A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>
      <c r="A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>
      <c r="A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>
      <c r="A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>
      <c r="A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>
      <c r="A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>
      <c r="A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>
      <c r="A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>
      <c r="A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>
      <c r="A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>
      <c r="A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>
      <c r="A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>
      <c r="A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>
      <c r="A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>
      <c r="A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>
      <c r="A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>
      <c r="A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>
      <c r="A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>
      <c r="A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>
      <c r="A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>
      <c r="A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>
      <c r="A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>
      <c r="A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>
      <c r="A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>
      <c r="A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>
      <c r="A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>
      <c r="A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>
      <c r="A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>
      <c r="A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>
      <c r="A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>
      <c r="A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>
      <c r="A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>
      <c r="A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>
      <c r="A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>
      <c r="A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>
      <c r="A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>
      <c r="A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>
      <c r="A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>
      <c r="A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>
      <c r="A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>
      <c r="A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>
      <c r="A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>
      <c r="A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>
      <c r="A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>
      <c r="A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>
      <c r="A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>
      <c r="A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>
      <c r="A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>
      <c r="A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>
      <c r="A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>
      <c r="A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>
      <c r="A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>
      <c r="A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>
      <c r="A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>
      <c r="A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>
      <c r="A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>
      <c r="A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>
      <c r="A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>
      <c r="A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>
      <c r="A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>
      <c r="A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>
      <c r="A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>
      <c r="A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>
      <c r="A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>
      <c r="A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>
      <c r="A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>
      <c r="A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>
      <c r="A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>
      <c r="A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>
      <c r="A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>
      <c r="A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>
      <c r="A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>
      <c r="A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>
      <c r="A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>
      <c r="A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>
      <c r="A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>
      <c r="A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>
      <c r="A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>
      <c r="A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>
      <c r="A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>
      <c r="A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>
      <c r="A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>
      <c r="A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>
      <c r="A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>
      <c r="A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>
      <c r="A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>
      <c r="A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>
      <c r="A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>
      <c r="A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>
      <c r="A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>
      <c r="A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>
      <c r="A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>
      <c r="A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>
      <c r="A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>
      <c r="A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>
      <c r="A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>
      <c r="A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>
      <c r="A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>
      <c r="A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>
      <c r="A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>
      <c r="A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>
      <c r="A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>
      <c r="A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>
      <c r="A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>
      <c r="A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>
      <c r="A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>
      <c r="A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>
      <c r="A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>
      <c r="A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>
      <c r="A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>
      <c r="A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>
      <c r="A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>
      <c r="A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>
      <c r="A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>
      <c r="A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>
      <c r="A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>
      <c r="A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>
      <c r="A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>
      <c r="A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>
      <c r="A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>
      <c r="A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>
      <c r="A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>
      <c r="A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>
      <c r="A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>
      <c r="A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>
      <c r="A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>
      <c r="A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>
      <c r="A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>
      <c r="A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>
      <c r="A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>
      <c r="A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>
      <c r="A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>
      <c r="A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>
      <c r="A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>
      <c r="A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>
      <c r="A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>
      <c r="A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>
      <c r="A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>
      <c r="A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>
      <c r="A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>
      <c r="A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>
      <c r="A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>
      <c r="A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>
      <c r="A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>
      <c r="A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>
      <c r="A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>
      <c r="A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>
      <c r="A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>
      <c r="A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>
      <c r="A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>
      <c r="A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>
      <c r="A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>
      <c r="A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>
      <c r="A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>
      <c r="A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>
      <c r="A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>
      <c r="A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>
      <c r="A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>
      <c r="A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>
      <c r="A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>
      <c r="A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>
      <c r="A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>
      <c r="A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>
      <c r="A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>
      <c r="A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>
      <c r="A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>
      <c r="A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>
      <c r="A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>
      <c r="A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>
      <c r="A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>
      <c r="A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>
      <c r="A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>
      <c r="A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>
      <c r="A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>
      <c r="A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>
      <c r="A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>
      <c r="A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>
      <c r="A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>
      <c r="A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>
      <c r="A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>
      <c r="A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>
      <c r="A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>
      <c r="A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>
      <c r="A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>
      <c r="A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>
      <c r="A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>
      <c r="A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>
      <c r="A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>
      <c r="A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>
      <c r="A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>
      <c r="A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>
      <c r="A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>
      <c r="A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>
      <c r="A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>
      <c r="A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>
      <c r="A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>
      <c r="A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>
      <c r="A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>
      <c r="A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>
      <c r="A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>
      <c r="A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>
      <c r="A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>
      <c r="A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>
      <c r="A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>
      <c r="A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>
      <c r="A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>
      <c r="A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>
      <c r="A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>
      <c r="A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>
      <c r="A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>
      <c r="A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>
      <c r="A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>
      <c r="A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>
      <c r="A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>
      <c r="A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>
      <c r="A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>
      <c r="A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>
      <c r="A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>
      <c r="A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>
      <c r="A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>
      <c r="A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>
      <c r="A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>
      <c r="A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>
      <c r="A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>
      <c r="A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>
      <c r="A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>
      <c r="A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>
      <c r="A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>
      <c r="A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>
      <c r="A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>
      <c r="A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>
      <c r="A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>
      <c r="A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>
      <c r="A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>
      <c r="A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>
      <c r="A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>
      <c r="A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>
      <c r="A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>
      <c r="A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>
      <c r="A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>
      <c r="A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>
      <c r="A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>
      <c r="A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>
      <c r="A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>
      <c r="A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>
      <c r="A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>
      <c r="A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>
      <c r="A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>
      <c r="A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>
      <c r="A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>
      <c r="A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>
      <c r="A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>
      <c r="A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>
      <c r="A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>
      <c r="A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>
      <c r="A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>
      <c r="A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>
      <c r="A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>
      <c r="A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>
      <c r="A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>
      <c r="A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>
      <c r="A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>
      <c r="A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>
      <c r="A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>
      <c r="A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>
      <c r="A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>
      <c r="A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>
      <c r="A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>
      <c r="A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>
      <c r="A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>
      <c r="A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>
      <c r="A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>
      <c r="A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>
      <c r="A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>
      <c r="A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>
      <c r="A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>
      <c r="A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>
      <c r="A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>
      <c r="A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>
      <c r="A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>
      <c r="A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>
      <c r="A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>
      <c r="A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>
      <c r="A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>
      <c r="A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>
      <c r="A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>
      <c r="A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>
      <c r="A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>
      <c r="A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>
      <c r="A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>
      <c r="A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>
      <c r="A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>
      <c r="A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>
      <c r="A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>
      <c r="A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>
      <c r="A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>
      <c r="A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>
      <c r="A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>
      <c r="A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>
      <c r="A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>
      <c r="A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>
      <c r="A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>
      <c r="A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>
      <c r="A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>
      <c r="A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>
      <c r="A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>
      <c r="A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>
      <c r="A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>
      <c r="A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>
      <c r="A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>
      <c r="A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>
      <c r="A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>
      <c r="A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>
      <c r="A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</row>
    <row r="1000">
      <c r="A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4" t="s">
        <v>279</v>
      </c>
      <c r="B1" s="2" t="s">
        <v>347</v>
      </c>
      <c r="C1" s="61" t="s">
        <v>348</v>
      </c>
      <c r="D1" s="126" t="s">
        <v>349</v>
      </c>
      <c r="E1" s="127" t="s">
        <v>350</v>
      </c>
      <c r="F1" s="2" t="s">
        <v>284</v>
      </c>
      <c r="G1" s="150" t="s">
        <v>351</v>
      </c>
      <c r="H1" s="150" t="s">
        <v>352</v>
      </c>
      <c r="I1" s="56" t="s">
        <v>261</v>
      </c>
      <c r="J1" s="138" t="s">
        <v>353</v>
      </c>
      <c r="K1" s="138" t="s">
        <v>354</v>
      </c>
      <c r="L1" s="151" t="s">
        <v>312</v>
      </c>
      <c r="M1" s="140" t="s">
        <v>355</v>
      </c>
      <c r="N1" s="140" t="s">
        <v>356</v>
      </c>
      <c r="O1" s="151" t="s">
        <v>315</v>
      </c>
      <c r="P1" s="141" t="s">
        <v>357</v>
      </c>
      <c r="Q1" s="141" t="s">
        <v>358</v>
      </c>
      <c r="R1" s="151" t="s">
        <v>318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128" t="s">
        <v>20</v>
      </c>
      <c r="B2" s="16">
        <f>IFERROR(__xludf.DUMMYFUNCTION("VLOOKUP(A2,IMPORTRANGE(""1aFCnJY1qhIj8-JckJhDJ18aqmVo17tofpQmOjcYa3u8/edit#gid=1878241338"",""S5 Totals!$A$2:$O$255""),2,FALSE)"),9.0)</f>
        <v>9</v>
      </c>
      <c r="C2" s="15">
        <f>IFERROR(__xludf.DUMMYFUNCTION("VLOOKUP(A2,IMPORTRANGE(""1aFCnJY1qhIj8-JckJhDJ18aqmVo17tofpQmOjcYa3u8/edit#gid=1878241338"",""S5 Totals!$A$2:$O$255""),3,FALSE)"),0.10843373493975904)</f>
        <v>0.1084337349</v>
      </c>
      <c r="D2" s="16">
        <f>IFERROR(__xludf.DUMMYFUNCTION("VLOOKUP(A2,IMPORTRANGE(""1QZ5UxyNCwadreQAXnQ7oCoH982DjIA-QnZdO7ZoqkC0/edit#gid=884617569"",""S5 Totals!$A$2:$O$255""),2,FALSE)"),10.0)</f>
        <v>10</v>
      </c>
      <c r="E2" s="15">
        <f>IFERROR(__xludf.DUMMYFUNCTION("VLOOKUP(A2,IMPORTRANGE(""1QZ5UxyNCwadreQAXnQ7oCoH982DjIA-QnZdO7ZoqkC0/edit#gid=884617569"",""S5 Totals!$A$2:$O$255""),3,FALSE)"),0.12048192771084337)</f>
        <v>0.1204819277</v>
      </c>
      <c r="F2" s="146">
        <f t="shared" ref="F2:F251" si="1">C2-E2</f>
        <v>-0.01204819277</v>
      </c>
      <c r="G2" s="16">
        <f>IFERROR(__xludf.DUMMYFUNCTION("VLOOKUP(A2,IMPORTRANGE(""1QZ5UxyNCwadreQAXnQ7oCoH982DjIA-QnZdO7ZoqkC0/edit#gid=884617569"",""S5 Totals!$A$2:$O$255""),4,FALSE)"),8.0)</f>
        <v>8</v>
      </c>
      <c r="H2" s="15">
        <f>IFERROR(__xludf.DUMMYFUNCTION("VLOOKUP(A2,IMPORTRANGE(""1QZ5UxyNCwadreQAXnQ7oCoH982DjIA-QnZdO7ZoqkC0/edit#gid=884617569"",""S5 Totals!$A$2:$O$255""),5,FALSE)"),0.16326530612244897)</f>
        <v>0.1632653061</v>
      </c>
      <c r="I2" s="143"/>
      <c r="J2" s="16">
        <f>IFERROR(__xludf.DUMMYFUNCTION("VLOOKUP(A2,IMPORTRANGE(""1QZ5UxyNCwadreQAXnQ7oCoH982DjIA-QnZdO7ZoqkC0/edit#gid=884617569"",""S5 Totals!$A$2:$O$255""),7,FALSE)"),4.0)</f>
        <v>4</v>
      </c>
      <c r="K2" s="15">
        <f>IFERROR(__xludf.DUMMYFUNCTION("VLOOKUP(A2,IMPORTRANGE(""1QZ5UxyNCwadreQAXnQ7oCoH982DjIA-QnZdO7ZoqkC0/edit#gid=884617569"",""S5 Totals!$A$2:$O$255""),8,FALSE)"),0.11764705882352941)</f>
        <v>0.1176470588</v>
      </c>
      <c r="L2" s="147"/>
      <c r="M2" s="16">
        <f>IFERROR(__xludf.DUMMYFUNCTION("VLOOKUP(A2,IMPORTRANGE(""1QZ5UxyNCwadreQAXnQ7oCoH982DjIA-QnZdO7ZoqkC0/edit#gid=884617569"",""S5 Totals!$A$2:$O$255""),10,FALSE)"),1.0)</f>
        <v>1</v>
      </c>
      <c r="N2" s="15">
        <f>IFERROR(__xludf.DUMMYFUNCTION("VLOOKUP(A2,IMPORTRANGE(""1QZ5UxyNCwadreQAXnQ7oCoH982DjIA-QnZdO7ZoqkC0/edit#gid=884617569"",""S5 Totals!$A$2:$O$255""),11,FALSE)"),0.03333333333333333)</f>
        <v>0.03333333333</v>
      </c>
      <c r="O2" s="110"/>
      <c r="P2" s="16">
        <f>IFERROR(__xludf.DUMMYFUNCTION("VLOOKUP(A2,IMPORTRANGE(""1QZ5UxyNCwadreQAXnQ7oCoH982DjIA-QnZdO7ZoqkC0/edit#gid=884617569"",""S5 Totals!$A$2:$O$255""),13,FALSE)"),0.0)</f>
        <v>0</v>
      </c>
      <c r="Q2" s="15">
        <f>IFERROR(__xludf.DUMMYFUNCTION("VLOOKUP(A2,IMPORTRANGE(""1QZ5UxyNCwadreQAXnQ7oCoH982DjIA-QnZdO7ZoqkC0/edit#gid=884617569"",""S5 Totals!$A$2:$O$255""),14,FALSE)"),0.0)</f>
        <v>0</v>
      </c>
      <c r="R2" s="16"/>
    </row>
    <row r="3">
      <c r="A3" s="128" t="s">
        <v>89</v>
      </c>
      <c r="B3" s="16">
        <f>IFERROR(__xludf.DUMMYFUNCTION("VLOOKUP(A3,IMPORTRANGE(""1aFCnJY1qhIj8-JckJhDJ18aqmVo17tofpQmOjcYa3u8/edit#gid=1878241338"",""S5 Totals!$A$2:$O$255""),2,FALSE)"),26.0)</f>
        <v>26</v>
      </c>
      <c r="C3" s="15">
        <f>IFERROR(__xludf.DUMMYFUNCTION("VLOOKUP(A3,IMPORTRANGE(""1aFCnJY1qhIj8-JckJhDJ18aqmVo17tofpQmOjcYa3u8/edit#gid=1878241338"",""S5 Totals!$A$2:$O$255""),3,FALSE)"),0.3132530120481928)</f>
        <v>0.313253012</v>
      </c>
      <c r="D3" s="16">
        <f>IFERROR(__xludf.DUMMYFUNCTION("VLOOKUP(A3,IMPORTRANGE(""1QZ5UxyNCwadreQAXnQ7oCoH982DjIA-QnZdO7ZoqkC0/edit#gid=884617569"",""S5 Totals!$A$2:$O$255""),2,FALSE)"),32.0)</f>
        <v>32</v>
      </c>
      <c r="E3" s="15">
        <f>IFERROR(__xludf.DUMMYFUNCTION("VLOOKUP(A3,IMPORTRANGE(""1QZ5UxyNCwadreQAXnQ7oCoH982DjIA-QnZdO7ZoqkC0/edit#gid=884617569"",""S5 Totals!$A$2:$O$255""),3,FALSE)"),0.3855421686746988)</f>
        <v>0.3855421687</v>
      </c>
      <c r="F3" s="146">
        <f t="shared" si="1"/>
        <v>-0.07228915663</v>
      </c>
      <c r="G3" s="16">
        <f>IFERROR(__xludf.DUMMYFUNCTION("VLOOKUP(A3,IMPORTRANGE(""1QZ5UxyNCwadreQAXnQ7oCoH982DjIA-QnZdO7ZoqkC0/edit#gid=884617569"",""S5 Totals!$A$2:$O$255""),4,FALSE)"),29.0)</f>
        <v>29</v>
      </c>
      <c r="H3" s="15">
        <f>IFERROR(__xludf.DUMMYFUNCTION("VLOOKUP(A3,IMPORTRANGE(""1QZ5UxyNCwadreQAXnQ7oCoH982DjIA-QnZdO7ZoqkC0/edit#gid=884617569"",""S5 Totals!$A$2:$O$255""),5,FALSE)"),0.5918367346938775)</f>
        <v>0.5918367347</v>
      </c>
      <c r="I3" s="143"/>
      <c r="J3" s="16">
        <f>IFERROR(__xludf.DUMMYFUNCTION("VLOOKUP(A3,IMPORTRANGE(""1QZ5UxyNCwadreQAXnQ7oCoH982DjIA-QnZdO7ZoqkC0/edit#gid=884617569"",""S5 Totals!$A$2:$O$255""),7,FALSE)"),20.0)</f>
        <v>20</v>
      </c>
      <c r="K3" s="15">
        <f>IFERROR(__xludf.DUMMYFUNCTION("VLOOKUP(A3,IMPORTRANGE(""1QZ5UxyNCwadreQAXnQ7oCoH982DjIA-QnZdO7ZoqkC0/edit#gid=884617569"",""S5 Totals!$A$2:$O$255""),8,FALSE)"),0.5882352941176471)</f>
        <v>0.5882352941</v>
      </c>
      <c r="L3" s="147"/>
      <c r="M3" s="16">
        <f>IFERROR(__xludf.DUMMYFUNCTION("VLOOKUP(A3,IMPORTRANGE(""1QZ5UxyNCwadreQAXnQ7oCoH982DjIA-QnZdO7ZoqkC0/edit#gid=884617569"",""S5 Totals!$A$2:$O$255""),10,FALSE)"),15.0)</f>
        <v>15</v>
      </c>
      <c r="N3" s="15">
        <f>IFERROR(__xludf.DUMMYFUNCTION("VLOOKUP(A3,IMPORTRANGE(""1QZ5UxyNCwadreQAXnQ7oCoH982DjIA-QnZdO7ZoqkC0/edit#gid=884617569"",""S5 Totals!$A$2:$O$255""),11,FALSE)"),0.5)</f>
        <v>0.5</v>
      </c>
      <c r="O3" s="110"/>
      <c r="P3" s="16">
        <f>IFERROR(__xludf.DUMMYFUNCTION("VLOOKUP(A3,IMPORTRANGE(""1QZ5UxyNCwadreQAXnQ7oCoH982DjIA-QnZdO7ZoqkC0/edit#gid=884617569"",""S5 Totals!$A$2:$O$255""),13,FALSE)"),6.0)</f>
        <v>6</v>
      </c>
      <c r="Q3" s="15">
        <f>IFERROR(__xludf.DUMMYFUNCTION("VLOOKUP(A3,IMPORTRANGE(""1QZ5UxyNCwadreQAXnQ7oCoH982DjIA-QnZdO7ZoqkC0/edit#gid=884617569"",""S5 Totals!$A$2:$O$255""),14,FALSE)"),0.21428571428571427)</f>
        <v>0.2142857143</v>
      </c>
      <c r="R3" s="110"/>
    </row>
    <row r="4">
      <c r="A4" s="128" t="s">
        <v>27</v>
      </c>
      <c r="B4" s="16">
        <f>IFERROR(__xludf.DUMMYFUNCTION("VLOOKUP(A4,IMPORTRANGE(""1aFCnJY1qhIj8-JckJhDJ18aqmVo17tofpQmOjcYa3u8/edit#gid=1878241338"",""S5 Totals!$A$2:$O$255""),2,FALSE)"),0.0)</f>
        <v>0</v>
      </c>
      <c r="C4" s="15">
        <f>IFERROR(__xludf.DUMMYFUNCTION("VLOOKUP(A4,IMPORTRANGE(""1aFCnJY1qhIj8-JckJhDJ18aqmVo17tofpQmOjcYa3u8/edit#gid=1878241338"",""S5 Totals!$A$2:$O$255""),3,FALSE)"),0.0)</f>
        <v>0</v>
      </c>
      <c r="D4" s="16">
        <f>IFERROR(__xludf.DUMMYFUNCTION("VLOOKUP(A4,IMPORTRANGE(""1QZ5UxyNCwadreQAXnQ7oCoH982DjIA-QnZdO7ZoqkC0/edit#gid=884617569"",""S5 Totals!$A$2:$O$255""),2,FALSE)"),0.0)</f>
        <v>0</v>
      </c>
      <c r="E4" s="15">
        <f>IFERROR(__xludf.DUMMYFUNCTION("VLOOKUP(A4,IMPORTRANGE(""1QZ5UxyNCwadreQAXnQ7oCoH982DjIA-QnZdO7ZoqkC0/edit#gid=884617569"",""S5 Totals!$A$2:$O$255""),3,FALSE)"),0.0)</f>
        <v>0</v>
      </c>
      <c r="F4" s="146">
        <f t="shared" si="1"/>
        <v>0</v>
      </c>
      <c r="G4" s="16">
        <f>IFERROR(__xludf.DUMMYFUNCTION("VLOOKUP(A4,IMPORTRANGE(""1QZ5UxyNCwadreQAXnQ7oCoH982DjIA-QnZdO7ZoqkC0/edit#gid=884617569"",""S5 Totals!$A$2:$O$255""),4,FALSE)"),0.0)</f>
        <v>0</v>
      </c>
      <c r="H4" s="15">
        <f>IFERROR(__xludf.DUMMYFUNCTION("VLOOKUP(A4,IMPORTRANGE(""1QZ5UxyNCwadreQAXnQ7oCoH982DjIA-QnZdO7ZoqkC0/edit#gid=884617569"",""S5 Totals!$A$2:$O$255""),5,FALSE)"),0.0)</f>
        <v>0</v>
      </c>
      <c r="I4" s="143"/>
      <c r="J4" s="16">
        <f>IFERROR(__xludf.DUMMYFUNCTION("VLOOKUP(A4,IMPORTRANGE(""1QZ5UxyNCwadreQAXnQ7oCoH982DjIA-QnZdO7ZoqkC0/edit#gid=884617569"",""S5 Totals!$A$2:$O$255""),7,FALSE)"),0.0)</f>
        <v>0</v>
      </c>
      <c r="K4" s="15">
        <f>IFERROR(__xludf.DUMMYFUNCTION("VLOOKUP(A4,IMPORTRANGE(""1QZ5UxyNCwadreQAXnQ7oCoH982DjIA-QnZdO7ZoqkC0/edit#gid=884617569"",""S5 Totals!$A$2:$O$255""),8,FALSE)"),0.0)</f>
        <v>0</v>
      </c>
      <c r="L4" s="147"/>
      <c r="M4" s="16">
        <f>IFERROR(__xludf.DUMMYFUNCTION("VLOOKUP(A4,IMPORTRANGE(""1QZ5UxyNCwadreQAXnQ7oCoH982DjIA-QnZdO7ZoqkC0/edit#gid=884617569"",""S5 Totals!$A$2:$O$255""),10,FALSE)"),0.0)</f>
        <v>0</v>
      </c>
      <c r="N4" s="15">
        <f>IFERROR(__xludf.DUMMYFUNCTION("VLOOKUP(A4,IMPORTRANGE(""1QZ5UxyNCwadreQAXnQ7oCoH982DjIA-QnZdO7ZoqkC0/edit#gid=884617569"",""S5 Totals!$A$2:$O$255""),11,FALSE)"),0.0)</f>
        <v>0</v>
      </c>
      <c r="O4" s="110"/>
      <c r="P4" s="16">
        <f>IFERROR(__xludf.DUMMYFUNCTION("VLOOKUP(A4,IMPORTRANGE(""1QZ5UxyNCwadreQAXnQ7oCoH982DjIA-QnZdO7ZoqkC0/edit#gid=884617569"",""S5 Totals!$A$2:$O$255""),13,FALSE)"),0.0)</f>
        <v>0</v>
      </c>
      <c r="Q4" s="15">
        <f>IFERROR(__xludf.DUMMYFUNCTION("VLOOKUP(A4,IMPORTRANGE(""1QZ5UxyNCwadreQAXnQ7oCoH982DjIA-QnZdO7ZoqkC0/edit#gid=884617569"",""S5 Totals!$A$2:$O$255""),14,FALSE)"),0.0)</f>
        <v>0</v>
      </c>
      <c r="R4" s="110"/>
    </row>
    <row r="5">
      <c r="A5" s="152" t="s">
        <v>262</v>
      </c>
      <c r="B5" s="16">
        <f>IFERROR(__xludf.DUMMYFUNCTION("VLOOKUP(A5,IMPORTRANGE(""1aFCnJY1qhIj8-JckJhDJ18aqmVo17tofpQmOjcYa3u8/edit#gid=1878241338"",""S5 Totals!$A$2:$O$255""),2,FALSE)"),2.0)</f>
        <v>2</v>
      </c>
      <c r="C5" s="15">
        <f>IFERROR(__xludf.DUMMYFUNCTION("VLOOKUP(A5,IMPORTRANGE(""1aFCnJY1qhIj8-JckJhDJ18aqmVo17tofpQmOjcYa3u8/edit#gid=1878241338"",""S5 Totals!$A$2:$O$255""),3,FALSE)"),0.024096385542168676)</f>
        <v>0.02409638554</v>
      </c>
      <c r="D5" s="16" t="str">
        <f>IFERROR(__xludf.DUMMYFUNCTION("VLOOKUP(A5,IMPORTRANGE(""1QZ5UxyNCwadreQAXnQ7oCoH982DjIA-QnZdO7ZoqkC0/edit#gid=884617569"",""S5 Totals!$A$2:$O$255""),2,FALSE)"),"#N/A")</f>
        <v>#N/A</v>
      </c>
      <c r="E5" s="15" t="str">
        <f>IFERROR(__xludf.DUMMYFUNCTION("VLOOKUP(A5,IMPORTRANGE(""1QZ5UxyNCwadreQAXnQ7oCoH982DjIA-QnZdO7ZoqkC0/edit#gid=884617569"",""S5 Totals!$A$2:$O$255""),3,FALSE)"),"#N/A")</f>
        <v>#N/A</v>
      </c>
      <c r="F5" s="146" t="str">
        <f t="shared" si="1"/>
        <v>#N/A</v>
      </c>
      <c r="G5" s="16" t="str">
        <f>IFERROR(__xludf.DUMMYFUNCTION("VLOOKUP(A5,IMPORTRANGE(""1QZ5UxyNCwadreQAXnQ7oCoH982DjIA-QnZdO7ZoqkC0/edit#gid=884617569"",""S5 Totals!$A$2:$O$255""),4,FALSE)"),"#N/A")</f>
        <v>#N/A</v>
      </c>
      <c r="H5" s="15" t="str">
        <f>IFERROR(__xludf.DUMMYFUNCTION("VLOOKUP(A5,IMPORTRANGE(""1QZ5UxyNCwadreQAXnQ7oCoH982DjIA-QnZdO7ZoqkC0/edit#gid=884617569"",""S5 Totals!$A$2:$O$255""),5,FALSE)"),"#N/A")</f>
        <v>#N/A</v>
      </c>
      <c r="I5" s="143"/>
      <c r="J5" s="16" t="str">
        <f>IFERROR(__xludf.DUMMYFUNCTION("VLOOKUP(A5,IMPORTRANGE(""1QZ5UxyNCwadreQAXnQ7oCoH982DjIA-QnZdO7ZoqkC0/edit#gid=884617569"",""S5 Totals!$A$2:$O$255""),7,FALSE)"),"#N/A")</f>
        <v>#N/A</v>
      </c>
      <c r="K5" s="15" t="str">
        <f>IFERROR(__xludf.DUMMYFUNCTION("VLOOKUP(A5,IMPORTRANGE(""1QZ5UxyNCwadreQAXnQ7oCoH982DjIA-QnZdO7ZoqkC0/edit#gid=884617569"",""S5 Totals!$A$2:$O$255""),8,FALSE)"),"#N/A")</f>
        <v>#N/A</v>
      </c>
      <c r="L5" s="147"/>
      <c r="M5" s="16" t="str">
        <f>IFERROR(__xludf.DUMMYFUNCTION("VLOOKUP(A5,IMPORTRANGE(""1QZ5UxyNCwadreQAXnQ7oCoH982DjIA-QnZdO7ZoqkC0/edit#gid=884617569"",""S5 Totals!$A$2:$O$255""),10,FALSE)"),"#N/A")</f>
        <v>#N/A</v>
      </c>
      <c r="N5" s="15" t="str">
        <f>IFERROR(__xludf.DUMMYFUNCTION("VLOOKUP(A5,IMPORTRANGE(""1QZ5UxyNCwadreQAXnQ7oCoH982DjIA-QnZdO7ZoqkC0/edit#gid=884617569"",""S5 Totals!$A$2:$O$255""),11,FALSE)"),"#N/A")</f>
        <v>#N/A</v>
      </c>
      <c r="O5" s="110"/>
      <c r="P5" s="16" t="str">
        <f>IFERROR(__xludf.DUMMYFUNCTION("VLOOKUP(A5,IMPORTRANGE(""1QZ5UxyNCwadreQAXnQ7oCoH982DjIA-QnZdO7ZoqkC0/edit#gid=884617569"",""S5 Totals!$A$2:$O$255""),13,FALSE)"),"#N/A")</f>
        <v>#N/A</v>
      </c>
      <c r="Q5" s="15" t="str">
        <f>IFERROR(__xludf.DUMMYFUNCTION("VLOOKUP(A5,IMPORTRANGE(""1QZ5UxyNCwadreQAXnQ7oCoH982DjIA-QnZdO7ZoqkC0/edit#gid=884617569"",""S5 Totals!$A$2:$O$255""),14,FALSE)"),"#N/A")</f>
        <v>#N/A</v>
      </c>
      <c r="R5" s="110"/>
    </row>
    <row r="6">
      <c r="A6" s="128" t="s">
        <v>161</v>
      </c>
      <c r="B6" s="16">
        <f>IFERROR(__xludf.DUMMYFUNCTION("VLOOKUP(A6,IMPORTRANGE(""1aFCnJY1qhIj8-JckJhDJ18aqmVo17tofpQmOjcYa3u8/edit#gid=1878241338"",""S5 Totals!$A$2:$O$255""),2,FALSE)"),14.0)</f>
        <v>14</v>
      </c>
      <c r="C6" s="15">
        <f>IFERROR(__xludf.DUMMYFUNCTION("VLOOKUP(A6,IMPORTRANGE(""1aFCnJY1qhIj8-JckJhDJ18aqmVo17tofpQmOjcYa3u8/edit#gid=1878241338"",""S5 Totals!$A$2:$O$255""),3,FALSE)"),0.1686746987951807)</f>
        <v>0.1686746988</v>
      </c>
      <c r="D6" s="16">
        <f>IFERROR(__xludf.DUMMYFUNCTION("VLOOKUP(A6,IMPORTRANGE(""1QZ5UxyNCwadreQAXnQ7oCoH982DjIA-QnZdO7ZoqkC0/edit#gid=884617569"",""S5 Totals!$A$2:$O$255""),2,FALSE)"),12.0)</f>
        <v>12</v>
      </c>
      <c r="E6" s="15">
        <f>IFERROR(__xludf.DUMMYFUNCTION("VLOOKUP(A6,IMPORTRANGE(""1QZ5UxyNCwadreQAXnQ7oCoH982DjIA-QnZdO7ZoqkC0/edit#gid=884617569"",""S5 Totals!$A$2:$O$255""),3,FALSE)"),0.14457831325301204)</f>
        <v>0.1445783133</v>
      </c>
      <c r="F6" s="146">
        <f t="shared" si="1"/>
        <v>0.02409638554</v>
      </c>
      <c r="G6" s="16">
        <f>IFERROR(__xludf.DUMMYFUNCTION("VLOOKUP(A6,IMPORTRANGE(""1QZ5UxyNCwadreQAXnQ7oCoH982DjIA-QnZdO7ZoqkC0/edit#gid=884617569"",""S5 Totals!$A$2:$O$255""),4,FALSE)"),8.0)</f>
        <v>8</v>
      </c>
      <c r="H6" s="15">
        <f>IFERROR(__xludf.DUMMYFUNCTION("VLOOKUP(A6,IMPORTRANGE(""1QZ5UxyNCwadreQAXnQ7oCoH982DjIA-QnZdO7ZoqkC0/edit#gid=884617569"",""S5 Totals!$A$2:$O$255""),5,FALSE)"),0.16326530612244897)</f>
        <v>0.1632653061</v>
      </c>
      <c r="I6" s="143"/>
      <c r="J6" s="16">
        <f>IFERROR(__xludf.DUMMYFUNCTION("VLOOKUP(A6,IMPORTRANGE(""1QZ5UxyNCwadreQAXnQ7oCoH982DjIA-QnZdO7ZoqkC0/edit#gid=884617569"",""S5 Totals!$A$2:$O$255""),7,FALSE)"),4.0)</f>
        <v>4</v>
      </c>
      <c r="K6" s="15">
        <f>IFERROR(__xludf.DUMMYFUNCTION("VLOOKUP(A6,IMPORTRANGE(""1QZ5UxyNCwadreQAXnQ7oCoH982DjIA-QnZdO7ZoqkC0/edit#gid=884617569"",""S5 Totals!$A$2:$O$255""),8,FALSE)"),0.11764705882352941)</f>
        <v>0.1176470588</v>
      </c>
      <c r="L6" s="147"/>
      <c r="M6" s="16" t="str">
        <f>IFERROR(__xludf.DUMMYFUNCTION("VLOOKUP(A6,IMPORTRANGE(""1QZ5UxyNCwadreQAXnQ7oCoH982DjIA-QnZdO7ZoqkC0/edit#gid=884617569"",""S5 Totals!$A$2:$O$255""),10,FALSE)"),"")</f>
        <v/>
      </c>
      <c r="N6" s="15" t="str">
        <f>IFERROR(__xludf.DUMMYFUNCTION("VLOOKUP(A6,IMPORTRANGE(""1QZ5UxyNCwadreQAXnQ7oCoH982DjIA-QnZdO7ZoqkC0/edit#gid=884617569"",""S5 Totals!$A$2:$O$255""),11,FALSE)"),"")</f>
        <v/>
      </c>
      <c r="O6" s="110"/>
      <c r="P6" s="16" t="str">
        <f>IFERROR(__xludf.DUMMYFUNCTION("VLOOKUP(A6,IMPORTRANGE(""1QZ5UxyNCwadreQAXnQ7oCoH982DjIA-QnZdO7ZoqkC0/edit#gid=884617569"",""S5 Totals!$A$2:$O$255""),13,FALSE)"),"")</f>
        <v/>
      </c>
      <c r="Q6" s="15" t="str">
        <f>IFERROR(__xludf.DUMMYFUNCTION("VLOOKUP(A6,IMPORTRANGE(""1QZ5UxyNCwadreQAXnQ7oCoH982DjIA-QnZdO7ZoqkC0/edit#gid=884617569"",""S5 Totals!$A$2:$O$255""),14,FALSE)"),"")</f>
        <v/>
      </c>
      <c r="R6" s="110"/>
    </row>
    <row r="7">
      <c r="A7" s="128" t="s">
        <v>162</v>
      </c>
      <c r="B7" s="16">
        <f>IFERROR(__xludf.DUMMYFUNCTION("VLOOKUP(A7,IMPORTRANGE(""1aFCnJY1qhIj8-JckJhDJ18aqmVo17tofpQmOjcYa3u8/edit#gid=1878241338"",""S5 Totals!$A$2:$O$255""),2,FALSE)"),16.0)</f>
        <v>16</v>
      </c>
      <c r="C7" s="15">
        <f>IFERROR(__xludf.DUMMYFUNCTION("VLOOKUP(A7,IMPORTRANGE(""1aFCnJY1qhIj8-JckJhDJ18aqmVo17tofpQmOjcYa3u8/edit#gid=1878241338"",""S5 Totals!$A$2:$O$255""),3,FALSE)"),0.1927710843373494)</f>
        <v>0.1927710843</v>
      </c>
      <c r="D7" s="16">
        <f>IFERROR(__xludf.DUMMYFUNCTION("VLOOKUP(A7,IMPORTRANGE(""1QZ5UxyNCwadreQAXnQ7oCoH982DjIA-QnZdO7ZoqkC0/edit#gid=884617569"",""S5 Totals!$A$2:$O$255""),2,FALSE)"),15.0)</f>
        <v>15</v>
      </c>
      <c r="E7" s="15">
        <f>IFERROR(__xludf.DUMMYFUNCTION("VLOOKUP(A7,IMPORTRANGE(""1QZ5UxyNCwadreQAXnQ7oCoH982DjIA-QnZdO7ZoqkC0/edit#gid=884617569"",""S5 Totals!$A$2:$O$255""),3,FALSE)"),0.18072289156626506)</f>
        <v>0.1807228916</v>
      </c>
      <c r="F7" s="146">
        <f t="shared" si="1"/>
        <v>0.01204819277</v>
      </c>
      <c r="G7" s="16">
        <f>IFERROR(__xludf.DUMMYFUNCTION("VLOOKUP(A7,IMPORTRANGE(""1QZ5UxyNCwadreQAXnQ7oCoH982DjIA-QnZdO7ZoqkC0/edit#gid=884617569"",""S5 Totals!$A$2:$O$255""),4,FALSE)"),8.0)</f>
        <v>8</v>
      </c>
      <c r="H7" s="15">
        <f>IFERROR(__xludf.DUMMYFUNCTION("VLOOKUP(A7,IMPORTRANGE(""1QZ5UxyNCwadreQAXnQ7oCoH982DjIA-QnZdO7ZoqkC0/edit#gid=884617569"",""S5 Totals!$A$2:$O$255""),5,FALSE)"),0.16326530612244897)</f>
        <v>0.1632653061</v>
      </c>
      <c r="I7" s="143"/>
      <c r="J7" s="16">
        <f>IFERROR(__xludf.DUMMYFUNCTION("VLOOKUP(A7,IMPORTRANGE(""1QZ5UxyNCwadreQAXnQ7oCoH982DjIA-QnZdO7ZoqkC0/edit#gid=884617569"",""S5 Totals!$A$2:$O$255""),7,FALSE)"),4.0)</f>
        <v>4</v>
      </c>
      <c r="K7" s="15">
        <f>IFERROR(__xludf.DUMMYFUNCTION("VLOOKUP(A7,IMPORTRANGE(""1QZ5UxyNCwadreQAXnQ7oCoH982DjIA-QnZdO7ZoqkC0/edit#gid=884617569"",""S5 Totals!$A$2:$O$255""),8,FALSE)"),0.11764705882352941)</f>
        <v>0.1176470588</v>
      </c>
      <c r="L7" s="147"/>
      <c r="M7" s="16" t="str">
        <f>IFERROR(__xludf.DUMMYFUNCTION("VLOOKUP(A7,IMPORTRANGE(""1QZ5UxyNCwadreQAXnQ7oCoH982DjIA-QnZdO7ZoqkC0/edit#gid=884617569"",""S5 Totals!$A$2:$O$255""),10,FALSE)"),"")</f>
        <v/>
      </c>
      <c r="N7" s="15" t="str">
        <f>IFERROR(__xludf.DUMMYFUNCTION("VLOOKUP(A7,IMPORTRANGE(""1QZ5UxyNCwadreQAXnQ7oCoH982DjIA-QnZdO7ZoqkC0/edit#gid=884617569"",""S5 Totals!$A$2:$O$255""),11,FALSE)"),"")</f>
        <v/>
      </c>
      <c r="O7" s="110"/>
      <c r="P7" s="16" t="str">
        <f>IFERROR(__xludf.DUMMYFUNCTION("VLOOKUP(A7,IMPORTRANGE(""1QZ5UxyNCwadreQAXnQ7oCoH982DjIA-QnZdO7ZoqkC0/edit#gid=884617569"",""S5 Totals!$A$2:$O$255""),13,FALSE)"),"")</f>
        <v/>
      </c>
      <c r="Q7" s="15" t="str">
        <f>IFERROR(__xludf.DUMMYFUNCTION("VLOOKUP(A7,IMPORTRANGE(""1QZ5UxyNCwadreQAXnQ7oCoH982DjIA-QnZdO7ZoqkC0/edit#gid=884617569"",""S5 Totals!$A$2:$O$255""),14,FALSE)"),"")</f>
        <v/>
      </c>
      <c r="R7" s="110"/>
    </row>
    <row r="8">
      <c r="A8" s="128" t="s">
        <v>163</v>
      </c>
      <c r="B8" s="16">
        <f>IFERROR(__xludf.DUMMYFUNCTION("VLOOKUP(A8,IMPORTRANGE(""1aFCnJY1qhIj8-JckJhDJ18aqmVo17tofpQmOjcYa3u8/edit#gid=1878241338"",""S5 Totals!$A$2:$O$255""),2,FALSE)"),6.0)</f>
        <v>6</v>
      </c>
      <c r="C8" s="15">
        <f>IFERROR(__xludf.DUMMYFUNCTION("VLOOKUP(A8,IMPORTRANGE(""1aFCnJY1qhIj8-JckJhDJ18aqmVo17tofpQmOjcYa3u8/edit#gid=1878241338"",""S5 Totals!$A$2:$O$255""),3,FALSE)"),0.07228915662650602)</f>
        <v>0.07228915663</v>
      </c>
      <c r="D8" s="16">
        <f>IFERROR(__xludf.DUMMYFUNCTION("VLOOKUP(A8,IMPORTRANGE(""1QZ5UxyNCwadreQAXnQ7oCoH982DjIA-QnZdO7ZoqkC0/edit#gid=884617569"",""S5 Totals!$A$2:$O$255""),2,FALSE)"),8.0)</f>
        <v>8</v>
      </c>
      <c r="E8" s="15">
        <f>IFERROR(__xludf.DUMMYFUNCTION("VLOOKUP(A8,IMPORTRANGE(""1QZ5UxyNCwadreQAXnQ7oCoH982DjIA-QnZdO7ZoqkC0/edit#gid=884617569"",""S5 Totals!$A$2:$O$255""),3,FALSE)"),0.0963855421686747)</f>
        <v>0.09638554217</v>
      </c>
      <c r="F8" s="146">
        <f t="shared" si="1"/>
        <v>-0.02409638554</v>
      </c>
      <c r="G8" s="16">
        <f>IFERROR(__xludf.DUMMYFUNCTION("VLOOKUP(A8,IMPORTRANGE(""1QZ5UxyNCwadreQAXnQ7oCoH982DjIA-QnZdO7ZoqkC0/edit#gid=884617569"",""S5 Totals!$A$2:$O$255""),4,FALSE)"),5.0)</f>
        <v>5</v>
      </c>
      <c r="H8" s="15">
        <f>IFERROR(__xludf.DUMMYFUNCTION("VLOOKUP(A8,IMPORTRANGE(""1QZ5UxyNCwadreQAXnQ7oCoH982DjIA-QnZdO7ZoqkC0/edit#gid=884617569"",""S5 Totals!$A$2:$O$255""),5,FALSE)"),0.10204081632653061)</f>
        <v>0.1020408163</v>
      </c>
      <c r="I8" s="143"/>
      <c r="J8" s="16">
        <f>IFERROR(__xludf.DUMMYFUNCTION("VLOOKUP(A8,IMPORTRANGE(""1QZ5UxyNCwadreQAXnQ7oCoH982DjIA-QnZdO7ZoqkC0/edit#gid=884617569"",""S5 Totals!$A$2:$O$255""),7,FALSE)"),4.0)</f>
        <v>4</v>
      </c>
      <c r="K8" s="15">
        <f>IFERROR(__xludf.DUMMYFUNCTION("VLOOKUP(A8,IMPORTRANGE(""1QZ5UxyNCwadreQAXnQ7oCoH982DjIA-QnZdO7ZoqkC0/edit#gid=884617569"",""S5 Totals!$A$2:$O$255""),8,FALSE)"),0.11764705882352941)</f>
        <v>0.1176470588</v>
      </c>
      <c r="L8" s="147"/>
      <c r="M8" s="16" t="str">
        <f>IFERROR(__xludf.DUMMYFUNCTION("VLOOKUP(A8,IMPORTRANGE(""1QZ5UxyNCwadreQAXnQ7oCoH982DjIA-QnZdO7ZoqkC0/edit#gid=884617569"",""S5 Totals!$A$2:$O$255""),10,FALSE)"),"")</f>
        <v/>
      </c>
      <c r="N8" s="15" t="str">
        <f>IFERROR(__xludf.DUMMYFUNCTION("VLOOKUP(A8,IMPORTRANGE(""1QZ5UxyNCwadreQAXnQ7oCoH982DjIA-QnZdO7ZoqkC0/edit#gid=884617569"",""S5 Totals!$A$2:$O$255""),11,FALSE)"),"")</f>
        <v/>
      </c>
      <c r="O8" s="110"/>
      <c r="P8" s="16" t="str">
        <f>IFERROR(__xludf.DUMMYFUNCTION("VLOOKUP(A8,IMPORTRANGE(""1QZ5UxyNCwadreQAXnQ7oCoH982DjIA-QnZdO7ZoqkC0/edit#gid=884617569"",""S5 Totals!$A$2:$O$255""),13,FALSE)"),"")</f>
        <v/>
      </c>
      <c r="Q8" s="15" t="str">
        <f>IFERROR(__xludf.DUMMYFUNCTION("VLOOKUP(A8,IMPORTRANGE(""1QZ5UxyNCwadreQAXnQ7oCoH982DjIA-QnZdO7ZoqkC0/edit#gid=884617569"",""S5 Totals!$A$2:$O$255""),14,FALSE)"),"")</f>
        <v/>
      </c>
      <c r="R8" s="110"/>
    </row>
    <row r="9">
      <c r="A9" s="128" t="s">
        <v>23</v>
      </c>
      <c r="B9" s="16">
        <f>IFERROR(__xludf.DUMMYFUNCTION("VLOOKUP(A9,IMPORTRANGE(""1aFCnJY1qhIj8-JckJhDJ18aqmVo17tofpQmOjcYa3u8/edit#gid=1878241338"",""S5 Totals!$A$2:$O$255""),2,FALSE)"),20.0)</f>
        <v>20</v>
      </c>
      <c r="C9" s="15">
        <f>IFERROR(__xludf.DUMMYFUNCTION("VLOOKUP(A9,IMPORTRANGE(""1aFCnJY1qhIj8-JckJhDJ18aqmVo17tofpQmOjcYa3u8/edit#gid=1878241338"",""S5 Totals!$A$2:$O$255""),3,FALSE)"),0.24096385542168675)</f>
        <v>0.2409638554</v>
      </c>
      <c r="D9" s="16">
        <f>IFERROR(__xludf.DUMMYFUNCTION("VLOOKUP(A9,IMPORTRANGE(""1QZ5UxyNCwadreQAXnQ7oCoH982DjIA-QnZdO7ZoqkC0/edit#gid=884617569"",""S5 Totals!$A$2:$O$255""),2,FALSE)"),15.0)</f>
        <v>15</v>
      </c>
      <c r="E9" s="15">
        <f>IFERROR(__xludf.DUMMYFUNCTION("VLOOKUP(A9,IMPORTRANGE(""1QZ5UxyNCwadreQAXnQ7oCoH982DjIA-QnZdO7ZoqkC0/edit#gid=884617569"",""S5 Totals!$A$2:$O$255""),3,FALSE)"),0.18072289156626506)</f>
        <v>0.1807228916</v>
      </c>
      <c r="F9" s="146">
        <f t="shared" si="1"/>
        <v>0.06024096386</v>
      </c>
      <c r="G9" s="16">
        <f>IFERROR(__xludf.DUMMYFUNCTION("VLOOKUP(A9,IMPORTRANGE(""1QZ5UxyNCwadreQAXnQ7oCoH982DjIA-QnZdO7ZoqkC0/edit#gid=884617569"",""S5 Totals!$A$2:$O$255""),4,FALSE)"),6.0)</f>
        <v>6</v>
      </c>
      <c r="H9" s="15">
        <f>IFERROR(__xludf.DUMMYFUNCTION("VLOOKUP(A9,IMPORTRANGE(""1QZ5UxyNCwadreQAXnQ7oCoH982DjIA-QnZdO7ZoqkC0/edit#gid=884617569"",""S5 Totals!$A$2:$O$255""),5,FALSE)"),0.12244897959183673)</f>
        <v>0.1224489796</v>
      </c>
      <c r="I9" s="143"/>
      <c r="J9" s="16">
        <f>IFERROR(__xludf.DUMMYFUNCTION("VLOOKUP(A9,IMPORTRANGE(""1QZ5UxyNCwadreQAXnQ7oCoH982DjIA-QnZdO7ZoqkC0/edit#gid=884617569"",""S5 Totals!$A$2:$O$255""),7,FALSE)"),2.0)</f>
        <v>2</v>
      </c>
      <c r="K9" s="15">
        <f>IFERROR(__xludf.DUMMYFUNCTION("VLOOKUP(A9,IMPORTRANGE(""1QZ5UxyNCwadreQAXnQ7oCoH982DjIA-QnZdO7ZoqkC0/edit#gid=884617569"",""S5 Totals!$A$2:$O$255""),8,FALSE)"),0.058823529411764705)</f>
        <v>0.05882352941</v>
      </c>
      <c r="L9" s="147"/>
      <c r="M9" s="16">
        <f>IFERROR(__xludf.DUMMYFUNCTION("VLOOKUP(A9,IMPORTRANGE(""1QZ5UxyNCwadreQAXnQ7oCoH982DjIA-QnZdO7ZoqkC0/edit#gid=884617569"",""S5 Totals!$A$2:$O$255""),10,FALSE)"),0.0)</f>
        <v>0</v>
      </c>
      <c r="N9" s="15">
        <f>IFERROR(__xludf.DUMMYFUNCTION("VLOOKUP(A9,IMPORTRANGE(""1QZ5UxyNCwadreQAXnQ7oCoH982DjIA-QnZdO7ZoqkC0/edit#gid=884617569"",""S5 Totals!$A$2:$O$255""),11,FALSE)"),0.0)</f>
        <v>0</v>
      </c>
      <c r="O9" s="110"/>
      <c r="P9" s="16">
        <f>IFERROR(__xludf.DUMMYFUNCTION("VLOOKUP(A9,IMPORTRANGE(""1QZ5UxyNCwadreQAXnQ7oCoH982DjIA-QnZdO7ZoqkC0/edit#gid=884617569"",""S5 Totals!$A$2:$O$255""),13,FALSE)"),0.0)</f>
        <v>0</v>
      </c>
      <c r="Q9" s="15">
        <f>IFERROR(__xludf.DUMMYFUNCTION("VLOOKUP(A9,IMPORTRANGE(""1QZ5UxyNCwadreQAXnQ7oCoH982DjIA-QnZdO7ZoqkC0/edit#gid=884617569"",""S5 Totals!$A$2:$O$255""),14,FALSE)"),0.0)</f>
        <v>0</v>
      </c>
      <c r="R9" s="110"/>
    </row>
    <row r="10">
      <c r="A10" s="128" t="s">
        <v>24</v>
      </c>
      <c r="B10" s="16">
        <f>IFERROR(__xludf.DUMMYFUNCTION("VLOOKUP(A10,IMPORTRANGE(""1aFCnJY1qhIj8-JckJhDJ18aqmVo17tofpQmOjcYa3u8/edit#gid=1878241338"",""S5 Totals!$A$2:$O$255""),2,FALSE)"),17.0)</f>
        <v>17</v>
      </c>
      <c r="C10" s="15">
        <f>IFERROR(__xludf.DUMMYFUNCTION("VLOOKUP(A10,IMPORTRANGE(""1aFCnJY1qhIj8-JckJhDJ18aqmVo17tofpQmOjcYa3u8/edit#gid=1878241338"",""S5 Totals!$A$2:$O$255""),3,FALSE)"),0.20481927710843373)</f>
        <v>0.2048192771</v>
      </c>
      <c r="D10" s="16">
        <f>IFERROR(__xludf.DUMMYFUNCTION("VLOOKUP(A10,IMPORTRANGE(""1QZ5UxyNCwadreQAXnQ7oCoH982DjIA-QnZdO7ZoqkC0/edit#gid=884617569"",""S5 Totals!$A$2:$O$255""),2,FALSE)"),10.0)</f>
        <v>10</v>
      </c>
      <c r="E10" s="15">
        <f>IFERROR(__xludf.DUMMYFUNCTION("VLOOKUP(A10,IMPORTRANGE(""1QZ5UxyNCwadreQAXnQ7oCoH982DjIA-QnZdO7ZoqkC0/edit#gid=884617569"",""S5 Totals!$A$2:$O$255""),3,FALSE)"),0.12048192771084337)</f>
        <v>0.1204819277</v>
      </c>
      <c r="F10" s="146">
        <f t="shared" si="1"/>
        <v>0.0843373494</v>
      </c>
      <c r="G10" s="16">
        <f>IFERROR(__xludf.DUMMYFUNCTION("VLOOKUP(A10,IMPORTRANGE(""1QZ5UxyNCwadreQAXnQ7oCoH982DjIA-QnZdO7ZoqkC0/edit#gid=884617569"",""S5 Totals!$A$2:$O$255""),4,FALSE)"),7.0)</f>
        <v>7</v>
      </c>
      <c r="H10" s="15">
        <f>IFERROR(__xludf.DUMMYFUNCTION("VLOOKUP(A10,IMPORTRANGE(""1QZ5UxyNCwadreQAXnQ7oCoH982DjIA-QnZdO7ZoqkC0/edit#gid=884617569"",""S5 Totals!$A$2:$O$255""),5,FALSE)"),0.14285714285714285)</f>
        <v>0.1428571429</v>
      </c>
      <c r="I10" s="143"/>
      <c r="J10" s="16">
        <f>IFERROR(__xludf.DUMMYFUNCTION("VLOOKUP(A10,IMPORTRANGE(""1QZ5UxyNCwadreQAXnQ7oCoH982DjIA-QnZdO7ZoqkC0/edit#gid=884617569"",""S5 Totals!$A$2:$O$255""),7,FALSE)"),4.0)</f>
        <v>4</v>
      </c>
      <c r="K10" s="15">
        <f>IFERROR(__xludf.DUMMYFUNCTION("VLOOKUP(A10,IMPORTRANGE(""1QZ5UxyNCwadreQAXnQ7oCoH982DjIA-QnZdO7ZoqkC0/edit#gid=884617569"",""S5 Totals!$A$2:$O$255""),8,FALSE)"),0.11764705882352941)</f>
        <v>0.1176470588</v>
      </c>
      <c r="L10" s="147"/>
      <c r="M10" s="16">
        <f>IFERROR(__xludf.DUMMYFUNCTION("VLOOKUP(A10,IMPORTRANGE(""1QZ5UxyNCwadreQAXnQ7oCoH982DjIA-QnZdO7ZoqkC0/edit#gid=884617569"",""S5 Totals!$A$2:$O$255""),10,FALSE)"),3.0)</f>
        <v>3</v>
      </c>
      <c r="N10" s="15">
        <f>IFERROR(__xludf.DUMMYFUNCTION("VLOOKUP(A10,IMPORTRANGE(""1QZ5UxyNCwadreQAXnQ7oCoH982DjIA-QnZdO7ZoqkC0/edit#gid=884617569"",""S5 Totals!$A$2:$O$255""),11,FALSE)"),0.1)</f>
        <v>0.1</v>
      </c>
      <c r="O10" s="110"/>
      <c r="P10" s="16">
        <f>IFERROR(__xludf.DUMMYFUNCTION("VLOOKUP(A10,IMPORTRANGE(""1QZ5UxyNCwadreQAXnQ7oCoH982DjIA-QnZdO7ZoqkC0/edit#gid=884617569"",""S5 Totals!$A$2:$O$255""),13,FALSE)"),0.0)</f>
        <v>0</v>
      </c>
      <c r="Q10" s="15">
        <f>IFERROR(__xludf.DUMMYFUNCTION("VLOOKUP(A10,IMPORTRANGE(""1QZ5UxyNCwadreQAXnQ7oCoH982DjIA-QnZdO7ZoqkC0/edit#gid=884617569"",""S5 Totals!$A$2:$O$255""),14,FALSE)"),0.0)</f>
        <v>0</v>
      </c>
      <c r="R10" s="110"/>
    </row>
    <row r="11">
      <c r="A11" s="128" t="s">
        <v>113</v>
      </c>
      <c r="B11" s="16">
        <f>IFERROR(__xludf.DUMMYFUNCTION("VLOOKUP(A11,IMPORTRANGE(""1aFCnJY1qhIj8-JckJhDJ18aqmVo17tofpQmOjcYa3u8/edit#gid=1878241338"",""S5 Totals!$A$2:$O$255""),2,FALSE)"),3.0)</f>
        <v>3</v>
      </c>
      <c r="C11" s="15">
        <f>IFERROR(__xludf.DUMMYFUNCTION("VLOOKUP(A11,IMPORTRANGE(""1aFCnJY1qhIj8-JckJhDJ18aqmVo17tofpQmOjcYa3u8/edit#gid=1878241338"",""S5 Totals!$A$2:$O$255""),3,FALSE)"),0.03614457831325301)</f>
        <v>0.03614457831</v>
      </c>
      <c r="D11" s="16">
        <f>IFERROR(__xludf.DUMMYFUNCTION("VLOOKUP(A11,IMPORTRANGE(""1QZ5UxyNCwadreQAXnQ7oCoH982DjIA-QnZdO7ZoqkC0/edit#gid=884617569"",""S5 Totals!$A$2:$O$255""),2,FALSE)"),4.0)</f>
        <v>4</v>
      </c>
      <c r="E11" s="15">
        <f>IFERROR(__xludf.DUMMYFUNCTION("VLOOKUP(A11,IMPORTRANGE(""1QZ5UxyNCwadreQAXnQ7oCoH982DjIA-QnZdO7ZoqkC0/edit#gid=884617569"",""S5 Totals!$A$2:$O$255""),3,FALSE)"),0.04819277108433735)</f>
        <v>0.04819277108</v>
      </c>
      <c r="F11" s="146">
        <f t="shared" si="1"/>
        <v>-0.01204819277</v>
      </c>
      <c r="G11" s="16">
        <f>IFERROR(__xludf.DUMMYFUNCTION("VLOOKUP(A11,IMPORTRANGE(""1QZ5UxyNCwadreQAXnQ7oCoH982DjIA-QnZdO7ZoqkC0/edit#gid=884617569"",""S5 Totals!$A$2:$O$255""),4,FALSE)"),3.0)</f>
        <v>3</v>
      </c>
      <c r="H11" s="15">
        <f>IFERROR(__xludf.DUMMYFUNCTION("VLOOKUP(A11,IMPORTRANGE(""1QZ5UxyNCwadreQAXnQ7oCoH982DjIA-QnZdO7ZoqkC0/edit#gid=884617569"",""S5 Totals!$A$2:$O$255""),5,FALSE)"),0.061224489795918366)</f>
        <v>0.0612244898</v>
      </c>
      <c r="I11" s="143"/>
      <c r="J11" s="16">
        <f>IFERROR(__xludf.DUMMYFUNCTION("VLOOKUP(A11,IMPORTRANGE(""1QZ5UxyNCwadreQAXnQ7oCoH982DjIA-QnZdO7ZoqkC0/edit#gid=884617569"",""S5 Totals!$A$2:$O$255""),7,FALSE)"),4.0)</f>
        <v>4</v>
      </c>
      <c r="K11" s="15">
        <f>IFERROR(__xludf.DUMMYFUNCTION("VLOOKUP(A11,IMPORTRANGE(""1QZ5UxyNCwadreQAXnQ7oCoH982DjIA-QnZdO7ZoqkC0/edit#gid=884617569"",""S5 Totals!$A$2:$O$255""),8,FALSE)"),0.11764705882352941)</f>
        <v>0.1176470588</v>
      </c>
      <c r="L11" s="147"/>
      <c r="M11" s="16">
        <f>IFERROR(__xludf.DUMMYFUNCTION("VLOOKUP(A11,IMPORTRANGE(""1QZ5UxyNCwadreQAXnQ7oCoH982DjIA-QnZdO7ZoqkC0/edit#gid=884617569"",""S5 Totals!$A$2:$O$255""),10,FALSE)"),1.0)</f>
        <v>1</v>
      </c>
      <c r="N11" s="15">
        <f>IFERROR(__xludf.DUMMYFUNCTION("VLOOKUP(A11,IMPORTRANGE(""1QZ5UxyNCwadreQAXnQ7oCoH982DjIA-QnZdO7ZoqkC0/edit#gid=884617569"",""S5 Totals!$A$2:$O$255""),11,FALSE)"),0.03333333333333333)</f>
        <v>0.03333333333</v>
      </c>
      <c r="O11" s="110"/>
      <c r="P11" s="16" t="str">
        <f>IFERROR(__xludf.DUMMYFUNCTION("VLOOKUP(A11,IMPORTRANGE(""1QZ5UxyNCwadreQAXnQ7oCoH982DjIA-QnZdO7ZoqkC0/edit#gid=884617569"",""S5 Totals!$A$2:$O$255""),13,FALSE)"),"")</f>
        <v/>
      </c>
      <c r="Q11" s="15" t="str">
        <f>IFERROR(__xludf.DUMMYFUNCTION("VLOOKUP(A11,IMPORTRANGE(""1QZ5UxyNCwadreQAXnQ7oCoH982DjIA-QnZdO7ZoqkC0/edit#gid=884617569"",""S5 Totals!$A$2:$O$255""),14,FALSE)"),"")</f>
        <v/>
      </c>
      <c r="R11" s="110"/>
    </row>
    <row r="12">
      <c r="A12" s="128" t="s">
        <v>25</v>
      </c>
      <c r="B12" s="16">
        <f>IFERROR(__xludf.DUMMYFUNCTION("VLOOKUP(A12,IMPORTRANGE(""1aFCnJY1qhIj8-JckJhDJ18aqmVo17tofpQmOjcYa3u8/edit#gid=1878241338"",""S5 Totals!$A$2:$O$255""),2,FALSE)"),14.0)</f>
        <v>14</v>
      </c>
      <c r="C12" s="15">
        <f>IFERROR(__xludf.DUMMYFUNCTION("VLOOKUP(A12,IMPORTRANGE(""1aFCnJY1qhIj8-JckJhDJ18aqmVo17tofpQmOjcYa3u8/edit#gid=1878241338"",""S5 Totals!$A$2:$O$255""),3,FALSE)"),0.1686746987951807)</f>
        <v>0.1686746988</v>
      </c>
      <c r="D12" s="16">
        <f>IFERROR(__xludf.DUMMYFUNCTION("VLOOKUP(A12,IMPORTRANGE(""1QZ5UxyNCwadreQAXnQ7oCoH982DjIA-QnZdO7ZoqkC0/edit#gid=884617569"",""S5 Totals!$A$2:$O$255""),2,FALSE)"),15.0)</f>
        <v>15</v>
      </c>
      <c r="E12" s="15">
        <f>IFERROR(__xludf.DUMMYFUNCTION("VLOOKUP(A12,IMPORTRANGE(""1QZ5UxyNCwadreQAXnQ7oCoH982DjIA-QnZdO7ZoqkC0/edit#gid=884617569"",""S5 Totals!$A$2:$O$255""),3,FALSE)"),0.18072289156626506)</f>
        <v>0.1807228916</v>
      </c>
      <c r="F12" s="146">
        <f t="shared" si="1"/>
        <v>-0.01204819277</v>
      </c>
      <c r="G12" s="16">
        <f>IFERROR(__xludf.DUMMYFUNCTION("VLOOKUP(A12,IMPORTRANGE(""1QZ5UxyNCwadreQAXnQ7oCoH982DjIA-QnZdO7ZoqkC0/edit#gid=884617569"",""S5 Totals!$A$2:$O$255""),4,FALSE)"),3.0)</f>
        <v>3</v>
      </c>
      <c r="H12" s="15">
        <f>IFERROR(__xludf.DUMMYFUNCTION("VLOOKUP(A12,IMPORTRANGE(""1QZ5UxyNCwadreQAXnQ7oCoH982DjIA-QnZdO7ZoqkC0/edit#gid=884617569"",""S5 Totals!$A$2:$O$255""),5,FALSE)"),0.061224489795918366)</f>
        <v>0.0612244898</v>
      </c>
      <c r="I12" s="143"/>
      <c r="J12" s="16">
        <f>IFERROR(__xludf.DUMMYFUNCTION("VLOOKUP(A12,IMPORTRANGE(""1QZ5UxyNCwadreQAXnQ7oCoH982DjIA-QnZdO7ZoqkC0/edit#gid=884617569"",""S5 Totals!$A$2:$O$255""),7,FALSE)"),0.0)</f>
        <v>0</v>
      </c>
      <c r="K12" s="15">
        <f>IFERROR(__xludf.DUMMYFUNCTION("VLOOKUP(A12,IMPORTRANGE(""1QZ5UxyNCwadreQAXnQ7oCoH982DjIA-QnZdO7ZoqkC0/edit#gid=884617569"",""S5 Totals!$A$2:$O$255""),8,FALSE)"),0.0)</f>
        <v>0</v>
      </c>
      <c r="L12" s="147"/>
      <c r="M12" s="16">
        <f>IFERROR(__xludf.DUMMYFUNCTION("VLOOKUP(A12,IMPORTRANGE(""1QZ5UxyNCwadreQAXnQ7oCoH982DjIA-QnZdO7ZoqkC0/edit#gid=884617569"",""S5 Totals!$A$2:$O$255""),10,FALSE)"),0.0)</f>
        <v>0</v>
      </c>
      <c r="N12" s="15">
        <f>IFERROR(__xludf.DUMMYFUNCTION("VLOOKUP(A12,IMPORTRANGE(""1QZ5UxyNCwadreQAXnQ7oCoH982DjIA-QnZdO7ZoqkC0/edit#gid=884617569"",""S5 Totals!$A$2:$O$255""),11,FALSE)"),0.0)</f>
        <v>0</v>
      </c>
      <c r="O12" s="110"/>
      <c r="P12" s="16">
        <f>IFERROR(__xludf.DUMMYFUNCTION("VLOOKUP(A12,IMPORTRANGE(""1QZ5UxyNCwadreQAXnQ7oCoH982DjIA-QnZdO7ZoqkC0/edit#gid=884617569"",""S5 Totals!$A$2:$O$255""),13,FALSE)"),0.0)</f>
        <v>0</v>
      </c>
      <c r="Q12" s="15">
        <f>IFERROR(__xludf.DUMMYFUNCTION("VLOOKUP(A12,IMPORTRANGE(""1QZ5UxyNCwadreQAXnQ7oCoH982DjIA-QnZdO7ZoqkC0/edit#gid=884617569"",""S5 Totals!$A$2:$O$255""),14,FALSE)"),0.0)</f>
        <v>0</v>
      </c>
      <c r="R12" s="110"/>
    </row>
    <row r="13">
      <c r="A13" s="128" t="s">
        <v>210</v>
      </c>
      <c r="B13" s="16">
        <f>IFERROR(__xludf.DUMMYFUNCTION("VLOOKUP(A13,IMPORTRANGE(""1aFCnJY1qhIj8-JckJhDJ18aqmVo17tofpQmOjcYa3u8/edit#gid=1878241338"",""S5 Totals!$A$2:$O$255""),2,FALSE)"),12.0)</f>
        <v>12</v>
      </c>
      <c r="C13" s="15">
        <f>IFERROR(__xludf.DUMMYFUNCTION("VLOOKUP(A13,IMPORTRANGE(""1aFCnJY1qhIj8-JckJhDJ18aqmVo17tofpQmOjcYa3u8/edit#gid=1878241338"",""S5 Totals!$A$2:$O$255""),3,FALSE)"),0.14457831325301204)</f>
        <v>0.1445783133</v>
      </c>
      <c r="D13" s="16">
        <f>IFERROR(__xludf.DUMMYFUNCTION("VLOOKUP(A13,IMPORTRANGE(""1QZ5UxyNCwadreQAXnQ7oCoH982DjIA-QnZdO7ZoqkC0/edit#gid=884617569"",""S5 Totals!$A$2:$O$255""),2,FALSE)"),17.0)</f>
        <v>17</v>
      </c>
      <c r="E13" s="15">
        <f>IFERROR(__xludf.DUMMYFUNCTION("VLOOKUP(A13,IMPORTRANGE(""1QZ5UxyNCwadreQAXnQ7oCoH982DjIA-QnZdO7ZoqkC0/edit#gid=884617569"",""S5 Totals!$A$2:$O$255""),3,FALSE)"),0.20481927710843373)</f>
        <v>0.2048192771</v>
      </c>
      <c r="F13" s="146">
        <f t="shared" si="1"/>
        <v>-0.06024096386</v>
      </c>
      <c r="G13" s="16">
        <f>IFERROR(__xludf.DUMMYFUNCTION("VLOOKUP(A13,IMPORTRANGE(""1QZ5UxyNCwadreQAXnQ7oCoH982DjIA-QnZdO7ZoqkC0/edit#gid=884617569"",""S5 Totals!$A$2:$O$255""),4,FALSE)"),7.0)</f>
        <v>7</v>
      </c>
      <c r="H13" s="15">
        <f>IFERROR(__xludf.DUMMYFUNCTION("VLOOKUP(A13,IMPORTRANGE(""1QZ5UxyNCwadreQAXnQ7oCoH982DjIA-QnZdO7ZoqkC0/edit#gid=884617569"",""S5 Totals!$A$2:$O$255""),5,FALSE)"),0.14285714285714285)</f>
        <v>0.1428571429</v>
      </c>
      <c r="I13" s="143"/>
      <c r="J13" s="16" t="str">
        <f>IFERROR(__xludf.DUMMYFUNCTION("VLOOKUP(A13,IMPORTRANGE(""1QZ5UxyNCwadreQAXnQ7oCoH982DjIA-QnZdO7ZoqkC0/edit#gid=884617569"",""S5 Totals!$A$2:$O$255""),7,FALSE)"),"")</f>
        <v/>
      </c>
      <c r="K13" s="15" t="str">
        <f>IFERROR(__xludf.DUMMYFUNCTION("VLOOKUP(A13,IMPORTRANGE(""1QZ5UxyNCwadreQAXnQ7oCoH982DjIA-QnZdO7ZoqkC0/edit#gid=884617569"",""S5 Totals!$A$2:$O$255""),8,FALSE)"),"")</f>
        <v/>
      </c>
      <c r="L13" s="147"/>
      <c r="M13" s="16" t="str">
        <f>IFERROR(__xludf.DUMMYFUNCTION("VLOOKUP(A13,IMPORTRANGE(""1QZ5UxyNCwadreQAXnQ7oCoH982DjIA-QnZdO7ZoqkC0/edit#gid=884617569"",""S5 Totals!$A$2:$O$255""),10,FALSE)"),"")</f>
        <v/>
      </c>
      <c r="N13" s="15" t="str">
        <f>IFERROR(__xludf.DUMMYFUNCTION("VLOOKUP(A13,IMPORTRANGE(""1QZ5UxyNCwadreQAXnQ7oCoH982DjIA-QnZdO7ZoqkC0/edit#gid=884617569"",""S5 Totals!$A$2:$O$255""),11,FALSE)"),"")</f>
        <v/>
      </c>
      <c r="O13" s="110"/>
      <c r="P13" s="16" t="str">
        <f>IFERROR(__xludf.DUMMYFUNCTION("VLOOKUP(A13,IMPORTRANGE(""1QZ5UxyNCwadreQAXnQ7oCoH982DjIA-QnZdO7ZoqkC0/edit#gid=884617569"",""S5 Totals!$A$2:$O$255""),13,FALSE)"),"")</f>
        <v/>
      </c>
      <c r="Q13" s="15" t="str">
        <f>IFERROR(__xludf.DUMMYFUNCTION("VLOOKUP(A13,IMPORTRANGE(""1QZ5UxyNCwadreQAXnQ7oCoH982DjIA-QnZdO7ZoqkC0/edit#gid=884617569"",""S5 Totals!$A$2:$O$255""),14,FALSE)"),"")</f>
        <v/>
      </c>
      <c r="R13" s="110"/>
    </row>
    <row r="14">
      <c r="A14" s="128" t="s">
        <v>26</v>
      </c>
      <c r="B14" s="16">
        <f>IFERROR(__xludf.DUMMYFUNCTION("VLOOKUP(A14,IMPORTRANGE(""1aFCnJY1qhIj8-JckJhDJ18aqmVo17tofpQmOjcYa3u8/edit#gid=1878241338"",""S5 Totals!$A$2:$O$255""),2,FALSE)"),14.0)</f>
        <v>14</v>
      </c>
      <c r="C14" s="15">
        <f>IFERROR(__xludf.DUMMYFUNCTION("VLOOKUP(A14,IMPORTRANGE(""1aFCnJY1qhIj8-JckJhDJ18aqmVo17tofpQmOjcYa3u8/edit#gid=1878241338"",""S5 Totals!$A$2:$O$255""),3,FALSE)"),0.1686746987951807)</f>
        <v>0.1686746988</v>
      </c>
      <c r="D14" s="16">
        <f>IFERROR(__xludf.DUMMYFUNCTION("VLOOKUP(A14,IMPORTRANGE(""1QZ5UxyNCwadreQAXnQ7oCoH982DjIA-QnZdO7ZoqkC0/edit#gid=884617569"",""S5 Totals!$A$2:$O$255""),2,FALSE)"),7.0)</f>
        <v>7</v>
      </c>
      <c r="E14" s="15">
        <f>IFERROR(__xludf.DUMMYFUNCTION("VLOOKUP(A14,IMPORTRANGE(""1QZ5UxyNCwadreQAXnQ7oCoH982DjIA-QnZdO7ZoqkC0/edit#gid=884617569"",""S5 Totals!$A$2:$O$255""),3,FALSE)"),0.08433734939759036)</f>
        <v>0.0843373494</v>
      </c>
      <c r="F14" s="146">
        <f t="shared" si="1"/>
        <v>0.0843373494</v>
      </c>
      <c r="G14" s="16">
        <f>IFERROR(__xludf.DUMMYFUNCTION("VLOOKUP(A14,IMPORTRANGE(""1QZ5UxyNCwadreQAXnQ7oCoH982DjIA-QnZdO7ZoqkC0/edit#gid=884617569"",""S5 Totals!$A$2:$O$255""),4,FALSE)"),1.0)</f>
        <v>1</v>
      </c>
      <c r="H14" s="15">
        <f>IFERROR(__xludf.DUMMYFUNCTION("VLOOKUP(A14,IMPORTRANGE(""1QZ5UxyNCwadreQAXnQ7oCoH982DjIA-QnZdO7ZoqkC0/edit#gid=884617569"",""S5 Totals!$A$2:$O$255""),5,FALSE)"),0.02040816326530612)</f>
        <v>0.02040816327</v>
      </c>
      <c r="I14" s="143"/>
      <c r="J14" s="16">
        <f>IFERROR(__xludf.DUMMYFUNCTION("VLOOKUP(A14,IMPORTRANGE(""1QZ5UxyNCwadreQAXnQ7oCoH982DjIA-QnZdO7ZoqkC0/edit#gid=884617569"",""S5 Totals!$A$2:$O$255""),7,FALSE)"),0.0)</f>
        <v>0</v>
      </c>
      <c r="K14" s="15">
        <f>IFERROR(__xludf.DUMMYFUNCTION("VLOOKUP(A14,IMPORTRANGE(""1QZ5UxyNCwadreQAXnQ7oCoH982DjIA-QnZdO7ZoqkC0/edit#gid=884617569"",""S5 Totals!$A$2:$O$255""),8,FALSE)"),0.0)</f>
        <v>0</v>
      </c>
      <c r="L14" s="147"/>
      <c r="M14" s="16">
        <f>IFERROR(__xludf.DUMMYFUNCTION("VLOOKUP(A14,IMPORTRANGE(""1QZ5UxyNCwadreQAXnQ7oCoH982DjIA-QnZdO7ZoqkC0/edit#gid=884617569"",""S5 Totals!$A$2:$O$255""),10,FALSE)"),0.0)</f>
        <v>0</v>
      </c>
      <c r="N14" s="15">
        <f>IFERROR(__xludf.DUMMYFUNCTION("VLOOKUP(A14,IMPORTRANGE(""1QZ5UxyNCwadreQAXnQ7oCoH982DjIA-QnZdO7ZoqkC0/edit#gid=884617569"",""S5 Totals!$A$2:$O$255""),11,FALSE)"),0.0)</f>
        <v>0</v>
      </c>
      <c r="O14" s="110"/>
      <c r="P14" s="16">
        <f>IFERROR(__xludf.DUMMYFUNCTION("VLOOKUP(A14,IMPORTRANGE(""1QZ5UxyNCwadreQAXnQ7oCoH982DjIA-QnZdO7ZoqkC0/edit#gid=884617569"",""S5 Totals!$A$2:$O$255""),13,FALSE)"),0.0)</f>
        <v>0</v>
      </c>
      <c r="Q14" s="15">
        <f>IFERROR(__xludf.DUMMYFUNCTION("VLOOKUP(A14,IMPORTRANGE(""1QZ5UxyNCwadreQAXnQ7oCoH982DjIA-QnZdO7ZoqkC0/edit#gid=884617569"",""S5 Totals!$A$2:$O$255""),14,FALSE)"),0.0)</f>
        <v>0</v>
      </c>
      <c r="R14" s="110"/>
    </row>
    <row r="15">
      <c r="A15" s="128" t="s">
        <v>75</v>
      </c>
      <c r="B15" s="16">
        <f>IFERROR(__xludf.DUMMYFUNCTION("VLOOKUP(A15,IMPORTRANGE(""1aFCnJY1qhIj8-JckJhDJ18aqmVo17tofpQmOjcYa3u8/edit#gid=1878241338"",""S5 Totals!$A$2:$O$255""),2,FALSE)"),11.0)</f>
        <v>11</v>
      </c>
      <c r="C15" s="15">
        <f>IFERROR(__xludf.DUMMYFUNCTION("VLOOKUP(A15,IMPORTRANGE(""1aFCnJY1qhIj8-JckJhDJ18aqmVo17tofpQmOjcYa3u8/edit#gid=1878241338"",""S5 Totals!$A$2:$O$255""),3,FALSE)"),0.13253012048192772)</f>
        <v>0.1325301205</v>
      </c>
      <c r="D15" s="16">
        <f>IFERROR(__xludf.DUMMYFUNCTION("VLOOKUP(A15,IMPORTRANGE(""1QZ5UxyNCwadreQAXnQ7oCoH982DjIA-QnZdO7ZoqkC0/edit#gid=884617569"",""S5 Totals!$A$2:$O$255""),2,FALSE)"),22.0)</f>
        <v>22</v>
      </c>
      <c r="E15" s="15">
        <f>IFERROR(__xludf.DUMMYFUNCTION("VLOOKUP(A15,IMPORTRANGE(""1QZ5UxyNCwadreQAXnQ7oCoH982DjIA-QnZdO7ZoqkC0/edit#gid=884617569"",""S5 Totals!$A$2:$O$255""),3,FALSE)"),0.26506024096385544)</f>
        <v>0.265060241</v>
      </c>
      <c r="F15" s="146">
        <f t="shared" si="1"/>
        <v>-0.1325301205</v>
      </c>
      <c r="G15" s="16">
        <f>IFERROR(__xludf.DUMMYFUNCTION("VLOOKUP(A15,IMPORTRANGE(""1QZ5UxyNCwadreQAXnQ7oCoH982DjIA-QnZdO7ZoqkC0/edit#gid=884617569"",""S5 Totals!$A$2:$O$255""),4,FALSE)"),13.0)</f>
        <v>13</v>
      </c>
      <c r="H15" s="15">
        <f>IFERROR(__xludf.DUMMYFUNCTION("VLOOKUP(A15,IMPORTRANGE(""1QZ5UxyNCwadreQAXnQ7oCoH982DjIA-QnZdO7ZoqkC0/edit#gid=884617569"",""S5 Totals!$A$2:$O$255""),5,FALSE)"),0.2653061224489796)</f>
        <v>0.2653061224</v>
      </c>
      <c r="I15" s="143"/>
      <c r="J15" s="16">
        <f>IFERROR(__xludf.DUMMYFUNCTION("VLOOKUP(A15,IMPORTRANGE(""1QZ5UxyNCwadreQAXnQ7oCoH982DjIA-QnZdO7ZoqkC0/edit#gid=884617569"",""S5 Totals!$A$2:$O$255""),7,FALSE)"),13.0)</f>
        <v>13</v>
      </c>
      <c r="K15" s="15">
        <f>IFERROR(__xludf.DUMMYFUNCTION("VLOOKUP(A15,IMPORTRANGE(""1QZ5UxyNCwadreQAXnQ7oCoH982DjIA-QnZdO7ZoqkC0/edit#gid=884617569"",""S5 Totals!$A$2:$O$255""),8,FALSE)"),0.38235294117647056)</f>
        <v>0.3823529412</v>
      </c>
      <c r="L15" s="147"/>
      <c r="M15" s="16">
        <f>IFERROR(__xludf.DUMMYFUNCTION("VLOOKUP(A15,IMPORTRANGE(""1QZ5UxyNCwadreQAXnQ7oCoH982DjIA-QnZdO7ZoqkC0/edit#gid=884617569"",""S5 Totals!$A$2:$O$255""),10,FALSE)"),5.0)</f>
        <v>5</v>
      </c>
      <c r="N15" s="15">
        <f>IFERROR(__xludf.DUMMYFUNCTION("VLOOKUP(A15,IMPORTRANGE(""1QZ5UxyNCwadreQAXnQ7oCoH982DjIA-QnZdO7ZoqkC0/edit#gid=884617569"",""S5 Totals!$A$2:$O$255""),11,FALSE)"),0.16666666666666666)</f>
        <v>0.1666666667</v>
      </c>
      <c r="O15" s="110"/>
      <c r="P15" s="16">
        <f>IFERROR(__xludf.DUMMYFUNCTION("VLOOKUP(A15,IMPORTRANGE(""1QZ5UxyNCwadreQAXnQ7oCoH982DjIA-QnZdO7ZoqkC0/edit#gid=884617569"",""S5 Totals!$A$2:$O$255""),13,FALSE)"),0.0)</f>
        <v>0</v>
      </c>
      <c r="Q15" s="15">
        <f>IFERROR(__xludf.DUMMYFUNCTION("VLOOKUP(A15,IMPORTRANGE(""1QZ5UxyNCwadreQAXnQ7oCoH982DjIA-QnZdO7ZoqkC0/edit#gid=884617569"",""S5 Totals!$A$2:$O$255""),14,FALSE)"),0.0)</f>
        <v>0</v>
      </c>
      <c r="R15" s="110"/>
    </row>
    <row r="16">
      <c r="A16" s="128" t="s">
        <v>28</v>
      </c>
      <c r="B16" s="16">
        <f>IFERROR(__xludf.DUMMYFUNCTION("VLOOKUP(A16,IMPORTRANGE(""1aFCnJY1qhIj8-JckJhDJ18aqmVo17tofpQmOjcYa3u8/edit#gid=1878241338"",""S5 Totals!$A$2:$O$255""),2,FALSE)"),22.0)</f>
        <v>22</v>
      </c>
      <c r="C16" s="15">
        <f>IFERROR(__xludf.DUMMYFUNCTION("VLOOKUP(A16,IMPORTRANGE(""1aFCnJY1qhIj8-JckJhDJ18aqmVo17tofpQmOjcYa3u8/edit#gid=1878241338"",""S5 Totals!$A$2:$O$255""),3,FALSE)"),0.26506024096385544)</f>
        <v>0.265060241</v>
      </c>
      <c r="D16" s="16">
        <f>IFERROR(__xludf.DUMMYFUNCTION("VLOOKUP(A16,IMPORTRANGE(""1QZ5UxyNCwadreQAXnQ7oCoH982DjIA-QnZdO7ZoqkC0/edit#gid=884617569"",""S5 Totals!$A$2:$O$255""),2,FALSE)"),28.0)</f>
        <v>28</v>
      </c>
      <c r="E16" s="15">
        <f>IFERROR(__xludf.DUMMYFUNCTION("VLOOKUP(A16,IMPORTRANGE(""1QZ5UxyNCwadreQAXnQ7oCoH982DjIA-QnZdO7ZoqkC0/edit#gid=884617569"",""S5 Totals!$A$2:$O$255""),3,FALSE)"),0.3373493975903614)</f>
        <v>0.3373493976</v>
      </c>
      <c r="F16" s="146">
        <f t="shared" si="1"/>
        <v>-0.07228915663</v>
      </c>
      <c r="G16" s="16">
        <f>IFERROR(__xludf.DUMMYFUNCTION("VLOOKUP(A16,IMPORTRANGE(""1QZ5UxyNCwadreQAXnQ7oCoH982DjIA-QnZdO7ZoqkC0/edit#gid=884617569"",""S5 Totals!$A$2:$O$255""),4,FALSE)"),15.0)</f>
        <v>15</v>
      </c>
      <c r="H16" s="15">
        <f>IFERROR(__xludf.DUMMYFUNCTION("VLOOKUP(A16,IMPORTRANGE(""1QZ5UxyNCwadreQAXnQ7oCoH982DjIA-QnZdO7ZoqkC0/edit#gid=884617569"",""S5 Totals!$A$2:$O$255""),5,FALSE)"),0.30612244897959184)</f>
        <v>0.306122449</v>
      </c>
      <c r="I16" s="143"/>
      <c r="J16" s="16">
        <f>IFERROR(__xludf.DUMMYFUNCTION("VLOOKUP(A16,IMPORTRANGE(""1QZ5UxyNCwadreQAXnQ7oCoH982DjIA-QnZdO7ZoqkC0/edit#gid=884617569"",""S5 Totals!$A$2:$O$255""),7,FALSE)"),8.0)</f>
        <v>8</v>
      </c>
      <c r="K16" s="15">
        <f>IFERROR(__xludf.DUMMYFUNCTION("VLOOKUP(A16,IMPORTRANGE(""1QZ5UxyNCwadreQAXnQ7oCoH982DjIA-QnZdO7ZoqkC0/edit#gid=884617569"",""S5 Totals!$A$2:$O$255""),8,FALSE)"),0.23529411764705882)</f>
        <v>0.2352941176</v>
      </c>
      <c r="L16" s="147"/>
      <c r="M16" s="16">
        <f>IFERROR(__xludf.DUMMYFUNCTION("VLOOKUP(A16,IMPORTRANGE(""1QZ5UxyNCwadreQAXnQ7oCoH982DjIA-QnZdO7ZoqkC0/edit#gid=884617569"",""S5 Totals!$A$2:$O$255""),10,FALSE)"),2.0)</f>
        <v>2</v>
      </c>
      <c r="N16" s="15">
        <f>IFERROR(__xludf.DUMMYFUNCTION("VLOOKUP(A16,IMPORTRANGE(""1QZ5UxyNCwadreQAXnQ7oCoH982DjIA-QnZdO7ZoqkC0/edit#gid=884617569"",""S5 Totals!$A$2:$O$255""),11,FALSE)"),0.06666666666666667)</f>
        <v>0.06666666667</v>
      </c>
      <c r="O16" s="110"/>
      <c r="P16" s="16">
        <f>IFERROR(__xludf.DUMMYFUNCTION("VLOOKUP(A16,IMPORTRANGE(""1QZ5UxyNCwadreQAXnQ7oCoH982DjIA-QnZdO7ZoqkC0/edit#gid=884617569"",""S5 Totals!$A$2:$O$255""),13,FALSE)"),3.0)</f>
        <v>3</v>
      </c>
      <c r="Q16" s="15">
        <f>IFERROR(__xludf.DUMMYFUNCTION("VLOOKUP(A16,IMPORTRANGE(""1QZ5UxyNCwadreQAXnQ7oCoH982DjIA-QnZdO7ZoqkC0/edit#gid=884617569"",""S5 Totals!$A$2:$O$255""),14,FALSE)"),0.10714285714285714)</f>
        <v>0.1071428571</v>
      </c>
      <c r="R16" s="110"/>
    </row>
    <row r="17">
      <c r="A17" s="128" t="s">
        <v>29</v>
      </c>
      <c r="B17" s="16">
        <f>IFERROR(__xludf.DUMMYFUNCTION("VLOOKUP(A17,IMPORTRANGE(""1aFCnJY1qhIj8-JckJhDJ18aqmVo17tofpQmOjcYa3u8/edit#gid=1878241338"",""S5 Totals!$A$2:$O$255""),2,FALSE)"),31.0)</f>
        <v>31</v>
      </c>
      <c r="C17" s="15">
        <f>IFERROR(__xludf.DUMMYFUNCTION("VLOOKUP(A17,IMPORTRANGE(""1aFCnJY1qhIj8-JckJhDJ18aqmVo17tofpQmOjcYa3u8/edit#gid=1878241338"",""S5 Totals!$A$2:$O$255""),3,FALSE)"),0.37349397590361444)</f>
        <v>0.3734939759</v>
      </c>
      <c r="D17" s="16">
        <f>IFERROR(__xludf.DUMMYFUNCTION("VLOOKUP(A17,IMPORTRANGE(""1QZ5UxyNCwadreQAXnQ7oCoH982DjIA-QnZdO7ZoqkC0/edit#gid=884617569"",""S5 Totals!$A$2:$O$255""),2,FALSE)"),20.0)</f>
        <v>20</v>
      </c>
      <c r="E17" s="15">
        <f>IFERROR(__xludf.DUMMYFUNCTION("VLOOKUP(A17,IMPORTRANGE(""1QZ5UxyNCwadreQAXnQ7oCoH982DjIA-QnZdO7ZoqkC0/edit#gid=884617569"",""S5 Totals!$A$2:$O$255""),3,FALSE)"),0.24096385542168675)</f>
        <v>0.2409638554</v>
      </c>
      <c r="F17" s="146">
        <f t="shared" si="1"/>
        <v>0.1325301205</v>
      </c>
      <c r="G17" s="16">
        <f>IFERROR(__xludf.DUMMYFUNCTION("VLOOKUP(A17,IMPORTRANGE(""1QZ5UxyNCwadreQAXnQ7oCoH982DjIA-QnZdO7ZoqkC0/edit#gid=884617569"",""S5 Totals!$A$2:$O$255""),4,FALSE)"),21.0)</f>
        <v>21</v>
      </c>
      <c r="H17" s="15">
        <f>IFERROR(__xludf.DUMMYFUNCTION("VLOOKUP(A17,IMPORTRANGE(""1QZ5UxyNCwadreQAXnQ7oCoH982DjIA-QnZdO7ZoqkC0/edit#gid=884617569"",""S5 Totals!$A$2:$O$255""),5,FALSE)"),0.42857142857142855)</f>
        <v>0.4285714286</v>
      </c>
      <c r="I17" s="143"/>
      <c r="J17" s="16">
        <f>IFERROR(__xludf.DUMMYFUNCTION("VLOOKUP(A17,IMPORTRANGE(""1QZ5UxyNCwadreQAXnQ7oCoH982DjIA-QnZdO7ZoqkC0/edit#gid=884617569"",""S5 Totals!$A$2:$O$255""),7,FALSE)"),19.0)</f>
        <v>19</v>
      </c>
      <c r="K17" s="15">
        <f>IFERROR(__xludf.DUMMYFUNCTION("VLOOKUP(A17,IMPORTRANGE(""1QZ5UxyNCwadreQAXnQ7oCoH982DjIA-QnZdO7ZoqkC0/edit#gid=884617569"",""S5 Totals!$A$2:$O$255""),8,FALSE)"),0.5588235294117647)</f>
        <v>0.5588235294</v>
      </c>
      <c r="L17" s="147"/>
      <c r="M17" s="16">
        <f>IFERROR(__xludf.DUMMYFUNCTION("VLOOKUP(A17,IMPORTRANGE(""1QZ5UxyNCwadreQAXnQ7oCoH982DjIA-QnZdO7ZoqkC0/edit#gid=884617569"",""S5 Totals!$A$2:$O$255""),10,FALSE)"),14.0)</f>
        <v>14</v>
      </c>
      <c r="N17" s="15">
        <f>IFERROR(__xludf.DUMMYFUNCTION("VLOOKUP(A17,IMPORTRANGE(""1QZ5UxyNCwadreQAXnQ7oCoH982DjIA-QnZdO7ZoqkC0/edit#gid=884617569"",""S5 Totals!$A$2:$O$255""),11,FALSE)"),0.4666666666666667)</f>
        <v>0.4666666667</v>
      </c>
      <c r="O17" s="110"/>
      <c r="P17" s="16">
        <f>IFERROR(__xludf.DUMMYFUNCTION("VLOOKUP(A17,IMPORTRANGE(""1QZ5UxyNCwadreQAXnQ7oCoH982DjIA-QnZdO7ZoqkC0/edit#gid=884617569"",""S5 Totals!$A$2:$O$255""),13,FALSE)"),8.0)</f>
        <v>8</v>
      </c>
      <c r="Q17" s="15">
        <f>IFERROR(__xludf.DUMMYFUNCTION("VLOOKUP(A17,IMPORTRANGE(""1QZ5UxyNCwadreQAXnQ7oCoH982DjIA-QnZdO7ZoqkC0/edit#gid=884617569"",""S5 Totals!$A$2:$O$255""),14,FALSE)"),0.2857142857142857)</f>
        <v>0.2857142857</v>
      </c>
      <c r="R17" s="110"/>
    </row>
    <row r="18">
      <c r="A18" s="128" t="s">
        <v>211</v>
      </c>
      <c r="B18" s="16">
        <f>IFERROR(__xludf.DUMMYFUNCTION("VLOOKUP(A18,IMPORTRANGE(""1aFCnJY1qhIj8-JckJhDJ18aqmVo17tofpQmOjcYa3u8/edit#gid=1878241338"",""S5 Totals!$A$2:$O$255""),2,FALSE)"),44.0)</f>
        <v>44</v>
      </c>
      <c r="C18" s="15">
        <f>IFERROR(__xludf.DUMMYFUNCTION("VLOOKUP(A18,IMPORTRANGE(""1aFCnJY1qhIj8-JckJhDJ18aqmVo17tofpQmOjcYa3u8/edit#gid=1878241338"",""S5 Totals!$A$2:$O$255""),3,FALSE)"),0.5301204819277109)</f>
        <v>0.5301204819</v>
      </c>
      <c r="D18" s="16">
        <f>IFERROR(__xludf.DUMMYFUNCTION("VLOOKUP(A18,IMPORTRANGE(""1QZ5UxyNCwadreQAXnQ7oCoH982DjIA-QnZdO7ZoqkC0/edit#gid=884617569"",""S5 Totals!$A$2:$O$255""),2,FALSE)"),39.0)</f>
        <v>39</v>
      </c>
      <c r="E18" s="15">
        <f>IFERROR(__xludf.DUMMYFUNCTION("VLOOKUP(A18,IMPORTRANGE(""1QZ5UxyNCwadreQAXnQ7oCoH982DjIA-QnZdO7ZoqkC0/edit#gid=884617569"",""S5 Totals!$A$2:$O$255""),3,FALSE)"),0.46987951807228917)</f>
        <v>0.4698795181</v>
      </c>
      <c r="F18" s="146">
        <f t="shared" si="1"/>
        <v>0.06024096386</v>
      </c>
      <c r="G18" s="16">
        <f>IFERROR(__xludf.DUMMYFUNCTION("VLOOKUP(A18,IMPORTRANGE(""1QZ5UxyNCwadreQAXnQ7oCoH982DjIA-QnZdO7ZoqkC0/edit#gid=884617569"",""S5 Totals!$A$2:$O$255""),4,FALSE)"),22.0)</f>
        <v>22</v>
      </c>
      <c r="H18" s="15">
        <f>IFERROR(__xludf.DUMMYFUNCTION("VLOOKUP(A18,IMPORTRANGE(""1QZ5UxyNCwadreQAXnQ7oCoH982DjIA-QnZdO7ZoqkC0/edit#gid=884617569"",""S5 Totals!$A$2:$O$255""),5,FALSE)"),0.4489795918367347)</f>
        <v>0.4489795918</v>
      </c>
      <c r="I18" s="143"/>
      <c r="J18" s="16" t="str">
        <f>IFERROR(__xludf.DUMMYFUNCTION("VLOOKUP(A18,IMPORTRANGE(""1QZ5UxyNCwadreQAXnQ7oCoH982DjIA-QnZdO7ZoqkC0/edit#gid=884617569"",""S5 Totals!$A$2:$O$255""),7,FALSE)"),"")</f>
        <v/>
      </c>
      <c r="K18" s="15" t="str">
        <f>IFERROR(__xludf.DUMMYFUNCTION("VLOOKUP(A18,IMPORTRANGE(""1QZ5UxyNCwadreQAXnQ7oCoH982DjIA-QnZdO7ZoqkC0/edit#gid=884617569"",""S5 Totals!$A$2:$O$255""),8,FALSE)"),"")</f>
        <v/>
      </c>
      <c r="L18" s="147"/>
      <c r="M18" s="16" t="str">
        <f>IFERROR(__xludf.DUMMYFUNCTION("VLOOKUP(A18,IMPORTRANGE(""1QZ5UxyNCwadreQAXnQ7oCoH982DjIA-QnZdO7ZoqkC0/edit#gid=884617569"",""S5 Totals!$A$2:$O$255""),10,FALSE)"),"")</f>
        <v/>
      </c>
      <c r="N18" s="15" t="str">
        <f>IFERROR(__xludf.DUMMYFUNCTION("VLOOKUP(A18,IMPORTRANGE(""1QZ5UxyNCwadreQAXnQ7oCoH982DjIA-QnZdO7ZoqkC0/edit#gid=884617569"",""S5 Totals!$A$2:$O$255""),11,FALSE)"),"")</f>
        <v/>
      </c>
      <c r="O18" s="110"/>
      <c r="P18" s="16" t="str">
        <f>IFERROR(__xludf.DUMMYFUNCTION("VLOOKUP(A18,IMPORTRANGE(""1QZ5UxyNCwadreQAXnQ7oCoH982DjIA-QnZdO7ZoqkC0/edit#gid=884617569"",""S5 Totals!$A$2:$O$255""),13,FALSE)"),"")</f>
        <v/>
      </c>
      <c r="Q18" s="15" t="str">
        <f>IFERROR(__xludf.DUMMYFUNCTION("VLOOKUP(A18,IMPORTRANGE(""1QZ5UxyNCwadreQAXnQ7oCoH982DjIA-QnZdO7ZoqkC0/edit#gid=884617569"",""S5 Totals!$A$2:$O$255""),14,FALSE)"),"")</f>
        <v/>
      </c>
      <c r="R18" s="110"/>
    </row>
    <row r="19">
      <c r="A19" s="128" t="s">
        <v>212</v>
      </c>
      <c r="B19" s="16">
        <f>IFERROR(__xludf.DUMMYFUNCTION("VLOOKUP(A19,IMPORTRANGE(""1aFCnJY1qhIj8-JckJhDJ18aqmVo17tofpQmOjcYa3u8/edit#gid=1878241338"",""S5 Totals!$A$2:$O$255""),2,FALSE)"),11.0)</f>
        <v>11</v>
      </c>
      <c r="C19" s="15">
        <f>IFERROR(__xludf.DUMMYFUNCTION("VLOOKUP(A19,IMPORTRANGE(""1aFCnJY1qhIj8-JckJhDJ18aqmVo17tofpQmOjcYa3u8/edit#gid=1878241338"",""S5 Totals!$A$2:$O$255""),3,FALSE)"),0.13253012048192772)</f>
        <v>0.1325301205</v>
      </c>
      <c r="D19" s="16">
        <f>IFERROR(__xludf.DUMMYFUNCTION("VLOOKUP(A19,IMPORTRANGE(""1QZ5UxyNCwadreQAXnQ7oCoH982DjIA-QnZdO7ZoqkC0/edit#gid=884617569"",""S5 Totals!$A$2:$O$255""),2,FALSE)"),14.0)</f>
        <v>14</v>
      </c>
      <c r="E19" s="15">
        <f>IFERROR(__xludf.DUMMYFUNCTION("VLOOKUP(A19,IMPORTRANGE(""1QZ5UxyNCwadreQAXnQ7oCoH982DjIA-QnZdO7ZoqkC0/edit#gid=884617569"",""S5 Totals!$A$2:$O$255""),3,FALSE)"),0.1686746987951807)</f>
        <v>0.1686746988</v>
      </c>
      <c r="F19" s="146">
        <f t="shared" si="1"/>
        <v>-0.03614457831</v>
      </c>
      <c r="G19" s="16">
        <f>IFERROR(__xludf.DUMMYFUNCTION("VLOOKUP(A19,IMPORTRANGE(""1QZ5UxyNCwadreQAXnQ7oCoH982DjIA-QnZdO7ZoqkC0/edit#gid=884617569"",""S5 Totals!$A$2:$O$255""),4,FALSE)"),0.0)</f>
        <v>0</v>
      </c>
      <c r="H19" s="15">
        <f>IFERROR(__xludf.DUMMYFUNCTION("VLOOKUP(A19,IMPORTRANGE(""1QZ5UxyNCwadreQAXnQ7oCoH982DjIA-QnZdO7ZoqkC0/edit#gid=884617569"",""S5 Totals!$A$2:$O$255""),5,FALSE)"),0.0)</f>
        <v>0</v>
      </c>
      <c r="I19" s="143"/>
      <c r="J19" s="16" t="str">
        <f>IFERROR(__xludf.DUMMYFUNCTION("VLOOKUP(A19,IMPORTRANGE(""1QZ5UxyNCwadreQAXnQ7oCoH982DjIA-QnZdO7ZoqkC0/edit#gid=884617569"",""S5 Totals!$A$2:$O$255""),7,FALSE)"),"")</f>
        <v/>
      </c>
      <c r="K19" s="15" t="str">
        <f>IFERROR(__xludf.DUMMYFUNCTION("VLOOKUP(A19,IMPORTRANGE(""1QZ5UxyNCwadreQAXnQ7oCoH982DjIA-QnZdO7ZoqkC0/edit#gid=884617569"",""S5 Totals!$A$2:$O$255""),8,FALSE)"),"")</f>
        <v/>
      </c>
      <c r="L19" s="147"/>
      <c r="M19" s="16" t="str">
        <f>IFERROR(__xludf.DUMMYFUNCTION("VLOOKUP(A19,IMPORTRANGE(""1QZ5UxyNCwadreQAXnQ7oCoH982DjIA-QnZdO7ZoqkC0/edit#gid=884617569"",""S5 Totals!$A$2:$O$255""),10,FALSE)"),"")</f>
        <v/>
      </c>
      <c r="N19" s="15" t="str">
        <f>IFERROR(__xludf.DUMMYFUNCTION("VLOOKUP(A19,IMPORTRANGE(""1QZ5UxyNCwadreQAXnQ7oCoH982DjIA-QnZdO7ZoqkC0/edit#gid=884617569"",""S5 Totals!$A$2:$O$255""),11,FALSE)"),"")</f>
        <v/>
      </c>
      <c r="O19" s="110"/>
      <c r="P19" s="16" t="str">
        <f>IFERROR(__xludf.DUMMYFUNCTION("VLOOKUP(A19,IMPORTRANGE(""1QZ5UxyNCwadreQAXnQ7oCoH982DjIA-QnZdO7ZoqkC0/edit#gid=884617569"",""S5 Totals!$A$2:$O$255""),13,FALSE)"),"")</f>
        <v/>
      </c>
      <c r="Q19" s="15" t="str">
        <f>IFERROR(__xludf.DUMMYFUNCTION("VLOOKUP(A19,IMPORTRANGE(""1QZ5UxyNCwadreQAXnQ7oCoH982DjIA-QnZdO7ZoqkC0/edit#gid=884617569"",""S5 Totals!$A$2:$O$255""),14,FALSE)"),"")</f>
        <v/>
      </c>
      <c r="R19" s="110"/>
    </row>
    <row r="20">
      <c r="A20" s="128" t="s">
        <v>57</v>
      </c>
      <c r="B20" s="16">
        <f>IFERROR(__xludf.DUMMYFUNCTION("VLOOKUP(A20,IMPORTRANGE(""1aFCnJY1qhIj8-JckJhDJ18aqmVo17tofpQmOjcYa3u8/edit#gid=1878241338"",""S5 Totals!$A$2:$O$255""),2,FALSE)"),27.0)</f>
        <v>27</v>
      </c>
      <c r="C20" s="15">
        <f>IFERROR(__xludf.DUMMYFUNCTION("VLOOKUP(A20,IMPORTRANGE(""1aFCnJY1qhIj8-JckJhDJ18aqmVo17tofpQmOjcYa3u8/edit#gid=1878241338"",""S5 Totals!$A$2:$O$255""),3,FALSE)"),0.3253012048192771)</f>
        <v>0.3253012048</v>
      </c>
      <c r="D20" s="16">
        <f>IFERROR(__xludf.DUMMYFUNCTION("VLOOKUP(A20,IMPORTRANGE(""1QZ5UxyNCwadreQAXnQ7oCoH982DjIA-QnZdO7ZoqkC0/edit#gid=884617569"",""S5 Totals!$A$2:$O$255""),2,FALSE)"),29.0)</f>
        <v>29</v>
      </c>
      <c r="E20" s="15">
        <f>IFERROR(__xludf.DUMMYFUNCTION("VLOOKUP(A20,IMPORTRANGE(""1QZ5UxyNCwadreQAXnQ7oCoH982DjIA-QnZdO7ZoqkC0/edit#gid=884617569"",""S5 Totals!$A$2:$O$255""),3,FALSE)"),0.3493975903614458)</f>
        <v>0.3493975904</v>
      </c>
      <c r="F20" s="146">
        <f t="shared" si="1"/>
        <v>-0.02409638554</v>
      </c>
      <c r="G20" s="16">
        <f>IFERROR(__xludf.DUMMYFUNCTION("VLOOKUP(A20,IMPORTRANGE(""1QZ5UxyNCwadreQAXnQ7oCoH982DjIA-QnZdO7ZoqkC0/edit#gid=884617569"",""S5 Totals!$A$2:$O$255""),4,FALSE)"),16.0)</f>
        <v>16</v>
      </c>
      <c r="H20" s="15">
        <f>IFERROR(__xludf.DUMMYFUNCTION("VLOOKUP(A20,IMPORTRANGE(""1QZ5UxyNCwadreQAXnQ7oCoH982DjIA-QnZdO7ZoqkC0/edit#gid=884617569"",""S5 Totals!$A$2:$O$255""),5,FALSE)"),0.32653061224489793)</f>
        <v>0.3265306122</v>
      </c>
      <c r="I20" s="143"/>
      <c r="J20" s="16">
        <f>IFERROR(__xludf.DUMMYFUNCTION("VLOOKUP(A20,IMPORTRANGE(""1QZ5UxyNCwadreQAXnQ7oCoH982DjIA-QnZdO7ZoqkC0/edit#gid=884617569"",""S5 Totals!$A$2:$O$255""),7,FALSE)"),13.0)</f>
        <v>13</v>
      </c>
      <c r="K20" s="15">
        <f>IFERROR(__xludf.DUMMYFUNCTION("VLOOKUP(A20,IMPORTRANGE(""1QZ5UxyNCwadreQAXnQ7oCoH982DjIA-QnZdO7ZoqkC0/edit#gid=884617569"",""S5 Totals!$A$2:$O$255""),8,FALSE)"),0.38235294117647056)</f>
        <v>0.3823529412</v>
      </c>
      <c r="L20" s="147"/>
      <c r="M20" s="16">
        <f>IFERROR(__xludf.DUMMYFUNCTION("VLOOKUP(A20,IMPORTRANGE(""1QZ5UxyNCwadreQAXnQ7oCoH982DjIA-QnZdO7ZoqkC0/edit#gid=884617569"",""S5 Totals!$A$2:$O$255""),10,FALSE)"),6.0)</f>
        <v>6</v>
      </c>
      <c r="N20" s="15">
        <f>IFERROR(__xludf.DUMMYFUNCTION("VLOOKUP(A20,IMPORTRANGE(""1QZ5UxyNCwadreQAXnQ7oCoH982DjIA-QnZdO7ZoqkC0/edit#gid=884617569"",""S5 Totals!$A$2:$O$255""),11,FALSE)"),0.2)</f>
        <v>0.2</v>
      </c>
      <c r="O20" s="110"/>
      <c r="P20" s="16">
        <f>IFERROR(__xludf.DUMMYFUNCTION("VLOOKUP(A20,IMPORTRANGE(""1QZ5UxyNCwadreQAXnQ7oCoH982DjIA-QnZdO7ZoqkC0/edit#gid=884617569"",""S5 Totals!$A$2:$O$255""),13,FALSE)"),5.0)</f>
        <v>5</v>
      </c>
      <c r="Q20" s="15">
        <f>IFERROR(__xludf.DUMMYFUNCTION("VLOOKUP(A20,IMPORTRANGE(""1QZ5UxyNCwadreQAXnQ7oCoH982DjIA-QnZdO7ZoqkC0/edit#gid=884617569"",""S5 Totals!$A$2:$O$255""),14,FALSE)"),0.17857142857142858)</f>
        <v>0.1785714286</v>
      </c>
      <c r="R20" s="110"/>
    </row>
    <row r="21">
      <c r="A21" s="128" t="s">
        <v>164</v>
      </c>
      <c r="B21" s="16">
        <f>IFERROR(__xludf.DUMMYFUNCTION("VLOOKUP(A21,IMPORTRANGE(""1aFCnJY1qhIj8-JckJhDJ18aqmVo17tofpQmOjcYa3u8/edit#gid=1878241338"",""S5 Totals!$A$2:$O$255""),2,FALSE)"),0.0)</f>
        <v>0</v>
      </c>
      <c r="C21" s="15">
        <f>IFERROR(__xludf.DUMMYFUNCTION("VLOOKUP(A21,IMPORTRANGE(""1aFCnJY1qhIj8-JckJhDJ18aqmVo17tofpQmOjcYa3u8/edit#gid=1878241338"",""S5 Totals!$A$2:$O$255""),3,FALSE)"),0.0)</f>
        <v>0</v>
      </c>
      <c r="D21" s="16">
        <f>IFERROR(__xludf.DUMMYFUNCTION("VLOOKUP(A21,IMPORTRANGE(""1QZ5UxyNCwadreQAXnQ7oCoH982DjIA-QnZdO7ZoqkC0/edit#gid=884617569"",""S5 Totals!$A$2:$O$255""),2,FALSE)"),0.0)</f>
        <v>0</v>
      </c>
      <c r="E21" s="15">
        <f>IFERROR(__xludf.DUMMYFUNCTION("VLOOKUP(A21,IMPORTRANGE(""1QZ5UxyNCwadreQAXnQ7oCoH982DjIA-QnZdO7ZoqkC0/edit#gid=884617569"",""S5 Totals!$A$2:$O$255""),3,FALSE)"),0.0)</f>
        <v>0</v>
      </c>
      <c r="F21" s="146">
        <f t="shared" si="1"/>
        <v>0</v>
      </c>
      <c r="G21" s="16">
        <f>IFERROR(__xludf.DUMMYFUNCTION("VLOOKUP(A21,IMPORTRANGE(""1QZ5UxyNCwadreQAXnQ7oCoH982DjIA-QnZdO7ZoqkC0/edit#gid=884617569"",""S5 Totals!$A$2:$O$255""),4,FALSE)"),0.0)</f>
        <v>0</v>
      </c>
      <c r="H21" s="15">
        <f>IFERROR(__xludf.DUMMYFUNCTION("VLOOKUP(A21,IMPORTRANGE(""1QZ5UxyNCwadreQAXnQ7oCoH982DjIA-QnZdO7ZoqkC0/edit#gid=884617569"",""S5 Totals!$A$2:$O$255""),5,FALSE)"),0.0)</f>
        <v>0</v>
      </c>
      <c r="I21" s="143"/>
      <c r="J21" s="16">
        <f>IFERROR(__xludf.DUMMYFUNCTION("VLOOKUP(A21,IMPORTRANGE(""1QZ5UxyNCwadreQAXnQ7oCoH982DjIA-QnZdO7ZoqkC0/edit#gid=884617569"",""S5 Totals!$A$2:$O$255""),7,FALSE)"),0.0)</f>
        <v>0</v>
      </c>
      <c r="K21" s="15">
        <f>IFERROR(__xludf.DUMMYFUNCTION("VLOOKUP(A21,IMPORTRANGE(""1QZ5UxyNCwadreQAXnQ7oCoH982DjIA-QnZdO7ZoqkC0/edit#gid=884617569"",""S5 Totals!$A$2:$O$255""),8,FALSE)"),0.0)</f>
        <v>0</v>
      </c>
      <c r="L21" s="147"/>
      <c r="M21" s="16" t="str">
        <f>IFERROR(__xludf.DUMMYFUNCTION("VLOOKUP(A21,IMPORTRANGE(""1QZ5UxyNCwadreQAXnQ7oCoH982DjIA-QnZdO7ZoqkC0/edit#gid=884617569"",""S5 Totals!$A$2:$O$255""),10,FALSE)"),"")</f>
        <v/>
      </c>
      <c r="N21" s="15" t="str">
        <f>IFERROR(__xludf.DUMMYFUNCTION("VLOOKUP(A21,IMPORTRANGE(""1QZ5UxyNCwadreQAXnQ7oCoH982DjIA-QnZdO7ZoqkC0/edit#gid=884617569"",""S5 Totals!$A$2:$O$255""),11,FALSE)"),"")</f>
        <v/>
      </c>
      <c r="O21" s="110"/>
      <c r="P21" s="16" t="str">
        <f>IFERROR(__xludf.DUMMYFUNCTION("VLOOKUP(A21,IMPORTRANGE(""1QZ5UxyNCwadreQAXnQ7oCoH982DjIA-QnZdO7ZoqkC0/edit#gid=884617569"",""S5 Totals!$A$2:$O$255""),13,FALSE)"),"")</f>
        <v/>
      </c>
      <c r="Q21" s="15" t="str">
        <f>IFERROR(__xludf.DUMMYFUNCTION("VLOOKUP(A21,IMPORTRANGE(""1QZ5UxyNCwadreQAXnQ7oCoH982DjIA-QnZdO7ZoqkC0/edit#gid=884617569"",""S5 Totals!$A$2:$O$255""),14,FALSE)"),"")</f>
        <v/>
      </c>
      <c r="R21" s="110"/>
    </row>
    <row r="22">
      <c r="A22" s="128" t="s">
        <v>165</v>
      </c>
      <c r="B22" s="16">
        <f>IFERROR(__xludf.DUMMYFUNCTION("VLOOKUP(A22,IMPORTRANGE(""1aFCnJY1qhIj8-JckJhDJ18aqmVo17tofpQmOjcYa3u8/edit#gid=1878241338"",""S5 Totals!$A$2:$O$255""),2,FALSE)"),5.0)</f>
        <v>5</v>
      </c>
      <c r="C22" s="15">
        <f>IFERROR(__xludf.DUMMYFUNCTION("VLOOKUP(A22,IMPORTRANGE(""1aFCnJY1qhIj8-JckJhDJ18aqmVo17tofpQmOjcYa3u8/edit#gid=1878241338"",""S5 Totals!$A$2:$O$255""),3,FALSE)"),0.060240963855421686)</f>
        <v>0.06024096386</v>
      </c>
      <c r="D22" s="16">
        <f>IFERROR(__xludf.DUMMYFUNCTION("VLOOKUP(A22,IMPORTRANGE(""1QZ5UxyNCwadreQAXnQ7oCoH982DjIA-QnZdO7ZoqkC0/edit#gid=884617569"",""S5 Totals!$A$2:$O$255""),2,FALSE)"),5.0)</f>
        <v>5</v>
      </c>
      <c r="E22" s="15">
        <f>IFERROR(__xludf.DUMMYFUNCTION("VLOOKUP(A22,IMPORTRANGE(""1QZ5UxyNCwadreQAXnQ7oCoH982DjIA-QnZdO7ZoqkC0/edit#gid=884617569"",""S5 Totals!$A$2:$O$255""),3,FALSE)"),0.060240963855421686)</f>
        <v>0.06024096386</v>
      </c>
      <c r="F22" s="146">
        <f t="shared" si="1"/>
        <v>0</v>
      </c>
      <c r="G22" s="16">
        <f>IFERROR(__xludf.DUMMYFUNCTION("VLOOKUP(A22,IMPORTRANGE(""1QZ5UxyNCwadreQAXnQ7oCoH982DjIA-QnZdO7ZoqkC0/edit#gid=884617569"",""S5 Totals!$A$2:$O$255""),4,FALSE)"),3.0)</f>
        <v>3</v>
      </c>
      <c r="H22" s="15">
        <f>IFERROR(__xludf.DUMMYFUNCTION("VLOOKUP(A22,IMPORTRANGE(""1QZ5UxyNCwadreQAXnQ7oCoH982DjIA-QnZdO7ZoqkC0/edit#gid=884617569"",""S5 Totals!$A$2:$O$255""),5,FALSE)"),0.061224489795918366)</f>
        <v>0.0612244898</v>
      </c>
      <c r="I22" s="143"/>
      <c r="J22" s="16">
        <f>IFERROR(__xludf.DUMMYFUNCTION("VLOOKUP(A22,IMPORTRANGE(""1QZ5UxyNCwadreQAXnQ7oCoH982DjIA-QnZdO7ZoqkC0/edit#gid=884617569"",""S5 Totals!$A$2:$O$255""),7,FALSE)"),0.0)</f>
        <v>0</v>
      </c>
      <c r="K22" s="15">
        <f>IFERROR(__xludf.DUMMYFUNCTION("VLOOKUP(A22,IMPORTRANGE(""1QZ5UxyNCwadreQAXnQ7oCoH982DjIA-QnZdO7ZoqkC0/edit#gid=884617569"",""S5 Totals!$A$2:$O$255""),8,FALSE)"),0.0)</f>
        <v>0</v>
      </c>
      <c r="L22" s="147"/>
      <c r="M22" s="16" t="str">
        <f>IFERROR(__xludf.DUMMYFUNCTION("VLOOKUP(A22,IMPORTRANGE(""1QZ5UxyNCwadreQAXnQ7oCoH982DjIA-QnZdO7ZoqkC0/edit#gid=884617569"",""S5 Totals!$A$2:$O$255""),10,FALSE)"),"")</f>
        <v/>
      </c>
      <c r="N22" s="15" t="str">
        <f>IFERROR(__xludf.DUMMYFUNCTION("VLOOKUP(A22,IMPORTRANGE(""1QZ5UxyNCwadreQAXnQ7oCoH982DjIA-QnZdO7ZoqkC0/edit#gid=884617569"",""S5 Totals!$A$2:$O$255""),11,FALSE)"),"")</f>
        <v/>
      </c>
      <c r="O22" s="110"/>
      <c r="P22" s="16" t="str">
        <f>IFERROR(__xludf.DUMMYFUNCTION("VLOOKUP(A22,IMPORTRANGE(""1QZ5UxyNCwadreQAXnQ7oCoH982DjIA-QnZdO7ZoqkC0/edit#gid=884617569"",""S5 Totals!$A$2:$O$255""),13,FALSE)"),"")</f>
        <v/>
      </c>
      <c r="Q22" s="15" t="str">
        <f>IFERROR(__xludf.DUMMYFUNCTION("VLOOKUP(A22,IMPORTRANGE(""1QZ5UxyNCwadreQAXnQ7oCoH982DjIA-QnZdO7ZoqkC0/edit#gid=884617569"",""S5 Totals!$A$2:$O$255""),14,FALSE)"),"")</f>
        <v/>
      </c>
      <c r="R22" s="110"/>
    </row>
    <row r="23">
      <c r="A23" s="128" t="s">
        <v>213</v>
      </c>
      <c r="B23" s="16">
        <f>IFERROR(__xludf.DUMMYFUNCTION("VLOOKUP(A23,IMPORTRANGE(""1aFCnJY1qhIj8-JckJhDJ18aqmVo17tofpQmOjcYa3u8/edit#gid=1878241338"",""S5 Totals!$A$2:$O$255""),2,FALSE)"),0.0)</f>
        <v>0</v>
      </c>
      <c r="C23" s="15">
        <f>IFERROR(__xludf.DUMMYFUNCTION("VLOOKUP(A23,IMPORTRANGE(""1aFCnJY1qhIj8-JckJhDJ18aqmVo17tofpQmOjcYa3u8/edit#gid=1878241338"",""S5 Totals!$A$2:$O$255""),3,FALSE)"),0.0)</f>
        <v>0</v>
      </c>
      <c r="D23" s="16">
        <f>IFERROR(__xludf.DUMMYFUNCTION("VLOOKUP(A23,IMPORTRANGE(""1QZ5UxyNCwadreQAXnQ7oCoH982DjIA-QnZdO7ZoqkC0/edit#gid=884617569"",""S5 Totals!$A$2:$O$255""),2,FALSE)"),0.0)</f>
        <v>0</v>
      </c>
      <c r="E23" s="15">
        <f>IFERROR(__xludf.DUMMYFUNCTION("VLOOKUP(A23,IMPORTRANGE(""1QZ5UxyNCwadreQAXnQ7oCoH982DjIA-QnZdO7ZoqkC0/edit#gid=884617569"",""S5 Totals!$A$2:$O$255""),3,FALSE)"),0.0)</f>
        <v>0</v>
      </c>
      <c r="F23" s="146">
        <f t="shared" si="1"/>
        <v>0</v>
      </c>
      <c r="G23" s="16">
        <f>IFERROR(__xludf.DUMMYFUNCTION("VLOOKUP(A23,IMPORTRANGE(""1QZ5UxyNCwadreQAXnQ7oCoH982DjIA-QnZdO7ZoqkC0/edit#gid=884617569"",""S5 Totals!$A$2:$O$255""),4,FALSE)"),0.0)</f>
        <v>0</v>
      </c>
      <c r="H23" s="15">
        <f>IFERROR(__xludf.DUMMYFUNCTION("VLOOKUP(A23,IMPORTRANGE(""1QZ5UxyNCwadreQAXnQ7oCoH982DjIA-QnZdO7ZoqkC0/edit#gid=884617569"",""S5 Totals!$A$2:$O$255""),5,FALSE)"),0.0)</f>
        <v>0</v>
      </c>
      <c r="I23" s="143"/>
      <c r="J23" s="16" t="str">
        <f>IFERROR(__xludf.DUMMYFUNCTION("VLOOKUP(A23,IMPORTRANGE(""1QZ5UxyNCwadreQAXnQ7oCoH982DjIA-QnZdO7ZoqkC0/edit#gid=884617569"",""S5 Totals!$A$2:$O$255""),7,FALSE)"),"")</f>
        <v/>
      </c>
      <c r="K23" s="15" t="str">
        <f>IFERROR(__xludf.DUMMYFUNCTION("VLOOKUP(A23,IMPORTRANGE(""1QZ5UxyNCwadreQAXnQ7oCoH982DjIA-QnZdO7ZoqkC0/edit#gid=884617569"",""S5 Totals!$A$2:$O$255""),8,FALSE)"),"")</f>
        <v/>
      </c>
      <c r="L23" s="147"/>
      <c r="M23" s="16" t="str">
        <f>IFERROR(__xludf.DUMMYFUNCTION("VLOOKUP(A23,IMPORTRANGE(""1QZ5UxyNCwadreQAXnQ7oCoH982DjIA-QnZdO7ZoqkC0/edit#gid=884617569"",""S5 Totals!$A$2:$O$255""),10,FALSE)"),"")</f>
        <v/>
      </c>
      <c r="N23" s="15" t="str">
        <f>IFERROR(__xludf.DUMMYFUNCTION("VLOOKUP(A23,IMPORTRANGE(""1QZ5UxyNCwadreQAXnQ7oCoH982DjIA-QnZdO7ZoqkC0/edit#gid=884617569"",""S5 Totals!$A$2:$O$255""),11,FALSE)"),"")</f>
        <v/>
      </c>
      <c r="O23" s="110"/>
      <c r="P23" s="16" t="str">
        <f>IFERROR(__xludf.DUMMYFUNCTION("VLOOKUP(A23,IMPORTRANGE(""1QZ5UxyNCwadreQAXnQ7oCoH982DjIA-QnZdO7ZoqkC0/edit#gid=884617569"",""S5 Totals!$A$2:$O$255""),13,FALSE)"),"")</f>
        <v/>
      </c>
      <c r="Q23" s="15" t="str">
        <f>IFERROR(__xludf.DUMMYFUNCTION("VLOOKUP(A23,IMPORTRANGE(""1QZ5UxyNCwadreQAXnQ7oCoH982DjIA-QnZdO7ZoqkC0/edit#gid=884617569"",""S5 Totals!$A$2:$O$255""),14,FALSE)"),"")</f>
        <v/>
      </c>
      <c r="R23" s="110"/>
    </row>
    <row r="24">
      <c r="A24" s="128" t="s">
        <v>31</v>
      </c>
      <c r="B24" s="16">
        <f>IFERROR(__xludf.DUMMYFUNCTION("VLOOKUP(A24,IMPORTRANGE(""1aFCnJY1qhIj8-JckJhDJ18aqmVo17tofpQmOjcYa3u8/edit#gid=1878241338"",""S5 Totals!$A$2:$O$255""),2,FALSE)"),45.0)</f>
        <v>45</v>
      </c>
      <c r="C24" s="15">
        <f>IFERROR(__xludf.DUMMYFUNCTION("VLOOKUP(A24,IMPORTRANGE(""1aFCnJY1qhIj8-JckJhDJ18aqmVo17tofpQmOjcYa3u8/edit#gid=1878241338"",""S5 Totals!$A$2:$O$255""),3,FALSE)"),0.5421686746987951)</f>
        <v>0.5421686747</v>
      </c>
      <c r="D24" s="16">
        <f>IFERROR(__xludf.DUMMYFUNCTION("VLOOKUP(A24,IMPORTRANGE(""1QZ5UxyNCwadreQAXnQ7oCoH982DjIA-QnZdO7ZoqkC0/edit#gid=884617569"",""S5 Totals!$A$2:$O$255""),2,FALSE)"),35.0)</f>
        <v>35</v>
      </c>
      <c r="E24" s="15">
        <f>IFERROR(__xludf.DUMMYFUNCTION("VLOOKUP(A24,IMPORTRANGE(""1QZ5UxyNCwadreQAXnQ7oCoH982DjIA-QnZdO7ZoqkC0/edit#gid=884617569"",""S5 Totals!$A$2:$O$255""),3,FALSE)"),0.42168674698795183)</f>
        <v>0.421686747</v>
      </c>
      <c r="F24" s="146">
        <f t="shared" si="1"/>
        <v>0.1204819277</v>
      </c>
      <c r="G24" s="16">
        <f>IFERROR(__xludf.DUMMYFUNCTION("VLOOKUP(A24,IMPORTRANGE(""1QZ5UxyNCwadreQAXnQ7oCoH982DjIA-QnZdO7ZoqkC0/edit#gid=884617569"",""S5 Totals!$A$2:$O$255""),4,FALSE)"),22.0)</f>
        <v>22</v>
      </c>
      <c r="H24" s="15">
        <f>IFERROR(__xludf.DUMMYFUNCTION("VLOOKUP(A24,IMPORTRANGE(""1QZ5UxyNCwadreQAXnQ7oCoH982DjIA-QnZdO7ZoqkC0/edit#gid=884617569"",""S5 Totals!$A$2:$O$255""),5,FALSE)"),0.4489795918367347)</f>
        <v>0.4489795918</v>
      </c>
      <c r="I24" s="143"/>
      <c r="J24" s="16">
        <f>IFERROR(__xludf.DUMMYFUNCTION("VLOOKUP(A24,IMPORTRANGE(""1QZ5UxyNCwadreQAXnQ7oCoH982DjIA-QnZdO7ZoqkC0/edit#gid=884617569"",""S5 Totals!$A$2:$O$255""),7,FALSE)"),20.0)</f>
        <v>20</v>
      </c>
      <c r="K24" s="15">
        <f>IFERROR(__xludf.DUMMYFUNCTION("VLOOKUP(A24,IMPORTRANGE(""1QZ5UxyNCwadreQAXnQ7oCoH982DjIA-QnZdO7ZoqkC0/edit#gid=884617569"",""S5 Totals!$A$2:$O$255""),8,FALSE)"),0.5882352941176471)</f>
        <v>0.5882352941</v>
      </c>
      <c r="L24" s="147"/>
      <c r="M24" s="16">
        <f>IFERROR(__xludf.DUMMYFUNCTION("VLOOKUP(A24,IMPORTRANGE(""1QZ5UxyNCwadreQAXnQ7oCoH982DjIA-QnZdO7ZoqkC0/edit#gid=884617569"",""S5 Totals!$A$2:$O$255""),10,FALSE)"),16.0)</f>
        <v>16</v>
      </c>
      <c r="N24" s="15">
        <f>IFERROR(__xludf.DUMMYFUNCTION("VLOOKUP(A24,IMPORTRANGE(""1QZ5UxyNCwadreQAXnQ7oCoH982DjIA-QnZdO7ZoqkC0/edit#gid=884617569"",""S5 Totals!$A$2:$O$255""),11,FALSE)"),0.5333333333333333)</f>
        <v>0.5333333333</v>
      </c>
      <c r="O24" s="110"/>
      <c r="P24" s="16">
        <f>IFERROR(__xludf.DUMMYFUNCTION("VLOOKUP(A24,IMPORTRANGE(""1QZ5UxyNCwadreQAXnQ7oCoH982DjIA-QnZdO7ZoqkC0/edit#gid=884617569"",""S5 Totals!$A$2:$O$255""),13,FALSE)"),9.0)</f>
        <v>9</v>
      </c>
      <c r="Q24" s="15">
        <f>IFERROR(__xludf.DUMMYFUNCTION("VLOOKUP(A24,IMPORTRANGE(""1QZ5UxyNCwadreQAXnQ7oCoH982DjIA-QnZdO7ZoqkC0/edit#gid=884617569"",""S5 Totals!$A$2:$O$255""),14,FALSE)"),0.32142857142857145)</f>
        <v>0.3214285714</v>
      </c>
      <c r="R24" s="110"/>
    </row>
    <row r="25">
      <c r="A25" s="128" t="s">
        <v>214</v>
      </c>
      <c r="B25" s="16">
        <f>IFERROR(__xludf.DUMMYFUNCTION("VLOOKUP(A25,IMPORTRANGE(""1aFCnJY1qhIj8-JckJhDJ18aqmVo17tofpQmOjcYa3u8/edit#gid=1878241338"",""S5 Totals!$A$2:$O$255""),2,FALSE)"),0.0)</f>
        <v>0</v>
      </c>
      <c r="C25" s="15">
        <f>IFERROR(__xludf.DUMMYFUNCTION("VLOOKUP(A25,IMPORTRANGE(""1aFCnJY1qhIj8-JckJhDJ18aqmVo17tofpQmOjcYa3u8/edit#gid=1878241338"",""S5 Totals!$A$2:$O$255""),3,FALSE)"),0.0)</f>
        <v>0</v>
      </c>
      <c r="D25" s="16">
        <f>IFERROR(__xludf.DUMMYFUNCTION("VLOOKUP(A25,IMPORTRANGE(""1QZ5UxyNCwadreQAXnQ7oCoH982DjIA-QnZdO7ZoqkC0/edit#gid=884617569"",""S5 Totals!$A$2:$O$255""),2,FALSE)"),0.0)</f>
        <v>0</v>
      </c>
      <c r="E25" s="15">
        <f>IFERROR(__xludf.DUMMYFUNCTION("VLOOKUP(A25,IMPORTRANGE(""1QZ5UxyNCwadreQAXnQ7oCoH982DjIA-QnZdO7ZoqkC0/edit#gid=884617569"",""S5 Totals!$A$2:$O$255""),3,FALSE)"),0.0)</f>
        <v>0</v>
      </c>
      <c r="F25" s="146">
        <f t="shared" si="1"/>
        <v>0</v>
      </c>
      <c r="G25" s="16">
        <f>IFERROR(__xludf.DUMMYFUNCTION("VLOOKUP(A25,IMPORTRANGE(""1QZ5UxyNCwadreQAXnQ7oCoH982DjIA-QnZdO7ZoqkC0/edit#gid=884617569"",""S5 Totals!$A$2:$O$255""),4,FALSE)"),0.0)</f>
        <v>0</v>
      </c>
      <c r="H25" s="15">
        <f>IFERROR(__xludf.DUMMYFUNCTION("VLOOKUP(A25,IMPORTRANGE(""1QZ5UxyNCwadreQAXnQ7oCoH982DjIA-QnZdO7ZoqkC0/edit#gid=884617569"",""S5 Totals!$A$2:$O$255""),5,FALSE)"),0.0)</f>
        <v>0</v>
      </c>
      <c r="I25" s="143"/>
      <c r="J25" s="16" t="str">
        <f>IFERROR(__xludf.DUMMYFUNCTION("VLOOKUP(A25,IMPORTRANGE(""1QZ5UxyNCwadreQAXnQ7oCoH982DjIA-QnZdO7ZoqkC0/edit#gid=884617569"",""S5 Totals!$A$2:$O$255""),7,FALSE)"),"")</f>
        <v/>
      </c>
      <c r="K25" s="15" t="str">
        <f>IFERROR(__xludf.DUMMYFUNCTION("VLOOKUP(A25,IMPORTRANGE(""1QZ5UxyNCwadreQAXnQ7oCoH982DjIA-QnZdO7ZoqkC0/edit#gid=884617569"",""S5 Totals!$A$2:$O$255""),8,FALSE)"),"")</f>
        <v/>
      </c>
      <c r="L25" s="147"/>
      <c r="M25" s="16" t="str">
        <f>IFERROR(__xludf.DUMMYFUNCTION("VLOOKUP(A25,IMPORTRANGE(""1QZ5UxyNCwadreQAXnQ7oCoH982DjIA-QnZdO7ZoqkC0/edit#gid=884617569"",""S5 Totals!$A$2:$O$255""),10,FALSE)"),"")</f>
        <v/>
      </c>
      <c r="N25" s="15" t="str">
        <f>IFERROR(__xludf.DUMMYFUNCTION("VLOOKUP(A25,IMPORTRANGE(""1QZ5UxyNCwadreQAXnQ7oCoH982DjIA-QnZdO7ZoqkC0/edit#gid=884617569"",""S5 Totals!$A$2:$O$255""),11,FALSE)"),"")</f>
        <v/>
      </c>
      <c r="O25" s="110"/>
      <c r="P25" s="16" t="str">
        <f>IFERROR(__xludf.DUMMYFUNCTION("VLOOKUP(A25,IMPORTRANGE(""1QZ5UxyNCwadreQAXnQ7oCoH982DjIA-QnZdO7ZoqkC0/edit#gid=884617569"",""S5 Totals!$A$2:$O$255""),13,FALSE)"),"")</f>
        <v/>
      </c>
      <c r="Q25" s="15" t="str">
        <f>IFERROR(__xludf.DUMMYFUNCTION("VLOOKUP(A25,IMPORTRANGE(""1QZ5UxyNCwadreQAXnQ7oCoH982DjIA-QnZdO7ZoqkC0/edit#gid=884617569"",""S5 Totals!$A$2:$O$255""),14,FALSE)"),"")</f>
        <v/>
      </c>
      <c r="R25" s="110"/>
    </row>
    <row r="26">
      <c r="A26" s="128" t="s">
        <v>215</v>
      </c>
      <c r="B26" s="16">
        <f>IFERROR(__xludf.DUMMYFUNCTION("VLOOKUP(A26,IMPORTRANGE(""1aFCnJY1qhIj8-JckJhDJ18aqmVo17tofpQmOjcYa3u8/edit#gid=1878241338"",""S5 Totals!$A$2:$O$255""),2,FALSE)"),15.0)</f>
        <v>15</v>
      </c>
      <c r="C26" s="15">
        <f>IFERROR(__xludf.DUMMYFUNCTION("VLOOKUP(A26,IMPORTRANGE(""1aFCnJY1qhIj8-JckJhDJ18aqmVo17tofpQmOjcYa3u8/edit#gid=1878241338"",""S5 Totals!$A$2:$O$255""),3,FALSE)"),0.18072289156626506)</f>
        <v>0.1807228916</v>
      </c>
      <c r="D26" s="16">
        <f>IFERROR(__xludf.DUMMYFUNCTION("VLOOKUP(A26,IMPORTRANGE(""1QZ5UxyNCwadreQAXnQ7oCoH982DjIA-QnZdO7ZoqkC0/edit#gid=884617569"",""S5 Totals!$A$2:$O$255""),2,FALSE)"),10.0)</f>
        <v>10</v>
      </c>
      <c r="E26" s="15">
        <f>IFERROR(__xludf.DUMMYFUNCTION("VLOOKUP(A26,IMPORTRANGE(""1QZ5UxyNCwadreQAXnQ7oCoH982DjIA-QnZdO7ZoqkC0/edit#gid=884617569"",""S5 Totals!$A$2:$O$255""),3,FALSE)"),0.12048192771084337)</f>
        <v>0.1204819277</v>
      </c>
      <c r="F26" s="146">
        <f t="shared" si="1"/>
        <v>0.06024096386</v>
      </c>
      <c r="G26" s="16">
        <f>IFERROR(__xludf.DUMMYFUNCTION("VLOOKUP(A26,IMPORTRANGE(""1QZ5UxyNCwadreQAXnQ7oCoH982DjIA-QnZdO7ZoqkC0/edit#gid=884617569"",""S5 Totals!$A$2:$O$255""),4,FALSE)"),5.0)</f>
        <v>5</v>
      </c>
      <c r="H26" s="15">
        <f>IFERROR(__xludf.DUMMYFUNCTION("VLOOKUP(A26,IMPORTRANGE(""1QZ5UxyNCwadreQAXnQ7oCoH982DjIA-QnZdO7ZoqkC0/edit#gid=884617569"",""S5 Totals!$A$2:$O$255""),5,FALSE)"),0.10204081632653061)</f>
        <v>0.1020408163</v>
      </c>
      <c r="I26" s="143"/>
      <c r="J26" s="16" t="str">
        <f>IFERROR(__xludf.DUMMYFUNCTION("VLOOKUP(A26,IMPORTRANGE(""1QZ5UxyNCwadreQAXnQ7oCoH982DjIA-QnZdO7ZoqkC0/edit#gid=884617569"",""S5 Totals!$A$2:$O$255""),7,FALSE)"),"")</f>
        <v/>
      </c>
      <c r="K26" s="15" t="str">
        <f>IFERROR(__xludf.DUMMYFUNCTION("VLOOKUP(A26,IMPORTRANGE(""1QZ5UxyNCwadreQAXnQ7oCoH982DjIA-QnZdO7ZoqkC0/edit#gid=884617569"",""S5 Totals!$A$2:$O$255""),8,FALSE)"),"")</f>
        <v/>
      </c>
      <c r="L26" s="147"/>
      <c r="M26" s="16" t="str">
        <f>IFERROR(__xludf.DUMMYFUNCTION("VLOOKUP(A26,IMPORTRANGE(""1QZ5UxyNCwadreQAXnQ7oCoH982DjIA-QnZdO7ZoqkC0/edit#gid=884617569"",""S5 Totals!$A$2:$O$255""),10,FALSE)"),"")</f>
        <v/>
      </c>
      <c r="N26" s="15" t="str">
        <f>IFERROR(__xludf.DUMMYFUNCTION("VLOOKUP(A26,IMPORTRANGE(""1QZ5UxyNCwadreQAXnQ7oCoH982DjIA-QnZdO7ZoqkC0/edit#gid=884617569"",""S5 Totals!$A$2:$O$255""),11,FALSE)"),"")</f>
        <v/>
      </c>
      <c r="O26" s="110"/>
      <c r="P26" s="16" t="str">
        <f>IFERROR(__xludf.DUMMYFUNCTION("VLOOKUP(A26,IMPORTRANGE(""1QZ5UxyNCwadreQAXnQ7oCoH982DjIA-QnZdO7ZoqkC0/edit#gid=884617569"",""S5 Totals!$A$2:$O$255""),13,FALSE)"),"")</f>
        <v/>
      </c>
      <c r="Q26" s="15" t="str">
        <f>IFERROR(__xludf.DUMMYFUNCTION("VLOOKUP(A26,IMPORTRANGE(""1QZ5UxyNCwadreQAXnQ7oCoH982DjIA-QnZdO7ZoqkC0/edit#gid=884617569"",""S5 Totals!$A$2:$O$255""),14,FALSE)"),"")</f>
        <v/>
      </c>
      <c r="R26" s="110"/>
    </row>
    <row r="27">
      <c r="A27" s="128" t="s">
        <v>216</v>
      </c>
      <c r="B27" s="16">
        <f>IFERROR(__xludf.DUMMYFUNCTION("VLOOKUP(A27,IMPORTRANGE(""1aFCnJY1qhIj8-JckJhDJ18aqmVo17tofpQmOjcYa3u8/edit#gid=1878241338"",""S5 Totals!$A$2:$O$255""),2,FALSE)"),1.0)</f>
        <v>1</v>
      </c>
      <c r="C27" s="15">
        <f>IFERROR(__xludf.DUMMYFUNCTION("VLOOKUP(A27,IMPORTRANGE(""1aFCnJY1qhIj8-JckJhDJ18aqmVo17tofpQmOjcYa3u8/edit#gid=1878241338"",""S5 Totals!$A$2:$O$255""),3,FALSE)"),0.012048192771084338)</f>
        <v>0.01204819277</v>
      </c>
      <c r="D27" s="16">
        <f>IFERROR(__xludf.DUMMYFUNCTION("VLOOKUP(A27,IMPORTRANGE(""1QZ5UxyNCwadreQAXnQ7oCoH982DjIA-QnZdO7ZoqkC0/edit#gid=884617569"",""S5 Totals!$A$2:$O$255""),2,FALSE)"),0.0)</f>
        <v>0</v>
      </c>
      <c r="E27" s="15">
        <f>IFERROR(__xludf.DUMMYFUNCTION("VLOOKUP(A27,IMPORTRANGE(""1QZ5UxyNCwadreQAXnQ7oCoH982DjIA-QnZdO7ZoqkC0/edit#gid=884617569"",""S5 Totals!$A$2:$O$255""),3,FALSE)"),0.0)</f>
        <v>0</v>
      </c>
      <c r="F27" s="146">
        <f t="shared" si="1"/>
        <v>0.01204819277</v>
      </c>
      <c r="G27" s="16">
        <f>IFERROR(__xludf.DUMMYFUNCTION("VLOOKUP(A27,IMPORTRANGE(""1QZ5UxyNCwadreQAXnQ7oCoH982DjIA-QnZdO7ZoqkC0/edit#gid=884617569"",""S5 Totals!$A$2:$O$255""),4,FALSE)"),0.0)</f>
        <v>0</v>
      </c>
      <c r="H27" s="15">
        <f>IFERROR(__xludf.DUMMYFUNCTION("VLOOKUP(A27,IMPORTRANGE(""1QZ5UxyNCwadreQAXnQ7oCoH982DjIA-QnZdO7ZoqkC0/edit#gid=884617569"",""S5 Totals!$A$2:$O$255""),5,FALSE)"),0.0)</f>
        <v>0</v>
      </c>
      <c r="I27" s="143"/>
      <c r="J27" s="16" t="str">
        <f>IFERROR(__xludf.DUMMYFUNCTION("VLOOKUP(A27,IMPORTRANGE(""1QZ5UxyNCwadreQAXnQ7oCoH982DjIA-QnZdO7ZoqkC0/edit#gid=884617569"",""S5 Totals!$A$2:$O$255""),7,FALSE)"),"")</f>
        <v/>
      </c>
      <c r="K27" s="15" t="str">
        <f>IFERROR(__xludf.DUMMYFUNCTION("VLOOKUP(A27,IMPORTRANGE(""1QZ5UxyNCwadreQAXnQ7oCoH982DjIA-QnZdO7ZoqkC0/edit#gid=884617569"",""S5 Totals!$A$2:$O$255""),8,FALSE)"),"")</f>
        <v/>
      </c>
      <c r="L27" s="147"/>
      <c r="M27" s="16" t="str">
        <f>IFERROR(__xludf.DUMMYFUNCTION("VLOOKUP(A27,IMPORTRANGE(""1QZ5UxyNCwadreQAXnQ7oCoH982DjIA-QnZdO7ZoqkC0/edit#gid=884617569"",""S5 Totals!$A$2:$O$255""),10,FALSE)"),"")</f>
        <v/>
      </c>
      <c r="N27" s="15" t="str">
        <f>IFERROR(__xludf.DUMMYFUNCTION("VLOOKUP(A27,IMPORTRANGE(""1QZ5UxyNCwadreQAXnQ7oCoH982DjIA-QnZdO7ZoqkC0/edit#gid=884617569"",""S5 Totals!$A$2:$O$255""),11,FALSE)"),"")</f>
        <v/>
      </c>
      <c r="O27" s="110"/>
      <c r="P27" s="16" t="str">
        <f>IFERROR(__xludf.DUMMYFUNCTION("VLOOKUP(A27,IMPORTRANGE(""1QZ5UxyNCwadreQAXnQ7oCoH982DjIA-QnZdO7ZoqkC0/edit#gid=884617569"",""S5 Totals!$A$2:$O$255""),13,FALSE)"),"")</f>
        <v/>
      </c>
      <c r="Q27" s="15" t="str">
        <f>IFERROR(__xludf.DUMMYFUNCTION("VLOOKUP(A27,IMPORTRANGE(""1QZ5UxyNCwadreQAXnQ7oCoH982DjIA-QnZdO7ZoqkC0/edit#gid=884617569"",""S5 Totals!$A$2:$O$255""),14,FALSE)"),"")</f>
        <v/>
      </c>
      <c r="R27" s="110"/>
    </row>
    <row r="28">
      <c r="A28" s="128" t="s">
        <v>114</v>
      </c>
      <c r="B28" s="16">
        <f>IFERROR(__xludf.DUMMYFUNCTION("VLOOKUP(A28,IMPORTRANGE(""1aFCnJY1qhIj8-JckJhDJ18aqmVo17tofpQmOjcYa3u8/edit#gid=1878241338"",""S5 Totals!$A$2:$O$255""),2,FALSE)"),1.0)</f>
        <v>1</v>
      </c>
      <c r="C28" s="15">
        <f>IFERROR(__xludf.DUMMYFUNCTION("VLOOKUP(A28,IMPORTRANGE(""1aFCnJY1qhIj8-JckJhDJ18aqmVo17tofpQmOjcYa3u8/edit#gid=1878241338"",""S5 Totals!$A$2:$O$255""),3,FALSE)"),0.012048192771084338)</f>
        <v>0.01204819277</v>
      </c>
      <c r="D28" s="16">
        <f>IFERROR(__xludf.DUMMYFUNCTION("VLOOKUP(A28,IMPORTRANGE(""1QZ5UxyNCwadreQAXnQ7oCoH982DjIA-QnZdO7ZoqkC0/edit#gid=884617569"",""S5 Totals!$A$2:$O$255""),2,FALSE)"),2.0)</f>
        <v>2</v>
      </c>
      <c r="E28" s="15">
        <f>IFERROR(__xludf.DUMMYFUNCTION("VLOOKUP(A28,IMPORTRANGE(""1QZ5UxyNCwadreQAXnQ7oCoH982DjIA-QnZdO7ZoqkC0/edit#gid=884617569"",""S5 Totals!$A$2:$O$255""),3,FALSE)"),0.024096385542168676)</f>
        <v>0.02409638554</v>
      </c>
      <c r="F28" s="146">
        <f t="shared" si="1"/>
        <v>-0.01204819277</v>
      </c>
      <c r="G28" s="16">
        <f>IFERROR(__xludf.DUMMYFUNCTION("VLOOKUP(A28,IMPORTRANGE(""1QZ5UxyNCwadreQAXnQ7oCoH982DjIA-QnZdO7ZoqkC0/edit#gid=884617569"",""S5 Totals!$A$2:$O$255""),4,FALSE)"),2.0)</f>
        <v>2</v>
      </c>
      <c r="H28" s="15">
        <f>IFERROR(__xludf.DUMMYFUNCTION("VLOOKUP(A28,IMPORTRANGE(""1QZ5UxyNCwadreQAXnQ7oCoH982DjIA-QnZdO7ZoqkC0/edit#gid=884617569"",""S5 Totals!$A$2:$O$255""),5,FALSE)"),0.04081632653061224)</f>
        <v>0.04081632653</v>
      </c>
      <c r="I28" s="143"/>
      <c r="J28" s="16">
        <f>IFERROR(__xludf.DUMMYFUNCTION("VLOOKUP(A28,IMPORTRANGE(""1QZ5UxyNCwadreQAXnQ7oCoH982DjIA-QnZdO7ZoqkC0/edit#gid=884617569"",""S5 Totals!$A$2:$O$255""),7,FALSE)"),1.0)</f>
        <v>1</v>
      </c>
      <c r="K28" s="15">
        <f>IFERROR(__xludf.DUMMYFUNCTION("VLOOKUP(A28,IMPORTRANGE(""1QZ5UxyNCwadreQAXnQ7oCoH982DjIA-QnZdO7ZoqkC0/edit#gid=884617569"",""S5 Totals!$A$2:$O$255""),8,FALSE)"),0.029411764705882353)</f>
        <v>0.02941176471</v>
      </c>
      <c r="L28" s="147"/>
      <c r="M28" s="16">
        <f>IFERROR(__xludf.DUMMYFUNCTION("VLOOKUP(A28,IMPORTRANGE(""1QZ5UxyNCwadreQAXnQ7oCoH982DjIA-QnZdO7ZoqkC0/edit#gid=884617569"",""S5 Totals!$A$2:$O$255""),10,FALSE)"),2.0)</f>
        <v>2</v>
      </c>
      <c r="N28" s="15">
        <f>IFERROR(__xludf.DUMMYFUNCTION("VLOOKUP(A28,IMPORTRANGE(""1QZ5UxyNCwadreQAXnQ7oCoH982DjIA-QnZdO7ZoqkC0/edit#gid=884617569"",""S5 Totals!$A$2:$O$255""),11,FALSE)"),0.06666666666666667)</f>
        <v>0.06666666667</v>
      </c>
      <c r="O28" s="110"/>
      <c r="P28" s="16" t="str">
        <f>IFERROR(__xludf.DUMMYFUNCTION("VLOOKUP(A28,IMPORTRANGE(""1QZ5UxyNCwadreQAXnQ7oCoH982DjIA-QnZdO7ZoqkC0/edit#gid=884617569"",""S5 Totals!$A$2:$O$255""),13,FALSE)"),"")</f>
        <v/>
      </c>
      <c r="Q28" s="15" t="str">
        <f>IFERROR(__xludf.DUMMYFUNCTION("VLOOKUP(A28,IMPORTRANGE(""1QZ5UxyNCwadreQAXnQ7oCoH982DjIA-QnZdO7ZoqkC0/edit#gid=884617569"",""S5 Totals!$A$2:$O$255""),14,FALSE)"),"")</f>
        <v/>
      </c>
      <c r="R28" s="110"/>
    </row>
    <row r="29">
      <c r="A29" s="128" t="s">
        <v>115</v>
      </c>
      <c r="B29" s="16">
        <f>IFERROR(__xludf.DUMMYFUNCTION("VLOOKUP(A29,IMPORTRANGE(""1aFCnJY1qhIj8-JckJhDJ18aqmVo17tofpQmOjcYa3u8/edit#gid=1878241338"",""S5 Totals!$A$2:$O$255""),2,FALSE)"),12.0)</f>
        <v>12</v>
      </c>
      <c r="C29" s="15">
        <f>IFERROR(__xludf.DUMMYFUNCTION("VLOOKUP(A29,IMPORTRANGE(""1aFCnJY1qhIj8-JckJhDJ18aqmVo17tofpQmOjcYa3u8/edit#gid=1878241338"",""S5 Totals!$A$2:$O$255""),3,FALSE)"),0.14457831325301204)</f>
        <v>0.1445783133</v>
      </c>
      <c r="D29" s="16">
        <f>IFERROR(__xludf.DUMMYFUNCTION("VLOOKUP(A29,IMPORTRANGE(""1QZ5UxyNCwadreQAXnQ7oCoH982DjIA-QnZdO7ZoqkC0/edit#gid=884617569"",""S5 Totals!$A$2:$O$255""),2,FALSE)"),14.0)</f>
        <v>14</v>
      </c>
      <c r="E29" s="15">
        <f>IFERROR(__xludf.DUMMYFUNCTION("VLOOKUP(A29,IMPORTRANGE(""1QZ5UxyNCwadreQAXnQ7oCoH982DjIA-QnZdO7ZoqkC0/edit#gid=884617569"",""S5 Totals!$A$2:$O$255""),3,FALSE)"),0.1686746987951807)</f>
        <v>0.1686746988</v>
      </c>
      <c r="F29" s="146">
        <f t="shared" si="1"/>
        <v>-0.02409638554</v>
      </c>
      <c r="G29" s="16">
        <f>IFERROR(__xludf.DUMMYFUNCTION("VLOOKUP(A29,IMPORTRANGE(""1QZ5UxyNCwadreQAXnQ7oCoH982DjIA-QnZdO7ZoqkC0/edit#gid=884617569"",""S5 Totals!$A$2:$O$255""),4,FALSE)"),7.0)</f>
        <v>7</v>
      </c>
      <c r="H29" s="15">
        <f>IFERROR(__xludf.DUMMYFUNCTION("VLOOKUP(A29,IMPORTRANGE(""1QZ5UxyNCwadreQAXnQ7oCoH982DjIA-QnZdO7ZoqkC0/edit#gid=884617569"",""S5 Totals!$A$2:$O$255""),5,FALSE)"),0.14285714285714285)</f>
        <v>0.1428571429</v>
      </c>
      <c r="I29" s="143"/>
      <c r="J29" s="16">
        <f>IFERROR(__xludf.DUMMYFUNCTION("VLOOKUP(A29,IMPORTRANGE(""1QZ5UxyNCwadreQAXnQ7oCoH982DjIA-QnZdO7ZoqkC0/edit#gid=884617569"",""S5 Totals!$A$2:$O$255""),7,FALSE)"),8.0)</f>
        <v>8</v>
      </c>
      <c r="K29" s="15">
        <f>IFERROR(__xludf.DUMMYFUNCTION("VLOOKUP(A29,IMPORTRANGE(""1QZ5UxyNCwadreQAXnQ7oCoH982DjIA-QnZdO7ZoqkC0/edit#gid=884617569"",""S5 Totals!$A$2:$O$255""),8,FALSE)"),0.23529411764705882)</f>
        <v>0.2352941176</v>
      </c>
      <c r="L29" s="147"/>
      <c r="M29" s="16">
        <f>IFERROR(__xludf.DUMMYFUNCTION("VLOOKUP(A29,IMPORTRANGE(""1QZ5UxyNCwadreQAXnQ7oCoH982DjIA-QnZdO7ZoqkC0/edit#gid=884617569"",""S5 Totals!$A$2:$O$255""),10,FALSE)"),3.0)</f>
        <v>3</v>
      </c>
      <c r="N29" s="15">
        <f>IFERROR(__xludf.DUMMYFUNCTION("VLOOKUP(A29,IMPORTRANGE(""1QZ5UxyNCwadreQAXnQ7oCoH982DjIA-QnZdO7ZoqkC0/edit#gid=884617569"",""S5 Totals!$A$2:$O$255""),11,FALSE)"),0.1)</f>
        <v>0.1</v>
      </c>
      <c r="O29" s="110"/>
      <c r="P29" s="16" t="str">
        <f>IFERROR(__xludf.DUMMYFUNCTION("VLOOKUP(A29,IMPORTRANGE(""1QZ5UxyNCwadreQAXnQ7oCoH982DjIA-QnZdO7ZoqkC0/edit#gid=884617569"",""S5 Totals!$A$2:$O$255""),13,FALSE)"),"")</f>
        <v/>
      </c>
      <c r="Q29" s="15" t="str">
        <f>IFERROR(__xludf.DUMMYFUNCTION("VLOOKUP(A29,IMPORTRANGE(""1QZ5UxyNCwadreQAXnQ7oCoH982DjIA-QnZdO7ZoqkC0/edit#gid=884617569"",""S5 Totals!$A$2:$O$255""),14,FALSE)"),"")</f>
        <v/>
      </c>
      <c r="R29" s="110"/>
    </row>
    <row r="30">
      <c r="A30" s="128" t="s">
        <v>166</v>
      </c>
      <c r="B30" s="16">
        <f>IFERROR(__xludf.DUMMYFUNCTION("VLOOKUP(A30,IMPORTRANGE(""1aFCnJY1qhIj8-JckJhDJ18aqmVo17tofpQmOjcYa3u8/edit#gid=1878241338"",""S5 Totals!$A$2:$O$255""),2,FALSE)"),22.0)</f>
        <v>22</v>
      </c>
      <c r="C30" s="15">
        <f>IFERROR(__xludf.DUMMYFUNCTION("VLOOKUP(A30,IMPORTRANGE(""1aFCnJY1qhIj8-JckJhDJ18aqmVo17tofpQmOjcYa3u8/edit#gid=1878241338"",""S5 Totals!$A$2:$O$255""),3,FALSE)"),0.26506024096385544)</f>
        <v>0.265060241</v>
      </c>
      <c r="D30" s="16">
        <f>IFERROR(__xludf.DUMMYFUNCTION("VLOOKUP(A30,IMPORTRANGE(""1QZ5UxyNCwadreQAXnQ7oCoH982DjIA-QnZdO7ZoqkC0/edit#gid=884617569"",""S5 Totals!$A$2:$O$255""),2,FALSE)"),7.0)</f>
        <v>7</v>
      </c>
      <c r="E30" s="15">
        <f>IFERROR(__xludf.DUMMYFUNCTION("VLOOKUP(A30,IMPORTRANGE(""1QZ5UxyNCwadreQAXnQ7oCoH982DjIA-QnZdO7ZoqkC0/edit#gid=884617569"",""S5 Totals!$A$2:$O$255""),3,FALSE)"),0.08433734939759036)</f>
        <v>0.0843373494</v>
      </c>
      <c r="F30" s="146">
        <f t="shared" si="1"/>
        <v>0.1807228916</v>
      </c>
      <c r="G30" s="16">
        <f>IFERROR(__xludf.DUMMYFUNCTION("VLOOKUP(A30,IMPORTRANGE(""1QZ5UxyNCwadreQAXnQ7oCoH982DjIA-QnZdO7ZoqkC0/edit#gid=884617569"",""S5 Totals!$A$2:$O$255""),4,FALSE)"),4.0)</f>
        <v>4</v>
      </c>
      <c r="H30" s="15">
        <f>IFERROR(__xludf.DUMMYFUNCTION("VLOOKUP(A30,IMPORTRANGE(""1QZ5UxyNCwadreQAXnQ7oCoH982DjIA-QnZdO7ZoqkC0/edit#gid=884617569"",""S5 Totals!$A$2:$O$255""),5,FALSE)"),0.08163265306122448)</f>
        <v>0.08163265306</v>
      </c>
      <c r="I30" s="143"/>
      <c r="J30" s="16">
        <f>IFERROR(__xludf.DUMMYFUNCTION("VLOOKUP(A30,IMPORTRANGE(""1QZ5UxyNCwadreQAXnQ7oCoH982DjIA-QnZdO7ZoqkC0/edit#gid=884617569"",""S5 Totals!$A$2:$O$255""),7,FALSE)"),4.0)</f>
        <v>4</v>
      </c>
      <c r="K30" s="15">
        <f>IFERROR(__xludf.DUMMYFUNCTION("VLOOKUP(A30,IMPORTRANGE(""1QZ5UxyNCwadreQAXnQ7oCoH982DjIA-QnZdO7ZoqkC0/edit#gid=884617569"",""S5 Totals!$A$2:$O$255""),8,FALSE)"),0.11764705882352941)</f>
        <v>0.1176470588</v>
      </c>
      <c r="L30" s="147"/>
      <c r="M30" s="16" t="str">
        <f>IFERROR(__xludf.DUMMYFUNCTION("VLOOKUP(A30,IMPORTRANGE(""1QZ5UxyNCwadreQAXnQ7oCoH982DjIA-QnZdO7ZoqkC0/edit#gid=884617569"",""S5 Totals!$A$2:$O$255""),10,FALSE)"),"")</f>
        <v/>
      </c>
      <c r="N30" s="15" t="str">
        <f>IFERROR(__xludf.DUMMYFUNCTION("VLOOKUP(A30,IMPORTRANGE(""1QZ5UxyNCwadreQAXnQ7oCoH982DjIA-QnZdO7ZoqkC0/edit#gid=884617569"",""S5 Totals!$A$2:$O$255""),11,FALSE)"),"")</f>
        <v/>
      </c>
      <c r="O30" s="110"/>
      <c r="P30" s="16" t="str">
        <f>IFERROR(__xludf.DUMMYFUNCTION("VLOOKUP(A30,IMPORTRANGE(""1QZ5UxyNCwadreQAXnQ7oCoH982DjIA-QnZdO7ZoqkC0/edit#gid=884617569"",""S5 Totals!$A$2:$O$255""),13,FALSE)"),"")</f>
        <v/>
      </c>
      <c r="Q30" s="15" t="str">
        <f>IFERROR(__xludf.DUMMYFUNCTION("VLOOKUP(A30,IMPORTRANGE(""1QZ5UxyNCwadreQAXnQ7oCoH982DjIA-QnZdO7ZoqkC0/edit#gid=884617569"",""S5 Totals!$A$2:$O$255""),14,FALSE)"),"")</f>
        <v/>
      </c>
      <c r="R30" s="110"/>
    </row>
    <row r="31">
      <c r="A31" s="128" t="s">
        <v>217</v>
      </c>
      <c r="B31" s="16">
        <f>IFERROR(__xludf.DUMMYFUNCTION("VLOOKUP(A31,IMPORTRANGE(""1aFCnJY1qhIj8-JckJhDJ18aqmVo17tofpQmOjcYa3u8/edit#gid=1878241338"",""S5 Totals!$A$2:$O$255""),2,FALSE)"),1.0)</f>
        <v>1</v>
      </c>
      <c r="C31" s="15">
        <f>IFERROR(__xludf.DUMMYFUNCTION("VLOOKUP(A31,IMPORTRANGE(""1aFCnJY1qhIj8-JckJhDJ18aqmVo17tofpQmOjcYa3u8/edit#gid=1878241338"",""S5 Totals!$A$2:$O$255""),3,FALSE)"),0.012048192771084338)</f>
        <v>0.01204819277</v>
      </c>
      <c r="D31" s="16">
        <f>IFERROR(__xludf.DUMMYFUNCTION("VLOOKUP(A31,IMPORTRANGE(""1QZ5UxyNCwadreQAXnQ7oCoH982DjIA-QnZdO7ZoqkC0/edit#gid=884617569"",""S5 Totals!$A$2:$O$255""),2,FALSE)"),0.0)</f>
        <v>0</v>
      </c>
      <c r="E31" s="15">
        <f>IFERROR(__xludf.DUMMYFUNCTION("VLOOKUP(A31,IMPORTRANGE(""1QZ5UxyNCwadreQAXnQ7oCoH982DjIA-QnZdO7ZoqkC0/edit#gid=884617569"",""S5 Totals!$A$2:$O$255""),3,FALSE)"),0.0)</f>
        <v>0</v>
      </c>
      <c r="F31" s="146">
        <f t="shared" si="1"/>
        <v>0.01204819277</v>
      </c>
      <c r="G31" s="16">
        <f>IFERROR(__xludf.DUMMYFUNCTION("VLOOKUP(A31,IMPORTRANGE(""1QZ5UxyNCwadreQAXnQ7oCoH982DjIA-QnZdO7ZoqkC0/edit#gid=884617569"",""S5 Totals!$A$2:$O$255""),4,FALSE)"),0.0)</f>
        <v>0</v>
      </c>
      <c r="H31" s="15">
        <f>IFERROR(__xludf.DUMMYFUNCTION("VLOOKUP(A31,IMPORTRANGE(""1QZ5UxyNCwadreQAXnQ7oCoH982DjIA-QnZdO7ZoqkC0/edit#gid=884617569"",""S5 Totals!$A$2:$O$255""),5,FALSE)"),0.0)</f>
        <v>0</v>
      </c>
      <c r="I31" s="143"/>
      <c r="J31" s="16" t="str">
        <f>IFERROR(__xludf.DUMMYFUNCTION("VLOOKUP(A31,IMPORTRANGE(""1QZ5UxyNCwadreQAXnQ7oCoH982DjIA-QnZdO7ZoqkC0/edit#gid=884617569"",""S5 Totals!$A$2:$O$255""),7,FALSE)"),"")</f>
        <v/>
      </c>
      <c r="K31" s="15" t="str">
        <f>IFERROR(__xludf.DUMMYFUNCTION("VLOOKUP(A31,IMPORTRANGE(""1QZ5UxyNCwadreQAXnQ7oCoH982DjIA-QnZdO7ZoqkC0/edit#gid=884617569"",""S5 Totals!$A$2:$O$255""),8,FALSE)"),"")</f>
        <v/>
      </c>
      <c r="L31" s="147"/>
      <c r="M31" s="16" t="str">
        <f>IFERROR(__xludf.DUMMYFUNCTION("VLOOKUP(A31,IMPORTRANGE(""1QZ5UxyNCwadreQAXnQ7oCoH982DjIA-QnZdO7ZoqkC0/edit#gid=884617569"",""S5 Totals!$A$2:$O$255""),10,FALSE)"),"")</f>
        <v/>
      </c>
      <c r="N31" s="15" t="str">
        <f>IFERROR(__xludf.DUMMYFUNCTION("VLOOKUP(A31,IMPORTRANGE(""1QZ5UxyNCwadreQAXnQ7oCoH982DjIA-QnZdO7ZoqkC0/edit#gid=884617569"",""S5 Totals!$A$2:$O$255""),11,FALSE)"),"")</f>
        <v/>
      </c>
      <c r="O31" s="110"/>
      <c r="P31" s="16" t="str">
        <f>IFERROR(__xludf.DUMMYFUNCTION("VLOOKUP(A31,IMPORTRANGE(""1QZ5UxyNCwadreQAXnQ7oCoH982DjIA-QnZdO7ZoqkC0/edit#gid=884617569"",""S5 Totals!$A$2:$O$255""),13,FALSE)"),"")</f>
        <v/>
      </c>
      <c r="Q31" s="15" t="str">
        <f>IFERROR(__xludf.DUMMYFUNCTION("VLOOKUP(A31,IMPORTRANGE(""1QZ5UxyNCwadreQAXnQ7oCoH982DjIA-QnZdO7ZoqkC0/edit#gid=884617569"",""S5 Totals!$A$2:$O$255""),14,FALSE)"),"")</f>
        <v/>
      </c>
      <c r="R31" s="110"/>
    </row>
    <row r="32">
      <c r="A32" s="128" t="s">
        <v>32</v>
      </c>
      <c r="B32" s="16">
        <f>IFERROR(__xludf.DUMMYFUNCTION("VLOOKUP(A32,IMPORTRANGE(""1aFCnJY1qhIj8-JckJhDJ18aqmVo17tofpQmOjcYa3u8/edit#gid=1878241338"",""S5 Totals!$A$2:$O$255""),2,FALSE)"),43.0)</f>
        <v>43</v>
      </c>
      <c r="C32" s="15">
        <f>IFERROR(__xludf.DUMMYFUNCTION("VLOOKUP(A32,IMPORTRANGE(""1aFCnJY1qhIj8-JckJhDJ18aqmVo17tofpQmOjcYa3u8/edit#gid=1878241338"",""S5 Totals!$A$2:$O$255""),3,FALSE)"),0.5180722891566265)</f>
        <v>0.5180722892</v>
      </c>
      <c r="D32" s="16">
        <f>IFERROR(__xludf.DUMMYFUNCTION("VLOOKUP(A32,IMPORTRANGE(""1QZ5UxyNCwadreQAXnQ7oCoH982DjIA-QnZdO7ZoqkC0/edit#gid=884617569"",""S5 Totals!$A$2:$O$255""),2,FALSE)"),38.0)</f>
        <v>38</v>
      </c>
      <c r="E32" s="15">
        <f>IFERROR(__xludf.DUMMYFUNCTION("VLOOKUP(A32,IMPORTRANGE(""1QZ5UxyNCwadreQAXnQ7oCoH982DjIA-QnZdO7ZoqkC0/edit#gid=884617569"",""S5 Totals!$A$2:$O$255""),3,FALSE)"),0.4578313253012048)</f>
        <v>0.4578313253</v>
      </c>
      <c r="F32" s="146">
        <f t="shared" si="1"/>
        <v>0.06024096386</v>
      </c>
      <c r="G32" s="16">
        <f>IFERROR(__xludf.DUMMYFUNCTION("VLOOKUP(A32,IMPORTRANGE(""1QZ5UxyNCwadreQAXnQ7oCoH982DjIA-QnZdO7ZoqkC0/edit#gid=884617569"",""S5 Totals!$A$2:$O$255""),4,FALSE)"),21.0)</f>
        <v>21</v>
      </c>
      <c r="H32" s="15">
        <f>IFERROR(__xludf.DUMMYFUNCTION("VLOOKUP(A32,IMPORTRANGE(""1QZ5UxyNCwadreQAXnQ7oCoH982DjIA-QnZdO7ZoqkC0/edit#gid=884617569"",""S5 Totals!$A$2:$O$255""),5,FALSE)"),0.42857142857142855)</f>
        <v>0.4285714286</v>
      </c>
      <c r="I32" s="143"/>
      <c r="J32" s="16">
        <f>IFERROR(__xludf.DUMMYFUNCTION("VLOOKUP(A32,IMPORTRANGE(""1QZ5UxyNCwadreQAXnQ7oCoH982DjIA-QnZdO7ZoqkC0/edit#gid=884617569"",""S5 Totals!$A$2:$O$255""),7,FALSE)"),16.0)</f>
        <v>16</v>
      </c>
      <c r="K32" s="15">
        <f>IFERROR(__xludf.DUMMYFUNCTION("VLOOKUP(A32,IMPORTRANGE(""1QZ5UxyNCwadreQAXnQ7oCoH982DjIA-QnZdO7ZoqkC0/edit#gid=884617569"",""S5 Totals!$A$2:$O$255""),8,FALSE)"),0.47058823529411764)</f>
        <v>0.4705882353</v>
      </c>
      <c r="L32" s="147"/>
      <c r="M32" s="16">
        <f>IFERROR(__xludf.DUMMYFUNCTION("VLOOKUP(A32,IMPORTRANGE(""1QZ5UxyNCwadreQAXnQ7oCoH982DjIA-QnZdO7ZoqkC0/edit#gid=884617569"",""S5 Totals!$A$2:$O$255""),10,FALSE)"),8.0)</f>
        <v>8</v>
      </c>
      <c r="N32" s="15">
        <f>IFERROR(__xludf.DUMMYFUNCTION("VLOOKUP(A32,IMPORTRANGE(""1QZ5UxyNCwadreQAXnQ7oCoH982DjIA-QnZdO7ZoqkC0/edit#gid=884617569"",""S5 Totals!$A$2:$O$255""),11,FALSE)"),0.26666666666666666)</f>
        <v>0.2666666667</v>
      </c>
      <c r="O32" s="110"/>
      <c r="P32" s="16">
        <f>IFERROR(__xludf.DUMMYFUNCTION("VLOOKUP(A32,IMPORTRANGE(""1QZ5UxyNCwadreQAXnQ7oCoH982DjIA-QnZdO7ZoqkC0/edit#gid=884617569"",""S5 Totals!$A$2:$O$255""),13,FALSE)"),4.0)</f>
        <v>4</v>
      </c>
      <c r="Q32" s="15">
        <f>IFERROR(__xludf.DUMMYFUNCTION("VLOOKUP(A32,IMPORTRANGE(""1QZ5UxyNCwadreQAXnQ7oCoH982DjIA-QnZdO7ZoqkC0/edit#gid=884617569"",""S5 Totals!$A$2:$O$255""),14,FALSE)"),0.14285714285714285)</f>
        <v>0.1428571429</v>
      </c>
      <c r="R32" s="110"/>
    </row>
    <row r="33">
      <c r="A33" s="148" t="s">
        <v>218</v>
      </c>
      <c r="B33" s="16">
        <f>IFERROR(__xludf.DUMMYFUNCTION("VLOOKUP(A33,IMPORTRANGE(""1aFCnJY1qhIj8-JckJhDJ18aqmVo17tofpQmOjcYa3u8/edit#gid=1878241338"",""S5 Totals!$A$2:$O$255""),2,FALSE)"),17.0)</f>
        <v>17</v>
      </c>
      <c r="C33" s="15">
        <f>IFERROR(__xludf.DUMMYFUNCTION("VLOOKUP(A33,IMPORTRANGE(""1aFCnJY1qhIj8-JckJhDJ18aqmVo17tofpQmOjcYa3u8/edit#gid=1878241338"",""S5 Totals!$A$2:$O$255""),3,FALSE)"),0.20481927710843373)</f>
        <v>0.2048192771</v>
      </c>
      <c r="D33" s="16">
        <f>IFERROR(__xludf.DUMMYFUNCTION("VLOOKUP(A33,IMPORTRANGE(""1QZ5UxyNCwadreQAXnQ7oCoH982DjIA-QnZdO7ZoqkC0/edit#gid=884617569"",""S5 Totals!$A$2:$O$255""),2,FALSE)"),18.0)</f>
        <v>18</v>
      </c>
      <c r="E33" s="15">
        <f>IFERROR(__xludf.DUMMYFUNCTION("VLOOKUP(A33,IMPORTRANGE(""1QZ5UxyNCwadreQAXnQ7oCoH982DjIA-QnZdO7ZoqkC0/edit#gid=884617569"",""S5 Totals!$A$2:$O$255""),3,FALSE)"),0.21686746987951808)</f>
        <v>0.2168674699</v>
      </c>
      <c r="F33" s="146">
        <f t="shared" si="1"/>
        <v>-0.01204819277</v>
      </c>
      <c r="G33" s="16">
        <f>IFERROR(__xludf.DUMMYFUNCTION("VLOOKUP(A33,IMPORTRANGE(""1QZ5UxyNCwadreQAXnQ7oCoH982DjIA-QnZdO7ZoqkC0/edit#gid=884617569"",""S5 Totals!$A$2:$O$255""),4,FALSE)"),9.0)</f>
        <v>9</v>
      </c>
      <c r="H33" s="15">
        <f>IFERROR(__xludf.DUMMYFUNCTION("VLOOKUP(A33,IMPORTRANGE(""1QZ5UxyNCwadreQAXnQ7oCoH982DjIA-QnZdO7ZoqkC0/edit#gid=884617569"",""S5 Totals!$A$2:$O$255""),5,FALSE)"),0.1836734693877551)</f>
        <v>0.1836734694</v>
      </c>
      <c r="I33" s="143"/>
      <c r="J33" s="16" t="str">
        <f>IFERROR(__xludf.DUMMYFUNCTION("VLOOKUP(A33,IMPORTRANGE(""1QZ5UxyNCwadreQAXnQ7oCoH982DjIA-QnZdO7ZoqkC0/edit#gid=884617569"",""S5 Totals!$A$2:$O$255""),7,FALSE)"),"")</f>
        <v/>
      </c>
      <c r="K33" s="15" t="str">
        <f>IFERROR(__xludf.DUMMYFUNCTION("VLOOKUP(A33,IMPORTRANGE(""1QZ5UxyNCwadreQAXnQ7oCoH982DjIA-QnZdO7ZoqkC0/edit#gid=884617569"",""S5 Totals!$A$2:$O$255""),8,FALSE)"),"")</f>
        <v/>
      </c>
      <c r="L33" s="147"/>
      <c r="M33" s="16" t="str">
        <f>IFERROR(__xludf.DUMMYFUNCTION("VLOOKUP(A33,IMPORTRANGE(""1QZ5UxyNCwadreQAXnQ7oCoH982DjIA-QnZdO7ZoqkC0/edit#gid=884617569"",""S5 Totals!$A$2:$O$255""),10,FALSE)"),"")</f>
        <v/>
      </c>
      <c r="N33" s="15" t="str">
        <f>IFERROR(__xludf.DUMMYFUNCTION("VLOOKUP(A33,IMPORTRANGE(""1QZ5UxyNCwadreQAXnQ7oCoH982DjIA-QnZdO7ZoqkC0/edit#gid=884617569"",""S5 Totals!$A$2:$O$255""),11,FALSE)"),"")</f>
        <v/>
      </c>
      <c r="O33" s="110"/>
      <c r="P33" s="16" t="str">
        <f>IFERROR(__xludf.DUMMYFUNCTION("VLOOKUP(A33,IMPORTRANGE(""1QZ5UxyNCwadreQAXnQ7oCoH982DjIA-QnZdO7ZoqkC0/edit#gid=884617569"",""S5 Totals!$A$2:$O$255""),13,FALSE)"),"")</f>
        <v/>
      </c>
      <c r="Q33" s="15" t="str">
        <f>IFERROR(__xludf.DUMMYFUNCTION("VLOOKUP(A33,IMPORTRANGE(""1QZ5UxyNCwadreQAXnQ7oCoH982DjIA-QnZdO7ZoqkC0/edit#gid=884617569"",""S5 Totals!$A$2:$O$255""),14,FALSE)"),"")</f>
        <v/>
      </c>
      <c r="R33" s="110"/>
    </row>
    <row r="34">
      <c r="A34" s="128" t="s">
        <v>167</v>
      </c>
      <c r="B34" s="16">
        <f>IFERROR(__xludf.DUMMYFUNCTION("VLOOKUP(A34,IMPORTRANGE(""1aFCnJY1qhIj8-JckJhDJ18aqmVo17tofpQmOjcYa3u8/edit#gid=1878241338"",""S5 Totals!$A$2:$O$255""),2,FALSE)"),12.0)</f>
        <v>12</v>
      </c>
      <c r="C34" s="15">
        <f>IFERROR(__xludf.DUMMYFUNCTION("VLOOKUP(A34,IMPORTRANGE(""1aFCnJY1qhIj8-JckJhDJ18aqmVo17tofpQmOjcYa3u8/edit#gid=1878241338"",""S5 Totals!$A$2:$O$255""),3,FALSE)"),0.14457831325301204)</f>
        <v>0.1445783133</v>
      </c>
      <c r="D34" s="16">
        <f>IFERROR(__xludf.DUMMYFUNCTION("VLOOKUP(A34,IMPORTRANGE(""1QZ5UxyNCwadreQAXnQ7oCoH982DjIA-QnZdO7ZoqkC0/edit#gid=884617569"",""S5 Totals!$A$2:$O$255""),2,FALSE)"),4.0)</f>
        <v>4</v>
      </c>
      <c r="E34" s="15">
        <f>IFERROR(__xludf.DUMMYFUNCTION("VLOOKUP(A34,IMPORTRANGE(""1QZ5UxyNCwadreQAXnQ7oCoH982DjIA-QnZdO7ZoqkC0/edit#gid=884617569"",""S5 Totals!$A$2:$O$255""),3,FALSE)"),0.04819277108433735)</f>
        <v>0.04819277108</v>
      </c>
      <c r="F34" s="146">
        <f t="shared" si="1"/>
        <v>0.09638554217</v>
      </c>
      <c r="G34" s="16">
        <f>IFERROR(__xludf.DUMMYFUNCTION("VLOOKUP(A34,IMPORTRANGE(""1QZ5UxyNCwadreQAXnQ7oCoH982DjIA-QnZdO7ZoqkC0/edit#gid=884617569"",""S5 Totals!$A$2:$O$255""),4,FALSE)"),5.0)</f>
        <v>5</v>
      </c>
      <c r="H34" s="15">
        <f>IFERROR(__xludf.DUMMYFUNCTION("VLOOKUP(A34,IMPORTRANGE(""1QZ5UxyNCwadreQAXnQ7oCoH982DjIA-QnZdO7ZoqkC0/edit#gid=884617569"",""S5 Totals!$A$2:$O$255""),5,FALSE)"),0.10204081632653061)</f>
        <v>0.1020408163</v>
      </c>
      <c r="I34" s="143"/>
      <c r="J34" s="16">
        <f>IFERROR(__xludf.DUMMYFUNCTION("VLOOKUP(A34,IMPORTRANGE(""1QZ5UxyNCwadreQAXnQ7oCoH982DjIA-QnZdO7ZoqkC0/edit#gid=884617569"",""S5 Totals!$A$2:$O$255""),7,FALSE)"),6.0)</f>
        <v>6</v>
      </c>
      <c r="K34" s="15">
        <f>IFERROR(__xludf.DUMMYFUNCTION("VLOOKUP(A34,IMPORTRANGE(""1QZ5UxyNCwadreQAXnQ7oCoH982DjIA-QnZdO7ZoqkC0/edit#gid=884617569"",""S5 Totals!$A$2:$O$255""),8,FALSE)"),0.17647058823529413)</f>
        <v>0.1764705882</v>
      </c>
      <c r="L34" s="147"/>
      <c r="M34" s="16" t="str">
        <f>IFERROR(__xludf.DUMMYFUNCTION("VLOOKUP(A34,IMPORTRANGE(""1QZ5UxyNCwadreQAXnQ7oCoH982DjIA-QnZdO7ZoqkC0/edit#gid=884617569"",""S5 Totals!$A$2:$O$255""),10,FALSE)"),"")</f>
        <v/>
      </c>
      <c r="N34" s="15" t="str">
        <f>IFERROR(__xludf.DUMMYFUNCTION("VLOOKUP(A34,IMPORTRANGE(""1QZ5UxyNCwadreQAXnQ7oCoH982DjIA-QnZdO7ZoqkC0/edit#gid=884617569"",""S5 Totals!$A$2:$O$255""),11,FALSE)"),"")</f>
        <v/>
      </c>
      <c r="O34" s="110"/>
      <c r="P34" s="16" t="str">
        <f>IFERROR(__xludf.DUMMYFUNCTION("VLOOKUP(A34,IMPORTRANGE(""1QZ5UxyNCwadreQAXnQ7oCoH982DjIA-QnZdO7ZoqkC0/edit#gid=884617569"",""S5 Totals!$A$2:$O$255""),13,FALSE)"),"")</f>
        <v/>
      </c>
      <c r="Q34" s="15" t="str">
        <f>IFERROR(__xludf.DUMMYFUNCTION("VLOOKUP(A34,IMPORTRANGE(""1QZ5UxyNCwadreQAXnQ7oCoH982DjIA-QnZdO7ZoqkC0/edit#gid=884617569"",""S5 Totals!$A$2:$O$255""),14,FALSE)"),"")</f>
        <v/>
      </c>
      <c r="R34" s="110"/>
    </row>
    <row r="35">
      <c r="A35" s="128" t="s">
        <v>116</v>
      </c>
      <c r="B35" s="16">
        <f>IFERROR(__xludf.DUMMYFUNCTION("VLOOKUP(A35,IMPORTRANGE(""1aFCnJY1qhIj8-JckJhDJ18aqmVo17tofpQmOjcYa3u8/edit#gid=1878241338"",""S5 Totals!$A$2:$O$255""),2,FALSE)"),0.0)</f>
        <v>0</v>
      </c>
      <c r="C35" s="15">
        <f>IFERROR(__xludf.DUMMYFUNCTION("VLOOKUP(A35,IMPORTRANGE(""1aFCnJY1qhIj8-JckJhDJ18aqmVo17tofpQmOjcYa3u8/edit#gid=1878241338"",""S5 Totals!$A$2:$O$255""),3,FALSE)"),0.0)</f>
        <v>0</v>
      </c>
      <c r="D35" s="16">
        <f>IFERROR(__xludf.DUMMYFUNCTION("VLOOKUP(A35,IMPORTRANGE(""1QZ5UxyNCwadreQAXnQ7oCoH982DjIA-QnZdO7ZoqkC0/edit#gid=884617569"",""S5 Totals!$A$2:$O$255""),2,FALSE)"),0.0)</f>
        <v>0</v>
      </c>
      <c r="E35" s="15">
        <f>IFERROR(__xludf.DUMMYFUNCTION("VLOOKUP(A35,IMPORTRANGE(""1QZ5UxyNCwadreQAXnQ7oCoH982DjIA-QnZdO7ZoqkC0/edit#gid=884617569"",""S5 Totals!$A$2:$O$255""),3,FALSE)"),0.0)</f>
        <v>0</v>
      </c>
      <c r="F35" s="146">
        <f t="shared" si="1"/>
        <v>0</v>
      </c>
      <c r="G35" s="16">
        <f>IFERROR(__xludf.DUMMYFUNCTION("VLOOKUP(A35,IMPORTRANGE(""1QZ5UxyNCwadreQAXnQ7oCoH982DjIA-QnZdO7ZoqkC0/edit#gid=884617569"",""S5 Totals!$A$2:$O$255""),4,FALSE)"),0.0)</f>
        <v>0</v>
      </c>
      <c r="H35" s="15">
        <f>IFERROR(__xludf.DUMMYFUNCTION("VLOOKUP(A35,IMPORTRANGE(""1QZ5UxyNCwadreQAXnQ7oCoH982DjIA-QnZdO7ZoqkC0/edit#gid=884617569"",""S5 Totals!$A$2:$O$255""),5,FALSE)"),0.0)</f>
        <v>0</v>
      </c>
      <c r="I35" s="143"/>
      <c r="J35" s="16">
        <f>IFERROR(__xludf.DUMMYFUNCTION("VLOOKUP(A35,IMPORTRANGE(""1QZ5UxyNCwadreQAXnQ7oCoH982DjIA-QnZdO7ZoqkC0/edit#gid=884617569"",""S5 Totals!$A$2:$O$255""),7,FALSE)"),0.0)</f>
        <v>0</v>
      </c>
      <c r="K35" s="15">
        <f>IFERROR(__xludf.DUMMYFUNCTION("VLOOKUP(A35,IMPORTRANGE(""1QZ5UxyNCwadreQAXnQ7oCoH982DjIA-QnZdO7ZoqkC0/edit#gid=884617569"",""S5 Totals!$A$2:$O$255""),8,FALSE)"),0.0)</f>
        <v>0</v>
      </c>
      <c r="L35" s="147"/>
      <c r="M35" s="16">
        <f>IFERROR(__xludf.DUMMYFUNCTION("VLOOKUP(A35,IMPORTRANGE(""1QZ5UxyNCwadreQAXnQ7oCoH982DjIA-QnZdO7ZoqkC0/edit#gid=884617569"",""S5 Totals!$A$2:$O$255""),10,FALSE)"),0.0)</f>
        <v>0</v>
      </c>
      <c r="N35" s="15">
        <f>IFERROR(__xludf.DUMMYFUNCTION("VLOOKUP(A35,IMPORTRANGE(""1QZ5UxyNCwadreQAXnQ7oCoH982DjIA-QnZdO7ZoqkC0/edit#gid=884617569"",""S5 Totals!$A$2:$O$255""),11,FALSE)"),0.0)</f>
        <v>0</v>
      </c>
      <c r="O35" s="110"/>
      <c r="P35" s="16" t="str">
        <f>IFERROR(__xludf.DUMMYFUNCTION("VLOOKUP(A35,IMPORTRANGE(""1QZ5UxyNCwadreQAXnQ7oCoH982DjIA-QnZdO7ZoqkC0/edit#gid=884617569"",""S5 Totals!$A$2:$O$255""),13,FALSE)"),"")</f>
        <v/>
      </c>
      <c r="Q35" s="15" t="str">
        <f>IFERROR(__xludf.DUMMYFUNCTION("VLOOKUP(A35,IMPORTRANGE(""1QZ5UxyNCwadreQAXnQ7oCoH982DjIA-QnZdO7ZoqkC0/edit#gid=884617569"",""S5 Totals!$A$2:$O$255""),14,FALSE)"),"")</f>
        <v/>
      </c>
      <c r="R35" s="110"/>
    </row>
    <row r="36">
      <c r="A36" s="128" t="s">
        <v>33</v>
      </c>
      <c r="B36" s="16">
        <f>IFERROR(__xludf.DUMMYFUNCTION("VLOOKUP(A36,IMPORTRANGE(""1aFCnJY1qhIj8-JckJhDJ18aqmVo17tofpQmOjcYa3u8/edit#gid=1878241338"",""S5 Totals!$A$2:$O$255""),2,FALSE)"),38.0)</f>
        <v>38</v>
      </c>
      <c r="C36" s="15">
        <f>IFERROR(__xludf.DUMMYFUNCTION("VLOOKUP(A36,IMPORTRANGE(""1aFCnJY1qhIj8-JckJhDJ18aqmVo17tofpQmOjcYa3u8/edit#gid=1878241338"",""S5 Totals!$A$2:$O$255""),3,FALSE)"),0.4578313253012048)</f>
        <v>0.4578313253</v>
      </c>
      <c r="D36" s="16">
        <f>IFERROR(__xludf.DUMMYFUNCTION("VLOOKUP(A36,IMPORTRANGE(""1QZ5UxyNCwadreQAXnQ7oCoH982DjIA-QnZdO7ZoqkC0/edit#gid=884617569"",""S5 Totals!$A$2:$O$255""),2,FALSE)"),33.0)</f>
        <v>33</v>
      </c>
      <c r="E36" s="15">
        <f>IFERROR(__xludf.DUMMYFUNCTION("VLOOKUP(A36,IMPORTRANGE(""1QZ5UxyNCwadreQAXnQ7oCoH982DjIA-QnZdO7ZoqkC0/edit#gid=884617569"",""S5 Totals!$A$2:$O$255""),3,FALSE)"),0.39759036144578314)</f>
        <v>0.3975903614</v>
      </c>
      <c r="F36" s="146">
        <f t="shared" si="1"/>
        <v>0.06024096386</v>
      </c>
      <c r="G36" s="16">
        <f>IFERROR(__xludf.DUMMYFUNCTION("VLOOKUP(A36,IMPORTRANGE(""1QZ5UxyNCwadreQAXnQ7oCoH982DjIA-QnZdO7ZoqkC0/edit#gid=884617569"",""S5 Totals!$A$2:$O$255""),4,FALSE)"),22.0)</f>
        <v>22</v>
      </c>
      <c r="H36" s="15">
        <f>IFERROR(__xludf.DUMMYFUNCTION("VLOOKUP(A36,IMPORTRANGE(""1QZ5UxyNCwadreQAXnQ7oCoH982DjIA-QnZdO7ZoqkC0/edit#gid=884617569"",""S5 Totals!$A$2:$O$255""),5,FALSE)"),0.4489795918367347)</f>
        <v>0.4489795918</v>
      </c>
      <c r="I36" s="143"/>
      <c r="J36" s="16">
        <f>IFERROR(__xludf.DUMMYFUNCTION("VLOOKUP(A36,IMPORTRANGE(""1QZ5UxyNCwadreQAXnQ7oCoH982DjIA-QnZdO7ZoqkC0/edit#gid=884617569"",""S5 Totals!$A$2:$O$255""),7,FALSE)"),15.0)</f>
        <v>15</v>
      </c>
      <c r="K36" s="15">
        <f>IFERROR(__xludf.DUMMYFUNCTION("VLOOKUP(A36,IMPORTRANGE(""1QZ5UxyNCwadreQAXnQ7oCoH982DjIA-QnZdO7ZoqkC0/edit#gid=884617569"",""S5 Totals!$A$2:$O$255""),8,FALSE)"),0.4411764705882353)</f>
        <v>0.4411764706</v>
      </c>
      <c r="L36" s="147"/>
      <c r="M36" s="16">
        <f>IFERROR(__xludf.DUMMYFUNCTION("VLOOKUP(A36,IMPORTRANGE(""1QZ5UxyNCwadreQAXnQ7oCoH982DjIA-QnZdO7ZoqkC0/edit#gid=884617569"",""S5 Totals!$A$2:$O$255""),10,FALSE)"),11.0)</f>
        <v>11</v>
      </c>
      <c r="N36" s="15">
        <f>IFERROR(__xludf.DUMMYFUNCTION("VLOOKUP(A36,IMPORTRANGE(""1QZ5UxyNCwadreQAXnQ7oCoH982DjIA-QnZdO7ZoqkC0/edit#gid=884617569"",""S5 Totals!$A$2:$O$255""),11,FALSE)"),0.36666666666666664)</f>
        <v>0.3666666667</v>
      </c>
      <c r="O36" s="110"/>
      <c r="P36" s="16">
        <f>IFERROR(__xludf.DUMMYFUNCTION("VLOOKUP(A36,IMPORTRANGE(""1QZ5UxyNCwadreQAXnQ7oCoH982DjIA-QnZdO7ZoqkC0/edit#gid=884617569"",""S5 Totals!$A$2:$O$255""),13,FALSE)"),3.0)</f>
        <v>3</v>
      </c>
      <c r="Q36" s="15">
        <f>IFERROR(__xludf.DUMMYFUNCTION("VLOOKUP(A36,IMPORTRANGE(""1QZ5UxyNCwadreQAXnQ7oCoH982DjIA-QnZdO7ZoqkC0/edit#gid=884617569"",""S5 Totals!$A$2:$O$255""),14,FALSE)"),0.10714285714285714)</f>
        <v>0.1071428571</v>
      </c>
      <c r="R36" s="110"/>
    </row>
    <row r="37">
      <c r="A37" s="128" t="s">
        <v>106</v>
      </c>
      <c r="B37" s="16">
        <f>IFERROR(__xludf.DUMMYFUNCTION("VLOOKUP(A37,IMPORTRANGE(""1aFCnJY1qhIj8-JckJhDJ18aqmVo17tofpQmOjcYa3u8/edit#gid=1878241338"",""S5 Totals!$A$2:$O$255""),2,FALSE)"),6.0)</f>
        <v>6</v>
      </c>
      <c r="C37" s="15">
        <f>IFERROR(__xludf.DUMMYFUNCTION("VLOOKUP(A37,IMPORTRANGE(""1aFCnJY1qhIj8-JckJhDJ18aqmVo17tofpQmOjcYa3u8/edit#gid=1878241338"",""S5 Totals!$A$2:$O$255""),3,FALSE)"),0.07228915662650602)</f>
        <v>0.07228915663</v>
      </c>
      <c r="D37" s="16">
        <f>IFERROR(__xludf.DUMMYFUNCTION("VLOOKUP(A37,IMPORTRANGE(""1QZ5UxyNCwadreQAXnQ7oCoH982DjIA-QnZdO7ZoqkC0/edit#gid=884617569"",""S5 Totals!$A$2:$O$255""),2,FALSE)"),10.0)</f>
        <v>10</v>
      </c>
      <c r="E37" s="15">
        <f>IFERROR(__xludf.DUMMYFUNCTION("VLOOKUP(A37,IMPORTRANGE(""1QZ5UxyNCwadreQAXnQ7oCoH982DjIA-QnZdO7ZoqkC0/edit#gid=884617569"",""S5 Totals!$A$2:$O$255""),3,FALSE)"),0.12048192771084337)</f>
        <v>0.1204819277</v>
      </c>
      <c r="F37" s="146">
        <f t="shared" si="1"/>
        <v>-0.04819277108</v>
      </c>
      <c r="G37" s="16">
        <f>IFERROR(__xludf.DUMMYFUNCTION("VLOOKUP(A37,IMPORTRANGE(""1QZ5UxyNCwadreQAXnQ7oCoH982DjIA-QnZdO7ZoqkC0/edit#gid=884617569"",""S5 Totals!$A$2:$O$255""),4,FALSE)"),4.0)</f>
        <v>4</v>
      </c>
      <c r="H37" s="15">
        <f>IFERROR(__xludf.DUMMYFUNCTION("VLOOKUP(A37,IMPORTRANGE(""1QZ5UxyNCwadreQAXnQ7oCoH982DjIA-QnZdO7ZoqkC0/edit#gid=884617569"",""S5 Totals!$A$2:$O$255""),5,FALSE)"),0.08163265306122448)</f>
        <v>0.08163265306</v>
      </c>
      <c r="I37" s="143"/>
      <c r="J37" s="16">
        <f>IFERROR(__xludf.DUMMYFUNCTION("VLOOKUP(A37,IMPORTRANGE(""1QZ5UxyNCwadreQAXnQ7oCoH982DjIA-QnZdO7ZoqkC0/edit#gid=884617569"",""S5 Totals!$A$2:$O$255""),7,FALSE)"),0.0)</f>
        <v>0</v>
      </c>
      <c r="K37" s="15">
        <f>IFERROR(__xludf.DUMMYFUNCTION("VLOOKUP(A37,IMPORTRANGE(""1QZ5UxyNCwadreQAXnQ7oCoH982DjIA-QnZdO7ZoqkC0/edit#gid=884617569"",""S5 Totals!$A$2:$O$255""),8,FALSE)"),0.0)</f>
        <v>0</v>
      </c>
      <c r="L37" s="147"/>
      <c r="M37" s="16">
        <f>IFERROR(__xludf.DUMMYFUNCTION("VLOOKUP(A37,IMPORTRANGE(""1QZ5UxyNCwadreQAXnQ7oCoH982DjIA-QnZdO7ZoqkC0/edit#gid=884617569"",""S5 Totals!$A$2:$O$255""),10,FALSE)"),0.0)</f>
        <v>0</v>
      </c>
      <c r="N37" s="15">
        <f>IFERROR(__xludf.DUMMYFUNCTION("VLOOKUP(A37,IMPORTRANGE(""1QZ5UxyNCwadreQAXnQ7oCoH982DjIA-QnZdO7ZoqkC0/edit#gid=884617569"",""S5 Totals!$A$2:$O$255""),11,FALSE)"),0.0)</f>
        <v>0</v>
      </c>
      <c r="O37" s="110"/>
      <c r="P37" s="16">
        <f>IFERROR(__xludf.DUMMYFUNCTION("VLOOKUP(A37,IMPORTRANGE(""1QZ5UxyNCwadreQAXnQ7oCoH982DjIA-QnZdO7ZoqkC0/edit#gid=884617569"",""S5 Totals!$A$2:$O$255""),13,FALSE)"),0.0)</f>
        <v>0</v>
      </c>
      <c r="Q37" s="15">
        <f>IFERROR(__xludf.DUMMYFUNCTION("VLOOKUP(A37,IMPORTRANGE(""1QZ5UxyNCwadreQAXnQ7oCoH982DjIA-QnZdO7ZoqkC0/edit#gid=884617569"",""S5 Totals!$A$2:$O$255""),14,FALSE)"),0.0)</f>
        <v>0</v>
      </c>
      <c r="R37" s="110"/>
    </row>
    <row r="38">
      <c r="A38" s="128" t="s">
        <v>35</v>
      </c>
      <c r="B38" s="16">
        <f>IFERROR(__xludf.DUMMYFUNCTION("VLOOKUP(A38,IMPORTRANGE(""1aFCnJY1qhIj8-JckJhDJ18aqmVo17tofpQmOjcYa3u8/edit#gid=1878241338"",""S5 Totals!$A$2:$O$255""),2,FALSE)"),36.0)</f>
        <v>36</v>
      </c>
      <c r="C38" s="15">
        <f>IFERROR(__xludf.DUMMYFUNCTION("VLOOKUP(A38,IMPORTRANGE(""1aFCnJY1qhIj8-JckJhDJ18aqmVo17tofpQmOjcYa3u8/edit#gid=1878241338"",""S5 Totals!$A$2:$O$255""),3,FALSE)"),0.43373493975903615)</f>
        <v>0.4337349398</v>
      </c>
      <c r="D38" s="16">
        <f>IFERROR(__xludf.DUMMYFUNCTION("VLOOKUP(A38,IMPORTRANGE(""1QZ5UxyNCwadreQAXnQ7oCoH982DjIA-QnZdO7ZoqkC0/edit#gid=884617569"",""S5 Totals!$A$2:$O$255""),2,FALSE)"),36.0)</f>
        <v>36</v>
      </c>
      <c r="E38" s="15">
        <f>IFERROR(__xludf.DUMMYFUNCTION("VLOOKUP(A38,IMPORTRANGE(""1QZ5UxyNCwadreQAXnQ7oCoH982DjIA-QnZdO7ZoqkC0/edit#gid=884617569"",""S5 Totals!$A$2:$O$255""),3,FALSE)"),0.43373493975903615)</f>
        <v>0.4337349398</v>
      </c>
      <c r="F38" s="146">
        <f t="shared" si="1"/>
        <v>0</v>
      </c>
      <c r="G38" s="16">
        <f>IFERROR(__xludf.DUMMYFUNCTION("VLOOKUP(A38,IMPORTRANGE(""1QZ5UxyNCwadreQAXnQ7oCoH982DjIA-QnZdO7ZoqkC0/edit#gid=884617569"",""S5 Totals!$A$2:$O$255""),4,FALSE)"),25.0)</f>
        <v>25</v>
      </c>
      <c r="H38" s="15">
        <f>IFERROR(__xludf.DUMMYFUNCTION("VLOOKUP(A38,IMPORTRANGE(""1QZ5UxyNCwadreQAXnQ7oCoH982DjIA-QnZdO7ZoqkC0/edit#gid=884617569"",""S5 Totals!$A$2:$O$255""),5,FALSE)"),0.5102040816326531)</f>
        <v>0.5102040816</v>
      </c>
      <c r="I38" s="143"/>
      <c r="J38" s="16">
        <f>IFERROR(__xludf.DUMMYFUNCTION("VLOOKUP(A38,IMPORTRANGE(""1QZ5UxyNCwadreQAXnQ7oCoH982DjIA-QnZdO7ZoqkC0/edit#gid=884617569"",""S5 Totals!$A$2:$O$255""),7,FALSE)"),19.0)</f>
        <v>19</v>
      </c>
      <c r="K38" s="15">
        <f>IFERROR(__xludf.DUMMYFUNCTION("VLOOKUP(A38,IMPORTRANGE(""1QZ5UxyNCwadreQAXnQ7oCoH982DjIA-QnZdO7ZoqkC0/edit#gid=884617569"",""S5 Totals!$A$2:$O$255""),8,FALSE)"),0.5588235294117647)</f>
        <v>0.5588235294</v>
      </c>
      <c r="L38" s="147"/>
      <c r="M38" s="16">
        <f>IFERROR(__xludf.DUMMYFUNCTION("VLOOKUP(A38,IMPORTRANGE(""1QZ5UxyNCwadreQAXnQ7oCoH982DjIA-QnZdO7ZoqkC0/edit#gid=884617569"",""S5 Totals!$A$2:$O$255""),10,FALSE)"),9.0)</f>
        <v>9</v>
      </c>
      <c r="N38" s="15">
        <f>IFERROR(__xludf.DUMMYFUNCTION("VLOOKUP(A38,IMPORTRANGE(""1QZ5UxyNCwadreQAXnQ7oCoH982DjIA-QnZdO7ZoqkC0/edit#gid=884617569"",""S5 Totals!$A$2:$O$255""),11,FALSE)"),0.3)</f>
        <v>0.3</v>
      </c>
      <c r="O38" s="110"/>
      <c r="P38" s="16">
        <f>IFERROR(__xludf.DUMMYFUNCTION("VLOOKUP(A38,IMPORTRANGE(""1QZ5UxyNCwadreQAXnQ7oCoH982DjIA-QnZdO7ZoqkC0/edit#gid=884617569"",""S5 Totals!$A$2:$O$255""),13,FALSE)"),5.0)</f>
        <v>5</v>
      </c>
      <c r="Q38" s="15">
        <f>IFERROR(__xludf.DUMMYFUNCTION("VLOOKUP(A38,IMPORTRANGE(""1QZ5UxyNCwadreQAXnQ7oCoH982DjIA-QnZdO7ZoqkC0/edit#gid=884617569"",""S5 Totals!$A$2:$O$255""),14,FALSE)"),0.17857142857142858)</f>
        <v>0.1785714286</v>
      </c>
      <c r="R38" s="110"/>
    </row>
    <row r="39">
      <c r="A39" s="128" t="s">
        <v>36</v>
      </c>
      <c r="B39" s="16">
        <f>IFERROR(__xludf.DUMMYFUNCTION("VLOOKUP(A39,IMPORTRANGE(""1aFCnJY1qhIj8-JckJhDJ18aqmVo17tofpQmOjcYa3u8/edit#gid=1878241338"",""S5 Totals!$A$2:$O$255""),2,FALSE)"),29.0)</f>
        <v>29</v>
      </c>
      <c r="C39" s="15">
        <f>IFERROR(__xludf.DUMMYFUNCTION("VLOOKUP(A39,IMPORTRANGE(""1aFCnJY1qhIj8-JckJhDJ18aqmVo17tofpQmOjcYa3u8/edit#gid=1878241338"",""S5 Totals!$A$2:$O$255""),3,FALSE)"),0.3493975903614458)</f>
        <v>0.3493975904</v>
      </c>
      <c r="D39" s="16">
        <f>IFERROR(__xludf.DUMMYFUNCTION("VLOOKUP(A39,IMPORTRANGE(""1QZ5UxyNCwadreQAXnQ7oCoH982DjIA-QnZdO7ZoqkC0/edit#gid=884617569"",""S5 Totals!$A$2:$O$255""),2,FALSE)"),35.0)</f>
        <v>35</v>
      </c>
      <c r="E39" s="15">
        <f>IFERROR(__xludf.DUMMYFUNCTION("VLOOKUP(A39,IMPORTRANGE(""1QZ5UxyNCwadreQAXnQ7oCoH982DjIA-QnZdO7ZoqkC0/edit#gid=884617569"",""S5 Totals!$A$2:$O$255""),3,FALSE)"),0.42168674698795183)</f>
        <v>0.421686747</v>
      </c>
      <c r="F39" s="146">
        <f t="shared" si="1"/>
        <v>-0.07228915663</v>
      </c>
      <c r="G39" s="16">
        <f>IFERROR(__xludf.DUMMYFUNCTION("VLOOKUP(A39,IMPORTRANGE(""1QZ5UxyNCwadreQAXnQ7oCoH982DjIA-QnZdO7ZoqkC0/edit#gid=884617569"",""S5 Totals!$A$2:$O$255""),4,FALSE)"),23.0)</f>
        <v>23</v>
      </c>
      <c r="H39" s="15">
        <f>IFERROR(__xludf.DUMMYFUNCTION("VLOOKUP(A39,IMPORTRANGE(""1QZ5UxyNCwadreQAXnQ7oCoH982DjIA-QnZdO7ZoqkC0/edit#gid=884617569"",""S5 Totals!$A$2:$O$255""),5,FALSE)"),0.46938775510204084)</f>
        <v>0.4693877551</v>
      </c>
      <c r="I39" s="143"/>
      <c r="J39" s="16">
        <f>IFERROR(__xludf.DUMMYFUNCTION("VLOOKUP(A39,IMPORTRANGE(""1QZ5UxyNCwadreQAXnQ7oCoH982DjIA-QnZdO7ZoqkC0/edit#gid=884617569"",""S5 Totals!$A$2:$O$255""),7,FALSE)"),11.0)</f>
        <v>11</v>
      </c>
      <c r="K39" s="15">
        <f>IFERROR(__xludf.DUMMYFUNCTION("VLOOKUP(A39,IMPORTRANGE(""1QZ5UxyNCwadreQAXnQ7oCoH982DjIA-QnZdO7ZoqkC0/edit#gid=884617569"",""S5 Totals!$A$2:$O$255""),8,FALSE)"),0.3235294117647059)</f>
        <v>0.3235294118</v>
      </c>
      <c r="L39" s="147"/>
      <c r="M39" s="16">
        <f>IFERROR(__xludf.DUMMYFUNCTION("VLOOKUP(A39,IMPORTRANGE(""1QZ5UxyNCwadreQAXnQ7oCoH982DjIA-QnZdO7ZoqkC0/edit#gid=884617569"",""S5 Totals!$A$2:$O$255""),10,FALSE)"),6.0)</f>
        <v>6</v>
      </c>
      <c r="N39" s="15">
        <f>IFERROR(__xludf.DUMMYFUNCTION("VLOOKUP(A39,IMPORTRANGE(""1QZ5UxyNCwadreQAXnQ7oCoH982DjIA-QnZdO7ZoqkC0/edit#gid=884617569"",""S5 Totals!$A$2:$O$255""),11,FALSE)"),0.2)</f>
        <v>0.2</v>
      </c>
      <c r="O39" s="110"/>
      <c r="P39" s="16">
        <f>IFERROR(__xludf.DUMMYFUNCTION("VLOOKUP(A39,IMPORTRANGE(""1QZ5UxyNCwadreQAXnQ7oCoH982DjIA-QnZdO7ZoqkC0/edit#gid=884617569"",""S5 Totals!$A$2:$O$255""),13,FALSE)"),6.0)</f>
        <v>6</v>
      </c>
      <c r="Q39" s="15">
        <f>IFERROR(__xludf.DUMMYFUNCTION("VLOOKUP(A39,IMPORTRANGE(""1QZ5UxyNCwadreQAXnQ7oCoH982DjIA-QnZdO7ZoqkC0/edit#gid=884617569"",""S5 Totals!$A$2:$O$255""),14,FALSE)"),0.21428571428571427)</f>
        <v>0.2142857143</v>
      </c>
      <c r="R39" s="110"/>
    </row>
    <row r="40">
      <c r="A40" s="128" t="s">
        <v>37</v>
      </c>
      <c r="B40" s="16">
        <f>IFERROR(__xludf.DUMMYFUNCTION("VLOOKUP(A40,IMPORTRANGE(""1aFCnJY1qhIj8-JckJhDJ18aqmVo17tofpQmOjcYa3u8/edit#gid=1878241338"",""S5 Totals!$A$2:$O$255""),2,FALSE)"),34.0)</f>
        <v>34</v>
      </c>
      <c r="C40" s="15">
        <f>IFERROR(__xludf.DUMMYFUNCTION("VLOOKUP(A40,IMPORTRANGE(""1aFCnJY1qhIj8-JckJhDJ18aqmVo17tofpQmOjcYa3u8/edit#gid=1878241338"",""S5 Totals!$A$2:$O$255""),3,FALSE)"),0.40963855421686746)</f>
        <v>0.4096385542</v>
      </c>
      <c r="D40" s="16">
        <f>IFERROR(__xludf.DUMMYFUNCTION("VLOOKUP(A40,IMPORTRANGE(""1QZ5UxyNCwadreQAXnQ7oCoH982DjIA-QnZdO7ZoqkC0/edit#gid=884617569"",""S5 Totals!$A$2:$O$255""),2,FALSE)"),9.0)</f>
        <v>9</v>
      </c>
      <c r="E40" s="15">
        <f>IFERROR(__xludf.DUMMYFUNCTION("VLOOKUP(A40,IMPORTRANGE(""1QZ5UxyNCwadreQAXnQ7oCoH982DjIA-QnZdO7ZoqkC0/edit#gid=884617569"",""S5 Totals!$A$2:$O$255""),3,FALSE)"),0.10843373493975904)</f>
        <v>0.1084337349</v>
      </c>
      <c r="F40" s="146">
        <f t="shared" si="1"/>
        <v>0.3012048193</v>
      </c>
      <c r="G40" s="16">
        <f>IFERROR(__xludf.DUMMYFUNCTION("VLOOKUP(A40,IMPORTRANGE(""1QZ5UxyNCwadreQAXnQ7oCoH982DjIA-QnZdO7ZoqkC0/edit#gid=884617569"",""S5 Totals!$A$2:$O$255""),4,FALSE)"),2.0)</f>
        <v>2</v>
      </c>
      <c r="H40" s="15">
        <f>IFERROR(__xludf.DUMMYFUNCTION("VLOOKUP(A40,IMPORTRANGE(""1QZ5UxyNCwadreQAXnQ7oCoH982DjIA-QnZdO7ZoqkC0/edit#gid=884617569"",""S5 Totals!$A$2:$O$255""),5,FALSE)"),0.04081632653061224)</f>
        <v>0.04081632653</v>
      </c>
      <c r="I40" s="143"/>
      <c r="J40" s="16">
        <f>IFERROR(__xludf.DUMMYFUNCTION("VLOOKUP(A40,IMPORTRANGE(""1QZ5UxyNCwadreQAXnQ7oCoH982DjIA-QnZdO7ZoqkC0/edit#gid=884617569"",""S5 Totals!$A$2:$O$255""),7,FALSE)"),0.0)</f>
        <v>0</v>
      </c>
      <c r="K40" s="15">
        <f>IFERROR(__xludf.DUMMYFUNCTION("VLOOKUP(A40,IMPORTRANGE(""1QZ5UxyNCwadreQAXnQ7oCoH982DjIA-QnZdO7ZoqkC0/edit#gid=884617569"",""S5 Totals!$A$2:$O$255""),8,FALSE)"),0.0)</f>
        <v>0</v>
      </c>
      <c r="L40" s="147"/>
      <c r="M40" s="16">
        <f>IFERROR(__xludf.DUMMYFUNCTION("VLOOKUP(A40,IMPORTRANGE(""1QZ5UxyNCwadreQAXnQ7oCoH982DjIA-QnZdO7ZoqkC0/edit#gid=884617569"",""S5 Totals!$A$2:$O$255""),10,FALSE)"),0.0)</f>
        <v>0</v>
      </c>
      <c r="N40" s="15">
        <f>IFERROR(__xludf.DUMMYFUNCTION("VLOOKUP(A40,IMPORTRANGE(""1QZ5UxyNCwadreQAXnQ7oCoH982DjIA-QnZdO7ZoqkC0/edit#gid=884617569"",""S5 Totals!$A$2:$O$255""),11,FALSE)"),0.0)</f>
        <v>0</v>
      </c>
      <c r="O40" s="110"/>
      <c r="P40" s="16">
        <f>IFERROR(__xludf.DUMMYFUNCTION("VLOOKUP(A40,IMPORTRANGE(""1QZ5UxyNCwadreQAXnQ7oCoH982DjIA-QnZdO7ZoqkC0/edit#gid=884617569"",""S5 Totals!$A$2:$O$255""),13,FALSE)"),0.0)</f>
        <v>0</v>
      </c>
      <c r="Q40" s="15">
        <f>IFERROR(__xludf.DUMMYFUNCTION("VLOOKUP(A40,IMPORTRANGE(""1QZ5UxyNCwadreQAXnQ7oCoH982DjIA-QnZdO7ZoqkC0/edit#gid=884617569"",""S5 Totals!$A$2:$O$255""),14,FALSE)"),0.0)</f>
        <v>0</v>
      </c>
      <c r="R40" s="110"/>
    </row>
    <row r="41">
      <c r="A41" s="128" t="s">
        <v>219</v>
      </c>
      <c r="B41" s="16">
        <f>IFERROR(__xludf.DUMMYFUNCTION("VLOOKUP(A41,IMPORTRANGE(""1aFCnJY1qhIj8-JckJhDJ18aqmVo17tofpQmOjcYa3u8/edit#gid=1878241338"",""S5 Totals!$A$2:$O$255""),2,FALSE)"),7.0)</f>
        <v>7</v>
      </c>
      <c r="C41" s="15">
        <f>IFERROR(__xludf.DUMMYFUNCTION("VLOOKUP(A41,IMPORTRANGE(""1aFCnJY1qhIj8-JckJhDJ18aqmVo17tofpQmOjcYa3u8/edit#gid=1878241338"",""S5 Totals!$A$2:$O$255""),3,FALSE)"),0.08433734939759036)</f>
        <v>0.0843373494</v>
      </c>
      <c r="D41" s="16">
        <f>IFERROR(__xludf.DUMMYFUNCTION("VLOOKUP(A41,IMPORTRANGE(""1QZ5UxyNCwadreQAXnQ7oCoH982DjIA-QnZdO7ZoqkC0/edit#gid=884617569"",""S5 Totals!$A$2:$O$255""),2,FALSE)"),5.0)</f>
        <v>5</v>
      </c>
      <c r="E41" s="15">
        <f>IFERROR(__xludf.DUMMYFUNCTION("VLOOKUP(A41,IMPORTRANGE(""1QZ5UxyNCwadreQAXnQ7oCoH982DjIA-QnZdO7ZoqkC0/edit#gid=884617569"",""S5 Totals!$A$2:$O$255""),3,FALSE)"),0.060240963855421686)</f>
        <v>0.06024096386</v>
      </c>
      <c r="F41" s="146">
        <f t="shared" si="1"/>
        <v>0.02409638554</v>
      </c>
      <c r="G41" s="16">
        <f>IFERROR(__xludf.DUMMYFUNCTION("VLOOKUP(A41,IMPORTRANGE(""1QZ5UxyNCwadreQAXnQ7oCoH982DjIA-QnZdO7ZoqkC0/edit#gid=884617569"",""S5 Totals!$A$2:$O$255""),4,FALSE)"),1.0)</f>
        <v>1</v>
      </c>
      <c r="H41" s="15">
        <f>IFERROR(__xludf.DUMMYFUNCTION("VLOOKUP(A41,IMPORTRANGE(""1QZ5UxyNCwadreQAXnQ7oCoH982DjIA-QnZdO7ZoqkC0/edit#gid=884617569"",""S5 Totals!$A$2:$O$255""),5,FALSE)"),0.02040816326530612)</f>
        <v>0.02040816327</v>
      </c>
      <c r="I41" s="143"/>
      <c r="J41" s="16" t="str">
        <f>IFERROR(__xludf.DUMMYFUNCTION("VLOOKUP(A41,IMPORTRANGE(""1QZ5UxyNCwadreQAXnQ7oCoH982DjIA-QnZdO7ZoqkC0/edit#gid=884617569"",""S5 Totals!$A$2:$O$255""),7,FALSE)"),"")</f>
        <v/>
      </c>
      <c r="K41" s="15" t="str">
        <f>IFERROR(__xludf.DUMMYFUNCTION("VLOOKUP(A41,IMPORTRANGE(""1QZ5UxyNCwadreQAXnQ7oCoH982DjIA-QnZdO7ZoqkC0/edit#gid=884617569"",""S5 Totals!$A$2:$O$255""),8,FALSE)"),"")</f>
        <v/>
      </c>
      <c r="L41" s="147"/>
      <c r="M41" s="16" t="str">
        <f>IFERROR(__xludf.DUMMYFUNCTION("VLOOKUP(A41,IMPORTRANGE(""1QZ5UxyNCwadreQAXnQ7oCoH982DjIA-QnZdO7ZoqkC0/edit#gid=884617569"",""S5 Totals!$A$2:$O$255""),10,FALSE)"),"")</f>
        <v/>
      </c>
      <c r="N41" s="15" t="str">
        <f>IFERROR(__xludf.DUMMYFUNCTION("VLOOKUP(A41,IMPORTRANGE(""1QZ5UxyNCwadreQAXnQ7oCoH982DjIA-QnZdO7ZoqkC0/edit#gid=884617569"",""S5 Totals!$A$2:$O$255""),11,FALSE)"),"")</f>
        <v/>
      </c>
      <c r="O41" s="110"/>
      <c r="P41" s="16" t="str">
        <f>IFERROR(__xludf.DUMMYFUNCTION("VLOOKUP(A41,IMPORTRANGE(""1QZ5UxyNCwadreQAXnQ7oCoH982DjIA-QnZdO7ZoqkC0/edit#gid=884617569"",""S5 Totals!$A$2:$O$255""),13,FALSE)"),"")</f>
        <v/>
      </c>
      <c r="Q41" s="15" t="str">
        <f>IFERROR(__xludf.DUMMYFUNCTION("VLOOKUP(A41,IMPORTRANGE(""1QZ5UxyNCwadreQAXnQ7oCoH982DjIA-QnZdO7ZoqkC0/edit#gid=884617569"",""S5 Totals!$A$2:$O$255""),14,FALSE)"),"")</f>
        <v/>
      </c>
      <c r="R41" s="110"/>
    </row>
    <row r="42">
      <c r="A42" s="128" t="s">
        <v>220</v>
      </c>
      <c r="B42" s="16">
        <f>IFERROR(__xludf.DUMMYFUNCTION("VLOOKUP(A42,IMPORTRANGE(""1aFCnJY1qhIj8-JckJhDJ18aqmVo17tofpQmOjcYa3u8/edit#gid=1878241338"",""S5 Totals!$A$2:$O$255""),2,FALSE)"),1.0)</f>
        <v>1</v>
      </c>
      <c r="C42" s="15">
        <f>IFERROR(__xludf.DUMMYFUNCTION("VLOOKUP(A42,IMPORTRANGE(""1aFCnJY1qhIj8-JckJhDJ18aqmVo17tofpQmOjcYa3u8/edit#gid=1878241338"",""S5 Totals!$A$2:$O$255""),3,FALSE)"),0.012048192771084338)</f>
        <v>0.01204819277</v>
      </c>
      <c r="D42" s="16">
        <f>IFERROR(__xludf.DUMMYFUNCTION("VLOOKUP(A42,IMPORTRANGE(""1QZ5UxyNCwadreQAXnQ7oCoH982DjIA-QnZdO7ZoqkC0/edit#gid=884617569"",""S5 Totals!$A$2:$O$255""),2,FALSE)"),0.0)</f>
        <v>0</v>
      </c>
      <c r="E42" s="15">
        <f>IFERROR(__xludf.DUMMYFUNCTION("VLOOKUP(A42,IMPORTRANGE(""1QZ5UxyNCwadreQAXnQ7oCoH982DjIA-QnZdO7ZoqkC0/edit#gid=884617569"",""S5 Totals!$A$2:$O$255""),3,FALSE)"),0.0)</f>
        <v>0</v>
      </c>
      <c r="F42" s="146">
        <f t="shared" si="1"/>
        <v>0.01204819277</v>
      </c>
      <c r="G42" s="16">
        <f>IFERROR(__xludf.DUMMYFUNCTION("VLOOKUP(A42,IMPORTRANGE(""1QZ5UxyNCwadreQAXnQ7oCoH982DjIA-QnZdO7ZoqkC0/edit#gid=884617569"",""S5 Totals!$A$2:$O$255""),4,FALSE)"),0.0)</f>
        <v>0</v>
      </c>
      <c r="H42" s="15">
        <f>IFERROR(__xludf.DUMMYFUNCTION("VLOOKUP(A42,IMPORTRANGE(""1QZ5UxyNCwadreQAXnQ7oCoH982DjIA-QnZdO7ZoqkC0/edit#gid=884617569"",""S5 Totals!$A$2:$O$255""),5,FALSE)"),0.0)</f>
        <v>0</v>
      </c>
      <c r="I42" s="143"/>
      <c r="J42" s="16" t="str">
        <f>IFERROR(__xludf.DUMMYFUNCTION("VLOOKUP(A42,IMPORTRANGE(""1QZ5UxyNCwadreQAXnQ7oCoH982DjIA-QnZdO7ZoqkC0/edit#gid=884617569"",""S5 Totals!$A$2:$O$255""),7,FALSE)"),"")</f>
        <v/>
      </c>
      <c r="K42" s="15" t="str">
        <f>IFERROR(__xludf.DUMMYFUNCTION("VLOOKUP(A42,IMPORTRANGE(""1QZ5UxyNCwadreQAXnQ7oCoH982DjIA-QnZdO7ZoqkC0/edit#gid=884617569"",""S5 Totals!$A$2:$O$255""),8,FALSE)"),"")</f>
        <v/>
      </c>
      <c r="L42" s="147"/>
      <c r="M42" s="16" t="str">
        <f>IFERROR(__xludf.DUMMYFUNCTION("VLOOKUP(A42,IMPORTRANGE(""1QZ5UxyNCwadreQAXnQ7oCoH982DjIA-QnZdO7ZoqkC0/edit#gid=884617569"",""S5 Totals!$A$2:$O$255""),10,FALSE)"),"")</f>
        <v/>
      </c>
      <c r="N42" s="15" t="str">
        <f>IFERROR(__xludf.DUMMYFUNCTION("VLOOKUP(A42,IMPORTRANGE(""1QZ5UxyNCwadreQAXnQ7oCoH982DjIA-QnZdO7ZoqkC0/edit#gid=884617569"",""S5 Totals!$A$2:$O$255""),11,FALSE)"),"")</f>
        <v/>
      </c>
      <c r="O42" s="110"/>
      <c r="P42" s="16" t="str">
        <f>IFERROR(__xludf.DUMMYFUNCTION("VLOOKUP(A42,IMPORTRANGE(""1QZ5UxyNCwadreQAXnQ7oCoH982DjIA-QnZdO7ZoqkC0/edit#gid=884617569"",""S5 Totals!$A$2:$O$255""),13,FALSE)"),"")</f>
        <v/>
      </c>
      <c r="Q42" s="15" t="str">
        <f>IFERROR(__xludf.DUMMYFUNCTION("VLOOKUP(A42,IMPORTRANGE(""1QZ5UxyNCwadreQAXnQ7oCoH982DjIA-QnZdO7ZoqkC0/edit#gid=884617569"",""S5 Totals!$A$2:$O$255""),14,FALSE)"),"")</f>
        <v/>
      </c>
      <c r="R42" s="110"/>
    </row>
    <row r="43">
      <c r="A43" s="128" t="s">
        <v>117</v>
      </c>
      <c r="B43" s="16">
        <f>IFERROR(__xludf.DUMMYFUNCTION("VLOOKUP(A43,IMPORTRANGE(""1aFCnJY1qhIj8-JckJhDJ18aqmVo17tofpQmOjcYa3u8/edit#gid=1878241338"",""S5 Totals!$A$2:$O$255""),2,FALSE)"),1.0)</f>
        <v>1</v>
      </c>
      <c r="C43" s="15">
        <f>IFERROR(__xludf.DUMMYFUNCTION("VLOOKUP(A43,IMPORTRANGE(""1aFCnJY1qhIj8-JckJhDJ18aqmVo17tofpQmOjcYa3u8/edit#gid=1878241338"",""S5 Totals!$A$2:$O$255""),3,FALSE)"),0.012048192771084338)</f>
        <v>0.01204819277</v>
      </c>
      <c r="D43" s="16">
        <f>IFERROR(__xludf.DUMMYFUNCTION("VLOOKUP(A43,IMPORTRANGE(""1QZ5UxyNCwadreQAXnQ7oCoH982DjIA-QnZdO7ZoqkC0/edit#gid=884617569"",""S5 Totals!$A$2:$O$255""),2,FALSE)"),12.0)</f>
        <v>12</v>
      </c>
      <c r="E43" s="15">
        <f>IFERROR(__xludf.DUMMYFUNCTION("VLOOKUP(A43,IMPORTRANGE(""1QZ5UxyNCwadreQAXnQ7oCoH982DjIA-QnZdO7ZoqkC0/edit#gid=884617569"",""S5 Totals!$A$2:$O$255""),3,FALSE)"),0.14457831325301204)</f>
        <v>0.1445783133</v>
      </c>
      <c r="F43" s="146">
        <f t="shared" si="1"/>
        <v>-0.1325301205</v>
      </c>
      <c r="G43" s="16">
        <f>IFERROR(__xludf.DUMMYFUNCTION("VLOOKUP(A43,IMPORTRANGE(""1QZ5UxyNCwadreQAXnQ7oCoH982DjIA-QnZdO7ZoqkC0/edit#gid=884617569"",""S5 Totals!$A$2:$O$255""),4,FALSE)"),4.0)</f>
        <v>4</v>
      </c>
      <c r="H43" s="15">
        <f>IFERROR(__xludf.DUMMYFUNCTION("VLOOKUP(A43,IMPORTRANGE(""1QZ5UxyNCwadreQAXnQ7oCoH982DjIA-QnZdO7ZoqkC0/edit#gid=884617569"",""S5 Totals!$A$2:$O$255""),5,FALSE)"),0.08163265306122448)</f>
        <v>0.08163265306</v>
      </c>
      <c r="I43" s="143"/>
      <c r="J43" s="16">
        <f>IFERROR(__xludf.DUMMYFUNCTION("VLOOKUP(A43,IMPORTRANGE(""1QZ5UxyNCwadreQAXnQ7oCoH982DjIA-QnZdO7ZoqkC0/edit#gid=884617569"",""S5 Totals!$A$2:$O$255""),7,FALSE)"),2.0)</f>
        <v>2</v>
      </c>
      <c r="K43" s="15">
        <f>IFERROR(__xludf.DUMMYFUNCTION("VLOOKUP(A43,IMPORTRANGE(""1QZ5UxyNCwadreQAXnQ7oCoH982DjIA-QnZdO7ZoqkC0/edit#gid=884617569"",""S5 Totals!$A$2:$O$255""),8,FALSE)"),0.058823529411764705)</f>
        <v>0.05882352941</v>
      </c>
      <c r="L43" s="147"/>
      <c r="M43" s="16">
        <f>IFERROR(__xludf.DUMMYFUNCTION("VLOOKUP(A43,IMPORTRANGE(""1QZ5UxyNCwadreQAXnQ7oCoH982DjIA-QnZdO7ZoqkC0/edit#gid=884617569"",""S5 Totals!$A$2:$O$255""),10,FALSE)"),0.0)</f>
        <v>0</v>
      </c>
      <c r="N43" s="15">
        <f>IFERROR(__xludf.DUMMYFUNCTION("VLOOKUP(A43,IMPORTRANGE(""1QZ5UxyNCwadreQAXnQ7oCoH982DjIA-QnZdO7ZoqkC0/edit#gid=884617569"",""S5 Totals!$A$2:$O$255""),11,FALSE)"),0.0)</f>
        <v>0</v>
      </c>
      <c r="O43" s="110"/>
      <c r="P43" s="16" t="str">
        <f>IFERROR(__xludf.DUMMYFUNCTION("VLOOKUP(A43,IMPORTRANGE(""1QZ5UxyNCwadreQAXnQ7oCoH982DjIA-QnZdO7ZoqkC0/edit#gid=884617569"",""S5 Totals!$A$2:$O$255""),13,FALSE)"),"")</f>
        <v/>
      </c>
      <c r="Q43" s="15" t="str">
        <f>IFERROR(__xludf.DUMMYFUNCTION("VLOOKUP(A43,IMPORTRANGE(""1QZ5UxyNCwadreQAXnQ7oCoH982DjIA-QnZdO7ZoqkC0/edit#gid=884617569"",""S5 Totals!$A$2:$O$255""),14,FALSE)"),"")</f>
        <v/>
      </c>
      <c r="R43" s="110"/>
    </row>
    <row r="44">
      <c r="A44" s="132" t="s">
        <v>168</v>
      </c>
      <c r="B44" s="16">
        <f>IFERROR(__xludf.DUMMYFUNCTION("VLOOKUP(A44,IMPORTRANGE(""1aFCnJY1qhIj8-JckJhDJ18aqmVo17tofpQmOjcYa3u8/edit#gid=1878241338"",""S5 Totals!$A$2:$O$255""),2,FALSE)"),3.0)</f>
        <v>3</v>
      </c>
      <c r="C44" s="15">
        <f>IFERROR(__xludf.DUMMYFUNCTION("VLOOKUP(A44,IMPORTRANGE(""1aFCnJY1qhIj8-JckJhDJ18aqmVo17tofpQmOjcYa3u8/edit#gid=1878241338"",""S5 Totals!$A$2:$O$255""),3,FALSE)"),0.03614457831325301)</f>
        <v>0.03614457831</v>
      </c>
      <c r="D44" s="16">
        <f>IFERROR(__xludf.DUMMYFUNCTION("VLOOKUP(A44,IMPORTRANGE(""1QZ5UxyNCwadreQAXnQ7oCoH982DjIA-QnZdO7ZoqkC0/edit#gid=884617569"",""S5 Totals!$A$2:$O$255""),2,FALSE)"),6.0)</f>
        <v>6</v>
      </c>
      <c r="E44" s="15">
        <f>IFERROR(__xludf.DUMMYFUNCTION("VLOOKUP(A44,IMPORTRANGE(""1QZ5UxyNCwadreQAXnQ7oCoH982DjIA-QnZdO7ZoqkC0/edit#gid=884617569"",""S5 Totals!$A$2:$O$255""),3,FALSE)"),0.07228915662650602)</f>
        <v>0.07228915663</v>
      </c>
      <c r="F44" s="146">
        <f t="shared" si="1"/>
        <v>-0.03614457831</v>
      </c>
      <c r="G44" s="16">
        <f>IFERROR(__xludf.DUMMYFUNCTION("VLOOKUP(A44,IMPORTRANGE(""1QZ5UxyNCwadreQAXnQ7oCoH982DjIA-QnZdO7ZoqkC0/edit#gid=884617569"",""S5 Totals!$A$2:$O$255""),4,FALSE)"),5.0)</f>
        <v>5</v>
      </c>
      <c r="H44" s="15">
        <f>IFERROR(__xludf.DUMMYFUNCTION("VLOOKUP(A44,IMPORTRANGE(""1QZ5UxyNCwadreQAXnQ7oCoH982DjIA-QnZdO7ZoqkC0/edit#gid=884617569"",""S5 Totals!$A$2:$O$255""),5,FALSE)"),0.10204081632653061)</f>
        <v>0.1020408163</v>
      </c>
      <c r="I44" s="143"/>
      <c r="J44" s="16">
        <f>IFERROR(__xludf.DUMMYFUNCTION("VLOOKUP(A44,IMPORTRANGE(""1QZ5UxyNCwadreQAXnQ7oCoH982DjIA-QnZdO7ZoqkC0/edit#gid=884617569"",""S5 Totals!$A$2:$O$255""),7,FALSE)"),0.0)</f>
        <v>0</v>
      </c>
      <c r="K44" s="15">
        <f>IFERROR(__xludf.DUMMYFUNCTION("VLOOKUP(A44,IMPORTRANGE(""1QZ5UxyNCwadreQAXnQ7oCoH982DjIA-QnZdO7ZoqkC0/edit#gid=884617569"",""S5 Totals!$A$2:$O$255""),8,FALSE)"),0.0)</f>
        <v>0</v>
      </c>
      <c r="L44" s="147"/>
      <c r="M44" s="16" t="str">
        <f>IFERROR(__xludf.DUMMYFUNCTION("VLOOKUP(A44,IMPORTRANGE(""1QZ5UxyNCwadreQAXnQ7oCoH982DjIA-QnZdO7ZoqkC0/edit#gid=884617569"",""S5 Totals!$A$2:$O$255""),10,FALSE)"),"")</f>
        <v/>
      </c>
      <c r="N44" s="15" t="str">
        <f>IFERROR(__xludf.DUMMYFUNCTION("VLOOKUP(A44,IMPORTRANGE(""1QZ5UxyNCwadreQAXnQ7oCoH982DjIA-QnZdO7ZoqkC0/edit#gid=884617569"",""S5 Totals!$A$2:$O$255""),11,FALSE)"),"")</f>
        <v/>
      </c>
      <c r="O44" s="110"/>
      <c r="P44" s="16" t="str">
        <f>IFERROR(__xludf.DUMMYFUNCTION("VLOOKUP(A44,IMPORTRANGE(""1QZ5UxyNCwadreQAXnQ7oCoH982DjIA-QnZdO7ZoqkC0/edit#gid=884617569"",""S5 Totals!$A$2:$O$255""),13,FALSE)"),"")</f>
        <v/>
      </c>
      <c r="Q44" s="15" t="str">
        <f>IFERROR(__xludf.DUMMYFUNCTION("VLOOKUP(A44,IMPORTRANGE(""1QZ5UxyNCwadreQAXnQ7oCoH982DjIA-QnZdO7ZoqkC0/edit#gid=884617569"",""S5 Totals!$A$2:$O$255""),14,FALSE)"),"")</f>
        <v/>
      </c>
      <c r="R44" s="110"/>
    </row>
    <row r="45">
      <c r="A45" s="128" t="s">
        <v>169</v>
      </c>
      <c r="B45" s="16">
        <f>IFERROR(__xludf.DUMMYFUNCTION("VLOOKUP(A45,IMPORTRANGE(""1aFCnJY1qhIj8-JckJhDJ18aqmVo17tofpQmOjcYa3u8/edit#gid=1878241338"",""S5 Totals!$A$2:$O$255""),2,FALSE)"),10.0)</f>
        <v>10</v>
      </c>
      <c r="C45" s="15">
        <f>IFERROR(__xludf.DUMMYFUNCTION("VLOOKUP(A45,IMPORTRANGE(""1aFCnJY1qhIj8-JckJhDJ18aqmVo17tofpQmOjcYa3u8/edit#gid=1878241338"",""S5 Totals!$A$2:$O$255""),3,FALSE)"),0.12048192771084337)</f>
        <v>0.1204819277</v>
      </c>
      <c r="D45" s="16">
        <f>IFERROR(__xludf.DUMMYFUNCTION("VLOOKUP(A45,IMPORTRANGE(""1QZ5UxyNCwadreQAXnQ7oCoH982DjIA-QnZdO7ZoqkC0/edit#gid=884617569"",""S5 Totals!$A$2:$O$255""),2,FALSE)"),11.0)</f>
        <v>11</v>
      </c>
      <c r="E45" s="15">
        <f>IFERROR(__xludf.DUMMYFUNCTION("VLOOKUP(A45,IMPORTRANGE(""1QZ5UxyNCwadreQAXnQ7oCoH982DjIA-QnZdO7ZoqkC0/edit#gid=884617569"",""S5 Totals!$A$2:$O$255""),3,FALSE)"),0.13253012048192772)</f>
        <v>0.1325301205</v>
      </c>
      <c r="F45" s="146">
        <f t="shared" si="1"/>
        <v>-0.01204819277</v>
      </c>
      <c r="G45" s="16">
        <f>IFERROR(__xludf.DUMMYFUNCTION("VLOOKUP(A45,IMPORTRANGE(""1QZ5UxyNCwadreQAXnQ7oCoH982DjIA-QnZdO7ZoqkC0/edit#gid=884617569"",""S5 Totals!$A$2:$O$255""),4,FALSE)"),5.0)</f>
        <v>5</v>
      </c>
      <c r="H45" s="15">
        <f>IFERROR(__xludf.DUMMYFUNCTION("VLOOKUP(A45,IMPORTRANGE(""1QZ5UxyNCwadreQAXnQ7oCoH982DjIA-QnZdO7ZoqkC0/edit#gid=884617569"",""S5 Totals!$A$2:$O$255""),5,FALSE)"),0.10204081632653061)</f>
        <v>0.1020408163</v>
      </c>
      <c r="I45" s="143"/>
      <c r="J45" s="16">
        <f>IFERROR(__xludf.DUMMYFUNCTION("VLOOKUP(A45,IMPORTRANGE(""1QZ5UxyNCwadreQAXnQ7oCoH982DjIA-QnZdO7ZoqkC0/edit#gid=884617569"",""S5 Totals!$A$2:$O$255""),7,FALSE)"),2.0)</f>
        <v>2</v>
      </c>
      <c r="K45" s="15">
        <f>IFERROR(__xludf.DUMMYFUNCTION("VLOOKUP(A45,IMPORTRANGE(""1QZ5UxyNCwadreQAXnQ7oCoH982DjIA-QnZdO7ZoqkC0/edit#gid=884617569"",""S5 Totals!$A$2:$O$255""),8,FALSE)"),0.058823529411764705)</f>
        <v>0.05882352941</v>
      </c>
      <c r="L45" s="147"/>
      <c r="M45" s="16" t="str">
        <f>IFERROR(__xludf.DUMMYFUNCTION("VLOOKUP(A45,IMPORTRANGE(""1QZ5UxyNCwadreQAXnQ7oCoH982DjIA-QnZdO7ZoqkC0/edit#gid=884617569"",""S5 Totals!$A$2:$O$255""),10,FALSE)"),"")</f>
        <v/>
      </c>
      <c r="N45" s="15" t="str">
        <f>IFERROR(__xludf.DUMMYFUNCTION("VLOOKUP(A45,IMPORTRANGE(""1QZ5UxyNCwadreQAXnQ7oCoH982DjIA-QnZdO7ZoqkC0/edit#gid=884617569"",""S5 Totals!$A$2:$O$255""),11,FALSE)"),"")</f>
        <v/>
      </c>
      <c r="O45" s="110"/>
      <c r="P45" s="16" t="str">
        <f>IFERROR(__xludf.DUMMYFUNCTION("VLOOKUP(A45,IMPORTRANGE(""1QZ5UxyNCwadreQAXnQ7oCoH982DjIA-QnZdO7ZoqkC0/edit#gid=884617569"",""S5 Totals!$A$2:$O$255""),13,FALSE)"),"")</f>
        <v/>
      </c>
      <c r="Q45" s="15" t="str">
        <f>IFERROR(__xludf.DUMMYFUNCTION("VLOOKUP(A45,IMPORTRANGE(""1QZ5UxyNCwadreQAXnQ7oCoH982DjIA-QnZdO7ZoqkC0/edit#gid=884617569"",""S5 Totals!$A$2:$O$255""),14,FALSE)"),"")</f>
        <v/>
      </c>
      <c r="R45" s="110"/>
    </row>
    <row r="46">
      <c r="A46" s="128" t="s">
        <v>263</v>
      </c>
      <c r="B46" s="16">
        <f>IFERROR(__xludf.DUMMYFUNCTION("VLOOKUP(A46,IMPORTRANGE(""1aFCnJY1qhIj8-JckJhDJ18aqmVo17tofpQmOjcYa3u8/edit#gid=1878241338"",""S5 Totals!$A$2:$O$255""),2,FALSE)"),15.0)</f>
        <v>15</v>
      </c>
      <c r="C46" s="15">
        <f>IFERROR(__xludf.DUMMYFUNCTION("VLOOKUP(A46,IMPORTRANGE(""1aFCnJY1qhIj8-JckJhDJ18aqmVo17tofpQmOjcYa3u8/edit#gid=1878241338"",""S5 Totals!$A$2:$O$255""),3,FALSE)"),0.18072289156626506)</f>
        <v>0.1807228916</v>
      </c>
      <c r="D46" s="16" t="str">
        <f>IFERROR(__xludf.DUMMYFUNCTION("VLOOKUP(A46,IMPORTRANGE(""1QZ5UxyNCwadreQAXnQ7oCoH982DjIA-QnZdO7ZoqkC0/edit#gid=884617569"",""S5 Totals!$A$2:$O$255""),2,FALSE)"),"#N/A")</f>
        <v>#N/A</v>
      </c>
      <c r="E46" s="15" t="str">
        <f>IFERROR(__xludf.DUMMYFUNCTION("VLOOKUP(A46,IMPORTRANGE(""1QZ5UxyNCwadreQAXnQ7oCoH982DjIA-QnZdO7ZoqkC0/edit#gid=884617569"",""S5 Totals!$A$2:$O$255""),3,FALSE)"),"#N/A")</f>
        <v>#N/A</v>
      </c>
      <c r="F46" s="146" t="str">
        <f t="shared" si="1"/>
        <v>#N/A</v>
      </c>
      <c r="G46" s="16" t="str">
        <f>IFERROR(__xludf.DUMMYFUNCTION("VLOOKUP(A46,IMPORTRANGE(""1QZ5UxyNCwadreQAXnQ7oCoH982DjIA-QnZdO7ZoqkC0/edit#gid=884617569"",""S5 Totals!$A$2:$O$255""),4,FALSE)"),"#N/A")</f>
        <v>#N/A</v>
      </c>
      <c r="H46" s="15" t="str">
        <f>IFERROR(__xludf.DUMMYFUNCTION("VLOOKUP(A46,IMPORTRANGE(""1QZ5UxyNCwadreQAXnQ7oCoH982DjIA-QnZdO7ZoqkC0/edit#gid=884617569"",""S5 Totals!$A$2:$O$255""),5,FALSE)"),"#N/A")</f>
        <v>#N/A</v>
      </c>
      <c r="I46" s="143"/>
      <c r="J46" s="16" t="str">
        <f>IFERROR(__xludf.DUMMYFUNCTION("VLOOKUP(A46,IMPORTRANGE(""1QZ5UxyNCwadreQAXnQ7oCoH982DjIA-QnZdO7ZoqkC0/edit#gid=884617569"",""S5 Totals!$A$2:$O$255""),7,FALSE)"),"#N/A")</f>
        <v>#N/A</v>
      </c>
      <c r="K46" s="15" t="str">
        <f>IFERROR(__xludf.DUMMYFUNCTION("VLOOKUP(A46,IMPORTRANGE(""1QZ5UxyNCwadreQAXnQ7oCoH982DjIA-QnZdO7ZoqkC0/edit#gid=884617569"",""S5 Totals!$A$2:$O$255""),8,FALSE)"),"#N/A")</f>
        <v>#N/A</v>
      </c>
      <c r="L46" s="147"/>
      <c r="M46" s="16" t="str">
        <f>IFERROR(__xludf.DUMMYFUNCTION("VLOOKUP(A46,IMPORTRANGE(""1QZ5UxyNCwadreQAXnQ7oCoH982DjIA-QnZdO7ZoqkC0/edit#gid=884617569"",""S5 Totals!$A$2:$O$255""),10,FALSE)"),"#N/A")</f>
        <v>#N/A</v>
      </c>
      <c r="N46" s="15" t="str">
        <f>IFERROR(__xludf.DUMMYFUNCTION("VLOOKUP(A46,IMPORTRANGE(""1QZ5UxyNCwadreQAXnQ7oCoH982DjIA-QnZdO7ZoqkC0/edit#gid=884617569"",""S5 Totals!$A$2:$O$255""),11,FALSE)"),"#N/A")</f>
        <v>#N/A</v>
      </c>
      <c r="O46" s="110"/>
      <c r="P46" s="16" t="str">
        <f>IFERROR(__xludf.DUMMYFUNCTION("VLOOKUP(A46,IMPORTRANGE(""1QZ5UxyNCwadreQAXnQ7oCoH982DjIA-QnZdO7ZoqkC0/edit#gid=884617569"",""S5 Totals!$A$2:$O$255""),13,FALSE)"),"#N/A")</f>
        <v>#N/A</v>
      </c>
      <c r="Q46" s="15" t="str">
        <f>IFERROR(__xludf.DUMMYFUNCTION("VLOOKUP(A46,IMPORTRANGE(""1QZ5UxyNCwadreQAXnQ7oCoH982DjIA-QnZdO7ZoqkC0/edit#gid=884617569"",""S5 Totals!$A$2:$O$255""),14,FALSE)"),"#N/A")</f>
        <v>#N/A</v>
      </c>
      <c r="R46" s="110"/>
    </row>
    <row r="47">
      <c r="A47" s="128" t="s">
        <v>170</v>
      </c>
      <c r="B47" s="16">
        <f>IFERROR(__xludf.DUMMYFUNCTION("VLOOKUP(A47,IMPORTRANGE(""1aFCnJY1qhIj8-JckJhDJ18aqmVo17tofpQmOjcYa3u8/edit#gid=1878241338"",""S5 Totals!$A$2:$O$255""),2,FALSE)"),26.0)</f>
        <v>26</v>
      </c>
      <c r="C47" s="15">
        <f>IFERROR(__xludf.DUMMYFUNCTION("VLOOKUP(A47,IMPORTRANGE(""1aFCnJY1qhIj8-JckJhDJ18aqmVo17tofpQmOjcYa3u8/edit#gid=1878241338"",""S5 Totals!$A$2:$O$255""),3,FALSE)"),0.3132530120481928)</f>
        <v>0.313253012</v>
      </c>
      <c r="D47" s="16">
        <f>IFERROR(__xludf.DUMMYFUNCTION("VLOOKUP(A47,IMPORTRANGE(""1QZ5UxyNCwadreQAXnQ7oCoH982DjIA-QnZdO7ZoqkC0/edit#gid=884617569"",""S5 Totals!$A$2:$O$255""),2,FALSE)"),9.0)</f>
        <v>9</v>
      </c>
      <c r="E47" s="15">
        <f>IFERROR(__xludf.DUMMYFUNCTION("VLOOKUP(A47,IMPORTRANGE(""1QZ5UxyNCwadreQAXnQ7oCoH982DjIA-QnZdO7ZoqkC0/edit#gid=884617569"",""S5 Totals!$A$2:$O$255""),3,FALSE)"),0.10843373493975904)</f>
        <v>0.1084337349</v>
      </c>
      <c r="F47" s="146">
        <f t="shared" si="1"/>
        <v>0.2048192771</v>
      </c>
      <c r="G47" s="16">
        <f>IFERROR(__xludf.DUMMYFUNCTION("VLOOKUP(A47,IMPORTRANGE(""1QZ5UxyNCwadreQAXnQ7oCoH982DjIA-QnZdO7ZoqkC0/edit#gid=884617569"",""S5 Totals!$A$2:$O$255""),4,FALSE)"),11.0)</f>
        <v>11</v>
      </c>
      <c r="H47" s="15">
        <f>IFERROR(__xludf.DUMMYFUNCTION("VLOOKUP(A47,IMPORTRANGE(""1QZ5UxyNCwadreQAXnQ7oCoH982DjIA-QnZdO7ZoqkC0/edit#gid=884617569"",""S5 Totals!$A$2:$O$255""),5,FALSE)"),0.22448979591836735)</f>
        <v>0.2244897959</v>
      </c>
      <c r="I47" s="143"/>
      <c r="J47" s="16">
        <f>IFERROR(__xludf.DUMMYFUNCTION("VLOOKUP(A47,IMPORTRANGE(""1QZ5UxyNCwadreQAXnQ7oCoH982DjIA-QnZdO7ZoqkC0/edit#gid=884617569"",""S5 Totals!$A$2:$O$255""),7,FALSE)"),12.0)</f>
        <v>12</v>
      </c>
      <c r="K47" s="15">
        <f>IFERROR(__xludf.DUMMYFUNCTION("VLOOKUP(A47,IMPORTRANGE(""1QZ5UxyNCwadreQAXnQ7oCoH982DjIA-QnZdO7ZoqkC0/edit#gid=884617569"",""S5 Totals!$A$2:$O$255""),8,FALSE)"),0.35294117647058826)</f>
        <v>0.3529411765</v>
      </c>
      <c r="L47" s="147"/>
      <c r="M47" s="16" t="str">
        <f>IFERROR(__xludf.DUMMYFUNCTION("VLOOKUP(A47,IMPORTRANGE(""1QZ5UxyNCwadreQAXnQ7oCoH982DjIA-QnZdO7ZoqkC0/edit#gid=884617569"",""S5 Totals!$A$2:$O$255""),10,FALSE)"),"")</f>
        <v/>
      </c>
      <c r="N47" s="15" t="str">
        <f>IFERROR(__xludf.DUMMYFUNCTION("VLOOKUP(A47,IMPORTRANGE(""1QZ5UxyNCwadreQAXnQ7oCoH982DjIA-QnZdO7ZoqkC0/edit#gid=884617569"",""S5 Totals!$A$2:$O$255""),11,FALSE)"),"")</f>
        <v/>
      </c>
      <c r="O47" s="110"/>
      <c r="P47" s="16" t="str">
        <f>IFERROR(__xludf.DUMMYFUNCTION("VLOOKUP(A47,IMPORTRANGE(""1QZ5UxyNCwadreQAXnQ7oCoH982DjIA-QnZdO7ZoqkC0/edit#gid=884617569"",""S5 Totals!$A$2:$O$255""),13,FALSE)"),"")</f>
        <v/>
      </c>
      <c r="Q47" s="15" t="str">
        <f>IFERROR(__xludf.DUMMYFUNCTION("VLOOKUP(A47,IMPORTRANGE(""1QZ5UxyNCwadreQAXnQ7oCoH982DjIA-QnZdO7ZoqkC0/edit#gid=884617569"",""S5 Totals!$A$2:$O$255""),14,FALSE)"),"")</f>
        <v/>
      </c>
      <c r="R47" s="110"/>
    </row>
    <row r="48">
      <c r="A48" s="128" t="s">
        <v>221</v>
      </c>
      <c r="B48" s="16">
        <f>IFERROR(__xludf.DUMMYFUNCTION("VLOOKUP(A48,IMPORTRANGE(""1aFCnJY1qhIj8-JckJhDJ18aqmVo17tofpQmOjcYa3u8/edit#gid=1878241338"",""S5 Totals!$A$2:$O$255""),2,FALSE)"),0.0)</f>
        <v>0</v>
      </c>
      <c r="C48" s="15">
        <f>IFERROR(__xludf.DUMMYFUNCTION("VLOOKUP(A48,IMPORTRANGE(""1aFCnJY1qhIj8-JckJhDJ18aqmVo17tofpQmOjcYa3u8/edit#gid=1878241338"",""S5 Totals!$A$2:$O$255""),3,FALSE)"),0.0)</f>
        <v>0</v>
      </c>
      <c r="D48" s="16">
        <f>IFERROR(__xludf.DUMMYFUNCTION("VLOOKUP(A48,IMPORTRANGE(""1QZ5UxyNCwadreQAXnQ7oCoH982DjIA-QnZdO7ZoqkC0/edit#gid=884617569"",""S5 Totals!$A$2:$O$255""),2,FALSE)"),0.0)</f>
        <v>0</v>
      </c>
      <c r="E48" s="15">
        <f>IFERROR(__xludf.DUMMYFUNCTION("VLOOKUP(A48,IMPORTRANGE(""1QZ5UxyNCwadreQAXnQ7oCoH982DjIA-QnZdO7ZoqkC0/edit#gid=884617569"",""S5 Totals!$A$2:$O$255""),3,FALSE)"),0.0)</f>
        <v>0</v>
      </c>
      <c r="F48" s="146">
        <f t="shared" si="1"/>
        <v>0</v>
      </c>
      <c r="G48" s="16">
        <f>IFERROR(__xludf.DUMMYFUNCTION("VLOOKUP(A48,IMPORTRANGE(""1QZ5UxyNCwadreQAXnQ7oCoH982DjIA-QnZdO7ZoqkC0/edit#gid=884617569"",""S5 Totals!$A$2:$O$255""),4,FALSE)"),0.0)</f>
        <v>0</v>
      </c>
      <c r="H48" s="15">
        <f>IFERROR(__xludf.DUMMYFUNCTION("VLOOKUP(A48,IMPORTRANGE(""1QZ5UxyNCwadreQAXnQ7oCoH982DjIA-QnZdO7ZoqkC0/edit#gid=884617569"",""S5 Totals!$A$2:$O$255""),5,FALSE)"),0.0)</f>
        <v>0</v>
      </c>
      <c r="I48" s="143"/>
      <c r="J48" s="16" t="str">
        <f>IFERROR(__xludf.DUMMYFUNCTION("VLOOKUP(A48,IMPORTRANGE(""1QZ5UxyNCwadreQAXnQ7oCoH982DjIA-QnZdO7ZoqkC0/edit#gid=884617569"",""S5 Totals!$A$2:$O$255""),7,FALSE)"),"")</f>
        <v/>
      </c>
      <c r="K48" s="15" t="str">
        <f>IFERROR(__xludf.DUMMYFUNCTION("VLOOKUP(A48,IMPORTRANGE(""1QZ5UxyNCwadreQAXnQ7oCoH982DjIA-QnZdO7ZoqkC0/edit#gid=884617569"",""S5 Totals!$A$2:$O$255""),8,FALSE)"),"")</f>
        <v/>
      </c>
      <c r="L48" s="147"/>
      <c r="M48" s="16" t="str">
        <f>IFERROR(__xludf.DUMMYFUNCTION("VLOOKUP(A48,IMPORTRANGE(""1QZ5UxyNCwadreQAXnQ7oCoH982DjIA-QnZdO7ZoqkC0/edit#gid=884617569"",""S5 Totals!$A$2:$O$255""),10,FALSE)"),"")</f>
        <v/>
      </c>
      <c r="N48" s="15" t="str">
        <f>IFERROR(__xludf.DUMMYFUNCTION("VLOOKUP(A48,IMPORTRANGE(""1QZ5UxyNCwadreQAXnQ7oCoH982DjIA-QnZdO7ZoqkC0/edit#gid=884617569"",""S5 Totals!$A$2:$O$255""),11,FALSE)"),"")</f>
        <v/>
      </c>
      <c r="O48" s="110"/>
      <c r="P48" s="16" t="str">
        <f>IFERROR(__xludf.DUMMYFUNCTION("VLOOKUP(A48,IMPORTRANGE(""1QZ5UxyNCwadreQAXnQ7oCoH982DjIA-QnZdO7ZoqkC0/edit#gid=884617569"",""S5 Totals!$A$2:$O$255""),13,FALSE)"),"")</f>
        <v/>
      </c>
      <c r="Q48" s="15" t="str">
        <f>IFERROR(__xludf.DUMMYFUNCTION("VLOOKUP(A48,IMPORTRANGE(""1QZ5UxyNCwadreQAXnQ7oCoH982DjIA-QnZdO7ZoqkC0/edit#gid=884617569"",""S5 Totals!$A$2:$O$255""),14,FALSE)"),"")</f>
        <v/>
      </c>
      <c r="R48" s="110"/>
    </row>
    <row r="49">
      <c r="A49" s="128" t="s">
        <v>38</v>
      </c>
      <c r="B49" s="16">
        <f>IFERROR(__xludf.DUMMYFUNCTION("VLOOKUP(A49,IMPORTRANGE(""1aFCnJY1qhIj8-JckJhDJ18aqmVo17tofpQmOjcYa3u8/edit#gid=1878241338"",""S5 Totals!$A$2:$O$255""),2,FALSE)"),10.0)</f>
        <v>10</v>
      </c>
      <c r="C49" s="15">
        <f>IFERROR(__xludf.DUMMYFUNCTION("VLOOKUP(A49,IMPORTRANGE(""1aFCnJY1qhIj8-JckJhDJ18aqmVo17tofpQmOjcYa3u8/edit#gid=1878241338"",""S5 Totals!$A$2:$O$255""),3,FALSE)"),0.12048192771084337)</f>
        <v>0.1204819277</v>
      </c>
      <c r="D49" s="16">
        <f>IFERROR(__xludf.DUMMYFUNCTION("VLOOKUP(A49,IMPORTRANGE(""1QZ5UxyNCwadreQAXnQ7oCoH982DjIA-QnZdO7ZoqkC0/edit#gid=884617569"",""S5 Totals!$A$2:$O$255""),2,FALSE)"),27.0)</f>
        <v>27</v>
      </c>
      <c r="E49" s="15">
        <f>IFERROR(__xludf.DUMMYFUNCTION("VLOOKUP(A49,IMPORTRANGE(""1QZ5UxyNCwadreQAXnQ7oCoH982DjIA-QnZdO7ZoqkC0/edit#gid=884617569"",""S5 Totals!$A$2:$O$255""),3,FALSE)"),0.3253012048192771)</f>
        <v>0.3253012048</v>
      </c>
      <c r="F49" s="146">
        <f t="shared" si="1"/>
        <v>-0.2048192771</v>
      </c>
      <c r="G49" s="16">
        <f>IFERROR(__xludf.DUMMYFUNCTION("VLOOKUP(A49,IMPORTRANGE(""1QZ5UxyNCwadreQAXnQ7oCoH982DjIA-QnZdO7ZoqkC0/edit#gid=884617569"",""S5 Totals!$A$2:$O$255""),4,FALSE)"),10.0)</f>
        <v>10</v>
      </c>
      <c r="H49" s="15">
        <f>IFERROR(__xludf.DUMMYFUNCTION("VLOOKUP(A49,IMPORTRANGE(""1QZ5UxyNCwadreQAXnQ7oCoH982DjIA-QnZdO7ZoqkC0/edit#gid=884617569"",""S5 Totals!$A$2:$O$255""),5,FALSE)"),0.20408163265306123)</f>
        <v>0.2040816327</v>
      </c>
      <c r="I49" s="143"/>
      <c r="J49" s="16">
        <f>IFERROR(__xludf.DUMMYFUNCTION("VLOOKUP(A49,IMPORTRANGE(""1QZ5UxyNCwadreQAXnQ7oCoH982DjIA-QnZdO7ZoqkC0/edit#gid=884617569"",""S5 Totals!$A$2:$O$255""),7,FALSE)"),6.0)</f>
        <v>6</v>
      </c>
      <c r="K49" s="15">
        <f>IFERROR(__xludf.DUMMYFUNCTION("VLOOKUP(A49,IMPORTRANGE(""1QZ5UxyNCwadreQAXnQ7oCoH982DjIA-QnZdO7ZoqkC0/edit#gid=884617569"",""S5 Totals!$A$2:$O$255""),8,FALSE)"),0.17647058823529413)</f>
        <v>0.1764705882</v>
      </c>
      <c r="L49" s="147"/>
      <c r="M49" s="16">
        <f>IFERROR(__xludf.DUMMYFUNCTION("VLOOKUP(A49,IMPORTRANGE(""1QZ5UxyNCwadreQAXnQ7oCoH982DjIA-QnZdO7ZoqkC0/edit#gid=884617569"",""S5 Totals!$A$2:$O$255""),10,FALSE)"),0.0)</f>
        <v>0</v>
      </c>
      <c r="N49" s="15">
        <f>IFERROR(__xludf.DUMMYFUNCTION("VLOOKUP(A49,IMPORTRANGE(""1QZ5UxyNCwadreQAXnQ7oCoH982DjIA-QnZdO7ZoqkC0/edit#gid=884617569"",""S5 Totals!$A$2:$O$255""),11,FALSE)"),0.0)</f>
        <v>0</v>
      </c>
      <c r="O49" s="110"/>
      <c r="P49" s="16">
        <f>IFERROR(__xludf.DUMMYFUNCTION("VLOOKUP(A49,IMPORTRANGE(""1QZ5UxyNCwadreQAXnQ7oCoH982DjIA-QnZdO7ZoqkC0/edit#gid=884617569"",""S5 Totals!$A$2:$O$255""),13,FALSE)"),4.0)</f>
        <v>4</v>
      </c>
      <c r="Q49" s="15">
        <f>IFERROR(__xludf.DUMMYFUNCTION("VLOOKUP(A49,IMPORTRANGE(""1QZ5UxyNCwadreQAXnQ7oCoH982DjIA-QnZdO7ZoqkC0/edit#gid=884617569"",""S5 Totals!$A$2:$O$255""),14,FALSE)"),0.14285714285714285)</f>
        <v>0.1428571429</v>
      </c>
      <c r="R49" s="110"/>
    </row>
    <row r="50">
      <c r="A50" s="128" t="s">
        <v>39</v>
      </c>
      <c r="B50" s="16">
        <f>IFERROR(__xludf.DUMMYFUNCTION("VLOOKUP(A50,IMPORTRANGE(""1aFCnJY1qhIj8-JckJhDJ18aqmVo17tofpQmOjcYa3u8/edit#gid=1878241338"",""S5 Totals!$A$2:$O$255""),2,FALSE)"),13.0)</f>
        <v>13</v>
      </c>
      <c r="C50" s="15">
        <f>IFERROR(__xludf.DUMMYFUNCTION("VLOOKUP(A50,IMPORTRANGE(""1aFCnJY1qhIj8-JckJhDJ18aqmVo17tofpQmOjcYa3u8/edit#gid=1878241338"",""S5 Totals!$A$2:$O$255""),3,FALSE)"),0.1566265060240964)</f>
        <v>0.156626506</v>
      </c>
      <c r="D50" s="16">
        <f>IFERROR(__xludf.DUMMYFUNCTION("VLOOKUP(A50,IMPORTRANGE(""1QZ5UxyNCwadreQAXnQ7oCoH982DjIA-QnZdO7ZoqkC0/edit#gid=884617569"",""S5 Totals!$A$2:$O$255""),2,FALSE)"),6.0)</f>
        <v>6</v>
      </c>
      <c r="E50" s="15">
        <f>IFERROR(__xludf.DUMMYFUNCTION("VLOOKUP(A50,IMPORTRANGE(""1QZ5UxyNCwadreQAXnQ7oCoH982DjIA-QnZdO7ZoqkC0/edit#gid=884617569"",""S5 Totals!$A$2:$O$255""),3,FALSE)"),0.07228915662650602)</f>
        <v>0.07228915663</v>
      </c>
      <c r="F50" s="146">
        <f t="shared" si="1"/>
        <v>0.0843373494</v>
      </c>
      <c r="G50" s="16">
        <f>IFERROR(__xludf.DUMMYFUNCTION("VLOOKUP(A50,IMPORTRANGE(""1QZ5UxyNCwadreQAXnQ7oCoH982DjIA-QnZdO7ZoqkC0/edit#gid=884617569"",""S5 Totals!$A$2:$O$255""),4,FALSE)"),3.0)</f>
        <v>3</v>
      </c>
      <c r="H50" s="15">
        <f>IFERROR(__xludf.DUMMYFUNCTION("VLOOKUP(A50,IMPORTRANGE(""1QZ5UxyNCwadreQAXnQ7oCoH982DjIA-QnZdO7ZoqkC0/edit#gid=884617569"",""S5 Totals!$A$2:$O$255""),5,FALSE)"),0.061224489795918366)</f>
        <v>0.0612244898</v>
      </c>
      <c r="I50" s="143"/>
      <c r="J50" s="16">
        <f>IFERROR(__xludf.DUMMYFUNCTION("VLOOKUP(A50,IMPORTRANGE(""1QZ5UxyNCwadreQAXnQ7oCoH982DjIA-QnZdO7ZoqkC0/edit#gid=884617569"",""S5 Totals!$A$2:$O$255""),7,FALSE)"),5.0)</f>
        <v>5</v>
      </c>
      <c r="K50" s="15">
        <f>IFERROR(__xludf.DUMMYFUNCTION("VLOOKUP(A50,IMPORTRANGE(""1QZ5UxyNCwadreQAXnQ7oCoH982DjIA-QnZdO7ZoqkC0/edit#gid=884617569"",""S5 Totals!$A$2:$O$255""),8,FALSE)"),0.14705882352941177)</f>
        <v>0.1470588235</v>
      </c>
      <c r="L50" s="147"/>
      <c r="M50" s="16">
        <f>IFERROR(__xludf.DUMMYFUNCTION("VLOOKUP(A50,IMPORTRANGE(""1QZ5UxyNCwadreQAXnQ7oCoH982DjIA-QnZdO7ZoqkC0/edit#gid=884617569"",""S5 Totals!$A$2:$O$255""),10,FALSE)"),1.0)</f>
        <v>1</v>
      </c>
      <c r="N50" s="15">
        <f>IFERROR(__xludf.DUMMYFUNCTION("VLOOKUP(A50,IMPORTRANGE(""1QZ5UxyNCwadreQAXnQ7oCoH982DjIA-QnZdO7ZoqkC0/edit#gid=884617569"",""S5 Totals!$A$2:$O$255""),11,FALSE)"),0.03333333333333333)</f>
        <v>0.03333333333</v>
      </c>
      <c r="O50" s="110"/>
      <c r="P50" s="16">
        <f>IFERROR(__xludf.DUMMYFUNCTION("VLOOKUP(A50,IMPORTRANGE(""1QZ5UxyNCwadreQAXnQ7oCoH982DjIA-QnZdO7ZoqkC0/edit#gid=884617569"",""S5 Totals!$A$2:$O$255""),13,FALSE)"),0.0)</f>
        <v>0</v>
      </c>
      <c r="Q50" s="15">
        <f>IFERROR(__xludf.DUMMYFUNCTION("VLOOKUP(A50,IMPORTRANGE(""1QZ5UxyNCwadreQAXnQ7oCoH982DjIA-QnZdO7ZoqkC0/edit#gid=884617569"",""S5 Totals!$A$2:$O$255""),14,FALSE)"),0.0)</f>
        <v>0</v>
      </c>
      <c r="R50" s="110"/>
    </row>
    <row r="51">
      <c r="A51" s="128" t="s">
        <v>94</v>
      </c>
      <c r="B51" s="16">
        <f>IFERROR(__xludf.DUMMYFUNCTION("VLOOKUP(A51,IMPORTRANGE(""1aFCnJY1qhIj8-JckJhDJ18aqmVo17tofpQmOjcYa3u8/edit#gid=1878241338"",""S5 Totals!$A$2:$O$255""),2,FALSE)"),2.0)</f>
        <v>2</v>
      </c>
      <c r="C51" s="15">
        <f>IFERROR(__xludf.DUMMYFUNCTION("VLOOKUP(A51,IMPORTRANGE(""1aFCnJY1qhIj8-JckJhDJ18aqmVo17tofpQmOjcYa3u8/edit#gid=1878241338"",""S5 Totals!$A$2:$O$255""),3,FALSE)"),0.024096385542168676)</f>
        <v>0.02409638554</v>
      </c>
      <c r="D51" s="16">
        <f>IFERROR(__xludf.DUMMYFUNCTION("VLOOKUP(A51,IMPORTRANGE(""1QZ5UxyNCwadreQAXnQ7oCoH982DjIA-QnZdO7ZoqkC0/edit#gid=884617569"",""S5 Totals!$A$2:$O$255""),2,FALSE)"),2.0)</f>
        <v>2</v>
      </c>
      <c r="E51" s="15">
        <f>IFERROR(__xludf.DUMMYFUNCTION("VLOOKUP(A51,IMPORTRANGE(""1QZ5UxyNCwadreQAXnQ7oCoH982DjIA-QnZdO7ZoqkC0/edit#gid=884617569"",""S5 Totals!$A$2:$O$255""),3,FALSE)"),0.024096385542168676)</f>
        <v>0.02409638554</v>
      </c>
      <c r="F51" s="146">
        <f t="shared" si="1"/>
        <v>0</v>
      </c>
      <c r="G51" s="16">
        <f>IFERROR(__xludf.DUMMYFUNCTION("VLOOKUP(A51,IMPORTRANGE(""1QZ5UxyNCwadreQAXnQ7oCoH982DjIA-QnZdO7ZoqkC0/edit#gid=884617569"",""S5 Totals!$A$2:$O$255""),4,FALSE)"),0.0)</f>
        <v>0</v>
      </c>
      <c r="H51" s="15">
        <f>IFERROR(__xludf.DUMMYFUNCTION("VLOOKUP(A51,IMPORTRANGE(""1QZ5UxyNCwadreQAXnQ7oCoH982DjIA-QnZdO7ZoqkC0/edit#gid=884617569"",""S5 Totals!$A$2:$O$255""),5,FALSE)"),0.0)</f>
        <v>0</v>
      </c>
      <c r="I51" s="143"/>
      <c r="J51" s="16">
        <f>IFERROR(__xludf.DUMMYFUNCTION("VLOOKUP(A51,IMPORTRANGE(""1QZ5UxyNCwadreQAXnQ7oCoH982DjIA-QnZdO7ZoqkC0/edit#gid=884617569"",""S5 Totals!$A$2:$O$255""),7,FALSE)"),0.0)</f>
        <v>0</v>
      </c>
      <c r="K51" s="15">
        <f>IFERROR(__xludf.DUMMYFUNCTION("VLOOKUP(A51,IMPORTRANGE(""1QZ5UxyNCwadreQAXnQ7oCoH982DjIA-QnZdO7ZoqkC0/edit#gid=884617569"",""S5 Totals!$A$2:$O$255""),8,FALSE)"),0.0)</f>
        <v>0</v>
      </c>
      <c r="L51" s="147"/>
      <c r="M51" s="16">
        <f>IFERROR(__xludf.DUMMYFUNCTION("VLOOKUP(A51,IMPORTRANGE(""1QZ5UxyNCwadreQAXnQ7oCoH982DjIA-QnZdO7ZoqkC0/edit#gid=884617569"",""S5 Totals!$A$2:$O$255""),10,FALSE)"),0.0)</f>
        <v>0</v>
      </c>
      <c r="N51" s="15">
        <f>IFERROR(__xludf.DUMMYFUNCTION("VLOOKUP(A51,IMPORTRANGE(""1QZ5UxyNCwadreQAXnQ7oCoH982DjIA-QnZdO7ZoqkC0/edit#gid=884617569"",""S5 Totals!$A$2:$O$255""),11,FALSE)"),0.0)</f>
        <v>0</v>
      </c>
      <c r="O51" s="110"/>
      <c r="P51" s="16">
        <f>IFERROR(__xludf.DUMMYFUNCTION("VLOOKUP(A51,IMPORTRANGE(""1QZ5UxyNCwadreQAXnQ7oCoH982DjIA-QnZdO7ZoqkC0/edit#gid=884617569"",""S5 Totals!$A$2:$O$255""),13,FALSE)"),0.0)</f>
        <v>0</v>
      </c>
      <c r="Q51" s="15">
        <f>IFERROR(__xludf.DUMMYFUNCTION("VLOOKUP(A51,IMPORTRANGE(""1QZ5UxyNCwadreQAXnQ7oCoH982DjIA-QnZdO7ZoqkC0/edit#gid=884617569"",""S5 Totals!$A$2:$O$255""),14,FALSE)"),0.0)</f>
        <v>0</v>
      </c>
      <c r="R51" s="110"/>
    </row>
    <row r="52">
      <c r="A52" s="128" t="s">
        <v>222</v>
      </c>
      <c r="B52" s="16">
        <f>IFERROR(__xludf.DUMMYFUNCTION("VLOOKUP(A52,IMPORTRANGE(""1aFCnJY1qhIj8-JckJhDJ18aqmVo17tofpQmOjcYa3u8/edit#gid=1878241338"",""S5 Totals!$A$2:$O$255""),2,FALSE)"),18.0)</f>
        <v>18</v>
      </c>
      <c r="C52" s="15">
        <f>IFERROR(__xludf.DUMMYFUNCTION("VLOOKUP(A52,IMPORTRANGE(""1aFCnJY1qhIj8-JckJhDJ18aqmVo17tofpQmOjcYa3u8/edit#gid=1878241338"",""S5 Totals!$A$2:$O$255""),3,FALSE)"),0.21686746987951808)</f>
        <v>0.2168674699</v>
      </c>
      <c r="D52" s="16">
        <f>IFERROR(__xludf.DUMMYFUNCTION("VLOOKUP(A52,IMPORTRANGE(""1QZ5UxyNCwadreQAXnQ7oCoH982DjIA-QnZdO7ZoqkC0/edit#gid=884617569"",""S5 Totals!$A$2:$O$255""),2,FALSE)"),11.0)</f>
        <v>11</v>
      </c>
      <c r="E52" s="15">
        <f>IFERROR(__xludf.DUMMYFUNCTION("VLOOKUP(A52,IMPORTRANGE(""1QZ5UxyNCwadreQAXnQ7oCoH982DjIA-QnZdO7ZoqkC0/edit#gid=884617569"",""S5 Totals!$A$2:$O$255""),3,FALSE)"),0.13253012048192772)</f>
        <v>0.1325301205</v>
      </c>
      <c r="F52" s="146">
        <f t="shared" si="1"/>
        <v>0.0843373494</v>
      </c>
      <c r="G52" s="16">
        <f>IFERROR(__xludf.DUMMYFUNCTION("VLOOKUP(A52,IMPORTRANGE(""1QZ5UxyNCwadreQAXnQ7oCoH982DjIA-QnZdO7ZoqkC0/edit#gid=884617569"",""S5 Totals!$A$2:$O$255""),4,FALSE)"),4.0)</f>
        <v>4</v>
      </c>
      <c r="H52" s="15">
        <f>IFERROR(__xludf.DUMMYFUNCTION("VLOOKUP(A52,IMPORTRANGE(""1QZ5UxyNCwadreQAXnQ7oCoH982DjIA-QnZdO7ZoqkC0/edit#gid=884617569"",""S5 Totals!$A$2:$O$255""),5,FALSE)"),0.08163265306122448)</f>
        <v>0.08163265306</v>
      </c>
      <c r="I52" s="143"/>
      <c r="J52" s="16" t="str">
        <f>IFERROR(__xludf.DUMMYFUNCTION("VLOOKUP(A52,IMPORTRANGE(""1QZ5UxyNCwadreQAXnQ7oCoH982DjIA-QnZdO7ZoqkC0/edit#gid=884617569"",""S5 Totals!$A$2:$O$255""),7,FALSE)"),"")</f>
        <v/>
      </c>
      <c r="K52" s="15" t="str">
        <f>IFERROR(__xludf.DUMMYFUNCTION("VLOOKUP(A52,IMPORTRANGE(""1QZ5UxyNCwadreQAXnQ7oCoH982DjIA-QnZdO7ZoqkC0/edit#gid=884617569"",""S5 Totals!$A$2:$O$255""),8,FALSE)"),"")</f>
        <v/>
      </c>
      <c r="L52" s="147"/>
      <c r="M52" s="16" t="str">
        <f>IFERROR(__xludf.DUMMYFUNCTION("VLOOKUP(A52,IMPORTRANGE(""1QZ5UxyNCwadreQAXnQ7oCoH982DjIA-QnZdO7ZoqkC0/edit#gid=884617569"",""S5 Totals!$A$2:$O$255""),10,FALSE)"),"")</f>
        <v/>
      </c>
      <c r="N52" s="15" t="str">
        <f>IFERROR(__xludf.DUMMYFUNCTION("VLOOKUP(A52,IMPORTRANGE(""1QZ5UxyNCwadreQAXnQ7oCoH982DjIA-QnZdO7ZoqkC0/edit#gid=884617569"",""S5 Totals!$A$2:$O$255""),11,FALSE)"),"")</f>
        <v/>
      </c>
      <c r="O52" s="110"/>
      <c r="P52" s="16" t="str">
        <f>IFERROR(__xludf.DUMMYFUNCTION("VLOOKUP(A52,IMPORTRANGE(""1QZ5UxyNCwadreQAXnQ7oCoH982DjIA-QnZdO7ZoqkC0/edit#gid=884617569"",""S5 Totals!$A$2:$O$255""),13,FALSE)"),"")</f>
        <v/>
      </c>
      <c r="Q52" s="15" t="str">
        <f>IFERROR(__xludf.DUMMYFUNCTION("VLOOKUP(A52,IMPORTRANGE(""1QZ5UxyNCwadreQAXnQ7oCoH982DjIA-QnZdO7ZoqkC0/edit#gid=884617569"",""S5 Totals!$A$2:$O$255""),14,FALSE)"),"")</f>
        <v/>
      </c>
      <c r="R52" s="110"/>
    </row>
    <row r="53">
      <c r="A53" s="128" t="s">
        <v>171</v>
      </c>
      <c r="B53" s="16">
        <f>IFERROR(__xludf.DUMMYFUNCTION("VLOOKUP(A53,IMPORTRANGE(""1aFCnJY1qhIj8-JckJhDJ18aqmVo17tofpQmOjcYa3u8/edit#gid=1878241338"",""S5 Totals!$A$2:$O$255""),2,FALSE)"),6.0)</f>
        <v>6</v>
      </c>
      <c r="C53" s="15">
        <f>IFERROR(__xludf.DUMMYFUNCTION("VLOOKUP(A53,IMPORTRANGE(""1aFCnJY1qhIj8-JckJhDJ18aqmVo17tofpQmOjcYa3u8/edit#gid=1878241338"",""S5 Totals!$A$2:$O$255""),3,FALSE)"),0.07228915662650602)</f>
        <v>0.07228915663</v>
      </c>
      <c r="D53" s="16">
        <f>IFERROR(__xludf.DUMMYFUNCTION("VLOOKUP(A53,IMPORTRANGE(""1QZ5UxyNCwadreQAXnQ7oCoH982DjIA-QnZdO7ZoqkC0/edit#gid=884617569"",""S5 Totals!$A$2:$O$255""),2,FALSE)"),7.0)</f>
        <v>7</v>
      </c>
      <c r="E53" s="15">
        <f>IFERROR(__xludf.DUMMYFUNCTION("VLOOKUP(A53,IMPORTRANGE(""1QZ5UxyNCwadreQAXnQ7oCoH982DjIA-QnZdO7ZoqkC0/edit#gid=884617569"",""S5 Totals!$A$2:$O$255""),3,FALSE)"),0.08433734939759036)</f>
        <v>0.0843373494</v>
      </c>
      <c r="F53" s="146">
        <f t="shared" si="1"/>
        <v>-0.01204819277</v>
      </c>
      <c r="G53" s="16">
        <f>IFERROR(__xludf.DUMMYFUNCTION("VLOOKUP(A53,IMPORTRANGE(""1QZ5UxyNCwadreQAXnQ7oCoH982DjIA-QnZdO7ZoqkC0/edit#gid=884617569"",""S5 Totals!$A$2:$O$255""),4,FALSE)"),9.0)</f>
        <v>9</v>
      </c>
      <c r="H53" s="15">
        <f>IFERROR(__xludf.DUMMYFUNCTION("VLOOKUP(A53,IMPORTRANGE(""1QZ5UxyNCwadreQAXnQ7oCoH982DjIA-QnZdO7ZoqkC0/edit#gid=884617569"",""S5 Totals!$A$2:$O$255""),5,FALSE)"),0.1836734693877551)</f>
        <v>0.1836734694</v>
      </c>
      <c r="I53" s="143"/>
      <c r="J53" s="16">
        <f>IFERROR(__xludf.DUMMYFUNCTION("VLOOKUP(A53,IMPORTRANGE(""1QZ5UxyNCwadreQAXnQ7oCoH982DjIA-QnZdO7ZoqkC0/edit#gid=884617569"",""S5 Totals!$A$2:$O$255""),7,FALSE)"),4.0)</f>
        <v>4</v>
      </c>
      <c r="K53" s="15">
        <f>IFERROR(__xludf.DUMMYFUNCTION("VLOOKUP(A53,IMPORTRANGE(""1QZ5UxyNCwadreQAXnQ7oCoH982DjIA-QnZdO7ZoqkC0/edit#gid=884617569"",""S5 Totals!$A$2:$O$255""),8,FALSE)"),0.11764705882352941)</f>
        <v>0.1176470588</v>
      </c>
      <c r="L53" s="147"/>
      <c r="M53" s="16" t="str">
        <f>IFERROR(__xludf.DUMMYFUNCTION("VLOOKUP(A53,IMPORTRANGE(""1QZ5UxyNCwadreQAXnQ7oCoH982DjIA-QnZdO7ZoqkC0/edit#gid=884617569"",""S5 Totals!$A$2:$O$255""),10,FALSE)"),"")</f>
        <v/>
      </c>
      <c r="N53" s="15" t="str">
        <f>IFERROR(__xludf.DUMMYFUNCTION("VLOOKUP(A53,IMPORTRANGE(""1QZ5UxyNCwadreQAXnQ7oCoH982DjIA-QnZdO7ZoqkC0/edit#gid=884617569"",""S5 Totals!$A$2:$O$255""),11,FALSE)"),"")</f>
        <v/>
      </c>
      <c r="O53" s="110"/>
      <c r="P53" s="16" t="str">
        <f>IFERROR(__xludf.DUMMYFUNCTION("VLOOKUP(A53,IMPORTRANGE(""1QZ5UxyNCwadreQAXnQ7oCoH982DjIA-QnZdO7ZoqkC0/edit#gid=884617569"",""S5 Totals!$A$2:$O$255""),13,FALSE)"),"")</f>
        <v/>
      </c>
      <c r="Q53" s="15" t="str">
        <f>IFERROR(__xludf.DUMMYFUNCTION("VLOOKUP(A53,IMPORTRANGE(""1QZ5UxyNCwadreQAXnQ7oCoH982DjIA-QnZdO7ZoqkC0/edit#gid=884617569"",""S5 Totals!$A$2:$O$255""),14,FALSE)"),"")</f>
        <v/>
      </c>
      <c r="R53" s="110"/>
    </row>
    <row r="54">
      <c r="A54" s="128" t="s">
        <v>41</v>
      </c>
      <c r="B54" s="16">
        <f>IFERROR(__xludf.DUMMYFUNCTION("VLOOKUP(A54,IMPORTRANGE(""1aFCnJY1qhIj8-JckJhDJ18aqmVo17tofpQmOjcYa3u8/edit#gid=1878241338"",""S5 Totals!$A$2:$O$255""),2,FALSE)"),22.0)</f>
        <v>22</v>
      </c>
      <c r="C54" s="15">
        <f>IFERROR(__xludf.DUMMYFUNCTION("VLOOKUP(A54,IMPORTRANGE(""1aFCnJY1qhIj8-JckJhDJ18aqmVo17tofpQmOjcYa3u8/edit#gid=1878241338"",""S5 Totals!$A$2:$O$255""),3,FALSE)"),0.26506024096385544)</f>
        <v>0.265060241</v>
      </c>
      <c r="D54" s="16">
        <f>IFERROR(__xludf.DUMMYFUNCTION("VLOOKUP(A54,IMPORTRANGE(""1QZ5UxyNCwadreQAXnQ7oCoH982DjIA-QnZdO7ZoqkC0/edit#gid=884617569"",""S5 Totals!$A$2:$O$255""),2,FALSE)"),17.0)</f>
        <v>17</v>
      </c>
      <c r="E54" s="15">
        <f>IFERROR(__xludf.DUMMYFUNCTION("VLOOKUP(A54,IMPORTRANGE(""1QZ5UxyNCwadreQAXnQ7oCoH982DjIA-QnZdO7ZoqkC0/edit#gid=884617569"",""S5 Totals!$A$2:$O$255""),3,FALSE)"),0.20481927710843373)</f>
        <v>0.2048192771</v>
      </c>
      <c r="F54" s="146">
        <f t="shared" si="1"/>
        <v>0.06024096386</v>
      </c>
      <c r="G54" s="16">
        <f>IFERROR(__xludf.DUMMYFUNCTION("VLOOKUP(A54,IMPORTRANGE(""1QZ5UxyNCwadreQAXnQ7oCoH982DjIA-QnZdO7ZoqkC0/edit#gid=884617569"",""S5 Totals!$A$2:$O$255""),4,FALSE)"),7.0)</f>
        <v>7</v>
      </c>
      <c r="H54" s="15">
        <f>IFERROR(__xludf.DUMMYFUNCTION("VLOOKUP(A54,IMPORTRANGE(""1QZ5UxyNCwadreQAXnQ7oCoH982DjIA-QnZdO7ZoqkC0/edit#gid=884617569"",""S5 Totals!$A$2:$O$255""),5,FALSE)"),0.14285714285714285)</f>
        <v>0.1428571429</v>
      </c>
      <c r="I54" s="143"/>
      <c r="J54" s="16">
        <f>IFERROR(__xludf.DUMMYFUNCTION("VLOOKUP(A54,IMPORTRANGE(""1QZ5UxyNCwadreQAXnQ7oCoH982DjIA-QnZdO7ZoqkC0/edit#gid=884617569"",""S5 Totals!$A$2:$O$255""),7,FALSE)"),8.0)</f>
        <v>8</v>
      </c>
      <c r="K54" s="15">
        <f>IFERROR(__xludf.DUMMYFUNCTION("VLOOKUP(A54,IMPORTRANGE(""1QZ5UxyNCwadreQAXnQ7oCoH982DjIA-QnZdO7ZoqkC0/edit#gid=884617569"",""S5 Totals!$A$2:$O$255""),8,FALSE)"),0.23529411764705882)</f>
        <v>0.2352941176</v>
      </c>
      <c r="L54" s="147"/>
      <c r="M54" s="16">
        <f>IFERROR(__xludf.DUMMYFUNCTION("VLOOKUP(A54,IMPORTRANGE(""1QZ5UxyNCwadreQAXnQ7oCoH982DjIA-QnZdO7ZoqkC0/edit#gid=884617569"",""S5 Totals!$A$2:$O$255""),10,FALSE)"),1.0)</f>
        <v>1</v>
      </c>
      <c r="N54" s="15">
        <f>IFERROR(__xludf.DUMMYFUNCTION("VLOOKUP(A54,IMPORTRANGE(""1QZ5UxyNCwadreQAXnQ7oCoH982DjIA-QnZdO7ZoqkC0/edit#gid=884617569"",""S5 Totals!$A$2:$O$255""),11,FALSE)"),0.03333333333333333)</f>
        <v>0.03333333333</v>
      </c>
      <c r="O54" s="110"/>
      <c r="P54" s="16">
        <f>IFERROR(__xludf.DUMMYFUNCTION("VLOOKUP(A54,IMPORTRANGE(""1QZ5UxyNCwadreQAXnQ7oCoH982DjIA-QnZdO7ZoqkC0/edit#gid=884617569"",""S5 Totals!$A$2:$O$255""),13,FALSE)"),0.0)</f>
        <v>0</v>
      </c>
      <c r="Q54" s="15">
        <f>IFERROR(__xludf.DUMMYFUNCTION("VLOOKUP(A54,IMPORTRANGE(""1QZ5UxyNCwadreQAXnQ7oCoH982DjIA-QnZdO7ZoqkC0/edit#gid=884617569"",""S5 Totals!$A$2:$O$255""),14,FALSE)"),0.0)</f>
        <v>0</v>
      </c>
      <c r="R54" s="110"/>
    </row>
    <row r="55">
      <c r="A55" s="128" t="s">
        <v>298</v>
      </c>
      <c r="B55" s="16">
        <f>IFERROR(__xludf.DUMMYFUNCTION("VLOOKUP(A55,IMPORTRANGE(""1aFCnJY1qhIj8-JckJhDJ18aqmVo17tofpQmOjcYa3u8/edit#gid=1878241338"",""S5 Totals!$A$2:$O$255""),2,FALSE)"),1.0)</f>
        <v>1</v>
      </c>
      <c r="C55" s="15">
        <f>IFERROR(__xludf.DUMMYFUNCTION("VLOOKUP(A55,IMPORTRANGE(""1aFCnJY1qhIj8-JckJhDJ18aqmVo17tofpQmOjcYa3u8/edit#gid=1878241338"",""S5 Totals!$A$2:$O$255""),3,FALSE)"),0.012048192771084338)</f>
        <v>0.01204819277</v>
      </c>
      <c r="D55" s="16">
        <f>IFERROR(__xludf.DUMMYFUNCTION("VLOOKUP(A55,IMPORTRANGE(""1QZ5UxyNCwadreQAXnQ7oCoH982DjIA-QnZdO7ZoqkC0/edit#gid=884617569"",""S5 Totals!$A$2:$O$255""),2,FALSE)"),1.0)</f>
        <v>1</v>
      </c>
      <c r="E55" s="15">
        <f>IFERROR(__xludf.DUMMYFUNCTION("VLOOKUP(A55,IMPORTRANGE(""1QZ5UxyNCwadreQAXnQ7oCoH982DjIA-QnZdO7ZoqkC0/edit#gid=884617569"",""S5 Totals!$A$2:$O$255""),3,FALSE)"),0.012048192771084338)</f>
        <v>0.01204819277</v>
      </c>
      <c r="F55" s="146">
        <f t="shared" si="1"/>
        <v>0</v>
      </c>
      <c r="G55" s="16">
        <f>IFERROR(__xludf.DUMMYFUNCTION("VLOOKUP(A55,IMPORTRANGE(""1QZ5UxyNCwadreQAXnQ7oCoH982DjIA-QnZdO7ZoqkC0/edit#gid=884617569"",""S5 Totals!$A$2:$O$255""),4,FALSE)"),1.0)</f>
        <v>1</v>
      </c>
      <c r="H55" s="15">
        <f>IFERROR(__xludf.DUMMYFUNCTION("VLOOKUP(A55,IMPORTRANGE(""1QZ5UxyNCwadreQAXnQ7oCoH982DjIA-QnZdO7ZoqkC0/edit#gid=884617569"",""S5 Totals!$A$2:$O$255""),5,FALSE)"),0.02040816326530612)</f>
        <v>0.02040816327</v>
      </c>
      <c r="I55" s="143"/>
      <c r="J55" s="16">
        <f>IFERROR(__xludf.DUMMYFUNCTION("VLOOKUP(A55,IMPORTRANGE(""1QZ5UxyNCwadreQAXnQ7oCoH982DjIA-QnZdO7ZoqkC0/edit#gid=884617569"",""S5 Totals!$A$2:$O$255""),7,FALSE)"),0.0)</f>
        <v>0</v>
      </c>
      <c r="K55" s="15">
        <f>IFERROR(__xludf.DUMMYFUNCTION("VLOOKUP(A55,IMPORTRANGE(""1QZ5UxyNCwadreQAXnQ7oCoH982DjIA-QnZdO7ZoqkC0/edit#gid=884617569"",""S5 Totals!$A$2:$O$255""),8,FALSE)"),0.0)</f>
        <v>0</v>
      </c>
      <c r="L55" s="147"/>
      <c r="M55" s="16" t="str">
        <f>IFERROR(__xludf.DUMMYFUNCTION("VLOOKUP(A55,IMPORTRANGE(""1QZ5UxyNCwadreQAXnQ7oCoH982DjIA-QnZdO7ZoqkC0/edit#gid=884617569"",""S5 Totals!$A$2:$O$255""),10,FALSE)"),"")</f>
        <v/>
      </c>
      <c r="N55" s="15" t="str">
        <f>IFERROR(__xludf.DUMMYFUNCTION("VLOOKUP(A55,IMPORTRANGE(""1QZ5UxyNCwadreQAXnQ7oCoH982DjIA-QnZdO7ZoqkC0/edit#gid=884617569"",""S5 Totals!$A$2:$O$255""),11,FALSE)"),"")</f>
        <v/>
      </c>
      <c r="O55" s="110"/>
      <c r="P55" s="16" t="str">
        <f>IFERROR(__xludf.DUMMYFUNCTION("VLOOKUP(A55,IMPORTRANGE(""1QZ5UxyNCwadreQAXnQ7oCoH982DjIA-QnZdO7ZoqkC0/edit#gid=884617569"",""S5 Totals!$A$2:$O$255""),13,FALSE)"),"")</f>
        <v/>
      </c>
      <c r="Q55" s="15" t="str">
        <f>IFERROR(__xludf.DUMMYFUNCTION("VLOOKUP(A55,IMPORTRANGE(""1QZ5UxyNCwadreQAXnQ7oCoH982DjIA-QnZdO7ZoqkC0/edit#gid=884617569"",""S5 Totals!$A$2:$O$255""),14,FALSE)"),"")</f>
        <v/>
      </c>
      <c r="R55" s="110"/>
    </row>
    <row r="56">
      <c r="A56" s="128" t="s">
        <v>42</v>
      </c>
      <c r="B56" s="16">
        <f>IFERROR(__xludf.DUMMYFUNCTION("VLOOKUP(A56,IMPORTRANGE(""1aFCnJY1qhIj8-JckJhDJ18aqmVo17tofpQmOjcYa3u8/edit#gid=1878241338"",""S5 Totals!$A$2:$O$255""),2,FALSE)"),18.0)</f>
        <v>18</v>
      </c>
      <c r="C56" s="15">
        <f>IFERROR(__xludf.DUMMYFUNCTION("VLOOKUP(A56,IMPORTRANGE(""1aFCnJY1qhIj8-JckJhDJ18aqmVo17tofpQmOjcYa3u8/edit#gid=1878241338"",""S5 Totals!$A$2:$O$255""),3,FALSE)"),0.21686746987951808)</f>
        <v>0.2168674699</v>
      </c>
      <c r="D56" s="16">
        <f>IFERROR(__xludf.DUMMYFUNCTION("VLOOKUP(A56,IMPORTRANGE(""1QZ5UxyNCwadreQAXnQ7oCoH982DjIA-QnZdO7ZoqkC0/edit#gid=884617569"",""S5 Totals!$A$2:$O$255""),2,FALSE)"),13.0)</f>
        <v>13</v>
      </c>
      <c r="E56" s="15">
        <f>IFERROR(__xludf.DUMMYFUNCTION("VLOOKUP(A56,IMPORTRANGE(""1QZ5UxyNCwadreQAXnQ7oCoH982DjIA-QnZdO7ZoqkC0/edit#gid=884617569"",""S5 Totals!$A$2:$O$255""),3,FALSE)"),0.1566265060240964)</f>
        <v>0.156626506</v>
      </c>
      <c r="F56" s="146">
        <f t="shared" si="1"/>
        <v>0.06024096386</v>
      </c>
      <c r="G56" s="16">
        <f>IFERROR(__xludf.DUMMYFUNCTION("VLOOKUP(A56,IMPORTRANGE(""1QZ5UxyNCwadreQAXnQ7oCoH982DjIA-QnZdO7ZoqkC0/edit#gid=884617569"",""S5 Totals!$A$2:$O$255""),4,FALSE)"),12.0)</f>
        <v>12</v>
      </c>
      <c r="H56" s="15">
        <f>IFERROR(__xludf.DUMMYFUNCTION("VLOOKUP(A56,IMPORTRANGE(""1QZ5UxyNCwadreQAXnQ7oCoH982DjIA-QnZdO7ZoqkC0/edit#gid=884617569"",""S5 Totals!$A$2:$O$255""),5,FALSE)"),0.24489795918367346)</f>
        <v>0.2448979592</v>
      </c>
      <c r="I56" s="143"/>
      <c r="J56" s="16">
        <f>IFERROR(__xludf.DUMMYFUNCTION("VLOOKUP(A56,IMPORTRANGE(""1QZ5UxyNCwadreQAXnQ7oCoH982DjIA-QnZdO7ZoqkC0/edit#gid=884617569"",""S5 Totals!$A$2:$O$255""),7,FALSE)"),2.0)</f>
        <v>2</v>
      </c>
      <c r="K56" s="15">
        <f>IFERROR(__xludf.DUMMYFUNCTION("VLOOKUP(A56,IMPORTRANGE(""1QZ5UxyNCwadreQAXnQ7oCoH982DjIA-QnZdO7ZoqkC0/edit#gid=884617569"",""S5 Totals!$A$2:$O$255""),8,FALSE)"),0.058823529411764705)</f>
        <v>0.05882352941</v>
      </c>
      <c r="L56" s="147"/>
      <c r="M56" s="16">
        <f>IFERROR(__xludf.DUMMYFUNCTION("VLOOKUP(A56,IMPORTRANGE(""1QZ5UxyNCwadreQAXnQ7oCoH982DjIA-QnZdO7ZoqkC0/edit#gid=884617569"",""S5 Totals!$A$2:$O$255""),10,FALSE)"),2.0)</f>
        <v>2</v>
      </c>
      <c r="N56" s="15">
        <f>IFERROR(__xludf.DUMMYFUNCTION("VLOOKUP(A56,IMPORTRANGE(""1QZ5UxyNCwadreQAXnQ7oCoH982DjIA-QnZdO7ZoqkC0/edit#gid=884617569"",""S5 Totals!$A$2:$O$255""),11,FALSE)"),0.06666666666666667)</f>
        <v>0.06666666667</v>
      </c>
      <c r="O56" s="110"/>
      <c r="P56" s="16">
        <f>IFERROR(__xludf.DUMMYFUNCTION("VLOOKUP(A56,IMPORTRANGE(""1QZ5UxyNCwadreQAXnQ7oCoH982DjIA-QnZdO7ZoqkC0/edit#gid=884617569"",""S5 Totals!$A$2:$O$255""),13,FALSE)"),0.0)</f>
        <v>0</v>
      </c>
      <c r="Q56" s="15">
        <f>IFERROR(__xludf.DUMMYFUNCTION("VLOOKUP(A56,IMPORTRANGE(""1QZ5UxyNCwadreQAXnQ7oCoH982DjIA-QnZdO7ZoqkC0/edit#gid=884617569"",""S5 Totals!$A$2:$O$255""),14,FALSE)"),0.0)</f>
        <v>0</v>
      </c>
      <c r="R56" s="110"/>
    </row>
    <row r="57">
      <c r="A57" s="128" t="s">
        <v>43</v>
      </c>
      <c r="B57" s="16">
        <f>IFERROR(__xludf.DUMMYFUNCTION("VLOOKUP(A57,IMPORTRANGE(""1aFCnJY1qhIj8-JckJhDJ18aqmVo17tofpQmOjcYa3u8/edit#gid=1878241338"",""S5 Totals!$A$2:$O$255""),2,FALSE)"),39.0)</f>
        <v>39</v>
      </c>
      <c r="C57" s="15">
        <f>IFERROR(__xludf.DUMMYFUNCTION("VLOOKUP(A57,IMPORTRANGE(""1aFCnJY1qhIj8-JckJhDJ18aqmVo17tofpQmOjcYa3u8/edit#gid=1878241338"",""S5 Totals!$A$2:$O$255""),3,FALSE)"),0.46987951807228917)</f>
        <v>0.4698795181</v>
      </c>
      <c r="D57" s="16">
        <f>IFERROR(__xludf.DUMMYFUNCTION("VLOOKUP(A57,IMPORTRANGE(""1QZ5UxyNCwadreQAXnQ7oCoH982DjIA-QnZdO7ZoqkC0/edit#gid=884617569"",""S5 Totals!$A$2:$O$255""),2,FALSE)"),40.0)</f>
        <v>40</v>
      </c>
      <c r="E57" s="15">
        <f>IFERROR(__xludf.DUMMYFUNCTION("VLOOKUP(A57,IMPORTRANGE(""1QZ5UxyNCwadreQAXnQ7oCoH982DjIA-QnZdO7ZoqkC0/edit#gid=884617569"",""S5 Totals!$A$2:$O$255""),3,FALSE)"),0.4819277108433735)</f>
        <v>0.4819277108</v>
      </c>
      <c r="F57" s="146">
        <f t="shared" si="1"/>
        <v>-0.01204819277</v>
      </c>
      <c r="G57" s="16">
        <f>IFERROR(__xludf.DUMMYFUNCTION("VLOOKUP(A57,IMPORTRANGE(""1QZ5UxyNCwadreQAXnQ7oCoH982DjIA-QnZdO7ZoqkC0/edit#gid=884617569"",""S5 Totals!$A$2:$O$255""),4,FALSE)"),25.0)</f>
        <v>25</v>
      </c>
      <c r="H57" s="15">
        <f>IFERROR(__xludf.DUMMYFUNCTION("VLOOKUP(A57,IMPORTRANGE(""1QZ5UxyNCwadreQAXnQ7oCoH982DjIA-QnZdO7ZoqkC0/edit#gid=884617569"",""S5 Totals!$A$2:$O$255""),5,FALSE)"),0.5102040816326531)</f>
        <v>0.5102040816</v>
      </c>
      <c r="I57" s="143"/>
      <c r="J57" s="16">
        <f>IFERROR(__xludf.DUMMYFUNCTION("VLOOKUP(A57,IMPORTRANGE(""1QZ5UxyNCwadreQAXnQ7oCoH982DjIA-QnZdO7ZoqkC0/edit#gid=884617569"",""S5 Totals!$A$2:$O$255""),7,FALSE)"),15.0)</f>
        <v>15</v>
      </c>
      <c r="K57" s="15">
        <f>IFERROR(__xludf.DUMMYFUNCTION("VLOOKUP(A57,IMPORTRANGE(""1QZ5UxyNCwadreQAXnQ7oCoH982DjIA-QnZdO7ZoqkC0/edit#gid=884617569"",""S5 Totals!$A$2:$O$255""),8,FALSE)"),0.4411764705882353)</f>
        <v>0.4411764706</v>
      </c>
      <c r="L57" s="147"/>
      <c r="M57" s="16">
        <f>IFERROR(__xludf.DUMMYFUNCTION("VLOOKUP(A57,IMPORTRANGE(""1QZ5UxyNCwadreQAXnQ7oCoH982DjIA-QnZdO7ZoqkC0/edit#gid=884617569"",""S5 Totals!$A$2:$O$255""),10,FALSE)"),6.0)</f>
        <v>6</v>
      </c>
      <c r="N57" s="15">
        <f>IFERROR(__xludf.DUMMYFUNCTION("VLOOKUP(A57,IMPORTRANGE(""1QZ5UxyNCwadreQAXnQ7oCoH982DjIA-QnZdO7ZoqkC0/edit#gid=884617569"",""S5 Totals!$A$2:$O$255""),11,FALSE)"),0.2)</f>
        <v>0.2</v>
      </c>
      <c r="O57" s="110"/>
      <c r="P57" s="16">
        <f>IFERROR(__xludf.DUMMYFUNCTION("VLOOKUP(A57,IMPORTRANGE(""1QZ5UxyNCwadreQAXnQ7oCoH982DjIA-QnZdO7ZoqkC0/edit#gid=884617569"",""S5 Totals!$A$2:$O$255""),13,FALSE)"),6.0)</f>
        <v>6</v>
      </c>
      <c r="Q57" s="15">
        <f>IFERROR(__xludf.DUMMYFUNCTION("VLOOKUP(A57,IMPORTRANGE(""1QZ5UxyNCwadreQAXnQ7oCoH982DjIA-QnZdO7ZoqkC0/edit#gid=884617569"",""S5 Totals!$A$2:$O$255""),14,FALSE)"),0.21428571428571427)</f>
        <v>0.2142857143</v>
      </c>
      <c r="R57" s="110"/>
    </row>
    <row r="58">
      <c r="A58" s="128" t="s">
        <v>118</v>
      </c>
      <c r="B58" s="16">
        <f>IFERROR(__xludf.DUMMYFUNCTION("VLOOKUP(A58,IMPORTRANGE(""1aFCnJY1qhIj8-JckJhDJ18aqmVo17tofpQmOjcYa3u8/edit#gid=1878241338"",""S5 Totals!$A$2:$O$255""),2,FALSE)"),10.0)</f>
        <v>10</v>
      </c>
      <c r="C58" s="15">
        <f>IFERROR(__xludf.DUMMYFUNCTION("VLOOKUP(A58,IMPORTRANGE(""1aFCnJY1qhIj8-JckJhDJ18aqmVo17tofpQmOjcYa3u8/edit#gid=1878241338"",""S5 Totals!$A$2:$O$255""),3,FALSE)"),0.12048192771084337)</f>
        <v>0.1204819277</v>
      </c>
      <c r="D58" s="16">
        <f>IFERROR(__xludf.DUMMYFUNCTION("VLOOKUP(A58,IMPORTRANGE(""1QZ5UxyNCwadreQAXnQ7oCoH982DjIA-QnZdO7ZoqkC0/edit#gid=884617569"",""S5 Totals!$A$2:$O$255""),2,FALSE)"),5.0)</f>
        <v>5</v>
      </c>
      <c r="E58" s="15">
        <f>IFERROR(__xludf.DUMMYFUNCTION("VLOOKUP(A58,IMPORTRANGE(""1QZ5UxyNCwadreQAXnQ7oCoH982DjIA-QnZdO7ZoqkC0/edit#gid=884617569"",""S5 Totals!$A$2:$O$255""),3,FALSE)"),0.060240963855421686)</f>
        <v>0.06024096386</v>
      </c>
      <c r="F58" s="146">
        <f t="shared" si="1"/>
        <v>0.06024096386</v>
      </c>
      <c r="G58" s="16">
        <f>IFERROR(__xludf.DUMMYFUNCTION("VLOOKUP(A58,IMPORTRANGE(""1QZ5UxyNCwadreQAXnQ7oCoH982DjIA-QnZdO7ZoqkC0/edit#gid=884617569"",""S5 Totals!$A$2:$O$255""),4,FALSE)"),3.0)</f>
        <v>3</v>
      </c>
      <c r="H58" s="15">
        <f>IFERROR(__xludf.DUMMYFUNCTION("VLOOKUP(A58,IMPORTRANGE(""1QZ5UxyNCwadreQAXnQ7oCoH982DjIA-QnZdO7ZoqkC0/edit#gid=884617569"",""S5 Totals!$A$2:$O$255""),5,FALSE)"),0.061224489795918366)</f>
        <v>0.0612244898</v>
      </c>
      <c r="I58" s="143"/>
      <c r="J58" s="16">
        <f>IFERROR(__xludf.DUMMYFUNCTION("VLOOKUP(A58,IMPORTRANGE(""1QZ5UxyNCwadreQAXnQ7oCoH982DjIA-QnZdO7ZoqkC0/edit#gid=884617569"",""S5 Totals!$A$2:$O$255""),7,FALSE)"),2.0)</f>
        <v>2</v>
      </c>
      <c r="K58" s="15">
        <f>IFERROR(__xludf.DUMMYFUNCTION("VLOOKUP(A58,IMPORTRANGE(""1QZ5UxyNCwadreQAXnQ7oCoH982DjIA-QnZdO7ZoqkC0/edit#gid=884617569"",""S5 Totals!$A$2:$O$255""),8,FALSE)"),0.058823529411764705)</f>
        <v>0.05882352941</v>
      </c>
      <c r="L58" s="147"/>
      <c r="M58" s="16">
        <f>IFERROR(__xludf.DUMMYFUNCTION("VLOOKUP(A58,IMPORTRANGE(""1QZ5UxyNCwadreQAXnQ7oCoH982DjIA-QnZdO7ZoqkC0/edit#gid=884617569"",""S5 Totals!$A$2:$O$255""),10,FALSE)"),2.0)</f>
        <v>2</v>
      </c>
      <c r="N58" s="15">
        <f>IFERROR(__xludf.DUMMYFUNCTION("VLOOKUP(A58,IMPORTRANGE(""1QZ5UxyNCwadreQAXnQ7oCoH982DjIA-QnZdO7ZoqkC0/edit#gid=884617569"",""S5 Totals!$A$2:$O$255""),11,FALSE)"),0.06666666666666667)</f>
        <v>0.06666666667</v>
      </c>
      <c r="O58" s="110"/>
      <c r="P58" s="16" t="str">
        <f>IFERROR(__xludf.DUMMYFUNCTION("VLOOKUP(A58,IMPORTRANGE(""1QZ5UxyNCwadreQAXnQ7oCoH982DjIA-QnZdO7ZoqkC0/edit#gid=884617569"",""S5 Totals!$A$2:$O$255""),13,FALSE)"),"")</f>
        <v/>
      </c>
      <c r="Q58" s="15" t="str">
        <f>IFERROR(__xludf.DUMMYFUNCTION("VLOOKUP(A58,IMPORTRANGE(""1QZ5UxyNCwadreQAXnQ7oCoH982DjIA-QnZdO7ZoqkC0/edit#gid=884617569"",""S5 Totals!$A$2:$O$255""),14,FALSE)"),"")</f>
        <v/>
      </c>
      <c r="R58" s="110"/>
    </row>
    <row r="59">
      <c r="A59" s="128" t="s">
        <v>40</v>
      </c>
      <c r="B59" s="16">
        <f>IFERROR(__xludf.DUMMYFUNCTION("VLOOKUP(A59,IMPORTRANGE(""1aFCnJY1qhIj8-JckJhDJ18aqmVo17tofpQmOjcYa3u8/edit#gid=1878241338"",""S5 Totals!$A$2:$O$255""),2,FALSE)"),4.0)</f>
        <v>4</v>
      </c>
      <c r="C59" s="15">
        <f>IFERROR(__xludf.DUMMYFUNCTION("VLOOKUP(A59,IMPORTRANGE(""1aFCnJY1qhIj8-JckJhDJ18aqmVo17tofpQmOjcYa3u8/edit#gid=1878241338"",""S5 Totals!$A$2:$O$255""),3,FALSE)"),0.04819277108433735)</f>
        <v>0.04819277108</v>
      </c>
      <c r="D59" s="16">
        <f>IFERROR(__xludf.DUMMYFUNCTION("VLOOKUP(A59,IMPORTRANGE(""1QZ5UxyNCwadreQAXnQ7oCoH982DjIA-QnZdO7ZoqkC0/edit#gid=884617569"",""S5 Totals!$A$2:$O$255""),2,FALSE)"),4.0)</f>
        <v>4</v>
      </c>
      <c r="E59" s="15">
        <f>IFERROR(__xludf.DUMMYFUNCTION("VLOOKUP(A59,IMPORTRANGE(""1QZ5UxyNCwadreQAXnQ7oCoH982DjIA-QnZdO7ZoqkC0/edit#gid=884617569"",""S5 Totals!$A$2:$O$255""),3,FALSE)"),0.04819277108433735)</f>
        <v>0.04819277108</v>
      </c>
      <c r="F59" s="146">
        <f t="shared" si="1"/>
        <v>0</v>
      </c>
      <c r="G59" s="16">
        <f>IFERROR(__xludf.DUMMYFUNCTION("VLOOKUP(A59,IMPORTRANGE(""1QZ5UxyNCwadreQAXnQ7oCoH982DjIA-QnZdO7ZoqkC0/edit#gid=884617569"",""S5 Totals!$A$2:$O$255""),4,FALSE)"),4.0)</f>
        <v>4</v>
      </c>
      <c r="H59" s="15">
        <f>IFERROR(__xludf.DUMMYFUNCTION("VLOOKUP(A59,IMPORTRANGE(""1QZ5UxyNCwadreQAXnQ7oCoH982DjIA-QnZdO7ZoqkC0/edit#gid=884617569"",""S5 Totals!$A$2:$O$255""),5,FALSE)"),0.08163265306122448)</f>
        <v>0.08163265306</v>
      </c>
      <c r="I59" s="143"/>
      <c r="J59" s="16">
        <f>IFERROR(__xludf.DUMMYFUNCTION("VLOOKUP(A59,IMPORTRANGE(""1QZ5UxyNCwadreQAXnQ7oCoH982DjIA-QnZdO7ZoqkC0/edit#gid=884617569"",""S5 Totals!$A$2:$O$255""),7,FALSE)"),4.0)</f>
        <v>4</v>
      </c>
      <c r="K59" s="15">
        <f>IFERROR(__xludf.DUMMYFUNCTION("VLOOKUP(A59,IMPORTRANGE(""1QZ5UxyNCwadreQAXnQ7oCoH982DjIA-QnZdO7ZoqkC0/edit#gid=884617569"",""S5 Totals!$A$2:$O$255""),8,FALSE)"),0.11764705882352941)</f>
        <v>0.1176470588</v>
      </c>
      <c r="L59" s="147"/>
      <c r="M59" s="16">
        <f>IFERROR(__xludf.DUMMYFUNCTION("VLOOKUP(A59,IMPORTRANGE(""1QZ5UxyNCwadreQAXnQ7oCoH982DjIA-QnZdO7ZoqkC0/edit#gid=884617569"",""S5 Totals!$A$2:$O$255""),10,FALSE)"),2.0)</f>
        <v>2</v>
      </c>
      <c r="N59" s="15">
        <f>IFERROR(__xludf.DUMMYFUNCTION("VLOOKUP(A59,IMPORTRANGE(""1QZ5UxyNCwadreQAXnQ7oCoH982DjIA-QnZdO7ZoqkC0/edit#gid=884617569"",""S5 Totals!$A$2:$O$255""),11,FALSE)"),0.06666666666666667)</f>
        <v>0.06666666667</v>
      </c>
      <c r="O59" s="110"/>
      <c r="P59" s="16">
        <f>IFERROR(__xludf.DUMMYFUNCTION("VLOOKUP(A59,IMPORTRANGE(""1QZ5UxyNCwadreQAXnQ7oCoH982DjIA-QnZdO7ZoqkC0/edit#gid=884617569"",""S5 Totals!$A$2:$O$255""),13,FALSE)"),0.0)</f>
        <v>0</v>
      </c>
      <c r="Q59" s="15">
        <f>IFERROR(__xludf.DUMMYFUNCTION("VLOOKUP(A59,IMPORTRANGE(""1QZ5UxyNCwadreQAXnQ7oCoH982DjIA-QnZdO7ZoqkC0/edit#gid=884617569"",""S5 Totals!$A$2:$O$255""),14,FALSE)"),0.0)</f>
        <v>0</v>
      </c>
      <c r="R59" s="110"/>
    </row>
    <row r="60">
      <c r="A60" s="128" t="s">
        <v>223</v>
      </c>
      <c r="B60" s="16">
        <f>IFERROR(__xludf.DUMMYFUNCTION("VLOOKUP(A60,IMPORTRANGE(""1aFCnJY1qhIj8-JckJhDJ18aqmVo17tofpQmOjcYa3u8/edit#gid=1878241338"",""S5 Totals!$A$2:$O$255""),2,FALSE)"),9.0)</f>
        <v>9</v>
      </c>
      <c r="C60" s="15">
        <f>IFERROR(__xludf.DUMMYFUNCTION("VLOOKUP(A60,IMPORTRANGE(""1aFCnJY1qhIj8-JckJhDJ18aqmVo17tofpQmOjcYa3u8/edit#gid=1878241338"",""S5 Totals!$A$2:$O$255""),3,FALSE)"),0.10843373493975904)</f>
        <v>0.1084337349</v>
      </c>
      <c r="D60" s="16">
        <f>IFERROR(__xludf.DUMMYFUNCTION("VLOOKUP(A60,IMPORTRANGE(""1QZ5UxyNCwadreQAXnQ7oCoH982DjIA-QnZdO7ZoqkC0/edit#gid=884617569"",""S5 Totals!$A$2:$O$255""),2,FALSE)"),2.0)</f>
        <v>2</v>
      </c>
      <c r="E60" s="15">
        <f>IFERROR(__xludf.DUMMYFUNCTION("VLOOKUP(A60,IMPORTRANGE(""1QZ5UxyNCwadreQAXnQ7oCoH982DjIA-QnZdO7ZoqkC0/edit#gid=884617569"",""S5 Totals!$A$2:$O$255""),3,FALSE)"),0.024096385542168676)</f>
        <v>0.02409638554</v>
      </c>
      <c r="F60" s="146">
        <f t="shared" si="1"/>
        <v>0.0843373494</v>
      </c>
      <c r="G60" s="16">
        <f>IFERROR(__xludf.DUMMYFUNCTION("VLOOKUP(A60,IMPORTRANGE(""1QZ5UxyNCwadreQAXnQ7oCoH982DjIA-QnZdO7ZoqkC0/edit#gid=884617569"",""S5 Totals!$A$2:$O$255""),4,FALSE)"),5.0)</f>
        <v>5</v>
      </c>
      <c r="H60" s="15">
        <f>IFERROR(__xludf.DUMMYFUNCTION("VLOOKUP(A60,IMPORTRANGE(""1QZ5UxyNCwadreQAXnQ7oCoH982DjIA-QnZdO7ZoqkC0/edit#gid=884617569"",""S5 Totals!$A$2:$O$255""),5,FALSE)"),0.10204081632653061)</f>
        <v>0.1020408163</v>
      </c>
      <c r="I60" s="143"/>
      <c r="J60" s="16" t="str">
        <f>IFERROR(__xludf.DUMMYFUNCTION("VLOOKUP(A60,IMPORTRANGE(""1QZ5UxyNCwadreQAXnQ7oCoH982DjIA-QnZdO7ZoqkC0/edit#gid=884617569"",""S5 Totals!$A$2:$O$255""),7,FALSE)"),"")</f>
        <v/>
      </c>
      <c r="K60" s="15" t="str">
        <f>IFERROR(__xludf.DUMMYFUNCTION("VLOOKUP(A60,IMPORTRANGE(""1QZ5UxyNCwadreQAXnQ7oCoH982DjIA-QnZdO7ZoqkC0/edit#gid=884617569"",""S5 Totals!$A$2:$O$255""),8,FALSE)"),"")</f>
        <v/>
      </c>
      <c r="L60" s="147"/>
      <c r="M60" s="16" t="str">
        <f>IFERROR(__xludf.DUMMYFUNCTION("VLOOKUP(A60,IMPORTRANGE(""1QZ5UxyNCwadreQAXnQ7oCoH982DjIA-QnZdO7ZoqkC0/edit#gid=884617569"",""S5 Totals!$A$2:$O$255""),10,FALSE)"),"")</f>
        <v/>
      </c>
      <c r="N60" s="15" t="str">
        <f>IFERROR(__xludf.DUMMYFUNCTION("VLOOKUP(A60,IMPORTRANGE(""1QZ5UxyNCwadreQAXnQ7oCoH982DjIA-QnZdO7ZoqkC0/edit#gid=884617569"",""S5 Totals!$A$2:$O$255""),11,FALSE)"),"")</f>
        <v/>
      </c>
      <c r="O60" s="110"/>
      <c r="P60" s="16" t="str">
        <f>IFERROR(__xludf.DUMMYFUNCTION("VLOOKUP(A60,IMPORTRANGE(""1QZ5UxyNCwadreQAXnQ7oCoH982DjIA-QnZdO7ZoqkC0/edit#gid=884617569"",""S5 Totals!$A$2:$O$255""),13,FALSE)"),"")</f>
        <v/>
      </c>
      <c r="Q60" s="15" t="str">
        <f>IFERROR(__xludf.DUMMYFUNCTION("VLOOKUP(A60,IMPORTRANGE(""1QZ5UxyNCwadreQAXnQ7oCoH982DjIA-QnZdO7ZoqkC0/edit#gid=884617569"",""S5 Totals!$A$2:$O$255""),14,FALSE)"),"")</f>
        <v/>
      </c>
      <c r="R60" s="110"/>
    </row>
    <row r="61">
      <c r="A61" s="128" t="s">
        <v>119</v>
      </c>
      <c r="B61" s="16">
        <f>IFERROR(__xludf.DUMMYFUNCTION("VLOOKUP(A61,IMPORTRANGE(""1aFCnJY1qhIj8-JckJhDJ18aqmVo17tofpQmOjcYa3u8/edit#gid=1878241338"",""S5 Totals!$A$2:$O$255""),2,FALSE)"),18.0)</f>
        <v>18</v>
      </c>
      <c r="C61" s="15">
        <f>IFERROR(__xludf.DUMMYFUNCTION("VLOOKUP(A61,IMPORTRANGE(""1aFCnJY1qhIj8-JckJhDJ18aqmVo17tofpQmOjcYa3u8/edit#gid=1878241338"",""S5 Totals!$A$2:$O$255""),3,FALSE)"),0.21686746987951808)</f>
        <v>0.2168674699</v>
      </c>
      <c r="D61" s="16">
        <f>IFERROR(__xludf.DUMMYFUNCTION("VLOOKUP(A61,IMPORTRANGE(""1QZ5UxyNCwadreQAXnQ7oCoH982DjIA-QnZdO7ZoqkC0/edit#gid=884617569"",""S5 Totals!$A$2:$O$255""),2,FALSE)"),21.0)</f>
        <v>21</v>
      </c>
      <c r="E61" s="15">
        <f>IFERROR(__xludf.DUMMYFUNCTION("VLOOKUP(A61,IMPORTRANGE(""1QZ5UxyNCwadreQAXnQ7oCoH982DjIA-QnZdO7ZoqkC0/edit#gid=884617569"",""S5 Totals!$A$2:$O$255""),3,FALSE)"),0.25301204819277107)</f>
        <v>0.2530120482</v>
      </c>
      <c r="F61" s="146">
        <f t="shared" si="1"/>
        <v>-0.03614457831</v>
      </c>
      <c r="G61" s="16">
        <f>IFERROR(__xludf.DUMMYFUNCTION("VLOOKUP(A61,IMPORTRANGE(""1QZ5UxyNCwadreQAXnQ7oCoH982DjIA-QnZdO7ZoqkC0/edit#gid=884617569"",""S5 Totals!$A$2:$O$255""),4,FALSE)"),14.0)</f>
        <v>14</v>
      </c>
      <c r="H61" s="15">
        <f>IFERROR(__xludf.DUMMYFUNCTION("VLOOKUP(A61,IMPORTRANGE(""1QZ5UxyNCwadreQAXnQ7oCoH982DjIA-QnZdO7ZoqkC0/edit#gid=884617569"",""S5 Totals!$A$2:$O$255""),5,FALSE)"),0.2857142857142857)</f>
        <v>0.2857142857</v>
      </c>
      <c r="I61" s="143"/>
      <c r="J61" s="16">
        <f>IFERROR(__xludf.DUMMYFUNCTION("VLOOKUP(A61,IMPORTRANGE(""1QZ5UxyNCwadreQAXnQ7oCoH982DjIA-QnZdO7ZoqkC0/edit#gid=884617569"",""S5 Totals!$A$2:$O$255""),7,FALSE)"),8.0)</f>
        <v>8</v>
      </c>
      <c r="K61" s="15">
        <f>IFERROR(__xludf.DUMMYFUNCTION("VLOOKUP(A61,IMPORTRANGE(""1QZ5UxyNCwadreQAXnQ7oCoH982DjIA-QnZdO7ZoqkC0/edit#gid=884617569"",""S5 Totals!$A$2:$O$255""),8,FALSE)"),0.23529411764705882)</f>
        <v>0.2352941176</v>
      </c>
      <c r="L61" s="147"/>
      <c r="M61" s="16">
        <f>IFERROR(__xludf.DUMMYFUNCTION("VLOOKUP(A61,IMPORTRANGE(""1QZ5UxyNCwadreQAXnQ7oCoH982DjIA-QnZdO7ZoqkC0/edit#gid=884617569"",""S5 Totals!$A$2:$O$255""),10,FALSE)"),3.0)</f>
        <v>3</v>
      </c>
      <c r="N61" s="15">
        <f>IFERROR(__xludf.DUMMYFUNCTION("VLOOKUP(A61,IMPORTRANGE(""1QZ5UxyNCwadreQAXnQ7oCoH982DjIA-QnZdO7ZoqkC0/edit#gid=884617569"",""S5 Totals!$A$2:$O$255""),11,FALSE)"),0.1)</f>
        <v>0.1</v>
      </c>
      <c r="O61" s="110"/>
      <c r="P61" s="16" t="str">
        <f>IFERROR(__xludf.DUMMYFUNCTION("VLOOKUP(A61,IMPORTRANGE(""1QZ5UxyNCwadreQAXnQ7oCoH982DjIA-QnZdO7ZoqkC0/edit#gid=884617569"",""S5 Totals!$A$2:$O$255""),13,FALSE)"),"")</f>
        <v/>
      </c>
      <c r="Q61" s="15" t="str">
        <f>IFERROR(__xludf.DUMMYFUNCTION("VLOOKUP(A61,IMPORTRANGE(""1QZ5UxyNCwadreQAXnQ7oCoH982DjIA-QnZdO7ZoqkC0/edit#gid=884617569"",""S5 Totals!$A$2:$O$255""),14,FALSE)"),"")</f>
        <v/>
      </c>
      <c r="R61" s="110"/>
    </row>
    <row r="62">
      <c r="A62" s="128" t="s">
        <v>264</v>
      </c>
      <c r="B62" s="16">
        <f>IFERROR(__xludf.DUMMYFUNCTION("VLOOKUP(A62,IMPORTRANGE(""1aFCnJY1qhIj8-JckJhDJ18aqmVo17tofpQmOjcYa3u8/edit#gid=1878241338"",""S5 Totals!$A$2:$O$255""),2,FALSE)"),0.0)</f>
        <v>0</v>
      </c>
      <c r="C62" s="15">
        <f>IFERROR(__xludf.DUMMYFUNCTION("VLOOKUP(A62,IMPORTRANGE(""1aFCnJY1qhIj8-JckJhDJ18aqmVo17tofpQmOjcYa3u8/edit#gid=1878241338"",""S5 Totals!$A$2:$O$255""),3,FALSE)"),0.0)</f>
        <v>0</v>
      </c>
      <c r="D62" s="16" t="str">
        <f>IFERROR(__xludf.DUMMYFUNCTION("VLOOKUP(A62,IMPORTRANGE(""1QZ5UxyNCwadreQAXnQ7oCoH982DjIA-QnZdO7ZoqkC0/edit#gid=884617569"",""S5 Totals!$A$2:$O$255""),2,FALSE)"),"#N/A")</f>
        <v>#N/A</v>
      </c>
      <c r="E62" s="15" t="str">
        <f>IFERROR(__xludf.DUMMYFUNCTION("VLOOKUP(A62,IMPORTRANGE(""1QZ5UxyNCwadreQAXnQ7oCoH982DjIA-QnZdO7ZoqkC0/edit#gid=884617569"",""S5 Totals!$A$2:$O$255""),3,FALSE)"),"#N/A")</f>
        <v>#N/A</v>
      </c>
      <c r="F62" s="146" t="str">
        <f t="shared" si="1"/>
        <v>#N/A</v>
      </c>
      <c r="G62" s="16" t="str">
        <f>IFERROR(__xludf.DUMMYFUNCTION("VLOOKUP(A62,IMPORTRANGE(""1QZ5UxyNCwadreQAXnQ7oCoH982DjIA-QnZdO7ZoqkC0/edit#gid=884617569"",""S5 Totals!$A$2:$O$255""),4,FALSE)"),"#N/A")</f>
        <v>#N/A</v>
      </c>
      <c r="H62" s="15" t="str">
        <f>IFERROR(__xludf.DUMMYFUNCTION("VLOOKUP(A62,IMPORTRANGE(""1QZ5UxyNCwadreQAXnQ7oCoH982DjIA-QnZdO7ZoqkC0/edit#gid=884617569"",""S5 Totals!$A$2:$O$255""),5,FALSE)"),"#N/A")</f>
        <v>#N/A</v>
      </c>
      <c r="I62" s="143"/>
      <c r="J62" s="16" t="str">
        <f>IFERROR(__xludf.DUMMYFUNCTION("VLOOKUP(A62,IMPORTRANGE(""1QZ5UxyNCwadreQAXnQ7oCoH982DjIA-QnZdO7ZoqkC0/edit#gid=884617569"",""S5 Totals!$A$2:$O$255""),7,FALSE)"),"#N/A")</f>
        <v>#N/A</v>
      </c>
      <c r="K62" s="15" t="str">
        <f>IFERROR(__xludf.DUMMYFUNCTION("VLOOKUP(A62,IMPORTRANGE(""1QZ5UxyNCwadreQAXnQ7oCoH982DjIA-QnZdO7ZoqkC0/edit#gid=884617569"",""S5 Totals!$A$2:$O$255""),8,FALSE)"),"#N/A")</f>
        <v>#N/A</v>
      </c>
      <c r="L62" s="147"/>
      <c r="M62" s="16" t="str">
        <f>IFERROR(__xludf.DUMMYFUNCTION("VLOOKUP(A62,IMPORTRANGE(""1QZ5UxyNCwadreQAXnQ7oCoH982DjIA-QnZdO7ZoqkC0/edit#gid=884617569"",""S5 Totals!$A$2:$O$255""),10,FALSE)"),"#N/A")</f>
        <v>#N/A</v>
      </c>
      <c r="N62" s="15" t="str">
        <f>IFERROR(__xludf.DUMMYFUNCTION("VLOOKUP(A62,IMPORTRANGE(""1QZ5UxyNCwadreQAXnQ7oCoH982DjIA-QnZdO7ZoqkC0/edit#gid=884617569"",""S5 Totals!$A$2:$O$255""),11,FALSE)"),"#N/A")</f>
        <v>#N/A</v>
      </c>
      <c r="O62" s="110"/>
      <c r="P62" s="16" t="str">
        <f>IFERROR(__xludf.DUMMYFUNCTION("VLOOKUP(A62,IMPORTRANGE(""1QZ5UxyNCwadreQAXnQ7oCoH982DjIA-QnZdO7ZoqkC0/edit#gid=884617569"",""S5 Totals!$A$2:$O$255""),13,FALSE)"),"#N/A")</f>
        <v>#N/A</v>
      </c>
      <c r="Q62" s="15" t="str">
        <f>IFERROR(__xludf.DUMMYFUNCTION("VLOOKUP(A62,IMPORTRANGE(""1QZ5UxyNCwadreQAXnQ7oCoH982DjIA-QnZdO7ZoqkC0/edit#gid=884617569"",""S5 Totals!$A$2:$O$255""),14,FALSE)"),"#N/A")</f>
        <v>#N/A</v>
      </c>
      <c r="R62" s="110"/>
    </row>
    <row r="63">
      <c r="A63" s="128" t="s">
        <v>120</v>
      </c>
      <c r="B63" s="16">
        <f>IFERROR(__xludf.DUMMYFUNCTION("VLOOKUP(A63,IMPORTRANGE(""1aFCnJY1qhIj8-JckJhDJ18aqmVo17tofpQmOjcYa3u8/edit#gid=1878241338"",""S5 Totals!$A$2:$O$255""),2,FALSE)"),12.0)</f>
        <v>12</v>
      </c>
      <c r="C63" s="15">
        <f>IFERROR(__xludf.DUMMYFUNCTION("VLOOKUP(A63,IMPORTRANGE(""1aFCnJY1qhIj8-JckJhDJ18aqmVo17tofpQmOjcYa3u8/edit#gid=1878241338"",""S5 Totals!$A$2:$O$255""),3,FALSE)"),0.14457831325301204)</f>
        <v>0.1445783133</v>
      </c>
      <c r="D63" s="16">
        <f>IFERROR(__xludf.DUMMYFUNCTION("VLOOKUP(A63,IMPORTRANGE(""1QZ5UxyNCwadreQAXnQ7oCoH982DjIA-QnZdO7ZoqkC0/edit#gid=884617569"",""S5 Totals!$A$2:$O$255""),2,FALSE)"),8.0)</f>
        <v>8</v>
      </c>
      <c r="E63" s="15">
        <f>IFERROR(__xludf.DUMMYFUNCTION("VLOOKUP(A63,IMPORTRANGE(""1QZ5UxyNCwadreQAXnQ7oCoH982DjIA-QnZdO7ZoqkC0/edit#gid=884617569"",""S5 Totals!$A$2:$O$255""),3,FALSE)"),0.0963855421686747)</f>
        <v>0.09638554217</v>
      </c>
      <c r="F63" s="146">
        <f t="shared" si="1"/>
        <v>0.04819277108</v>
      </c>
      <c r="G63" s="16">
        <f>IFERROR(__xludf.DUMMYFUNCTION("VLOOKUP(A63,IMPORTRANGE(""1QZ5UxyNCwadreQAXnQ7oCoH982DjIA-QnZdO7ZoqkC0/edit#gid=884617569"",""S5 Totals!$A$2:$O$255""),4,FALSE)"),6.0)</f>
        <v>6</v>
      </c>
      <c r="H63" s="15">
        <f>IFERROR(__xludf.DUMMYFUNCTION("VLOOKUP(A63,IMPORTRANGE(""1QZ5UxyNCwadreQAXnQ7oCoH982DjIA-QnZdO7ZoqkC0/edit#gid=884617569"",""S5 Totals!$A$2:$O$255""),5,FALSE)"),0.12244897959183673)</f>
        <v>0.1224489796</v>
      </c>
      <c r="I63" s="143"/>
      <c r="J63" s="16">
        <f>IFERROR(__xludf.DUMMYFUNCTION("VLOOKUP(A63,IMPORTRANGE(""1QZ5UxyNCwadreQAXnQ7oCoH982DjIA-QnZdO7ZoqkC0/edit#gid=884617569"",""S5 Totals!$A$2:$O$255""),7,FALSE)"),0.0)</f>
        <v>0</v>
      </c>
      <c r="K63" s="15">
        <f>IFERROR(__xludf.DUMMYFUNCTION("VLOOKUP(A63,IMPORTRANGE(""1QZ5UxyNCwadreQAXnQ7oCoH982DjIA-QnZdO7ZoqkC0/edit#gid=884617569"",""S5 Totals!$A$2:$O$255""),8,FALSE)"),0.0)</f>
        <v>0</v>
      </c>
      <c r="L63" s="147"/>
      <c r="M63" s="16">
        <f>IFERROR(__xludf.DUMMYFUNCTION("VLOOKUP(A63,IMPORTRANGE(""1QZ5UxyNCwadreQAXnQ7oCoH982DjIA-QnZdO7ZoqkC0/edit#gid=884617569"",""S5 Totals!$A$2:$O$255""),10,FALSE)"),0.0)</f>
        <v>0</v>
      </c>
      <c r="N63" s="15">
        <f>IFERROR(__xludf.DUMMYFUNCTION("VLOOKUP(A63,IMPORTRANGE(""1QZ5UxyNCwadreQAXnQ7oCoH982DjIA-QnZdO7ZoqkC0/edit#gid=884617569"",""S5 Totals!$A$2:$O$255""),11,FALSE)"),0.0)</f>
        <v>0</v>
      </c>
      <c r="O63" s="110"/>
      <c r="P63" s="16" t="str">
        <f>IFERROR(__xludf.DUMMYFUNCTION("VLOOKUP(A63,IMPORTRANGE(""1QZ5UxyNCwadreQAXnQ7oCoH982DjIA-QnZdO7ZoqkC0/edit#gid=884617569"",""S5 Totals!$A$2:$O$255""),13,FALSE)"),"")</f>
        <v/>
      </c>
      <c r="Q63" s="15" t="str">
        <f>IFERROR(__xludf.DUMMYFUNCTION("VLOOKUP(A63,IMPORTRANGE(""1QZ5UxyNCwadreQAXnQ7oCoH982DjIA-QnZdO7ZoqkC0/edit#gid=884617569"",""S5 Totals!$A$2:$O$255""),14,FALSE)"),"")</f>
        <v/>
      </c>
      <c r="R63" s="110"/>
    </row>
    <row r="64">
      <c r="A64" s="128" t="s">
        <v>121</v>
      </c>
      <c r="B64" s="16">
        <f>IFERROR(__xludf.DUMMYFUNCTION("VLOOKUP(A64,IMPORTRANGE(""1aFCnJY1qhIj8-JckJhDJ18aqmVo17tofpQmOjcYa3u8/edit#gid=1878241338"",""S5 Totals!$A$2:$O$255""),2,FALSE)"),5.0)</f>
        <v>5</v>
      </c>
      <c r="C64" s="15">
        <f>IFERROR(__xludf.DUMMYFUNCTION("VLOOKUP(A64,IMPORTRANGE(""1aFCnJY1qhIj8-JckJhDJ18aqmVo17tofpQmOjcYa3u8/edit#gid=1878241338"",""S5 Totals!$A$2:$O$255""),3,FALSE)"),0.060240963855421686)</f>
        <v>0.06024096386</v>
      </c>
      <c r="D64" s="16">
        <f>IFERROR(__xludf.DUMMYFUNCTION("VLOOKUP(A64,IMPORTRANGE(""1QZ5UxyNCwadreQAXnQ7oCoH982DjIA-QnZdO7ZoqkC0/edit#gid=884617569"",""S5 Totals!$A$2:$O$255""),2,FALSE)"),10.0)</f>
        <v>10</v>
      </c>
      <c r="E64" s="15">
        <f>IFERROR(__xludf.DUMMYFUNCTION("VLOOKUP(A64,IMPORTRANGE(""1QZ5UxyNCwadreQAXnQ7oCoH982DjIA-QnZdO7ZoqkC0/edit#gid=884617569"",""S5 Totals!$A$2:$O$255""),3,FALSE)"),0.12048192771084337)</f>
        <v>0.1204819277</v>
      </c>
      <c r="F64" s="146">
        <f t="shared" si="1"/>
        <v>-0.06024096386</v>
      </c>
      <c r="G64" s="16">
        <f>IFERROR(__xludf.DUMMYFUNCTION("VLOOKUP(A64,IMPORTRANGE(""1QZ5UxyNCwadreQAXnQ7oCoH982DjIA-QnZdO7ZoqkC0/edit#gid=884617569"",""S5 Totals!$A$2:$O$255""),4,FALSE)"),2.0)</f>
        <v>2</v>
      </c>
      <c r="H64" s="15">
        <f>IFERROR(__xludf.DUMMYFUNCTION("VLOOKUP(A64,IMPORTRANGE(""1QZ5UxyNCwadreQAXnQ7oCoH982DjIA-QnZdO7ZoqkC0/edit#gid=884617569"",""S5 Totals!$A$2:$O$255""),5,FALSE)"),0.04081632653061224)</f>
        <v>0.04081632653</v>
      </c>
      <c r="I64" s="143"/>
      <c r="J64" s="16">
        <f>IFERROR(__xludf.DUMMYFUNCTION("VLOOKUP(A64,IMPORTRANGE(""1QZ5UxyNCwadreQAXnQ7oCoH982DjIA-QnZdO7ZoqkC0/edit#gid=884617569"",""S5 Totals!$A$2:$O$255""),7,FALSE)"),0.0)</f>
        <v>0</v>
      </c>
      <c r="K64" s="15">
        <f>IFERROR(__xludf.DUMMYFUNCTION("VLOOKUP(A64,IMPORTRANGE(""1QZ5UxyNCwadreQAXnQ7oCoH982DjIA-QnZdO7ZoqkC0/edit#gid=884617569"",""S5 Totals!$A$2:$O$255""),8,FALSE)"),0.0)</f>
        <v>0</v>
      </c>
      <c r="L64" s="147"/>
      <c r="M64" s="16">
        <f>IFERROR(__xludf.DUMMYFUNCTION("VLOOKUP(A64,IMPORTRANGE(""1QZ5UxyNCwadreQAXnQ7oCoH982DjIA-QnZdO7ZoqkC0/edit#gid=884617569"",""S5 Totals!$A$2:$O$255""),10,FALSE)"),0.0)</f>
        <v>0</v>
      </c>
      <c r="N64" s="15">
        <f>IFERROR(__xludf.DUMMYFUNCTION("VLOOKUP(A64,IMPORTRANGE(""1QZ5UxyNCwadreQAXnQ7oCoH982DjIA-QnZdO7ZoqkC0/edit#gid=884617569"",""S5 Totals!$A$2:$O$255""),11,FALSE)"),0.0)</f>
        <v>0</v>
      </c>
      <c r="O64" s="110"/>
      <c r="P64" s="16" t="str">
        <f>IFERROR(__xludf.DUMMYFUNCTION("VLOOKUP(A64,IMPORTRANGE(""1QZ5UxyNCwadreQAXnQ7oCoH982DjIA-QnZdO7ZoqkC0/edit#gid=884617569"",""S5 Totals!$A$2:$O$255""),13,FALSE)"),"")</f>
        <v/>
      </c>
      <c r="Q64" s="15" t="str">
        <f>IFERROR(__xludf.DUMMYFUNCTION("VLOOKUP(A64,IMPORTRANGE(""1QZ5UxyNCwadreQAXnQ7oCoH982DjIA-QnZdO7ZoqkC0/edit#gid=884617569"",""S5 Totals!$A$2:$O$255""),14,FALSE)"),"")</f>
        <v/>
      </c>
      <c r="R64" s="110"/>
    </row>
    <row r="65">
      <c r="A65" s="128" t="s">
        <v>122</v>
      </c>
      <c r="B65" s="16">
        <f>IFERROR(__xludf.DUMMYFUNCTION("VLOOKUP(A65,IMPORTRANGE(""1aFCnJY1qhIj8-JckJhDJ18aqmVo17tofpQmOjcYa3u8/edit#gid=1878241338"",""S5 Totals!$A$2:$O$255""),2,FALSE)"),3.0)</f>
        <v>3</v>
      </c>
      <c r="C65" s="15">
        <f>IFERROR(__xludf.DUMMYFUNCTION("VLOOKUP(A65,IMPORTRANGE(""1aFCnJY1qhIj8-JckJhDJ18aqmVo17tofpQmOjcYa3u8/edit#gid=1878241338"",""S5 Totals!$A$2:$O$255""),3,FALSE)"),0.03614457831325301)</f>
        <v>0.03614457831</v>
      </c>
      <c r="D65" s="16">
        <f>IFERROR(__xludf.DUMMYFUNCTION("VLOOKUP(A65,IMPORTRANGE(""1QZ5UxyNCwadreQAXnQ7oCoH982DjIA-QnZdO7ZoqkC0/edit#gid=884617569"",""S5 Totals!$A$2:$O$255""),2,FALSE)"),2.0)</f>
        <v>2</v>
      </c>
      <c r="E65" s="15">
        <f>IFERROR(__xludf.DUMMYFUNCTION("VLOOKUP(A65,IMPORTRANGE(""1QZ5UxyNCwadreQAXnQ7oCoH982DjIA-QnZdO7ZoqkC0/edit#gid=884617569"",""S5 Totals!$A$2:$O$255""),3,FALSE)"),0.024096385542168676)</f>
        <v>0.02409638554</v>
      </c>
      <c r="F65" s="146">
        <f t="shared" si="1"/>
        <v>0.01204819277</v>
      </c>
      <c r="G65" s="16">
        <f>IFERROR(__xludf.DUMMYFUNCTION("VLOOKUP(A65,IMPORTRANGE(""1QZ5UxyNCwadreQAXnQ7oCoH982DjIA-QnZdO7ZoqkC0/edit#gid=884617569"",""S5 Totals!$A$2:$O$255""),4,FALSE)"),2.0)</f>
        <v>2</v>
      </c>
      <c r="H65" s="15">
        <f>IFERROR(__xludf.DUMMYFUNCTION("VLOOKUP(A65,IMPORTRANGE(""1QZ5UxyNCwadreQAXnQ7oCoH982DjIA-QnZdO7ZoqkC0/edit#gid=884617569"",""S5 Totals!$A$2:$O$255""),5,FALSE)"),0.04081632653061224)</f>
        <v>0.04081632653</v>
      </c>
      <c r="I65" s="143"/>
      <c r="J65" s="16">
        <f>IFERROR(__xludf.DUMMYFUNCTION("VLOOKUP(A65,IMPORTRANGE(""1QZ5UxyNCwadreQAXnQ7oCoH982DjIA-QnZdO7ZoqkC0/edit#gid=884617569"",""S5 Totals!$A$2:$O$255""),7,FALSE)"),1.0)</f>
        <v>1</v>
      </c>
      <c r="K65" s="15">
        <f>IFERROR(__xludf.DUMMYFUNCTION("VLOOKUP(A65,IMPORTRANGE(""1QZ5UxyNCwadreQAXnQ7oCoH982DjIA-QnZdO7ZoqkC0/edit#gid=884617569"",""S5 Totals!$A$2:$O$255""),8,FALSE)"),0.029411764705882353)</f>
        <v>0.02941176471</v>
      </c>
      <c r="L65" s="147"/>
      <c r="M65" s="16">
        <f>IFERROR(__xludf.DUMMYFUNCTION("VLOOKUP(A65,IMPORTRANGE(""1QZ5UxyNCwadreQAXnQ7oCoH982DjIA-QnZdO7ZoqkC0/edit#gid=884617569"",""S5 Totals!$A$2:$O$255""),10,FALSE)"),1.0)</f>
        <v>1</v>
      </c>
      <c r="N65" s="15">
        <f>IFERROR(__xludf.DUMMYFUNCTION("VLOOKUP(A65,IMPORTRANGE(""1QZ5UxyNCwadreQAXnQ7oCoH982DjIA-QnZdO7ZoqkC0/edit#gid=884617569"",""S5 Totals!$A$2:$O$255""),11,FALSE)"),0.03333333333333333)</f>
        <v>0.03333333333</v>
      </c>
      <c r="O65" s="110"/>
      <c r="P65" s="16" t="str">
        <f>IFERROR(__xludf.DUMMYFUNCTION("VLOOKUP(A65,IMPORTRANGE(""1QZ5UxyNCwadreQAXnQ7oCoH982DjIA-QnZdO7ZoqkC0/edit#gid=884617569"",""S5 Totals!$A$2:$O$255""),13,FALSE)"),"")</f>
        <v/>
      </c>
      <c r="Q65" s="15" t="str">
        <f>IFERROR(__xludf.DUMMYFUNCTION("VLOOKUP(A65,IMPORTRANGE(""1QZ5UxyNCwadreQAXnQ7oCoH982DjIA-QnZdO7ZoqkC0/edit#gid=884617569"",""S5 Totals!$A$2:$O$255""),14,FALSE)"),"")</f>
        <v/>
      </c>
      <c r="R65" s="110"/>
    </row>
    <row r="66">
      <c r="A66" s="128" t="s">
        <v>334</v>
      </c>
      <c r="B66" s="16" t="str">
        <f>IFERROR(__xludf.DUMMYFUNCTION("VLOOKUP(A66,IMPORTRANGE(""1aFCnJY1qhIj8-JckJhDJ18aqmVo17tofpQmOjcYa3u8/edit#gid=1878241338"",""S5 Totals!$A$2:$O$255""),2,FALSE)"),"#N/A")</f>
        <v>#N/A</v>
      </c>
      <c r="C66" s="15" t="str">
        <f>IFERROR(__xludf.DUMMYFUNCTION("VLOOKUP(A66,IMPORTRANGE(""1aFCnJY1qhIj8-JckJhDJ18aqmVo17tofpQmOjcYa3u8/edit#gid=1878241338"",""S5 Totals!$A$2:$O$255""),3,FALSE)"),"#N/A")</f>
        <v>#N/A</v>
      </c>
      <c r="D66" s="16" t="str">
        <f>IFERROR(__xludf.DUMMYFUNCTION("VLOOKUP(A66,IMPORTRANGE(""1QZ5UxyNCwadreQAXnQ7oCoH982DjIA-QnZdO7ZoqkC0/edit#gid=884617569"",""S5 Totals!$A$2:$O$255""),2,FALSE)"),"#N/A")</f>
        <v>#N/A</v>
      </c>
      <c r="E66" s="15" t="str">
        <f>IFERROR(__xludf.DUMMYFUNCTION("VLOOKUP(A66,IMPORTRANGE(""1QZ5UxyNCwadreQAXnQ7oCoH982DjIA-QnZdO7ZoqkC0/edit#gid=884617569"",""S5 Totals!$A$2:$O$255""),3,FALSE)"),"#N/A")</f>
        <v>#N/A</v>
      </c>
      <c r="F66" s="146" t="str">
        <f t="shared" si="1"/>
        <v>#N/A</v>
      </c>
      <c r="G66" s="16" t="str">
        <f>IFERROR(__xludf.DUMMYFUNCTION("VLOOKUP(A66,IMPORTRANGE(""1QZ5UxyNCwadreQAXnQ7oCoH982DjIA-QnZdO7ZoqkC0/edit#gid=884617569"",""S5 Totals!$A$2:$O$255""),4,FALSE)"),"#N/A")</f>
        <v>#N/A</v>
      </c>
      <c r="H66" s="15" t="str">
        <f>IFERROR(__xludf.DUMMYFUNCTION("VLOOKUP(A66,IMPORTRANGE(""1QZ5UxyNCwadreQAXnQ7oCoH982DjIA-QnZdO7ZoqkC0/edit#gid=884617569"",""S5 Totals!$A$2:$O$255""),5,FALSE)"),"#N/A")</f>
        <v>#N/A</v>
      </c>
      <c r="I66" s="143"/>
      <c r="J66" s="16" t="str">
        <f>IFERROR(__xludf.DUMMYFUNCTION("VLOOKUP(A66,IMPORTRANGE(""1QZ5UxyNCwadreQAXnQ7oCoH982DjIA-QnZdO7ZoqkC0/edit#gid=884617569"",""S5 Totals!$A$2:$O$255""),7,FALSE)"),"#N/A")</f>
        <v>#N/A</v>
      </c>
      <c r="K66" s="15" t="str">
        <f>IFERROR(__xludf.DUMMYFUNCTION("VLOOKUP(A66,IMPORTRANGE(""1QZ5UxyNCwadreQAXnQ7oCoH982DjIA-QnZdO7ZoqkC0/edit#gid=884617569"",""S5 Totals!$A$2:$O$255""),8,FALSE)"),"#N/A")</f>
        <v>#N/A</v>
      </c>
      <c r="L66" s="147"/>
      <c r="M66" s="16" t="str">
        <f>IFERROR(__xludf.DUMMYFUNCTION("VLOOKUP(A66,IMPORTRANGE(""1QZ5UxyNCwadreQAXnQ7oCoH982DjIA-QnZdO7ZoqkC0/edit#gid=884617569"",""S5 Totals!$A$2:$O$255""),10,FALSE)"),"#N/A")</f>
        <v>#N/A</v>
      </c>
      <c r="N66" s="15" t="str">
        <f>IFERROR(__xludf.DUMMYFUNCTION("VLOOKUP(A66,IMPORTRANGE(""1QZ5UxyNCwadreQAXnQ7oCoH982DjIA-QnZdO7ZoqkC0/edit#gid=884617569"",""S5 Totals!$A$2:$O$255""),11,FALSE)"),"#N/A")</f>
        <v>#N/A</v>
      </c>
      <c r="O66" s="110"/>
      <c r="P66" s="16" t="str">
        <f>IFERROR(__xludf.DUMMYFUNCTION("VLOOKUP(A66,IMPORTRANGE(""1QZ5UxyNCwadreQAXnQ7oCoH982DjIA-QnZdO7ZoqkC0/edit#gid=884617569"",""S5 Totals!$A$2:$O$255""),13,FALSE)"),"#N/A")</f>
        <v>#N/A</v>
      </c>
      <c r="Q66" s="15" t="str">
        <f>IFERROR(__xludf.DUMMYFUNCTION("VLOOKUP(A66,IMPORTRANGE(""1QZ5UxyNCwadreQAXnQ7oCoH982DjIA-QnZdO7ZoqkC0/edit#gid=884617569"",""S5 Totals!$A$2:$O$255""),14,FALSE)"),"#N/A")</f>
        <v>#N/A</v>
      </c>
      <c r="R66" s="110"/>
    </row>
    <row r="67">
      <c r="A67" s="128" t="s">
        <v>46</v>
      </c>
      <c r="B67" s="16">
        <f>IFERROR(__xludf.DUMMYFUNCTION("VLOOKUP(A67,IMPORTRANGE(""1aFCnJY1qhIj8-JckJhDJ18aqmVo17tofpQmOjcYa3u8/edit#gid=1878241338"",""S5 Totals!$A$2:$O$255""),2,FALSE)"),26.0)</f>
        <v>26</v>
      </c>
      <c r="C67" s="15">
        <f>IFERROR(__xludf.DUMMYFUNCTION("VLOOKUP(A67,IMPORTRANGE(""1aFCnJY1qhIj8-JckJhDJ18aqmVo17tofpQmOjcYa3u8/edit#gid=1878241338"",""S5 Totals!$A$2:$O$255""),3,FALSE)"),0.3132530120481928)</f>
        <v>0.313253012</v>
      </c>
      <c r="D67" s="16">
        <f>IFERROR(__xludf.DUMMYFUNCTION("VLOOKUP(A67,IMPORTRANGE(""1QZ5UxyNCwadreQAXnQ7oCoH982DjIA-QnZdO7ZoqkC0/edit#gid=884617569"",""S5 Totals!$A$2:$O$255""),2,FALSE)"),9.0)</f>
        <v>9</v>
      </c>
      <c r="E67" s="15">
        <f>IFERROR(__xludf.DUMMYFUNCTION("VLOOKUP(A67,IMPORTRANGE(""1QZ5UxyNCwadreQAXnQ7oCoH982DjIA-QnZdO7ZoqkC0/edit#gid=884617569"",""S5 Totals!$A$2:$O$255""),3,FALSE)"),0.10843373493975904)</f>
        <v>0.1084337349</v>
      </c>
      <c r="F67" s="146">
        <f t="shared" si="1"/>
        <v>0.2048192771</v>
      </c>
      <c r="G67" s="16">
        <f>IFERROR(__xludf.DUMMYFUNCTION("VLOOKUP(A67,IMPORTRANGE(""1QZ5UxyNCwadreQAXnQ7oCoH982DjIA-QnZdO7ZoqkC0/edit#gid=884617569"",""S5 Totals!$A$2:$O$255""),4,FALSE)"),12.0)</f>
        <v>12</v>
      </c>
      <c r="H67" s="15">
        <f>IFERROR(__xludf.DUMMYFUNCTION("VLOOKUP(A67,IMPORTRANGE(""1QZ5UxyNCwadreQAXnQ7oCoH982DjIA-QnZdO7ZoqkC0/edit#gid=884617569"",""S5 Totals!$A$2:$O$255""),5,FALSE)"),0.24489795918367346)</f>
        <v>0.2448979592</v>
      </c>
      <c r="I67" s="143"/>
      <c r="J67" s="16">
        <f>IFERROR(__xludf.DUMMYFUNCTION("VLOOKUP(A67,IMPORTRANGE(""1QZ5UxyNCwadreQAXnQ7oCoH982DjIA-QnZdO7ZoqkC0/edit#gid=884617569"",""S5 Totals!$A$2:$O$255""),7,FALSE)"),13.0)</f>
        <v>13</v>
      </c>
      <c r="K67" s="15">
        <f>IFERROR(__xludf.DUMMYFUNCTION("VLOOKUP(A67,IMPORTRANGE(""1QZ5UxyNCwadreQAXnQ7oCoH982DjIA-QnZdO7ZoqkC0/edit#gid=884617569"",""S5 Totals!$A$2:$O$255""),8,FALSE)"),0.38235294117647056)</f>
        <v>0.3823529412</v>
      </c>
      <c r="L67" s="147"/>
      <c r="M67" s="16">
        <f>IFERROR(__xludf.DUMMYFUNCTION("VLOOKUP(A67,IMPORTRANGE(""1QZ5UxyNCwadreQAXnQ7oCoH982DjIA-QnZdO7ZoqkC0/edit#gid=884617569"",""S5 Totals!$A$2:$O$255""),10,FALSE)"),0.0)</f>
        <v>0</v>
      </c>
      <c r="N67" s="15">
        <f>IFERROR(__xludf.DUMMYFUNCTION("VLOOKUP(A67,IMPORTRANGE(""1QZ5UxyNCwadreQAXnQ7oCoH982DjIA-QnZdO7ZoqkC0/edit#gid=884617569"",""S5 Totals!$A$2:$O$255""),11,FALSE)"),0.0)</f>
        <v>0</v>
      </c>
      <c r="O67" s="110"/>
      <c r="P67" s="16">
        <f>IFERROR(__xludf.DUMMYFUNCTION("VLOOKUP(A67,IMPORTRANGE(""1QZ5UxyNCwadreQAXnQ7oCoH982DjIA-QnZdO7ZoqkC0/edit#gid=884617569"",""S5 Totals!$A$2:$O$255""),13,FALSE)"),0.0)</f>
        <v>0</v>
      </c>
      <c r="Q67" s="15">
        <f>IFERROR(__xludf.DUMMYFUNCTION("VLOOKUP(A67,IMPORTRANGE(""1QZ5UxyNCwadreQAXnQ7oCoH982DjIA-QnZdO7ZoqkC0/edit#gid=884617569"",""S5 Totals!$A$2:$O$255""),14,FALSE)"),0.0)</f>
        <v>0</v>
      </c>
      <c r="R67" s="110"/>
    </row>
    <row r="68">
      <c r="A68" s="128" t="s">
        <v>224</v>
      </c>
      <c r="B68" s="16">
        <f>IFERROR(__xludf.DUMMYFUNCTION("VLOOKUP(A68,IMPORTRANGE(""1aFCnJY1qhIj8-JckJhDJ18aqmVo17tofpQmOjcYa3u8/edit#gid=1878241338"",""S5 Totals!$A$2:$O$255""),2,FALSE)"),5.0)</f>
        <v>5</v>
      </c>
      <c r="C68" s="15">
        <f>IFERROR(__xludf.DUMMYFUNCTION("VLOOKUP(A68,IMPORTRANGE(""1aFCnJY1qhIj8-JckJhDJ18aqmVo17tofpQmOjcYa3u8/edit#gid=1878241338"",""S5 Totals!$A$2:$O$255""),3,FALSE)"),0.060240963855421686)</f>
        <v>0.06024096386</v>
      </c>
      <c r="D68" s="16">
        <f>IFERROR(__xludf.DUMMYFUNCTION("VLOOKUP(A68,IMPORTRANGE(""1QZ5UxyNCwadreQAXnQ7oCoH982DjIA-QnZdO7ZoqkC0/edit#gid=884617569"",""S5 Totals!$A$2:$O$255""),2,FALSE)"),4.0)</f>
        <v>4</v>
      </c>
      <c r="E68" s="15">
        <f>IFERROR(__xludf.DUMMYFUNCTION("VLOOKUP(A68,IMPORTRANGE(""1QZ5UxyNCwadreQAXnQ7oCoH982DjIA-QnZdO7ZoqkC0/edit#gid=884617569"",""S5 Totals!$A$2:$O$255""),3,FALSE)"),0.04819277108433735)</f>
        <v>0.04819277108</v>
      </c>
      <c r="F68" s="146">
        <f t="shared" si="1"/>
        <v>0.01204819277</v>
      </c>
      <c r="G68" s="16">
        <f>IFERROR(__xludf.DUMMYFUNCTION("VLOOKUP(A68,IMPORTRANGE(""1QZ5UxyNCwadreQAXnQ7oCoH982DjIA-QnZdO7ZoqkC0/edit#gid=884617569"",""S5 Totals!$A$2:$O$255""),4,FALSE)"),3.0)</f>
        <v>3</v>
      </c>
      <c r="H68" s="15">
        <f>IFERROR(__xludf.DUMMYFUNCTION("VLOOKUP(A68,IMPORTRANGE(""1QZ5UxyNCwadreQAXnQ7oCoH982DjIA-QnZdO7ZoqkC0/edit#gid=884617569"",""S5 Totals!$A$2:$O$255""),5,FALSE)"),0.061224489795918366)</f>
        <v>0.0612244898</v>
      </c>
      <c r="I68" s="143"/>
      <c r="J68" s="16" t="str">
        <f>IFERROR(__xludf.DUMMYFUNCTION("VLOOKUP(A68,IMPORTRANGE(""1QZ5UxyNCwadreQAXnQ7oCoH982DjIA-QnZdO7ZoqkC0/edit#gid=884617569"",""S5 Totals!$A$2:$O$255""),7,FALSE)"),"")</f>
        <v/>
      </c>
      <c r="K68" s="15" t="str">
        <f>IFERROR(__xludf.DUMMYFUNCTION("VLOOKUP(A68,IMPORTRANGE(""1QZ5UxyNCwadreQAXnQ7oCoH982DjIA-QnZdO7ZoqkC0/edit#gid=884617569"",""S5 Totals!$A$2:$O$255""),8,FALSE)"),"")</f>
        <v/>
      </c>
      <c r="L68" s="147"/>
      <c r="M68" s="16" t="str">
        <f>IFERROR(__xludf.DUMMYFUNCTION("VLOOKUP(A68,IMPORTRANGE(""1QZ5UxyNCwadreQAXnQ7oCoH982DjIA-QnZdO7ZoqkC0/edit#gid=884617569"",""S5 Totals!$A$2:$O$255""),10,FALSE)"),"")</f>
        <v/>
      </c>
      <c r="N68" s="15" t="str">
        <f>IFERROR(__xludf.DUMMYFUNCTION("VLOOKUP(A68,IMPORTRANGE(""1QZ5UxyNCwadreQAXnQ7oCoH982DjIA-QnZdO7ZoqkC0/edit#gid=884617569"",""S5 Totals!$A$2:$O$255""),11,FALSE)"),"")</f>
        <v/>
      </c>
      <c r="O68" s="110"/>
      <c r="P68" s="16" t="str">
        <f>IFERROR(__xludf.DUMMYFUNCTION("VLOOKUP(A68,IMPORTRANGE(""1QZ5UxyNCwadreQAXnQ7oCoH982DjIA-QnZdO7ZoqkC0/edit#gid=884617569"",""S5 Totals!$A$2:$O$255""),13,FALSE)"),"")</f>
        <v/>
      </c>
      <c r="Q68" s="15" t="str">
        <f>IFERROR(__xludf.DUMMYFUNCTION("VLOOKUP(A68,IMPORTRANGE(""1QZ5UxyNCwadreQAXnQ7oCoH982DjIA-QnZdO7ZoqkC0/edit#gid=884617569"",""S5 Totals!$A$2:$O$255""),14,FALSE)"),"")</f>
        <v/>
      </c>
      <c r="R68" s="110"/>
    </row>
    <row r="69">
      <c r="A69" s="128" t="s">
        <v>225</v>
      </c>
      <c r="B69" s="16">
        <f>IFERROR(__xludf.DUMMYFUNCTION("VLOOKUP(A69,IMPORTRANGE(""1aFCnJY1qhIj8-JckJhDJ18aqmVo17tofpQmOjcYa3u8/edit#gid=1878241338"",""S5 Totals!$A$2:$O$255""),2,FALSE)"),0.0)</f>
        <v>0</v>
      </c>
      <c r="C69" s="15">
        <f>IFERROR(__xludf.DUMMYFUNCTION("VLOOKUP(A69,IMPORTRANGE(""1aFCnJY1qhIj8-JckJhDJ18aqmVo17tofpQmOjcYa3u8/edit#gid=1878241338"",""S5 Totals!$A$2:$O$255""),3,FALSE)"),0.0)</f>
        <v>0</v>
      </c>
      <c r="D69" s="16">
        <f>IFERROR(__xludf.DUMMYFUNCTION("VLOOKUP(A69,IMPORTRANGE(""1QZ5UxyNCwadreQAXnQ7oCoH982DjIA-QnZdO7ZoqkC0/edit#gid=884617569"",""S5 Totals!$A$2:$O$255""),2,FALSE)"),0.0)</f>
        <v>0</v>
      </c>
      <c r="E69" s="15">
        <f>IFERROR(__xludf.DUMMYFUNCTION("VLOOKUP(A69,IMPORTRANGE(""1QZ5UxyNCwadreQAXnQ7oCoH982DjIA-QnZdO7ZoqkC0/edit#gid=884617569"",""S5 Totals!$A$2:$O$255""),3,FALSE)"),0.0)</f>
        <v>0</v>
      </c>
      <c r="F69" s="146">
        <f t="shared" si="1"/>
        <v>0</v>
      </c>
      <c r="G69" s="16">
        <f>IFERROR(__xludf.DUMMYFUNCTION("VLOOKUP(A69,IMPORTRANGE(""1QZ5UxyNCwadreQAXnQ7oCoH982DjIA-QnZdO7ZoqkC0/edit#gid=884617569"",""S5 Totals!$A$2:$O$255""),4,FALSE)"),0.0)</f>
        <v>0</v>
      </c>
      <c r="H69" s="15">
        <f>IFERROR(__xludf.DUMMYFUNCTION("VLOOKUP(A69,IMPORTRANGE(""1QZ5UxyNCwadreQAXnQ7oCoH982DjIA-QnZdO7ZoqkC0/edit#gid=884617569"",""S5 Totals!$A$2:$O$255""),5,FALSE)"),0.0)</f>
        <v>0</v>
      </c>
      <c r="I69" s="143"/>
      <c r="J69" s="16" t="str">
        <f>IFERROR(__xludf.DUMMYFUNCTION("VLOOKUP(A69,IMPORTRANGE(""1QZ5UxyNCwadreQAXnQ7oCoH982DjIA-QnZdO7ZoqkC0/edit#gid=884617569"",""S5 Totals!$A$2:$O$255""),7,FALSE)"),"")</f>
        <v/>
      </c>
      <c r="K69" s="15" t="str">
        <f>IFERROR(__xludf.DUMMYFUNCTION("VLOOKUP(A69,IMPORTRANGE(""1QZ5UxyNCwadreQAXnQ7oCoH982DjIA-QnZdO7ZoqkC0/edit#gid=884617569"",""S5 Totals!$A$2:$O$255""),8,FALSE)"),"")</f>
        <v/>
      </c>
      <c r="L69" s="147"/>
      <c r="M69" s="16" t="str">
        <f>IFERROR(__xludf.DUMMYFUNCTION("VLOOKUP(A69,IMPORTRANGE(""1QZ5UxyNCwadreQAXnQ7oCoH982DjIA-QnZdO7ZoqkC0/edit#gid=884617569"",""S5 Totals!$A$2:$O$255""),10,FALSE)"),"")</f>
        <v/>
      </c>
      <c r="N69" s="15" t="str">
        <f>IFERROR(__xludf.DUMMYFUNCTION("VLOOKUP(A69,IMPORTRANGE(""1QZ5UxyNCwadreQAXnQ7oCoH982DjIA-QnZdO7ZoqkC0/edit#gid=884617569"",""S5 Totals!$A$2:$O$255""),11,FALSE)"),"")</f>
        <v/>
      </c>
      <c r="O69" s="110"/>
      <c r="P69" s="16" t="str">
        <f>IFERROR(__xludf.DUMMYFUNCTION("VLOOKUP(A69,IMPORTRANGE(""1QZ5UxyNCwadreQAXnQ7oCoH982DjIA-QnZdO7ZoqkC0/edit#gid=884617569"",""S5 Totals!$A$2:$O$255""),13,FALSE)"),"")</f>
        <v/>
      </c>
      <c r="Q69" s="15" t="str">
        <f>IFERROR(__xludf.DUMMYFUNCTION("VLOOKUP(A69,IMPORTRANGE(""1QZ5UxyNCwadreQAXnQ7oCoH982DjIA-QnZdO7ZoqkC0/edit#gid=884617569"",""S5 Totals!$A$2:$O$255""),14,FALSE)"),"")</f>
        <v/>
      </c>
      <c r="R69" s="110"/>
    </row>
    <row r="70">
      <c r="A70" s="128" t="s">
        <v>123</v>
      </c>
      <c r="B70" s="16">
        <f>IFERROR(__xludf.DUMMYFUNCTION("VLOOKUP(A70,IMPORTRANGE(""1aFCnJY1qhIj8-JckJhDJ18aqmVo17tofpQmOjcYa3u8/edit#gid=1878241338"",""S5 Totals!$A$2:$O$255""),2,FALSE)"),0.0)</f>
        <v>0</v>
      </c>
      <c r="C70" s="15">
        <f>IFERROR(__xludf.DUMMYFUNCTION("VLOOKUP(A70,IMPORTRANGE(""1aFCnJY1qhIj8-JckJhDJ18aqmVo17tofpQmOjcYa3u8/edit#gid=1878241338"",""S5 Totals!$A$2:$O$255""),3,FALSE)"),0.0)</f>
        <v>0</v>
      </c>
      <c r="D70" s="16">
        <f>IFERROR(__xludf.DUMMYFUNCTION("VLOOKUP(A70,IMPORTRANGE(""1QZ5UxyNCwadreQAXnQ7oCoH982DjIA-QnZdO7ZoqkC0/edit#gid=884617569"",""S5 Totals!$A$2:$O$255""),2,FALSE)"),0.0)</f>
        <v>0</v>
      </c>
      <c r="E70" s="15">
        <f>IFERROR(__xludf.DUMMYFUNCTION("VLOOKUP(A70,IMPORTRANGE(""1QZ5UxyNCwadreQAXnQ7oCoH982DjIA-QnZdO7ZoqkC0/edit#gid=884617569"",""S5 Totals!$A$2:$O$255""),3,FALSE)"),0.0)</f>
        <v>0</v>
      </c>
      <c r="F70" s="146">
        <f t="shared" si="1"/>
        <v>0</v>
      </c>
      <c r="G70" s="16">
        <f>IFERROR(__xludf.DUMMYFUNCTION("VLOOKUP(A70,IMPORTRANGE(""1QZ5UxyNCwadreQAXnQ7oCoH982DjIA-QnZdO7ZoqkC0/edit#gid=884617569"",""S5 Totals!$A$2:$O$255""),4,FALSE)"),0.0)</f>
        <v>0</v>
      </c>
      <c r="H70" s="15">
        <f>IFERROR(__xludf.DUMMYFUNCTION("VLOOKUP(A70,IMPORTRANGE(""1QZ5UxyNCwadreQAXnQ7oCoH982DjIA-QnZdO7ZoqkC0/edit#gid=884617569"",""S5 Totals!$A$2:$O$255""),5,FALSE)"),0.0)</f>
        <v>0</v>
      </c>
      <c r="I70" s="143"/>
      <c r="J70" s="16">
        <f>IFERROR(__xludf.DUMMYFUNCTION("VLOOKUP(A70,IMPORTRANGE(""1QZ5UxyNCwadreQAXnQ7oCoH982DjIA-QnZdO7ZoqkC0/edit#gid=884617569"",""S5 Totals!$A$2:$O$255""),7,FALSE)"),0.0)</f>
        <v>0</v>
      </c>
      <c r="K70" s="15">
        <f>IFERROR(__xludf.DUMMYFUNCTION("VLOOKUP(A70,IMPORTRANGE(""1QZ5UxyNCwadreQAXnQ7oCoH982DjIA-QnZdO7ZoqkC0/edit#gid=884617569"",""S5 Totals!$A$2:$O$255""),8,FALSE)"),0.0)</f>
        <v>0</v>
      </c>
      <c r="L70" s="147"/>
      <c r="M70" s="16">
        <f>IFERROR(__xludf.DUMMYFUNCTION("VLOOKUP(A70,IMPORTRANGE(""1QZ5UxyNCwadreQAXnQ7oCoH982DjIA-QnZdO7ZoqkC0/edit#gid=884617569"",""S5 Totals!$A$2:$O$255""),10,FALSE)"),0.0)</f>
        <v>0</v>
      </c>
      <c r="N70" s="15">
        <f>IFERROR(__xludf.DUMMYFUNCTION("VLOOKUP(A70,IMPORTRANGE(""1QZ5UxyNCwadreQAXnQ7oCoH982DjIA-QnZdO7ZoqkC0/edit#gid=884617569"",""S5 Totals!$A$2:$O$255""),11,FALSE)"),0.0)</f>
        <v>0</v>
      </c>
      <c r="O70" s="110"/>
      <c r="P70" s="16" t="str">
        <f>IFERROR(__xludf.DUMMYFUNCTION("VLOOKUP(A70,IMPORTRANGE(""1QZ5UxyNCwadreQAXnQ7oCoH982DjIA-QnZdO7ZoqkC0/edit#gid=884617569"",""S5 Totals!$A$2:$O$255""),13,FALSE)"),"")</f>
        <v/>
      </c>
      <c r="Q70" s="15" t="str">
        <f>IFERROR(__xludf.DUMMYFUNCTION("VLOOKUP(A70,IMPORTRANGE(""1QZ5UxyNCwadreQAXnQ7oCoH982DjIA-QnZdO7ZoqkC0/edit#gid=884617569"",""S5 Totals!$A$2:$O$255""),14,FALSE)"),"")</f>
        <v/>
      </c>
      <c r="R70" s="110"/>
    </row>
    <row r="71">
      <c r="A71" s="128" t="s">
        <v>226</v>
      </c>
      <c r="B71" s="16">
        <f>IFERROR(__xludf.DUMMYFUNCTION("VLOOKUP(A71,IMPORTRANGE(""1aFCnJY1qhIj8-JckJhDJ18aqmVo17tofpQmOjcYa3u8/edit#gid=1878241338"",""S5 Totals!$A$2:$O$255""),2,FALSE)"),13.0)</f>
        <v>13</v>
      </c>
      <c r="C71" s="15">
        <f>IFERROR(__xludf.DUMMYFUNCTION("VLOOKUP(A71,IMPORTRANGE(""1aFCnJY1qhIj8-JckJhDJ18aqmVo17tofpQmOjcYa3u8/edit#gid=1878241338"",""S5 Totals!$A$2:$O$255""),3,FALSE)"),0.1566265060240964)</f>
        <v>0.156626506</v>
      </c>
      <c r="D71" s="16">
        <f>IFERROR(__xludf.DUMMYFUNCTION("VLOOKUP(A71,IMPORTRANGE(""1QZ5UxyNCwadreQAXnQ7oCoH982DjIA-QnZdO7ZoqkC0/edit#gid=884617569"",""S5 Totals!$A$2:$O$255""),2,FALSE)"),4.0)</f>
        <v>4</v>
      </c>
      <c r="E71" s="15">
        <f>IFERROR(__xludf.DUMMYFUNCTION("VLOOKUP(A71,IMPORTRANGE(""1QZ5UxyNCwadreQAXnQ7oCoH982DjIA-QnZdO7ZoqkC0/edit#gid=884617569"",""S5 Totals!$A$2:$O$255""),3,FALSE)"),0.04819277108433735)</f>
        <v>0.04819277108</v>
      </c>
      <c r="F71" s="146">
        <f t="shared" si="1"/>
        <v>0.1084337349</v>
      </c>
      <c r="G71" s="16">
        <f>IFERROR(__xludf.DUMMYFUNCTION("VLOOKUP(A71,IMPORTRANGE(""1QZ5UxyNCwadreQAXnQ7oCoH982DjIA-QnZdO7ZoqkC0/edit#gid=884617569"",""S5 Totals!$A$2:$O$255""),4,FALSE)"),2.0)</f>
        <v>2</v>
      </c>
      <c r="H71" s="15">
        <f>IFERROR(__xludf.DUMMYFUNCTION("VLOOKUP(A71,IMPORTRANGE(""1QZ5UxyNCwadreQAXnQ7oCoH982DjIA-QnZdO7ZoqkC0/edit#gid=884617569"",""S5 Totals!$A$2:$O$255""),5,FALSE)"),0.04081632653061224)</f>
        <v>0.04081632653</v>
      </c>
      <c r="I71" s="143"/>
      <c r="J71" s="16" t="str">
        <f>IFERROR(__xludf.DUMMYFUNCTION("VLOOKUP(A71,IMPORTRANGE(""1QZ5UxyNCwadreQAXnQ7oCoH982DjIA-QnZdO7ZoqkC0/edit#gid=884617569"",""S5 Totals!$A$2:$O$255""),7,FALSE)"),"")</f>
        <v/>
      </c>
      <c r="K71" s="15" t="str">
        <f>IFERROR(__xludf.DUMMYFUNCTION("VLOOKUP(A71,IMPORTRANGE(""1QZ5UxyNCwadreQAXnQ7oCoH982DjIA-QnZdO7ZoqkC0/edit#gid=884617569"",""S5 Totals!$A$2:$O$255""),8,FALSE)"),"")</f>
        <v/>
      </c>
      <c r="L71" s="147"/>
      <c r="M71" s="16" t="str">
        <f>IFERROR(__xludf.DUMMYFUNCTION("VLOOKUP(A71,IMPORTRANGE(""1QZ5UxyNCwadreQAXnQ7oCoH982DjIA-QnZdO7ZoqkC0/edit#gid=884617569"",""S5 Totals!$A$2:$O$255""),10,FALSE)"),"")</f>
        <v/>
      </c>
      <c r="N71" s="15" t="str">
        <f>IFERROR(__xludf.DUMMYFUNCTION("VLOOKUP(A71,IMPORTRANGE(""1QZ5UxyNCwadreQAXnQ7oCoH982DjIA-QnZdO7ZoqkC0/edit#gid=884617569"",""S5 Totals!$A$2:$O$255""),11,FALSE)"),"")</f>
        <v/>
      </c>
      <c r="O71" s="110"/>
      <c r="P71" s="16" t="str">
        <f>IFERROR(__xludf.DUMMYFUNCTION("VLOOKUP(A71,IMPORTRANGE(""1QZ5UxyNCwadreQAXnQ7oCoH982DjIA-QnZdO7ZoqkC0/edit#gid=884617569"",""S5 Totals!$A$2:$O$255""),13,FALSE)"),"")</f>
        <v/>
      </c>
      <c r="Q71" s="15" t="str">
        <f>IFERROR(__xludf.DUMMYFUNCTION("VLOOKUP(A71,IMPORTRANGE(""1QZ5UxyNCwadreQAXnQ7oCoH982DjIA-QnZdO7ZoqkC0/edit#gid=884617569"",""S5 Totals!$A$2:$O$255""),14,FALSE)"),"")</f>
        <v/>
      </c>
      <c r="R71" s="110"/>
    </row>
    <row r="72">
      <c r="A72" s="128" t="s">
        <v>124</v>
      </c>
      <c r="B72" s="16">
        <f>IFERROR(__xludf.DUMMYFUNCTION("VLOOKUP(A72,IMPORTRANGE(""1aFCnJY1qhIj8-JckJhDJ18aqmVo17tofpQmOjcYa3u8/edit#gid=1878241338"",""S5 Totals!$A$2:$O$255""),2,FALSE)"),25.0)</f>
        <v>25</v>
      </c>
      <c r="C72" s="15">
        <f>IFERROR(__xludf.DUMMYFUNCTION("VLOOKUP(A72,IMPORTRANGE(""1aFCnJY1qhIj8-JckJhDJ18aqmVo17tofpQmOjcYa3u8/edit#gid=1878241338"",""S5 Totals!$A$2:$O$255""),3,FALSE)"),0.30120481927710846)</f>
        <v>0.3012048193</v>
      </c>
      <c r="D72" s="16">
        <f>IFERROR(__xludf.DUMMYFUNCTION("VLOOKUP(A72,IMPORTRANGE(""1QZ5UxyNCwadreQAXnQ7oCoH982DjIA-QnZdO7ZoqkC0/edit#gid=884617569"",""S5 Totals!$A$2:$O$255""),2,FALSE)"),20.0)</f>
        <v>20</v>
      </c>
      <c r="E72" s="15">
        <f>IFERROR(__xludf.DUMMYFUNCTION("VLOOKUP(A72,IMPORTRANGE(""1QZ5UxyNCwadreQAXnQ7oCoH982DjIA-QnZdO7ZoqkC0/edit#gid=884617569"",""S5 Totals!$A$2:$O$255""),3,FALSE)"),0.24096385542168675)</f>
        <v>0.2409638554</v>
      </c>
      <c r="F72" s="146">
        <f t="shared" si="1"/>
        <v>0.06024096386</v>
      </c>
      <c r="G72" s="16">
        <f>IFERROR(__xludf.DUMMYFUNCTION("VLOOKUP(A72,IMPORTRANGE(""1QZ5UxyNCwadreQAXnQ7oCoH982DjIA-QnZdO7ZoqkC0/edit#gid=884617569"",""S5 Totals!$A$2:$O$255""),4,FALSE)"),7.0)</f>
        <v>7</v>
      </c>
      <c r="H72" s="15">
        <f>IFERROR(__xludf.DUMMYFUNCTION("VLOOKUP(A72,IMPORTRANGE(""1QZ5UxyNCwadreQAXnQ7oCoH982DjIA-QnZdO7ZoqkC0/edit#gid=884617569"",""S5 Totals!$A$2:$O$255""),5,FALSE)"),0.14285714285714285)</f>
        <v>0.1428571429</v>
      </c>
      <c r="I72" s="143"/>
      <c r="J72" s="16">
        <f>IFERROR(__xludf.DUMMYFUNCTION("VLOOKUP(A72,IMPORTRANGE(""1QZ5UxyNCwadreQAXnQ7oCoH982DjIA-QnZdO7ZoqkC0/edit#gid=884617569"",""S5 Totals!$A$2:$O$255""),7,FALSE)"),9.0)</f>
        <v>9</v>
      </c>
      <c r="K72" s="15">
        <f>IFERROR(__xludf.DUMMYFUNCTION("VLOOKUP(A72,IMPORTRANGE(""1QZ5UxyNCwadreQAXnQ7oCoH982DjIA-QnZdO7ZoqkC0/edit#gid=884617569"",""S5 Totals!$A$2:$O$255""),8,FALSE)"),0.2647058823529412)</f>
        <v>0.2647058824</v>
      </c>
      <c r="L72" s="147"/>
      <c r="M72" s="16">
        <f>IFERROR(__xludf.DUMMYFUNCTION("VLOOKUP(A72,IMPORTRANGE(""1QZ5UxyNCwadreQAXnQ7oCoH982DjIA-QnZdO7ZoqkC0/edit#gid=884617569"",""S5 Totals!$A$2:$O$255""),10,FALSE)"),3.0)</f>
        <v>3</v>
      </c>
      <c r="N72" s="15">
        <f>IFERROR(__xludf.DUMMYFUNCTION("VLOOKUP(A72,IMPORTRANGE(""1QZ5UxyNCwadreQAXnQ7oCoH982DjIA-QnZdO7ZoqkC0/edit#gid=884617569"",""S5 Totals!$A$2:$O$255""),11,FALSE)"),0.1)</f>
        <v>0.1</v>
      </c>
      <c r="O72" s="110"/>
      <c r="P72" s="16" t="str">
        <f>IFERROR(__xludf.DUMMYFUNCTION("VLOOKUP(A72,IMPORTRANGE(""1QZ5UxyNCwadreQAXnQ7oCoH982DjIA-QnZdO7ZoqkC0/edit#gid=884617569"",""S5 Totals!$A$2:$O$255""),13,FALSE)"),"")</f>
        <v/>
      </c>
      <c r="Q72" s="15" t="str">
        <f>IFERROR(__xludf.DUMMYFUNCTION("VLOOKUP(A72,IMPORTRANGE(""1QZ5UxyNCwadreQAXnQ7oCoH982DjIA-QnZdO7ZoqkC0/edit#gid=884617569"",""S5 Totals!$A$2:$O$255""),14,FALSE)"),"")</f>
        <v/>
      </c>
      <c r="R72" s="110"/>
    </row>
    <row r="73">
      <c r="A73" s="128" t="s">
        <v>172</v>
      </c>
      <c r="B73" s="16">
        <f>IFERROR(__xludf.DUMMYFUNCTION("VLOOKUP(A73,IMPORTRANGE(""1aFCnJY1qhIj8-JckJhDJ18aqmVo17tofpQmOjcYa3u8/edit#gid=1878241338"",""S5 Totals!$A$2:$O$255""),2,FALSE)"),3.0)</f>
        <v>3</v>
      </c>
      <c r="C73" s="15">
        <f>IFERROR(__xludf.DUMMYFUNCTION("VLOOKUP(A73,IMPORTRANGE(""1aFCnJY1qhIj8-JckJhDJ18aqmVo17tofpQmOjcYa3u8/edit#gid=1878241338"",""S5 Totals!$A$2:$O$255""),3,FALSE)"),0.03614457831325301)</f>
        <v>0.03614457831</v>
      </c>
      <c r="D73" s="16">
        <f>IFERROR(__xludf.DUMMYFUNCTION("VLOOKUP(A73,IMPORTRANGE(""1QZ5UxyNCwadreQAXnQ7oCoH982DjIA-QnZdO7ZoqkC0/edit#gid=884617569"",""S5 Totals!$A$2:$O$255""),2,FALSE)"),3.0)</f>
        <v>3</v>
      </c>
      <c r="E73" s="15">
        <f>IFERROR(__xludf.DUMMYFUNCTION("VLOOKUP(A73,IMPORTRANGE(""1QZ5UxyNCwadreQAXnQ7oCoH982DjIA-QnZdO7ZoqkC0/edit#gid=884617569"",""S5 Totals!$A$2:$O$255""),3,FALSE)"),0.03614457831325301)</f>
        <v>0.03614457831</v>
      </c>
      <c r="F73" s="146">
        <f t="shared" si="1"/>
        <v>0</v>
      </c>
      <c r="G73" s="16">
        <f>IFERROR(__xludf.DUMMYFUNCTION("VLOOKUP(A73,IMPORTRANGE(""1QZ5UxyNCwadreQAXnQ7oCoH982DjIA-QnZdO7ZoqkC0/edit#gid=884617569"",""S5 Totals!$A$2:$O$255""),4,FALSE)"),1.0)</f>
        <v>1</v>
      </c>
      <c r="H73" s="15">
        <f>IFERROR(__xludf.DUMMYFUNCTION("VLOOKUP(A73,IMPORTRANGE(""1QZ5UxyNCwadreQAXnQ7oCoH982DjIA-QnZdO7ZoqkC0/edit#gid=884617569"",""S5 Totals!$A$2:$O$255""),5,FALSE)"),0.02040816326530612)</f>
        <v>0.02040816327</v>
      </c>
      <c r="I73" s="143"/>
      <c r="J73" s="16">
        <f>IFERROR(__xludf.DUMMYFUNCTION("VLOOKUP(A73,IMPORTRANGE(""1QZ5UxyNCwadreQAXnQ7oCoH982DjIA-QnZdO7ZoqkC0/edit#gid=884617569"",""S5 Totals!$A$2:$O$255""),7,FALSE)"),1.0)</f>
        <v>1</v>
      </c>
      <c r="K73" s="15">
        <f>IFERROR(__xludf.DUMMYFUNCTION("VLOOKUP(A73,IMPORTRANGE(""1QZ5UxyNCwadreQAXnQ7oCoH982DjIA-QnZdO7ZoqkC0/edit#gid=884617569"",""S5 Totals!$A$2:$O$255""),8,FALSE)"),0.029411764705882353)</f>
        <v>0.02941176471</v>
      </c>
      <c r="L73" s="147"/>
      <c r="M73" s="16" t="str">
        <f>IFERROR(__xludf.DUMMYFUNCTION("VLOOKUP(A73,IMPORTRANGE(""1QZ5UxyNCwadreQAXnQ7oCoH982DjIA-QnZdO7ZoqkC0/edit#gid=884617569"",""S5 Totals!$A$2:$O$255""),10,FALSE)"),"")</f>
        <v/>
      </c>
      <c r="N73" s="15" t="str">
        <f>IFERROR(__xludf.DUMMYFUNCTION("VLOOKUP(A73,IMPORTRANGE(""1QZ5UxyNCwadreQAXnQ7oCoH982DjIA-QnZdO7ZoqkC0/edit#gid=884617569"",""S5 Totals!$A$2:$O$255""),11,FALSE)"),"")</f>
        <v/>
      </c>
      <c r="O73" s="110"/>
      <c r="P73" s="16" t="str">
        <f>IFERROR(__xludf.DUMMYFUNCTION("VLOOKUP(A73,IMPORTRANGE(""1QZ5UxyNCwadreQAXnQ7oCoH982DjIA-QnZdO7ZoqkC0/edit#gid=884617569"",""S5 Totals!$A$2:$O$255""),13,FALSE)"),"")</f>
        <v/>
      </c>
      <c r="Q73" s="15" t="str">
        <f>IFERROR(__xludf.DUMMYFUNCTION("VLOOKUP(A73,IMPORTRANGE(""1QZ5UxyNCwadreQAXnQ7oCoH982DjIA-QnZdO7ZoqkC0/edit#gid=884617569"",""S5 Totals!$A$2:$O$255""),14,FALSE)"),"")</f>
        <v/>
      </c>
      <c r="R73" s="110"/>
    </row>
    <row r="74">
      <c r="A74" s="128" t="s">
        <v>173</v>
      </c>
      <c r="B74" s="16">
        <f>IFERROR(__xludf.DUMMYFUNCTION("VLOOKUP(A74,IMPORTRANGE(""1aFCnJY1qhIj8-JckJhDJ18aqmVo17tofpQmOjcYa3u8/edit#gid=1878241338"",""S5 Totals!$A$2:$O$255""),2,FALSE)"),5.0)</f>
        <v>5</v>
      </c>
      <c r="C74" s="15">
        <f>IFERROR(__xludf.DUMMYFUNCTION("VLOOKUP(A74,IMPORTRANGE(""1aFCnJY1qhIj8-JckJhDJ18aqmVo17tofpQmOjcYa3u8/edit#gid=1878241338"",""S5 Totals!$A$2:$O$255""),3,FALSE)"),0.060240963855421686)</f>
        <v>0.06024096386</v>
      </c>
      <c r="D74" s="16">
        <f>IFERROR(__xludf.DUMMYFUNCTION("VLOOKUP(A74,IMPORTRANGE(""1QZ5UxyNCwadreQAXnQ7oCoH982DjIA-QnZdO7ZoqkC0/edit#gid=884617569"",""S5 Totals!$A$2:$O$255""),2,FALSE)"),1.0)</f>
        <v>1</v>
      </c>
      <c r="E74" s="15">
        <f>IFERROR(__xludf.DUMMYFUNCTION("VLOOKUP(A74,IMPORTRANGE(""1QZ5UxyNCwadreQAXnQ7oCoH982DjIA-QnZdO7ZoqkC0/edit#gid=884617569"",""S5 Totals!$A$2:$O$255""),3,FALSE)"),0.012048192771084338)</f>
        <v>0.01204819277</v>
      </c>
      <c r="F74" s="146">
        <f t="shared" si="1"/>
        <v>0.04819277108</v>
      </c>
      <c r="G74" s="16">
        <f>IFERROR(__xludf.DUMMYFUNCTION("VLOOKUP(A74,IMPORTRANGE(""1QZ5UxyNCwadreQAXnQ7oCoH982DjIA-QnZdO7ZoqkC0/edit#gid=884617569"",""S5 Totals!$A$2:$O$255""),4,FALSE)"),0.0)</f>
        <v>0</v>
      </c>
      <c r="H74" s="15">
        <f>IFERROR(__xludf.DUMMYFUNCTION("VLOOKUP(A74,IMPORTRANGE(""1QZ5UxyNCwadreQAXnQ7oCoH982DjIA-QnZdO7ZoqkC0/edit#gid=884617569"",""S5 Totals!$A$2:$O$255""),5,FALSE)"),0.0)</f>
        <v>0</v>
      </c>
      <c r="I74" s="143"/>
      <c r="J74" s="16">
        <f>IFERROR(__xludf.DUMMYFUNCTION("VLOOKUP(A74,IMPORTRANGE(""1QZ5UxyNCwadreQAXnQ7oCoH982DjIA-QnZdO7ZoqkC0/edit#gid=884617569"",""S5 Totals!$A$2:$O$255""),7,FALSE)"),0.0)</f>
        <v>0</v>
      </c>
      <c r="K74" s="15">
        <f>IFERROR(__xludf.DUMMYFUNCTION("VLOOKUP(A74,IMPORTRANGE(""1QZ5UxyNCwadreQAXnQ7oCoH982DjIA-QnZdO7ZoqkC0/edit#gid=884617569"",""S5 Totals!$A$2:$O$255""),8,FALSE)"),0.0)</f>
        <v>0</v>
      </c>
      <c r="L74" s="147"/>
      <c r="M74" s="16" t="str">
        <f>IFERROR(__xludf.DUMMYFUNCTION("VLOOKUP(A74,IMPORTRANGE(""1QZ5UxyNCwadreQAXnQ7oCoH982DjIA-QnZdO7ZoqkC0/edit#gid=884617569"",""S5 Totals!$A$2:$O$255""),10,FALSE)"),"")</f>
        <v/>
      </c>
      <c r="N74" s="15" t="str">
        <f>IFERROR(__xludf.DUMMYFUNCTION("VLOOKUP(A74,IMPORTRANGE(""1QZ5UxyNCwadreQAXnQ7oCoH982DjIA-QnZdO7ZoqkC0/edit#gid=884617569"",""S5 Totals!$A$2:$O$255""),11,FALSE)"),"")</f>
        <v/>
      </c>
      <c r="O74" s="110"/>
      <c r="P74" s="16" t="str">
        <f>IFERROR(__xludf.DUMMYFUNCTION("VLOOKUP(A74,IMPORTRANGE(""1QZ5UxyNCwadreQAXnQ7oCoH982DjIA-QnZdO7ZoqkC0/edit#gid=884617569"",""S5 Totals!$A$2:$O$255""),13,FALSE)"),"")</f>
        <v/>
      </c>
      <c r="Q74" s="15" t="str">
        <f>IFERROR(__xludf.DUMMYFUNCTION("VLOOKUP(A74,IMPORTRANGE(""1QZ5UxyNCwadreQAXnQ7oCoH982DjIA-QnZdO7ZoqkC0/edit#gid=884617569"",""S5 Totals!$A$2:$O$255""),14,FALSE)"),"")</f>
        <v/>
      </c>
      <c r="R74" s="110"/>
    </row>
    <row r="75">
      <c r="A75" s="128" t="s">
        <v>125</v>
      </c>
      <c r="B75" s="16">
        <f>IFERROR(__xludf.DUMMYFUNCTION("VLOOKUP(A75,IMPORTRANGE(""1aFCnJY1qhIj8-JckJhDJ18aqmVo17tofpQmOjcYa3u8/edit#gid=1878241338"",""S5 Totals!$A$2:$O$255""),2,FALSE)"),16.0)</f>
        <v>16</v>
      </c>
      <c r="C75" s="15">
        <f>IFERROR(__xludf.DUMMYFUNCTION("VLOOKUP(A75,IMPORTRANGE(""1aFCnJY1qhIj8-JckJhDJ18aqmVo17tofpQmOjcYa3u8/edit#gid=1878241338"",""S5 Totals!$A$2:$O$255""),3,FALSE)"),0.1927710843373494)</f>
        <v>0.1927710843</v>
      </c>
      <c r="D75" s="16">
        <f>IFERROR(__xludf.DUMMYFUNCTION("VLOOKUP(A75,IMPORTRANGE(""1QZ5UxyNCwadreQAXnQ7oCoH982DjIA-QnZdO7ZoqkC0/edit#gid=884617569"",""S5 Totals!$A$2:$O$255""),2,FALSE)"),18.0)</f>
        <v>18</v>
      </c>
      <c r="E75" s="15">
        <f>IFERROR(__xludf.DUMMYFUNCTION("VLOOKUP(A75,IMPORTRANGE(""1QZ5UxyNCwadreQAXnQ7oCoH982DjIA-QnZdO7ZoqkC0/edit#gid=884617569"",""S5 Totals!$A$2:$O$255""),3,FALSE)"),0.21686746987951808)</f>
        <v>0.2168674699</v>
      </c>
      <c r="F75" s="146">
        <f t="shared" si="1"/>
        <v>-0.02409638554</v>
      </c>
      <c r="G75" s="16">
        <f>IFERROR(__xludf.DUMMYFUNCTION("VLOOKUP(A75,IMPORTRANGE(""1QZ5UxyNCwadreQAXnQ7oCoH982DjIA-QnZdO7ZoqkC0/edit#gid=884617569"",""S5 Totals!$A$2:$O$255""),4,FALSE)"),10.0)</f>
        <v>10</v>
      </c>
      <c r="H75" s="15">
        <f>IFERROR(__xludf.DUMMYFUNCTION("VLOOKUP(A75,IMPORTRANGE(""1QZ5UxyNCwadreQAXnQ7oCoH982DjIA-QnZdO7ZoqkC0/edit#gid=884617569"",""S5 Totals!$A$2:$O$255""),5,FALSE)"),0.20408163265306123)</f>
        <v>0.2040816327</v>
      </c>
      <c r="I75" s="143"/>
      <c r="J75" s="16">
        <f>IFERROR(__xludf.DUMMYFUNCTION("VLOOKUP(A75,IMPORTRANGE(""1QZ5UxyNCwadreQAXnQ7oCoH982DjIA-QnZdO7ZoqkC0/edit#gid=884617569"",""S5 Totals!$A$2:$O$255""),7,FALSE)"),7.0)</f>
        <v>7</v>
      </c>
      <c r="K75" s="15">
        <f>IFERROR(__xludf.DUMMYFUNCTION("VLOOKUP(A75,IMPORTRANGE(""1QZ5UxyNCwadreQAXnQ7oCoH982DjIA-QnZdO7ZoqkC0/edit#gid=884617569"",""S5 Totals!$A$2:$O$255""),8,FALSE)"),0.20588235294117646)</f>
        <v>0.2058823529</v>
      </c>
      <c r="L75" s="147"/>
      <c r="M75" s="16">
        <f>IFERROR(__xludf.DUMMYFUNCTION("VLOOKUP(A75,IMPORTRANGE(""1QZ5UxyNCwadreQAXnQ7oCoH982DjIA-QnZdO7ZoqkC0/edit#gid=884617569"",""S5 Totals!$A$2:$O$255""),10,FALSE)"),4.0)</f>
        <v>4</v>
      </c>
      <c r="N75" s="15">
        <f>IFERROR(__xludf.DUMMYFUNCTION("VLOOKUP(A75,IMPORTRANGE(""1QZ5UxyNCwadreQAXnQ7oCoH982DjIA-QnZdO7ZoqkC0/edit#gid=884617569"",""S5 Totals!$A$2:$O$255""),11,FALSE)"),0.13333333333333333)</f>
        <v>0.1333333333</v>
      </c>
      <c r="O75" s="110"/>
      <c r="P75" s="16" t="str">
        <f>IFERROR(__xludf.DUMMYFUNCTION("VLOOKUP(A75,IMPORTRANGE(""1QZ5UxyNCwadreQAXnQ7oCoH982DjIA-QnZdO7ZoqkC0/edit#gid=884617569"",""S5 Totals!$A$2:$O$255""),13,FALSE)"),"")</f>
        <v/>
      </c>
      <c r="Q75" s="15" t="str">
        <f>IFERROR(__xludf.DUMMYFUNCTION("VLOOKUP(A75,IMPORTRANGE(""1QZ5UxyNCwadreQAXnQ7oCoH982DjIA-QnZdO7ZoqkC0/edit#gid=884617569"",""S5 Totals!$A$2:$O$255""),14,FALSE)"),"")</f>
        <v/>
      </c>
      <c r="R75" s="110"/>
    </row>
    <row r="76">
      <c r="A76" s="128" t="s">
        <v>299</v>
      </c>
      <c r="B76" s="16">
        <f>IFERROR(__xludf.DUMMYFUNCTION("VLOOKUP(A76,IMPORTRANGE(""1aFCnJY1qhIj8-JckJhDJ18aqmVo17tofpQmOjcYa3u8/edit#gid=1878241338"",""S5 Totals!$A$2:$O$255""),2,FALSE)"),0.0)</f>
        <v>0</v>
      </c>
      <c r="C76" s="15">
        <f>IFERROR(__xludf.DUMMYFUNCTION("VLOOKUP(A76,IMPORTRANGE(""1aFCnJY1qhIj8-JckJhDJ18aqmVo17tofpQmOjcYa3u8/edit#gid=1878241338"",""S5 Totals!$A$2:$O$255""),3,FALSE)"),0.0)</f>
        <v>0</v>
      </c>
      <c r="D76" s="16">
        <f>IFERROR(__xludf.DUMMYFUNCTION("VLOOKUP(A76,IMPORTRANGE(""1QZ5UxyNCwadreQAXnQ7oCoH982DjIA-QnZdO7ZoqkC0/edit#gid=884617569"",""S5 Totals!$A$2:$O$255""),2,FALSE)"),0.0)</f>
        <v>0</v>
      </c>
      <c r="E76" s="15">
        <f>IFERROR(__xludf.DUMMYFUNCTION("VLOOKUP(A76,IMPORTRANGE(""1QZ5UxyNCwadreQAXnQ7oCoH982DjIA-QnZdO7ZoqkC0/edit#gid=884617569"",""S5 Totals!$A$2:$O$255""),3,FALSE)"),0.0)</f>
        <v>0</v>
      </c>
      <c r="F76" s="146">
        <f t="shared" si="1"/>
        <v>0</v>
      </c>
      <c r="G76" s="16">
        <f>IFERROR(__xludf.DUMMYFUNCTION("VLOOKUP(A76,IMPORTRANGE(""1QZ5UxyNCwadreQAXnQ7oCoH982DjIA-QnZdO7ZoqkC0/edit#gid=884617569"",""S5 Totals!$A$2:$O$255""),4,FALSE)"),0.0)</f>
        <v>0</v>
      </c>
      <c r="H76" s="15">
        <f>IFERROR(__xludf.DUMMYFUNCTION("VLOOKUP(A76,IMPORTRANGE(""1QZ5UxyNCwadreQAXnQ7oCoH982DjIA-QnZdO7ZoqkC0/edit#gid=884617569"",""S5 Totals!$A$2:$O$255""),5,FALSE)"),0.0)</f>
        <v>0</v>
      </c>
      <c r="I76" s="143"/>
      <c r="J76" s="16">
        <f>IFERROR(__xludf.DUMMYFUNCTION("VLOOKUP(A76,IMPORTRANGE(""1QZ5UxyNCwadreQAXnQ7oCoH982DjIA-QnZdO7ZoqkC0/edit#gid=884617569"",""S5 Totals!$A$2:$O$255""),7,FALSE)"),0.0)</f>
        <v>0</v>
      </c>
      <c r="K76" s="15">
        <f>IFERROR(__xludf.DUMMYFUNCTION("VLOOKUP(A76,IMPORTRANGE(""1QZ5UxyNCwadreQAXnQ7oCoH982DjIA-QnZdO7ZoqkC0/edit#gid=884617569"",""S5 Totals!$A$2:$O$255""),8,FALSE)"),0.0)</f>
        <v>0</v>
      </c>
      <c r="L76" s="147"/>
      <c r="M76" s="16" t="str">
        <f>IFERROR(__xludf.DUMMYFUNCTION("VLOOKUP(A76,IMPORTRANGE(""1QZ5UxyNCwadreQAXnQ7oCoH982DjIA-QnZdO7ZoqkC0/edit#gid=884617569"",""S5 Totals!$A$2:$O$255""),10,FALSE)"),"")</f>
        <v/>
      </c>
      <c r="N76" s="15" t="str">
        <f>IFERROR(__xludf.DUMMYFUNCTION("VLOOKUP(A76,IMPORTRANGE(""1QZ5UxyNCwadreQAXnQ7oCoH982DjIA-QnZdO7ZoqkC0/edit#gid=884617569"",""S5 Totals!$A$2:$O$255""),11,FALSE)"),"")</f>
        <v/>
      </c>
      <c r="O76" s="110"/>
      <c r="P76" s="16" t="str">
        <f>IFERROR(__xludf.DUMMYFUNCTION("VLOOKUP(A76,IMPORTRANGE(""1QZ5UxyNCwadreQAXnQ7oCoH982DjIA-QnZdO7ZoqkC0/edit#gid=884617569"",""S5 Totals!$A$2:$O$255""),13,FALSE)"),"")</f>
        <v/>
      </c>
      <c r="Q76" s="15" t="str">
        <f>IFERROR(__xludf.DUMMYFUNCTION("VLOOKUP(A76,IMPORTRANGE(""1QZ5UxyNCwadreQAXnQ7oCoH982DjIA-QnZdO7ZoqkC0/edit#gid=884617569"",""S5 Totals!$A$2:$O$255""),14,FALSE)"),"")</f>
        <v/>
      </c>
      <c r="R76" s="110"/>
    </row>
    <row r="77">
      <c r="A77" s="128" t="s">
        <v>47</v>
      </c>
      <c r="B77" s="16">
        <f>IFERROR(__xludf.DUMMYFUNCTION("VLOOKUP(A77,IMPORTRANGE(""1aFCnJY1qhIj8-JckJhDJ18aqmVo17tofpQmOjcYa3u8/edit#gid=1878241338"",""S5 Totals!$A$2:$O$255""),2,FALSE)"),10.0)</f>
        <v>10</v>
      </c>
      <c r="C77" s="15">
        <f>IFERROR(__xludf.DUMMYFUNCTION("VLOOKUP(A77,IMPORTRANGE(""1aFCnJY1qhIj8-JckJhDJ18aqmVo17tofpQmOjcYa3u8/edit#gid=1878241338"",""S5 Totals!$A$2:$O$255""),3,FALSE)"),0.12048192771084337)</f>
        <v>0.1204819277</v>
      </c>
      <c r="D77" s="16">
        <f>IFERROR(__xludf.DUMMYFUNCTION("VLOOKUP(A77,IMPORTRANGE(""1QZ5UxyNCwadreQAXnQ7oCoH982DjIA-QnZdO7ZoqkC0/edit#gid=884617569"",""S5 Totals!$A$2:$O$255""),2,FALSE)"),4.0)</f>
        <v>4</v>
      </c>
      <c r="E77" s="15">
        <f>IFERROR(__xludf.DUMMYFUNCTION("VLOOKUP(A77,IMPORTRANGE(""1QZ5UxyNCwadreQAXnQ7oCoH982DjIA-QnZdO7ZoqkC0/edit#gid=884617569"",""S5 Totals!$A$2:$O$255""),3,FALSE)"),0.04819277108433735)</f>
        <v>0.04819277108</v>
      </c>
      <c r="F77" s="146">
        <f t="shared" si="1"/>
        <v>0.07228915663</v>
      </c>
      <c r="G77" s="16">
        <f>IFERROR(__xludf.DUMMYFUNCTION("VLOOKUP(A77,IMPORTRANGE(""1QZ5UxyNCwadreQAXnQ7oCoH982DjIA-QnZdO7ZoqkC0/edit#gid=884617569"",""S5 Totals!$A$2:$O$255""),4,FALSE)"),0.0)</f>
        <v>0</v>
      </c>
      <c r="H77" s="15">
        <f>IFERROR(__xludf.DUMMYFUNCTION("VLOOKUP(A77,IMPORTRANGE(""1QZ5UxyNCwadreQAXnQ7oCoH982DjIA-QnZdO7ZoqkC0/edit#gid=884617569"",""S5 Totals!$A$2:$O$255""),5,FALSE)"),0.0)</f>
        <v>0</v>
      </c>
      <c r="I77" s="143"/>
      <c r="J77" s="16">
        <f>IFERROR(__xludf.DUMMYFUNCTION("VLOOKUP(A77,IMPORTRANGE(""1QZ5UxyNCwadreQAXnQ7oCoH982DjIA-QnZdO7ZoqkC0/edit#gid=884617569"",""S5 Totals!$A$2:$O$255""),7,FALSE)"),0.0)</f>
        <v>0</v>
      </c>
      <c r="K77" s="15">
        <f>IFERROR(__xludf.DUMMYFUNCTION("VLOOKUP(A77,IMPORTRANGE(""1QZ5UxyNCwadreQAXnQ7oCoH982DjIA-QnZdO7ZoqkC0/edit#gid=884617569"",""S5 Totals!$A$2:$O$255""),8,FALSE)"),0.0)</f>
        <v>0</v>
      </c>
      <c r="L77" s="147"/>
      <c r="M77" s="16">
        <f>IFERROR(__xludf.DUMMYFUNCTION("VLOOKUP(A77,IMPORTRANGE(""1QZ5UxyNCwadreQAXnQ7oCoH982DjIA-QnZdO7ZoqkC0/edit#gid=884617569"",""S5 Totals!$A$2:$O$255""),10,FALSE)"),0.0)</f>
        <v>0</v>
      </c>
      <c r="N77" s="15">
        <f>IFERROR(__xludf.DUMMYFUNCTION("VLOOKUP(A77,IMPORTRANGE(""1QZ5UxyNCwadreQAXnQ7oCoH982DjIA-QnZdO7ZoqkC0/edit#gid=884617569"",""S5 Totals!$A$2:$O$255""),11,FALSE)"),0.0)</f>
        <v>0</v>
      </c>
      <c r="O77" s="110"/>
      <c r="P77" s="16">
        <f>IFERROR(__xludf.DUMMYFUNCTION("VLOOKUP(A77,IMPORTRANGE(""1QZ5UxyNCwadreQAXnQ7oCoH982DjIA-QnZdO7ZoqkC0/edit#gid=884617569"",""S5 Totals!$A$2:$O$255""),13,FALSE)"),0.0)</f>
        <v>0</v>
      </c>
      <c r="Q77" s="15">
        <f>IFERROR(__xludf.DUMMYFUNCTION("VLOOKUP(A77,IMPORTRANGE(""1QZ5UxyNCwadreQAXnQ7oCoH982DjIA-QnZdO7ZoqkC0/edit#gid=884617569"",""S5 Totals!$A$2:$O$255""),14,FALSE)"),0.0)</f>
        <v>0</v>
      </c>
      <c r="R77" s="110"/>
    </row>
    <row r="78">
      <c r="A78" s="128" t="s">
        <v>48</v>
      </c>
      <c r="B78" s="16">
        <f>IFERROR(__xludf.DUMMYFUNCTION("VLOOKUP(A78,IMPORTRANGE(""1aFCnJY1qhIj8-JckJhDJ18aqmVo17tofpQmOjcYa3u8/edit#gid=1878241338"",""S5 Totals!$A$2:$O$255""),2,FALSE)"),27.0)</f>
        <v>27</v>
      </c>
      <c r="C78" s="15">
        <f>IFERROR(__xludf.DUMMYFUNCTION("VLOOKUP(A78,IMPORTRANGE(""1aFCnJY1qhIj8-JckJhDJ18aqmVo17tofpQmOjcYa3u8/edit#gid=1878241338"",""S5 Totals!$A$2:$O$255""),3,FALSE)"),0.3253012048192771)</f>
        <v>0.3253012048</v>
      </c>
      <c r="D78" s="16">
        <f>IFERROR(__xludf.DUMMYFUNCTION("VLOOKUP(A78,IMPORTRANGE(""1QZ5UxyNCwadreQAXnQ7oCoH982DjIA-QnZdO7ZoqkC0/edit#gid=884617569"",""S5 Totals!$A$2:$O$255""),2,FALSE)"),27.0)</f>
        <v>27</v>
      </c>
      <c r="E78" s="15">
        <f>IFERROR(__xludf.DUMMYFUNCTION("VLOOKUP(A78,IMPORTRANGE(""1QZ5UxyNCwadreQAXnQ7oCoH982DjIA-QnZdO7ZoqkC0/edit#gid=884617569"",""S5 Totals!$A$2:$O$255""),3,FALSE)"),0.3253012048192771)</f>
        <v>0.3253012048</v>
      </c>
      <c r="F78" s="146">
        <f t="shared" si="1"/>
        <v>0</v>
      </c>
      <c r="G78" s="16">
        <f>IFERROR(__xludf.DUMMYFUNCTION("VLOOKUP(A78,IMPORTRANGE(""1QZ5UxyNCwadreQAXnQ7oCoH982DjIA-QnZdO7ZoqkC0/edit#gid=884617569"",""S5 Totals!$A$2:$O$255""),4,FALSE)"),19.0)</f>
        <v>19</v>
      </c>
      <c r="H78" s="15">
        <f>IFERROR(__xludf.DUMMYFUNCTION("VLOOKUP(A78,IMPORTRANGE(""1QZ5UxyNCwadreQAXnQ7oCoH982DjIA-QnZdO7ZoqkC0/edit#gid=884617569"",""S5 Totals!$A$2:$O$255""),5,FALSE)"),0.3877551020408163)</f>
        <v>0.387755102</v>
      </c>
      <c r="I78" s="143"/>
      <c r="J78" s="16">
        <f>IFERROR(__xludf.DUMMYFUNCTION("VLOOKUP(A78,IMPORTRANGE(""1QZ5UxyNCwadreQAXnQ7oCoH982DjIA-QnZdO7ZoqkC0/edit#gid=884617569"",""S5 Totals!$A$2:$O$255""),7,FALSE)"),15.0)</f>
        <v>15</v>
      </c>
      <c r="K78" s="15">
        <f>IFERROR(__xludf.DUMMYFUNCTION("VLOOKUP(A78,IMPORTRANGE(""1QZ5UxyNCwadreQAXnQ7oCoH982DjIA-QnZdO7ZoqkC0/edit#gid=884617569"",""S5 Totals!$A$2:$O$255""),8,FALSE)"),0.4411764705882353)</f>
        <v>0.4411764706</v>
      </c>
      <c r="L78" s="147"/>
      <c r="M78" s="16">
        <f>IFERROR(__xludf.DUMMYFUNCTION("VLOOKUP(A78,IMPORTRANGE(""1QZ5UxyNCwadreQAXnQ7oCoH982DjIA-QnZdO7ZoqkC0/edit#gid=884617569"",""S5 Totals!$A$2:$O$255""),10,FALSE)"),7.0)</f>
        <v>7</v>
      </c>
      <c r="N78" s="15">
        <f>IFERROR(__xludf.DUMMYFUNCTION("VLOOKUP(A78,IMPORTRANGE(""1QZ5UxyNCwadreQAXnQ7oCoH982DjIA-QnZdO7ZoqkC0/edit#gid=884617569"",""S5 Totals!$A$2:$O$255""),11,FALSE)"),0.23333333333333334)</f>
        <v>0.2333333333</v>
      </c>
      <c r="O78" s="110"/>
      <c r="P78" s="16">
        <f>IFERROR(__xludf.DUMMYFUNCTION("VLOOKUP(A78,IMPORTRANGE(""1QZ5UxyNCwadreQAXnQ7oCoH982DjIA-QnZdO7ZoqkC0/edit#gid=884617569"",""S5 Totals!$A$2:$O$255""),13,FALSE)"),4.0)</f>
        <v>4</v>
      </c>
      <c r="Q78" s="15">
        <f>IFERROR(__xludf.DUMMYFUNCTION("VLOOKUP(A78,IMPORTRANGE(""1QZ5UxyNCwadreQAXnQ7oCoH982DjIA-QnZdO7ZoqkC0/edit#gid=884617569"",""S5 Totals!$A$2:$O$255""),14,FALSE)"),0.14285714285714285)</f>
        <v>0.1428571429</v>
      </c>
      <c r="R78" s="110"/>
    </row>
    <row r="79">
      <c r="A79" s="128" t="s">
        <v>71</v>
      </c>
      <c r="B79" s="16">
        <f>IFERROR(__xludf.DUMMYFUNCTION("VLOOKUP(A79,IMPORTRANGE(""1aFCnJY1qhIj8-JckJhDJ18aqmVo17tofpQmOjcYa3u8/edit#gid=1878241338"",""S5 Totals!$A$2:$O$255""),2,FALSE)"),0.0)</f>
        <v>0</v>
      </c>
      <c r="C79" s="15">
        <f>IFERROR(__xludf.DUMMYFUNCTION("VLOOKUP(A79,IMPORTRANGE(""1aFCnJY1qhIj8-JckJhDJ18aqmVo17tofpQmOjcYa3u8/edit#gid=1878241338"",""S5 Totals!$A$2:$O$255""),3,FALSE)"),0.0)</f>
        <v>0</v>
      </c>
      <c r="D79" s="16">
        <f>IFERROR(__xludf.DUMMYFUNCTION("VLOOKUP(A79,IMPORTRANGE(""1QZ5UxyNCwadreQAXnQ7oCoH982DjIA-QnZdO7ZoqkC0/edit#gid=884617569"",""S5 Totals!$A$2:$O$255""),2,FALSE)"),0.0)</f>
        <v>0</v>
      </c>
      <c r="E79" s="15">
        <f>IFERROR(__xludf.DUMMYFUNCTION("VLOOKUP(A79,IMPORTRANGE(""1QZ5UxyNCwadreQAXnQ7oCoH982DjIA-QnZdO7ZoqkC0/edit#gid=884617569"",""S5 Totals!$A$2:$O$255""),3,FALSE)"),0.0)</f>
        <v>0</v>
      </c>
      <c r="F79" s="146">
        <f t="shared" si="1"/>
        <v>0</v>
      </c>
      <c r="G79" s="16">
        <f>IFERROR(__xludf.DUMMYFUNCTION("VLOOKUP(A79,IMPORTRANGE(""1QZ5UxyNCwadreQAXnQ7oCoH982DjIA-QnZdO7ZoqkC0/edit#gid=884617569"",""S5 Totals!$A$2:$O$255""),4,FALSE)"),0.0)</f>
        <v>0</v>
      </c>
      <c r="H79" s="15">
        <f>IFERROR(__xludf.DUMMYFUNCTION("VLOOKUP(A79,IMPORTRANGE(""1QZ5UxyNCwadreQAXnQ7oCoH982DjIA-QnZdO7ZoqkC0/edit#gid=884617569"",""S5 Totals!$A$2:$O$255""),5,FALSE)"),0.0)</f>
        <v>0</v>
      </c>
      <c r="I79" s="143"/>
      <c r="J79" s="16">
        <f>IFERROR(__xludf.DUMMYFUNCTION("VLOOKUP(A79,IMPORTRANGE(""1QZ5UxyNCwadreQAXnQ7oCoH982DjIA-QnZdO7ZoqkC0/edit#gid=884617569"",""S5 Totals!$A$2:$O$255""),7,FALSE)"),0.0)</f>
        <v>0</v>
      </c>
      <c r="K79" s="15">
        <f>IFERROR(__xludf.DUMMYFUNCTION("VLOOKUP(A79,IMPORTRANGE(""1QZ5UxyNCwadreQAXnQ7oCoH982DjIA-QnZdO7ZoqkC0/edit#gid=884617569"",""S5 Totals!$A$2:$O$255""),8,FALSE)"),0.0)</f>
        <v>0</v>
      </c>
      <c r="L79" s="147"/>
      <c r="M79" s="16">
        <f>IFERROR(__xludf.DUMMYFUNCTION("VLOOKUP(A79,IMPORTRANGE(""1QZ5UxyNCwadreQAXnQ7oCoH982DjIA-QnZdO7ZoqkC0/edit#gid=884617569"",""S5 Totals!$A$2:$O$255""),10,FALSE)"),0.0)</f>
        <v>0</v>
      </c>
      <c r="N79" s="15">
        <f>IFERROR(__xludf.DUMMYFUNCTION("VLOOKUP(A79,IMPORTRANGE(""1QZ5UxyNCwadreQAXnQ7oCoH982DjIA-QnZdO7ZoqkC0/edit#gid=884617569"",""S5 Totals!$A$2:$O$255""),11,FALSE)"),0.0)</f>
        <v>0</v>
      </c>
      <c r="O79" s="110"/>
      <c r="P79" s="16">
        <f>IFERROR(__xludf.DUMMYFUNCTION("VLOOKUP(A79,IMPORTRANGE(""1QZ5UxyNCwadreQAXnQ7oCoH982DjIA-QnZdO7ZoqkC0/edit#gid=884617569"",""S5 Totals!$A$2:$O$255""),13,FALSE)"),0.0)</f>
        <v>0</v>
      </c>
      <c r="Q79" s="15">
        <f>IFERROR(__xludf.DUMMYFUNCTION("VLOOKUP(A79,IMPORTRANGE(""1QZ5UxyNCwadreQAXnQ7oCoH982DjIA-QnZdO7ZoqkC0/edit#gid=884617569"",""S5 Totals!$A$2:$O$255""),14,FALSE)"),0.0)</f>
        <v>0</v>
      </c>
      <c r="R79" s="110"/>
    </row>
    <row r="80">
      <c r="A80" s="128" t="s">
        <v>126</v>
      </c>
      <c r="B80" s="16">
        <f>IFERROR(__xludf.DUMMYFUNCTION("VLOOKUP(A80,IMPORTRANGE(""1aFCnJY1qhIj8-JckJhDJ18aqmVo17tofpQmOjcYa3u8/edit#gid=1878241338"",""S5 Totals!$A$2:$O$255""),2,FALSE)"),10.0)</f>
        <v>10</v>
      </c>
      <c r="C80" s="15">
        <f>IFERROR(__xludf.DUMMYFUNCTION("VLOOKUP(A80,IMPORTRANGE(""1aFCnJY1qhIj8-JckJhDJ18aqmVo17tofpQmOjcYa3u8/edit#gid=1878241338"",""S5 Totals!$A$2:$O$255""),3,FALSE)"),0.12048192771084337)</f>
        <v>0.1204819277</v>
      </c>
      <c r="D80" s="16">
        <f>IFERROR(__xludf.DUMMYFUNCTION("VLOOKUP(A80,IMPORTRANGE(""1QZ5UxyNCwadreQAXnQ7oCoH982DjIA-QnZdO7ZoqkC0/edit#gid=884617569"",""S5 Totals!$A$2:$O$255""),2,FALSE)"),9.0)</f>
        <v>9</v>
      </c>
      <c r="E80" s="15">
        <f>IFERROR(__xludf.DUMMYFUNCTION("VLOOKUP(A80,IMPORTRANGE(""1QZ5UxyNCwadreQAXnQ7oCoH982DjIA-QnZdO7ZoqkC0/edit#gid=884617569"",""S5 Totals!$A$2:$O$255""),3,FALSE)"),0.10843373493975904)</f>
        <v>0.1084337349</v>
      </c>
      <c r="F80" s="146">
        <f t="shared" si="1"/>
        <v>0.01204819277</v>
      </c>
      <c r="G80" s="16">
        <f>IFERROR(__xludf.DUMMYFUNCTION("VLOOKUP(A80,IMPORTRANGE(""1QZ5UxyNCwadreQAXnQ7oCoH982DjIA-QnZdO7ZoqkC0/edit#gid=884617569"",""S5 Totals!$A$2:$O$255""),4,FALSE)"),4.0)</f>
        <v>4</v>
      </c>
      <c r="H80" s="15">
        <f>IFERROR(__xludf.DUMMYFUNCTION("VLOOKUP(A80,IMPORTRANGE(""1QZ5UxyNCwadreQAXnQ7oCoH982DjIA-QnZdO7ZoqkC0/edit#gid=884617569"",""S5 Totals!$A$2:$O$255""),5,FALSE)"),0.08163265306122448)</f>
        <v>0.08163265306</v>
      </c>
      <c r="I80" s="143"/>
      <c r="J80" s="16">
        <f>IFERROR(__xludf.DUMMYFUNCTION("VLOOKUP(A80,IMPORTRANGE(""1QZ5UxyNCwadreQAXnQ7oCoH982DjIA-QnZdO7ZoqkC0/edit#gid=884617569"",""S5 Totals!$A$2:$O$255""),7,FALSE)"),6.0)</f>
        <v>6</v>
      </c>
      <c r="K80" s="15">
        <f>IFERROR(__xludf.DUMMYFUNCTION("VLOOKUP(A80,IMPORTRANGE(""1QZ5UxyNCwadreQAXnQ7oCoH982DjIA-QnZdO7ZoqkC0/edit#gid=884617569"",""S5 Totals!$A$2:$O$255""),8,FALSE)"),0.17647058823529413)</f>
        <v>0.1764705882</v>
      </c>
      <c r="L80" s="147"/>
      <c r="M80" s="16">
        <f>IFERROR(__xludf.DUMMYFUNCTION("VLOOKUP(A80,IMPORTRANGE(""1QZ5UxyNCwadreQAXnQ7oCoH982DjIA-QnZdO7ZoqkC0/edit#gid=884617569"",""S5 Totals!$A$2:$O$255""),10,FALSE)"),3.0)</f>
        <v>3</v>
      </c>
      <c r="N80" s="15">
        <f>IFERROR(__xludf.DUMMYFUNCTION("VLOOKUP(A80,IMPORTRANGE(""1QZ5UxyNCwadreQAXnQ7oCoH982DjIA-QnZdO7ZoqkC0/edit#gid=884617569"",""S5 Totals!$A$2:$O$255""),11,FALSE)"),0.1)</f>
        <v>0.1</v>
      </c>
      <c r="O80" s="110"/>
      <c r="P80" s="16" t="str">
        <f>IFERROR(__xludf.DUMMYFUNCTION("VLOOKUP(A80,IMPORTRANGE(""1QZ5UxyNCwadreQAXnQ7oCoH982DjIA-QnZdO7ZoqkC0/edit#gid=884617569"",""S5 Totals!$A$2:$O$255""),13,FALSE)"),"")</f>
        <v/>
      </c>
      <c r="Q80" s="15" t="str">
        <f>IFERROR(__xludf.DUMMYFUNCTION("VLOOKUP(A80,IMPORTRANGE(""1QZ5UxyNCwadreQAXnQ7oCoH982DjIA-QnZdO7ZoqkC0/edit#gid=884617569"",""S5 Totals!$A$2:$O$255""),14,FALSE)"),"")</f>
        <v/>
      </c>
      <c r="R80" s="110"/>
    </row>
    <row r="81">
      <c r="A81" s="128" t="s">
        <v>174</v>
      </c>
      <c r="B81" s="16">
        <f>IFERROR(__xludf.DUMMYFUNCTION("VLOOKUP(A81,IMPORTRANGE(""1aFCnJY1qhIj8-JckJhDJ18aqmVo17tofpQmOjcYa3u8/edit#gid=1878241338"",""S5 Totals!$A$2:$O$255""),2,FALSE)"),6.0)</f>
        <v>6</v>
      </c>
      <c r="C81" s="15">
        <f>IFERROR(__xludf.DUMMYFUNCTION("VLOOKUP(A81,IMPORTRANGE(""1aFCnJY1qhIj8-JckJhDJ18aqmVo17tofpQmOjcYa3u8/edit#gid=1878241338"",""S5 Totals!$A$2:$O$255""),3,FALSE)"),0.07228915662650602)</f>
        <v>0.07228915663</v>
      </c>
      <c r="D81" s="16">
        <f>IFERROR(__xludf.DUMMYFUNCTION("VLOOKUP(A81,IMPORTRANGE(""1QZ5UxyNCwadreQAXnQ7oCoH982DjIA-QnZdO7ZoqkC0/edit#gid=884617569"",""S5 Totals!$A$2:$O$255""),2,FALSE)"),0.0)</f>
        <v>0</v>
      </c>
      <c r="E81" s="15">
        <f>IFERROR(__xludf.DUMMYFUNCTION("VLOOKUP(A81,IMPORTRANGE(""1QZ5UxyNCwadreQAXnQ7oCoH982DjIA-QnZdO7ZoqkC0/edit#gid=884617569"",""S5 Totals!$A$2:$O$255""),3,FALSE)"),0.0)</f>
        <v>0</v>
      </c>
      <c r="F81" s="146">
        <f t="shared" si="1"/>
        <v>0.07228915663</v>
      </c>
      <c r="G81" s="16">
        <f>IFERROR(__xludf.DUMMYFUNCTION("VLOOKUP(A81,IMPORTRANGE(""1QZ5UxyNCwadreQAXnQ7oCoH982DjIA-QnZdO7ZoqkC0/edit#gid=884617569"",""S5 Totals!$A$2:$O$255""),4,FALSE)"),0.0)</f>
        <v>0</v>
      </c>
      <c r="H81" s="15">
        <f>IFERROR(__xludf.DUMMYFUNCTION("VLOOKUP(A81,IMPORTRANGE(""1QZ5UxyNCwadreQAXnQ7oCoH982DjIA-QnZdO7ZoqkC0/edit#gid=884617569"",""S5 Totals!$A$2:$O$255""),5,FALSE)"),0.0)</f>
        <v>0</v>
      </c>
      <c r="I81" s="143"/>
      <c r="J81" s="16">
        <f>IFERROR(__xludf.DUMMYFUNCTION("VLOOKUP(A81,IMPORTRANGE(""1QZ5UxyNCwadreQAXnQ7oCoH982DjIA-QnZdO7ZoqkC0/edit#gid=884617569"",""S5 Totals!$A$2:$O$255""),7,FALSE)"),0.0)</f>
        <v>0</v>
      </c>
      <c r="K81" s="15">
        <f>IFERROR(__xludf.DUMMYFUNCTION("VLOOKUP(A81,IMPORTRANGE(""1QZ5UxyNCwadreQAXnQ7oCoH982DjIA-QnZdO7ZoqkC0/edit#gid=884617569"",""S5 Totals!$A$2:$O$255""),8,FALSE)"),0.0)</f>
        <v>0</v>
      </c>
      <c r="L81" s="147"/>
      <c r="M81" s="16" t="str">
        <f>IFERROR(__xludf.DUMMYFUNCTION("VLOOKUP(A81,IMPORTRANGE(""1QZ5UxyNCwadreQAXnQ7oCoH982DjIA-QnZdO7ZoqkC0/edit#gid=884617569"",""S5 Totals!$A$2:$O$255""),10,FALSE)"),"")</f>
        <v/>
      </c>
      <c r="N81" s="15" t="str">
        <f>IFERROR(__xludf.DUMMYFUNCTION("VLOOKUP(A81,IMPORTRANGE(""1QZ5UxyNCwadreQAXnQ7oCoH982DjIA-QnZdO7ZoqkC0/edit#gid=884617569"",""S5 Totals!$A$2:$O$255""),11,FALSE)"),"")</f>
        <v/>
      </c>
      <c r="O81" s="110"/>
      <c r="P81" s="16" t="str">
        <f>IFERROR(__xludf.DUMMYFUNCTION("VLOOKUP(A81,IMPORTRANGE(""1QZ5UxyNCwadreQAXnQ7oCoH982DjIA-QnZdO7ZoqkC0/edit#gid=884617569"",""S5 Totals!$A$2:$O$255""),13,FALSE)"),"")</f>
        <v/>
      </c>
      <c r="Q81" s="15" t="str">
        <f>IFERROR(__xludf.DUMMYFUNCTION("VLOOKUP(A81,IMPORTRANGE(""1QZ5UxyNCwadreQAXnQ7oCoH982DjIA-QnZdO7ZoqkC0/edit#gid=884617569"",""S5 Totals!$A$2:$O$255""),14,FALSE)"),"")</f>
        <v/>
      </c>
      <c r="R81" s="110"/>
    </row>
    <row r="82">
      <c r="A82" s="128" t="s">
        <v>175</v>
      </c>
      <c r="B82" s="16">
        <f>IFERROR(__xludf.DUMMYFUNCTION("VLOOKUP(A82,IMPORTRANGE(""1aFCnJY1qhIj8-JckJhDJ18aqmVo17tofpQmOjcYa3u8/edit#gid=1878241338"",""S5 Totals!$A$2:$O$255""),2,FALSE)"),2.0)</f>
        <v>2</v>
      </c>
      <c r="C82" s="15">
        <f>IFERROR(__xludf.DUMMYFUNCTION("VLOOKUP(A82,IMPORTRANGE(""1aFCnJY1qhIj8-JckJhDJ18aqmVo17tofpQmOjcYa3u8/edit#gid=1878241338"",""S5 Totals!$A$2:$O$255""),3,FALSE)"),0.024096385542168676)</f>
        <v>0.02409638554</v>
      </c>
      <c r="D82" s="16">
        <f>IFERROR(__xludf.DUMMYFUNCTION("VLOOKUP(A82,IMPORTRANGE(""1QZ5UxyNCwadreQAXnQ7oCoH982DjIA-QnZdO7ZoqkC0/edit#gid=884617569"",""S5 Totals!$A$2:$O$255""),2,FALSE)"),1.0)</f>
        <v>1</v>
      </c>
      <c r="E82" s="15">
        <f>IFERROR(__xludf.DUMMYFUNCTION("VLOOKUP(A82,IMPORTRANGE(""1QZ5UxyNCwadreQAXnQ7oCoH982DjIA-QnZdO7ZoqkC0/edit#gid=884617569"",""S5 Totals!$A$2:$O$255""),3,FALSE)"),0.012048192771084338)</f>
        <v>0.01204819277</v>
      </c>
      <c r="F82" s="146">
        <f t="shared" si="1"/>
        <v>0.01204819277</v>
      </c>
      <c r="G82" s="16">
        <f>IFERROR(__xludf.DUMMYFUNCTION("VLOOKUP(A82,IMPORTRANGE(""1QZ5UxyNCwadreQAXnQ7oCoH982DjIA-QnZdO7ZoqkC0/edit#gid=884617569"",""S5 Totals!$A$2:$O$255""),4,FALSE)"),0.0)</f>
        <v>0</v>
      </c>
      <c r="H82" s="15">
        <f>IFERROR(__xludf.DUMMYFUNCTION("VLOOKUP(A82,IMPORTRANGE(""1QZ5UxyNCwadreQAXnQ7oCoH982DjIA-QnZdO7ZoqkC0/edit#gid=884617569"",""S5 Totals!$A$2:$O$255""),5,FALSE)"),0.0)</f>
        <v>0</v>
      </c>
      <c r="I82" s="143"/>
      <c r="J82" s="16">
        <f>IFERROR(__xludf.DUMMYFUNCTION("VLOOKUP(A82,IMPORTRANGE(""1QZ5UxyNCwadreQAXnQ7oCoH982DjIA-QnZdO7ZoqkC0/edit#gid=884617569"",""S5 Totals!$A$2:$O$255""),7,FALSE)"),2.0)</f>
        <v>2</v>
      </c>
      <c r="K82" s="15">
        <f>IFERROR(__xludf.DUMMYFUNCTION("VLOOKUP(A82,IMPORTRANGE(""1QZ5UxyNCwadreQAXnQ7oCoH982DjIA-QnZdO7ZoqkC0/edit#gid=884617569"",""S5 Totals!$A$2:$O$255""),8,FALSE)"),0.058823529411764705)</f>
        <v>0.05882352941</v>
      </c>
      <c r="L82" s="147"/>
      <c r="M82" s="16" t="str">
        <f>IFERROR(__xludf.DUMMYFUNCTION("VLOOKUP(A82,IMPORTRANGE(""1QZ5UxyNCwadreQAXnQ7oCoH982DjIA-QnZdO7ZoqkC0/edit#gid=884617569"",""S5 Totals!$A$2:$O$255""),10,FALSE)"),"")</f>
        <v/>
      </c>
      <c r="N82" s="15" t="str">
        <f>IFERROR(__xludf.DUMMYFUNCTION("VLOOKUP(A82,IMPORTRANGE(""1QZ5UxyNCwadreQAXnQ7oCoH982DjIA-QnZdO7ZoqkC0/edit#gid=884617569"",""S5 Totals!$A$2:$O$255""),11,FALSE)"),"")</f>
        <v/>
      </c>
      <c r="O82" s="110"/>
      <c r="P82" s="16" t="str">
        <f>IFERROR(__xludf.DUMMYFUNCTION("VLOOKUP(A82,IMPORTRANGE(""1QZ5UxyNCwadreQAXnQ7oCoH982DjIA-QnZdO7ZoqkC0/edit#gid=884617569"",""S5 Totals!$A$2:$O$255""),13,FALSE)"),"")</f>
        <v/>
      </c>
      <c r="Q82" s="15" t="str">
        <f>IFERROR(__xludf.DUMMYFUNCTION("VLOOKUP(A82,IMPORTRANGE(""1QZ5UxyNCwadreQAXnQ7oCoH982DjIA-QnZdO7ZoqkC0/edit#gid=884617569"",""S5 Totals!$A$2:$O$255""),14,FALSE)"),"")</f>
        <v/>
      </c>
      <c r="R82" s="110"/>
    </row>
    <row r="83">
      <c r="A83" s="128" t="s">
        <v>227</v>
      </c>
      <c r="B83" s="16">
        <f>IFERROR(__xludf.DUMMYFUNCTION("VLOOKUP(A83,IMPORTRANGE(""1aFCnJY1qhIj8-JckJhDJ18aqmVo17tofpQmOjcYa3u8/edit#gid=1878241338"",""S5 Totals!$A$2:$O$255""),2,FALSE)"),0.0)</f>
        <v>0</v>
      </c>
      <c r="C83" s="15">
        <f>IFERROR(__xludf.DUMMYFUNCTION("VLOOKUP(A83,IMPORTRANGE(""1aFCnJY1qhIj8-JckJhDJ18aqmVo17tofpQmOjcYa3u8/edit#gid=1878241338"",""S5 Totals!$A$2:$O$255""),3,FALSE)"),0.0)</f>
        <v>0</v>
      </c>
      <c r="D83" s="16">
        <f>IFERROR(__xludf.DUMMYFUNCTION("VLOOKUP(A83,IMPORTRANGE(""1QZ5UxyNCwadreQAXnQ7oCoH982DjIA-QnZdO7ZoqkC0/edit#gid=884617569"",""S5 Totals!$A$2:$O$255""),2,FALSE)"),0.0)</f>
        <v>0</v>
      </c>
      <c r="E83" s="15">
        <f>IFERROR(__xludf.DUMMYFUNCTION("VLOOKUP(A83,IMPORTRANGE(""1QZ5UxyNCwadreQAXnQ7oCoH982DjIA-QnZdO7ZoqkC0/edit#gid=884617569"",""S5 Totals!$A$2:$O$255""),3,FALSE)"),0.0)</f>
        <v>0</v>
      </c>
      <c r="F83" s="146">
        <f t="shared" si="1"/>
        <v>0</v>
      </c>
      <c r="G83" s="16">
        <f>IFERROR(__xludf.DUMMYFUNCTION("VLOOKUP(A83,IMPORTRANGE(""1QZ5UxyNCwadreQAXnQ7oCoH982DjIA-QnZdO7ZoqkC0/edit#gid=884617569"",""S5 Totals!$A$2:$O$255""),4,FALSE)"),0.0)</f>
        <v>0</v>
      </c>
      <c r="H83" s="15">
        <f>IFERROR(__xludf.DUMMYFUNCTION("VLOOKUP(A83,IMPORTRANGE(""1QZ5UxyNCwadreQAXnQ7oCoH982DjIA-QnZdO7ZoqkC0/edit#gid=884617569"",""S5 Totals!$A$2:$O$255""),5,FALSE)"),0.0)</f>
        <v>0</v>
      </c>
      <c r="I83" s="143"/>
      <c r="J83" s="16" t="str">
        <f>IFERROR(__xludf.DUMMYFUNCTION("VLOOKUP(A83,IMPORTRANGE(""1QZ5UxyNCwadreQAXnQ7oCoH982DjIA-QnZdO7ZoqkC0/edit#gid=884617569"",""S5 Totals!$A$2:$O$255""),7,FALSE)"),"")</f>
        <v/>
      </c>
      <c r="K83" s="15" t="str">
        <f>IFERROR(__xludf.DUMMYFUNCTION("VLOOKUP(A83,IMPORTRANGE(""1QZ5UxyNCwadreQAXnQ7oCoH982DjIA-QnZdO7ZoqkC0/edit#gid=884617569"",""S5 Totals!$A$2:$O$255""),8,FALSE)"),"")</f>
        <v/>
      </c>
      <c r="L83" s="147"/>
      <c r="M83" s="16" t="str">
        <f>IFERROR(__xludf.DUMMYFUNCTION("VLOOKUP(A83,IMPORTRANGE(""1QZ5UxyNCwadreQAXnQ7oCoH982DjIA-QnZdO7ZoqkC0/edit#gid=884617569"",""S5 Totals!$A$2:$O$255""),10,FALSE)"),"")</f>
        <v/>
      </c>
      <c r="N83" s="15" t="str">
        <f>IFERROR(__xludf.DUMMYFUNCTION("VLOOKUP(A83,IMPORTRANGE(""1QZ5UxyNCwadreQAXnQ7oCoH982DjIA-QnZdO7ZoqkC0/edit#gid=884617569"",""S5 Totals!$A$2:$O$255""),11,FALSE)"),"")</f>
        <v/>
      </c>
      <c r="O83" s="110"/>
      <c r="P83" s="16" t="str">
        <f>IFERROR(__xludf.DUMMYFUNCTION("VLOOKUP(A83,IMPORTRANGE(""1QZ5UxyNCwadreQAXnQ7oCoH982DjIA-QnZdO7ZoqkC0/edit#gid=884617569"",""S5 Totals!$A$2:$O$255""),13,FALSE)"),"")</f>
        <v/>
      </c>
      <c r="Q83" s="15" t="str">
        <f>IFERROR(__xludf.DUMMYFUNCTION("VLOOKUP(A83,IMPORTRANGE(""1QZ5UxyNCwadreQAXnQ7oCoH982DjIA-QnZdO7ZoqkC0/edit#gid=884617569"",""S5 Totals!$A$2:$O$255""),14,FALSE)"),"")</f>
        <v/>
      </c>
      <c r="R83" s="110"/>
    </row>
    <row r="84">
      <c r="A84" s="128" t="s">
        <v>127</v>
      </c>
      <c r="B84" s="16">
        <f>IFERROR(__xludf.DUMMYFUNCTION("VLOOKUP(A84,IMPORTRANGE(""1aFCnJY1qhIj8-JckJhDJ18aqmVo17tofpQmOjcYa3u8/edit#gid=1878241338"",""S5 Totals!$A$2:$O$255""),2,FALSE)"),32.0)</f>
        <v>32</v>
      </c>
      <c r="C84" s="15">
        <f>IFERROR(__xludf.DUMMYFUNCTION("VLOOKUP(A84,IMPORTRANGE(""1aFCnJY1qhIj8-JckJhDJ18aqmVo17tofpQmOjcYa3u8/edit#gid=1878241338"",""S5 Totals!$A$2:$O$255""),3,FALSE)"),0.3855421686746988)</f>
        <v>0.3855421687</v>
      </c>
      <c r="D84" s="16">
        <f>IFERROR(__xludf.DUMMYFUNCTION("VLOOKUP(A84,IMPORTRANGE(""1QZ5UxyNCwadreQAXnQ7oCoH982DjIA-QnZdO7ZoqkC0/edit#gid=884617569"",""S5 Totals!$A$2:$O$255""),2,FALSE)"),13.0)</f>
        <v>13</v>
      </c>
      <c r="E84" s="15">
        <f>IFERROR(__xludf.DUMMYFUNCTION("VLOOKUP(A84,IMPORTRANGE(""1QZ5UxyNCwadreQAXnQ7oCoH982DjIA-QnZdO7ZoqkC0/edit#gid=884617569"",""S5 Totals!$A$2:$O$255""),3,FALSE)"),0.1566265060240964)</f>
        <v>0.156626506</v>
      </c>
      <c r="F84" s="146">
        <f t="shared" si="1"/>
        <v>0.2289156627</v>
      </c>
      <c r="G84" s="16">
        <f>IFERROR(__xludf.DUMMYFUNCTION("VLOOKUP(A84,IMPORTRANGE(""1QZ5UxyNCwadreQAXnQ7oCoH982DjIA-QnZdO7ZoqkC0/edit#gid=884617569"",""S5 Totals!$A$2:$O$255""),4,FALSE)"),10.0)</f>
        <v>10</v>
      </c>
      <c r="H84" s="15">
        <f>IFERROR(__xludf.DUMMYFUNCTION("VLOOKUP(A84,IMPORTRANGE(""1QZ5UxyNCwadreQAXnQ7oCoH982DjIA-QnZdO7ZoqkC0/edit#gid=884617569"",""S5 Totals!$A$2:$O$255""),5,FALSE)"),0.20408163265306123)</f>
        <v>0.2040816327</v>
      </c>
      <c r="I84" s="143"/>
      <c r="J84" s="16">
        <f>IFERROR(__xludf.DUMMYFUNCTION("VLOOKUP(A84,IMPORTRANGE(""1QZ5UxyNCwadreQAXnQ7oCoH982DjIA-QnZdO7ZoqkC0/edit#gid=884617569"",""S5 Totals!$A$2:$O$255""),7,FALSE)"),12.0)</f>
        <v>12</v>
      </c>
      <c r="K84" s="15">
        <f>IFERROR(__xludf.DUMMYFUNCTION("VLOOKUP(A84,IMPORTRANGE(""1QZ5UxyNCwadreQAXnQ7oCoH982DjIA-QnZdO7ZoqkC0/edit#gid=884617569"",""S5 Totals!$A$2:$O$255""),8,FALSE)"),0.35294117647058826)</f>
        <v>0.3529411765</v>
      </c>
      <c r="L84" s="147"/>
      <c r="M84" s="16">
        <f>IFERROR(__xludf.DUMMYFUNCTION("VLOOKUP(A84,IMPORTRANGE(""1QZ5UxyNCwadreQAXnQ7oCoH982DjIA-QnZdO7ZoqkC0/edit#gid=884617569"",""S5 Totals!$A$2:$O$255""),10,FALSE)"),2.0)</f>
        <v>2</v>
      </c>
      <c r="N84" s="15">
        <f>IFERROR(__xludf.DUMMYFUNCTION("VLOOKUP(A84,IMPORTRANGE(""1QZ5UxyNCwadreQAXnQ7oCoH982DjIA-QnZdO7ZoqkC0/edit#gid=884617569"",""S5 Totals!$A$2:$O$255""),11,FALSE)"),0.06666666666666667)</f>
        <v>0.06666666667</v>
      </c>
      <c r="O84" s="110"/>
      <c r="P84" s="16" t="str">
        <f>IFERROR(__xludf.DUMMYFUNCTION("VLOOKUP(A84,IMPORTRANGE(""1QZ5UxyNCwadreQAXnQ7oCoH982DjIA-QnZdO7ZoqkC0/edit#gid=884617569"",""S5 Totals!$A$2:$O$255""),13,FALSE)"),"")</f>
        <v/>
      </c>
      <c r="Q84" s="15" t="str">
        <f>IFERROR(__xludf.DUMMYFUNCTION("VLOOKUP(A84,IMPORTRANGE(""1QZ5UxyNCwadreQAXnQ7oCoH982DjIA-QnZdO7ZoqkC0/edit#gid=884617569"",""S5 Totals!$A$2:$O$255""),14,FALSE)"),"")</f>
        <v/>
      </c>
      <c r="R84" s="110"/>
    </row>
    <row r="85">
      <c r="A85" s="128" t="s">
        <v>228</v>
      </c>
      <c r="B85" s="16">
        <f>IFERROR(__xludf.DUMMYFUNCTION("VLOOKUP(A85,IMPORTRANGE(""1aFCnJY1qhIj8-JckJhDJ18aqmVo17tofpQmOjcYa3u8/edit#gid=1878241338"",""S5 Totals!$A$2:$O$255""),2,FALSE)"),3.0)</f>
        <v>3</v>
      </c>
      <c r="C85" s="15">
        <f>IFERROR(__xludf.DUMMYFUNCTION("VLOOKUP(A85,IMPORTRANGE(""1aFCnJY1qhIj8-JckJhDJ18aqmVo17tofpQmOjcYa3u8/edit#gid=1878241338"",""S5 Totals!$A$2:$O$255""),3,FALSE)"),0.03614457831325301)</f>
        <v>0.03614457831</v>
      </c>
      <c r="D85" s="16">
        <f>IFERROR(__xludf.DUMMYFUNCTION("VLOOKUP(A85,IMPORTRANGE(""1QZ5UxyNCwadreQAXnQ7oCoH982DjIA-QnZdO7ZoqkC0/edit#gid=884617569"",""S5 Totals!$A$2:$O$255""),2,FALSE)"),1.0)</f>
        <v>1</v>
      </c>
      <c r="E85" s="15">
        <f>IFERROR(__xludf.DUMMYFUNCTION("VLOOKUP(A85,IMPORTRANGE(""1QZ5UxyNCwadreQAXnQ7oCoH982DjIA-QnZdO7ZoqkC0/edit#gid=884617569"",""S5 Totals!$A$2:$O$255""),3,FALSE)"),0.012048192771084338)</f>
        <v>0.01204819277</v>
      </c>
      <c r="F85" s="146">
        <f t="shared" si="1"/>
        <v>0.02409638554</v>
      </c>
      <c r="G85" s="16">
        <f>IFERROR(__xludf.DUMMYFUNCTION("VLOOKUP(A85,IMPORTRANGE(""1QZ5UxyNCwadreQAXnQ7oCoH982DjIA-QnZdO7ZoqkC0/edit#gid=884617569"",""S5 Totals!$A$2:$O$255""),4,FALSE)"),2.0)</f>
        <v>2</v>
      </c>
      <c r="H85" s="15">
        <f>IFERROR(__xludf.DUMMYFUNCTION("VLOOKUP(A85,IMPORTRANGE(""1QZ5UxyNCwadreQAXnQ7oCoH982DjIA-QnZdO7ZoqkC0/edit#gid=884617569"",""S5 Totals!$A$2:$O$255""),5,FALSE)"),0.04081632653061224)</f>
        <v>0.04081632653</v>
      </c>
      <c r="I85" s="143"/>
      <c r="J85" s="16" t="str">
        <f>IFERROR(__xludf.DUMMYFUNCTION("VLOOKUP(A85,IMPORTRANGE(""1QZ5UxyNCwadreQAXnQ7oCoH982DjIA-QnZdO7ZoqkC0/edit#gid=884617569"",""S5 Totals!$A$2:$O$255""),7,FALSE)"),"")</f>
        <v/>
      </c>
      <c r="K85" s="15" t="str">
        <f>IFERROR(__xludf.DUMMYFUNCTION("VLOOKUP(A85,IMPORTRANGE(""1QZ5UxyNCwadreQAXnQ7oCoH982DjIA-QnZdO7ZoqkC0/edit#gid=884617569"",""S5 Totals!$A$2:$O$255""),8,FALSE)"),"")</f>
        <v/>
      </c>
      <c r="L85" s="147"/>
      <c r="M85" s="16" t="str">
        <f>IFERROR(__xludf.DUMMYFUNCTION("VLOOKUP(A85,IMPORTRANGE(""1QZ5UxyNCwadreQAXnQ7oCoH982DjIA-QnZdO7ZoqkC0/edit#gid=884617569"",""S5 Totals!$A$2:$O$255""),10,FALSE)"),"")</f>
        <v/>
      </c>
      <c r="N85" s="15" t="str">
        <f>IFERROR(__xludf.DUMMYFUNCTION("VLOOKUP(A85,IMPORTRANGE(""1QZ5UxyNCwadreQAXnQ7oCoH982DjIA-QnZdO7ZoqkC0/edit#gid=884617569"",""S5 Totals!$A$2:$O$255""),11,FALSE)"),"")</f>
        <v/>
      </c>
      <c r="O85" s="110"/>
      <c r="P85" s="16" t="str">
        <f>IFERROR(__xludf.DUMMYFUNCTION("VLOOKUP(A85,IMPORTRANGE(""1QZ5UxyNCwadreQAXnQ7oCoH982DjIA-QnZdO7ZoqkC0/edit#gid=884617569"",""S5 Totals!$A$2:$O$255""),13,FALSE)"),"")</f>
        <v/>
      </c>
      <c r="Q85" s="15" t="str">
        <f>IFERROR(__xludf.DUMMYFUNCTION("VLOOKUP(A85,IMPORTRANGE(""1QZ5UxyNCwadreQAXnQ7oCoH982DjIA-QnZdO7ZoqkC0/edit#gid=884617569"",""S5 Totals!$A$2:$O$255""),14,FALSE)"),"")</f>
        <v/>
      </c>
      <c r="R85" s="110"/>
    </row>
    <row r="86">
      <c r="A86" s="128" t="s">
        <v>229</v>
      </c>
      <c r="B86" s="16">
        <f>IFERROR(__xludf.DUMMYFUNCTION("VLOOKUP(A86,IMPORTRANGE(""1aFCnJY1qhIj8-JckJhDJ18aqmVo17tofpQmOjcYa3u8/edit#gid=1878241338"",""S5 Totals!$A$2:$O$255""),2,FALSE)"),13.0)</f>
        <v>13</v>
      </c>
      <c r="C86" s="15">
        <f>IFERROR(__xludf.DUMMYFUNCTION("VLOOKUP(A86,IMPORTRANGE(""1aFCnJY1qhIj8-JckJhDJ18aqmVo17tofpQmOjcYa3u8/edit#gid=1878241338"",""S5 Totals!$A$2:$O$255""),3,FALSE)"),0.1566265060240964)</f>
        <v>0.156626506</v>
      </c>
      <c r="D86" s="16">
        <f>IFERROR(__xludf.DUMMYFUNCTION("VLOOKUP(A86,IMPORTRANGE(""1QZ5UxyNCwadreQAXnQ7oCoH982DjIA-QnZdO7ZoqkC0/edit#gid=884617569"",""S5 Totals!$A$2:$O$255""),2,FALSE)"),20.0)</f>
        <v>20</v>
      </c>
      <c r="E86" s="15">
        <f>IFERROR(__xludf.DUMMYFUNCTION("VLOOKUP(A86,IMPORTRANGE(""1QZ5UxyNCwadreQAXnQ7oCoH982DjIA-QnZdO7ZoqkC0/edit#gid=884617569"",""S5 Totals!$A$2:$O$255""),3,FALSE)"),0.24096385542168675)</f>
        <v>0.2409638554</v>
      </c>
      <c r="F86" s="146">
        <f t="shared" si="1"/>
        <v>-0.0843373494</v>
      </c>
      <c r="G86" s="16">
        <f>IFERROR(__xludf.DUMMYFUNCTION("VLOOKUP(A86,IMPORTRANGE(""1QZ5UxyNCwadreQAXnQ7oCoH982DjIA-QnZdO7ZoqkC0/edit#gid=884617569"",""S5 Totals!$A$2:$O$255""),4,FALSE)"),14.0)</f>
        <v>14</v>
      </c>
      <c r="H86" s="15">
        <f>IFERROR(__xludf.DUMMYFUNCTION("VLOOKUP(A86,IMPORTRANGE(""1QZ5UxyNCwadreQAXnQ7oCoH982DjIA-QnZdO7ZoqkC0/edit#gid=884617569"",""S5 Totals!$A$2:$O$255""),5,FALSE)"),0.2857142857142857)</f>
        <v>0.2857142857</v>
      </c>
      <c r="I86" s="143"/>
      <c r="J86" s="16" t="str">
        <f>IFERROR(__xludf.DUMMYFUNCTION("VLOOKUP(A86,IMPORTRANGE(""1QZ5UxyNCwadreQAXnQ7oCoH982DjIA-QnZdO7ZoqkC0/edit#gid=884617569"",""S5 Totals!$A$2:$O$255""),7,FALSE)"),"")</f>
        <v/>
      </c>
      <c r="K86" s="15" t="str">
        <f>IFERROR(__xludf.DUMMYFUNCTION("VLOOKUP(A86,IMPORTRANGE(""1QZ5UxyNCwadreQAXnQ7oCoH982DjIA-QnZdO7ZoqkC0/edit#gid=884617569"",""S5 Totals!$A$2:$O$255""),8,FALSE)"),"")</f>
        <v/>
      </c>
      <c r="L86" s="147"/>
      <c r="M86" s="16" t="str">
        <f>IFERROR(__xludf.DUMMYFUNCTION("VLOOKUP(A86,IMPORTRANGE(""1QZ5UxyNCwadreQAXnQ7oCoH982DjIA-QnZdO7ZoqkC0/edit#gid=884617569"",""S5 Totals!$A$2:$O$255""),10,FALSE)"),"")</f>
        <v/>
      </c>
      <c r="N86" s="15" t="str">
        <f>IFERROR(__xludf.DUMMYFUNCTION("VLOOKUP(A86,IMPORTRANGE(""1QZ5UxyNCwadreQAXnQ7oCoH982DjIA-QnZdO7ZoqkC0/edit#gid=884617569"",""S5 Totals!$A$2:$O$255""),11,FALSE)"),"")</f>
        <v/>
      </c>
      <c r="O86" s="110"/>
      <c r="P86" s="16" t="str">
        <f>IFERROR(__xludf.DUMMYFUNCTION("VLOOKUP(A86,IMPORTRANGE(""1QZ5UxyNCwadreQAXnQ7oCoH982DjIA-QnZdO7ZoqkC0/edit#gid=884617569"",""S5 Totals!$A$2:$O$255""),13,FALSE)"),"")</f>
        <v/>
      </c>
      <c r="Q86" s="15" t="str">
        <f>IFERROR(__xludf.DUMMYFUNCTION("VLOOKUP(A86,IMPORTRANGE(""1QZ5UxyNCwadreQAXnQ7oCoH982DjIA-QnZdO7ZoqkC0/edit#gid=884617569"",""S5 Totals!$A$2:$O$255""),14,FALSE)"),"")</f>
        <v/>
      </c>
      <c r="R86" s="110"/>
    </row>
    <row r="87">
      <c r="A87" s="128" t="s">
        <v>128</v>
      </c>
      <c r="B87" s="16">
        <f>IFERROR(__xludf.DUMMYFUNCTION("VLOOKUP(A87,IMPORTRANGE(""1aFCnJY1qhIj8-JckJhDJ18aqmVo17tofpQmOjcYa3u8/edit#gid=1878241338"",""S5 Totals!$A$2:$O$255""),2,FALSE)"),4.0)</f>
        <v>4</v>
      </c>
      <c r="C87" s="15">
        <f>IFERROR(__xludf.DUMMYFUNCTION("VLOOKUP(A87,IMPORTRANGE(""1aFCnJY1qhIj8-JckJhDJ18aqmVo17tofpQmOjcYa3u8/edit#gid=1878241338"",""S5 Totals!$A$2:$O$255""),3,FALSE)"),0.04819277108433735)</f>
        <v>0.04819277108</v>
      </c>
      <c r="D87" s="16">
        <f>IFERROR(__xludf.DUMMYFUNCTION("VLOOKUP(A87,IMPORTRANGE(""1QZ5UxyNCwadreQAXnQ7oCoH982DjIA-QnZdO7ZoqkC0/edit#gid=884617569"",""S5 Totals!$A$2:$O$255""),2,FALSE)"),2.0)</f>
        <v>2</v>
      </c>
      <c r="E87" s="15">
        <f>IFERROR(__xludf.DUMMYFUNCTION("VLOOKUP(A87,IMPORTRANGE(""1QZ5UxyNCwadreQAXnQ7oCoH982DjIA-QnZdO7ZoqkC0/edit#gid=884617569"",""S5 Totals!$A$2:$O$255""),3,FALSE)"),0.024096385542168676)</f>
        <v>0.02409638554</v>
      </c>
      <c r="F87" s="146">
        <f t="shared" si="1"/>
        <v>0.02409638554</v>
      </c>
      <c r="G87" s="16">
        <f>IFERROR(__xludf.DUMMYFUNCTION("VLOOKUP(A87,IMPORTRANGE(""1QZ5UxyNCwadreQAXnQ7oCoH982DjIA-QnZdO7ZoqkC0/edit#gid=884617569"",""S5 Totals!$A$2:$O$255""),4,FALSE)"),1.0)</f>
        <v>1</v>
      </c>
      <c r="H87" s="15">
        <f>IFERROR(__xludf.DUMMYFUNCTION("VLOOKUP(A87,IMPORTRANGE(""1QZ5UxyNCwadreQAXnQ7oCoH982DjIA-QnZdO7ZoqkC0/edit#gid=884617569"",""S5 Totals!$A$2:$O$255""),5,FALSE)"),0.02040816326530612)</f>
        <v>0.02040816327</v>
      </c>
      <c r="I87" s="143"/>
      <c r="J87" s="16">
        <f>IFERROR(__xludf.DUMMYFUNCTION("VLOOKUP(A87,IMPORTRANGE(""1QZ5UxyNCwadreQAXnQ7oCoH982DjIA-QnZdO7ZoqkC0/edit#gid=884617569"",""S5 Totals!$A$2:$O$255""),7,FALSE)"),0.0)</f>
        <v>0</v>
      </c>
      <c r="K87" s="15">
        <f>IFERROR(__xludf.DUMMYFUNCTION("VLOOKUP(A87,IMPORTRANGE(""1QZ5UxyNCwadreQAXnQ7oCoH982DjIA-QnZdO7ZoqkC0/edit#gid=884617569"",""S5 Totals!$A$2:$O$255""),8,FALSE)"),0.0)</f>
        <v>0</v>
      </c>
      <c r="L87" s="147"/>
      <c r="M87" s="16">
        <f>IFERROR(__xludf.DUMMYFUNCTION("VLOOKUP(A87,IMPORTRANGE(""1QZ5UxyNCwadreQAXnQ7oCoH982DjIA-QnZdO7ZoqkC0/edit#gid=884617569"",""S5 Totals!$A$2:$O$255""),10,FALSE)"),0.0)</f>
        <v>0</v>
      </c>
      <c r="N87" s="15">
        <f>IFERROR(__xludf.DUMMYFUNCTION("VLOOKUP(A87,IMPORTRANGE(""1QZ5UxyNCwadreQAXnQ7oCoH982DjIA-QnZdO7ZoqkC0/edit#gid=884617569"",""S5 Totals!$A$2:$O$255""),11,FALSE)"),0.0)</f>
        <v>0</v>
      </c>
      <c r="O87" s="110"/>
      <c r="P87" s="16" t="str">
        <f>IFERROR(__xludf.DUMMYFUNCTION("VLOOKUP(A87,IMPORTRANGE(""1QZ5UxyNCwadreQAXnQ7oCoH982DjIA-QnZdO7ZoqkC0/edit#gid=884617569"",""S5 Totals!$A$2:$O$255""),13,FALSE)"),"")</f>
        <v/>
      </c>
      <c r="Q87" s="15" t="str">
        <f>IFERROR(__xludf.DUMMYFUNCTION("VLOOKUP(A87,IMPORTRANGE(""1QZ5UxyNCwadreQAXnQ7oCoH982DjIA-QnZdO7ZoqkC0/edit#gid=884617569"",""S5 Totals!$A$2:$O$255""),14,FALSE)"),"")</f>
        <v/>
      </c>
      <c r="R87" s="110"/>
    </row>
    <row r="88">
      <c r="A88" s="128" t="s">
        <v>230</v>
      </c>
      <c r="B88" s="16">
        <f>IFERROR(__xludf.DUMMYFUNCTION("VLOOKUP(A88,IMPORTRANGE(""1aFCnJY1qhIj8-JckJhDJ18aqmVo17tofpQmOjcYa3u8/edit#gid=1878241338"",""S5 Totals!$A$2:$O$255""),2,FALSE)"),14.0)</f>
        <v>14</v>
      </c>
      <c r="C88" s="15">
        <f>IFERROR(__xludf.DUMMYFUNCTION("VLOOKUP(A88,IMPORTRANGE(""1aFCnJY1qhIj8-JckJhDJ18aqmVo17tofpQmOjcYa3u8/edit#gid=1878241338"",""S5 Totals!$A$2:$O$255""),3,FALSE)"),0.1686746987951807)</f>
        <v>0.1686746988</v>
      </c>
      <c r="D88" s="16">
        <f>IFERROR(__xludf.DUMMYFUNCTION("VLOOKUP(A88,IMPORTRANGE(""1QZ5UxyNCwadreQAXnQ7oCoH982DjIA-QnZdO7ZoqkC0/edit#gid=884617569"",""S5 Totals!$A$2:$O$255""),2,FALSE)"),10.0)</f>
        <v>10</v>
      </c>
      <c r="E88" s="15">
        <f>IFERROR(__xludf.DUMMYFUNCTION("VLOOKUP(A88,IMPORTRANGE(""1QZ5UxyNCwadreQAXnQ7oCoH982DjIA-QnZdO7ZoqkC0/edit#gid=884617569"",""S5 Totals!$A$2:$O$255""),3,FALSE)"),0.12048192771084337)</f>
        <v>0.1204819277</v>
      </c>
      <c r="F88" s="146">
        <f t="shared" si="1"/>
        <v>0.04819277108</v>
      </c>
      <c r="G88" s="16">
        <f>IFERROR(__xludf.DUMMYFUNCTION("VLOOKUP(A88,IMPORTRANGE(""1QZ5UxyNCwadreQAXnQ7oCoH982DjIA-QnZdO7ZoqkC0/edit#gid=884617569"",""S5 Totals!$A$2:$O$255""),4,FALSE)"),6.0)</f>
        <v>6</v>
      </c>
      <c r="H88" s="15">
        <f>IFERROR(__xludf.DUMMYFUNCTION("VLOOKUP(A88,IMPORTRANGE(""1QZ5UxyNCwadreQAXnQ7oCoH982DjIA-QnZdO7ZoqkC0/edit#gid=884617569"",""S5 Totals!$A$2:$O$255""),5,FALSE)"),0.12244897959183673)</f>
        <v>0.1224489796</v>
      </c>
      <c r="I88" s="143"/>
      <c r="J88" s="16" t="str">
        <f>IFERROR(__xludf.DUMMYFUNCTION("VLOOKUP(A88,IMPORTRANGE(""1QZ5UxyNCwadreQAXnQ7oCoH982DjIA-QnZdO7ZoqkC0/edit#gid=884617569"",""S5 Totals!$A$2:$O$255""),7,FALSE)"),"")</f>
        <v/>
      </c>
      <c r="K88" s="15" t="str">
        <f>IFERROR(__xludf.DUMMYFUNCTION("VLOOKUP(A88,IMPORTRANGE(""1QZ5UxyNCwadreQAXnQ7oCoH982DjIA-QnZdO7ZoqkC0/edit#gid=884617569"",""S5 Totals!$A$2:$O$255""),8,FALSE)"),"")</f>
        <v/>
      </c>
      <c r="L88" s="147"/>
      <c r="M88" s="16" t="str">
        <f>IFERROR(__xludf.DUMMYFUNCTION("VLOOKUP(A88,IMPORTRANGE(""1QZ5UxyNCwadreQAXnQ7oCoH982DjIA-QnZdO7ZoqkC0/edit#gid=884617569"",""S5 Totals!$A$2:$O$255""),10,FALSE)"),"")</f>
        <v/>
      </c>
      <c r="N88" s="15" t="str">
        <f>IFERROR(__xludf.DUMMYFUNCTION("VLOOKUP(A88,IMPORTRANGE(""1QZ5UxyNCwadreQAXnQ7oCoH982DjIA-QnZdO7ZoqkC0/edit#gid=884617569"",""S5 Totals!$A$2:$O$255""),11,FALSE)"),"")</f>
        <v/>
      </c>
      <c r="O88" s="110"/>
      <c r="P88" s="16" t="str">
        <f>IFERROR(__xludf.DUMMYFUNCTION("VLOOKUP(A88,IMPORTRANGE(""1QZ5UxyNCwadreQAXnQ7oCoH982DjIA-QnZdO7ZoqkC0/edit#gid=884617569"",""S5 Totals!$A$2:$O$255""),13,FALSE)"),"")</f>
        <v/>
      </c>
      <c r="Q88" s="15" t="str">
        <f>IFERROR(__xludf.DUMMYFUNCTION("VLOOKUP(A88,IMPORTRANGE(""1QZ5UxyNCwadreQAXnQ7oCoH982DjIA-QnZdO7ZoqkC0/edit#gid=884617569"",""S5 Totals!$A$2:$O$255""),14,FALSE)"),"")</f>
        <v/>
      </c>
      <c r="R88" s="110"/>
    </row>
    <row r="89">
      <c r="A89" s="128" t="s">
        <v>176</v>
      </c>
      <c r="B89" s="16">
        <f>IFERROR(__xludf.DUMMYFUNCTION("VLOOKUP(A89,IMPORTRANGE(""1aFCnJY1qhIj8-JckJhDJ18aqmVo17tofpQmOjcYa3u8/edit#gid=1878241338"",""S5 Totals!$A$2:$O$255""),2,FALSE)"),3.0)</f>
        <v>3</v>
      </c>
      <c r="C89" s="15">
        <f>IFERROR(__xludf.DUMMYFUNCTION("VLOOKUP(A89,IMPORTRANGE(""1aFCnJY1qhIj8-JckJhDJ18aqmVo17tofpQmOjcYa3u8/edit#gid=1878241338"",""S5 Totals!$A$2:$O$255""),3,FALSE)"),0.03614457831325301)</f>
        <v>0.03614457831</v>
      </c>
      <c r="D89" s="16">
        <f>IFERROR(__xludf.DUMMYFUNCTION("VLOOKUP(A89,IMPORTRANGE(""1QZ5UxyNCwadreQAXnQ7oCoH982DjIA-QnZdO7ZoqkC0/edit#gid=884617569"",""S5 Totals!$A$2:$O$255""),2,FALSE)"),4.0)</f>
        <v>4</v>
      </c>
      <c r="E89" s="15">
        <f>IFERROR(__xludf.DUMMYFUNCTION("VLOOKUP(A89,IMPORTRANGE(""1QZ5UxyNCwadreQAXnQ7oCoH982DjIA-QnZdO7ZoqkC0/edit#gid=884617569"",""S5 Totals!$A$2:$O$255""),3,FALSE)"),0.04819277108433735)</f>
        <v>0.04819277108</v>
      </c>
      <c r="F89" s="146">
        <f t="shared" si="1"/>
        <v>-0.01204819277</v>
      </c>
      <c r="G89" s="16">
        <f>IFERROR(__xludf.DUMMYFUNCTION("VLOOKUP(A89,IMPORTRANGE(""1QZ5UxyNCwadreQAXnQ7oCoH982DjIA-QnZdO7ZoqkC0/edit#gid=884617569"",""S5 Totals!$A$2:$O$255""),4,FALSE)"),4.0)</f>
        <v>4</v>
      </c>
      <c r="H89" s="15">
        <f>IFERROR(__xludf.DUMMYFUNCTION("VLOOKUP(A89,IMPORTRANGE(""1QZ5UxyNCwadreQAXnQ7oCoH982DjIA-QnZdO7ZoqkC0/edit#gid=884617569"",""S5 Totals!$A$2:$O$255""),5,FALSE)"),0.08163265306122448)</f>
        <v>0.08163265306</v>
      </c>
      <c r="I89" s="143"/>
      <c r="J89" s="16">
        <f>IFERROR(__xludf.DUMMYFUNCTION("VLOOKUP(A89,IMPORTRANGE(""1QZ5UxyNCwadreQAXnQ7oCoH982DjIA-QnZdO7ZoqkC0/edit#gid=884617569"",""S5 Totals!$A$2:$O$255""),7,FALSE)"),2.0)</f>
        <v>2</v>
      </c>
      <c r="K89" s="15">
        <f>IFERROR(__xludf.DUMMYFUNCTION("VLOOKUP(A89,IMPORTRANGE(""1QZ5UxyNCwadreQAXnQ7oCoH982DjIA-QnZdO7ZoqkC0/edit#gid=884617569"",""S5 Totals!$A$2:$O$255""),8,FALSE)"),0.058823529411764705)</f>
        <v>0.05882352941</v>
      </c>
      <c r="L89" s="147"/>
      <c r="M89" s="16" t="str">
        <f>IFERROR(__xludf.DUMMYFUNCTION("VLOOKUP(A89,IMPORTRANGE(""1QZ5UxyNCwadreQAXnQ7oCoH982DjIA-QnZdO7ZoqkC0/edit#gid=884617569"",""S5 Totals!$A$2:$O$255""),10,FALSE)"),"")</f>
        <v/>
      </c>
      <c r="N89" s="15" t="str">
        <f>IFERROR(__xludf.DUMMYFUNCTION("VLOOKUP(A89,IMPORTRANGE(""1QZ5UxyNCwadreQAXnQ7oCoH982DjIA-QnZdO7ZoqkC0/edit#gid=884617569"",""S5 Totals!$A$2:$O$255""),11,FALSE)"),"")</f>
        <v/>
      </c>
      <c r="O89" s="110"/>
      <c r="P89" s="16" t="str">
        <f>IFERROR(__xludf.DUMMYFUNCTION("VLOOKUP(A89,IMPORTRANGE(""1QZ5UxyNCwadreQAXnQ7oCoH982DjIA-QnZdO7ZoqkC0/edit#gid=884617569"",""S5 Totals!$A$2:$O$255""),13,FALSE)"),"")</f>
        <v/>
      </c>
      <c r="Q89" s="15" t="str">
        <f>IFERROR(__xludf.DUMMYFUNCTION("VLOOKUP(A89,IMPORTRANGE(""1QZ5UxyNCwadreQAXnQ7oCoH982DjIA-QnZdO7ZoqkC0/edit#gid=884617569"",""S5 Totals!$A$2:$O$255""),14,FALSE)"),"")</f>
        <v/>
      </c>
      <c r="R89" s="110"/>
    </row>
    <row r="90">
      <c r="A90" s="128" t="s">
        <v>231</v>
      </c>
      <c r="B90" s="16">
        <f>IFERROR(__xludf.DUMMYFUNCTION("VLOOKUP(A90,IMPORTRANGE(""1aFCnJY1qhIj8-JckJhDJ18aqmVo17tofpQmOjcYa3u8/edit#gid=1878241338"",""S5 Totals!$A$2:$O$255""),2,FALSE)"),14.0)</f>
        <v>14</v>
      </c>
      <c r="C90" s="15">
        <f>IFERROR(__xludf.DUMMYFUNCTION("VLOOKUP(A90,IMPORTRANGE(""1aFCnJY1qhIj8-JckJhDJ18aqmVo17tofpQmOjcYa3u8/edit#gid=1878241338"",""S5 Totals!$A$2:$O$255""),3,FALSE)"),0.1686746987951807)</f>
        <v>0.1686746988</v>
      </c>
      <c r="D90" s="16">
        <f>IFERROR(__xludf.DUMMYFUNCTION("VLOOKUP(A90,IMPORTRANGE(""1QZ5UxyNCwadreQAXnQ7oCoH982DjIA-QnZdO7ZoqkC0/edit#gid=884617569"",""S5 Totals!$A$2:$O$255""),2,FALSE)"),15.0)</f>
        <v>15</v>
      </c>
      <c r="E90" s="15">
        <f>IFERROR(__xludf.DUMMYFUNCTION("VLOOKUP(A90,IMPORTRANGE(""1QZ5UxyNCwadreQAXnQ7oCoH982DjIA-QnZdO7ZoqkC0/edit#gid=884617569"",""S5 Totals!$A$2:$O$255""),3,FALSE)"),0.18072289156626506)</f>
        <v>0.1807228916</v>
      </c>
      <c r="F90" s="146">
        <f t="shared" si="1"/>
        <v>-0.01204819277</v>
      </c>
      <c r="G90" s="16">
        <f>IFERROR(__xludf.DUMMYFUNCTION("VLOOKUP(A90,IMPORTRANGE(""1QZ5UxyNCwadreQAXnQ7oCoH982DjIA-QnZdO7ZoqkC0/edit#gid=884617569"",""S5 Totals!$A$2:$O$255""),4,FALSE)"),4.0)</f>
        <v>4</v>
      </c>
      <c r="H90" s="15">
        <f>IFERROR(__xludf.DUMMYFUNCTION("VLOOKUP(A90,IMPORTRANGE(""1QZ5UxyNCwadreQAXnQ7oCoH982DjIA-QnZdO7ZoqkC0/edit#gid=884617569"",""S5 Totals!$A$2:$O$255""),5,FALSE)"),0.08163265306122448)</f>
        <v>0.08163265306</v>
      </c>
      <c r="I90" s="143"/>
      <c r="J90" s="16" t="str">
        <f>IFERROR(__xludf.DUMMYFUNCTION("VLOOKUP(A90,IMPORTRANGE(""1QZ5UxyNCwadreQAXnQ7oCoH982DjIA-QnZdO7ZoqkC0/edit#gid=884617569"",""S5 Totals!$A$2:$O$255""),7,FALSE)"),"")</f>
        <v/>
      </c>
      <c r="K90" s="15" t="str">
        <f>IFERROR(__xludf.DUMMYFUNCTION("VLOOKUP(A90,IMPORTRANGE(""1QZ5UxyNCwadreQAXnQ7oCoH982DjIA-QnZdO7ZoqkC0/edit#gid=884617569"",""S5 Totals!$A$2:$O$255""),8,FALSE)"),"")</f>
        <v/>
      </c>
      <c r="L90" s="147"/>
      <c r="M90" s="16" t="str">
        <f>IFERROR(__xludf.DUMMYFUNCTION("VLOOKUP(A90,IMPORTRANGE(""1QZ5UxyNCwadreQAXnQ7oCoH982DjIA-QnZdO7ZoqkC0/edit#gid=884617569"",""S5 Totals!$A$2:$O$255""),10,FALSE)"),"")</f>
        <v/>
      </c>
      <c r="N90" s="15" t="str">
        <f>IFERROR(__xludf.DUMMYFUNCTION("VLOOKUP(A90,IMPORTRANGE(""1QZ5UxyNCwadreQAXnQ7oCoH982DjIA-QnZdO7ZoqkC0/edit#gid=884617569"",""S5 Totals!$A$2:$O$255""),11,FALSE)"),"")</f>
        <v/>
      </c>
      <c r="O90" s="110"/>
      <c r="P90" s="16" t="str">
        <f>IFERROR(__xludf.DUMMYFUNCTION("VLOOKUP(A90,IMPORTRANGE(""1QZ5UxyNCwadreQAXnQ7oCoH982DjIA-QnZdO7ZoqkC0/edit#gid=884617569"",""S5 Totals!$A$2:$O$255""),13,FALSE)"),"")</f>
        <v/>
      </c>
      <c r="Q90" s="15" t="str">
        <f>IFERROR(__xludf.DUMMYFUNCTION("VLOOKUP(A90,IMPORTRANGE(""1QZ5UxyNCwadreQAXnQ7oCoH982DjIA-QnZdO7ZoqkC0/edit#gid=884617569"",""S5 Totals!$A$2:$O$255""),14,FALSE)"),"")</f>
        <v/>
      </c>
      <c r="R90" s="110"/>
    </row>
    <row r="91">
      <c r="A91" s="128" t="s">
        <v>265</v>
      </c>
      <c r="B91" s="16">
        <f>IFERROR(__xludf.DUMMYFUNCTION("VLOOKUP(A91,IMPORTRANGE(""1aFCnJY1qhIj8-JckJhDJ18aqmVo17tofpQmOjcYa3u8/edit#gid=1878241338"",""S5 Totals!$A$2:$O$255""),2,FALSE)"),26.0)</f>
        <v>26</v>
      </c>
      <c r="C91" s="15">
        <f>IFERROR(__xludf.DUMMYFUNCTION("VLOOKUP(A91,IMPORTRANGE(""1aFCnJY1qhIj8-JckJhDJ18aqmVo17tofpQmOjcYa3u8/edit#gid=1878241338"",""S5 Totals!$A$2:$O$255""),3,FALSE)"),0.3132530120481928)</f>
        <v>0.313253012</v>
      </c>
      <c r="D91" s="16" t="str">
        <f>IFERROR(__xludf.DUMMYFUNCTION("VLOOKUP(A91,IMPORTRANGE(""1QZ5UxyNCwadreQAXnQ7oCoH982DjIA-QnZdO7ZoqkC0/edit#gid=884617569"",""S5 Totals!$A$2:$O$255""),2,FALSE)"),"#N/A")</f>
        <v>#N/A</v>
      </c>
      <c r="E91" s="15" t="str">
        <f>IFERROR(__xludf.DUMMYFUNCTION("VLOOKUP(A91,IMPORTRANGE(""1QZ5UxyNCwadreQAXnQ7oCoH982DjIA-QnZdO7ZoqkC0/edit#gid=884617569"",""S5 Totals!$A$2:$O$255""),3,FALSE)"),"#N/A")</f>
        <v>#N/A</v>
      </c>
      <c r="F91" s="146" t="str">
        <f t="shared" si="1"/>
        <v>#N/A</v>
      </c>
      <c r="G91" s="16" t="str">
        <f>IFERROR(__xludf.DUMMYFUNCTION("VLOOKUP(A91,IMPORTRANGE(""1QZ5UxyNCwadreQAXnQ7oCoH982DjIA-QnZdO7ZoqkC0/edit#gid=884617569"",""S5 Totals!$A$2:$O$255""),4,FALSE)"),"#N/A")</f>
        <v>#N/A</v>
      </c>
      <c r="H91" s="15" t="str">
        <f>IFERROR(__xludf.DUMMYFUNCTION("VLOOKUP(A91,IMPORTRANGE(""1QZ5UxyNCwadreQAXnQ7oCoH982DjIA-QnZdO7ZoqkC0/edit#gid=884617569"",""S5 Totals!$A$2:$O$255""),5,FALSE)"),"#N/A")</f>
        <v>#N/A</v>
      </c>
      <c r="I91" s="143"/>
      <c r="J91" s="16" t="str">
        <f>IFERROR(__xludf.DUMMYFUNCTION("VLOOKUP(A91,IMPORTRANGE(""1QZ5UxyNCwadreQAXnQ7oCoH982DjIA-QnZdO7ZoqkC0/edit#gid=884617569"",""S5 Totals!$A$2:$O$255""),7,FALSE)"),"#N/A")</f>
        <v>#N/A</v>
      </c>
      <c r="K91" s="15" t="str">
        <f>IFERROR(__xludf.DUMMYFUNCTION("VLOOKUP(A91,IMPORTRANGE(""1QZ5UxyNCwadreQAXnQ7oCoH982DjIA-QnZdO7ZoqkC0/edit#gid=884617569"",""S5 Totals!$A$2:$O$255""),8,FALSE)"),"#N/A")</f>
        <v>#N/A</v>
      </c>
      <c r="L91" s="147"/>
      <c r="M91" s="16" t="str">
        <f>IFERROR(__xludf.DUMMYFUNCTION("VLOOKUP(A91,IMPORTRANGE(""1QZ5UxyNCwadreQAXnQ7oCoH982DjIA-QnZdO7ZoqkC0/edit#gid=884617569"",""S5 Totals!$A$2:$O$255""),10,FALSE)"),"#N/A")</f>
        <v>#N/A</v>
      </c>
      <c r="N91" s="15" t="str">
        <f>IFERROR(__xludf.DUMMYFUNCTION("VLOOKUP(A91,IMPORTRANGE(""1QZ5UxyNCwadreQAXnQ7oCoH982DjIA-QnZdO7ZoqkC0/edit#gid=884617569"",""S5 Totals!$A$2:$O$255""),11,FALSE)"),"#N/A")</f>
        <v>#N/A</v>
      </c>
      <c r="O91" s="110"/>
      <c r="P91" s="16" t="str">
        <f>IFERROR(__xludf.DUMMYFUNCTION("VLOOKUP(A91,IMPORTRANGE(""1QZ5UxyNCwadreQAXnQ7oCoH982DjIA-QnZdO7ZoqkC0/edit#gid=884617569"",""S5 Totals!$A$2:$O$255""),13,FALSE)"),"#N/A")</f>
        <v>#N/A</v>
      </c>
      <c r="Q91" s="15" t="str">
        <f>IFERROR(__xludf.DUMMYFUNCTION("VLOOKUP(A91,IMPORTRANGE(""1QZ5UxyNCwadreQAXnQ7oCoH982DjIA-QnZdO7ZoqkC0/edit#gid=884617569"",""S5 Totals!$A$2:$O$255""),14,FALSE)"),"#N/A")</f>
        <v>#N/A</v>
      </c>
      <c r="R91" s="110"/>
    </row>
    <row r="92">
      <c r="A92" s="128" t="s">
        <v>177</v>
      </c>
      <c r="B92" s="16">
        <f>IFERROR(__xludf.DUMMYFUNCTION("VLOOKUP(A92,IMPORTRANGE(""1aFCnJY1qhIj8-JckJhDJ18aqmVo17tofpQmOjcYa3u8/edit#gid=1878241338"",""S5 Totals!$A$2:$O$255""),2,FALSE)"),0.0)</f>
        <v>0</v>
      </c>
      <c r="C92" s="15">
        <f>IFERROR(__xludf.DUMMYFUNCTION("VLOOKUP(A92,IMPORTRANGE(""1aFCnJY1qhIj8-JckJhDJ18aqmVo17tofpQmOjcYa3u8/edit#gid=1878241338"",""S5 Totals!$A$2:$O$255""),3,FALSE)"),0.0)</f>
        <v>0</v>
      </c>
      <c r="D92" s="16">
        <f>IFERROR(__xludf.DUMMYFUNCTION("VLOOKUP(A92,IMPORTRANGE(""1QZ5UxyNCwadreQAXnQ7oCoH982DjIA-QnZdO7ZoqkC0/edit#gid=884617569"",""S5 Totals!$A$2:$O$255""),2,FALSE)"),0.0)</f>
        <v>0</v>
      </c>
      <c r="E92" s="15">
        <f>IFERROR(__xludf.DUMMYFUNCTION("VLOOKUP(A92,IMPORTRANGE(""1QZ5UxyNCwadreQAXnQ7oCoH982DjIA-QnZdO7ZoqkC0/edit#gid=884617569"",""S5 Totals!$A$2:$O$255""),3,FALSE)"),0.0)</f>
        <v>0</v>
      </c>
      <c r="F92" s="146">
        <f t="shared" si="1"/>
        <v>0</v>
      </c>
      <c r="G92" s="16">
        <f>IFERROR(__xludf.DUMMYFUNCTION("VLOOKUP(A92,IMPORTRANGE(""1QZ5UxyNCwadreQAXnQ7oCoH982DjIA-QnZdO7ZoqkC0/edit#gid=884617569"",""S5 Totals!$A$2:$O$255""),4,FALSE)"),0.0)</f>
        <v>0</v>
      </c>
      <c r="H92" s="15">
        <f>IFERROR(__xludf.DUMMYFUNCTION("VLOOKUP(A92,IMPORTRANGE(""1QZ5UxyNCwadreQAXnQ7oCoH982DjIA-QnZdO7ZoqkC0/edit#gid=884617569"",""S5 Totals!$A$2:$O$255""),5,FALSE)"),0.0)</f>
        <v>0</v>
      </c>
      <c r="I92" s="143"/>
      <c r="J92" s="16">
        <f>IFERROR(__xludf.DUMMYFUNCTION("VLOOKUP(A92,IMPORTRANGE(""1QZ5UxyNCwadreQAXnQ7oCoH982DjIA-QnZdO7ZoqkC0/edit#gid=884617569"",""S5 Totals!$A$2:$O$255""),7,FALSE)"),0.0)</f>
        <v>0</v>
      </c>
      <c r="K92" s="15">
        <f>IFERROR(__xludf.DUMMYFUNCTION("VLOOKUP(A92,IMPORTRANGE(""1QZ5UxyNCwadreQAXnQ7oCoH982DjIA-QnZdO7ZoqkC0/edit#gid=884617569"",""S5 Totals!$A$2:$O$255""),8,FALSE)"),0.0)</f>
        <v>0</v>
      </c>
      <c r="L92" s="147"/>
      <c r="M92" s="16" t="str">
        <f>IFERROR(__xludf.DUMMYFUNCTION("VLOOKUP(A92,IMPORTRANGE(""1QZ5UxyNCwadreQAXnQ7oCoH982DjIA-QnZdO7ZoqkC0/edit#gid=884617569"",""S5 Totals!$A$2:$O$255""),10,FALSE)"),"")</f>
        <v/>
      </c>
      <c r="N92" s="15" t="str">
        <f>IFERROR(__xludf.DUMMYFUNCTION("VLOOKUP(A92,IMPORTRANGE(""1QZ5UxyNCwadreQAXnQ7oCoH982DjIA-QnZdO7ZoqkC0/edit#gid=884617569"",""S5 Totals!$A$2:$O$255""),11,FALSE)"),"")</f>
        <v/>
      </c>
      <c r="O92" s="110"/>
      <c r="P92" s="16" t="str">
        <f>IFERROR(__xludf.DUMMYFUNCTION("VLOOKUP(A92,IMPORTRANGE(""1QZ5UxyNCwadreQAXnQ7oCoH982DjIA-QnZdO7ZoqkC0/edit#gid=884617569"",""S5 Totals!$A$2:$O$255""),13,FALSE)"),"")</f>
        <v/>
      </c>
      <c r="Q92" s="15" t="str">
        <f>IFERROR(__xludf.DUMMYFUNCTION("VLOOKUP(A92,IMPORTRANGE(""1QZ5UxyNCwadreQAXnQ7oCoH982DjIA-QnZdO7ZoqkC0/edit#gid=884617569"",""S5 Totals!$A$2:$O$255""),14,FALSE)"),"")</f>
        <v/>
      </c>
      <c r="R92" s="110"/>
    </row>
    <row r="93">
      <c r="A93" s="128" t="s">
        <v>129</v>
      </c>
      <c r="B93" s="16">
        <f>IFERROR(__xludf.DUMMYFUNCTION("VLOOKUP(A93,IMPORTRANGE(""1aFCnJY1qhIj8-JckJhDJ18aqmVo17tofpQmOjcYa3u8/edit#gid=1878241338"",""S5 Totals!$A$2:$O$255""),2,FALSE)"),17.0)</f>
        <v>17</v>
      </c>
      <c r="C93" s="15">
        <f>IFERROR(__xludf.DUMMYFUNCTION("VLOOKUP(A93,IMPORTRANGE(""1aFCnJY1qhIj8-JckJhDJ18aqmVo17tofpQmOjcYa3u8/edit#gid=1878241338"",""S5 Totals!$A$2:$O$255""),3,FALSE)"),0.20481927710843373)</f>
        <v>0.2048192771</v>
      </c>
      <c r="D93" s="16">
        <f>IFERROR(__xludf.DUMMYFUNCTION("VLOOKUP(A93,IMPORTRANGE(""1QZ5UxyNCwadreQAXnQ7oCoH982DjIA-QnZdO7ZoqkC0/edit#gid=884617569"",""S5 Totals!$A$2:$O$255""),2,FALSE)"),14.0)</f>
        <v>14</v>
      </c>
      <c r="E93" s="15">
        <f>IFERROR(__xludf.DUMMYFUNCTION("VLOOKUP(A93,IMPORTRANGE(""1QZ5UxyNCwadreQAXnQ7oCoH982DjIA-QnZdO7ZoqkC0/edit#gid=884617569"",""S5 Totals!$A$2:$O$255""),3,FALSE)"),0.1686746987951807)</f>
        <v>0.1686746988</v>
      </c>
      <c r="F93" s="146">
        <f t="shared" si="1"/>
        <v>0.03614457831</v>
      </c>
      <c r="G93" s="16">
        <f>IFERROR(__xludf.DUMMYFUNCTION("VLOOKUP(A93,IMPORTRANGE(""1QZ5UxyNCwadreQAXnQ7oCoH982DjIA-QnZdO7ZoqkC0/edit#gid=884617569"",""S5 Totals!$A$2:$O$255""),4,FALSE)"),10.0)</f>
        <v>10</v>
      </c>
      <c r="H93" s="15">
        <f>IFERROR(__xludf.DUMMYFUNCTION("VLOOKUP(A93,IMPORTRANGE(""1QZ5UxyNCwadreQAXnQ7oCoH982DjIA-QnZdO7ZoqkC0/edit#gid=884617569"",""S5 Totals!$A$2:$O$255""),5,FALSE)"),0.20408163265306123)</f>
        <v>0.2040816327</v>
      </c>
      <c r="I93" s="143"/>
      <c r="J93" s="16">
        <f>IFERROR(__xludf.DUMMYFUNCTION("VLOOKUP(A93,IMPORTRANGE(""1QZ5UxyNCwadreQAXnQ7oCoH982DjIA-QnZdO7ZoqkC0/edit#gid=884617569"",""S5 Totals!$A$2:$O$255""),7,FALSE)"),10.0)</f>
        <v>10</v>
      </c>
      <c r="K93" s="15">
        <f>IFERROR(__xludf.DUMMYFUNCTION("VLOOKUP(A93,IMPORTRANGE(""1QZ5UxyNCwadreQAXnQ7oCoH982DjIA-QnZdO7ZoqkC0/edit#gid=884617569"",""S5 Totals!$A$2:$O$255""),8,FALSE)"),0.29411764705882354)</f>
        <v>0.2941176471</v>
      </c>
      <c r="L93" s="147"/>
      <c r="M93" s="16">
        <f>IFERROR(__xludf.DUMMYFUNCTION("VLOOKUP(A93,IMPORTRANGE(""1QZ5UxyNCwadreQAXnQ7oCoH982DjIA-QnZdO7ZoqkC0/edit#gid=884617569"",""S5 Totals!$A$2:$O$255""),10,FALSE)"),8.0)</f>
        <v>8</v>
      </c>
      <c r="N93" s="15">
        <f>IFERROR(__xludf.DUMMYFUNCTION("VLOOKUP(A93,IMPORTRANGE(""1QZ5UxyNCwadreQAXnQ7oCoH982DjIA-QnZdO7ZoqkC0/edit#gid=884617569"",""S5 Totals!$A$2:$O$255""),11,FALSE)"),0.26666666666666666)</f>
        <v>0.2666666667</v>
      </c>
      <c r="O93" s="110"/>
      <c r="P93" s="16" t="str">
        <f>IFERROR(__xludf.DUMMYFUNCTION("VLOOKUP(A93,IMPORTRANGE(""1QZ5UxyNCwadreQAXnQ7oCoH982DjIA-QnZdO7ZoqkC0/edit#gid=884617569"",""S5 Totals!$A$2:$O$255""),13,FALSE)"),"")</f>
        <v/>
      </c>
      <c r="Q93" s="15" t="str">
        <f>IFERROR(__xludf.DUMMYFUNCTION("VLOOKUP(A93,IMPORTRANGE(""1QZ5UxyNCwadreQAXnQ7oCoH982DjIA-QnZdO7ZoqkC0/edit#gid=884617569"",""S5 Totals!$A$2:$O$255""),14,FALSE)"),"")</f>
        <v/>
      </c>
      <c r="R93" s="110"/>
    </row>
    <row r="94">
      <c r="A94" s="128" t="s">
        <v>64</v>
      </c>
      <c r="B94" s="16">
        <f>IFERROR(__xludf.DUMMYFUNCTION("VLOOKUP(A94,IMPORTRANGE(""1aFCnJY1qhIj8-JckJhDJ18aqmVo17tofpQmOjcYa3u8/edit#gid=1878241338"",""S5 Totals!$A$2:$O$255""),2,FALSE)"),27.0)</f>
        <v>27</v>
      </c>
      <c r="C94" s="15">
        <f>IFERROR(__xludf.DUMMYFUNCTION("VLOOKUP(A94,IMPORTRANGE(""1aFCnJY1qhIj8-JckJhDJ18aqmVo17tofpQmOjcYa3u8/edit#gid=1878241338"",""S5 Totals!$A$2:$O$255""),3,FALSE)"),0.3253012048192771)</f>
        <v>0.3253012048</v>
      </c>
      <c r="D94" s="16">
        <f>IFERROR(__xludf.DUMMYFUNCTION("VLOOKUP(A94,IMPORTRANGE(""1QZ5UxyNCwadreQAXnQ7oCoH982DjIA-QnZdO7ZoqkC0/edit#gid=884617569"",""S5 Totals!$A$2:$O$255""),2,FALSE)"),29.0)</f>
        <v>29</v>
      </c>
      <c r="E94" s="15">
        <f>IFERROR(__xludf.DUMMYFUNCTION("VLOOKUP(A94,IMPORTRANGE(""1QZ5UxyNCwadreQAXnQ7oCoH982DjIA-QnZdO7ZoqkC0/edit#gid=884617569"",""S5 Totals!$A$2:$O$255""),3,FALSE)"),0.3493975903614458)</f>
        <v>0.3493975904</v>
      </c>
      <c r="F94" s="146">
        <f t="shared" si="1"/>
        <v>-0.02409638554</v>
      </c>
      <c r="G94" s="16">
        <f>IFERROR(__xludf.DUMMYFUNCTION("VLOOKUP(A94,IMPORTRANGE(""1QZ5UxyNCwadreQAXnQ7oCoH982DjIA-QnZdO7ZoqkC0/edit#gid=884617569"",""S5 Totals!$A$2:$O$255""),4,FALSE)"),16.0)</f>
        <v>16</v>
      </c>
      <c r="H94" s="15">
        <f>IFERROR(__xludf.DUMMYFUNCTION("VLOOKUP(A94,IMPORTRANGE(""1QZ5UxyNCwadreQAXnQ7oCoH982DjIA-QnZdO7ZoqkC0/edit#gid=884617569"",""S5 Totals!$A$2:$O$255""),5,FALSE)"),0.32653061224489793)</f>
        <v>0.3265306122</v>
      </c>
      <c r="I94" s="143"/>
      <c r="J94" s="16">
        <f>IFERROR(__xludf.DUMMYFUNCTION("VLOOKUP(A94,IMPORTRANGE(""1QZ5UxyNCwadreQAXnQ7oCoH982DjIA-QnZdO7ZoqkC0/edit#gid=884617569"",""S5 Totals!$A$2:$O$255""),7,FALSE)"),13.0)</f>
        <v>13</v>
      </c>
      <c r="K94" s="15">
        <f>IFERROR(__xludf.DUMMYFUNCTION("VLOOKUP(A94,IMPORTRANGE(""1QZ5UxyNCwadreQAXnQ7oCoH982DjIA-QnZdO7ZoqkC0/edit#gid=884617569"",""S5 Totals!$A$2:$O$255""),8,FALSE)"),0.38235294117647056)</f>
        <v>0.3823529412</v>
      </c>
      <c r="L94" s="147"/>
      <c r="M94" s="16">
        <f>IFERROR(__xludf.DUMMYFUNCTION("VLOOKUP(A94,IMPORTRANGE(""1QZ5UxyNCwadreQAXnQ7oCoH982DjIA-QnZdO7ZoqkC0/edit#gid=884617569"",""S5 Totals!$A$2:$O$255""),10,FALSE)"),6.0)</f>
        <v>6</v>
      </c>
      <c r="N94" s="15">
        <f>IFERROR(__xludf.DUMMYFUNCTION("VLOOKUP(A94,IMPORTRANGE(""1QZ5UxyNCwadreQAXnQ7oCoH982DjIA-QnZdO7ZoqkC0/edit#gid=884617569"",""S5 Totals!$A$2:$O$255""),11,FALSE)"),0.2)</f>
        <v>0.2</v>
      </c>
      <c r="O94" s="110"/>
      <c r="P94" s="16">
        <f>IFERROR(__xludf.DUMMYFUNCTION("VLOOKUP(A94,IMPORTRANGE(""1QZ5UxyNCwadreQAXnQ7oCoH982DjIA-QnZdO7ZoqkC0/edit#gid=884617569"",""S5 Totals!$A$2:$O$255""),13,FALSE)"),5.0)</f>
        <v>5</v>
      </c>
      <c r="Q94" s="15">
        <f>IFERROR(__xludf.DUMMYFUNCTION("VLOOKUP(A94,IMPORTRANGE(""1QZ5UxyNCwadreQAXnQ7oCoH982DjIA-QnZdO7ZoqkC0/edit#gid=884617569"",""S5 Totals!$A$2:$O$255""),14,FALSE)"),0.17857142857142858)</f>
        <v>0.1785714286</v>
      </c>
      <c r="R94" s="110"/>
    </row>
    <row r="95">
      <c r="A95" s="128" t="s">
        <v>232</v>
      </c>
      <c r="B95" s="16">
        <f>IFERROR(__xludf.DUMMYFUNCTION("VLOOKUP(A95,IMPORTRANGE(""1aFCnJY1qhIj8-JckJhDJ18aqmVo17tofpQmOjcYa3u8/edit#gid=1878241338"",""S5 Totals!$A$2:$O$255""),2,FALSE)"),0.0)</f>
        <v>0</v>
      </c>
      <c r="C95" s="15">
        <f>IFERROR(__xludf.DUMMYFUNCTION("VLOOKUP(A95,IMPORTRANGE(""1aFCnJY1qhIj8-JckJhDJ18aqmVo17tofpQmOjcYa3u8/edit#gid=1878241338"",""S5 Totals!$A$2:$O$255""),3,FALSE)"),0.0)</f>
        <v>0</v>
      </c>
      <c r="D95" s="16">
        <f>IFERROR(__xludf.DUMMYFUNCTION("VLOOKUP(A95,IMPORTRANGE(""1QZ5UxyNCwadreQAXnQ7oCoH982DjIA-QnZdO7ZoqkC0/edit#gid=884617569"",""S5 Totals!$A$2:$O$255""),2,FALSE)"),0.0)</f>
        <v>0</v>
      </c>
      <c r="E95" s="15">
        <f>IFERROR(__xludf.DUMMYFUNCTION("VLOOKUP(A95,IMPORTRANGE(""1QZ5UxyNCwadreQAXnQ7oCoH982DjIA-QnZdO7ZoqkC0/edit#gid=884617569"",""S5 Totals!$A$2:$O$255""),3,FALSE)"),0.0)</f>
        <v>0</v>
      </c>
      <c r="F95" s="146">
        <f t="shared" si="1"/>
        <v>0</v>
      </c>
      <c r="G95" s="16">
        <f>IFERROR(__xludf.DUMMYFUNCTION("VLOOKUP(A95,IMPORTRANGE(""1QZ5UxyNCwadreQAXnQ7oCoH982DjIA-QnZdO7ZoqkC0/edit#gid=884617569"",""S5 Totals!$A$2:$O$255""),4,FALSE)"),1.0)</f>
        <v>1</v>
      </c>
      <c r="H95" s="15">
        <f>IFERROR(__xludf.DUMMYFUNCTION("VLOOKUP(A95,IMPORTRANGE(""1QZ5UxyNCwadreQAXnQ7oCoH982DjIA-QnZdO7ZoqkC0/edit#gid=884617569"",""S5 Totals!$A$2:$O$255""),5,FALSE)"),0.02040816326530612)</f>
        <v>0.02040816327</v>
      </c>
      <c r="I95" s="143"/>
      <c r="J95" s="16" t="str">
        <f>IFERROR(__xludf.DUMMYFUNCTION("VLOOKUP(A95,IMPORTRANGE(""1QZ5UxyNCwadreQAXnQ7oCoH982DjIA-QnZdO7ZoqkC0/edit#gid=884617569"",""S5 Totals!$A$2:$O$255""),7,FALSE)"),"")</f>
        <v/>
      </c>
      <c r="K95" s="15" t="str">
        <f>IFERROR(__xludf.DUMMYFUNCTION("VLOOKUP(A95,IMPORTRANGE(""1QZ5UxyNCwadreQAXnQ7oCoH982DjIA-QnZdO7ZoqkC0/edit#gid=884617569"",""S5 Totals!$A$2:$O$255""),8,FALSE)"),"")</f>
        <v/>
      </c>
      <c r="L95" s="147"/>
      <c r="M95" s="16" t="str">
        <f>IFERROR(__xludf.DUMMYFUNCTION("VLOOKUP(A95,IMPORTRANGE(""1QZ5UxyNCwadreQAXnQ7oCoH982DjIA-QnZdO7ZoqkC0/edit#gid=884617569"",""S5 Totals!$A$2:$O$255""),10,FALSE)"),"")</f>
        <v/>
      </c>
      <c r="N95" s="15" t="str">
        <f>IFERROR(__xludf.DUMMYFUNCTION("VLOOKUP(A95,IMPORTRANGE(""1QZ5UxyNCwadreQAXnQ7oCoH982DjIA-QnZdO7ZoqkC0/edit#gid=884617569"",""S5 Totals!$A$2:$O$255""),11,FALSE)"),"")</f>
        <v/>
      </c>
      <c r="O95" s="110"/>
      <c r="P95" s="16" t="str">
        <f>IFERROR(__xludf.DUMMYFUNCTION("VLOOKUP(A95,IMPORTRANGE(""1QZ5UxyNCwadreQAXnQ7oCoH982DjIA-QnZdO7ZoqkC0/edit#gid=884617569"",""S5 Totals!$A$2:$O$255""),13,FALSE)"),"")</f>
        <v/>
      </c>
      <c r="Q95" s="15" t="str">
        <f>IFERROR(__xludf.DUMMYFUNCTION("VLOOKUP(A95,IMPORTRANGE(""1QZ5UxyNCwadreQAXnQ7oCoH982DjIA-QnZdO7ZoqkC0/edit#gid=884617569"",""S5 Totals!$A$2:$O$255""),14,FALSE)"),"")</f>
        <v/>
      </c>
      <c r="R95" s="110"/>
    </row>
    <row r="96">
      <c r="A96" s="128" t="s">
        <v>51</v>
      </c>
      <c r="B96" s="16">
        <f>IFERROR(__xludf.DUMMYFUNCTION("VLOOKUP(A96,IMPORTRANGE(""1aFCnJY1qhIj8-JckJhDJ18aqmVo17tofpQmOjcYa3u8/edit#gid=1878241338"",""S5 Totals!$A$2:$O$255""),2,FALSE)"),28.0)</f>
        <v>28</v>
      </c>
      <c r="C96" s="15">
        <f>IFERROR(__xludf.DUMMYFUNCTION("VLOOKUP(A96,IMPORTRANGE(""1aFCnJY1qhIj8-JckJhDJ18aqmVo17tofpQmOjcYa3u8/edit#gid=1878241338"",""S5 Totals!$A$2:$O$255""),3,FALSE)"),0.3373493975903614)</f>
        <v>0.3373493976</v>
      </c>
      <c r="D96" s="16">
        <f>IFERROR(__xludf.DUMMYFUNCTION("VLOOKUP(A96,IMPORTRANGE(""1QZ5UxyNCwadreQAXnQ7oCoH982DjIA-QnZdO7ZoqkC0/edit#gid=884617569"",""S5 Totals!$A$2:$O$255""),2,FALSE)"),30.0)</f>
        <v>30</v>
      </c>
      <c r="E96" s="15">
        <f>IFERROR(__xludf.DUMMYFUNCTION("VLOOKUP(A96,IMPORTRANGE(""1QZ5UxyNCwadreQAXnQ7oCoH982DjIA-QnZdO7ZoqkC0/edit#gid=884617569"",""S5 Totals!$A$2:$O$255""),3,FALSE)"),0.3614457831325301)</f>
        <v>0.3614457831</v>
      </c>
      <c r="F96" s="146">
        <f t="shared" si="1"/>
        <v>-0.02409638554</v>
      </c>
      <c r="G96" s="16">
        <f>IFERROR(__xludf.DUMMYFUNCTION("VLOOKUP(A96,IMPORTRANGE(""1QZ5UxyNCwadreQAXnQ7oCoH982DjIA-QnZdO7ZoqkC0/edit#gid=884617569"",""S5 Totals!$A$2:$O$255""),4,FALSE)"),14.0)</f>
        <v>14</v>
      </c>
      <c r="H96" s="15">
        <f>IFERROR(__xludf.DUMMYFUNCTION("VLOOKUP(A96,IMPORTRANGE(""1QZ5UxyNCwadreQAXnQ7oCoH982DjIA-QnZdO7ZoqkC0/edit#gid=884617569"",""S5 Totals!$A$2:$O$255""),5,FALSE)"),0.2857142857142857)</f>
        <v>0.2857142857</v>
      </c>
      <c r="I96" s="143"/>
      <c r="J96" s="16">
        <f>IFERROR(__xludf.DUMMYFUNCTION("VLOOKUP(A96,IMPORTRANGE(""1QZ5UxyNCwadreQAXnQ7oCoH982DjIA-QnZdO7ZoqkC0/edit#gid=884617569"",""S5 Totals!$A$2:$O$255""),7,FALSE)"),12.0)</f>
        <v>12</v>
      </c>
      <c r="K96" s="15">
        <f>IFERROR(__xludf.DUMMYFUNCTION("VLOOKUP(A96,IMPORTRANGE(""1QZ5UxyNCwadreQAXnQ7oCoH982DjIA-QnZdO7ZoqkC0/edit#gid=884617569"",""S5 Totals!$A$2:$O$255""),8,FALSE)"),0.35294117647058826)</f>
        <v>0.3529411765</v>
      </c>
      <c r="L96" s="147"/>
      <c r="M96" s="16">
        <f>IFERROR(__xludf.DUMMYFUNCTION("VLOOKUP(A96,IMPORTRANGE(""1QZ5UxyNCwadreQAXnQ7oCoH982DjIA-QnZdO7ZoqkC0/edit#gid=884617569"",""S5 Totals!$A$2:$O$255""),10,FALSE)"),7.0)</f>
        <v>7</v>
      </c>
      <c r="N96" s="15">
        <f>IFERROR(__xludf.DUMMYFUNCTION("VLOOKUP(A96,IMPORTRANGE(""1QZ5UxyNCwadreQAXnQ7oCoH982DjIA-QnZdO7ZoqkC0/edit#gid=884617569"",""S5 Totals!$A$2:$O$255""),11,FALSE)"),0.23333333333333334)</f>
        <v>0.2333333333</v>
      </c>
      <c r="O96" s="110"/>
      <c r="P96" s="16">
        <f>IFERROR(__xludf.DUMMYFUNCTION("VLOOKUP(A96,IMPORTRANGE(""1QZ5UxyNCwadreQAXnQ7oCoH982DjIA-QnZdO7ZoqkC0/edit#gid=884617569"",""S5 Totals!$A$2:$O$255""),13,FALSE)"),6.0)</f>
        <v>6</v>
      </c>
      <c r="Q96" s="15">
        <f>IFERROR(__xludf.DUMMYFUNCTION("VLOOKUP(A96,IMPORTRANGE(""1QZ5UxyNCwadreQAXnQ7oCoH982DjIA-QnZdO7ZoqkC0/edit#gid=884617569"",""S5 Totals!$A$2:$O$255""),14,FALSE)"),0.21428571428571427)</f>
        <v>0.2142857143</v>
      </c>
      <c r="R96" s="110"/>
    </row>
    <row r="97">
      <c r="A97" s="128" t="s">
        <v>266</v>
      </c>
      <c r="B97" s="16">
        <f>IFERROR(__xludf.DUMMYFUNCTION("VLOOKUP(A97,IMPORTRANGE(""1aFCnJY1qhIj8-JckJhDJ18aqmVo17tofpQmOjcYa3u8/edit#gid=1878241338"",""S5 Totals!$A$2:$O$255""),2,FALSE)"),40.0)</f>
        <v>40</v>
      </c>
      <c r="C97" s="15">
        <f>IFERROR(__xludf.DUMMYFUNCTION("VLOOKUP(A97,IMPORTRANGE(""1aFCnJY1qhIj8-JckJhDJ18aqmVo17tofpQmOjcYa3u8/edit#gid=1878241338"",""S5 Totals!$A$2:$O$255""),3,FALSE)"),0.4819277108433735)</f>
        <v>0.4819277108</v>
      </c>
      <c r="D97" s="16" t="str">
        <f>IFERROR(__xludf.DUMMYFUNCTION("VLOOKUP(A97,IMPORTRANGE(""1QZ5UxyNCwadreQAXnQ7oCoH982DjIA-QnZdO7ZoqkC0/edit#gid=884617569"",""S5 Totals!$A$2:$O$255""),2,FALSE)"),"#N/A")</f>
        <v>#N/A</v>
      </c>
      <c r="E97" s="15" t="str">
        <f>IFERROR(__xludf.DUMMYFUNCTION("VLOOKUP(A97,IMPORTRANGE(""1QZ5UxyNCwadreQAXnQ7oCoH982DjIA-QnZdO7ZoqkC0/edit#gid=884617569"",""S5 Totals!$A$2:$O$255""),3,FALSE)"),"#N/A")</f>
        <v>#N/A</v>
      </c>
      <c r="F97" s="146" t="str">
        <f t="shared" si="1"/>
        <v>#N/A</v>
      </c>
      <c r="G97" s="16" t="str">
        <f>IFERROR(__xludf.DUMMYFUNCTION("VLOOKUP(A97,IMPORTRANGE(""1QZ5UxyNCwadreQAXnQ7oCoH982DjIA-QnZdO7ZoqkC0/edit#gid=884617569"",""S5 Totals!$A$2:$O$255""),4,FALSE)"),"#N/A")</f>
        <v>#N/A</v>
      </c>
      <c r="H97" s="15" t="str">
        <f>IFERROR(__xludf.DUMMYFUNCTION("VLOOKUP(A97,IMPORTRANGE(""1QZ5UxyNCwadreQAXnQ7oCoH982DjIA-QnZdO7ZoqkC0/edit#gid=884617569"",""S5 Totals!$A$2:$O$255""),5,FALSE)"),"#N/A")</f>
        <v>#N/A</v>
      </c>
      <c r="I97" s="143"/>
      <c r="J97" s="16" t="str">
        <f>IFERROR(__xludf.DUMMYFUNCTION("VLOOKUP(A97,IMPORTRANGE(""1QZ5UxyNCwadreQAXnQ7oCoH982DjIA-QnZdO7ZoqkC0/edit#gid=884617569"",""S5 Totals!$A$2:$O$255""),7,FALSE)"),"#N/A")</f>
        <v>#N/A</v>
      </c>
      <c r="K97" s="15" t="str">
        <f>IFERROR(__xludf.DUMMYFUNCTION("VLOOKUP(A97,IMPORTRANGE(""1QZ5UxyNCwadreQAXnQ7oCoH982DjIA-QnZdO7ZoqkC0/edit#gid=884617569"",""S5 Totals!$A$2:$O$255""),8,FALSE)"),"#N/A")</f>
        <v>#N/A</v>
      </c>
      <c r="L97" s="147"/>
      <c r="M97" s="16" t="str">
        <f>IFERROR(__xludf.DUMMYFUNCTION("VLOOKUP(A97,IMPORTRANGE(""1QZ5UxyNCwadreQAXnQ7oCoH982DjIA-QnZdO7ZoqkC0/edit#gid=884617569"",""S5 Totals!$A$2:$O$255""),10,FALSE)"),"#N/A")</f>
        <v>#N/A</v>
      </c>
      <c r="N97" s="15" t="str">
        <f>IFERROR(__xludf.DUMMYFUNCTION("VLOOKUP(A97,IMPORTRANGE(""1QZ5UxyNCwadreQAXnQ7oCoH982DjIA-QnZdO7ZoqkC0/edit#gid=884617569"",""S5 Totals!$A$2:$O$255""),11,FALSE)"),"#N/A")</f>
        <v>#N/A</v>
      </c>
      <c r="O97" s="110"/>
      <c r="P97" s="16" t="str">
        <f>IFERROR(__xludf.DUMMYFUNCTION("VLOOKUP(A97,IMPORTRANGE(""1QZ5UxyNCwadreQAXnQ7oCoH982DjIA-QnZdO7ZoqkC0/edit#gid=884617569"",""S5 Totals!$A$2:$O$255""),13,FALSE)"),"#N/A")</f>
        <v>#N/A</v>
      </c>
      <c r="Q97" s="15" t="str">
        <f>IFERROR(__xludf.DUMMYFUNCTION("VLOOKUP(A97,IMPORTRANGE(""1QZ5UxyNCwadreQAXnQ7oCoH982DjIA-QnZdO7ZoqkC0/edit#gid=884617569"",""S5 Totals!$A$2:$O$255""),14,FALSE)"),"#N/A")</f>
        <v>#N/A</v>
      </c>
      <c r="R97" s="110"/>
    </row>
    <row r="98">
      <c r="A98" s="128" t="s">
        <v>52</v>
      </c>
      <c r="B98" s="16">
        <f>IFERROR(__xludf.DUMMYFUNCTION("VLOOKUP(A98,IMPORTRANGE(""1aFCnJY1qhIj8-JckJhDJ18aqmVo17tofpQmOjcYa3u8/edit#gid=1878241338"",""S5 Totals!$A$2:$O$255""),2,FALSE)"),57.0)</f>
        <v>57</v>
      </c>
      <c r="C98" s="15">
        <f>IFERROR(__xludf.DUMMYFUNCTION("VLOOKUP(A98,IMPORTRANGE(""1aFCnJY1qhIj8-JckJhDJ18aqmVo17tofpQmOjcYa3u8/edit#gid=1878241338"",""S5 Totals!$A$2:$O$255""),3,FALSE)"),0.6867469879518072)</f>
        <v>0.686746988</v>
      </c>
      <c r="D98" s="16">
        <f>IFERROR(__xludf.DUMMYFUNCTION("VLOOKUP(A98,IMPORTRANGE(""1QZ5UxyNCwadreQAXnQ7oCoH982DjIA-QnZdO7ZoqkC0/edit#gid=884617569"",""S5 Totals!$A$2:$O$255""),2,FALSE)"),55.0)</f>
        <v>55</v>
      </c>
      <c r="E98" s="15">
        <f>IFERROR(__xludf.DUMMYFUNCTION("VLOOKUP(A98,IMPORTRANGE(""1QZ5UxyNCwadreQAXnQ7oCoH982DjIA-QnZdO7ZoqkC0/edit#gid=884617569"",""S5 Totals!$A$2:$O$255""),3,FALSE)"),0.6626506024096386)</f>
        <v>0.6626506024</v>
      </c>
      <c r="F98" s="146">
        <f t="shared" si="1"/>
        <v>0.02409638554</v>
      </c>
      <c r="G98" s="16">
        <f>IFERROR(__xludf.DUMMYFUNCTION("VLOOKUP(A98,IMPORTRANGE(""1QZ5UxyNCwadreQAXnQ7oCoH982DjIA-QnZdO7ZoqkC0/edit#gid=884617569"",""S5 Totals!$A$2:$O$255""),4,FALSE)"),25.0)</f>
        <v>25</v>
      </c>
      <c r="H98" s="15">
        <f>IFERROR(__xludf.DUMMYFUNCTION("VLOOKUP(A98,IMPORTRANGE(""1QZ5UxyNCwadreQAXnQ7oCoH982DjIA-QnZdO7ZoqkC0/edit#gid=884617569"",""S5 Totals!$A$2:$O$255""),5,FALSE)"),0.5102040816326531)</f>
        <v>0.5102040816</v>
      </c>
      <c r="I98" s="143"/>
      <c r="J98" s="16">
        <f>IFERROR(__xludf.DUMMYFUNCTION("VLOOKUP(A98,IMPORTRANGE(""1QZ5UxyNCwadreQAXnQ7oCoH982DjIA-QnZdO7ZoqkC0/edit#gid=884617569"",""S5 Totals!$A$2:$O$255""),7,FALSE)"),18.0)</f>
        <v>18</v>
      </c>
      <c r="K98" s="15">
        <f>IFERROR(__xludf.DUMMYFUNCTION("VLOOKUP(A98,IMPORTRANGE(""1QZ5UxyNCwadreQAXnQ7oCoH982DjIA-QnZdO7ZoqkC0/edit#gid=884617569"",""S5 Totals!$A$2:$O$255""),8,FALSE)"),0.5294117647058824)</f>
        <v>0.5294117647</v>
      </c>
      <c r="L98" s="147"/>
      <c r="M98" s="16">
        <f>IFERROR(__xludf.DUMMYFUNCTION("VLOOKUP(A98,IMPORTRANGE(""1QZ5UxyNCwadreQAXnQ7oCoH982DjIA-QnZdO7ZoqkC0/edit#gid=884617569"",""S5 Totals!$A$2:$O$255""),10,FALSE)"),8.0)</f>
        <v>8</v>
      </c>
      <c r="N98" s="15">
        <f>IFERROR(__xludf.DUMMYFUNCTION("VLOOKUP(A98,IMPORTRANGE(""1QZ5UxyNCwadreQAXnQ7oCoH982DjIA-QnZdO7ZoqkC0/edit#gid=884617569"",""S5 Totals!$A$2:$O$255""),11,FALSE)"),0.26666666666666666)</f>
        <v>0.2666666667</v>
      </c>
      <c r="O98" s="110"/>
      <c r="P98" s="16">
        <f>IFERROR(__xludf.DUMMYFUNCTION("VLOOKUP(A98,IMPORTRANGE(""1QZ5UxyNCwadreQAXnQ7oCoH982DjIA-QnZdO7ZoqkC0/edit#gid=884617569"",""S5 Totals!$A$2:$O$255""),13,FALSE)"),5.0)</f>
        <v>5</v>
      </c>
      <c r="Q98" s="15">
        <f>IFERROR(__xludf.DUMMYFUNCTION("VLOOKUP(A98,IMPORTRANGE(""1QZ5UxyNCwadreQAXnQ7oCoH982DjIA-QnZdO7ZoqkC0/edit#gid=884617569"",""S5 Totals!$A$2:$O$255""),14,FALSE)"),0.17857142857142858)</f>
        <v>0.1785714286</v>
      </c>
      <c r="R98" s="110"/>
    </row>
    <row r="99">
      <c r="A99" s="128" t="s">
        <v>53</v>
      </c>
      <c r="B99" s="16">
        <f>IFERROR(__xludf.DUMMYFUNCTION("VLOOKUP(A99,IMPORTRANGE(""1aFCnJY1qhIj8-JckJhDJ18aqmVo17tofpQmOjcYa3u8/edit#gid=1878241338"",""S5 Totals!$A$2:$O$255""),2,FALSE)"),21.0)</f>
        <v>21</v>
      </c>
      <c r="C99" s="15">
        <f>IFERROR(__xludf.DUMMYFUNCTION("VLOOKUP(A99,IMPORTRANGE(""1aFCnJY1qhIj8-JckJhDJ18aqmVo17tofpQmOjcYa3u8/edit#gid=1878241338"",""S5 Totals!$A$2:$O$255""),3,FALSE)"),0.25301204819277107)</f>
        <v>0.2530120482</v>
      </c>
      <c r="D99" s="16">
        <f>IFERROR(__xludf.DUMMYFUNCTION("VLOOKUP(A99,IMPORTRANGE(""1QZ5UxyNCwadreQAXnQ7oCoH982DjIA-QnZdO7ZoqkC0/edit#gid=884617569"",""S5 Totals!$A$2:$O$255""),2,FALSE)"),6.0)</f>
        <v>6</v>
      </c>
      <c r="E99" s="15">
        <f>IFERROR(__xludf.DUMMYFUNCTION("VLOOKUP(A99,IMPORTRANGE(""1QZ5UxyNCwadreQAXnQ7oCoH982DjIA-QnZdO7ZoqkC0/edit#gid=884617569"",""S5 Totals!$A$2:$O$255""),3,FALSE)"),0.07228915662650602)</f>
        <v>0.07228915663</v>
      </c>
      <c r="F99" s="146">
        <f t="shared" si="1"/>
        <v>0.1807228916</v>
      </c>
      <c r="G99" s="16">
        <f>IFERROR(__xludf.DUMMYFUNCTION("VLOOKUP(A99,IMPORTRANGE(""1QZ5UxyNCwadreQAXnQ7oCoH982DjIA-QnZdO7ZoqkC0/edit#gid=884617569"",""S5 Totals!$A$2:$O$255""),4,FALSE)"),8.0)</f>
        <v>8</v>
      </c>
      <c r="H99" s="15">
        <f>IFERROR(__xludf.DUMMYFUNCTION("VLOOKUP(A99,IMPORTRANGE(""1QZ5UxyNCwadreQAXnQ7oCoH982DjIA-QnZdO7ZoqkC0/edit#gid=884617569"",""S5 Totals!$A$2:$O$255""),5,FALSE)"),0.16326530612244897)</f>
        <v>0.1632653061</v>
      </c>
      <c r="I99" s="143"/>
      <c r="J99" s="16">
        <f>IFERROR(__xludf.DUMMYFUNCTION("VLOOKUP(A99,IMPORTRANGE(""1QZ5UxyNCwadreQAXnQ7oCoH982DjIA-QnZdO7ZoqkC0/edit#gid=884617569"",""S5 Totals!$A$2:$O$255""),7,FALSE)"),9.0)</f>
        <v>9</v>
      </c>
      <c r="K99" s="15">
        <f>IFERROR(__xludf.DUMMYFUNCTION("VLOOKUP(A99,IMPORTRANGE(""1QZ5UxyNCwadreQAXnQ7oCoH982DjIA-QnZdO7ZoqkC0/edit#gid=884617569"",""S5 Totals!$A$2:$O$255""),8,FALSE)"),0.2647058823529412)</f>
        <v>0.2647058824</v>
      </c>
      <c r="L99" s="147"/>
      <c r="M99" s="16">
        <f>IFERROR(__xludf.DUMMYFUNCTION("VLOOKUP(A99,IMPORTRANGE(""1QZ5UxyNCwadreQAXnQ7oCoH982DjIA-QnZdO7ZoqkC0/edit#gid=884617569"",""S5 Totals!$A$2:$O$255""),10,FALSE)"),4.0)</f>
        <v>4</v>
      </c>
      <c r="N99" s="15">
        <f>IFERROR(__xludf.DUMMYFUNCTION("VLOOKUP(A99,IMPORTRANGE(""1QZ5UxyNCwadreQAXnQ7oCoH982DjIA-QnZdO7ZoqkC0/edit#gid=884617569"",""S5 Totals!$A$2:$O$255""),11,FALSE)"),0.13333333333333333)</f>
        <v>0.1333333333</v>
      </c>
      <c r="O99" s="110"/>
      <c r="P99" s="16">
        <f>IFERROR(__xludf.DUMMYFUNCTION("VLOOKUP(A99,IMPORTRANGE(""1QZ5UxyNCwadreQAXnQ7oCoH982DjIA-QnZdO7ZoqkC0/edit#gid=884617569"",""S5 Totals!$A$2:$O$255""),13,FALSE)"),0.0)</f>
        <v>0</v>
      </c>
      <c r="Q99" s="15">
        <f>IFERROR(__xludf.DUMMYFUNCTION("VLOOKUP(A99,IMPORTRANGE(""1QZ5UxyNCwadreQAXnQ7oCoH982DjIA-QnZdO7ZoqkC0/edit#gid=884617569"",""S5 Totals!$A$2:$O$255""),14,FALSE)"),0.0)</f>
        <v>0</v>
      </c>
      <c r="R99" s="110"/>
    </row>
    <row r="100">
      <c r="A100" s="128" t="s">
        <v>54</v>
      </c>
      <c r="B100" s="16">
        <f>IFERROR(__xludf.DUMMYFUNCTION("VLOOKUP(A100,IMPORTRANGE(""1aFCnJY1qhIj8-JckJhDJ18aqmVo17tofpQmOjcYa3u8/edit#gid=1878241338"",""S5 Totals!$A$2:$O$255""),2,FALSE)"),51.0)</f>
        <v>51</v>
      </c>
      <c r="C100" s="15">
        <f>IFERROR(__xludf.DUMMYFUNCTION("VLOOKUP(A100,IMPORTRANGE(""1aFCnJY1qhIj8-JckJhDJ18aqmVo17tofpQmOjcYa3u8/edit#gid=1878241338"",""S5 Totals!$A$2:$O$255""),3,FALSE)"),0.6144578313253012)</f>
        <v>0.6144578313</v>
      </c>
      <c r="D100" s="16">
        <f>IFERROR(__xludf.DUMMYFUNCTION("VLOOKUP(A100,IMPORTRANGE(""1QZ5UxyNCwadreQAXnQ7oCoH982DjIA-QnZdO7ZoqkC0/edit#gid=884617569"",""S5 Totals!$A$2:$O$255""),2,FALSE)"),45.0)</f>
        <v>45</v>
      </c>
      <c r="E100" s="15">
        <f>IFERROR(__xludf.DUMMYFUNCTION("VLOOKUP(A100,IMPORTRANGE(""1QZ5UxyNCwadreQAXnQ7oCoH982DjIA-QnZdO7ZoqkC0/edit#gid=884617569"",""S5 Totals!$A$2:$O$255""),3,FALSE)"),0.5421686746987951)</f>
        <v>0.5421686747</v>
      </c>
      <c r="F100" s="146">
        <f t="shared" si="1"/>
        <v>0.07228915663</v>
      </c>
      <c r="G100" s="16">
        <f>IFERROR(__xludf.DUMMYFUNCTION("VLOOKUP(A100,IMPORTRANGE(""1QZ5UxyNCwadreQAXnQ7oCoH982DjIA-QnZdO7ZoqkC0/edit#gid=884617569"",""S5 Totals!$A$2:$O$255""),4,FALSE)"),31.0)</f>
        <v>31</v>
      </c>
      <c r="H100" s="15">
        <f>IFERROR(__xludf.DUMMYFUNCTION("VLOOKUP(A100,IMPORTRANGE(""1QZ5UxyNCwadreQAXnQ7oCoH982DjIA-QnZdO7ZoqkC0/edit#gid=884617569"",""S5 Totals!$A$2:$O$255""),5,FALSE)"),0.6326530612244898)</f>
        <v>0.6326530612</v>
      </c>
      <c r="I100" s="143"/>
      <c r="J100" s="16">
        <f>IFERROR(__xludf.DUMMYFUNCTION("VLOOKUP(A100,IMPORTRANGE(""1QZ5UxyNCwadreQAXnQ7oCoH982DjIA-QnZdO7ZoqkC0/edit#gid=884617569"",""S5 Totals!$A$2:$O$255""),7,FALSE)"),24.0)</f>
        <v>24</v>
      </c>
      <c r="K100" s="15">
        <f>IFERROR(__xludf.DUMMYFUNCTION("VLOOKUP(A100,IMPORTRANGE(""1QZ5UxyNCwadreQAXnQ7oCoH982DjIA-QnZdO7ZoqkC0/edit#gid=884617569"",""S5 Totals!$A$2:$O$255""),8,FALSE)"),0.7058823529411765)</f>
        <v>0.7058823529</v>
      </c>
      <c r="L100" s="147"/>
      <c r="M100" s="16">
        <f>IFERROR(__xludf.DUMMYFUNCTION("VLOOKUP(A100,IMPORTRANGE(""1QZ5UxyNCwadreQAXnQ7oCoH982DjIA-QnZdO7ZoqkC0/edit#gid=884617569"",""S5 Totals!$A$2:$O$255""),10,FALSE)"),15.0)</f>
        <v>15</v>
      </c>
      <c r="N100" s="15">
        <f>IFERROR(__xludf.DUMMYFUNCTION("VLOOKUP(A100,IMPORTRANGE(""1QZ5UxyNCwadreQAXnQ7oCoH982DjIA-QnZdO7ZoqkC0/edit#gid=884617569"",""S5 Totals!$A$2:$O$255""),11,FALSE)"),0.5)</f>
        <v>0.5</v>
      </c>
      <c r="O100" s="110"/>
      <c r="P100" s="16">
        <f>IFERROR(__xludf.DUMMYFUNCTION("VLOOKUP(A100,IMPORTRANGE(""1QZ5UxyNCwadreQAXnQ7oCoH982DjIA-QnZdO7ZoqkC0/edit#gid=884617569"",""S5 Totals!$A$2:$O$255""),13,FALSE)"),13.0)</f>
        <v>13</v>
      </c>
      <c r="Q100" s="15">
        <f>IFERROR(__xludf.DUMMYFUNCTION("VLOOKUP(A100,IMPORTRANGE(""1QZ5UxyNCwadreQAXnQ7oCoH982DjIA-QnZdO7ZoqkC0/edit#gid=884617569"",""S5 Totals!$A$2:$O$255""),14,FALSE)"),0.4642857142857143)</f>
        <v>0.4642857143</v>
      </c>
      <c r="R100" s="110"/>
    </row>
    <row r="101">
      <c r="A101" s="128" t="s">
        <v>55</v>
      </c>
      <c r="B101" s="16">
        <f>IFERROR(__xludf.DUMMYFUNCTION("VLOOKUP(A101,IMPORTRANGE(""1aFCnJY1qhIj8-JckJhDJ18aqmVo17tofpQmOjcYa3u8/edit#gid=1878241338"",""S5 Totals!$A$2:$O$255""),2,FALSE)"),10.0)</f>
        <v>10</v>
      </c>
      <c r="C101" s="15">
        <f>IFERROR(__xludf.DUMMYFUNCTION("VLOOKUP(A101,IMPORTRANGE(""1aFCnJY1qhIj8-JckJhDJ18aqmVo17tofpQmOjcYa3u8/edit#gid=1878241338"",""S5 Totals!$A$2:$O$255""),3,FALSE)"),0.12048192771084337)</f>
        <v>0.1204819277</v>
      </c>
      <c r="D101" s="16">
        <f>IFERROR(__xludf.DUMMYFUNCTION("VLOOKUP(A101,IMPORTRANGE(""1QZ5UxyNCwadreQAXnQ7oCoH982DjIA-QnZdO7ZoqkC0/edit#gid=884617569"",""S5 Totals!$A$2:$O$255""),2,FALSE)"),27.0)</f>
        <v>27</v>
      </c>
      <c r="E101" s="15">
        <f>IFERROR(__xludf.DUMMYFUNCTION("VLOOKUP(A101,IMPORTRANGE(""1QZ5UxyNCwadreQAXnQ7oCoH982DjIA-QnZdO7ZoqkC0/edit#gid=884617569"",""S5 Totals!$A$2:$O$255""),3,FALSE)"),0.3253012048192771)</f>
        <v>0.3253012048</v>
      </c>
      <c r="F101" s="146">
        <f t="shared" si="1"/>
        <v>-0.2048192771</v>
      </c>
      <c r="G101" s="16">
        <f>IFERROR(__xludf.DUMMYFUNCTION("VLOOKUP(A101,IMPORTRANGE(""1QZ5UxyNCwadreQAXnQ7oCoH982DjIA-QnZdO7ZoqkC0/edit#gid=884617569"",""S5 Totals!$A$2:$O$255""),4,FALSE)"),10.0)</f>
        <v>10</v>
      </c>
      <c r="H101" s="15">
        <f>IFERROR(__xludf.DUMMYFUNCTION("VLOOKUP(A101,IMPORTRANGE(""1QZ5UxyNCwadreQAXnQ7oCoH982DjIA-QnZdO7ZoqkC0/edit#gid=884617569"",""S5 Totals!$A$2:$O$255""),5,FALSE)"),0.20408163265306123)</f>
        <v>0.2040816327</v>
      </c>
      <c r="I101" s="143"/>
      <c r="J101" s="16">
        <f>IFERROR(__xludf.DUMMYFUNCTION("VLOOKUP(A101,IMPORTRANGE(""1QZ5UxyNCwadreQAXnQ7oCoH982DjIA-QnZdO7ZoqkC0/edit#gid=884617569"",""S5 Totals!$A$2:$O$255""),7,FALSE)"),6.0)</f>
        <v>6</v>
      </c>
      <c r="K101" s="15">
        <f>IFERROR(__xludf.DUMMYFUNCTION("VLOOKUP(A101,IMPORTRANGE(""1QZ5UxyNCwadreQAXnQ7oCoH982DjIA-QnZdO7ZoqkC0/edit#gid=884617569"",""S5 Totals!$A$2:$O$255""),8,FALSE)"),0.17647058823529413)</f>
        <v>0.1764705882</v>
      </c>
      <c r="L101" s="147"/>
      <c r="M101" s="16">
        <f>IFERROR(__xludf.DUMMYFUNCTION("VLOOKUP(A101,IMPORTRANGE(""1QZ5UxyNCwadreQAXnQ7oCoH982DjIA-QnZdO7ZoqkC0/edit#gid=884617569"",""S5 Totals!$A$2:$O$255""),10,FALSE)"),0.0)</f>
        <v>0</v>
      </c>
      <c r="N101" s="15">
        <f>IFERROR(__xludf.DUMMYFUNCTION("VLOOKUP(A101,IMPORTRANGE(""1QZ5UxyNCwadreQAXnQ7oCoH982DjIA-QnZdO7ZoqkC0/edit#gid=884617569"",""S5 Totals!$A$2:$O$255""),11,FALSE)"),0.0)</f>
        <v>0</v>
      </c>
      <c r="O101" s="110"/>
      <c r="P101" s="16">
        <f>IFERROR(__xludf.DUMMYFUNCTION("VLOOKUP(A101,IMPORTRANGE(""1QZ5UxyNCwadreQAXnQ7oCoH982DjIA-QnZdO7ZoqkC0/edit#gid=884617569"",""S5 Totals!$A$2:$O$255""),13,FALSE)"),4.0)</f>
        <v>4</v>
      </c>
      <c r="Q101" s="15">
        <f>IFERROR(__xludf.DUMMYFUNCTION("VLOOKUP(A101,IMPORTRANGE(""1QZ5UxyNCwadreQAXnQ7oCoH982DjIA-QnZdO7ZoqkC0/edit#gid=884617569"",""S5 Totals!$A$2:$O$255""),14,FALSE)"),0.14285714285714285)</f>
        <v>0.1428571429</v>
      </c>
      <c r="R101" s="110"/>
    </row>
    <row r="102">
      <c r="A102" s="128" t="s">
        <v>50</v>
      </c>
      <c r="B102" s="16">
        <f>IFERROR(__xludf.DUMMYFUNCTION("VLOOKUP(A102,IMPORTRANGE(""1aFCnJY1qhIj8-JckJhDJ18aqmVo17tofpQmOjcYa3u8/edit#gid=1878241338"",""S5 Totals!$A$2:$O$255""),2,FALSE)"),0.0)</f>
        <v>0</v>
      </c>
      <c r="C102" s="15">
        <f>IFERROR(__xludf.DUMMYFUNCTION("VLOOKUP(A102,IMPORTRANGE(""1aFCnJY1qhIj8-JckJhDJ18aqmVo17tofpQmOjcYa3u8/edit#gid=1878241338"",""S5 Totals!$A$2:$O$255""),3,FALSE)"),0.0)</f>
        <v>0</v>
      </c>
      <c r="D102" s="16">
        <f>IFERROR(__xludf.DUMMYFUNCTION("VLOOKUP(A102,IMPORTRANGE(""1QZ5UxyNCwadreQAXnQ7oCoH982DjIA-QnZdO7ZoqkC0/edit#gid=884617569"",""S5 Totals!$A$2:$O$255""),2,FALSE)"),0.0)</f>
        <v>0</v>
      </c>
      <c r="E102" s="15">
        <f>IFERROR(__xludf.DUMMYFUNCTION("VLOOKUP(A102,IMPORTRANGE(""1QZ5UxyNCwadreQAXnQ7oCoH982DjIA-QnZdO7ZoqkC0/edit#gid=884617569"",""S5 Totals!$A$2:$O$255""),3,FALSE)"),0.0)</f>
        <v>0</v>
      </c>
      <c r="F102" s="146">
        <f t="shared" si="1"/>
        <v>0</v>
      </c>
      <c r="G102" s="16">
        <f>IFERROR(__xludf.DUMMYFUNCTION("VLOOKUP(A102,IMPORTRANGE(""1QZ5UxyNCwadreQAXnQ7oCoH982DjIA-QnZdO7ZoqkC0/edit#gid=884617569"",""S5 Totals!$A$2:$O$255""),4,FALSE)"),0.0)</f>
        <v>0</v>
      </c>
      <c r="H102" s="15">
        <f>IFERROR(__xludf.DUMMYFUNCTION("VLOOKUP(A102,IMPORTRANGE(""1QZ5UxyNCwadreQAXnQ7oCoH982DjIA-QnZdO7ZoqkC0/edit#gid=884617569"",""S5 Totals!$A$2:$O$255""),5,FALSE)"),0.0)</f>
        <v>0</v>
      </c>
      <c r="I102" s="143"/>
      <c r="J102" s="16">
        <f>IFERROR(__xludf.DUMMYFUNCTION("VLOOKUP(A102,IMPORTRANGE(""1QZ5UxyNCwadreQAXnQ7oCoH982DjIA-QnZdO7ZoqkC0/edit#gid=884617569"",""S5 Totals!$A$2:$O$255""),7,FALSE)"),0.0)</f>
        <v>0</v>
      </c>
      <c r="K102" s="15">
        <f>IFERROR(__xludf.DUMMYFUNCTION("VLOOKUP(A102,IMPORTRANGE(""1QZ5UxyNCwadreQAXnQ7oCoH982DjIA-QnZdO7ZoqkC0/edit#gid=884617569"",""S5 Totals!$A$2:$O$255""),8,FALSE)"),0.0)</f>
        <v>0</v>
      </c>
      <c r="L102" s="147"/>
      <c r="M102" s="16">
        <f>IFERROR(__xludf.DUMMYFUNCTION("VLOOKUP(A102,IMPORTRANGE(""1QZ5UxyNCwadreQAXnQ7oCoH982DjIA-QnZdO7ZoqkC0/edit#gid=884617569"",""S5 Totals!$A$2:$O$255""),10,FALSE)"),0.0)</f>
        <v>0</v>
      </c>
      <c r="N102" s="15">
        <f>IFERROR(__xludf.DUMMYFUNCTION("VLOOKUP(A102,IMPORTRANGE(""1QZ5UxyNCwadreQAXnQ7oCoH982DjIA-QnZdO7ZoqkC0/edit#gid=884617569"",""S5 Totals!$A$2:$O$255""),11,FALSE)"),0.0)</f>
        <v>0</v>
      </c>
      <c r="O102" s="110"/>
      <c r="P102" s="16">
        <f>IFERROR(__xludf.DUMMYFUNCTION("VLOOKUP(A102,IMPORTRANGE(""1QZ5UxyNCwadreQAXnQ7oCoH982DjIA-QnZdO7ZoqkC0/edit#gid=884617569"",""S5 Totals!$A$2:$O$255""),13,FALSE)"),0.0)</f>
        <v>0</v>
      </c>
      <c r="Q102" s="15">
        <f>IFERROR(__xludf.DUMMYFUNCTION("VLOOKUP(A102,IMPORTRANGE(""1QZ5UxyNCwadreQAXnQ7oCoH982DjIA-QnZdO7ZoqkC0/edit#gid=884617569"",""S5 Totals!$A$2:$O$255""),14,FALSE)"),0.0)</f>
        <v>0</v>
      </c>
      <c r="R102" s="110"/>
    </row>
    <row r="103">
      <c r="A103" s="128" t="s">
        <v>233</v>
      </c>
      <c r="B103" s="16">
        <f>IFERROR(__xludf.DUMMYFUNCTION("VLOOKUP(A103,IMPORTRANGE(""1aFCnJY1qhIj8-JckJhDJ18aqmVo17tofpQmOjcYa3u8/edit#gid=1878241338"",""S5 Totals!$A$2:$O$255""),2,FALSE)"),10.0)</f>
        <v>10</v>
      </c>
      <c r="C103" s="15">
        <f>IFERROR(__xludf.DUMMYFUNCTION("VLOOKUP(A103,IMPORTRANGE(""1aFCnJY1qhIj8-JckJhDJ18aqmVo17tofpQmOjcYa3u8/edit#gid=1878241338"",""S5 Totals!$A$2:$O$255""),3,FALSE)"),0.12048192771084337)</f>
        <v>0.1204819277</v>
      </c>
      <c r="D103" s="16">
        <f>IFERROR(__xludf.DUMMYFUNCTION("VLOOKUP(A103,IMPORTRANGE(""1QZ5UxyNCwadreQAXnQ7oCoH982DjIA-QnZdO7ZoqkC0/edit#gid=884617569"",""S5 Totals!$A$2:$O$255""),2,FALSE)"),15.0)</f>
        <v>15</v>
      </c>
      <c r="E103" s="15">
        <f>IFERROR(__xludf.DUMMYFUNCTION("VLOOKUP(A103,IMPORTRANGE(""1QZ5UxyNCwadreQAXnQ7oCoH982DjIA-QnZdO7ZoqkC0/edit#gid=884617569"",""S5 Totals!$A$2:$O$255""),3,FALSE)"),0.18072289156626506)</f>
        <v>0.1807228916</v>
      </c>
      <c r="F103" s="146">
        <f t="shared" si="1"/>
        <v>-0.06024096386</v>
      </c>
      <c r="G103" s="16">
        <f>IFERROR(__xludf.DUMMYFUNCTION("VLOOKUP(A103,IMPORTRANGE(""1QZ5UxyNCwadreQAXnQ7oCoH982DjIA-QnZdO7ZoqkC0/edit#gid=884617569"",""S5 Totals!$A$2:$O$255""),4,FALSE)"),8.0)</f>
        <v>8</v>
      </c>
      <c r="H103" s="15">
        <f>IFERROR(__xludf.DUMMYFUNCTION("VLOOKUP(A103,IMPORTRANGE(""1QZ5UxyNCwadreQAXnQ7oCoH982DjIA-QnZdO7ZoqkC0/edit#gid=884617569"",""S5 Totals!$A$2:$O$255""),5,FALSE)"),0.16326530612244897)</f>
        <v>0.1632653061</v>
      </c>
      <c r="I103" s="143"/>
      <c r="J103" s="16" t="str">
        <f>IFERROR(__xludf.DUMMYFUNCTION("VLOOKUP(A103,IMPORTRANGE(""1QZ5UxyNCwadreQAXnQ7oCoH982DjIA-QnZdO7ZoqkC0/edit#gid=884617569"",""S5 Totals!$A$2:$O$255""),7,FALSE)"),"")</f>
        <v/>
      </c>
      <c r="K103" s="15" t="str">
        <f>IFERROR(__xludf.DUMMYFUNCTION("VLOOKUP(A103,IMPORTRANGE(""1QZ5UxyNCwadreQAXnQ7oCoH982DjIA-QnZdO7ZoqkC0/edit#gid=884617569"",""S5 Totals!$A$2:$O$255""),8,FALSE)"),"")</f>
        <v/>
      </c>
      <c r="L103" s="147"/>
      <c r="M103" s="16" t="str">
        <f>IFERROR(__xludf.DUMMYFUNCTION("VLOOKUP(A103,IMPORTRANGE(""1QZ5UxyNCwadreQAXnQ7oCoH982DjIA-QnZdO7ZoqkC0/edit#gid=884617569"",""S5 Totals!$A$2:$O$255""),10,FALSE)"),"")</f>
        <v/>
      </c>
      <c r="N103" s="15" t="str">
        <f>IFERROR(__xludf.DUMMYFUNCTION("VLOOKUP(A103,IMPORTRANGE(""1QZ5UxyNCwadreQAXnQ7oCoH982DjIA-QnZdO7ZoqkC0/edit#gid=884617569"",""S5 Totals!$A$2:$O$255""),11,FALSE)"),"")</f>
        <v/>
      </c>
      <c r="O103" s="110"/>
      <c r="P103" s="16" t="str">
        <f>IFERROR(__xludf.DUMMYFUNCTION("VLOOKUP(A103,IMPORTRANGE(""1QZ5UxyNCwadreQAXnQ7oCoH982DjIA-QnZdO7ZoqkC0/edit#gid=884617569"",""S5 Totals!$A$2:$O$255""),13,FALSE)"),"")</f>
        <v/>
      </c>
      <c r="Q103" s="15" t="str">
        <f>IFERROR(__xludf.DUMMYFUNCTION("VLOOKUP(A103,IMPORTRANGE(""1QZ5UxyNCwadreQAXnQ7oCoH982DjIA-QnZdO7ZoqkC0/edit#gid=884617569"",""S5 Totals!$A$2:$O$255""),14,FALSE)"),"")</f>
        <v/>
      </c>
      <c r="R103" s="110"/>
    </row>
    <row r="104">
      <c r="A104" s="128" t="s">
        <v>234</v>
      </c>
      <c r="B104" s="16">
        <f>IFERROR(__xludf.DUMMYFUNCTION("VLOOKUP(A104,IMPORTRANGE(""1aFCnJY1qhIj8-JckJhDJ18aqmVo17tofpQmOjcYa3u8/edit#gid=1878241338"",""S5 Totals!$A$2:$O$255""),2,FALSE)"),1.0)</f>
        <v>1</v>
      </c>
      <c r="C104" s="15">
        <f>IFERROR(__xludf.DUMMYFUNCTION("VLOOKUP(A104,IMPORTRANGE(""1aFCnJY1qhIj8-JckJhDJ18aqmVo17tofpQmOjcYa3u8/edit#gid=1878241338"",""S5 Totals!$A$2:$O$255""),3,FALSE)"),0.012048192771084338)</f>
        <v>0.01204819277</v>
      </c>
      <c r="D104" s="16">
        <f>IFERROR(__xludf.DUMMYFUNCTION("VLOOKUP(A104,IMPORTRANGE(""1QZ5UxyNCwadreQAXnQ7oCoH982DjIA-QnZdO7ZoqkC0/edit#gid=884617569"",""S5 Totals!$A$2:$O$255""),2,FALSE)"),4.0)</f>
        <v>4</v>
      </c>
      <c r="E104" s="15">
        <f>IFERROR(__xludf.DUMMYFUNCTION("VLOOKUP(A104,IMPORTRANGE(""1QZ5UxyNCwadreQAXnQ7oCoH982DjIA-QnZdO7ZoqkC0/edit#gid=884617569"",""S5 Totals!$A$2:$O$255""),3,FALSE)"),0.04819277108433735)</f>
        <v>0.04819277108</v>
      </c>
      <c r="F104" s="146">
        <f t="shared" si="1"/>
        <v>-0.03614457831</v>
      </c>
      <c r="G104" s="16">
        <f>IFERROR(__xludf.DUMMYFUNCTION("VLOOKUP(A104,IMPORTRANGE(""1QZ5UxyNCwadreQAXnQ7oCoH982DjIA-QnZdO7ZoqkC0/edit#gid=884617569"",""S5 Totals!$A$2:$O$255""),4,FALSE)"),4.0)</f>
        <v>4</v>
      </c>
      <c r="H104" s="15">
        <f>IFERROR(__xludf.DUMMYFUNCTION("VLOOKUP(A104,IMPORTRANGE(""1QZ5UxyNCwadreQAXnQ7oCoH982DjIA-QnZdO7ZoqkC0/edit#gid=884617569"",""S5 Totals!$A$2:$O$255""),5,FALSE)"),0.08163265306122448)</f>
        <v>0.08163265306</v>
      </c>
      <c r="I104" s="143"/>
      <c r="J104" s="16" t="str">
        <f>IFERROR(__xludf.DUMMYFUNCTION("VLOOKUP(A104,IMPORTRANGE(""1QZ5UxyNCwadreQAXnQ7oCoH982DjIA-QnZdO7ZoqkC0/edit#gid=884617569"",""S5 Totals!$A$2:$O$255""),7,FALSE)"),"")</f>
        <v/>
      </c>
      <c r="K104" s="15" t="str">
        <f>IFERROR(__xludf.DUMMYFUNCTION("VLOOKUP(A104,IMPORTRANGE(""1QZ5UxyNCwadreQAXnQ7oCoH982DjIA-QnZdO7ZoqkC0/edit#gid=884617569"",""S5 Totals!$A$2:$O$255""),8,FALSE)"),"")</f>
        <v/>
      </c>
      <c r="L104" s="147"/>
      <c r="M104" s="16" t="str">
        <f>IFERROR(__xludf.DUMMYFUNCTION("VLOOKUP(A104,IMPORTRANGE(""1QZ5UxyNCwadreQAXnQ7oCoH982DjIA-QnZdO7ZoqkC0/edit#gid=884617569"",""S5 Totals!$A$2:$O$255""),10,FALSE)"),"")</f>
        <v/>
      </c>
      <c r="N104" s="15" t="str">
        <f>IFERROR(__xludf.DUMMYFUNCTION("VLOOKUP(A104,IMPORTRANGE(""1QZ5UxyNCwadreQAXnQ7oCoH982DjIA-QnZdO7ZoqkC0/edit#gid=884617569"",""S5 Totals!$A$2:$O$255""),11,FALSE)"),"")</f>
        <v/>
      </c>
      <c r="O104" s="110"/>
      <c r="P104" s="16" t="str">
        <f>IFERROR(__xludf.DUMMYFUNCTION("VLOOKUP(A104,IMPORTRANGE(""1QZ5UxyNCwadreQAXnQ7oCoH982DjIA-QnZdO7ZoqkC0/edit#gid=884617569"",""S5 Totals!$A$2:$O$255""),13,FALSE)"),"")</f>
        <v/>
      </c>
      <c r="Q104" s="15" t="str">
        <f>IFERROR(__xludf.DUMMYFUNCTION("VLOOKUP(A104,IMPORTRANGE(""1QZ5UxyNCwadreQAXnQ7oCoH982DjIA-QnZdO7ZoqkC0/edit#gid=884617569"",""S5 Totals!$A$2:$O$255""),14,FALSE)"),"")</f>
        <v/>
      </c>
      <c r="R104" s="110"/>
    </row>
    <row r="105">
      <c r="A105" s="128" t="s">
        <v>98</v>
      </c>
      <c r="B105" s="16">
        <f>IFERROR(__xludf.DUMMYFUNCTION("VLOOKUP(A105,IMPORTRANGE(""1aFCnJY1qhIj8-JckJhDJ18aqmVo17tofpQmOjcYa3u8/edit#gid=1878241338"",""S5 Totals!$A$2:$O$255""),2,FALSE)"),17.0)</f>
        <v>17</v>
      </c>
      <c r="C105" s="15">
        <f>IFERROR(__xludf.DUMMYFUNCTION("VLOOKUP(A105,IMPORTRANGE(""1aFCnJY1qhIj8-JckJhDJ18aqmVo17tofpQmOjcYa3u8/edit#gid=1878241338"",""S5 Totals!$A$2:$O$255""),3,FALSE)"),0.20481927710843373)</f>
        <v>0.2048192771</v>
      </c>
      <c r="D105" s="16">
        <f>IFERROR(__xludf.DUMMYFUNCTION("VLOOKUP(A105,IMPORTRANGE(""1QZ5UxyNCwadreQAXnQ7oCoH982DjIA-QnZdO7ZoqkC0/edit#gid=884617569"",""S5 Totals!$A$2:$O$255""),2,FALSE)"),22.0)</f>
        <v>22</v>
      </c>
      <c r="E105" s="15">
        <f>IFERROR(__xludf.DUMMYFUNCTION("VLOOKUP(A105,IMPORTRANGE(""1QZ5UxyNCwadreQAXnQ7oCoH982DjIA-QnZdO7ZoqkC0/edit#gid=884617569"",""S5 Totals!$A$2:$O$255""),3,FALSE)"),0.26506024096385544)</f>
        <v>0.265060241</v>
      </c>
      <c r="F105" s="146">
        <f t="shared" si="1"/>
        <v>-0.06024096386</v>
      </c>
      <c r="G105" s="16">
        <f>IFERROR(__xludf.DUMMYFUNCTION("VLOOKUP(A105,IMPORTRANGE(""1QZ5UxyNCwadreQAXnQ7oCoH982DjIA-QnZdO7ZoqkC0/edit#gid=884617569"",""S5 Totals!$A$2:$O$255""),4,FALSE)"),11.0)</f>
        <v>11</v>
      </c>
      <c r="H105" s="15">
        <f>IFERROR(__xludf.DUMMYFUNCTION("VLOOKUP(A105,IMPORTRANGE(""1QZ5UxyNCwadreQAXnQ7oCoH982DjIA-QnZdO7ZoqkC0/edit#gid=884617569"",""S5 Totals!$A$2:$O$255""),5,FALSE)"),0.22448979591836735)</f>
        <v>0.2244897959</v>
      </c>
      <c r="I105" s="143"/>
      <c r="J105" s="16">
        <f>IFERROR(__xludf.DUMMYFUNCTION("VLOOKUP(A105,IMPORTRANGE(""1QZ5UxyNCwadreQAXnQ7oCoH982DjIA-QnZdO7ZoqkC0/edit#gid=884617569"",""S5 Totals!$A$2:$O$255""),7,FALSE)"),12.0)</f>
        <v>12</v>
      </c>
      <c r="K105" s="15">
        <f>IFERROR(__xludf.DUMMYFUNCTION("VLOOKUP(A105,IMPORTRANGE(""1QZ5UxyNCwadreQAXnQ7oCoH982DjIA-QnZdO7ZoqkC0/edit#gid=884617569"",""S5 Totals!$A$2:$O$255""),8,FALSE)"),0.35294117647058826)</f>
        <v>0.3529411765</v>
      </c>
      <c r="L105" s="147"/>
      <c r="M105" s="16">
        <f>IFERROR(__xludf.DUMMYFUNCTION("VLOOKUP(A105,IMPORTRANGE(""1QZ5UxyNCwadreQAXnQ7oCoH982DjIA-QnZdO7ZoqkC0/edit#gid=884617569"",""S5 Totals!$A$2:$O$255""),10,FALSE)"),6.0)</f>
        <v>6</v>
      </c>
      <c r="N105" s="15">
        <f>IFERROR(__xludf.DUMMYFUNCTION("VLOOKUP(A105,IMPORTRANGE(""1QZ5UxyNCwadreQAXnQ7oCoH982DjIA-QnZdO7ZoqkC0/edit#gid=884617569"",""S5 Totals!$A$2:$O$255""),11,FALSE)"),0.2)</f>
        <v>0.2</v>
      </c>
      <c r="O105" s="110"/>
      <c r="P105" s="16">
        <f>IFERROR(__xludf.DUMMYFUNCTION("VLOOKUP(A105,IMPORTRANGE(""1QZ5UxyNCwadreQAXnQ7oCoH982DjIA-QnZdO7ZoqkC0/edit#gid=884617569"",""S5 Totals!$A$2:$O$255""),13,FALSE)"),0.0)</f>
        <v>0</v>
      </c>
      <c r="Q105" s="15">
        <f>IFERROR(__xludf.DUMMYFUNCTION("VLOOKUP(A105,IMPORTRANGE(""1QZ5UxyNCwadreQAXnQ7oCoH982DjIA-QnZdO7ZoqkC0/edit#gid=884617569"",""S5 Totals!$A$2:$O$255""),14,FALSE)"),0.0)</f>
        <v>0</v>
      </c>
      <c r="R105" s="110"/>
    </row>
    <row r="106">
      <c r="A106" s="128" t="s">
        <v>235</v>
      </c>
      <c r="B106" s="16">
        <f>IFERROR(__xludf.DUMMYFUNCTION("VLOOKUP(A106,IMPORTRANGE(""1aFCnJY1qhIj8-JckJhDJ18aqmVo17tofpQmOjcYa3u8/edit#gid=1878241338"",""S5 Totals!$A$2:$O$255""),2,FALSE)"),9.0)</f>
        <v>9</v>
      </c>
      <c r="C106" s="15">
        <f>IFERROR(__xludf.DUMMYFUNCTION("VLOOKUP(A106,IMPORTRANGE(""1aFCnJY1qhIj8-JckJhDJ18aqmVo17tofpQmOjcYa3u8/edit#gid=1878241338"",""S5 Totals!$A$2:$O$255""),3,FALSE)"),0.10843373493975904)</f>
        <v>0.1084337349</v>
      </c>
      <c r="D106" s="16">
        <f>IFERROR(__xludf.DUMMYFUNCTION("VLOOKUP(A106,IMPORTRANGE(""1QZ5UxyNCwadreQAXnQ7oCoH982DjIA-QnZdO7ZoqkC0/edit#gid=884617569"",""S5 Totals!$A$2:$O$255""),2,FALSE)"),10.0)</f>
        <v>10</v>
      </c>
      <c r="E106" s="15">
        <f>IFERROR(__xludf.DUMMYFUNCTION("VLOOKUP(A106,IMPORTRANGE(""1QZ5UxyNCwadreQAXnQ7oCoH982DjIA-QnZdO7ZoqkC0/edit#gid=884617569"",""S5 Totals!$A$2:$O$255""),3,FALSE)"),0.12048192771084337)</f>
        <v>0.1204819277</v>
      </c>
      <c r="F106" s="146">
        <f t="shared" si="1"/>
        <v>-0.01204819277</v>
      </c>
      <c r="G106" s="16">
        <f>IFERROR(__xludf.DUMMYFUNCTION("VLOOKUP(A106,IMPORTRANGE(""1QZ5UxyNCwadreQAXnQ7oCoH982DjIA-QnZdO7ZoqkC0/edit#gid=884617569"",""S5 Totals!$A$2:$O$255""),4,FALSE)"),8.0)</f>
        <v>8</v>
      </c>
      <c r="H106" s="15">
        <f>IFERROR(__xludf.DUMMYFUNCTION("VLOOKUP(A106,IMPORTRANGE(""1QZ5UxyNCwadreQAXnQ7oCoH982DjIA-QnZdO7ZoqkC0/edit#gid=884617569"",""S5 Totals!$A$2:$O$255""),5,FALSE)"),0.16326530612244897)</f>
        <v>0.1632653061</v>
      </c>
      <c r="I106" s="143"/>
      <c r="J106" s="16" t="str">
        <f>IFERROR(__xludf.DUMMYFUNCTION("VLOOKUP(A106,IMPORTRANGE(""1QZ5UxyNCwadreQAXnQ7oCoH982DjIA-QnZdO7ZoqkC0/edit#gid=884617569"",""S5 Totals!$A$2:$O$255""),7,FALSE)"),"")</f>
        <v/>
      </c>
      <c r="K106" s="15" t="str">
        <f>IFERROR(__xludf.DUMMYFUNCTION("VLOOKUP(A106,IMPORTRANGE(""1QZ5UxyNCwadreQAXnQ7oCoH982DjIA-QnZdO7ZoqkC0/edit#gid=884617569"",""S5 Totals!$A$2:$O$255""),8,FALSE)"),"")</f>
        <v/>
      </c>
      <c r="L106" s="147"/>
      <c r="M106" s="16" t="str">
        <f>IFERROR(__xludf.DUMMYFUNCTION("VLOOKUP(A106,IMPORTRANGE(""1QZ5UxyNCwadreQAXnQ7oCoH982DjIA-QnZdO7ZoqkC0/edit#gid=884617569"",""S5 Totals!$A$2:$O$255""),10,FALSE)"),"")</f>
        <v/>
      </c>
      <c r="N106" s="15" t="str">
        <f>IFERROR(__xludf.DUMMYFUNCTION("VLOOKUP(A106,IMPORTRANGE(""1QZ5UxyNCwadreQAXnQ7oCoH982DjIA-QnZdO7ZoqkC0/edit#gid=884617569"",""S5 Totals!$A$2:$O$255""),11,FALSE)"),"")</f>
        <v/>
      </c>
      <c r="O106" s="110"/>
      <c r="P106" s="16" t="str">
        <f>IFERROR(__xludf.DUMMYFUNCTION("VLOOKUP(A106,IMPORTRANGE(""1QZ5UxyNCwadreQAXnQ7oCoH982DjIA-QnZdO7ZoqkC0/edit#gid=884617569"",""S5 Totals!$A$2:$O$255""),13,FALSE)"),"")</f>
        <v/>
      </c>
      <c r="Q106" s="15" t="str">
        <f>IFERROR(__xludf.DUMMYFUNCTION("VLOOKUP(A106,IMPORTRANGE(""1QZ5UxyNCwadreQAXnQ7oCoH982DjIA-QnZdO7ZoqkC0/edit#gid=884617569"",""S5 Totals!$A$2:$O$255""),14,FALSE)"),"")</f>
        <v/>
      </c>
      <c r="R106" s="110"/>
    </row>
    <row r="107">
      <c r="A107" s="128" t="s">
        <v>58</v>
      </c>
      <c r="B107" s="16">
        <f>IFERROR(__xludf.DUMMYFUNCTION("VLOOKUP(A107,IMPORTRANGE(""1aFCnJY1qhIj8-JckJhDJ18aqmVo17tofpQmOjcYa3u8/edit#gid=1878241338"",""S5 Totals!$A$2:$O$255""),2,FALSE)"),3.0)</f>
        <v>3</v>
      </c>
      <c r="C107" s="15">
        <f>IFERROR(__xludf.DUMMYFUNCTION("VLOOKUP(A107,IMPORTRANGE(""1aFCnJY1qhIj8-JckJhDJ18aqmVo17tofpQmOjcYa3u8/edit#gid=1878241338"",""S5 Totals!$A$2:$O$255""),3,FALSE)"),0.03614457831325301)</f>
        <v>0.03614457831</v>
      </c>
      <c r="D107" s="16">
        <f>IFERROR(__xludf.DUMMYFUNCTION("VLOOKUP(A107,IMPORTRANGE(""1QZ5UxyNCwadreQAXnQ7oCoH982DjIA-QnZdO7ZoqkC0/edit#gid=884617569"",""S5 Totals!$A$2:$O$255""),2,FALSE)"),1.0)</f>
        <v>1</v>
      </c>
      <c r="E107" s="15">
        <f>IFERROR(__xludf.DUMMYFUNCTION("VLOOKUP(A107,IMPORTRANGE(""1QZ5UxyNCwadreQAXnQ7oCoH982DjIA-QnZdO7ZoqkC0/edit#gid=884617569"",""S5 Totals!$A$2:$O$255""),3,FALSE)"),0.012048192771084338)</f>
        <v>0.01204819277</v>
      </c>
      <c r="F107" s="146">
        <f t="shared" si="1"/>
        <v>0.02409638554</v>
      </c>
      <c r="G107" s="16">
        <f>IFERROR(__xludf.DUMMYFUNCTION("VLOOKUP(A107,IMPORTRANGE(""1QZ5UxyNCwadreQAXnQ7oCoH982DjIA-QnZdO7ZoqkC0/edit#gid=884617569"",""S5 Totals!$A$2:$O$255""),4,FALSE)"),1.0)</f>
        <v>1</v>
      </c>
      <c r="H107" s="15">
        <f>IFERROR(__xludf.DUMMYFUNCTION("VLOOKUP(A107,IMPORTRANGE(""1QZ5UxyNCwadreQAXnQ7oCoH982DjIA-QnZdO7ZoqkC0/edit#gid=884617569"",""S5 Totals!$A$2:$O$255""),5,FALSE)"),0.02040816326530612)</f>
        <v>0.02040816327</v>
      </c>
      <c r="I107" s="143"/>
      <c r="J107" s="16">
        <f>IFERROR(__xludf.DUMMYFUNCTION("VLOOKUP(A107,IMPORTRANGE(""1QZ5UxyNCwadreQAXnQ7oCoH982DjIA-QnZdO7ZoqkC0/edit#gid=884617569"",""S5 Totals!$A$2:$O$255""),7,FALSE)"),2.0)</f>
        <v>2</v>
      </c>
      <c r="K107" s="15">
        <f>IFERROR(__xludf.DUMMYFUNCTION("VLOOKUP(A107,IMPORTRANGE(""1QZ5UxyNCwadreQAXnQ7oCoH982DjIA-QnZdO7ZoqkC0/edit#gid=884617569"",""S5 Totals!$A$2:$O$255""),8,FALSE)"),0.058823529411764705)</f>
        <v>0.05882352941</v>
      </c>
      <c r="L107" s="147"/>
      <c r="M107" s="16">
        <f>IFERROR(__xludf.DUMMYFUNCTION("VLOOKUP(A107,IMPORTRANGE(""1QZ5UxyNCwadreQAXnQ7oCoH982DjIA-QnZdO7ZoqkC0/edit#gid=884617569"",""S5 Totals!$A$2:$O$255""),10,FALSE)"),0.0)</f>
        <v>0</v>
      </c>
      <c r="N107" s="15">
        <f>IFERROR(__xludf.DUMMYFUNCTION("VLOOKUP(A107,IMPORTRANGE(""1QZ5UxyNCwadreQAXnQ7oCoH982DjIA-QnZdO7ZoqkC0/edit#gid=884617569"",""S5 Totals!$A$2:$O$255""),11,FALSE)"),0.0)</f>
        <v>0</v>
      </c>
      <c r="O107" s="110"/>
      <c r="P107" s="16">
        <f>IFERROR(__xludf.DUMMYFUNCTION("VLOOKUP(A107,IMPORTRANGE(""1QZ5UxyNCwadreQAXnQ7oCoH982DjIA-QnZdO7ZoqkC0/edit#gid=884617569"",""S5 Totals!$A$2:$O$255""),13,FALSE)"),0.0)</f>
        <v>0</v>
      </c>
      <c r="Q107" s="15">
        <f>IFERROR(__xludf.DUMMYFUNCTION("VLOOKUP(A107,IMPORTRANGE(""1QZ5UxyNCwadreQAXnQ7oCoH982DjIA-QnZdO7ZoqkC0/edit#gid=884617569"",""S5 Totals!$A$2:$O$255""),14,FALSE)"),0.0)</f>
        <v>0</v>
      </c>
      <c r="R107" s="110"/>
    </row>
    <row r="108">
      <c r="A108" s="128" t="s">
        <v>59</v>
      </c>
      <c r="B108" s="16">
        <f>IFERROR(__xludf.DUMMYFUNCTION("VLOOKUP(A108,IMPORTRANGE(""1aFCnJY1qhIj8-JckJhDJ18aqmVo17tofpQmOjcYa3u8/edit#gid=1878241338"",""S5 Totals!$A$2:$O$255""),2,FALSE)"),32.0)</f>
        <v>32</v>
      </c>
      <c r="C108" s="15">
        <f>IFERROR(__xludf.DUMMYFUNCTION("VLOOKUP(A108,IMPORTRANGE(""1aFCnJY1qhIj8-JckJhDJ18aqmVo17tofpQmOjcYa3u8/edit#gid=1878241338"",""S5 Totals!$A$2:$O$255""),3,FALSE)"),0.3855421686746988)</f>
        <v>0.3855421687</v>
      </c>
      <c r="D108" s="16">
        <f>IFERROR(__xludf.DUMMYFUNCTION("VLOOKUP(A108,IMPORTRANGE(""1QZ5UxyNCwadreQAXnQ7oCoH982DjIA-QnZdO7ZoqkC0/edit#gid=884617569"",""S5 Totals!$A$2:$O$255""),2,FALSE)"),16.0)</f>
        <v>16</v>
      </c>
      <c r="E108" s="15">
        <f>IFERROR(__xludf.DUMMYFUNCTION("VLOOKUP(A108,IMPORTRANGE(""1QZ5UxyNCwadreQAXnQ7oCoH982DjIA-QnZdO7ZoqkC0/edit#gid=884617569"",""S5 Totals!$A$2:$O$255""),3,FALSE)"),0.1927710843373494)</f>
        <v>0.1927710843</v>
      </c>
      <c r="F108" s="146">
        <f t="shared" si="1"/>
        <v>0.1927710843</v>
      </c>
      <c r="G108" s="16">
        <f>IFERROR(__xludf.DUMMYFUNCTION("VLOOKUP(A108,IMPORTRANGE(""1QZ5UxyNCwadreQAXnQ7oCoH982DjIA-QnZdO7ZoqkC0/edit#gid=884617569"",""S5 Totals!$A$2:$O$255""),4,FALSE)"),12.0)</f>
        <v>12</v>
      </c>
      <c r="H108" s="15">
        <f>IFERROR(__xludf.DUMMYFUNCTION("VLOOKUP(A108,IMPORTRANGE(""1QZ5UxyNCwadreQAXnQ7oCoH982DjIA-QnZdO7ZoqkC0/edit#gid=884617569"",""S5 Totals!$A$2:$O$255""),5,FALSE)"),0.24489795918367346)</f>
        <v>0.2448979592</v>
      </c>
      <c r="I108" s="143"/>
      <c r="J108" s="16">
        <f>IFERROR(__xludf.DUMMYFUNCTION("VLOOKUP(A108,IMPORTRANGE(""1QZ5UxyNCwadreQAXnQ7oCoH982DjIA-QnZdO7ZoqkC0/edit#gid=884617569"",""S5 Totals!$A$2:$O$255""),7,FALSE)"),11.0)</f>
        <v>11</v>
      </c>
      <c r="K108" s="15">
        <f>IFERROR(__xludf.DUMMYFUNCTION("VLOOKUP(A108,IMPORTRANGE(""1QZ5UxyNCwadreQAXnQ7oCoH982DjIA-QnZdO7ZoqkC0/edit#gid=884617569"",""S5 Totals!$A$2:$O$255""),8,FALSE)"),0.3235294117647059)</f>
        <v>0.3235294118</v>
      </c>
      <c r="L108" s="147"/>
      <c r="M108" s="16">
        <f>IFERROR(__xludf.DUMMYFUNCTION("VLOOKUP(A108,IMPORTRANGE(""1QZ5UxyNCwadreQAXnQ7oCoH982DjIA-QnZdO7ZoqkC0/edit#gid=884617569"",""S5 Totals!$A$2:$O$255""),10,FALSE)"),5.0)</f>
        <v>5</v>
      </c>
      <c r="N108" s="15">
        <f>IFERROR(__xludf.DUMMYFUNCTION("VLOOKUP(A108,IMPORTRANGE(""1QZ5UxyNCwadreQAXnQ7oCoH982DjIA-QnZdO7ZoqkC0/edit#gid=884617569"",""S5 Totals!$A$2:$O$255""),11,FALSE)"),0.16666666666666666)</f>
        <v>0.1666666667</v>
      </c>
      <c r="O108" s="110"/>
      <c r="P108" s="16">
        <f>IFERROR(__xludf.DUMMYFUNCTION("VLOOKUP(A108,IMPORTRANGE(""1QZ5UxyNCwadreQAXnQ7oCoH982DjIA-QnZdO7ZoqkC0/edit#gid=884617569"",""S5 Totals!$A$2:$O$255""),13,FALSE)"),7.0)</f>
        <v>7</v>
      </c>
      <c r="Q108" s="15">
        <f>IFERROR(__xludf.DUMMYFUNCTION("VLOOKUP(A108,IMPORTRANGE(""1QZ5UxyNCwadreQAXnQ7oCoH982DjIA-QnZdO7ZoqkC0/edit#gid=884617569"",""S5 Totals!$A$2:$O$255""),14,FALSE)"),0.25)</f>
        <v>0.25</v>
      </c>
      <c r="R108" s="110"/>
    </row>
    <row r="109">
      <c r="A109" s="128" t="s">
        <v>178</v>
      </c>
      <c r="B109" s="16">
        <f>IFERROR(__xludf.DUMMYFUNCTION("VLOOKUP(A109,IMPORTRANGE(""1aFCnJY1qhIj8-JckJhDJ18aqmVo17tofpQmOjcYa3u8/edit#gid=1878241338"",""S5 Totals!$A$2:$O$255""),2,FALSE)"),34.0)</f>
        <v>34</v>
      </c>
      <c r="C109" s="15">
        <f>IFERROR(__xludf.DUMMYFUNCTION("VLOOKUP(A109,IMPORTRANGE(""1aFCnJY1qhIj8-JckJhDJ18aqmVo17tofpQmOjcYa3u8/edit#gid=1878241338"",""S5 Totals!$A$2:$O$255""),3,FALSE)"),0.40963855421686746)</f>
        <v>0.4096385542</v>
      </c>
      <c r="D109" s="16">
        <f>IFERROR(__xludf.DUMMYFUNCTION("VLOOKUP(A109,IMPORTRANGE(""1QZ5UxyNCwadreQAXnQ7oCoH982DjIA-QnZdO7ZoqkC0/edit#gid=884617569"",""S5 Totals!$A$2:$O$255""),2,FALSE)"),9.0)</f>
        <v>9</v>
      </c>
      <c r="E109" s="15">
        <f>IFERROR(__xludf.DUMMYFUNCTION("VLOOKUP(A109,IMPORTRANGE(""1QZ5UxyNCwadreQAXnQ7oCoH982DjIA-QnZdO7ZoqkC0/edit#gid=884617569"",""S5 Totals!$A$2:$O$255""),3,FALSE)"),0.10843373493975904)</f>
        <v>0.1084337349</v>
      </c>
      <c r="F109" s="146">
        <f t="shared" si="1"/>
        <v>0.3012048193</v>
      </c>
      <c r="G109" s="16">
        <f>IFERROR(__xludf.DUMMYFUNCTION("VLOOKUP(A109,IMPORTRANGE(""1QZ5UxyNCwadreQAXnQ7oCoH982DjIA-QnZdO7ZoqkC0/edit#gid=884617569"",""S5 Totals!$A$2:$O$255""),4,FALSE)"),2.0)</f>
        <v>2</v>
      </c>
      <c r="H109" s="15">
        <f>IFERROR(__xludf.DUMMYFUNCTION("VLOOKUP(A109,IMPORTRANGE(""1QZ5UxyNCwadreQAXnQ7oCoH982DjIA-QnZdO7ZoqkC0/edit#gid=884617569"",""S5 Totals!$A$2:$O$255""),5,FALSE)"),0.04081632653061224)</f>
        <v>0.04081632653</v>
      </c>
      <c r="I109" s="143"/>
      <c r="J109" s="16">
        <f>IFERROR(__xludf.DUMMYFUNCTION("VLOOKUP(A109,IMPORTRANGE(""1QZ5UxyNCwadreQAXnQ7oCoH982DjIA-QnZdO7ZoqkC0/edit#gid=884617569"",""S5 Totals!$A$2:$O$255""),7,FALSE)"),0.0)</f>
        <v>0</v>
      </c>
      <c r="K109" s="15">
        <f>IFERROR(__xludf.DUMMYFUNCTION("VLOOKUP(A109,IMPORTRANGE(""1QZ5UxyNCwadreQAXnQ7oCoH982DjIA-QnZdO7ZoqkC0/edit#gid=884617569"",""S5 Totals!$A$2:$O$255""),8,FALSE)"),0.0)</f>
        <v>0</v>
      </c>
      <c r="L109" s="147"/>
      <c r="M109" s="16" t="str">
        <f>IFERROR(__xludf.DUMMYFUNCTION("VLOOKUP(A109,IMPORTRANGE(""1QZ5UxyNCwadreQAXnQ7oCoH982DjIA-QnZdO7ZoqkC0/edit#gid=884617569"",""S5 Totals!$A$2:$O$255""),10,FALSE)"),"")</f>
        <v/>
      </c>
      <c r="N109" s="15" t="str">
        <f>IFERROR(__xludf.DUMMYFUNCTION("VLOOKUP(A109,IMPORTRANGE(""1QZ5UxyNCwadreQAXnQ7oCoH982DjIA-QnZdO7ZoqkC0/edit#gid=884617569"",""S5 Totals!$A$2:$O$255""),11,FALSE)"),"")</f>
        <v/>
      </c>
      <c r="O109" s="110"/>
      <c r="P109" s="16" t="str">
        <f>IFERROR(__xludf.DUMMYFUNCTION("VLOOKUP(A109,IMPORTRANGE(""1QZ5UxyNCwadreQAXnQ7oCoH982DjIA-QnZdO7ZoqkC0/edit#gid=884617569"",""S5 Totals!$A$2:$O$255""),13,FALSE)"),"")</f>
        <v/>
      </c>
      <c r="Q109" s="15" t="str">
        <f>IFERROR(__xludf.DUMMYFUNCTION("VLOOKUP(A109,IMPORTRANGE(""1QZ5UxyNCwadreQAXnQ7oCoH982DjIA-QnZdO7ZoqkC0/edit#gid=884617569"",""S5 Totals!$A$2:$O$255""),14,FALSE)"),"")</f>
        <v/>
      </c>
      <c r="R109" s="110"/>
    </row>
    <row r="110">
      <c r="A110" s="128" t="s">
        <v>179</v>
      </c>
      <c r="B110" s="16">
        <f>IFERROR(__xludf.DUMMYFUNCTION("VLOOKUP(A110,IMPORTRANGE(""1aFCnJY1qhIj8-JckJhDJ18aqmVo17tofpQmOjcYa3u8/edit#gid=1878241338"",""S5 Totals!$A$2:$O$255""),2,FALSE)"),5.0)</f>
        <v>5</v>
      </c>
      <c r="C110" s="15">
        <f>IFERROR(__xludf.DUMMYFUNCTION("VLOOKUP(A110,IMPORTRANGE(""1aFCnJY1qhIj8-JckJhDJ18aqmVo17tofpQmOjcYa3u8/edit#gid=1878241338"",""S5 Totals!$A$2:$O$255""),3,FALSE)"),0.060240963855421686)</f>
        <v>0.06024096386</v>
      </c>
      <c r="D110" s="16">
        <f>IFERROR(__xludf.DUMMYFUNCTION("VLOOKUP(A110,IMPORTRANGE(""1QZ5UxyNCwadreQAXnQ7oCoH982DjIA-QnZdO7ZoqkC0/edit#gid=884617569"",""S5 Totals!$A$2:$O$255""),2,FALSE)"),5.0)</f>
        <v>5</v>
      </c>
      <c r="E110" s="15">
        <f>IFERROR(__xludf.DUMMYFUNCTION("VLOOKUP(A110,IMPORTRANGE(""1QZ5UxyNCwadreQAXnQ7oCoH982DjIA-QnZdO7ZoqkC0/edit#gid=884617569"",""S5 Totals!$A$2:$O$255""),3,FALSE)"),0.060240963855421686)</f>
        <v>0.06024096386</v>
      </c>
      <c r="F110" s="146">
        <f t="shared" si="1"/>
        <v>0</v>
      </c>
      <c r="G110" s="16">
        <f>IFERROR(__xludf.DUMMYFUNCTION("VLOOKUP(A110,IMPORTRANGE(""1QZ5UxyNCwadreQAXnQ7oCoH982DjIA-QnZdO7ZoqkC0/edit#gid=884617569"",""S5 Totals!$A$2:$O$255""),4,FALSE)"),4.0)</f>
        <v>4</v>
      </c>
      <c r="H110" s="15">
        <f>IFERROR(__xludf.DUMMYFUNCTION("VLOOKUP(A110,IMPORTRANGE(""1QZ5UxyNCwadreQAXnQ7oCoH982DjIA-QnZdO7ZoqkC0/edit#gid=884617569"",""S5 Totals!$A$2:$O$255""),5,FALSE)"),0.08163265306122448)</f>
        <v>0.08163265306</v>
      </c>
      <c r="I110" s="143"/>
      <c r="J110" s="16">
        <f>IFERROR(__xludf.DUMMYFUNCTION("VLOOKUP(A110,IMPORTRANGE(""1QZ5UxyNCwadreQAXnQ7oCoH982DjIA-QnZdO7ZoqkC0/edit#gid=884617569"",""S5 Totals!$A$2:$O$255""),7,FALSE)"),5.0)</f>
        <v>5</v>
      </c>
      <c r="K110" s="15">
        <f>IFERROR(__xludf.DUMMYFUNCTION("VLOOKUP(A110,IMPORTRANGE(""1QZ5UxyNCwadreQAXnQ7oCoH982DjIA-QnZdO7ZoqkC0/edit#gid=884617569"",""S5 Totals!$A$2:$O$255""),8,FALSE)"),0.14705882352941177)</f>
        <v>0.1470588235</v>
      </c>
      <c r="L110" s="147"/>
      <c r="M110" s="16" t="str">
        <f>IFERROR(__xludf.DUMMYFUNCTION("VLOOKUP(A110,IMPORTRANGE(""1QZ5UxyNCwadreQAXnQ7oCoH982DjIA-QnZdO7ZoqkC0/edit#gid=884617569"",""S5 Totals!$A$2:$O$255""),10,FALSE)"),"")</f>
        <v/>
      </c>
      <c r="N110" s="15" t="str">
        <f>IFERROR(__xludf.DUMMYFUNCTION("VLOOKUP(A110,IMPORTRANGE(""1QZ5UxyNCwadreQAXnQ7oCoH982DjIA-QnZdO7ZoqkC0/edit#gid=884617569"",""S5 Totals!$A$2:$O$255""),11,FALSE)"),"")</f>
        <v/>
      </c>
      <c r="O110" s="110"/>
      <c r="P110" s="16" t="str">
        <f>IFERROR(__xludf.DUMMYFUNCTION("VLOOKUP(A110,IMPORTRANGE(""1QZ5UxyNCwadreQAXnQ7oCoH982DjIA-QnZdO7ZoqkC0/edit#gid=884617569"",""S5 Totals!$A$2:$O$255""),13,FALSE)"),"")</f>
        <v/>
      </c>
      <c r="Q110" s="15" t="str">
        <f>IFERROR(__xludf.DUMMYFUNCTION("VLOOKUP(A110,IMPORTRANGE(""1QZ5UxyNCwadreQAXnQ7oCoH982DjIA-QnZdO7ZoqkC0/edit#gid=884617569"",""S5 Totals!$A$2:$O$255""),14,FALSE)"),"")</f>
        <v/>
      </c>
      <c r="R110" s="110"/>
    </row>
    <row r="111">
      <c r="A111" s="128" t="s">
        <v>60</v>
      </c>
      <c r="B111" s="16">
        <f>IFERROR(__xludf.DUMMYFUNCTION("VLOOKUP(A111,IMPORTRANGE(""1aFCnJY1qhIj8-JckJhDJ18aqmVo17tofpQmOjcYa3u8/edit#gid=1878241338"",""S5 Totals!$A$2:$O$255""),2,FALSE)"),25.0)</f>
        <v>25</v>
      </c>
      <c r="C111" s="15">
        <f>IFERROR(__xludf.DUMMYFUNCTION("VLOOKUP(A111,IMPORTRANGE(""1aFCnJY1qhIj8-JckJhDJ18aqmVo17tofpQmOjcYa3u8/edit#gid=1878241338"",""S5 Totals!$A$2:$O$255""),3,FALSE)"),0.30120481927710846)</f>
        <v>0.3012048193</v>
      </c>
      <c r="D111" s="16">
        <f>IFERROR(__xludf.DUMMYFUNCTION("VLOOKUP(A111,IMPORTRANGE(""1QZ5UxyNCwadreQAXnQ7oCoH982DjIA-QnZdO7ZoqkC0/edit#gid=884617569"",""S5 Totals!$A$2:$O$255""),2,FALSE)"),12.0)</f>
        <v>12</v>
      </c>
      <c r="E111" s="15">
        <f>IFERROR(__xludf.DUMMYFUNCTION("VLOOKUP(A111,IMPORTRANGE(""1QZ5UxyNCwadreQAXnQ7oCoH982DjIA-QnZdO7ZoqkC0/edit#gid=884617569"",""S5 Totals!$A$2:$O$255""),3,FALSE)"),0.14457831325301204)</f>
        <v>0.1445783133</v>
      </c>
      <c r="F111" s="146">
        <f t="shared" si="1"/>
        <v>0.156626506</v>
      </c>
      <c r="G111" s="16">
        <f>IFERROR(__xludf.DUMMYFUNCTION("VLOOKUP(A111,IMPORTRANGE(""1QZ5UxyNCwadreQAXnQ7oCoH982DjIA-QnZdO7ZoqkC0/edit#gid=884617569"",""S5 Totals!$A$2:$O$255""),4,FALSE)"),7.0)</f>
        <v>7</v>
      </c>
      <c r="H111" s="15">
        <f>IFERROR(__xludf.DUMMYFUNCTION("VLOOKUP(A111,IMPORTRANGE(""1QZ5UxyNCwadreQAXnQ7oCoH982DjIA-QnZdO7ZoqkC0/edit#gid=884617569"",""S5 Totals!$A$2:$O$255""),5,FALSE)"),0.14285714285714285)</f>
        <v>0.1428571429</v>
      </c>
      <c r="I111" s="143"/>
      <c r="J111" s="16">
        <f>IFERROR(__xludf.DUMMYFUNCTION("VLOOKUP(A111,IMPORTRANGE(""1QZ5UxyNCwadreQAXnQ7oCoH982DjIA-QnZdO7ZoqkC0/edit#gid=884617569"",""S5 Totals!$A$2:$O$255""),7,FALSE)"),10.0)</f>
        <v>10</v>
      </c>
      <c r="K111" s="15">
        <f>IFERROR(__xludf.DUMMYFUNCTION("VLOOKUP(A111,IMPORTRANGE(""1QZ5UxyNCwadreQAXnQ7oCoH982DjIA-QnZdO7ZoqkC0/edit#gid=884617569"",""S5 Totals!$A$2:$O$255""),8,FALSE)"),0.29411764705882354)</f>
        <v>0.2941176471</v>
      </c>
      <c r="L111" s="147"/>
      <c r="M111" s="16">
        <f>IFERROR(__xludf.DUMMYFUNCTION("VLOOKUP(A111,IMPORTRANGE(""1QZ5UxyNCwadreQAXnQ7oCoH982DjIA-QnZdO7ZoqkC0/edit#gid=884617569"",""S5 Totals!$A$2:$O$255""),10,FALSE)"),3.0)</f>
        <v>3</v>
      </c>
      <c r="N111" s="15">
        <f>IFERROR(__xludf.DUMMYFUNCTION("VLOOKUP(A111,IMPORTRANGE(""1QZ5UxyNCwadreQAXnQ7oCoH982DjIA-QnZdO7ZoqkC0/edit#gid=884617569"",""S5 Totals!$A$2:$O$255""),11,FALSE)"),0.1)</f>
        <v>0.1</v>
      </c>
      <c r="O111" s="110"/>
      <c r="P111" s="16">
        <f>IFERROR(__xludf.DUMMYFUNCTION("VLOOKUP(A111,IMPORTRANGE(""1QZ5UxyNCwadreQAXnQ7oCoH982DjIA-QnZdO7ZoqkC0/edit#gid=884617569"",""S5 Totals!$A$2:$O$255""),13,FALSE)"),0.0)</f>
        <v>0</v>
      </c>
      <c r="Q111" s="15">
        <f>IFERROR(__xludf.DUMMYFUNCTION("VLOOKUP(A111,IMPORTRANGE(""1QZ5UxyNCwadreQAXnQ7oCoH982DjIA-QnZdO7ZoqkC0/edit#gid=884617569"",""S5 Totals!$A$2:$O$255""),14,FALSE)"),0.0)</f>
        <v>0</v>
      </c>
      <c r="R111" s="110"/>
    </row>
    <row r="112">
      <c r="A112" s="134" t="s">
        <v>275</v>
      </c>
      <c r="B112" s="16">
        <f>IFERROR(__xludf.DUMMYFUNCTION("VLOOKUP(A112,IMPORTRANGE(""1aFCnJY1qhIj8-JckJhDJ18aqmVo17tofpQmOjcYa3u8/edit#gid=1878241338"",""S5 Totals!$A$2:$O$255""),2,FALSE)"),9.0)</f>
        <v>9</v>
      </c>
      <c r="C112" s="15">
        <f>IFERROR(__xludf.DUMMYFUNCTION("VLOOKUP(A112,IMPORTRANGE(""1aFCnJY1qhIj8-JckJhDJ18aqmVo17tofpQmOjcYa3u8/edit#gid=1878241338"",""S5 Totals!$A$2:$O$255""),3,FALSE)"),0.10843373493975904)</f>
        <v>0.1084337349</v>
      </c>
      <c r="D112" s="16" t="str">
        <f>IFERROR(__xludf.DUMMYFUNCTION("VLOOKUP(A112,IMPORTRANGE(""1QZ5UxyNCwadreQAXnQ7oCoH982DjIA-QnZdO7ZoqkC0/edit#gid=884617569"",""S5 Totals!$A$2:$O$255""),2,FALSE)"),"#N/A")</f>
        <v>#N/A</v>
      </c>
      <c r="E112" s="15" t="str">
        <f>IFERROR(__xludf.DUMMYFUNCTION("VLOOKUP(A112,IMPORTRANGE(""1QZ5UxyNCwadreQAXnQ7oCoH982DjIA-QnZdO7ZoqkC0/edit#gid=884617569"",""S5 Totals!$A$2:$O$255""),3,FALSE)"),"#N/A")</f>
        <v>#N/A</v>
      </c>
      <c r="F112" s="146" t="str">
        <f t="shared" si="1"/>
        <v>#N/A</v>
      </c>
      <c r="G112" s="16" t="str">
        <f>IFERROR(__xludf.DUMMYFUNCTION("VLOOKUP(A112,IMPORTRANGE(""1QZ5UxyNCwadreQAXnQ7oCoH982DjIA-QnZdO7ZoqkC0/edit#gid=884617569"",""S5 Totals!$A$2:$O$255""),4,FALSE)"),"#N/A")</f>
        <v>#N/A</v>
      </c>
      <c r="H112" s="15" t="str">
        <f>IFERROR(__xludf.DUMMYFUNCTION("VLOOKUP(A112,IMPORTRANGE(""1QZ5UxyNCwadreQAXnQ7oCoH982DjIA-QnZdO7ZoqkC0/edit#gid=884617569"",""S5 Totals!$A$2:$O$255""),5,FALSE)"),"#N/A")</f>
        <v>#N/A</v>
      </c>
      <c r="I112" s="143"/>
      <c r="J112" s="16" t="str">
        <f>IFERROR(__xludf.DUMMYFUNCTION("VLOOKUP(A112,IMPORTRANGE(""1QZ5UxyNCwadreQAXnQ7oCoH982DjIA-QnZdO7ZoqkC0/edit#gid=884617569"",""S5 Totals!$A$2:$O$255""),7,FALSE)"),"#N/A")</f>
        <v>#N/A</v>
      </c>
      <c r="K112" s="15" t="str">
        <f>IFERROR(__xludf.DUMMYFUNCTION("VLOOKUP(A112,IMPORTRANGE(""1QZ5UxyNCwadreQAXnQ7oCoH982DjIA-QnZdO7ZoqkC0/edit#gid=884617569"",""S5 Totals!$A$2:$O$255""),8,FALSE)"),"#N/A")</f>
        <v>#N/A</v>
      </c>
      <c r="L112" s="147"/>
      <c r="M112" s="16" t="str">
        <f>IFERROR(__xludf.DUMMYFUNCTION("VLOOKUP(A112,IMPORTRANGE(""1QZ5UxyNCwadreQAXnQ7oCoH982DjIA-QnZdO7ZoqkC0/edit#gid=884617569"",""S5 Totals!$A$2:$O$255""),10,FALSE)"),"#N/A")</f>
        <v>#N/A</v>
      </c>
      <c r="N112" s="15" t="str">
        <f>IFERROR(__xludf.DUMMYFUNCTION("VLOOKUP(A112,IMPORTRANGE(""1QZ5UxyNCwadreQAXnQ7oCoH982DjIA-QnZdO7ZoqkC0/edit#gid=884617569"",""S5 Totals!$A$2:$O$255""),11,FALSE)"),"#N/A")</f>
        <v>#N/A</v>
      </c>
      <c r="O112" s="110"/>
      <c r="P112" s="16" t="str">
        <f>IFERROR(__xludf.DUMMYFUNCTION("VLOOKUP(A112,IMPORTRANGE(""1QZ5UxyNCwadreQAXnQ7oCoH982DjIA-QnZdO7ZoqkC0/edit#gid=884617569"",""S5 Totals!$A$2:$O$255""),13,FALSE)"),"#N/A")</f>
        <v>#N/A</v>
      </c>
      <c r="Q112" s="15" t="str">
        <f>IFERROR(__xludf.DUMMYFUNCTION("VLOOKUP(A112,IMPORTRANGE(""1QZ5UxyNCwadreQAXnQ7oCoH982DjIA-QnZdO7ZoqkC0/edit#gid=884617569"",""S5 Totals!$A$2:$O$255""),14,FALSE)"),"#N/A")</f>
        <v>#N/A</v>
      </c>
      <c r="R112" s="110"/>
    </row>
    <row r="113">
      <c r="A113" s="128" t="s">
        <v>130</v>
      </c>
      <c r="B113" s="16">
        <f>IFERROR(__xludf.DUMMYFUNCTION("VLOOKUP(A113,IMPORTRANGE(""1aFCnJY1qhIj8-JckJhDJ18aqmVo17tofpQmOjcYa3u8/edit#gid=1878241338"",""S5 Totals!$A$2:$O$255""),2,FALSE)"),13.0)</f>
        <v>13</v>
      </c>
      <c r="C113" s="15">
        <f>IFERROR(__xludf.DUMMYFUNCTION("VLOOKUP(A113,IMPORTRANGE(""1aFCnJY1qhIj8-JckJhDJ18aqmVo17tofpQmOjcYa3u8/edit#gid=1878241338"",""S5 Totals!$A$2:$O$255""),3,FALSE)"),0.1566265060240964)</f>
        <v>0.156626506</v>
      </c>
      <c r="D113" s="16">
        <f>IFERROR(__xludf.DUMMYFUNCTION("VLOOKUP(A113,IMPORTRANGE(""1QZ5UxyNCwadreQAXnQ7oCoH982DjIA-QnZdO7ZoqkC0/edit#gid=884617569"",""S5 Totals!$A$2:$O$255""),2,FALSE)"),15.0)</f>
        <v>15</v>
      </c>
      <c r="E113" s="15">
        <f>IFERROR(__xludf.DUMMYFUNCTION("VLOOKUP(A113,IMPORTRANGE(""1QZ5UxyNCwadreQAXnQ7oCoH982DjIA-QnZdO7ZoqkC0/edit#gid=884617569"",""S5 Totals!$A$2:$O$255""),3,FALSE)"),0.18072289156626506)</f>
        <v>0.1807228916</v>
      </c>
      <c r="F113" s="146">
        <f t="shared" si="1"/>
        <v>-0.02409638554</v>
      </c>
      <c r="G113" s="16">
        <f>IFERROR(__xludf.DUMMYFUNCTION("VLOOKUP(A113,IMPORTRANGE(""1QZ5UxyNCwadreQAXnQ7oCoH982DjIA-QnZdO7ZoqkC0/edit#gid=884617569"",""S5 Totals!$A$2:$O$255""),4,FALSE)"),7.0)</f>
        <v>7</v>
      </c>
      <c r="H113" s="15">
        <f>IFERROR(__xludf.DUMMYFUNCTION("VLOOKUP(A113,IMPORTRANGE(""1QZ5UxyNCwadreQAXnQ7oCoH982DjIA-QnZdO7ZoqkC0/edit#gid=884617569"",""S5 Totals!$A$2:$O$255""),5,FALSE)"),0.14285714285714285)</f>
        <v>0.1428571429</v>
      </c>
      <c r="I113" s="143"/>
      <c r="J113" s="16">
        <f>IFERROR(__xludf.DUMMYFUNCTION("VLOOKUP(A113,IMPORTRANGE(""1QZ5UxyNCwadreQAXnQ7oCoH982DjIA-QnZdO7ZoqkC0/edit#gid=884617569"",""S5 Totals!$A$2:$O$255""),7,FALSE)"),4.0)</f>
        <v>4</v>
      </c>
      <c r="K113" s="15">
        <f>IFERROR(__xludf.DUMMYFUNCTION("VLOOKUP(A113,IMPORTRANGE(""1QZ5UxyNCwadreQAXnQ7oCoH982DjIA-QnZdO7ZoqkC0/edit#gid=884617569"",""S5 Totals!$A$2:$O$255""),8,FALSE)"),0.11764705882352941)</f>
        <v>0.1176470588</v>
      </c>
      <c r="L113" s="147"/>
      <c r="M113" s="16">
        <f>IFERROR(__xludf.DUMMYFUNCTION("VLOOKUP(A113,IMPORTRANGE(""1QZ5UxyNCwadreQAXnQ7oCoH982DjIA-QnZdO7ZoqkC0/edit#gid=884617569"",""S5 Totals!$A$2:$O$255""),10,FALSE)"),2.0)</f>
        <v>2</v>
      </c>
      <c r="N113" s="15">
        <f>IFERROR(__xludf.DUMMYFUNCTION("VLOOKUP(A113,IMPORTRANGE(""1QZ5UxyNCwadreQAXnQ7oCoH982DjIA-QnZdO7ZoqkC0/edit#gid=884617569"",""S5 Totals!$A$2:$O$255""),11,FALSE)"),0.06666666666666667)</f>
        <v>0.06666666667</v>
      </c>
      <c r="O113" s="110"/>
      <c r="P113" s="16" t="str">
        <f>IFERROR(__xludf.DUMMYFUNCTION("VLOOKUP(A113,IMPORTRANGE(""1QZ5UxyNCwadreQAXnQ7oCoH982DjIA-QnZdO7ZoqkC0/edit#gid=884617569"",""S5 Totals!$A$2:$O$255""),13,FALSE)"),"")</f>
        <v/>
      </c>
      <c r="Q113" s="15" t="str">
        <f>IFERROR(__xludf.DUMMYFUNCTION("VLOOKUP(A113,IMPORTRANGE(""1QZ5UxyNCwadreQAXnQ7oCoH982DjIA-QnZdO7ZoqkC0/edit#gid=884617569"",""S5 Totals!$A$2:$O$255""),14,FALSE)"),"")</f>
        <v/>
      </c>
      <c r="R113" s="110"/>
    </row>
    <row r="114">
      <c r="A114" s="128" t="s">
        <v>236</v>
      </c>
      <c r="B114" s="16">
        <f>IFERROR(__xludf.DUMMYFUNCTION("VLOOKUP(A114,IMPORTRANGE(""1aFCnJY1qhIj8-JckJhDJ18aqmVo17tofpQmOjcYa3u8/edit#gid=1878241338"",""S5 Totals!$A$2:$O$255""),2,FALSE)"),0.0)</f>
        <v>0</v>
      </c>
      <c r="C114" s="15">
        <f>IFERROR(__xludf.DUMMYFUNCTION("VLOOKUP(A114,IMPORTRANGE(""1aFCnJY1qhIj8-JckJhDJ18aqmVo17tofpQmOjcYa3u8/edit#gid=1878241338"",""S5 Totals!$A$2:$O$255""),3,FALSE)"),0.0)</f>
        <v>0</v>
      </c>
      <c r="D114" s="16">
        <f>IFERROR(__xludf.DUMMYFUNCTION("VLOOKUP(A114,IMPORTRANGE(""1QZ5UxyNCwadreQAXnQ7oCoH982DjIA-QnZdO7ZoqkC0/edit#gid=884617569"",""S5 Totals!$A$2:$O$255""),2,FALSE)"),4.0)</f>
        <v>4</v>
      </c>
      <c r="E114" s="15">
        <f>IFERROR(__xludf.DUMMYFUNCTION("VLOOKUP(A114,IMPORTRANGE(""1QZ5UxyNCwadreQAXnQ7oCoH982DjIA-QnZdO7ZoqkC0/edit#gid=884617569"",""S5 Totals!$A$2:$O$255""),3,FALSE)"),0.04819277108433735)</f>
        <v>0.04819277108</v>
      </c>
      <c r="F114" s="146">
        <f t="shared" si="1"/>
        <v>-0.04819277108</v>
      </c>
      <c r="G114" s="16">
        <f>IFERROR(__xludf.DUMMYFUNCTION("VLOOKUP(A114,IMPORTRANGE(""1QZ5UxyNCwadreQAXnQ7oCoH982DjIA-QnZdO7ZoqkC0/edit#gid=884617569"",""S5 Totals!$A$2:$O$255""),4,FALSE)"),3.0)</f>
        <v>3</v>
      </c>
      <c r="H114" s="15">
        <f>IFERROR(__xludf.DUMMYFUNCTION("VLOOKUP(A114,IMPORTRANGE(""1QZ5UxyNCwadreQAXnQ7oCoH982DjIA-QnZdO7ZoqkC0/edit#gid=884617569"",""S5 Totals!$A$2:$O$255""),5,FALSE)"),0.061224489795918366)</f>
        <v>0.0612244898</v>
      </c>
      <c r="I114" s="143"/>
      <c r="J114" s="16" t="str">
        <f>IFERROR(__xludf.DUMMYFUNCTION("VLOOKUP(A114,IMPORTRANGE(""1QZ5UxyNCwadreQAXnQ7oCoH982DjIA-QnZdO7ZoqkC0/edit#gid=884617569"",""S5 Totals!$A$2:$O$255""),7,FALSE)"),"")</f>
        <v/>
      </c>
      <c r="K114" s="15" t="str">
        <f>IFERROR(__xludf.DUMMYFUNCTION("VLOOKUP(A114,IMPORTRANGE(""1QZ5UxyNCwadreQAXnQ7oCoH982DjIA-QnZdO7ZoqkC0/edit#gid=884617569"",""S5 Totals!$A$2:$O$255""),8,FALSE)"),"")</f>
        <v/>
      </c>
      <c r="L114" s="147"/>
      <c r="M114" s="16" t="str">
        <f>IFERROR(__xludf.DUMMYFUNCTION("VLOOKUP(A114,IMPORTRANGE(""1QZ5UxyNCwadreQAXnQ7oCoH982DjIA-QnZdO7ZoqkC0/edit#gid=884617569"",""S5 Totals!$A$2:$O$255""),10,FALSE)"),"")</f>
        <v/>
      </c>
      <c r="N114" s="15" t="str">
        <f>IFERROR(__xludf.DUMMYFUNCTION("VLOOKUP(A114,IMPORTRANGE(""1QZ5UxyNCwadreQAXnQ7oCoH982DjIA-QnZdO7ZoqkC0/edit#gid=884617569"",""S5 Totals!$A$2:$O$255""),11,FALSE)"),"")</f>
        <v/>
      </c>
      <c r="O114" s="110"/>
      <c r="P114" s="16" t="str">
        <f>IFERROR(__xludf.DUMMYFUNCTION("VLOOKUP(A114,IMPORTRANGE(""1QZ5UxyNCwadreQAXnQ7oCoH982DjIA-QnZdO7ZoqkC0/edit#gid=884617569"",""S5 Totals!$A$2:$O$255""),13,FALSE)"),"")</f>
        <v/>
      </c>
      <c r="Q114" s="15" t="str">
        <f>IFERROR(__xludf.DUMMYFUNCTION("VLOOKUP(A114,IMPORTRANGE(""1QZ5UxyNCwadreQAXnQ7oCoH982DjIA-QnZdO7ZoqkC0/edit#gid=884617569"",""S5 Totals!$A$2:$O$255""),14,FALSE)"),"")</f>
        <v/>
      </c>
      <c r="R114" s="110"/>
    </row>
    <row r="115">
      <c r="A115" s="128" t="s">
        <v>237</v>
      </c>
      <c r="B115" s="16">
        <f>IFERROR(__xludf.DUMMYFUNCTION("VLOOKUP(A115,IMPORTRANGE(""1aFCnJY1qhIj8-JckJhDJ18aqmVo17tofpQmOjcYa3u8/edit#gid=1878241338"",""S5 Totals!$A$2:$O$255""),2,FALSE)"),0.0)</f>
        <v>0</v>
      </c>
      <c r="C115" s="15">
        <f>IFERROR(__xludf.DUMMYFUNCTION("VLOOKUP(A115,IMPORTRANGE(""1aFCnJY1qhIj8-JckJhDJ18aqmVo17tofpQmOjcYa3u8/edit#gid=1878241338"",""S5 Totals!$A$2:$O$255""),3,FALSE)"),0.0)</f>
        <v>0</v>
      </c>
      <c r="D115" s="16">
        <f>IFERROR(__xludf.DUMMYFUNCTION("VLOOKUP(A115,IMPORTRANGE(""1QZ5UxyNCwadreQAXnQ7oCoH982DjIA-QnZdO7ZoqkC0/edit#gid=884617569"",""S5 Totals!$A$2:$O$255""),2,FALSE)"),0.0)</f>
        <v>0</v>
      </c>
      <c r="E115" s="15">
        <f>IFERROR(__xludf.DUMMYFUNCTION("VLOOKUP(A115,IMPORTRANGE(""1QZ5UxyNCwadreQAXnQ7oCoH982DjIA-QnZdO7ZoqkC0/edit#gid=884617569"",""S5 Totals!$A$2:$O$255""),3,FALSE)"),0.0)</f>
        <v>0</v>
      </c>
      <c r="F115" s="146">
        <f t="shared" si="1"/>
        <v>0</v>
      </c>
      <c r="G115" s="16">
        <f>IFERROR(__xludf.DUMMYFUNCTION("VLOOKUP(A115,IMPORTRANGE(""1QZ5UxyNCwadreQAXnQ7oCoH982DjIA-QnZdO7ZoqkC0/edit#gid=884617569"",""S5 Totals!$A$2:$O$255""),4,FALSE)"),0.0)</f>
        <v>0</v>
      </c>
      <c r="H115" s="15">
        <f>IFERROR(__xludf.DUMMYFUNCTION("VLOOKUP(A115,IMPORTRANGE(""1QZ5UxyNCwadreQAXnQ7oCoH982DjIA-QnZdO7ZoqkC0/edit#gid=884617569"",""S5 Totals!$A$2:$O$255""),5,FALSE)"),0.0)</f>
        <v>0</v>
      </c>
      <c r="I115" s="143"/>
      <c r="J115" s="16" t="str">
        <f>IFERROR(__xludf.DUMMYFUNCTION("VLOOKUP(A115,IMPORTRANGE(""1QZ5UxyNCwadreQAXnQ7oCoH982DjIA-QnZdO7ZoqkC0/edit#gid=884617569"",""S5 Totals!$A$2:$O$255""),7,FALSE)"),"")</f>
        <v/>
      </c>
      <c r="K115" s="15" t="str">
        <f>IFERROR(__xludf.DUMMYFUNCTION("VLOOKUP(A115,IMPORTRANGE(""1QZ5UxyNCwadreQAXnQ7oCoH982DjIA-QnZdO7ZoqkC0/edit#gid=884617569"",""S5 Totals!$A$2:$O$255""),8,FALSE)"),"")</f>
        <v/>
      </c>
      <c r="L115" s="147"/>
      <c r="M115" s="16" t="str">
        <f>IFERROR(__xludf.DUMMYFUNCTION("VLOOKUP(A115,IMPORTRANGE(""1QZ5UxyNCwadreQAXnQ7oCoH982DjIA-QnZdO7ZoqkC0/edit#gid=884617569"",""S5 Totals!$A$2:$O$255""),10,FALSE)"),"")</f>
        <v/>
      </c>
      <c r="N115" s="15" t="str">
        <f>IFERROR(__xludf.DUMMYFUNCTION("VLOOKUP(A115,IMPORTRANGE(""1QZ5UxyNCwadreQAXnQ7oCoH982DjIA-QnZdO7ZoqkC0/edit#gid=884617569"",""S5 Totals!$A$2:$O$255""),11,FALSE)"),"")</f>
        <v/>
      </c>
      <c r="O115" s="110"/>
      <c r="P115" s="16" t="str">
        <f>IFERROR(__xludf.DUMMYFUNCTION("VLOOKUP(A115,IMPORTRANGE(""1QZ5UxyNCwadreQAXnQ7oCoH982DjIA-QnZdO7ZoqkC0/edit#gid=884617569"",""S5 Totals!$A$2:$O$255""),13,FALSE)"),"")</f>
        <v/>
      </c>
      <c r="Q115" s="15" t="str">
        <f>IFERROR(__xludf.DUMMYFUNCTION("VLOOKUP(A115,IMPORTRANGE(""1QZ5UxyNCwadreQAXnQ7oCoH982DjIA-QnZdO7ZoqkC0/edit#gid=884617569"",""S5 Totals!$A$2:$O$255""),14,FALSE)"),"")</f>
        <v/>
      </c>
      <c r="R115" s="110"/>
    </row>
    <row r="116">
      <c r="A116" s="135" t="s">
        <v>131</v>
      </c>
      <c r="B116" s="16">
        <f>IFERROR(__xludf.DUMMYFUNCTION("VLOOKUP(A116,IMPORTRANGE(""1aFCnJY1qhIj8-JckJhDJ18aqmVo17tofpQmOjcYa3u8/edit#gid=1878241338"",""S5 Totals!$A$2:$O$255""),2,FALSE)"),8.0)</f>
        <v>8</v>
      </c>
      <c r="C116" s="15">
        <f>IFERROR(__xludf.DUMMYFUNCTION("VLOOKUP(A116,IMPORTRANGE(""1aFCnJY1qhIj8-JckJhDJ18aqmVo17tofpQmOjcYa3u8/edit#gid=1878241338"",""S5 Totals!$A$2:$O$255""),3,FALSE)"),0.0963855421686747)</f>
        <v>0.09638554217</v>
      </c>
      <c r="D116" s="16">
        <f>IFERROR(__xludf.DUMMYFUNCTION("VLOOKUP(A116,IMPORTRANGE(""1QZ5UxyNCwadreQAXnQ7oCoH982DjIA-QnZdO7ZoqkC0/edit#gid=884617569"",""S5 Totals!$A$2:$O$255""),2,FALSE)"),5.0)</f>
        <v>5</v>
      </c>
      <c r="E116" s="15">
        <f>IFERROR(__xludf.DUMMYFUNCTION("VLOOKUP(A116,IMPORTRANGE(""1QZ5UxyNCwadreQAXnQ7oCoH982DjIA-QnZdO7ZoqkC0/edit#gid=884617569"",""S5 Totals!$A$2:$O$255""),3,FALSE)"),0.060240963855421686)</f>
        <v>0.06024096386</v>
      </c>
      <c r="F116" s="146">
        <f t="shared" si="1"/>
        <v>0.03614457831</v>
      </c>
      <c r="G116" s="16">
        <f>IFERROR(__xludf.DUMMYFUNCTION("VLOOKUP(A116,IMPORTRANGE(""1QZ5UxyNCwadreQAXnQ7oCoH982DjIA-QnZdO7ZoqkC0/edit#gid=884617569"",""S5 Totals!$A$2:$O$255""),4,FALSE)"),3.0)</f>
        <v>3</v>
      </c>
      <c r="H116" s="15">
        <f>IFERROR(__xludf.DUMMYFUNCTION("VLOOKUP(A116,IMPORTRANGE(""1QZ5UxyNCwadreQAXnQ7oCoH982DjIA-QnZdO7ZoqkC0/edit#gid=884617569"",""S5 Totals!$A$2:$O$255""),5,FALSE)"),0.061224489795918366)</f>
        <v>0.0612244898</v>
      </c>
      <c r="I116" s="143"/>
      <c r="J116" s="16">
        <f>IFERROR(__xludf.DUMMYFUNCTION("VLOOKUP(A116,IMPORTRANGE(""1QZ5UxyNCwadreQAXnQ7oCoH982DjIA-QnZdO7ZoqkC0/edit#gid=884617569"",""S5 Totals!$A$2:$O$255""),7,FALSE)"),1.0)</f>
        <v>1</v>
      </c>
      <c r="K116" s="15">
        <f>IFERROR(__xludf.DUMMYFUNCTION("VLOOKUP(A116,IMPORTRANGE(""1QZ5UxyNCwadreQAXnQ7oCoH982DjIA-QnZdO7ZoqkC0/edit#gid=884617569"",""S5 Totals!$A$2:$O$255""),8,FALSE)"),0.029411764705882353)</f>
        <v>0.02941176471</v>
      </c>
      <c r="L116" s="147"/>
      <c r="M116" s="16">
        <f>IFERROR(__xludf.DUMMYFUNCTION("VLOOKUP(A116,IMPORTRANGE(""1QZ5UxyNCwadreQAXnQ7oCoH982DjIA-QnZdO7ZoqkC0/edit#gid=884617569"",""S5 Totals!$A$2:$O$255""),10,FALSE)"),0.0)</f>
        <v>0</v>
      </c>
      <c r="N116" s="15">
        <f>IFERROR(__xludf.DUMMYFUNCTION("VLOOKUP(A116,IMPORTRANGE(""1QZ5UxyNCwadreQAXnQ7oCoH982DjIA-QnZdO7ZoqkC0/edit#gid=884617569"",""S5 Totals!$A$2:$O$255""),11,FALSE)"),0.0)</f>
        <v>0</v>
      </c>
      <c r="O116" s="110"/>
      <c r="P116" s="16" t="str">
        <f>IFERROR(__xludf.DUMMYFUNCTION("VLOOKUP(A116,IMPORTRANGE(""1QZ5UxyNCwadreQAXnQ7oCoH982DjIA-QnZdO7ZoqkC0/edit#gid=884617569"",""S5 Totals!$A$2:$O$255""),13,FALSE)"),"")</f>
        <v/>
      </c>
      <c r="Q116" s="15" t="str">
        <f>IFERROR(__xludf.DUMMYFUNCTION("VLOOKUP(A116,IMPORTRANGE(""1QZ5UxyNCwadreQAXnQ7oCoH982DjIA-QnZdO7ZoqkC0/edit#gid=884617569"",""S5 Totals!$A$2:$O$255""),14,FALSE)"),"")</f>
        <v/>
      </c>
      <c r="R116" s="110"/>
    </row>
    <row r="117">
      <c r="A117" s="128" t="s">
        <v>132</v>
      </c>
      <c r="B117" s="16">
        <f>IFERROR(__xludf.DUMMYFUNCTION("VLOOKUP(A117,IMPORTRANGE(""1aFCnJY1qhIj8-JckJhDJ18aqmVo17tofpQmOjcYa3u8/edit#gid=1878241338"",""S5 Totals!$A$2:$O$255""),2,FALSE)"),26.0)</f>
        <v>26</v>
      </c>
      <c r="C117" s="15">
        <f>IFERROR(__xludf.DUMMYFUNCTION("VLOOKUP(A117,IMPORTRANGE(""1aFCnJY1qhIj8-JckJhDJ18aqmVo17tofpQmOjcYa3u8/edit#gid=1878241338"",""S5 Totals!$A$2:$O$255""),3,FALSE)"),0.3132530120481928)</f>
        <v>0.313253012</v>
      </c>
      <c r="D117" s="16">
        <f>IFERROR(__xludf.DUMMYFUNCTION("VLOOKUP(A117,IMPORTRANGE(""1QZ5UxyNCwadreQAXnQ7oCoH982DjIA-QnZdO7ZoqkC0/edit#gid=884617569"",""S5 Totals!$A$2:$O$255""),2,FALSE)"),21.0)</f>
        <v>21</v>
      </c>
      <c r="E117" s="15">
        <f>IFERROR(__xludf.DUMMYFUNCTION("VLOOKUP(A117,IMPORTRANGE(""1QZ5UxyNCwadreQAXnQ7oCoH982DjIA-QnZdO7ZoqkC0/edit#gid=884617569"",""S5 Totals!$A$2:$O$255""),3,FALSE)"),0.25301204819277107)</f>
        <v>0.2530120482</v>
      </c>
      <c r="F117" s="146">
        <f t="shared" si="1"/>
        <v>0.06024096386</v>
      </c>
      <c r="G117" s="16">
        <f>IFERROR(__xludf.DUMMYFUNCTION("VLOOKUP(A117,IMPORTRANGE(""1QZ5UxyNCwadreQAXnQ7oCoH982DjIA-QnZdO7ZoqkC0/edit#gid=884617569"",""S5 Totals!$A$2:$O$255""),4,FALSE)"),14.0)</f>
        <v>14</v>
      </c>
      <c r="H117" s="15">
        <f>IFERROR(__xludf.DUMMYFUNCTION("VLOOKUP(A117,IMPORTRANGE(""1QZ5UxyNCwadreQAXnQ7oCoH982DjIA-QnZdO7ZoqkC0/edit#gid=884617569"",""S5 Totals!$A$2:$O$255""),5,FALSE)"),0.2857142857142857)</f>
        <v>0.2857142857</v>
      </c>
      <c r="I117" s="143"/>
      <c r="J117" s="16">
        <f>IFERROR(__xludf.DUMMYFUNCTION("VLOOKUP(A117,IMPORTRANGE(""1QZ5UxyNCwadreQAXnQ7oCoH982DjIA-QnZdO7ZoqkC0/edit#gid=884617569"",""S5 Totals!$A$2:$O$255""),7,FALSE)"),12.0)</f>
        <v>12</v>
      </c>
      <c r="K117" s="15">
        <f>IFERROR(__xludf.DUMMYFUNCTION("VLOOKUP(A117,IMPORTRANGE(""1QZ5UxyNCwadreQAXnQ7oCoH982DjIA-QnZdO7ZoqkC0/edit#gid=884617569"",""S5 Totals!$A$2:$O$255""),8,FALSE)"),0.35294117647058826)</f>
        <v>0.3529411765</v>
      </c>
      <c r="L117" s="147"/>
      <c r="M117" s="16">
        <f>IFERROR(__xludf.DUMMYFUNCTION("VLOOKUP(A117,IMPORTRANGE(""1QZ5UxyNCwadreQAXnQ7oCoH982DjIA-QnZdO7ZoqkC0/edit#gid=884617569"",""S5 Totals!$A$2:$O$255""),10,FALSE)"),5.0)</f>
        <v>5</v>
      </c>
      <c r="N117" s="15">
        <f>IFERROR(__xludf.DUMMYFUNCTION("VLOOKUP(A117,IMPORTRANGE(""1QZ5UxyNCwadreQAXnQ7oCoH982DjIA-QnZdO7ZoqkC0/edit#gid=884617569"",""S5 Totals!$A$2:$O$255""),11,FALSE)"),0.16666666666666666)</f>
        <v>0.1666666667</v>
      </c>
      <c r="O117" s="110"/>
      <c r="P117" s="16" t="str">
        <f>IFERROR(__xludf.DUMMYFUNCTION("VLOOKUP(A117,IMPORTRANGE(""1QZ5UxyNCwadreQAXnQ7oCoH982DjIA-QnZdO7ZoqkC0/edit#gid=884617569"",""S5 Totals!$A$2:$O$255""),13,FALSE)"),"")</f>
        <v/>
      </c>
      <c r="Q117" s="15" t="str">
        <f>IFERROR(__xludf.DUMMYFUNCTION("VLOOKUP(A117,IMPORTRANGE(""1QZ5UxyNCwadreQAXnQ7oCoH982DjIA-QnZdO7ZoqkC0/edit#gid=884617569"",""S5 Totals!$A$2:$O$255""),14,FALSE)"),"")</f>
        <v/>
      </c>
      <c r="R117" s="110"/>
    </row>
    <row r="118">
      <c r="A118" s="128" t="s">
        <v>61</v>
      </c>
      <c r="B118" s="16">
        <f>IFERROR(__xludf.DUMMYFUNCTION("VLOOKUP(A118,IMPORTRANGE(""1aFCnJY1qhIj8-JckJhDJ18aqmVo17tofpQmOjcYa3u8/edit#gid=1878241338"",""S5 Totals!$A$2:$O$255""),2,FALSE)"),39.0)</f>
        <v>39</v>
      </c>
      <c r="C118" s="15">
        <f>IFERROR(__xludf.DUMMYFUNCTION("VLOOKUP(A118,IMPORTRANGE(""1aFCnJY1qhIj8-JckJhDJ18aqmVo17tofpQmOjcYa3u8/edit#gid=1878241338"",""S5 Totals!$A$2:$O$255""),3,FALSE)"),0.46987951807228917)</f>
        <v>0.4698795181</v>
      </c>
      <c r="D118" s="16">
        <f>IFERROR(__xludf.DUMMYFUNCTION("VLOOKUP(A118,IMPORTRANGE(""1QZ5UxyNCwadreQAXnQ7oCoH982DjIA-QnZdO7ZoqkC0/edit#gid=884617569"",""S5 Totals!$A$2:$O$255""),2,FALSE)"),40.0)</f>
        <v>40</v>
      </c>
      <c r="E118" s="15">
        <f>IFERROR(__xludf.DUMMYFUNCTION("VLOOKUP(A118,IMPORTRANGE(""1QZ5UxyNCwadreQAXnQ7oCoH982DjIA-QnZdO7ZoqkC0/edit#gid=884617569"",""S5 Totals!$A$2:$O$255""),3,FALSE)"),0.4819277108433735)</f>
        <v>0.4819277108</v>
      </c>
      <c r="F118" s="146">
        <f t="shared" si="1"/>
        <v>-0.01204819277</v>
      </c>
      <c r="G118" s="16">
        <f>IFERROR(__xludf.DUMMYFUNCTION("VLOOKUP(A118,IMPORTRANGE(""1QZ5UxyNCwadreQAXnQ7oCoH982DjIA-QnZdO7ZoqkC0/edit#gid=884617569"",""S5 Totals!$A$2:$O$255""),4,FALSE)"),25.0)</f>
        <v>25</v>
      </c>
      <c r="H118" s="15">
        <f>IFERROR(__xludf.DUMMYFUNCTION("VLOOKUP(A118,IMPORTRANGE(""1QZ5UxyNCwadreQAXnQ7oCoH982DjIA-QnZdO7ZoqkC0/edit#gid=884617569"",""S5 Totals!$A$2:$O$255""),5,FALSE)"),0.5102040816326531)</f>
        <v>0.5102040816</v>
      </c>
      <c r="I118" s="143"/>
      <c r="J118" s="16">
        <f>IFERROR(__xludf.DUMMYFUNCTION("VLOOKUP(A118,IMPORTRANGE(""1QZ5UxyNCwadreQAXnQ7oCoH982DjIA-QnZdO7ZoqkC0/edit#gid=884617569"",""S5 Totals!$A$2:$O$255""),7,FALSE)"),15.0)</f>
        <v>15</v>
      </c>
      <c r="K118" s="15">
        <f>IFERROR(__xludf.DUMMYFUNCTION("VLOOKUP(A118,IMPORTRANGE(""1QZ5UxyNCwadreQAXnQ7oCoH982DjIA-QnZdO7ZoqkC0/edit#gid=884617569"",""S5 Totals!$A$2:$O$255""),8,FALSE)"),0.4411764705882353)</f>
        <v>0.4411764706</v>
      </c>
      <c r="L118" s="147"/>
      <c r="M118" s="16">
        <f>IFERROR(__xludf.DUMMYFUNCTION("VLOOKUP(A118,IMPORTRANGE(""1QZ5UxyNCwadreQAXnQ7oCoH982DjIA-QnZdO7ZoqkC0/edit#gid=884617569"",""S5 Totals!$A$2:$O$255""),10,FALSE)"),6.0)</f>
        <v>6</v>
      </c>
      <c r="N118" s="15">
        <f>IFERROR(__xludf.DUMMYFUNCTION("VLOOKUP(A118,IMPORTRANGE(""1QZ5UxyNCwadreQAXnQ7oCoH982DjIA-QnZdO7ZoqkC0/edit#gid=884617569"",""S5 Totals!$A$2:$O$255""),11,FALSE)"),0.2)</f>
        <v>0.2</v>
      </c>
      <c r="O118" s="110"/>
      <c r="P118" s="16">
        <f>IFERROR(__xludf.DUMMYFUNCTION("VLOOKUP(A118,IMPORTRANGE(""1QZ5UxyNCwadreQAXnQ7oCoH982DjIA-QnZdO7ZoqkC0/edit#gid=884617569"",""S5 Totals!$A$2:$O$255""),13,FALSE)"),6.0)</f>
        <v>6</v>
      </c>
      <c r="Q118" s="15">
        <f>IFERROR(__xludf.DUMMYFUNCTION("VLOOKUP(A118,IMPORTRANGE(""1QZ5UxyNCwadreQAXnQ7oCoH982DjIA-QnZdO7ZoqkC0/edit#gid=884617569"",""S5 Totals!$A$2:$O$255""),14,FALSE)"),0.21428571428571427)</f>
        <v>0.2142857143</v>
      </c>
      <c r="R118" s="110"/>
    </row>
    <row r="119">
      <c r="A119" s="128" t="s">
        <v>300</v>
      </c>
      <c r="B119" s="16">
        <f>IFERROR(__xludf.DUMMYFUNCTION("VLOOKUP(A119,IMPORTRANGE(""1aFCnJY1qhIj8-JckJhDJ18aqmVo17tofpQmOjcYa3u8/edit#gid=1878241338"",""S5 Totals!$A$2:$O$255""),2,FALSE)"),0.0)</f>
        <v>0</v>
      </c>
      <c r="C119" s="15">
        <f>IFERROR(__xludf.DUMMYFUNCTION("VLOOKUP(A119,IMPORTRANGE(""1aFCnJY1qhIj8-JckJhDJ18aqmVo17tofpQmOjcYa3u8/edit#gid=1878241338"",""S5 Totals!$A$2:$O$255""),3,FALSE)"),0.0)</f>
        <v>0</v>
      </c>
      <c r="D119" s="16">
        <f>IFERROR(__xludf.DUMMYFUNCTION("VLOOKUP(A119,IMPORTRANGE(""1QZ5UxyNCwadreQAXnQ7oCoH982DjIA-QnZdO7ZoqkC0/edit#gid=884617569"",""S5 Totals!$A$2:$O$255""),2,FALSE)"),0.0)</f>
        <v>0</v>
      </c>
      <c r="E119" s="15">
        <f>IFERROR(__xludf.DUMMYFUNCTION("VLOOKUP(A119,IMPORTRANGE(""1QZ5UxyNCwadreQAXnQ7oCoH982DjIA-QnZdO7ZoqkC0/edit#gid=884617569"",""S5 Totals!$A$2:$O$255""),3,FALSE)"),0.0)</f>
        <v>0</v>
      </c>
      <c r="F119" s="146">
        <f t="shared" si="1"/>
        <v>0</v>
      </c>
      <c r="G119" s="16">
        <f>IFERROR(__xludf.DUMMYFUNCTION("VLOOKUP(A119,IMPORTRANGE(""1QZ5UxyNCwadreQAXnQ7oCoH982DjIA-QnZdO7ZoqkC0/edit#gid=884617569"",""S5 Totals!$A$2:$O$255""),4,FALSE)"),0.0)</f>
        <v>0</v>
      </c>
      <c r="H119" s="15">
        <f>IFERROR(__xludf.DUMMYFUNCTION("VLOOKUP(A119,IMPORTRANGE(""1QZ5UxyNCwadreQAXnQ7oCoH982DjIA-QnZdO7ZoqkC0/edit#gid=884617569"",""S5 Totals!$A$2:$O$255""),5,FALSE)"),0.0)</f>
        <v>0</v>
      </c>
      <c r="I119" s="143"/>
      <c r="J119" s="16" t="str">
        <f>IFERROR(__xludf.DUMMYFUNCTION("VLOOKUP(A119,IMPORTRANGE(""1QZ5UxyNCwadreQAXnQ7oCoH982DjIA-QnZdO7ZoqkC0/edit#gid=884617569"",""S5 Totals!$A$2:$O$255""),7,FALSE)"),"")</f>
        <v/>
      </c>
      <c r="K119" s="15" t="str">
        <f>IFERROR(__xludf.DUMMYFUNCTION("VLOOKUP(A119,IMPORTRANGE(""1QZ5UxyNCwadreQAXnQ7oCoH982DjIA-QnZdO7ZoqkC0/edit#gid=884617569"",""S5 Totals!$A$2:$O$255""),8,FALSE)"),"")</f>
        <v/>
      </c>
      <c r="L119" s="147"/>
      <c r="M119" s="16" t="str">
        <f>IFERROR(__xludf.DUMMYFUNCTION("VLOOKUP(A119,IMPORTRANGE(""1QZ5UxyNCwadreQAXnQ7oCoH982DjIA-QnZdO7ZoqkC0/edit#gid=884617569"",""S5 Totals!$A$2:$O$255""),10,FALSE)"),"")</f>
        <v/>
      </c>
      <c r="N119" s="15" t="str">
        <f>IFERROR(__xludf.DUMMYFUNCTION("VLOOKUP(A119,IMPORTRANGE(""1QZ5UxyNCwadreQAXnQ7oCoH982DjIA-QnZdO7ZoqkC0/edit#gid=884617569"",""S5 Totals!$A$2:$O$255""),11,FALSE)"),"")</f>
        <v/>
      </c>
      <c r="O119" s="110"/>
      <c r="P119" s="16" t="str">
        <f>IFERROR(__xludf.DUMMYFUNCTION("VLOOKUP(A119,IMPORTRANGE(""1QZ5UxyNCwadreQAXnQ7oCoH982DjIA-QnZdO7ZoqkC0/edit#gid=884617569"",""S5 Totals!$A$2:$O$255""),13,FALSE)"),"")</f>
        <v/>
      </c>
      <c r="Q119" s="15" t="str">
        <f>IFERROR(__xludf.DUMMYFUNCTION("VLOOKUP(A119,IMPORTRANGE(""1QZ5UxyNCwadreQAXnQ7oCoH982DjIA-QnZdO7ZoqkC0/edit#gid=884617569"",""S5 Totals!$A$2:$O$255""),14,FALSE)"),"")</f>
        <v/>
      </c>
      <c r="R119" s="110"/>
    </row>
    <row r="120">
      <c r="A120" s="132" t="s">
        <v>180</v>
      </c>
      <c r="B120" s="16">
        <f>IFERROR(__xludf.DUMMYFUNCTION("VLOOKUP(A120,IMPORTRANGE(""1aFCnJY1qhIj8-JckJhDJ18aqmVo17tofpQmOjcYa3u8/edit#gid=1878241338"",""S5 Totals!$A$2:$O$255""),2,FALSE)"),0.0)</f>
        <v>0</v>
      </c>
      <c r="C120" s="15">
        <f>IFERROR(__xludf.DUMMYFUNCTION("VLOOKUP(A120,IMPORTRANGE(""1aFCnJY1qhIj8-JckJhDJ18aqmVo17tofpQmOjcYa3u8/edit#gid=1878241338"",""S5 Totals!$A$2:$O$255""),3,FALSE)"),0.0)</f>
        <v>0</v>
      </c>
      <c r="D120" s="16">
        <f>IFERROR(__xludf.DUMMYFUNCTION("VLOOKUP(A120,IMPORTRANGE(""1QZ5UxyNCwadreQAXnQ7oCoH982DjIA-QnZdO7ZoqkC0/edit#gid=884617569"",""S5 Totals!$A$2:$O$255""),2,FALSE)"),0.0)</f>
        <v>0</v>
      </c>
      <c r="E120" s="15">
        <f>IFERROR(__xludf.DUMMYFUNCTION("VLOOKUP(A120,IMPORTRANGE(""1QZ5UxyNCwadreQAXnQ7oCoH982DjIA-QnZdO7ZoqkC0/edit#gid=884617569"",""S5 Totals!$A$2:$O$255""),3,FALSE)"),0.0)</f>
        <v>0</v>
      </c>
      <c r="F120" s="146">
        <f t="shared" si="1"/>
        <v>0</v>
      </c>
      <c r="G120" s="16">
        <f>IFERROR(__xludf.DUMMYFUNCTION("VLOOKUP(A120,IMPORTRANGE(""1QZ5UxyNCwadreQAXnQ7oCoH982DjIA-QnZdO7ZoqkC0/edit#gid=884617569"",""S5 Totals!$A$2:$O$255""),4,FALSE)"),0.0)</f>
        <v>0</v>
      </c>
      <c r="H120" s="15">
        <f>IFERROR(__xludf.DUMMYFUNCTION("VLOOKUP(A120,IMPORTRANGE(""1QZ5UxyNCwadreQAXnQ7oCoH982DjIA-QnZdO7ZoqkC0/edit#gid=884617569"",""S5 Totals!$A$2:$O$255""),5,FALSE)"),0.0)</f>
        <v>0</v>
      </c>
      <c r="I120" s="143"/>
      <c r="J120" s="16">
        <f>IFERROR(__xludf.DUMMYFUNCTION("VLOOKUP(A120,IMPORTRANGE(""1QZ5UxyNCwadreQAXnQ7oCoH982DjIA-QnZdO7ZoqkC0/edit#gid=884617569"",""S5 Totals!$A$2:$O$255""),7,FALSE)"),1.0)</f>
        <v>1</v>
      </c>
      <c r="K120" s="15">
        <f>IFERROR(__xludf.DUMMYFUNCTION("VLOOKUP(A120,IMPORTRANGE(""1QZ5UxyNCwadreQAXnQ7oCoH982DjIA-QnZdO7ZoqkC0/edit#gid=884617569"",""S5 Totals!$A$2:$O$255""),8,FALSE)"),0.029411764705882353)</f>
        <v>0.02941176471</v>
      </c>
      <c r="L120" s="147"/>
      <c r="M120" s="16" t="str">
        <f>IFERROR(__xludf.DUMMYFUNCTION("VLOOKUP(A120,IMPORTRANGE(""1QZ5UxyNCwadreQAXnQ7oCoH982DjIA-QnZdO7ZoqkC0/edit#gid=884617569"",""S5 Totals!$A$2:$O$255""),10,FALSE)"),"")</f>
        <v/>
      </c>
      <c r="N120" s="15" t="str">
        <f>IFERROR(__xludf.DUMMYFUNCTION("VLOOKUP(A120,IMPORTRANGE(""1QZ5UxyNCwadreQAXnQ7oCoH982DjIA-QnZdO7ZoqkC0/edit#gid=884617569"",""S5 Totals!$A$2:$O$255""),11,FALSE)"),"")</f>
        <v/>
      </c>
      <c r="O120" s="110"/>
      <c r="P120" s="16" t="str">
        <f>IFERROR(__xludf.DUMMYFUNCTION("VLOOKUP(A120,IMPORTRANGE(""1QZ5UxyNCwadreQAXnQ7oCoH982DjIA-QnZdO7ZoqkC0/edit#gid=884617569"",""S5 Totals!$A$2:$O$255""),13,FALSE)"),"")</f>
        <v/>
      </c>
      <c r="Q120" s="15" t="str">
        <f>IFERROR(__xludf.DUMMYFUNCTION("VLOOKUP(A120,IMPORTRANGE(""1QZ5UxyNCwadreQAXnQ7oCoH982DjIA-QnZdO7ZoqkC0/edit#gid=884617569"",""S5 Totals!$A$2:$O$255""),14,FALSE)"),"")</f>
        <v/>
      </c>
      <c r="R120" s="110"/>
    </row>
    <row r="121">
      <c r="A121" s="128" t="s">
        <v>133</v>
      </c>
      <c r="B121" s="16">
        <f>IFERROR(__xludf.DUMMYFUNCTION("VLOOKUP(A121,IMPORTRANGE(""1aFCnJY1qhIj8-JckJhDJ18aqmVo17tofpQmOjcYa3u8/edit#gid=1878241338"",""S5 Totals!$A$2:$O$255""),2,FALSE)"),18.0)</f>
        <v>18</v>
      </c>
      <c r="C121" s="15">
        <f>IFERROR(__xludf.DUMMYFUNCTION("VLOOKUP(A121,IMPORTRANGE(""1aFCnJY1qhIj8-JckJhDJ18aqmVo17tofpQmOjcYa3u8/edit#gid=1878241338"",""S5 Totals!$A$2:$O$255""),3,FALSE)"),0.21686746987951808)</f>
        <v>0.2168674699</v>
      </c>
      <c r="D121" s="16">
        <f>IFERROR(__xludf.DUMMYFUNCTION("VLOOKUP(A121,IMPORTRANGE(""1QZ5UxyNCwadreQAXnQ7oCoH982DjIA-QnZdO7ZoqkC0/edit#gid=884617569"",""S5 Totals!$A$2:$O$255""),2,FALSE)"),17.0)</f>
        <v>17</v>
      </c>
      <c r="E121" s="15">
        <f>IFERROR(__xludf.DUMMYFUNCTION("VLOOKUP(A121,IMPORTRANGE(""1QZ5UxyNCwadreQAXnQ7oCoH982DjIA-QnZdO7ZoqkC0/edit#gid=884617569"",""S5 Totals!$A$2:$O$255""),3,FALSE)"),0.20481927710843373)</f>
        <v>0.2048192771</v>
      </c>
      <c r="F121" s="146">
        <f t="shared" si="1"/>
        <v>0.01204819277</v>
      </c>
      <c r="G121" s="16">
        <f>IFERROR(__xludf.DUMMYFUNCTION("VLOOKUP(A121,IMPORTRANGE(""1QZ5UxyNCwadreQAXnQ7oCoH982DjIA-QnZdO7ZoqkC0/edit#gid=884617569"",""S5 Totals!$A$2:$O$255""),4,FALSE)"),7.0)</f>
        <v>7</v>
      </c>
      <c r="H121" s="15">
        <f>IFERROR(__xludf.DUMMYFUNCTION("VLOOKUP(A121,IMPORTRANGE(""1QZ5UxyNCwadreQAXnQ7oCoH982DjIA-QnZdO7ZoqkC0/edit#gid=884617569"",""S5 Totals!$A$2:$O$255""),5,FALSE)"),0.14285714285714285)</f>
        <v>0.1428571429</v>
      </c>
      <c r="I121" s="143"/>
      <c r="J121" s="16">
        <f>IFERROR(__xludf.DUMMYFUNCTION("VLOOKUP(A121,IMPORTRANGE(""1QZ5UxyNCwadreQAXnQ7oCoH982DjIA-QnZdO7ZoqkC0/edit#gid=884617569"",""S5 Totals!$A$2:$O$255""),7,FALSE)"),6.0)</f>
        <v>6</v>
      </c>
      <c r="K121" s="15">
        <f>IFERROR(__xludf.DUMMYFUNCTION("VLOOKUP(A121,IMPORTRANGE(""1QZ5UxyNCwadreQAXnQ7oCoH982DjIA-QnZdO7ZoqkC0/edit#gid=884617569"",""S5 Totals!$A$2:$O$255""),8,FALSE)"),0.17647058823529413)</f>
        <v>0.1764705882</v>
      </c>
      <c r="L121" s="147"/>
      <c r="M121" s="16">
        <f>IFERROR(__xludf.DUMMYFUNCTION("VLOOKUP(A121,IMPORTRANGE(""1QZ5UxyNCwadreQAXnQ7oCoH982DjIA-QnZdO7ZoqkC0/edit#gid=884617569"",""S5 Totals!$A$2:$O$255""),10,FALSE)"),0.0)</f>
        <v>0</v>
      </c>
      <c r="N121" s="15">
        <f>IFERROR(__xludf.DUMMYFUNCTION("VLOOKUP(A121,IMPORTRANGE(""1QZ5UxyNCwadreQAXnQ7oCoH982DjIA-QnZdO7ZoqkC0/edit#gid=884617569"",""S5 Totals!$A$2:$O$255""),11,FALSE)"),0.0)</f>
        <v>0</v>
      </c>
      <c r="O121" s="110"/>
      <c r="P121" s="16" t="str">
        <f>IFERROR(__xludf.DUMMYFUNCTION("VLOOKUP(A121,IMPORTRANGE(""1QZ5UxyNCwadreQAXnQ7oCoH982DjIA-QnZdO7ZoqkC0/edit#gid=884617569"",""S5 Totals!$A$2:$O$255""),13,FALSE)"),"")</f>
        <v/>
      </c>
      <c r="Q121" s="15" t="str">
        <f>IFERROR(__xludf.DUMMYFUNCTION("VLOOKUP(A121,IMPORTRANGE(""1QZ5UxyNCwadreQAXnQ7oCoH982DjIA-QnZdO7ZoqkC0/edit#gid=884617569"",""S5 Totals!$A$2:$O$255""),14,FALSE)"),"")</f>
        <v/>
      </c>
      <c r="R121" s="110"/>
    </row>
    <row r="122">
      <c r="A122" s="128" t="s">
        <v>238</v>
      </c>
      <c r="B122" s="16">
        <f>IFERROR(__xludf.DUMMYFUNCTION("VLOOKUP(A122,IMPORTRANGE(""1aFCnJY1qhIj8-JckJhDJ18aqmVo17tofpQmOjcYa3u8/edit#gid=1878241338"",""S5 Totals!$A$2:$O$255""),2,FALSE)"),8.0)</f>
        <v>8</v>
      </c>
      <c r="C122" s="15">
        <f>IFERROR(__xludf.DUMMYFUNCTION("VLOOKUP(A122,IMPORTRANGE(""1aFCnJY1qhIj8-JckJhDJ18aqmVo17tofpQmOjcYa3u8/edit#gid=1878241338"",""S5 Totals!$A$2:$O$255""),3,FALSE)"),0.0963855421686747)</f>
        <v>0.09638554217</v>
      </c>
      <c r="D122" s="16">
        <f>IFERROR(__xludf.DUMMYFUNCTION("VLOOKUP(A122,IMPORTRANGE(""1QZ5UxyNCwadreQAXnQ7oCoH982DjIA-QnZdO7ZoqkC0/edit#gid=884617569"",""S5 Totals!$A$2:$O$255""),2,FALSE)"),10.0)</f>
        <v>10</v>
      </c>
      <c r="E122" s="15">
        <f>IFERROR(__xludf.DUMMYFUNCTION("VLOOKUP(A122,IMPORTRANGE(""1QZ5UxyNCwadreQAXnQ7oCoH982DjIA-QnZdO7ZoqkC0/edit#gid=884617569"",""S5 Totals!$A$2:$O$255""),3,FALSE)"),0.12048192771084337)</f>
        <v>0.1204819277</v>
      </c>
      <c r="F122" s="146">
        <f t="shared" si="1"/>
        <v>-0.02409638554</v>
      </c>
      <c r="G122" s="16">
        <f>IFERROR(__xludf.DUMMYFUNCTION("VLOOKUP(A122,IMPORTRANGE(""1QZ5UxyNCwadreQAXnQ7oCoH982DjIA-QnZdO7ZoqkC0/edit#gid=884617569"",""S5 Totals!$A$2:$O$255""),4,FALSE)"),8.0)</f>
        <v>8</v>
      </c>
      <c r="H122" s="15">
        <f>IFERROR(__xludf.DUMMYFUNCTION("VLOOKUP(A122,IMPORTRANGE(""1QZ5UxyNCwadreQAXnQ7oCoH982DjIA-QnZdO7ZoqkC0/edit#gid=884617569"",""S5 Totals!$A$2:$O$255""),5,FALSE)"),0.16326530612244897)</f>
        <v>0.1632653061</v>
      </c>
      <c r="I122" s="143"/>
      <c r="J122" s="16" t="str">
        <f>IFERROR(__xludf.DUMMYFUNCTION("VLOOKUP(A122,IMPORTRANGE(""1QZ5UxyNCwadreQAXnQ7oCoH982DjIA-QnZdO7ZoqkC0/edit#gid=884617569"",""S5 Totals!$A$2:$O$255""),7,FALSE)"),"")</f>
        <v/>
      </c>
      <c r="K122" s="15" t="str">
        <f>IFERROR(__xludf.DUMMYFUNCTION("VLOOKUP(A122,IMPORTRANGE(""1QZ5UxyNCwadreQAXnQ7oCoH982DjIA-QnZdO7ZoqkC0/edit#gid=884617569"",""S5 Totals!$A$2:$O$255""),8,FALSE)"),"")</f>
        <v/>
      </c>
      <c r="L122" s="147"/>
      <c r="M122" s="16" t="str">
        <f>IFERROR(__xludf.DUMMYFUNCTION("VLOOKUP(A122,IMPORTRANGE(""1QZ5UxyNCwadreQAXnQ7oCoH982DjIA-QnZdO7ZoqkC0/edit#gid=884617569"",""S5 Totals!$A$2:$O$255""),10,FALSE)"),"")</f>
        <v/>
      </c>
      <c r="N122" s="15" t="str">
        <f>IFERROR(__xludf.DUMMYFUNCTION("VLOOKUP(A122,IMPORTRANGE(""1QZ5UxyNCwadreQAXnQ7oCoH982DjIA-QnZdO7ZoqkC0/edit#gid=884617569"",""S5 Totals!$A$2:$O$255""),11,FALSE)"),"")</f>
        <v/>
      </c>
      <c r="O122" s="110"/>
      <c r="P122" s="16" t="str">
        <f>IFERROR(__xludf.DUMMYFUNCTION("VLOOKUP(A122,IMPORTRANGE(""1QZ5UxyNCwadreQAXnQ7oCoH982DjIA-QnZdO7ZoqkC0/edit#gid=884617569"",""S5 Totals!$A$2:$O$255""),13,FALSE)"),"")</f>
        <v/>
      </c>
      <c r="Q122" s="15" t="str">
        <f>IFERROR(__xludf.DUMMYFUNCTION("VLOOKUP(A122,IMPORTRANGE(""1QZ5UxyNCwadreQAXnQ7oCoH982DjIA-QnZdO7ZoqkC0/edit#gid=884617569"",""S5 Totals!$A$2:$O$255""),14,FALSE)"),"")</f>
        <v/>
      </c>
      <c r="R122" s="110"/>
    </row>
    <row r="123">
      <c r="A123" s="128" t="s">
        <v>239</v>
      </c>
      <c r="B123" s="16">
        <f>IFERROR(__xludf.DUMMYFUNCTION("VLOOKUP(A123,IMPORTRANGE(""1aFCnJY1qhIj8-JckJhDJ18aqmVo17tofpQmOjcYa3u8/edit#gid=1878241338"",""S5 Totals!$A$2:$O$255""),2,FALSE)"),9.0)</f>
        <v>9</v>
      </c>
      <c r="C123" s="15">
        <f>IFERROR(__xludf.DUMMYFUNCTION("VLOOKUP(A123,IMPORTRANGE(""1aFCnJY1qhIj8-JckJhDJ18aqmVo17tofpQmOjcYa3u8/edit#gid=1878241338"",""S5 Totals!$A$2:$O$255""),3,FALSE)"),0.10843373493975904)</f>
        <v>0.1084337349</v>
      </c>
      <c r="D123" s="16">
        <f>IFERROR(__xludf.DUMMYFUNCTION("VLOOKUP(A123,IMPORTRANGE(""1QZ5UxyNCwadreQAXnQ7oCoH982DjIA-QnZdO7ZoqkC0/edit#gid=884617569"",""S5 Totals!$A$2:$O$255""),2,FALSE)"),5.0)</f>
        <v>5</v>
      </c>
      <c r="E123" s="15">
        <f>IFERROR(__xludf.DUMMYFUNCTION("VLOOKUP(A123,IMPORTRANGE(""1QZ5UxyNCwadreQAXnQ7oCoH982DjIA-QnZdO7ZoqkC0/edit#gid=884617569"",""S5 Totals!$A$2:$O$255""),3,FALSE)"),0.060240963855421686)</f>
        <v>0.06024096386</v>
      </c>
      <c r="F123" s="146">
        <f t="shared" si="1"/>
        <v>0.04819277108</v>
      </c>
      <c r="G123" s="16">
        <f>IFERROR(__xludf.DUMMYFUNCTION("VLOOKUP(A123,IMPORTRANGE(""1QZ5UxyNCwadreQAXnQ7oCoH982DjIA-QnZdO7ZoqkC0/edit#gid=884617569"",""S5 Totals!$A$2:$O$255""),4,FALSE)"),6.0)</f>
        <v>6</v>
      </c>
      <c r="H123" s="15">
        <f>IFERROR(__xludf.DUMMYFUNCTION("VLOOKUP(A123,IMPORTRANGE(""1QZ5UxyNCwadreQAXnQ7oCoH982DjIA-QnZdO7ZoqkC0/edit#gid=884617569"",""S5 Totals!$A$2:$O$255""),5,FALSE)"),0.12244897959183673)</f>
        <v>0.1224489796</v>
      </c>
      <c r="I123" s="143"/>
      <c r="J123" s="16" t="str">
        <f>IFERROR(__xludf.DUMMYFUNCTION("VLOOKUP(A123,IMPORTRANGE(""1QZ5UxyNCwadreQAXnQ7oCoH982DjIA-QnZdO7ZoqkC0/edit#gid=884617569"",""S5 Totals!$A$2:$O$255""),7,FALSE)"),"")</f>
        <v/>
      </c>
      <c r="K123" s="15" t="str">
        <f>IFERROR(__xludf.DUMMYFUNCTION("VLOOKUP(A123,IMPORTRANGE(""1QZ5UxyNCwadreQAXnQ7oCoH982DjIA-QnZdO7ZoqkC0/edit#gid=884617569"",""S5 Totals!$A$2:$O$255""),8,FALSE)"),"")</f>
        <v/>
      </c>
      <c r="L123" s="147"/>
      <c r="M123" s="16" t="str">
        <f>IFERROR(__xludf.DUMMYFUNCTION("VLOOKUP(A123,IMPORTRANGE(""1QZ5UxyNCwadreQAXnQ7oCoH982DjIA-QnZdO7ZoqkC0/edit#gid=884617569"",""S5 Totals!$A$2:$O$255""),10,FALSE)"),"")</f>
        <v/>
      </c>
      <c r="N123" s="15" t="str">
        <f>IFERROR(__xludf.DUMMYFUNCTION("VLOOKUP(A123,IMPORTRANGE(""1QZ5UxyNCwadreQAXnQ7oCoH982DjIA-QnZdO7ZoqkC0/edit#gid=884617569"",""S5 Totals!$A$2:$O$255""),11,FALSE)"),"")</f>
        <v/>
      </c>
      <c r="O123" s="110"/>
      <c r="P123" s="16" t="str">
        <f>IFERROR(__xludf.DUMMYFUNCTION("VLOOKUP(A123,IMPORTRANGE(""1QZ5UxyNCwadreQAXnQ7oCoH982DjIA-QnZdO7ZoqkC0/edit#gid=884617569"",""S5 Totals!$A$2:$O$255""),13,FALSE)"),"")</f>
        <v/>
      </c>
      <c r="Q123" s="15" t="str">
        <f>IFERROR(__xludf.DUMMYFUNCTION("VLOOKUP(A123,IMPORTRANGE(""1QZ5UxyNCwadreQAXnQ7oCoH982DjIA-QnZdO7ZoqkC0/edit#gid=884617569"",""S5 Totals!$A$2:$O$255""),14,FALSE)"),"")</f>
        <v/>
      </c>
      <c r="R123" s="110"/>
    </row>
    <row r="124">
      <c r="A124" s="128" t="s">
        <v>267</v>
      </c>
      <c r="B124" s="16">
        <f>IFERROR(__xludf.DUMMYFUNCTION("VLOOKUP(A124,IMPORTRANGE(""1aFCnJY1qhIj8-JckJhDJ18aqmVo17tofpQmOjcYa3u8/edit#gid=1878241338"",""S5 Totals!$A$2:$O$255""),2,FALSE)"),14.0)</f>
        <v>14</v>
      </c>
      <c r="C124" s="15">
        <f>IFERROR(__xludf.DUMMYFUNCTION("VLOOKUP(A124,IMPORTRANGE(""1aFCnJY1qhIj8-JckJhDJ18aqmVo17tofpQmOjcYa3u8/edit#gid=1878241338"",""S5 Totals!$A$2:$O$255""),3,FALSE)"),0.1686746987951807)</f>
        <v>0.1686746988</v>
      </c>
      <c r="D124" s="16" t="str">
        <f>IFERROR(__xludf.DUMMYFUNCTION("VLOOKUP(A124,IMPORTRANGE(""1QZ5UxyNCwadreQAXnQ7oCoH982DjIA-QnZdO7ZoqkC0/edit#gid=884617569"",""S5 Totals!$A$2:$O$255""),2,FALSE)"),"#N/A")</f>
        <v>#N/A</v>
      </c>
      <c r="E124" s="15" t="str">
        <f>IFERROR(__xludf.DUMMYFUNCTION("VLOOKUP(A124,IMPORTRANGE(""1QZ5UxyNCwadreQAXnQ7oCoH982DjIA-QnZdO7ZoqkC0/edit#gid=884617569"",""S5 Totals!$A$2:$O$255""),3,FALSE)"),"#N/A")</f>
        <v>#N/A</v>
      </c>
      <c r="F124" s="146" t="str">
        <f t="shared" si="1"/>
        <v>#N/A</v>
      </c>
      <c r="G124" s="16" t="str">
        <f>IFERROR(__xludf.DUMMYFUNCTION("VLOOKUP(A124,IMPORTRANGE(""1QZ5UxyNCwadreQAXnQ7oCoH982DjIA-QnZdO7ZoqkC0/edit#gid=884617569"",""S5 Totals!$A$2:$O$255""),4,FALSE)"),"#N/A")</f>
        <v>#N/A</v>
      </c>
      <c r="H124" s="15" t="str">
        <f>IFERROR(__xludf.DUMMYFUNCTION("VLOOKUP(A124,IMPORTRANGE(""1QZ5UxyNCwadreQAXnQ7oCoH982DjIA-QnZdO7ZoqkC0/edit#gid=884617569"",""S5 Totals!$A$2:$O$255""),5,FALSE)"),"#N/A")</f>
        <v>#N/A</v>
      </c>
      <c r="I124" s="143"/>
      <c r="J124" s="16" t="str">
        <f>IFERROR(__xludf.DUMMYFUNCTION("VLOOKUP(A124,IMPORTRANGE(""1QZ5UxyNCwadreQAXnQ7oCoH982DjIA-QnZdO7ZoqkC0/edit#gid=884617569"",""S5 Totals!$A$2:$O$255""),7,FALSE)"),"#N/A")</f>
        <v>#N/A</v>
      </c>
      <c r="K124" s="15" t="str">
        <f>IFERROR(__xludf.DUMMYFUNCTION("VLOOKUP(A124,IMPORTRANGE(""1QZ5UxyNCwadreQAXnQ7oCoH982DjIA-QnZdO7ZoqkC0/edit#gid=884617569"",""S5 Totals!$A$2:$O$255""),8,FALSE)"),"#N/A")</f>
        <v>#N/A</v>
      </c>
      <c r="L124" s="147"/>
      <c r="M124" s="16" t="str">
        <f>IFERROR(__xludf.DUMMYFUNCTION("VLOOKUP(A124,IMPORTRANGE(""1QZ5UxyNCwadreQAXnQ7oCoH982DjIA-QnZdO7ZoqkC0/edit#gid=884617569"",""S5 Totals!$A$2:$O$255""),10,FALSE)"),"#N/A")</f>
        <v>#N/A</v>
      </c>
      <c r="N124" s="15" t="str">
        <f>IFERROR(__xludf.DUMMYFUNCTION("VLOOKUP(A124,IMPORTRANGE(""1QZ5UxyNCwadreQAXnQ7oCoH982DjIA-QnZdO7ZoqkC0/edit#gid=884617569"",""S5 Totals!$A$2:$O$255""),11,FALSE)"),"#N/A")</f>
        <v>#N/A</v>
      </c>
      <c r="O124" s="110"/>
      <c r="P124" s="16" t="str">
        <f>IFERROR(__xludf.DUMMYFUNCTION("VLOOKUP(A124,IMPORTRANGE(""1QZ5UxyNCwadreQAXnQ7oCoH982DjIA-QnZdO7ZoqkC0/edit#gid=884617569"",""S5 Totals!$A$2:$O$255""),13,FALSE)"),"#N/A")</f>
        <v>#N/A</v>
      </c>
      <c r="Q124" s="15" t="str">
        <f>IFERROR(__xludf.DUMMYFUNCTION("VLOOKUP(A124,IMPORTRANGE(""1QZ5UxyNCwadreQAXnQ7oCoH982DjIA-QnZdO7ZoqkC0/edit#gid=884617569"",""S5 Totals!$A$2:$O$255""),14,FALSE)"),"#N/A")</f>
        <v>#N/A</v>
      </c>
      <c r="R124" s="110"/>
    </row>
    <row r="125">
      <c r="A125" s="128" t="s">
        <v>134</v>
      </c>
      <c r="B125" s="16">
        <f>IFERROR(__xludf.DUMMYFUNCTION("VLOOKUP(A125,IMPORTRANGE(""1aFCnJY1qhIj8-JckJhDJ18aqmVo17tofpQmOjcYa3u8/edit#gid=1878241338"",""S5 Totals!$A$2:$O$255""),2,FALSE)"),0.0)</f>
        <v>0</v>
      </c>
      <c r="C125" s="15">
        <f>IFERROR(__xludf.DUMMYFUNCTION("VLOOKUP(A125,IMPORTRANGE(""1aFCnJY1qhIj8-JckJhDJ18aqmVo17tofpQmOjcYa3u8/edit#gid=1878241338"",""S5 Totals!$A$2:$O$255""),3,FALSE)"),0.0)</f>
        <v>0</v>
      </c>
      <c r="D125" s="16">
        <f>IFERROR(__xludf.DUMMYFUNCTION("VLOOKUP(A125,IMPORTRANGE(""1QZ5UxyNCwadreQAXnQ7oCoH982DjIA-QnZdO7ZoqkC0/edit#gid=884617569"",""S5 Totals!$A$2:$O$255""),2,FALSE)"),4.0)</f>
        <v>4</v>
      </c>
      <c r="E125" s="15">
        <f>IFERROR(__xludf.DUMMYFUNCTION("VLOOKUP(A125,IMPORTRANGE(""1QZ5UxyNCwadreQAXnQ7oCoH982DjIA-QnZdO7ZoqkC0/edit#gid=884617569"",""S5 Totals!$A$2:$O$255""),3,FALSE)"),0.04819277108433735)</f>
        <v>0.04819277108</v>
      </c>
      <c r="F125" s="146">
        <f t="shared" si="1"/>
        <v>-0.04819277108</v>
      </c>
      <c r="G125" s="16">
        <f>IFERROR(__xludf.DUMMYFUNCTION("VLOOKUP(A125,IMPORTRANGE(""1QZ5UxyNCwadreQAXnQ7oCoH982DjIA-QnZdO7ZoqkC0/edit#gid=884617569"",""S5 Totals!$A$2:$O$255""),4,FALSE)"),4.0)</f>
        <v>4</v>
      </c>
      <c r="H125" s="15">
        <f>IFERROR(__xludf.DUMMYFUNCTION("VLOOKUP(A125,IMPORTRANGE(""1QZ5UxyNCwadreQAXnQ7oCoH982DjIA-QnZdO7ZoqkC0/edit#gid=884617569"",""S5 Totals!$A$2:$O$255""),5,FALSE)"),0.08163265306122448)</f>
        <v>0.08163265306</v>
      </c>
      <c r="I125" s="143"/>
      <c r="J125" s="16">
        <f>IFERROR(__xludf.DUMMYFUNCTION("VLOOKUP(A125,IMPORTRANGE(""1QZ5UxyNCwadreQAXnQ7oCoH982DjIA-QnZdO7ZoqkC0/edit#gid=884617569"",""S5 Totals!$A$2:$O$255""),7,FALSE)"),4.0)</f>
        <v>4</v>
      </c>
      <c r="K125" s="15">
        <f>IFERROR(__xludf.DUMMYFUNCTION("VLOOKUP(A125,IMPORTRANGE(""1QZ5UxyNCwadreQAXnQ7oCoH982DjIA-QnZdO7ZoqkC0/edit#gid=884617569"",""S5 Totals!$A$2:$O$255""),8,FALSE)"),0.11764705882352941)</f>
        <v>0.1176470588</v>
      </c>
      <c r="L125" s="147"/>
      <c r="M125" s="16">
        <f>IFERROR(__xludf.DUMMYFUNCTION("VLOOKUP(A125,IMPORTRANGE(""1QZ5UxyNCwadreQAXnQ7oCoH982DjIA-QnZdO7ZoqkC0/edit#gid=884617569"",""S5 Totals!$A$2:$O$255""),10,FALSE)"),2.0)</f>
        <v>2</v>
      </c>
      <c r="N125" s="15">
        <f>IFERROR(__xludf.DUMMYFUNCTION("VLOOKUP(A125,IMPORTRANGE(""1QZ5UxyNCwadreQAXnQ7oCoH982DjIA-QnZdO7ZoqkC0/edit#gid=884617569"",""S5 Totals!$A$2:$O$255""),11,FALSE)"),0.06666666666666667)</f>
        <v>0.06666666667</v>
      </c>
      <c r="O125" s="110"/>
      <c r="P125" s="16" t="str">
        <f>IFERROR(__xludf.DUMMYFUNCTION("VLOOKUP(A125,IMPORTRANGE(""1QZ5UxyNCwadreQAXnQ7oCoH982DjIA-QnZdO7ZoqkC0/edit#gid=884617569"",""S5 Totals!$A$2:$O$255""),13,FALSE)"),"")</f>
        <v/>
      </c>
      <c r="Q125" s="15" t="str">
        <f>IFERROR(__xludf.DUMMYFUNCTION("VLOOKUP(A125,IMPORTRANGE(""1QZ5UxyNCwadreQAXnQ7oCoH982DjIA-QnZdO7ZoqkC0/edit#gid=884617569"",""S5 Totals!$A$2:$O$255""),14,FALSE)"),"")</f>
        <v/>
      </c>
      <c r="R125" s="110"/>
    </row>
    <row r="126">
      <c r="A126" s="128" t="s">
        <v>240</v>
      </c>
      <c r="B126" s="16">
        <f>IFERROR(__xludf.DUMMYFUNCTION("VLOOKUP(A126,IMPORTRANGE(""1aFCnJY1qhIj8-JckJhDJ18aqmVo17tofpQmOjcYa3u8/edit#gid=1878241338"",""S5 Totals!$A$2:$O$255""),2,FALSE)"),0.0)</f>
        <v>0</v>
      </c>
      <c r="C126" s="15">
        <f>IFERROR(__xludf.DUMMYFUNCTION("VLOOKUP(A126,IMPORTRANGE(""1aFCnJY1qhIj8-JckJhDJ18aqmVo17tofpQmOjcYa3u8/edit#gid=1878241338"",""S5 Totals!$A$2:$O$255""),3,FALSE)"),0.0)</f>
        <v>0</v>
      </c>
      <c r="D126" s="16">
        <f>IFERROR(__xludf.DUMMYFUNCTION("VLOOKUP(A126,IMPORTRANGE(""1QZ5UxyNCwadreQAXnQ7oCoH982DjIA-QnZdO7ZoqkC0/edit#gid=884617569"",""S5 Totals!$A$2:$O$255""),2,FALSE)"),0.0)</f>
        <v>0</v>
      </c>
      <c r="E126" s="15">
        <f>IFERROR(__xludf.DUMMYFUNCTION("VLOOKUP(A126,IMPORTRANGE(""1QZ5UxyNCwadreQAXnQ7oCoH982DjIA-QnZdO7ZoqkC0/edit#gid=884617569"",""S5 Totals!$A$2:$O$255""),3,FALSE)"),0.0)</f>
        <v>0</v>
      </c>
      <c r="F126" s="146">
        <f t="shared" si="1"/>
        <v>0</v>
      </c>
      <c r="G126" s="16">
        <f>IFERROR(__xludf.DUMMYFUNCTION("VLOOKUP(A126,IMPORTRANGE(""1QZ5UxyNCwadreQAXnQ7oCoH982DjIA-QnZdO7ZoqkC0/edit#gid=884617569"",""S5 Totals!$A$2:$O$255""),4,FALSE)"),2.0)</f>
        <v>2</v>
      </c>
      <c r="H126" s="15">
        <f>IFERROR(__xludf.DUMMYFUNCTION("VLOOKUP(A126,IMPORTRANGE(""1QZ5UxyNCwadreQAXnQ7oCoH982DjIA-QnZdO7ZoqkC0/edit#gid=884617569"",""S5 Totals!$A$2:$O$255""),5,FALSE)"),0.04081632653061224)</f>
        <v>0.04081632653</v>
      </c>
      <c r="I126" s="143"/>
      <c r="J126" s="16">
        <f>IFERROR(__xludf.DUMMYFUNCTION("VLOOKUP(A126,IMPORTRANGE(""1QZ5UxyNCwadreQAXnQ7oCoH982DjIA-QnZdO7ZoqkC0/edit#gid=884617569"",""S5 Totals!$A$2:$O$255""),7,FALSE)"),2.0)</f>
        <v>2</v>
      </c>
      <c r="K126" s="15">
        <f>IFERROR(__xludf.DUMMYFUNCTION("VLOOKUP(A126,IMPORTRANGE(""1QZ5UxyNCwadreQAXnQ7oCoH982DjIA-QnZdO7ZoqkC0/edit#gid=884617569"",""S5 Totals!$A$2:$O$255""),8,FALSE)"),0.058823529411764705)</f>
        <v>0.05882352941</v>
      </c>
      <c r="L126" s="147"/>
      <c r="M126" s="16" t="str">
        <f>IFERROR(__xludf.DUMMYFUNCTION("VLOOKUP(A126,IMPORTRANGE(""1QZ5UxyNCwadreQAXnQ7oCoH982DjIA-QnZdO7ZoqkC0/edit#gid=884617569"",""S5 Totals!$A$2:$O$255""),10,FALSE)"),"")</f>
        <v/>
      </c>
      <c r="N126" s="15" t="str">
        <f>IFERROR(__xludf.DUMMYFUNCTION("VLOOKUP(A126,IMPORTRANGE(""1QZ5UxyNCwadreQAXnQ7oCoH982DjIA-QnZdO7ZoqkC0/edit#gid=884617569"",""S5 Totals!$A$2:$O$255""),11,FALSE)"),"")</f>
        <v/>
      </c>
      <c r="O126" s="110"/>
      <c r="P126" s="16" t="str">
        <f>IFERROR(__xludf.DUMMYFUNCTION("VLOOKUP(A126,IMPORTRANGE(""1QZ5UxyNCwadreQAXnQ7oCoH982DjIA-QnZdO7ZoqkC0/edit#gid=884617569"",""S5 Totals!$A$2:$O$255""),13,FALSE)"),"")</f>
        <v/>
      </c>
      <c r="Q126" s="15" t="str">
        <f>IFERROR(__xludf.DUMMYFUNCTION("VLOOKUP(A126,IMPORTRANGE(""1QZ5UxyNCwadreQAXnQ7oCoH982DjIA-QnZdO7ZoqkC0/edit#gid=884617569"",""S5 Totals!$A$2:$O$255""),14,FALSE)"),"")</f>
        <v/>
      </c>
      <c r="R126" s="110"/>
    </row>
    <row r="127">
      <c r="A127" s="128" t="s">
        <v>241</v>
      </c>
      <c r="B127" s="16">
        <f>IFERROR(__xludf.DUMMYFUNCTION("VLOOKUP(A127,IMPORTRANGE(""1aFCnJY1qhIj8-JckJhDJ18aqmVo17tofpQmOjcYa3u8/edit#gid=1878241338"",""S5 Totals!$A$2:$O$255""),2,FALSE)"),53.0)</f>
        <v>53</v>
      </c>
      <c r="C127" s="15">
        <f>IFERROR(__xludf.DUMMYFUNCTION("VLOOKUP(A127,IMPORTRANGE(""1aFCnJY1qhIj8-JckJhDJ18aqmVo17tofpQmOjcYa3u8/edit#gid=1878241338"",""S5 Totals!$A$2:$O$255""),3,FALSE)"),0.6385542168674698)</f>
        <v>0.6385542169</v>
      </c>
      <c r="D127" s="16">
        <f>IFERROR(__xludf.DUMMYFUNCTION("VLOOKUP(A127,IMPORTRANGE(""1QZ5UxyNCwadreQAXnQ7oCoH982DjIA-QnZdO7ZoqkC0/edit#gid=884617569"",""S5 Totals!$A$2:$O$255""),2,FALSE)"),37.0)</f>
        <v>37</v>
      </c>
      <c r="E127" s="15">
        <f>IFERROR(__xludf.DUMMYFUNCTION("VLOOKUP(A127,IMPORTRANGE(""1QZ5UxyNCwadreQAXnQ7oCoH982DjIA-QnZdO7ZoqkC0/edit#gid=884617569"",""S5 Totals!$A$2:$O$255""),3,FALSE)"),0.4457831325301205)</f>
        <v>0.4457831325</v>
      </c>
      <c r="F127" s="146">
        <f t="shared" si="1"/>
        <v>0.1927710843</v>
      </c>
      <c r="G127" s="16">
        <f>IFERROR(__xludf.DUMMYFUNCTION("VLOOKUP(A127,IMPORTRANGE(""1QZ5UxyNCwadreQAXnQ7oCoH982DjIA-QnZdO7ZoqkC0/edit#gid=884617569"",""S5 Totals!$A$2:$O$255""),4,FALSE)"),10.0)</f>
        <v>10</v>
      </c>
      <c r="H127" s="15">
        <f>IFERROR(__xludf.DUMMYFUNCTION("VLOOKUP(A127,IMPORTRANGE(""1QZ5UxyNCwadreQAXnQ7oCoH982DjIA-QnZdO7ZoqkC0/edit#gid=884617569"",""S5 Totals!$A$2:$O$255""),5,FALSE)"),0.20408163265306123)</f>
        <v>0.2040816327</v>
      </c>
      <c r="I127" s="143"/>
      <c r="J127" s="16" t="str">
        <f>IFERROR(__xludf.DUMMYFUNCTION("VLOOKUP(A127,IMPORTRANGE(""1QZ5UxyNCwadreQAXnQ7oCoH982DjIA-QnZdO7ZoqkC0/edit#gid=884617569"",""S5 Totals!$A$2:$O$255""),7,FALSE)"),"")</f>
        <v/>
      </c>
      <c r="K127" s="15" t="str">
        <f>IFERROR(__xludf.DUMMYFUNCTION("VLOOKUP(A127,IMPORTRANGE(""1QZ5UxyNCwadreQAXnQ7oCoH982DjIA-QnZdO7ZoqkC0/edit#gid=884617569"",""S5 Totals!$A$2:$O$255""),8,FALSE)"),"")</f>
        <v/>
      </c>
      <c r="L127" s="147"/>
      <c r="M127" s="16" t="str">
        <f>IFERROR(__xludf.DUMMYFUNCTION("VLOOKUP(A127,IMPORTRANGE(""1QZ5UxyNCwadreQAXnQ7oCoH982DjIA-QnZdO7ZoqkC0/edit#gid=884617569"",""S5 Totals!$A$2:$O$255""),10,FALSE)"),"")</f>
        <v/>
      </c>
      <c r="N127" s="15" t="str">
        <f>IFERROR(__xludf.DUMMYFUNCTION("VLOOKUP(A127,IMPORTRANGE(""1QZ5UxyNCwadreQAXnQ7oCoH982DjIA-QnZdO7ZoqkC0/edit#gid=884617569"",""S5 Totals!$A$2:$O$255""),11,FALSE)"),"")</f>
        <v/>
      </c>
      <c r="O127" s="110"/>
      <c r="P127" s="16" t="str">
        <f>IFERROR(__xludf.DUMMYFUNCTION("VLOOKUP(A127,IMPORTRANGE(""1QZ5UxyNCwadreQAXnQ7oCoH982DjIA-QnZdO7ZoqkC0/edit#gid=884617569"",""S5 Totals!$A$2:$O$255""),13,FALSE)"),"")</f>
        <v/>
      </c>
      <c r="Q127" s="15" t="str">
        <f>IFERROR(__xludf.DUMMYFUNCTION("VLOOKUP(A127,IMPORTRANGE(""1QZ5UxyNCwadreQAXnQ7oCoH982DjIA-QnZdO7ZoqkC0/edit#gid=884617569"",""S5 Totals!$A$2:$O$255""),14,FALSE)"),"")</f>
        <v/>
      </c>
      <c r="R127" s="110"/>
    </row>
    <row r="128">
      <c r="A128" s="128" t="s">
        <v>74</v>
      </c>
      <c r="B128" s="16">
        <f>IFERROR(__xludf.DUMMYFUNCTION("VLOOKUP(A128,IMPORTRANGE(""1aFCnJY1qhIj8-JckJhDJ18aqmVo17tofpQmOjcYa3u8/edit#gid=1878241338"",""S5 Totals!$A$2:$O$255""),2,FALSE)"),10.0)</f>
        <v>10</v>
      </c>
      <c r="C128" s="15">
        <f>IFERROR(__xludf.DUMMYFUNCTION("VLOOKUP(A128,IMPORTRANGE(""1aFCnJY1qhIj8-JckJhDJ18aqmVo17tofpQmOjcYa3u8/edit#gid=1878241338"",""S5 Totals!$A$2:$O$255""),3,FALSE)"),0.12048192771084337)</f>
        <v>0.1204819277</v>
      </c>
      <c r="D128" s="16">
        <f>IFERROR(__xludf.DUMMYFUNCTION("VLOOKUP(A128,IMPORTRANGE(""1QZ5UxyNCwadreQAXnQ7oCoH982DjIA-QnZdO7ZoqkC0/edit#gid=884617569"",""S5 Totals!$A$2:$O$255""),2,FALSE)"),7.0)</f>
        <v>7</v>
      </c>
      <c r="E128" s="15">
        <f>IFERROR(__xludf.DUMMYFUNCTION("VLOOKUP(A128,IMPORTRANGE(""1QZ5UxyNCwadreQAXnQ7oCoH982DjIA-QnZdO7ZoqkC0/edit#gid=884617569"",""S5 Totals!$A$2:$O$255""),3,FALSE)"),0.08433734939759036)</f>
        <v>0.0843373494</v>
      </c>
      <c r="F128" s="146">
        <f t="shared" si="1"/>
        <v>0.03614457831</v>
      </c>
      <c r="G128" s="16">
        <f>IFERROR(__xludf.DUMMYFUNCTION("VLOOKUP(A128,IMPORTRANGE(""1QZ5UxyNCwadreQAXnQ7oCoH982DjIA-QnZdO7ZoqkC0/edit#gid=884617569"",""S5 Totals!$A$2:$O$255""),4,FALSE)"),4.0)</f>
        <v>4</v>
      </c>
      <c r="H128" s="15">
        <f>IFERROR(__xludf.DUMMYFUNCTION("VLOOKUP(A128,IMPORTRANGE(""1QZ5UxyNCwadreQAXnQ7oCoH982DjIA-QnZdO7ZoqkC0/edit#gid=884617569"",""S5 Totals!$A$2:$O$255""),5,FALSE)"),0.08163265306122448)</f>
        <v>0.08163265306</v>
      </c>
      <c r="I128" s="143"/>
      <c r="J128" s="16">
        <f>IFERROR(__xludf.DUMMYFUNCTION("VLOOKUP(A128,IMPORTRANGE(""1QZ5UxyNCwadreQAXnQ7oCoH982DjIA-QnZdO7ZoqkC0/edit#gid=884617569"",""S5 Totals!$A$2:$O$255""),7,FALSE)"),3.0)</f>
        <v>3</v>
      </c>
      <c r="K128" s="15">
        <f>IFERROR(__xludf.DUMMYFUNCTION("VLOOKUP(A128,IMPORTRANGE(""1QZ5UxyNCwadreQAXnQ7oCoH982DjIA-QnZdO7ZoqkC0/edit#gid=884617569"",""S5 Totals!$A$2:$O$255""),8,FALSE)"),0.08823529411764706)</f>
        <v>0.08823529412</v>
      </c>
      <c r="L128" s="147"/>
      <c r="M128" s="16">
        <f>IFERROR(__xludf.DUMMYFUNCTION("VLOOKUP(A128,IMPORTRANGE(""1QZ5UxyNCwadreQAXnQ7oCoH982DjIA-QnZdO7ZoqkC0/edit#gid=884617569"",""S5 Totals!$A$2:$O$255""),10,FALSE)"),1.0)</f>
        <v>1</v>
      </c>
      <c r="N128" s="15">
        <f>IFERROR(__xludf.DUMMYFUNCTION("VLOOKUP(A128,IMPORTRANGE(""1QZ5UxyNCwadreQAXnQ7oCoH982DjIA-QnZdO7ZoqkC0/edit#gid=884617569"",""S5 Totals!$A$2:$O$255""),11,FALSE)"),0.03333333333333333)</f>
        <v>0.03333333333</v>
      </c>
      <c r="O128" s="110"/>
      <c r="P128" s="16">
        <f>IFERROR(__xludf.DUMMYFUNCTION("VLOOKUP(A128,IMPORTRANGE(""1QZ5UxyNCwadreQAXnQ7oCoH982DjIA-QnZdO7ZoqkC0/edit#gid=884617569"",""S5 Totals!$A$2:$O$255""),13,FALSE)"),0.0)</f>
        <v>0</v>
      </c>
      <c r="Q128" s="15">
        <f>IFERROR(__xludf.DUMMYFUNCTION("VLOOKUP(A128,IMPORTRANGE(""1QZ5UxyNCwadreQAXnQ7oCoH982DjIA-QnZdO7ZoqkC0/edit#gid=884617569"",""S5 Totals!$A$2:$O$255""),14,FALSE)"),0.0)</f>
        <v>0</v>
      </c>
      <c r="R128" s="110"/>
    </row>
    <row r="129">
      <c r="A129" s="128" t="s">
        <v>242</v>
      </c>
      <c r="B129" s="16">
        <f>IFERROR(__xludf.DUMMYFUNCTION("VLOOKUP(A129,IMPORTRANGE(""1aFCnJY1qhIj8-JckJhDJ18aqmVo17tofpQmOjcYa3u8/edit#gid=1878241338"",""S5 Totals!$A$2:$O$255""),2,FALSE)"),0.0)</f>
        <v>0</v>
      </c>
      <c r="C129" s="15">
        <f>IFERROR(__xludf.DUMMYFUNCTION("VLOOKUP(A129,IMPORTRANGE(""1aFCnJY1qhIj8-JckJhDJ18aqmVo17tofpQmOjcYa3u8/edit#gid=1878241338"",""S5 Totals!$A$2:$O$255""),3,FALSE)"),0.0)</f>
        <v>0</v>
      </c>
      <c r="D129" s="16">
        <f>IFERROR(__xludf.DUMMYFUNCTION("VLOOKUP(A129,IMPORTRANGE(""1QZ5UxyNCwadreQAXnQ7oCoH982DjIA-QnZdO7ZoqkC0/edit#gid=884617569"",""S5 Totals!$A$2:$O$255""),2,FALSE)"),0.0)</f>
        <v>0</v>
      </c>
      <c r="E129" s="15">
        <f>IFERROR(__xludf.DUMMYFUNCTION("VLOOKUP(A129,IMPORTRANGE(""1QZ5UxyNCwadreQAXnQ7oCoH982DjIA-QnZdO7ZoqkC0/edit#gid=884617569"",""S5 Totals!$A$2:$O$255""),3,FALSE)"),0.0)</f>
        <v>0</v>
      </c>
      <c r="F129" s="146">
        <f t="shared" si="1"/>
        <v>0</v>
      </c>
      <c r="G129" s="16">
        <f>IFERROR(__xludf.DUMMYFUNCTION("VLOOKUP(A129,IMPORTRANGE(""1QZ5UxyNCwadreQAXnQ7oCoH982DjIA-QnZdO7ZoqkC0/edit#gid=884617569"",""S5 Totals!$A$2:$O$255""),4,FALSE)"),0.0)</f>
        <v>0</v>
      </c>
      <c r="H129" s="15">
        <f>IFERROR(__xludf.DUMMYFUNCTION("VLOOKUP(A129,IMPORTRANGE(""1QZ5UxyNCwadreQAXnQ7oCoH982DjIA-QnZdO7ZoqkC0/edit#gid=884617569"",""S5 Totals!$A$2:$O$255""),5,FALSE)"),0.0)</f>
        <v>0</v>
      </c>
      <c r="I129" s="143"/>
      <c r="J129" s="16" t="str">
        <f>IFERROR(__xludf.DUMMYFUNCTION("VLOOKUP(A129,IMPORTRANGE(""1QZ5UxyNCwadreQAXnQ7oCoH982DjIA-QnZdO7ZoqkC0/edit#gid=884617569"",""S5 Totals!$A$2:$O$255""),7,FALSE)"),"")</f>
        <v/>
      </c>
      <c r="K129" s="15" t="str">
        <f>IFERROR(__xludf.DUMMYFUNCTION("VLOOKUP(A129,IMPORTRANGE(""1QZ5UxyNCwadreQAXnQ7oCoH982DjIA-QnZdO7ZoqkC0/edit#gid=884617569"",""S5 Totals!$A$2:$O$255""),8,FALSE)"),"")</f>
        <v/>
      </c>
      <c r="L129" s="147"/>
      <c r="M129" s="16" t="str">
        <f>IFERROR(__xludf.DUMMYFUNCTION("VLOOKUP(A129,IMPORTRANGE(""1QZ5UxyNCwadreQAXnQ7oCoH982DjIA-QnZdO7ZoqkC0/edit#gid=884617569"",""S5 Totals!$A$2:$O$255""),10,FALSE)"),"")</f>
        <v/>
      </c>
      <c r="N129" s="15" t="str">
        <f>IFERROR(__xludf.DUMMYFUNCTION("VLOOKUP(A129,IMPORTRANGE(""1QZ5UxyNCwadreQAXnQ7oCoH982DjIA-QnZdO7ZoqkC0/edit#gid=884617569"",""S5 Totals!$A$2:$O$255""),11,FALSE)"),"")</f>
        <v/>
      </c>
      <c r="O129" s="110"/>
      <c r="P129" s="16" t="str">
        <f>IFERROR(__xludf.DUMMYFUNCTION("VLOOKUP(A129,IMPORTRANGE(""1QZ5UxyNCwadreQAXnQ7oCoH982DjIA-QnZdO7ZoqkC0/edit#gid=884617569"",""S5 Totals!$A$2:$O$255""),13,FALSE)"),"")</f>
        <v/>
      </c>
      <c r="Q129" s="15" t="str">
        <f>IFERROR(__xludf.DUMMYFUNCTION("VLOOKUP(A129,IMPORTRANGE(""1QZ5UxyNCwadreQAXnQ7oCoH982DjIA-QnZdO7ZoqkC0/edit#gid=884617569"",""S5 Totals!$A$2:$O$255""),14,FALSE)"),"")</f>
        <v/>
      </c>
      <c r="R129" s="110"/>
    </row>
    <row r="130">
      <c r="A130" s="128" t="s">
        <v>243</v>
      </c>
      <c r="B130" s="16">
        <f>IFERROR(__xludf.DUMMYFUNCTION("VLOOKUP(A130,IMPORTRANGE(""1aFCnJY1qhIj8-JckJhDJ18aqmVo17tofpQmOjcYa3u8/edit#gid=1878241338"",""S5 Totals!$A$2:$O$255""),2,FALSE)"),9.0)</f>
        <v>9</v>
      </c>
      <c r="C130" s="15">
        <f>IFERROR(__xludf.DUMMYFUNCTION("VLOOKUP(A130,IMPORTRANGE(""1aFCnJY1qhIj8-JckJhDJ18aqmVo17tofpQmOjcYa3u8/edit#gid=1878241338"",""S5 Totals!$A$2:$O$255""),3,FALSE)"),0.10843373493975904)</f>
        <v>0.1084337349</v>
      </c>
      <c r="D130" s="16">
        <f>IFERROR(__xludf.DUMMYFUNCTION("VLOOKUP(A130,IMPORTRANGE(""1QZ5UxyNCwadreQAXnQ7oCoH982DjIA-QnZdO7ZoqkC0/edit#gid=884617569"",""S5 Totals!$A$2:$O$255""),2,FALSE)"),4.0)</f>
        <v>4</v>
      </c>
      <c r="E130" s="15">
        <f>IFERROR(__xludf.DUMMYFUNCTION("VLOOKUP(A130,IMPORTRANGE(""1QZ5UxyNCwadreQAXnQ7oCoH982DjIA-QnZdO7ZoqkC0/edit#gid=884617569"",""S5 Totals!$A$2:$O$255""),3,FALSE)"),0.04819277108433735)</f>
        <v>0.04819277108</v>
      </c>
      <c r="F130" s="146">
        <f t="shared" si="1"/>
        <v>0.06024096386</v>
      </c>
      <c r="G130" s="16">
        <f>IFERROR(__xludf.DUMMYFUNCTION("VLOOKUP(A130,IMPORTRANGE(""1QZ5UxyNCwadreQAXnQ7oCoH982DjIA-QnZdO7ZoqkC0/edit#gid=884617569"",""S5 Totals!$A$2:$O$255""),4,FALSE)"),5.0)</f>
        <v>5</v>
      </c>
      <c r="H130" s="15">
        <f>IFERROR(__xludf.DUMMYFUNCTION("VLOOKUP(A130,IMPORTRANGE(""1QZ5UxyNCwadreQAXnQ7oCoH982DjIA-QnZdO7ZoqkC0/edit#gid=884617569"",""S5 Totals!$A$2:$O$255""),5,FALSE)"),0.10204081632653061)</f>
        <v>0.1020408163</v>
      </c>
      <c r="I130" s="143"/>
      <c r="J130" s="16" t="str">
        <f>IFERROR(__xludf.DUMMYFUNCTION("VLOOKUP(A130,IMPORTRANGE(""1QZ5UxyNCwadreQAXnQ7oCoH982DjIA-QnZdO7ZoqkC0/edit#gid=884617569"",""S5 Totals!$A$2:$O$255""),7,FALSE)"),"")</f>
        <v/>
      </c>
      <c r="K130" s="15" t="str">
        <f>IFERROR(__xludf.DUMMYFUNCTION("VLOOKUP(A130,IMPORTRANGE(""1QZ5UxyNCwadreQAXnQ7oCoH982DjIA-QnZdO7ZoqkC0/edit#gid=884617569"",""S5 Totals!$A$2:$O$255""),8,FALSE)"),"")</f>
        <v/>
      </c>
      <c r="L130" s="147"/>
      <c r="M130" s="16" t="str">
        <f>IFERROR(__xludf.DUMMYFUNCTION("VLOOKUP(A130,IMPORTRANGE(""1QZ5UxyNCwadreQAXnQ7oCoH982DjIA-QnZdO7ZoqkC0/edit#gid=884617569"",""S5 Totals!$A$2:$O$255""),10,FALSE)"),"")</f>
        <v/>
      </c>
      <c r="N130" s="15" t="str">
        <f>IFERROR(__xludf.DUMMYFUNCTION("VLOOKUP(A130,IMPORTRANGE(""1QZ5UxyNCwadreQAXnQ7oCoH982DjIA-QnZdO7ZoqkC0/edit#gid=884617569"",""S5 Totals!$A$2:$O$255""),11,FALSE)"),"")</f>
        <v/>
      </c>
      <c r="O130" s="110"/>
      <c r="P130" s="16" t="str">
        <f>IFERROR(__xludf.DUMMYFUNCTION("VLOOKUP(A130,IMPORTRANGE(""1QZ5UxyNCwadreQAXnQ7oCoH982DjIA-QnZdO7ZoqkC0/edit#gid=884617569"",""S5 Totals!$A$2:$O$255""),13,FALSE)"),"")</f>
        <v/>
      </c>
      <c r="Q130" s="15" t="str">
        <f>IFERROR(__xludf.DUMMYFUNCTION("VLOOKUP(A130,IMPORTRANGE(""1QZ5UxyNCwadreQAXnQ7oCoH982DjIA-QnZdO7ZoqkC0/edit#gid=884617569"",""S5 Totals!$A$2:$O$255""),14,FALSE)"),"")</f>
        <v/>
      </c>
      <c r="R130" s="110"/>
    </row>
    <row r="131">
      <c r="A131" s="128" t="s">
        <v>63</v>
      </c>
      <c r="B131" s="16">
        <f>IFERROR(__xludf.DUMMYFUNCTION("VLOOKUP(A131,IMPORTRANGE(""1aFCnJY1qhIj8-JckJhDJ18aqmVo17tofpQmOjcYa3u8/edit#gid=1878241338"",""S5 Totals!$A$2:$O$255""),2,FALSE)"),19.0)</f>
        <v>19</v>
      </c>
      <c r="C131" s="15">
        <f>IFERROR(__xludf.DUMMYFUNCTION("VLOOKUP(A131,IMPORTRANGE(""1aFCnJY1qhIj8-JckJhDJ18aqmVo17tofpQmOjcYa3u8/edit#gid=1878241338"",""S5 Totals!$A$2:$O$255""),3,FALSE)"),0.2289156626506024)</f>
        <v>0.2289156627</v>
      </c>
      <c r="D131" s="16">
        <f>IFERROR(__xludf.DUMMYFUNCTION("VLOOKUP(A131,IMPORTRANGE(""1QZ5UxyNCwadreQAXnQ7oCoH982DjIA-QnZdO7ZoqkC0/edit#gid=884617569"",""S5 Totals!$A$2:$O$255""),2,FALSE)"),11.0)</f>
        <v>11</v>
      </c>
      <c r="E131" s="15">
        <f>IFERROR(__xludf.DUMMYFUNCTION("VLOOKUP(A131,IMPORTRANGE(""1QZ5UxyNCwadreQAXnQ7oCoH982DjIA-QnZdO7ZoqkC0/edit#gid=884617569"",""S5 Totals!$A$2:$O$255""),3,FALSE)"),0.13253012048192772)</f>
        <v>0.1325301205</v>
      </c>
      <c r="F131" s="146">
        <f t="shared" si="1"/>
        <v>0.09638554217</v>
      </c>
      <c r="G131" s="16">
        <f>IFERROR(__xludf.DUMMYFUNCTION("VLOOKUP(A131,IMPORTRANGE(""1QZ5UxyNCwadreQAXnQ7oCoH982DjIA-QnZdO7ZoqkC0/edit#gid=884617569"",""S5 Totals!$A$2:$O$255""),4,FALSE)"),6.0)</f>
        <v>6</v>
      </c>
      <c r="H131" s="15">
        <f>IFERROR(__xludf.DUMMYFUNCTION("VLOOKUP(A131,IMPORTRANGE(""1QZ5UxyNCwadreQAXnQ7oCoH982DjIA-QnZdO7ZoqkC0/edit#gid=884617569"",""S5 Totals!$A$2:$O$255""),5,FALSE)"),0.12244897959183673)</f>
        <v>0.1224489796</v>
      </c>
      <c r="I131" s="143"/>
      <c r="J131" s="16">
        <f>IFERROR(__xludf.DUMMYFUNCTION("VLOOKUP(A131,IMPORTRANGE(""1QZ5UxyNCwadreQAXnQ7oCoH982DjIA-QnZdO7ZoqkC0/edit#gid=884617569"",""S5 Totals!$A$2:$O$255""),7,FALSE)"),5.0)</f>
        <v>5</v>
      </c>
      <c r="K131" s="15">
        <f>IFERROR(__xludf.DUMMYFUNCTION("VLOOKUP(A131,IMPORTRANGE(""1QZ5UxyNCwadreQAXnQ7oCoH982DjIA-QnZdO7ZoqkC0/edit#gid=884617569"",""S5 Totals!$A$2:$O$255""),8,FALSE)"),0.14705882352941177)</f>
        <v>0.1470588235</v>
      </c>
      <c r="L131" s="147"/>
      <c r="M131" s="16">
        <f>IFERROR(__xludf.DUMMYFUNCTION("VLOOKUP(A131,IMPORTRANGE(""1QZ5UxyNCwadreQAXnQ7oCoH982DjIA-QnZdO7ZoqkC0/edit#gid=884617569"",""S5 Totals!$A$2:$O$255""),10,FALSE)"),1.0)</f>
        <v>1</v>
      </c>
      <c r="N131" s="15">
        <f>IFERROR(__xludf.DUMMYFUNCTION("VLOOKUP(A131,IMPORTRANGE(""1QZ5UxyNCwadreQAXnQ7oCoH982DjIA-QnZdO7ZoqkC0/edit#gid=884617569"",""S5 Totals!$A$2:$O$255""),11,FALSE)"),0.03333333333333333)</f>
        <v>0.03333333333</v>
      </c>
      <c r="O131" s="110"/>
      <c r="P131" s="16">
        <f>IFERROR(__xludf.DUMMYFUNCTION("VLOOKUP(A131,IMPORTRANGE(""1QZ5UxyNCwadreQAXnQ7oCoH982DjIA-QnZdO7ZoqkC0/edit#gid=884617569"",""S5 Totals!$A$2:$O$255""),13,FALSE)"),0.0)</f>
        <v>0</v>
      </c>
      <c r="Q131" s="15">
        <f>IFERROR(__xludf.DUMMYFUNCTION("VLOOKUP(A131,IMPORTRANGE(""1QZ5UxyNCwadreQAXnQ7oCoH982DjIA-QnZdO7ZoqkC0/edit#gid=884617569"",""S5 Totals!$A$2:$O$255""),14,FALSE)"),0.0)</f>
        <v>0</v>
      </c>
      <c r="R131" s="110"/>
    </row>
    <row r="132">
      <c r="A132" s="128" t="s">
        <v>34</v>
      </c>
      <c r="B132" s="16">
        <f>IFERROR(__xludf.DUMMYFUNCTION("VLOOKUP(A132,IMPORTRANGE(""1aFCnJY1qhIj8-JckJhDJ18aqmVo17tofpQmOjcYa3u8/edit#gid=1878241338"",""S5 Totals!$A$2:$O$255""),2,FALSE)"),2.0)</f>
        <v>2</v>
      </c>
      <c r="C132" s="15">
        <f>IFERROR(__xludf.DUMMYFUNCTION("VLOOKUP(A132,IMPORTRANGE(""1aFCnJY1qhIj8-JckJhDJ18aqmVo17tofpQmOjcYa3u8/edit#gid=1878241338"",""S5 Totals!$A$2:$O$255""),3,FALSE)"),0.024096385542168676)</f>
        <v>0.02409638554</v>
      </c>
      <c r="D132" s="16">
        <f>IFERROR(__xludf.DUMMYFUNCTION("VLOOKUP(A132,IMPORTRANGE(""1QZ5UxyNCwadreQAXnQ7oCoH982DjIA-QnZdO7ZoqkC0/edit#gid=884617569"",""S5 Totals!$A$2:$O$255""),2,FALSE)"),4.0)</f>
        <v>4</v>
      </c>
      <c r="E132" s="15">
        <f>IFERROR(__xludf.DUMMYFUNCTION("VLOOKUP(A132,IMPORTRANGE(""1QZ5UxyNCwadreQAXnQ7oCoH982DjIA-QnZdO7ZoqkC0/edit#gid=884617569"",""S5 Totals!$A$2:$O$255""),3,FALSE)"),0.04819277108433735)</f>
        <v>0.04819277108</v>
      </c>
      <c r="F132" s="146">
        <f t="shared" si="1"/>
        <v>-0.02409638554</v>
      </c>
      <c r="G132" s="16">
        <f>IFERROR(__xludf.DUMMYFUNCTION("VLOOKUP(A132,IMPORTRANGE(""1QZ5UxyNCwadreQAXnQ7oCoH982DjIA-QnZdO7ZoqkC0/edit#gid=884617569"",""S5 Totals!$A$2:$O$255""),4,FALSE)"),0.0)</f>
        <v>0</v>
      </c>
      <c r="H132" s="15">
        <f>IFERROR(__xludf.DUMMYFUNCTION("VLOOKUP(A132,IMPORTRANGE(""1QZ5UxyNCwadreQAXnQ7oCoH982DjIA-QnZdO7ZoqkC0/edit#gid=884617569"",""S5 Totals!$A$2:$O$255""),5,FALSE)"),0.0)</f>
        <v>0</v>
      </c>
      <c r="I132" s="143"/>
      <c r="J132" s="16">
        <f>IFERROR(__xludf.DUMMYFUNCTION("VLOOKUP(A132,IMPORTRANGE(""1QZ5UxyNCwadreQAXnQ7oCoH982DjIA-QnZdO7ZoqkC0/edit#gid=884617569"",""S5 Totals!$A$2:$O$255""),7,FALSE)"),2.0)</f>
        <v>2</v>
      </c>
      <c r="K132" s="15">
        <f>IFERROR(__xludf.DUMMYFUNCTION("VLOOKUP(A132,IMPORTRANGE(""1QZ5UxyNCwadreQAXnQ7oCoH982DjIA-QnZdO7ZoqkC0/edit#gid=884617569"",""S5 Totals!$A$2:$O$255""),8,FALSE)"),0.058823529411764705)</f>
        <v>0.05882352941</v>
      </c>
      <c r="L132" s="147"/>
      <c r="M132" s="16">
        <f>IFERROR(__xludf.DUMMYFUNCTION("VLOOKUP(A132,IMPORTRANGE(""1QZ5UxyNCwadreQAXnQ7oCoH982DjIA-QnZdO7ZoqkC0/edit#gid=884617569"",""S5 Totals!$A$2:$O$255""),10,FALSE)"),2.0)</f>
        <v>2</v>
      </c>
      <c r="N132" s="15">
        <f>IFERROR(__xludf.DUMMYFUNCTION("VLOOKUP(A132,IMPORTRANGE(""1QZ5UxyNCwadreQAXnQ7oCoH982DjIA-QnZdO7ZoqkC0/edit#gid=884617569"",""S5 Totals!$A$2:$O$255""),11,FALSE)"),0.06666666666666667)</f>
        <v>0.06666666667</v>
      </c>
      <c r="O132" s="110"/>
      <c r="P132" s="16">
        <f>IFERROR(__xludf.DUMMYFUNCTION("VLOOKUP(A132,IMPORTRANGE(""1QZ5UxyNCwadreQAXnQ7oCoH982DjIA-QnZdO7ZoqkC0/edit#gid=884617569"",""S5 Totals!$A$2:$O$255""),13,FALSE)"),0.0)</f>
        <v>0</v>
      </c>
      <c r="Q132" s="15">
        <f>IFERROR(__xludf.DUMMYFUNCTION("VLOOKUP(A132,IMPORTRANGE(""1QZ5UxyNCwadreQAXnQ7oCoH982DjIA-QnZdO7ZoqkC0/edit#gid=884617569"",""S5 Totals!$A$2:$O$255""),14,FALSE)"),0.0)</f>
        <v>0</v>
      </c>
      <c r="R132" s="110"/>
    </row>
    <row r="133">
      <c r="A133" s="128" t="s">
        <v>268</v>
      </c>
      <c r="B133" s="16">
        <f>IFERROR(__xludf.DUMMYFUNCTION("VLOOKUP(A133,IMPORTRANGE(""1aFCnJY1qhIj8-JckJhDJ18aqmVo17tofpQmOjcYa3u8/edit#gid=1878241338"",""S5 Totals!$A$2:$O$255""),2,FALSE)"),0.0)</f>
        <v>0</v>
      </c>
      <c r="C133" s="15">
        <f>IFERROR(__xludf.DUMMYFUNCTION("VLOOKUP(A133,IMPORTRANGE(""1aFCnJY1qhIj8-JckJhDJ18aqmVo17tofpQmOjcYa3u8/edit#gid=1878241338"",""S5 Totals!$A$2:$O$255""),3,FALSE)"),0.0)</f>
        <v>0</v>
      </c>
      <c r="D133" s="16" t="str">
        <f>IFERROR(__xludf.DUMMYFUNCTION("VLOOKUP(A133,IMPORTRANGE(""1QZ5UxyNCwadreQAXnQ7oCoH982DjIA-QnZdO7ZoqkC0/edit#gid=884617569"",""S5 Totals!$A$2:$O$255""),2,FALSE)"),"#N/A")</f>
        <v>#N/A</v>
      </c>
      <c r="E133" s="15" t="str">
        <f>IFERROR(__xludf.DUMMYFUNCTION("VLOOKUP(A133,IMPORTRANGE(""1QZ5UxyNCwadreQAXnQ7oCoH982DjIA-QnZdO7ZoqkC0/edit#gid=884617569"",""S5 Totals!$A$2:$O$255""),3,FALSE)"),"#N/A")</f>
        <v>#N/A</v>
      </c>
      <c r="F133" s="146" t="str">
        <f t="shared" si="1"/>
        <v>#N/A</v>
      </c>
      <c r="G133" s="16" t="str">
        <f>IFERROR(__xludf.DUMMYFUNCTION("VLOOKUP(A133,IMPORTRANGE(""1QZ5UxyNCwadreQAXnQ7oCoH982DjIA-QnZdO7ZoqkC0/edit#gid=884617569"",""S5 Totals!$A$2:$O$255""),4,FALSE)"),"#N/A")</f>
        <v>#N/A</v>
      </c>
      <c r="H133" s="15" t="str">
        <f>IFERROR(__xludf.DUMMYFUNCTION("VLOOKUP(A133,IMPORTRANGE(""1QZ5UxyNCwadreQAXnQ7oCoH982DjIA-QnZdO7ZoqkC0/edit#gid=884617569"",""S5 Totals!$A$2:$O$255""),5,FALSE)"),"#N/A")</f>
        <v>#N/A</v>
      </c>
      <c r="I133" s="143"/>
      <c r="J133" s="16" t="str">
        <f>IFERROR(__xludf.DUMMYFUNCTION("VLOOKUP(A133,IMPORTRANGE(""1QZ5UxyNCwadreQAXnQ7oCoH982DjIA-QnZdO7ZoqkC0/edit#gid=884617569"",""S5 Totals!$A$2:$O$255""),7,FALSE)"),"#N/A")</f>
        <v>#N/A</v>
      </c>
      <c r="K133" s="15" t="str">
        <f>IFERROR(__xludf.DUMMYFUNCTION("VLOOKUP(A133,IMPORTRANGE(""1QZ5UxyNCwadreQAXnQ7oCoH982DjIA-QnZdO7ZoqkC0/edit#gid=884617569"",""S5 Totals!$A$2:$O$255""),8,FALSE)"),"#N/A")</f>
        <v>#N/A</v>
      </c>
      <c r="L133" s="147"/>
      <c r="M133" s="16" t="str">
        <f>IFERROR(__xludf.DUMMYFUNCTION("VLOOKUP(A133,IMPORTRANGE(""1QZ5UxyNCwadreQAXnQ7oCoH982DjIA-QnZdO7ZoqkC0/edit#gid=884617569"",""S5 Totals!$A$2:$O$255""),10,FALSE)"),"#N/A")</f>
        <v>#N/A</v>
      </c>
      <c r="N133" s="15" t="str">
        <f>IFERROR(__xludf.DUMMYFUNCTION("VLOOKUP(A133,IMPORTRANGE(""1QZ5UxyNCwadreQAXnQ7oCoH982DjIA-QnZdO7ZoqkC0/edit#gid=884617569"",""S5 Totals!$A$2:$O$255""),11,FALSE)"),"#N/A")</f>
        <v>#N/A</v>
      </c>
      <c r="O133" s="110"/>
      <c r="P133" s="16" t="str">
        <f>IFERROR(__xludf.DUMMYFUNCTION("VLOOKUP(A133,IMPORTRANGE(""1QZ5UxyNCwadreQAXnQ7oCoH982DjIA-QnZdO7ZoqkC0/edit#gid=884617569"",""S5 Totals!$A$2:$O$255""),13,FALSE)"),"#N/A")</f>
        <v>#N/A</v>
      </c>
      <c r="Q133" s="15" t="str">
        <f>IFERROR(__xludf.DUMMYFUNCTION("VLOOKUP(A133,IMPORTRANGE(""1QZ5UxyNCwadreQAXnQ7oCoH982DjIA-QnZdO7ZoqkC0/edit#gid=884617569"",""S5 Totals!$A$2:$O$255""),14,FALSE)"),"#N/A")</f>
        <v>#N/A</v>
      </c>
      <c r="R133" s="110"/>
    </row>
    <row r="134">
      <c r="A134" s="128" t="s">
        <v>65</v>
      </c>
      <c r="B134" s="16">
        <f>IFERROR(__xludf.DUMMYFUNCTION("VLOOKUP(A134,IMPORTRANGE(""1aFCnJY1qhIj8-JckJhDJ18aqmVo17tofpQmOjcYa3u8/edit#gid=1878241338"",""S5 Totals!$A$2:$O$255""),2,FALSE)"),29.0)</f>
        <v>29</v>
      </c>
      <c r="C134" s="15">
        <f>IFERROR(__xludf.DUMMYFUNCTION("VLOOKUP(A134,IMPORTRANGE(""1aFCnJY1qhIj8-JckJhDJ18aqmVo17tofpQmOjcYa3u8/edit#gid=1878241338"",""S5 Totals!$A$2:$O$255""),3,FALSE)"),0.3493975903614458)</f>
        <v>0.3493975904</v>
      </c>
      <c r="D134" s="16">
        <f>IFERROR(__xludf.DUMMYFUNCTION("VLOOKUP(A134,IMPORTRANGE(""1QZ5UxyNCwadreQAXnQ7oCoH982DjIA-QnZdO7ZoqkC0/edit#gid=884617569"",""S5 Totals!$A$2:$O$255""),2,FALSE)"),27.0)</f>
        <v>27</v>
      </c>
      <c r="E134" s="15">
        <f>IFERROR(__xludf.DUMMYFUNCTION("VLOOKUP(A134,IMPORTRANGE(""1QZ5UxyNCwadreQAXnQ7oCoH982DjIA-QnZdO7ZoqkC0/edit#gid=884617569"",""S5 Totals!$A$2:$O$255""),3,FALSE)"),0.3253012048192771)</f>
        <v>0.3253012048</v>
      </c>
      <c r="F134" s="146">
        <f t="shared" si="1"/>
        <v>0.02409638554</v>
      </c>
      <c r="G134" s="16">
        <f>IFERROR(__xludf.DUMMYFUNCTION("VLOOKUP(A134,IMPORTRANGE(""1QZ5UxyNCwadreQAXnQ7oCoH982DjIA-QnZdO7ZoqkC0/edit#gid=884617569"",""S5 Totals!$A$2:$O$255""),4,FALSE)"),15.0)</f>
        <v>15</v>
      </c>
      <c r="H134" s="15">
        <f>IFERROR(__xludf.DUMMYFUNCTION("VLOOKUP(A134,IMPORTRANGE(""1QZ5UxyNCwadreQAXnQ7oCoH982DjIA-QnZdO7ZoqkC0/edit#gid=884617569"",""S5 Totals!$A$2:$O$255""),5,FALSE)"),0.30612244897959184)</f>
        <v>0.306122449</v>
      </c>
      <c r="I134" s="143"/>
      <c r="J134" s="16">
        <f>IFERROR(__xludf.DUMMYFUNCTION("VLOOKUP(A134,IMPORTRANGE(""1QZ5UxyNCwadreQAXnQ7oCoH982DjIA-QnZdO7ZoqkC0/edit#gid=884617569"",""S5 Totals!$A$2:$O$255""),7,FALSE)"),12.0)</f>
        <v>12</v>
      </c>
      <c r="K134" s="15">
        <f>IFERROR(__xludf.DUMMYFUNCTION("VLOOKUP(A134,IMPORTRANGE(""1QZ5UxyNCwadreQAXnQ7oCoH982DjIA-QnZdO7ZoqkC0/edit#gid=884617569"",""S5 Totals!$A$2:$O$255""),8,FALSE)"),0.35294117647058826)</f>
        <v>0.3529411765</v>
      </c>
      <c r="L134" s="147"/>
      <c r="M134" s="16">
        <f>IFERROR(__xludf.DUMMYFUNCTION("VLOOKUP(A134,IMPORTRANGE(""1QZ5UxyNCwadreQAXnQ7oCoH982DjIA-QnZdO7ZoqkC0/edit#gid=884617569"",""S5 Totals!$A$2:$O$255""),10,FALSE)"),8.0)</f>
        <v>8</v>
      </c>
      <c r="N134" s="15">
        <f>IFERROR(__xludf.DUMMYFUNCTION("VLOOKUP(A134,IMPORTRANGE(""1QZ5UxyNCwadreQAXnQ7oCoH982DjIA-QnZdO7ZoqkC0/edit#gid=884617569"",""S5 Totals!$A$2:$O$255""),11,FALSE)"),0.26666666666666666)</f>
        <v>0.2666666667</v>
      </c>
      <c r="O134" s="110"/>
      <c r="P134" s="16">
        <f>IFERROR(__xludf.DUMMYFUNCTION("VLOOKUP(A134,IMPORTRANGE(""1QZ5UxyNCwadreQAXnQ7oCoH982DjIA-QnZdO7ZoqkC0/edit#gid=884617569"",""S5 Totals!$A$2:$O$255""),13,FALSE)"),2.0)</f>
        <v>2</v>
      </c>
      <c r="Q134" s="15">
        <f>IFERROR(__xludf.DUMMYFUNCTION("VLOOKUP(A134,IMPORTRANGE(""1QZ5UxyNCwadreQAXnQ7oCoH982DjIA-QnZdO7ZoqkC0/edit#gid=884617569"",""S5 Totals!$A$2:$O$255""),14,FALSE)"),0.07142857142857142)</f>
        <v>0.07142857143</v>
      </c>
      <c r="R134" s="110"/>
    </row>
    <row r="135">
      <c r="A135" s="128" t="s">
        <v>181</v>
      </c>
      <c r="B135" s="16">
        <f>IFERROR(__xludf.DUMMYFUNCTION("VLOOKUP(A135,IMPORTRANGE(""1aFCnJY1qhIj8-JckJhDJ18aqmVo17tofpQmOjcYa3u8/edit#gid=1878241338"",""S5 Totals!$A$2:$O$255""),2,FALSE)"),3.0)</f>
        <v>3</v>
      </c>
      <c r="C135" s="15">
        <f>IFERROR(__xludf.DUMMYFUNCTION("VLOOKUP(A135,IMPORTRANGE(""1aFCnJY1qhIj8-JckJhDJ18aqmVo17tofpQmOjcYa3u8/edit#gid=1878241338"",""S5 Totals!$A$2:$O$255""),3,FALSE)"),0.03614457831325301)</f>
        <v>0.03614457831</v>
      </c>
      <c r="D135" s="16">
        <f>IFERROR(__xludf.DUMMYFUNCTION("VLOOKUP(A135,IMPORTRANGE(""1QZ5UxyNCwadreQAXnQ7oCoH982DjIA-QnZdO7ZoqkC0/edit#gid=884617569"",""S5 Totals!$A$2:$O$255""),2,FALSE)"),5.0)</f>
        <v>5</v>
      </c>
      <c r="E135" s="15">
        <f>IFERROR(__xludf.DUMMYFUNCTION("VLOOKUP(A135,IMPORTRANGE(""1QZ5UxyNCwadreQAXnQ7oCoH982DjIA-QnZdO7ZoqkC0/edit#gid=884617569"",""S5 Totals!$A$2:$O$255""),3,FALSE)"),0.060240963855421686)</f>
        <v>0.06024096386</v>
      </c>
      <c r="F135" s="146">
        <f t="shared" si="1"/>
        <v>-0.02409638554</v>
      </c>
      <c r="G135" s="16">
        <f>IFERROR(__xludf.DUMMYFUNCTION("VLOOKUP(A135,IMPORTRANGE(""1QZ5UxyNCwadreQAXnQ7oCoH982DjIA-QnZdO7ZoqkC0/edit#gid=884617569"",""S5 Totals!$A$2:$O$255""),4,FALSE)"),5.0)</f>
        <v>5</v>
      </c>
      <c r="H135" s="15">
        <f>IFERROR(__xludf.DUMMYFUNCTION("VLOOKUP(A135,IMPORTRANGE(""1QZ5UxyNCwadreQAXnQ7oCoH982DjIA-QnZdO7ZoqkC0/edit#gid=884617569"",""S5 Totals!$A$2:$O$255""),5,FALSE)"),0.10204081632653061)</f>
        <v>0.1020408163</v>
      </c>
      <c r="I135" s="143"/>
      <c r="J135" s="16">
        <f>IFERROR(__xludf.DUMMYFUNCTION("VLOOKUP(A135,IMPORTRANGE(""1QZ5UxyNCwadreQAXnQ7oCoH982DjIA-QnZdO7ZoqkC0/edit#gid=884617569"",""S5 Totals!$A$2:$O$255""),7,FALSE)"),1.0)</f>
        <v>1</v>
      </c>
      <c r="K135" s="15">
        <f>IFERROR(__xludf.DUMMYFUNCTION("VLOOKUP(A135,IMPORTRANGE(""1QZ5UxyNCwadreQAXnQ7oCoH982DjIA-QnZdO7ZoqkC0/edit#gid=884617569"",""S5 Totals!$A$2:$O$255""),8,FALSE)"),0.029411764705882353)</f>
        <v>0.02941176471</v>
      </c>
      <c r="L135" s="147"/>
      <c r="M135" s="16" t="str">
        <f>IFERROR(__xludf.DUMMYFUNCTION("VLOOKUP(A135,IMPORTRANGE(""1QZ5UxyNCwadreQAXnQ7oCoH982DjIA-QnZdO7ZoqkC0/edit#gid=884617569"",""S5 Totals!$A$2:$O$255""),10,FALSE)"),"")</f>
        <v/>
      </c>
      <c r="N135" s="15" t="str">
        <f>IFERROR(__xludf.DUMMYFUNCTION("VLOOKUP(A135,IMPORTRANGE(""1QZ5UxyNCwadreQAXnQ7oCoH982DjIA-QnZdO7ZoqkC0/edit#gid=884617569"",""S5 Totals!$A$2:$O$255""),11,FALSE)"),"")</f>
        <v/>
      </c>
      <c r="O135" s="110"/>
      <c r="P135" s="16" t="str">
        <f>IFERROR(__xludf.DUMMYFUNCTION("VLOOKUP(A135,IMPORTRANGE(""1QZ5UxyNCwadreQAXnQ7oCoH982DjIA-QnZdO7ZoqkC0/edit#gid=884617569"",""S5 Totals!$A$2:$O$255""),13,FALSE)"),"")</f>
        <v/>
      </c>
      <c r="Q135" s="15" t="str">
        <f>IFERROR(__xludf.DUMMYFUNCTION("VLOOKUP(A135,IMPORTRANGE(""1QZ5UxyNCwadreQAXnQ7oCoH982DjIA-QnZdO7ZoqkC0/edit#gid=884617569"",""S5 Totals!$A$2:$O$255""),14,FALSE)"),"")</f>
        <v/>
      </c>
      <c r="R135" s="110"/>
    </row>
    <row r="136">
      <c r="A136" s="128" t="s">
        <v>135</v>
      </c>
      <c r="B136" s="16">
        <f>IFERROR(__xludf.DUMMYFUNCTION("VLOOKUP(A136,IMPORTRANGE(""1aFCnJY1qhIj8-JckJhDJ18aqmVo17tofpQmOjcYa3u8/edit#gid=1878241338"",""S5 Totals!$A$2:$O$255""),2,FALSE)"),18.0)</f>
        <v>18</v>
      </c>
      <c r="C136" s="15">
        <f>IFERROR(__xludf.DUMMYFUNCTION("VLOOKUP(A136,IMPORTRANGE(""1aFCnJY1qhIj8-JckJhDJ18aqmVo17tofpQmOjcYa3u8/edit#gid=1878241338"",""S5 Totals!$A$2:$O$255""),3,FALSE)"),0.21686746987951808)</f>
        <v>0.2168674699</v>
      </c>
      <c r="D136" s="16">
        <f>IFERROR(__xludf.DUMMYFUNCTION("VLOOKUP(A136,IMPORTRANGE(""1QZ5UxyNCwadreQAXnQ7oCoH982DjIA-QnZdO7ZoqkC0/edit#gid=884617569"",""S5 Totals!$A$2:$O$255""),2,FALSE)"),14.0)</f>
        <v>14</v>
      </c>
      <c r="E136" s="15">
        <f>IFERROR(__xludf.DUMMYFUNCTION("VLOOKUP(A136,IMPORTRANGE(""1QZ5UxyNCwadreQAXnQ7oCoH982DjIA-QnZdO7ZoqkC0/edit#gid=884617569"",""S5 Totals!$A$2:$O$255""),3,FALSE)"),0.1686746987951807)</f>
        <v>0.1686746988</v>
      </c>
      <c r="F136" s="146">
        <f t="shared" si="1"/>
        <v>0.04819277108</v>
      </c>
      <c r="G136" s="16">
        <f>IFERROR(__xludf.DUMMYFUNCTION("VLOOKUP(A136,IMPORTRANGE(""1QZ5UxyNCwadreQAXnQ7oCoH982DjIA-QnZdO7ZoqkC0/edit#gid=884617569"",""S5 Totals!$A$2:$O$255""),4,FALSE)"),11.0)</f>
        <v>11</v>
      </c>
      <c r="H136" s="15">
        <f>IFERROR(__xludf.DUMMYFUNCTION("VLOOKUP(A136,IMPORTRANGE(""1QZ5UxyNCwadreQAXnQ7oCoH982DjIA-QnZdO7ZoqkC0/edit#gid=884617569"",""S5 Totals!$A$2:$O$255""),5,FALSE)"),0.22448979591836735)</f>
        <v>0.2244897959</v>
      </c>
      <c r="I136" s="143"/>
      <c r="J136" s="16">
        <f>IFERROR(__xludf.DUMMYFUNCTION("VLOOKUP(A136,IMPORTRANGE(""1QZ5UxyNCwadreQAXnQ7oCoH982DjIA-QnZdO7ZoqkC0/edit#gid=884617569"",""S5 Totals!$A$2:$O$255""),7,FALSE)"),3.0)</f>
        <v>3</v>
      </c>
      <c r="K136" s="15">
        <f>IFERROR(__xludf.DUMMYFUNCTION("VLOOKUP(A136,IMPORTRANGE(""1QZ5UxyNCwadreQAXnQ7oCoH982DjIA-QnZdO7ZoqkC0/edit#gid=884617569"",""S5 Totals!$A$2:$O$255""),8,FALSE)"),0.08823529411764706)</f>
        <v>0.08823529412</v>
      </c>
      <c r="L136" s="147"/>
      <c r="M136" s="16">
        <f>IFERROR(__xludf.DUMMYFUNCTION("VLOOKUP(A136,IMPORTRANGE(""1QZ5UxyNCwadreQAXnQ7oCoH982DjIA-QnZdO7ZoqkC0/edit#gid=884617569"",""S5 Totals!$A$2:$O$255""),10,FALSE)"),2.0)</f>
        <v>2</v>
      </c>
      <c r="N136" s="15">
        <f>IFERROR(__xludf.DUMMYFUNCTION("VLOOKUP(A136,IMPORTRANGE(""1QZ5UxyNCwadreQAXnQ7oCoH982DjIA-QnZdO7ZoqkC0/edit#gid=884617569"",""S5 Totals!$A$2:$O$255""),11,FALSE)"),0.06666666666666667)</f>
        <v>0.06666666667</v>
      </c>
      <c r="O136" s="110"/>
      <c r="P136" s="16" t="str">
        <f>IFERROR(__xludf.DUMMYFUNCTION("VLOOKUP(A136,IMPORTRANGE(""1QZ5UxyNCwadreQAXnQ7oCoH982DjIA-QnZdO7ZoqkC0/edit#gid=884617569"",""S5 Totals!$A$2:$O$255""),13,FALSE)"),"")</f>
        <v/>
      </c>
      <c r="Q136" s="15" t="str">
        <f>IFERROR(__xludf.DUMMYFUNCTION("VLOOKUP(A136,IMPORTRANGE(""1QZ5UxyNCwadreQAXnQ7oCoH982DjIA-QnZdO7ZoqkC0/edit#gid=884617569"",""S5 Totals!$A$2:$O$255""),14,FALSE)"),"")</f>
        <v/>
      </c>
      <c r="R136" s="110"/>
    </row>
    <row r="137">
      <c r="A137" s="128" t="s">
        <v>136</v>
      </c>
      <c r="B137" s="16">
        <f>IFERROR(__xludf.DUMMYFUNCTION("VLOOKUP(A137,IMPORTRANGE(""1aFCnJY1qhIj8-JckJhDJ18aqmVo17tofpQmOjcYa3u8/edit#gid=1878241338"",""S5 Totals!$A$2:$O$255""),2,FALSE)"),26.0)</f>
        <v>26</v>
      </c>
      <c r="C137" s="15">
        <f>IFERROR(__xludf.DUMMYFUNCTION("VLOOKUP(A137,IMPORTRANGE(""1aFCnJY1qhIj8-JckJhDJ18aqmVo17tofpQmOjcYa3u8/edit#gid=1878241338"",""S5 Totals!$A$2:$O$255""),3,FALSE)"),0.3132530120481928)</f>
        <v>0.313253012</v>
      </c>
      <c r="D137" s="16">
        <f>IFERROR(__xludf.DUMMYFUNCTION("VLOOKUP(A137,IMPORTRANGE(""1QZ5UxyNCwadreQAXnQ7oCoH982DjIA-QnZdO7ZoqkC0/edit#gid=884617569"",""S5 Totals!$A$2:$O$255""),2,FALSE)"),26.0)</f>
        <v>26</v>
      </c>
      <c r="E137" s="15">
        <f>IFERROR(__xludf.DUMMYFUNCTION("VLOOKUP(A137,IMPORTRANGE(""1QZ5UxyNCwadreQAXnQ7oCoH982DjIA-QnZdO7ZoqkC0/edit#gid=884617569"",""S5 Totals!$A$2:$O$255""),3,FALSE)"),0.3132530120481928)</f>
        <v>0.313253012</v>
      </c>
      <c r="F137" s="146">
        <f t="shared" si="1"/>
        <v>0</v>
      </c>
      <c r="G137" s="16">
        <f>IFERROR(__xludf.DUMMYFUNCTION("VLOOKUP(A137,IMPORTRANGE(""1QZ5UxyNCwadreQAXnQ7oCoH982DjIA-QnZdO7ZoqkC0/edit#gid=884617569"",""S5 Totals!$A$2:$O$255""),4,FALSE)"),13.0)</f>
        <v>13</v>
      </c>
      <c r="H137" s="15">
        <f>IFERROR(__xludf.DUMMYFUNCTION("VLOOKUP(A137,IMPORTRANGE(""1QZ5UxyNCwadreQAXnQ7oCoH982DjIA-QnZdO7ZoqkC0/edit#gid=884617569"",""S5 Totals!$A$2:$O$255""),5,FALSE)"),0.2653061224489796)</f>
        <v>0.2653061224</v>
      </c>
      <c r="I137" s="143"/>
      <c r="J137" s="16">
        <f>IFERROR(__xludf.DUMMYFUNCTION("VLOOKUP(A137,IMPORTRANGE(""1QZ5UxyNCwadreQAXnQ7oCoH982DjIA-QnZdO7ZoqkC0/edit#gid=884617569"",""S5 Totals!$A$2:$O$255""),7,FALSE)"),14.0)</f>
        <v>14</v>
      </c>
      <c r="K137" s="15">
        <f>IFERROR(__xludf.DUMMYFUNCTION("VLOOKUP(A137,IMPORTRANGE(""1QZ5UxyNCwadreQAXnQ7oCoH982DjIA-QnZdO7ZoqkC0/edit#gid=884617569"",""S5 Totals!$A$2:$O$255""),8,FALSE)"),0.4117647058823529)</f>
        <v>0.4117647059</v>
      </c>
      <c r="L137" s="147"/>
      <c r="M137" s="16">
        <f>IFERROR(__xludf.DUMMYFUNCTION("VLOOKUP(A137,IMPORTRANGE(""1QZ5UxyNCwadreQAXnQ7oCoH982DjIA-QnZdO7ZoqkC0/edit#gid=884617569"",""S5 Totals!$A$2:$O$255""),10,FALSE)"),5.0)</f>
        <v>5</v>
      </c>
      <c r="N137" s="15">
        <f>IFERROR(__xludf.DUMMYFUNCTION("VLOOKUP(A137,IMPORTRANGE(""1QZ5UxyNCwadreQAXnQ7oCoH982DjIA-QnZdO7ZoqkC0/edit#gid=884617569"",""S5 Totals!$A$2:$O$255""),11,FALSE)"),0.16666666666666666)</f>
        <v>0.1666666667</v>
      </c>
      <c r="O137" s="110"/>
      <c r="P137" s="16" t="str">
        <f>IFERROR(__xludf.DUMMYFUNCTION("VLOOKUP(A137,IMPORTRANGE(""1QZ5UxyNCwadreQAXnQ7oCoH982DjIA-QnZdO7ZoqkC0/edit#gid=884617569"",""S5 Totals!$A$2:$O$255""),13,FALSE)"),"")</f>
        <v/>
      </c>
      <c r="Q137" s="15" t="str">
        <f>IFERROR(__xludf.DUMMYFUNCTION("VLOOKUP(A137,IMPORTRANGE(""1QZ5UxyNCwadreQAXnQ7oCoH982DjIA-QnZdO7ZoqkC0/edit#gid=884617569"",""S5 Totals!$A$2:$O$255""),14,FALSE)"),"")</f>
        <v/>
      </c>
      <c r="R137" s="110"/>
    </row>
    <row r="138">
      <c r="A138" s="128" t="s">
        <v>88</v>
      </c>
      <c r="B138" s="16">
        <f>IFERROR(__xludf.DUMMYFUNCTION("VLOOKUP(A138,IMPORTRANGE(""1aFCnJY1qhIj8-JckJhDJ18aqmVo17tofpQmOjcYa3u8/edit#gid=1878241338"",""S5 Totals!$A$2:$O$255""),2,FALSE)"),5.0)</f>
        <v>5</v>
      </c>
      <c r="C138" s="15">
        <f>IFERROR(__xludf.DUMMYFUNCTION("VLOOKUP(A138,IMPORTRANGE(""1aFCnJY1qhIj8-JckJhDJ18aqmVo17tofpQmOjcYa3u8/edit#gid=1878241338"",""S5 Totals!$A$2:$O$255""),3,FALSE)"),0.060240963855421686)</f>
        <v>0.06024096386</v>
      </c>
      <c r="D138" s="16">
        <f>IFERROR(__xludf.DUMMYFUNCTION("VLOOKUP(A138,IMPORTRANGE(""1QZ5UxyNCwadreQAXnQ7oCoH982DjIA-QnZdO7ZoqkC0/edit#gid=884617569"",""S5 Totals!$A$2:$O$255""),2,FALSE)"),1.0)</f>
        <v>1</v>
      </c>
      <c r="E138" s="15">
        <f>IFERROR(__xludf.DUMMYFUNCTION("VLOOKUP(A138,IMPORTRANGE(""1QZ5UxyNCwadreQAXnQ7oCoH982DjIA-QnZdO7ZoqkC0/edit#gid=884617569"",""S5 Totals!$A$2:$O$255""),3,FALSE)"),0.012048192771084338)</f>
        <v>0.01204819277</v>
      </c>
      <c r="F138" s="146">
        <f t="shared" si="1"/>
        <v>0.04819277108</v>
      </c>
      <c r="G138" s="16">
        <f>IFERROR(__xludf.DUMMYFUNCTION("VLOOKUP(A138,IMPORTRANGE(""1QZ5UxyNCwadreQAXnQ7oCoH982DjIA-QnZdO7ZoqkC0/edit#gid=884617569"",""S5 Totals!$A$2:$O$255""),4,FALSE)"),0.0)</f>
        <v>0</v>
      </c>
      <c r="H138" s="15">
        <f>IFERROR(__xludf.DUMMYFUNCTION("VLOOKUP(A138,IMPORTRANGE(""1QZ5UxyNCwadreQAXnQ7oCoH982DjIA-QnZdO7ZoqkC0/edit#gid=884617569"",""S5 Totals!$A$2:$O$255""),5,FALSE)"),0.0)</f>
        <v>0</v>
      </c>
      <c r="I138" s="143"/>
      <c r="J138" s="16">
        <f>IFERROR(__xludf.DUMMYFUNCTION("VLOOKUP(A138,IMPORTRANGE(""1QZ5UxyNCwadreQAXnQ7oCoH982DjIA-QnZdO7ZoqkC0/edit#gid=884617569"",""S5 Totals!$A$2:$O$255""),7,FALSE)"),0.0)</f>
        <v>0</v>
      </c>
      <c r="K138" s="15">
        <f>IFERROR(__xludf.DUMMYFUNCTION("VLOOKUP(A138,IMPORTRANGE(""1QZ5UxyNCwadreQAXnQ7oCoH982DjIA-QnZdO7ZoqkC0/edit#gid=884617569"",""S5 Totals!$A$2:$O$255""),8,FALSE)"),0.0)</f>
        <v>0</v>
      </c>
      <c r="L138" s="147"/>
      <c r="M138" s="16">
        <f>IFERROR(__xludf.DUMMYFUNCTION("VLOOKUP(A138,IMPORTRANGE(""1QZ5UxyNCwadreQAXnQ7oCoH982DjIA-QnZdO7ZoqkC0/edit#gid=884617569"",""S5 Totals!$A$2:$O$255""),10,FALSE)"),0.0)</f>
        <v>0</v>
      </c>
      <c r="N138" s="15">
        <f>IFERROR(__xludf.DUMMYFUNCTION("VLOOKUP(A138,IMPORTRANGE(""1QZ5UxyNCwadreQAXnQ7oCoH982DjIA-QnZdO7ZoqkC0/edit#gid=884617569"",""S5 Totals!$A$2:$O$255""),11,FALSE)"),0.0)</f>
        <v>0</v>
      </c>
      <c r="O138" s="110"/>
      <c r="P138" s="16">
        <f>IFERROR(__xludf.DUMMYFUNCTION("VLOOKUP(A138,IMPORTRANGE(""1QZ5UxyNCwadreQAXnQ7oCoH982DjIA-QnZdO7ZoqkC0/edit#gid=884617569"",""S5 Totals!$A$2:$O$255""),13,FALSE)"),0.0)</f>
        <v>0</v>
      </c>
      <c r="Q138" s="15">
        <f>IFERROR(__xludf.DUMMYFUNCTION("VLOOKUP(A138,IMPORTRANGE(""1QZ5UxyNCwadreQAXnQ7oCoH982DjIA-QnZdO7ZoqkC0/edit#gid=884617569"",""S5 Totals!$A$2:$O$255""),14,FALSE)"),0.0)</f>
        <v>0</v>
      </c>
      <c r="R138" s="110"/>
    </row>
    <row r="139">
      <c r="A139" s="128" t="s">
        <v>137</v>
      </c>
      <c r="B139" s="16">
        <f>IFERROR(__xludf.DUMMYFUNCTION("VLOOKUP(A139,IMPORTRANGE(""1aFCnJY1qhIj8-JckJhDJ18aqmVo17tofpQmOjcYa3u8/edit#gid=1878241338"",""S5 Totals!$A$2:$O$255""),2,FALSE)"),2.0)</f>
        <v>2</v>
      </c>
      <c r="C139" s="15">
        <f>IFERROR(__xludf.DUMMYFUNCTION("VLOOKUP(A139,IMPORTRANGE(""1aFCnJY1qhIj8-JckJhDJ18aqmVo17tofpQmOjcYa3u8/edit#gid=1878241338"",""S5 Totals!$A$2:$O$255""),3,FALSE)"),0.024096385542168676)</f>
        <v>0.02409638554</v>
      </c>
      <c r="D139" s="16">
        <f>IFERROR(__xludf.DUMMYFUNCTION("VLOOKUP(A139,IMPORTRANGE(""1QZ5UxyNCwadreQAXnQ7oCoH982DjIA-QnZdO7ZoqkC0/edit#gid=884617569"",""S5 Totals!$A$2:$O$255""),2,FALSE)"),1.0)</f>
        <v>1</v>
      </c>
      <c r="E139" s="15">
        <f>IFERROR(__xludf.DUMMYFUNCTION("VLOOKUP(A139,IMPORTRANGE(""1QZ5UxyNCwadreQAXnQ7oCoH982DjIA-QnZdO7ZoqkC0/edit#gid=884617569"",""S5 Totals!$A$2:$O$255""),3,FALSE)"),0.012048192771084338)</f>
        <v>0.01204819277</v>
      </c>
      <c r="F139" s="146">
        <f t="shared" si="1"/>
        <v>0.01204819277</v>
      </c>
      <c r="G139" s="16">
        <f>IFERROR(__xludf.DUMMYFUNCTION("VLOOKUP(A139,IMPORTRANGE(""1QZ5UxyNCwadreQAXnQ7oCoH982DjIA-QnZdO7ZoqkC0/edit#gid=884617569"",""S5 Totals!$A$2:$O$255""),4,FALSE)"),1.0)</f>
        <v>1</v>
      </c>
      <c r="H139" s="15">
        <f>IFERROR(__xludf.DUMMYFUNCTION("VLOOKUP(A139,IMPORTRANGE(""1QZ5UxyNCwadreQAXnQ7oCoH982DjIA-QnZdO7ZoqkC0/edit#gid=884617569"",""S5 Totals!$A$2:$O$255""),5,FALSE)"),0.02040816326530612)</f>
        <v>0.02040816327</v>
      </c>
      <c r="I139" s="143"/>
      <c r="J139" s="16">
        <f>IFERROR(__xludf.DUMMYFUNCTION("VLOOKUP(A139,IMPORTRANGE(""1QZ5UxyNCwadreQAXnQ7oCoH982DjIA-QnZdO7ZoqkC0/edit#gid=884617569"",""S5 Totals!$A$2:$O$255""),7,FALSE)"),1.0)</f>
        <v>1</v>
      </c>
      <c r="K139" s="15">
        <f>IFERROR(__xludf.DUMMYFUNCTION("VLOOKUP(A139,IMPORTRANGE(""1QZ5UxyNCwadreQAXnQ7oCoH982DjIA-QnZdO7ZoqkC0/edit#gid=884617569"",""S5 Totals!$A$2:$O$255""),8,FALSE)"),0.029411764705882353)</f>
        <v>0.02941176471</v>
      </c>
      <c r="L139" s="147"/>
      <c r="M139" s="16">
        <f>IFERROR(__xludf.DUMMYFUNCTION("VLOOKUP(A139,IMPORTRANGE(""1QZ5UxyNCwadreQAXnQ7oCoH982DjIA-QnZdO7ZoqkC0/edit#gid=884617569"",""S5 Totals!$A$2:$O$255""),10,FALSE)"),1.0)</f>
        <v>1</v>
      </c>
      <c r="N139" s="15">
        <f>IFERROR(__xludf.DUMMYFUNCTION("VLOOKUP(A139,IMPORTRANGE(""1QZ5UxyNCwadreQAXnQ7oCoH982DjIA-QnZdO7ZoqkC0/edit#gid=884617569"",""S5 Totals!$A$2:$O$255""),11,FALSE)"),0.03333333333333333)</f>
        <v>0.03333333333</v>
      </c>
      <c r="O139" s="110"/>
      <c r="P139" s="16" t="str">
        <f>IFERROR(__xludf.DUMMYFUNCTION("VLOOKUP(A139,IMPORTRANGE(""1QZ5UxyNCwadreQAXnQ7oCoH982DjIA-QnZdO7ZoqkC0/edit#gid=884617569"",""S5 Totals!$A$2:$O$255""),13,FALSE)"),"")</f>
        <v/>
      </c>
      <c r="Q139" s="15" t="str">
        <f>IFERROR(__xludf.DUMMYFUNCTION("VLOOKUP(A139,IMPORTRANGE(""1QZ5UxyNCwadreQAXnQ7oCoH982DjIA-QnZdO7ZoqkC0/edit#gid=884617569"",""S5 Totals!$A$2:$O$255""),14,FALSE)"),"")</f>
        <v/>
      </c>
      <c r="R139" s="110"/>
    </row>
    <row r="140">
      <c r="A140" s="128" t="s">
        <v>67</v>
      </c>
      <c r="B140" s="16">
        <f>IFERROR(__xludf.DUMMYFUNCTION("VLOOKUP(A140,IMPORTRANGE(""1aFCnJY1qhIj8-JckJhDJ18aqmVo17tofpQmOjcYa3u8/edit#gid=1878241338"",""S5 Totals!$A$2:$O$255""),2,FALSE)"),26.0)</f>
        <v>26</v>
      </c>
      <c r="C140" s="15">
        <f>IFERROR(__xludf.DUMMYFUNCTION("VLOOKUP(A140,IMPORTRANGE(""1aFCnJY1qhIj8-JckJhDJ18aqmVo17tofpQmOjcYa3u8/edit#gid=1878241338"",""S5 Totals!$A$2:$O$255""),3,FALSE)"),0.3132530120481928)</f>
        <v>0.313253012</v>
      </c>
      <c r="D140" s="16">
        <f>IFERROR(__xludf.DUMMYFUNCTION("VLOOKUP(A140,IMPORTRANGE(""1QZ5UxyNCwadreQAXnQ7oCoH982DjIA-QnZdO7ZoqkC0/edit#gid=884617569"",""S5 Totals!$A$2:$O$255""),2,FALSE)"),9.0)</f>
        <v>9</v>
      </c>
      <c r="E140" s="15">
        <f>IFERROR(__xludf.DUMMYFUNCTION("VLOOKUP(A140,IMPORTRANGE(""1QZ5UxyNCwadreQAXnQ7oCoH982DjIA-QnZdO7ZoqkC0/edit#gid=884617569"",""S5 Totals!$A$2:$O$255""),3,FALSE)"),0.10843373493975904)</f>
        <v>0.1084337349</v>
      </c>
      <c r="F140" s="146">
        <f t="shared" si="1"/>
        <v>0.2048192771</v>
      </c>
      <c r="G140" s="16">
        <f>IFERROR(__xludf.DUMMYFUNCTION("VLOOKUP(A140,IMPORTRANGE(""1QZ5UxyNCwadreQAXnQ7oCoH982DjIA-QnZdO7ZoqkC0/edit#gid=884617569"",""S5 Totals!$A$2:$O$255""),4,FALSE)"),12.0)</f>
        <v>12</v>
      </c>
      <c r="H140" s="15">
        <f>IFERROR(__xludf.DUMMYFUNCTION("VLOOKUP(A140,IMPORTRANGE(""1QZ5UxyNCwadreQAXnQ7oCoH982DjIA-QnZdO7ZoqkC0/edit#gid=884617569"",""S5 Totals!$A$2:$O$255""),5,FALSE)"),0.24489795918367346)</f>
        <v>0.2448979592</v>
      </c>
      <c r="I140" s="143"/>
      <c r="J140" s="16">
        <f>IFERROR(__xludf.DUMMYFUNCTION("VLOOKUP(A140,IMPORTRANGE(""1QZ5UxyNCwadreQAXnQ7oCoH982DjIA-QnZdO7ZoqkC0/edit#gid=884617569"",""S5 Totals!$A$2:$O$255""),7,FALSE)"),13.0)</f>
        <v>13</v>
      </c>
      <c r="K140" s="15">
        <f>IFERROR(__xludf.DUMMYFUNCTION("VLOOKUP(A140,IMPORTRANGE(""1QZ5UxyNCwadreQAXnQ7oCoH982DjIA-QnZdO7ZoqkC0/edit#gid=884617569"",""S5 Totals!$A$2:$O$255""),8,FALSE)"),0.38235294117647056)</f>
        <v>0.3823529412</v>
      </c>
      <c r="L140" s="147"/>
      <c r="M140" s="16">
        <f>IFERROR(__xludf.DUMMYFUNCTION("VLOOKUP(A140,IMPORTRANGE(""1QZ5UxyNCwadreQAXnQ7oCoH982DjIA-QnZdO7ZoqkC0/edit#gid=884617569"",""S5 Totals!$A$2:$O$255""),10,FALSE)"),2.0)</f>
        <v>2</v>
      </c>
      <c r="N140" s="15">
        <f>IFERROR(__xludf.DUMMYFUNCTION("VLOOKUP(A140,IMPORTRANGE(""1QZ5UxyNCwadreQAXnQ7oCoH982DjIA-QnZdO7ZoqkC0/edit#gid=884617569"",""S5 Totals!$A$2:$O$255""),11,FALSE)"),0.06666666666666667)</f>
        <v>0.06666666667</v>
      </c>
      <c r="O140" s="110"/>
      <c r="P140" s="16">
        <f>IFERROR(__xludf.DUMMYFUNCTION("VLOOKUP(A140,IMPORTRANGE(""1QZ5UxyNCwadreQAXnQ7oCoH982DjIA-QnZdO7ZoqkC0/edit#gid=884617569"",""S5 Totals!$A$2:$O$255""),13,FALSE)"),0.0)</f>
        <v>0</v>
      </c>
      <c r="Q140" s="15">
        <f>IFERROR(__xludf.DUMMYFUNCTION("VLOOKUP(A140,IMPORTRANGE(""1QZ5UxyNCwadreQAXnQ7oCoH982DjIA-QnZdO7ZoqkC0/edit#gid=884617569"",""S5 Totals!$A$2:$O$255""),14,FALSE)"),0.0)</f>
        <v>0</v>
      </c>
      <c r="R140" s="110"/>
    </row>
    <row r="141">
      <c r="A141" s="128" t="s">
        <v>68</v>
      </c>
      <c r="B141" s="16">
        <f>IFERROR(__xludf.DUMMYFUNCTION("VLOOKUP(A141,IMPORTRANGE(""1aFCnJY1qhIj8-JckJhDJ18aqmVo17tofpQmOjcYa3u8/edit#gid=1878241338"",""S5 Totals!$A$2:$O$255""),2,FALSE)"),38.0)</f>
        <v>38</v>
      </c>
      <c r="C141" s="15">
        <f>IFERROR(__xludf.DUMMYFUNCTION("VLOOKUP(A141,IMPORTRANGE(""1aFCnJY1qhIj8-JckJhDJ18aqmVo17tofpQmOjcYa3u8/edit#gid=1878241338"",""S5 Totals!$A$2:$O$255""),3,FALSE)"),0.4578313253012048)</f>
        <v>0.4578313253</v>
      </c>
      <c r="D141" s="16">
        <f>IFERROR(__xludf.DUMMYFUNCTION("VLOOKUP(A141,IMPORTRANGE(""1QZ5UxyNCwadreQAXnQ7oCoH982DjIA-QnZdO7ZoqkC0/edit#gid=884617569"",""S5 Totals!$A$2:$O$255""),2,FALSE)"),14.0)</f>
        <v>14</v>
      </c>
      <c r="E141" s="15">
        <f>IFERROR(__xludf.DUMMYFUNCTION("VLOOKUP(A141,IMPORTRANGE(""1QZ5UxyNCwadreQAXnQ7oCoH982DjIA-QnZdO7ZoqkC0/edit#gid=884617569"",""S5 Totals!$A$2:$O$255""),3,FALSE)"),0.1686746987951807)</f>
        <v>0.1686746988</v>
      </c>
      <c r="F141" s="146">
        <f t="shared" si="1"/>
        <v>0.2891566265</v>
      </c>
      <c r="G141" s="16">
        <f>IFERROR(__xludf.DUMMYFUNCTION("VLOOKUP(A141,IMPORTRANGE(""1QZ5UxyNCwadreQAXnQ7oCoH982DjIA-QnZdO7ZoqkC0/edit#gid=884617569"",""S5 Totals!$A$2:$O$255""),4,FALSE)"),6.0)</f>
        <v>6</v>
      </c>
      <c r="H141" s="15">
        <f>IFERROR(__xludf.DUMMYFUNCTION("VLOOKUP(A141,IMPORTRANGE(""1QZ5UxyNCwadreQAXnQ7oCoH982DjIA-QnZdO7ZoqkC0/edit#gid=884617569"",""S5 Totals!$A$2:$O$255""),5,FALSE)"),0.12244897959183673)</f>
        <v>0.1224489796</v>
      </c>
      <c r="I141" s="143"/>
      <c r="J141" s="16">
        <f>IFERROR(__xludf.DUMMYFUNCTION("VLOOKUP(A141,IMPORTRANGE(""1QZ5UxyNCwadreQAXnQ7oCoH982DjIA-QnZdO7ZoqkC0/edit#gid=884617569"",""S5 Totals!$A$2:$O$255""),7,FALSE)"),2.0)</f>
        <v>2</v>
      </c>
      <c r="K141" s="15">
        <f>IFERROR(__xludf.DUMMYFUNCTION("VLOOKUP(A141,IMPORTRANGE(""1QZ5UxyNCwadreQAXnQ7oCoH982DjIA-QnZdO7ZoqkC0/edit#gid=884617569"",""S5 Totals!$A$2:$O$255""),8,FALSE)"),0.058823529411764705)</f>
        <v>0.05882352941</v>
      </c>
      <c r="L141" s="147"/>
      <c r="M141" s="16">
        <f>IFERROR(__xludf.DUMMYFUNCTION("VLOOKUP(A141,IMPORTRANGE(""1QZ5UxyNCwadreQAXnQ7oCoH982DjIA-QnZdO7ZoqkC0/edit#gid=884617569"",""S5 Totals!$A$2:$O$255""),10,FALSE)"),5.0)</f>
        <v>5</v>
      </c>
      <c r="N141" s="15">
        <f>IFERROR(__xludf.DUMMYFUNCTION("VLOOKUP(A141,IMPORTRANGE(""1QZ5UxyNCwadreQAXnQ7oCoH982DjIA-QnZdO7ZoqkC0/edit#gid=884617569"",""S5 Totals!$A$2:$O$255""),11,FALSE)"),0.16666666666666666)</f>
        <v>0.1666666667</v>
      </c>
      <c r="O141" s="110"/>
      <c r="P141" s="16">
        <f>IFERROR(__xludf.DUMMYFUNCTION("VLOOKUP(A141,IMPORTRANGE(""1QZ5UxyNCwadreQAXnQ7oCoH982DjIA-QnZdO7ZoqkC0/edit#gid=884617569"",""S5 Totals!$A$2:$O$255""),13,FALSE)"),1.0)</f>
        <v>1</v>
      </c>
      <c r="Q141" s="15">
        <f>IFERROR(__xludf.DUMMYFUNCTION("VLOOKUP(A141,IMPORTRANGE(""1QZ5UxyNCwadreQAXnQ7oCoH982DjIA-QnZdO7ZoqkC0/edit#gid=884617569"",""S5 Totals!$A$2:$O$255""),14,FALSE)"),0.03571428571428571)</f>
        <v>0.03571428571</v>
      </c>
      <c r="R141" s="110"/>
    </row>
    <row r="142">
      <c r="A142" s="128" t="s">
        <v>69</v>
      </c>
      <c r="B142" s="16">
        <f>IFERROR(__xludf.DUMMYFUNCTION("VLOOKUP(A142,IMPORTRANGE(""1aFCnJY1qhIj8-JckJhDJ18aqmVo17tofpQmOjcYa3u8/edit#gid=1878241338"",""S5 Totals!$A$2:$O$255""),2,FALSE)"),1.0)</f>
        <v>1</v>
      </c>
      <c r="C142" s="15">
        <f>IFERROR(__xludf.DUMMYFUNCTION("VLOOKUP(A142,IMPORTRANGE(""1aFCnJY1qhIj8-JckJhDJ18aqmVo17tofpQmOjcYa3u8/edit#gid=1878241338"",""S5 Totals!$A$2:$O$255""),3,FALSE)"),0.012048192771084338)</f>
        <v>0.01204819277</v>
      </c>
      <c r="D142" s="16">
        <f>IFERROR(__xludf.DUMMYFUNCTION("VLOOKUP(A142,IMPORTRANGE(""1QZ5UxyNCwadreQAXnQ7oCoH982DjIA-QnZdO7ZoqkC0/edit#gid=884617569"",""S5 Totals!$A$2:$O$255""),2,FALSE)"),2.0)</f>
        <v>2</v>
      </c>
      <c r="E142" s="15">
        <f>IFERROR(__xludf.DUMMYFUNCTION("VLOOKUP(A142,IMPORTRANGE(""1QZ5UxyNCwadreQAXnQ7oCoH982DjIA-QnZdO7ZoqkC0/edit#gid=884617569"",""S5 Totals!$A$2:$O$255""),3,FALSE)"),0.024096385542168676)</f>
        <v>0.02409638554</v>
      </c>
      <c r="F142" s="146">
        <f t="shared" si="1"/>
        <v>-0.01204819277</v>
      </c>
      <c r="G142" s="16">
        <f>IFERROR(__xludf.DUMMYFUNCTION("VLOOKUP(A142,IMPORTRANGE(""1QZ5UxyNCwadreQAXnQ7oCoH982DjIA-QnZdO7ZoqkC0/edit#gid=884617569"",""S5 Totals!$A$2:$O$255""),4,FALSE)"),2.0)</f>
        <v>2</v>
      </c>
      <c r="H142" s="15">
        <f>IFERROR(__xludf.DUMMYFUNCTION("VLOOKUP(A142,IMPORTRANGE(""1QZ5UxyNCwadreQAXnQ7oCoH982DjIA-QnZdO7ZoqkC0/edit#gid=884617569"",""S5 Totals!$A$2:$O$255""),5,FALSE)"),0.04081632653061224)</f>
        <v>0.04081632653</v>
      </c>
      <c r="I142" s="143"/>
      <c r="J142" s="16">
        <f>IFERROR(__xludf.DUMMYFUNCTION("VLOOKUP(A142,IMPORTRANGE(""1QZ5UxyNCwadreQAXnQ7oCoH982DjIA-QnZdO7ZoqkC0/edit#gid=884617569"",""S5 Totals!$A$2:$O$255""),7,FALSE)"),1.0)</f>
        <v>1</v>
      </c>
      <c r="K142" s="15">
        <f>IFERROR(__xludf.DUMMYFUNCTION("VLOOKUP(A142,IMPORTRANGE(""1QZ5UxyNCwadreQAXnQ7oCoH982DjIA-QnZdO7ZoqkC0/edit#gid=884617569"",""S5 Totals!$A$2:$O$255""),8,FALSE)"),0.029411764705882353)</f>
        <v>0.02941176471</v>
      </c>
      <c r="L142" s="147"/>
      <c r="M142" s="16">
        <f>IFERROR(__xludf.DUMMYFUNCTION("VLOOKUP(A142,IMPORTRANGE(""1QZ5UxyNCwadreQAXnQ7oCoH982DjIA-QnZdO7ZoqkC0/edit#gid=884617569"",""S5 Totals!$A$2:$O$255""),10,FALSE)"),2.0)</f>
        <v>2</v>
      </c>
      <c r="N142" s="15">
        <f>IFERROR(__xludf.DUMMYFUNCTION("VLOOKUP(A142,IMPORTRANGE(""1QZ5UxyNCwadreQAXnQ7oCoH982DjIA-QnZdO7ZoqkC0/edit#gid=884617569"",""S5 Totals!$A$2:$O$255""),11,FALSE)"),0.06666666666666667)</f>
        <v>0.06666666667</v>
      </c>
      <c r="O142" s="110"/>
      <c r="P142" s="16">
        <f>IFERROR(__xludf.DUMMYFUNCTION("VLOOKUP(A142,IMPORTRANGE(""1QZ5UxyNCwadreQAXnQ7oCoH982DjIA-QnZdO7ZoqkC0/edit#gid=884617569"",""S5 Totals!$A$2:$O$255""),13,FALSE)"),0.0)</f>
        <v>0</v>
      </c>
      <c r="Q142" s="15">
        <f>IFERROR(__xludf.DUMMYFUNCTION("VLOOKUP(A142,IMPORTRANGE(""1QZ5UxyNCwadreQAXnQ7oCoH982DjIA-QnZdO7ZoqkC0/edit#gid=884617569"",""S5 Totals!$A$2:$O$255""),14,FALSE)"),0.0)</f>
        <v>0</v>
      </c>
      <c r="R142" s="110"/>
    </row>
    <row r="143">
      <c r="A143" s="128" t="s">
        <v>182</v>
      </c>
      <c r="B143" s="16">
        <f>IFERROR(__xludf.DUMMYFUNCTION("VLOOKUP(A143,IMPORTRANGE(""1aFCnJY1qhIj8-JckJhDJ18aqmVo17tofpQmOjcYa3u8/edit#gid=1878241338"",""S5 Totals!$A$2:$O$255""),2,FALSE)"),20.0)</f>
        <v>20</v>
      </c>
      <c r="C143" s="15">
        <f>IFERROR(__xludf.DUMMYFUNCTION("VLOOKUP(A143,IMPORTRANGE(""1aFCnJY1qhIj8-JckJhDJ18aqmVo17tofpQmOjcYa3u8/edit#gid=1878241338"",""S5 Totals!$A$2:$O$255""),3,FALSE)"),0.24096385542168675)</f>
        <v>0.2409638554</v>
      </c>
      <c r="D143" s="16">
        <f>IFERROR(__xludf.DUMMYFUNCTION("VLOOKUP(A143,IMPORTRANGE(""1QZ5UxyNCwadreQAXnQ7oCoH982DjIA-QnZdO7ZoqkC0/edit#gid=884617569"",""S5 Totals!$A$2:$O$255""),2,FALSE)"),22.0)</f>
        <v>22</v>
      </c>
      <c r="E143" s="15">
        <f>IFERROR(__xludf.DUMMYFUNCTION("VLOOKUP(A143,IMPORTRANGE(""1QZ5UxyNCwadreQAXnQ7oCoH982DjIA-QnZdO7ZoqkC0/edit#gid=884617569"",""S5 Totals!$A$2:$O$255""),3,FALSE)"),0.26506024096385544)</f>
        <v>0.265060241</v>
      </c>
      <c r="F143" s="146">
        <f t="shared" si="1"/>
        <v>-0.02409638554</v>
      </c>
      <c r="G143" s="16">
        <f>IFERROR(__xludf.DUMMYFUNCTION("VLOOKUP(A143,IMPORTRANGE(""1QZ5UxyNCwadreQAXnQ7oCoH982DjIA-QnZdO7ZoqkC0/edit#gid=884617569"",""S5 Totals!$A$2:$O$255""),4,FALSE)"),18.0)</f>
        <v>18</v>
      </c>
      <c r="H143" s="15">
        <f>IFERROR(__xludf.DUMMYFUNCTION("VLOOKUP(A143,IMPORTRANGE(""1QZ5UxyNCwadreQAXnQ7oCoH982DjIA-QnZdO7ZoqkC0/edit#gid=884617569"",""S5 Totals!$A$2:$O$255""),5,FALSE)"),0.3673469387755102)</f>
        <v>0.3673469388</v>
      </c>
      <c r="I143" s="143"/>
      <c r="J143" s="16">
        <f>IFERROR(__xludf.DUMMYFUNCTION("VLOOKUP(A143,IMPORTRANGE(""1QZ5UxyNCwadreQAXnQ7oCoH982DjIA-QnZdO7ZoqkC0/edit#gid=884617569"",""S5 Totals!$A$2:$O$255""),7,FALSE)"),6.0)</f>
        <v>6</v>
      </c>
      <c r="K143" s="15">
        <f>IFERROR(__xludf.DUMMYFUNCTION("VLOOKUP(A143,IMPORTRANGE(""1QZ5UxyNCwadreQAXnQ7oCoH982DjIA-QnZdO7ZoqkC0/edit#gid=884617569"",""S5 Totals!$A$2:$O$255""),8,FALSE)"),0.17647058823529413)</f>
        <v>0.1764705882</v>
      </c>
      <c r="L143" s="147"/>
      <c r="M143" s="16" t="str">
        <f>IFERROR(__xludf.DUMMYFUNCTION("VLOOKUP(A143,IMPORTRANGE(""1QZ5UxyNCwadreQAXnQ7oCoH982DjIA-QnZdO7ZoqkC0/edit#gid=884617569"",""S5 Totals!$A$2:$O$255""),10,FALSE)"),"")</f>
        <v/>
      </c>
      <c r="N143" s="15" t="str">
        <f>IFERROR(__xludf.DUMMYFUNCTION("VLOOKUP(A143,IMPORTRANGE(""1QZ5UxyNCwadreQAXnQ7oCoH982DjIA-QnZdO7ZoqkC0/edit#gid=884617569"",""S5 Totals!$A$2:$O$255""),11,FALSE)"),"")</f>
        <v/>
      </c>
      <c r="O143" s="110"/>
      <c r="P143" s="16" t="str">
        <f>IFERROR(__xludf.DUMMYFUNCTION("VLOOKUP(A143,IMPORTRANGE(""1QZ5UxyNCwadreQAXnQ7oCoH982DjIA-QnZdO7ZoqkC0/edit#gid=884617569"",""S5 Totals!$A$2:$O$255""),13,FALSE)"),"")</f>
        <v/>
      </c>
      <c r="Q143" s="15" t="str">
        <f>IFERROR(__xludf.DUMMYFUNCTION("VLOOKUP(A143,IMPORTRANGE(""1QZ5UxyNCwadreQAXnQ7oCoH982DjIA-QnZdO7ZoqkC0/edit#gid=884617569"",""S5 Totals!$A$2:$O$255""),14,FALSE)"),"")</f>
        <v/>
      </c>
      <c r="R143" s="110"/>
    </row>
    <row r="144">
      <c r="A144" s="128" t="s">
        <v>70</v>
      </c>
      <c r="B144" s="16">
        <f>IFERROR(__xludf.DUMMYFUNCTION("VLOOKUP(A144,IMPORTRANGE(""1aFCnJY1qhIj8-JckJhDJ18aqmVo17tofpQmOjcYa3u8/edit#gid=1878241338"",""S5 Totals!$A$2:$O$255""),2,FALSE)"),24.0)</f>
        <v>24</v>
      </c>
      <c r="C144" s="15">
        <f>IFERROR(__xludf.DUMMYFUNCTION("VLOOKUP(A144,IMPORTRANGE(""1aFCnJY1qhIj8-JckJhDJ18aqmVo17tofpQmOjcYa3u8/edit#gid=1878241338"",""S5 Totals!$A$2:$O$255""),3,FALSE)"),0.2891566265060241)</f>
        <v>0.2891566265</v>
      </c>
      <c r="D144" s="16">
        <f>IFERROR(__xludf.DUMMYFUNCTION("VLOOKUP(A144,IMPORTRANGE(""1QZ5UxyNCwadreQAXnQ7oCoH982DjIA-QnZdO7ZoqkC0/edit#gid=884617569"",""S5 Totals!$A$2:$O$255""),2,FALSE)"),18.0)</f>
        <v>18</v>
      </c>
      <c r="E144" s="15">
        <f>IFERROR(__xludf.DUMMYFUNCTION("VLOOKUP(A144,IMPORTRANGE(""1QZ5UxyNCwadreQAXnQ7oCoH982DjIA-QnZdO7ZoqkC0/edit#gid=884617569"",""S5 Totals!$A$2:$O$255""),3,FALSE)"),0.21686746987951808)</f>
        <v>0.2168674699</v>
      </c>
      <c r="F144" s="146">
        <f t="shared" si="1"/>
        <v>0.07228915663</v>
      </c>
      <c r="G144" s="16">
        <f>IFERROR(__xludf.DUMMYFUNCTION("VLOOKUP(A144,IMPORTRANGE(""1QZ5UxyNCwadreQAXnQ7oCoH982DjIA-QnZdO7ZoqkC0/edit#gid=884617569"",""S5 Totals!$A$2:$O$255""),4,FALSE)"),11.0)</f>
        <v>11</v>
      </c>
      <c r="H144" s="15">
        <f>IFERROR(__xludf.DUMMYFUNCTION("VLOOKUP(A144,IMPORTRANGE(""1QZ5UxyNCwadreQAXnQ7oCoH982DjIA-QnZdO7ZoqkC0/edit#gid=884617569"",""S5 Totals!$A$2:$O$255""),5,FALSE)"),0.22448979591836735)</f>
        <v>0.2244897959</v>
      </c>
      <c r="I144" s="143"/>
      <c r="J144" s="16">
        <f>IFERROR(__xludf.DUMMYFUNCTION("VLOOKUP(A144,IMPORTRANGE(""1QZ5UxyNCwadreQAXnQ7oCoH982DjIA-QnZdO7ZoqkC0/edit#gid=884617569"",""S5 Totals!$A$2:$O$255""),7,FALSE)"),7.0)</f>
        <v>7</v>
      </c>
      <c r="K144" s="15">
        <f>IFERROR(__xludf.DUMMYFUNCTION("VLOOKUP(A144,IMPORTRANGE(""1QZ5UxyNCwadreQAXnQ7oCoH982DjIA-QnZdO7ZoqkC0/edit#gid=884617569"",""S5 Totals!$A$2:$O$255""),8,FALSE)"),0.20588235294117646)</f>
        <v>0.2058823529</v>
      </c>
      <c r="L144" s="147"/>
      <c r="M144" s="16">
        <f>IFERROR(__xludf.DUMMYFUNCTION("VLOOKUP(A144,IMPORTRANGE(""1QZ5UxyNCwadreQAXnQ7oCoH982DjIA-QnZdO7ZoqkC0/edit#gid=884617569"",""S5 Totals!$A$2:$O$255""),10,FALSE)"),3.0)</f>
        <v>3</v>
      </c>
      <c r="N144" s="15">
        <f>IFERROR(__xludf.DUMMYFUNCTION("VLOOKUP(A144,IMPORTRANGE(""1QZ5UxyNCwadreQAXnQ7oCoH982DjIA-QnZdO7ZoqkC0/edit#gid=884617569"",""S5 Totals!$A$2:$O$255""),11,FALSE)"),0.1)</f>
        <v>0.1</v>
      </c>
      <c r="O144" s="110"/>
      <c r="P144" s="16">
        <f>IFERROR(__xludf.DUMMYFUNCTION("VLOOKUP(A144,IMPORTRANGE(""1QZ5UxyNCwadreQAXnQ7oCoH982DjIA-QnZdO7ZoqkC0/edit#gid=884617569"",""S5 Totals!$A$2:$O$255""),13,FALSE)"),0.0)</f>
        <v>0</v>
      </c>
      <c r="Q144" s="15">
        <f>IFERROR(__xludf.DUMMYFUNCTION("VLOOKUP(A144,IMPORTRANGE(""1QZ5UxyNCwadreQAXnQ7oCoH982DjIA-QnZdO7ZoqkC0/edit#gid=884617569"",""S5 Totals!$A$2:$O$255""),14,FALSE)"),0.0)</f>
        <v>0</v>
      </c>
      <c r="R144" s="110"/>
    </row>
    <row r="145">
      <c r="A145" s="128" t="s">
        <v>138</v>
      </c>
      <c r="B145" s="16">
        <f>IFERROR(__xludf.DUMMYFUNCTION("VLOOKUP(A145,IMPORTRANGE(""1aFCnJY1qhIj8-JckJhDJ18aqmVo17tofpQmOjcYa3u8/edit#gid=1878241338"",""S5 Totals!$A$2:$O$255""),2,FALSE)"),25.0)</f>
        <v>25</v>
      </c>
      <c r="C145" s="15">
        <f>IFERROR(__xludf.DUMMYFUNCTION("VLOOKUP(A145,IMPORTRANGE(""1aFCnJY1qhIj8-JckJhDJ18aqmVo17tofpQmOjcYa3u8/edit#gid=1878241338"",""S5 Totals!$A$2:$O$255""),3,FALSE)"),0.30120481927710846)</f>
        <v>0.3012048193</v>
      </c>
      <c r="D145" s="16">
        <f>IFERROR(__xludf.DUMMYFUNCTION("VLOOKUP(A145,IMPORTRANGE(""1QZ5UxyNCwadreQAXnQ7oCoH982DjIA-QnZdO7ZoqkC0/edit#gid=884617569"",""S5 Totals!$A$2:$O$255""),2,FALSE)"),8.0)</f>
        <v>8</v>
      </c>
      <c r="E145" s="15">
        <f>IFERROR(__xludf.DUMMYFUNCTION("VLOOKUP(A145,IMPORTRANGE(""1QZ5UxyNCwadreQAXnQ7oCoH982DjIA-QnZdO7ZoqkC0/edit#gid=884617569"",""S5 Totals!$A$2:$O$255""),3,FALSE)"),0.0963855421686747)</f>
        <v>0.09638554217</v>
      </c>
      <c r="F145" s="146">
        <f t="shared" si="1"/>
        <v>0.2048192771</v>
      </c>
      <c r="G145" s="16">
        <f>IFERROR(__xludf.DUMMYFUNCTION("VLOOKUP(A145,IMPORTRANGE(""1QZ5UxyNCwadreQAXnQ7oCoH982DjIA-QnZdO7ZoqkC0/edit#gid=884617569"",""S5 Totals!$A$2:$O$255""),4,FALSE)"),10.0)</f>
        <v>10</v>
      </c>
      <c r="H145" s="15">
        <f>IFERROR(__xludf.DUMMYFUNCTION("VLOOKUP(A145,IMPORTRANGE(""1QZ5UxyNCwadreQAXnQ7oCoH982DjIA-QnZdO7ZoqkC0/edit#gid=884617569"",""S5 Totals!$A$2:$O$255""),5,FALSE)"),0.20408163265306123)</f>
        <v>0.2040816327</v>
      </c>
      <c r="I145" s="143"/>
      <c r="J145" s="16">
        <f>IFERROR(__xludf.DUMMYFUNCTION("VLOOKUP(A145,IMPORTRANGE(""1QZ5UxyNCwadreQAXnQ7oCoH982DjIA-QnZdO7ZoqkC0/edit#gid=884617569"",""S5 Totals!$A$2:$O$255""),7,FALSE)"),12.0)</f>
        <v>12</v>
      </c>
      <c r="K145" s="15">
        <f>IFERROR(__xludf.DUMMYFUNCTION("VLOOKUP(A145,IMPORTRANGE(""1QZ5UxyNCwadreQAXnQ7oCoH982DjIA-QnZdO7ZoqkC0/edit#gid=884617569"",""S5 Totals!$A$2:$O$255""),8,FALSE)"),0.35294117647058826)</f>
        <v>0.3529411765</v>
      </c>
      <c r="L145" s="147"/>
      <c r="M145" s="16">
        <f>IFERROR(__xludf.DUMMYFUNCTION("VLOOKUP(A145,IMPORTRANGE(""1QZ5UxyNCwadreQAXnQ7oCoH982DjIA-QnZdO7ZoqkC0/edit#gid=884617569"",""S5 Totals!$A$2:$O$255""),10,FALSE)"),0.0)</f>
        <v>0</v>
      </c>
      <c r="N145" s="15">
        <f>IFERROR(__xludf.DUMMYFUNCTION("VLOOKUP(A145,IMPORTRANGE(""1QZ5UxyNCwadreQAXnQ7oCoH982DjIA-QnZdO7ZoqkC0/edit#gid=884617569"",""S5 Totals!$A$2:$O$255""),11,FALSE)"),0.0)</f>
        <v>0</v>
      </c>
      <c r="O145" s="110"/>
      <c r="P145" s="16" t="str">
        <f>IFERROR(__xludf.DUMMYFUNCTION("VLOOKUP(A145,IMPORTRANGE(""1QZ5UxyNCwadreQAXnQ7oCoH982DjIA-QnZdO7ZoqkC0/edit#gid=884617569"",""S5 Totals!$A$2:$O$255""),13,FALSE)"),"")</f>
        <v/>
      </c>
      <c r="Q145" s="15" t="str">
        <f>IFERROR(__xludf.DUMMYFUNCTION("VLOOKUP(A145,IMPORTRANGE(""1QZ5UxyNCwadreQAXnQ7oCoH982DjIA-QnZdO7ZoqkC0/edit#gid=884617569"",""S5 Totals!$A$2:$O$255""),14,FALSE)"),"")</f>
        <v/>
      </c>
      <c r="R145" s="110"/>
    </row>
    <row r="146">
      <c r="A146" s="128" t="s">
        <v>21</v>
      </c>
      <c r="B146" s="16">
        <f>IFERROR(__xludf.DUMMYFUNCTION("VLOOKUP(A146,IMPORTRANGE(""1aFCnJY1qhIj8-JckJhDJ18aqmVo17tofpQmOjcYa3u8/edit#gid=1878241338"",""S5 Totals!$A$2:$O$255""),2,FALSE)"),29.0)</f>
        <v>29</v>
      </c>
      <c r="C146" s="15">
        <f>IFERROR(__xludf.DUMMYFUNCTION("VLOOKUP(A146,IMPORTRANGE(""1aFCnJY1qhIj8-JckJhDJ18aqmVo17tofpQmOjcYa3u8/edit#gid=1878241338"",""S5 Totals!$A$2:$O$255""),3,FALSE)"),0.3493975903614458)</f>
        <v>0.3493975904</v>
      </c>
      <c r="D146" s="16">
        <f>IFERROR(__xludf.DUMMYFUNCTION("VLOOKUP(A146,IMPORTRANGE(""1QZ5UxyNCwadreQAXnQ7oCoH982DjIA-QnZdO7ZoqkC0/edit#gid=884617569"",""S5 Totals!$A$2:$O$255""),2,FALSE)"),24.0)</f>
        <v>24</v>
      </c>
      <c r="E146" s="15">
        <f>IFERROR(__xludf.DUMMYFUNCTION("VLOOKUP(A146,IMPORTRANGE(""1QZ5UxyNCwadreQAXnQ7oCoH982DjIA-QnZdO7ZoqkC0/edit#gid=884617569"",""S5 Totals!$A$2:$O$255""),3,FALSE)"),0.2891566265060241)</f>
        <v>0.2891566265</v>
      </c>
      <c r="F146" s="146">
        <f t="shared" si="1"/>
        <v>0.06024096386</v>
      </c>
      <c r="G146" s="16">
        <f>IFERROR(__xludf.DUMMYFUNCTION("VLOOKUP(A146,IMPORTRANGE(""1QZ5UxyNCwadreQAXnQ7oCoH982DjIA-QnZdO7ZoqkC0/edit#gid=884617569"",""S5 Totals!$A$2:$O$255""),4,FALSE)"),26.0)</f>
        <v>26</v>
      </c>
      <c r="H146" s="15">
        <f>IFERROR(__xludf.DUMMYFUNCTION("VLOOKUP(A146,IMPORTRANGE(""1QZ5UxyNCwadreQAXnQ7oCoH982DjIA-QnZdO7ZoqkC0/edit#gid=884617569"",""S5 Totals!$A$2:$O$255""),5,FALSE)"),0.5306122448979592)</f>
        <v>0.5306122449</v>
      </c>
      <c r="I146" s="143"/>
      <c r="J146" s="16">
        <f>IFERROR(__xludf.DUMMYFUNCTION("VLOOKUP(A146,IMPORTRANGE(""1QZ5UxyNCwadreQAXnQ7oCoH982DjIA-QnZdO7ZoqkC0/edit#gid=884617569"",""S5 Totals!$A$2:$O$255""),7,FALSE)"),16.0)</f>
        <v>16</v>
      </c>
      <c r="K146" s="15">
        <f>IFERROR(__xludf.DUMMYFUNCTION("VLOOKUP(A146,IMPORTRANGE(""1QZ5UxyNCwadreQAXnQ7oCoH982DjIA-QnZdO7ZoqkC0/edit#gid=884617569"",""S5 Totals!$A$2:$O$255""),8,FALSE)"),0.47058823529411764)</f>
        <v>0.4705882353</v>
      </c>
      <c r="L146" s="147"/>
      <c r="M146" s="16">
        <f>IFERROR(__xludf.DUMMYFUNCTION("VLOOKUP(A146,IMPORTRANGE(""1QZ5UxyNCwadreQAXnQ7oCoH982DjIA-QnZdO7ZoqkC0/edit#gid=884617569"",""S5 Totals!$A$2:$O$255""),10,FALSE)"),18.0)</f>
        <v>18</v>
      </c>
      <c r="N146" s="15">
        <f>IFERROR(__xludf.DUMMYFUNCTION("VLOOKUP(A146,IMPORTRANGE(""1QZ5UxyNCwadreQAXnQ7oCoH982DjIA-QnZdO7ZoqkC0/edit#gid=884617569"",""S5 Totals!$A$2:$O$255""),11,FALSE)"),0.6)</f>
        <v>0.6</v>
      </c>
      <c r="O146" s="110"/>
      <c r="P146" s="16">
        <f>IFERROR(__xludf.DUMMYFUNCTION("VLOOKUP(A146,IMPORTRANGE(""1QZ5UxyNCwadreQAXnQ7oCoH982DjIA-QnZdO7ZoqkC0/edit#gid=884617569"",""S5 Totals!$A$2:$O$255""),13,FALSE)"),14.0)</f>
        <v>14</v>
      </c>
      <c r="Q146" s="15">
        <f>IFERROR(__xludf.DUMMYFUNCTION("VLOOKUP(A146,IMPORTRANGE(""1QZ5UxyNCwadreQAXnQ7oCoH982DjIA-QnZdO7ZoqkC0/edit#gid=884617569"",""S5 Totals!$A$2:$O$255""),14,FALSE)"),0.5)</f>
        <v>0.5</v>
      </c>
      <c r="R146" s="110"/>
    </row>
    <row r="147">
      <c r="A147" s="128" t="s">
        <v>183</v>
      </c>
      <c r="B147" s="16">
        <f>IFERROR(__xludf.DUMMYFUNCTION("VLOOKUP(A147,IMPORTRANGE(""1aFCnJY1qhIj8-JckJhDJ18aqmVo17tofpQmOjcYa3u8/edit#gid=1878241338"",""S5 Totals!$A$2:$O$255""),2,FALSE)"),0.0)</f>
        <v>0</v>
      </c>
      <c r="C147" s="15">
        <f>IFERROR(__xludf.DUMMYFUNCTION("VLOOKUP(A147,IMPORTRANGE(""1aFCnJY1qhIj8-JckJhDJ18aqmVo17tofpQmOjcYa3u8/edit#gid=1878241338"",""S5 Totals!$A$2:$O$255""),3,FALSE)"),0.0)</f>
        <v>0</v>
      </c>
      <c r="D147" s="16">
        <f>IFERROR(__xludf.DUMMYFUNCTION("VLOOKUP(A147,IMPORTRANGE(""1QZ5UxyNCwadreQAXnQ7oCoH982DjIA-QnZdO7ZoqkC0/edit#gid=884617569"",""S5 Totals!$A$2:$O$255""),2,FALSE)"),0.0)</f>
        <v>0</v>
      </c>
      <c r="E147" s="15">
        <f>IFERROR(__xludf.DUMMYFUNCTION("VLOOKUP(A147,IMPORTRANGE(""1QZ5UxyNCwadreQAXnQ7oCoH982DjIA-QnZdO7ZoqkC0/edit#gid=884617569"",""S5 Totals!$A$2:$O$255""),3,FALSE)"),0.0)</f>
        <v>0</v>
      </c>
      <c r="F147" s="146">
        <f t="shared" si="1"/>
        <v>0</v>
      </c>
      <c r="G147" s="16">
        <f>IFERROR(__xludf.DUMMYFUNCTION("VLOOKUP(A147,IMPORTRANGE(""1QZ5UxyNCwadreQAXnQ7oCoH982DjIA-QnZdO7ZoqkC0/edit#gid=884617569"",""S5 Totals!$A$2:$O$255""),4,FALSE)"),2.0)</f>
        <v>2</v>
      </c>
      <c r="H147" s="15">
        <f>IFERROR(__xludf.DUMMYFUNCTION("VLOOKUP(A147,IMPORTRANGE(""1QZ5UxyNCwadreQAXnQ7oCoH982DjIA-QnZdO7ZoqkC0/edit#gid=884617569"",""S5 Totals!$A$2:$O$255""),5,FALSE)"),0.04081632653061224)</f>
        <v>0.04081632653</v>
      </c>
      <c r="I147" s="143"/>
      <c r="J147" s="16">
        <f>IFERROR(__xludf.DUMMYFUNCTION("VLOOKUP(A147,IMPORTRANGE(""1QZ5UxyNCwadreQAXnQ7oCoH982DjIA-QnZdO7ZoqkC0/edit#gid=884617569"",""S5 Totals!$A$2:$O$255""),7,FALSE)"),1.0)</f>
        <v>1</v>
      </c>
      <c r="K147" s="15">
        <f>IFERROR(__xludf.DUMMYFUNCTION("VLOOKUP(A147,IMPORTRANGE(""1QZ5UxyNCwadreQAXnQ7oCoH982DjIA-QnZdO7ZoqkC0/edit#gid=884617569"",""S5 Totals!$A$2:$O$255""),8,FALSE)"),0.029411764705882353)</f>
        <v>0.02941176471</v>
      </c>
      <c r="L147" s="147"/>
      <c r="M147" s="16" t="str">
        <f>IFERROR(__xludf.DUMMYFUNCTION("VLOOKUP(A147,IMPORTRANGE(""1QZ5UxyNCwadreQAXnQ7oCoH982DjIA-QnZdO7ZoqkC0/edit#gid=884617569"",""S5 Totals!$A$2:$O$255""),10,FALSE)"),"")</f>
        <v/>
      </c>
      <c r="N147" s="15" t="str">
        <f>IFERROR(__xludf.DUMMYFUNCTION("VLOOKUP(A147,IMPORTRANGE(""1QZ5UxyNCwadreQAXnQ7oCoH982DjIA-QnZdO7ZoqkC0/edit#gid=884617569"",""S5 Totals!$A$2:$O$255""),11,FALSE)"),"")</f>
        <v/>
      </c>
      <c r="O147" s="110"/>
      <c r="P147" s="16" t="str">
        <f>IFERROR(__xludf.DUMMYFUNCTION("VLOOKUP(A147,IMPORTRANGE(""1QZ5UxyNCwadreQAXnQ7oCoH982DjIA-QnZdO7ZoqkC0/edit#gid=884617569"",""S5 Totals!$A$2:$O$255""),13,FALSE)"),"")</f>
        <v/>
      </c>
      <c r="Q147" s="15" t="str">
        <f>IFERROR(__xludf.DUMMYFUNCTION("VLOOKUP(A147,IMPORTRANGE(""1QZ5UxyNCwadreQAXnQ7oCoH982DjIA-QnZdO7ZoqkC0/edit#gid=884617569"",""S5 Totals!$A$2:$O$255""),14,FALSE)"),"")</f>
        <v/>
      </c>
      <c r="R147" s="110"/>
    </row>
    <row r="148">
      <c r="A148" s="128" t="s">
        <v>72</v>
      </c>
      <c r="B148" s="16">
        <f>IFERROR(__xludf.DUMMYFUNCTION("VLOOKUP(A148,IMPORTRANGE(""1aFCnJY1qhIj8-JckJhDJ18aqmVo17tofpQmOjcYa3u8/edit#gid=1878241338"",""S5 Totals!$A$2:$O$255""),2,FALSE)"),45.0)</f>
        <v>45</v>
      </c>
      <c r="C148" s="15">
        <f>IFERROR(__xludf.DUMMYFUNCTION("VLOOKUP(A148,IMPORTRANGE(""1aFCnJY1qhIj8-JckJhDJ18aqmVo17tofpQmOjcYa3u8/edit#gid=1878241338"",""S5 Totals!$A$2:$O$255""),3,FALSE)"),0.5421686746987951)</f>
        <v>0.5421686747</v>
      </c>
      <c r="D148" s="16">
        <f>IFERROR(__xludf.DUMMYFUNCTION("VLOOKUP(A148,IMPORTRANGE(""1QZ5UxyNCwadreQAXnQ7oCoH982DjIA-QnZdO7ZoqkC0/edit#gid=884617569"",""S5 Totals!$A$2:$O$255""),2,FALSE)"),35.0)</f>
        <v>35</v>
      </c>
      <c r="E148" s="15">
        <f>IFERROR(__xludf.DUMMYFUNCTION("VLOOKUP(A148,IMPORTRANGE(""1QZ5UxyNCwadreQAXnQ7oCoH982DjIA-QnZdO7ZoqkC0/edit#gid=884617569"",""S5 Totals!$A$2:$O$255""),3,FALSE)"),0.42168674698795183)</f>
        <v>0.421686747</v>
      </c>
      <c r="F148" s="146">
        <f t="shared" si="1"/>
        <v>0.1204819277</v>
      </c>
      <c r="G148" s="16">
        <f>IFERROR(__xludf.DUMMYFUNCTION("VLOOKUP(A148,IMPORTRANGE(""1QZ5UxyNCwadreQAXnQ7oCoH982DjIA-QnZdO7ZoqkC0/edit#gid=884617569"",""S5 Totals!$A$2:$O$255""),4,FALSE)"),22.0)</f>
        <v>22</v>
      </c>
      <c r="H148" s="15">
        <f>IFERROR(__xludf.DUMMYFUNCTION("VLOOKUP(A148,IMPORTRANGE(""1QZ5UxyNCwadreQAXnQ7oCoH982DjIA-QnZdO7ZoqkC0/edit#gid=884617569"",""S5 Totals!$A$2:$O$255""),5,FALSE)"),0.4489795918367347)</f>
        <v>0.4489795918</v>
      </c>
      <c r="I148" s="143"/>
      <c r="J148" s="16">
        <f>IFERROR(__xludf.DUMMYFUNCTION("VLOOKUP(A148,IMPORTRANGE(""1QZ5UxyNCwadreQAXnQ7oCoH982DjIA-QnZdO7ZoqkC0/edit#gid=884617569"",""S5 Totals!$A$2:$O$255""),7,FALSE)"),20.0)</f>
        <v>20</v>
      </c>
      <c r="K148" s="15">
        <f>IFERROR(__xludf.DUMMYFUNCTION("VLOOKUP(A148,IMPORTRANGE(""1QZ5UxyNCwadreQAXnQ7oCoH982DjIA-QnZdO7ZoqkC0/edit#gid=884617569"",""S5 Totals!$A$2:$O$255""),8,FALSE)"),0.5882352941176471)</f>
        <v>0.5882352941</v>
      </c>
      <c r="L148" s="147"/>
      <c r="M148" s="16">
        <f>IFERROR(__xludf.DUMMYFUNCTION("VLOOKUP(A148,IMPORTRANGE(""1QZ5UxyNCwadreQAXnQ7oCoH982DjIA-QnZdO7ZoqkC0/edit#gid=884617569"",""S5 Totals!$A$2:$O$255""),10,FALSE)"),16.0)</f>
        <v>16</v>
      </c>
      <c r="N148" s="15">
        <f>IFERROR(__xludf.DUMMYFUNCTION("VLOOKUP(A148,IMPORTRANGE(""1QZ5UxyNCwadreQAXnQ7oCoH982DjIA-QnZdO7ZoqkC0/edit#gid=884617569"",""S5 Totals!$A$2:$O$255""),11,FALSE)"),0.5333333333333333)</f>
        <v>0.5333333333</v>
      </c>
      <c r="O148" s="110"/>
      <c r="P148" s="16">
        <f>IFERROR(__xludf.DUMMYFUNCTION("VLOOKUP(A148,IMPORTRANGE(""1QZ5UxyNCwadreQAXnQ7oCoH982DjIA-QnZdO7ZoqkC0/edit#gid=884617569"",""S5 Totals!$A$2:$O$255""),13,FALSE)"),9.0)</f>
        <v>9</v>
      </c>
      <c r="Q148" s="15">
        <f>IFERROR(__xludf.DUMMYFUNCTION("VLOOKUP(A148,IMPORTRANGE(""1QZ5UxyNCwadreQAXnQ7oCoH982DjIA-QnZdO7ZoqkC0/edit#gid=884617569"",""S5 Totals!$A$2:$O$255""),14,FALSE)"),0.32142857142857145)</f>
        <v>0.3214285714</v>
      </c>
      <c r="R148" s="110"/>
    </row>
    <row r="149">
      <c r="A149" s="128" t="s">
        <v>73</v>
      </c>
      <c r="B149" s="16">
        <f>IFERROR(__xludf.DUMMYFUNCTION("VLOOKUP(A149,IMPORTRANGE(""1aFCnJY1qhIj8-JckJhDJ18aqmVo17tofpQmOjcYa3u8/edit#gid=1878241338"",""S5 Totals!$A$2:$O$255""),2,FALSE)"),8.0)</f>
        <v>8</v>
      </c>
      <c r="C149" s="15">
        <f>IFERROR(__xludf.DUMMYFUNCTION("VLOOKUP(A149,IMPORTRANGE(""1aFCnJY1qhIj8-JckJhDJ18aqmVo17tofpQmOjcYa3u8/edit#gid=1878241338"",""S5 Totals!$A$2:$O$255""),3,FALSE)"),0.0963855421686747)</f>
        <v>0.09638554217</v>
      </c>
      <c r="D149" s="16">
        <f>IFERROR(__xludf.DUMMYFUNCTION("VLOOKUP(A149,IMPORTRANGE(""1QZ5UxyNCwadreQAXnQ7oCoH982DjIA-QnZdO7ZoqkC0/edit#gid=884617569"",""S5 Totals!$A$2:$O$255""),2,FALSE)"),6.0)</f>
        <v>6</v>
      </c>
      <c r="E149" s="15">
        <f>IFERROR(__xludf.DUMMYFUNCTION("VLOOKUP(A149,IMPORTRANGE(""1QZ5UxyNCwadreQAXnQ7oCoH982DjIA-QnZdO7ZoqkC0/edit#gid=884617569"",""S5 Totals!$A$2:$O$255""),3,FALSE)"),0.07228915662650602)</f>
        <v>0.07228915663</v>
      </c>
      <c r="F149" s="146">
        <f t="shared" si="1"/>
        <v>0.02409638554</v>
      </c>
      <c r="G149" s="16">
        <f>IFERROR(__xludf.DUMMYFUNCTION("VLOOKUP(A149,IMPORTRANGE(""1QZ5UxyNCwadreQAXnQ7oCoH982DjIA-QnZdO7ZoqkC0/edit#gid=884617569"",""S5 Totals!$A$2:$O$255""),4,FALSE)"),1.0)</f>
        <v>1</v>
      </c>
      <c r="H149" s="15">
        <f>IFERROR(__xludf.DUMMYFUNCTION("VLOOKUP(A149,IMPORTRANGE(""1QZ5UxyNCwadreQAXnQ7oCoH982DjIA-QnZdO7ZoqkC0/edit#gid=884617569"",""S5 Totals!$A$2:$O$255""),5,FALSE)"),0.02040816326530612)</f>
        <v>0.02040816327</v>
      </c>
      <c r="I149" s="143"/>
      <c r="J149" s="16">
        <f>IFERROR(__xludf.DUMMYFUNCTION("VLOOKUP(A149,IMPORTRANGE(""1QZ5UxyNCwadreQAXnQ7oCoH982DjIA-QnZdO7ZoqkC0/edit#gid=884617569"",""S5 Totals!$A$2:$O$255""),7,FALSE)"),1.0)</f>
        <v>1</v>
      </c>
      <c r="K149" s="15">
        <f>IFERROR(__xludf.DUMMYFUNCTION("VLOOKUP(A149,IMPORTRANGE(""1QZ5UxyNCwadreQAXnQ7oCoH982DjIA-QnZdO7ZoqkC0/edit#gid=884617569"",""S5 Totals!$A$2:$O$255""),8,FALSE)"),0.029411764705882353)</f>
        <v>0.02941176471</v>
      </c>
      <c r="L149" s="147"/>
      <c r="M149" s="16">
        <f>IFERROR(__xludf.DUMMYFUNCTION("VLOOKUP(A149,IMPORTRANGE(""1QZ5UxyNCwadreQAXnQ7oCoH982DjIA-QnZdO7ZoqkC0/edit#gid=884617569"",""S5 Totals!$A$2:$O$255""),10,FALSE)"),0.0)</f>
        <v>0</v>
      </c>
      <c r="N149" s="15">
        <f>IFERROR(__xludf.DUMMYFUNCTION("VLOOKUP(A149,IMPORTRANGE(""1QZ5UxyNCwadreQAXnQ7oCoH982DjIA-QnZdO7ZoqkC0/edit#gid=884617569"",""S5 Totals!$A$2:$O$255""),11,FALSE)"),0.0)</f>
        <v>0</v>
      </c>
      <c r="O149" s="110"/>
      <c r="P149" s="16">
        <f>IFERROR(__xludf.DUMMYFUNCTION("VLOOKUP(A149,IMPORTRANGE(""1QZ5UxyNCwadreQAXnQ7oCoH982DjIA-QnZdO7ZoqkC0/edit#gid=884617569"",""S5 Totals!$A$2:$O$255""),13,FALSE)"),0.0)</f>
        <v>0</v>
      </c>
      <c r="Q149" s="15">
        <f>IFERROR(__xludf.DUMMYFUNCTION("VLOOKUP(A149,IMPORTRANGE(""1QZ5UxyNCwadreQAXnQ7oCoH982DjIA-QnZdO7ZoqkC0/edit#gid=884617569"",""S5 Totals!$A$2:$O$255""),14,FALSE)"),0.0)</f>
        <v>0</v>
      </c>
      <c r="R149" s="110"/>
    </row>
    <row r="150">
      <c r="A150" s="134" t="s">
        <v>276</v>
      </c>
      <c r="B150" s="16" t="str">
        <f>IFERROR(__xludf.DUMMYFUNCTION("VLOOKUP(A150,IMPORTRANGE(""1aFCnJY1qhIj8-JckJhDJ18aqmVo17tofpQmOjcYa3u8/edit#gid=1878241338"",""S5 Totals!$A$2:$O$255""),2,FALSE)"),"#N/A")</f>
        <v>#N/A</v>
      </c>
      <c r="C150" s="15" t="str">
        <f>IFERROR(__xludf.DUMMYFUNCTION("VLOOKUP(A150,IMPORTRANGE(""1aFCnJY1qhIj8-JckJhDJ18aqmVo17tofpQmOjcYa3u8/edit#gid=1878241338"",""S5 Totals!$A$2:$O$255""),3,FALSE)"),"#N/A")</f>
        <v>#N/A</v>
      </c>
      <c r="D150" s="16" t="str">
        <f>IFERROR(__xludf.DUMMYFUNCTION("VLOOKUP(A150,IMPORTRANGE(""1QZ5UxyNCwadreQAXnQ7oCoH982DjIA-QnZdO7ZoqkC0/edit#gid=884617569"",""S5 Totals!$A$2:$O$255""),2,FALSE)"),"#N/A")</f>
        <v>#N/A</v>
      </c>
      <c r="E150" s="15" t="str">
        <f>IFERROR(__xludf.DUMMYFUNCTION("VLOOKUP(A150,IMPORTRANGE(""1QZ5UxyNCwadreQAXnQ7oCoH982DjIA-QnZdO7ZoqkC0/edit#gid=884617569"",""S5 Totals!$A$2:$O$255""),3,FALSE)"),"#N/A")</f>
        <v>#N/A</v>
      </c>
      <c r="F150" s="146" t="str">
        <f t="shared" si="1"/>
        <v>#N/A</v>
      </c>
      <c r="G150" s="16" t="str">
        <f>IFERROR(__xludf.DUMMYFUNCTION("VLOOKUP(A150,IMPORTRANGE(""1QZ5UxyNCwadreQAXnQ7oCoH982DjIA-QnZdO7ZoqkC0/edit#gid=884617569"",""S5 Totals!$A$2:$O$255""),4,FALSE)"),"#N/A")</f>
        <v>#N/A</v>
      </c>
      <c r="H150" s="15" t="str">
        <f>IFERROR(__xludf.DUMMYFUNCTION("VLOOKUP(A150,IMPORTRANGE(""1QZ5UxyNCwadreQAXnQ7oCoH982DjIA-QnZdO7ZoqkC0/edit#gid=884617569"",""S5 Totals!$A$2:$O$255""),5,FALSE)"),"#N/A")</f>
        <v>#N/A</v>
      </c>
      <c r="I150" s="143"/>
      <c r="J150" s="16" t="str">
        <f>IFERROR(__xludf.DUMMYFUNCTION("VLOOKUP(A150,IMPORTRANGE(""1QZ5UxyNCwadreQAXnQ7oCoH982DjIA-QnZdO7ZoqkC0/edit#gid=884617569"",""S5 Totals!$A$2:$O$255""),7,FALSE)"),"#N/A")</f>
        <v>#N/A</v>
      </c>
      <c r="K150" s="15" t="str">
        <f>IFERROR(__xludf.DUMMYFUNCTION("VLOOKUP(A150,IMPORTRANGE(""1QZ5UxyNCwadreQAXnQ7oCoH982DjIA-QnZdO7ZoqkC0/edit#gid=884617569"",""S5 Totals!$A$2:$O$255""),8,FALSE)"),"#N/A")</f>
        <v>#N/A</v>
      </c>
      <c r="L150" s="147"/>
      <c r="M150" s="16" t="str">
        <f>IFERROR(__xludf.DUMMYFUNCTION("VLOOKUP(A150,IMPORTRANGE(""1QZ5UxyNCwadreQAXnQ7oCoH982DjIA-QnZdO7ZoqkC0/edit#gid=884617569"",""S5 Totals!$A$2:$O$255""),10,FALSE)"),"#N/A")</f>
        <v>#N/A</v>
      </c>
      <c r="N150" s="15" t="str">
        <f>IFERROR(__xludf.DUMMYFUNCTION("VLOOKUP(A150,IMPORTRANGE(""1QZ5UxyNCwadreQAXnQ7oCoH982DjIA-QnZdO7ZoqkC0/edit#gid=884617569"",""S5 Totals!$A$2:$O$255""),11,FALSE)"),"#N/A")</f>
        <v>#N/A</v>
      </c>
      <c r="O150" s="110"/>
      <c r="P150" s="16" t="str">
        <f>IFERROR(__xludf.DUMMYFUNCTION("VLOOKUP(A150,IMPORTRANGE(""1QZ5UxyNCwadreQAXnQ7oCoH982DjIA-QnZdO7ZoqkC0/edit#gid=884617569"",""S5 Totals!$A$2:$O$255""),13,FALSE)"),"#N/A")</f>
        <v>#N/A</v>
      </c>
      <c r="Q150" s="15" t="str">
        <f>IFERROR(__xludf.DUMMYFUNCTION("VLOOKUP(A150,IMPORTRANGE(""1QZ5UxyNCwadreQAXnQ7oCoH982DjIA-QnZdO7ZoqkC0/edit#gid=884617569"",""S5 Totals!$A$2:$O$255""),14,FALSE)"),"#N/A")</f>
        <v>#N/A</v>
      </c>
      <c r="R150" s="110"/>
    </row>
    <row r="151">
      <c r="A151" s="128" t="s">
        <v>139</v>
      </c>
      <c r="B151" s="16">
        <f>IFERROR(__xludf.DUMMYFUNCTION("VLOOKUP(A151,IMPORTRANGE(""1aFCnJY1qhIj8-JckJhDJ18aqmVo17tofpQmOjcYa3u8/edit#gid=1878241338"",""S5 Totals!$A$2:$O$255""),2,FALSE)"),0.0)</f>
        <v>0</v>
      </c>
      <c r="C151" s="15">
        <f>IFERROR(__xludf.DUMMYFUNCTION("VLOOKUP(A151,IMPORTRANGE(""1aFCnJY1qhIj8-JckJhDJ18aqmVo17tofpQmOjcYa3u8/edit#gid=1878241338"",""S5 Totals!$A$2:$O$255""),3,FALSE)"),0.0)</f>
        <v>0</v>
      </c>
      <c r="D151" s="16">
        <f>IFERROR(__xludf.DUMMYFUNCTION("VLOOKUP(A151,IMPORTRANGE(""1QZ5UxyNCwadreQAXnQ7oCoH982DjIA-QnZdO7ZoqkC0/edit#gid=884617569"",""S5 Totals!$A$2:$O$255""),2,FALSE)"),0.0)</f>
        <v>0</v>
      </c>
      <c r="E151" s="15">
        <f>IFERROR(__xludf.DUMMYFUNCTION("VLOOKUP(A151,IMPORTRANGE(""1QZ5UxyNCwadreQAXnQ7oCoH982DjIA-QnZdO7ZoqkC0/edit#gid=884617569"",""S5 Totals!$A$2:$O$255""),3,FALSE)"),0.0)</f>
        <v>0</v>
      </c>
      <c r="F151" s="146">
        <f t="shared" si="1"/>
        <v>0</v>
      </c>
      <c r="G151" s="16">
        <f>IFERROR(__xludf.DUMMYFUNCTION("VLOOKUP(A151,IMPORTRANGE(""1QZ5UxyNCwadreQAXnQ7oCoH982DjIA-QnZdO7ZoqkC0/edit#gid=884617569"",""S5 Totals!$A$2:$O$255""),4,FALSE)"),0.0)</f>
        <v>0</v>
      </c>
      <c r="H151" s="15">
        <f>IFERROR(__xludf.DUMMYFUNCTION("VLOOKUP(A151,IMPORTRANGE(""1QZ5UxyNCwadreQAXnQ7oCoH982DjIA-QnZdO7ZoqkC0/edit#gid=884617569"",""S5 Totals!$A$2:$O$255""),5,FALSE)"),0.0)</f>
        <v>0</v>
      </c>
      <c r="I151" s="143"/>
      <c r="J151" s="16">
        <f>IFERROR(__xludf.DUMMYFUNCTION("VLOOKUP(A151,IMPORTRANGE(""1QZ5UxyNCwadreQAXnQ7oCoH982DjIA-QnZdO7ZoqkC0/edit#gid=884617569"",""S5 Totals!$A$2:$O$255""),7,FALSE)"),0.0)</f>
        <v>0</v>
      </c>
      <c r="K151" s="15">
        <f>IFERROR(__xludf.DUMMYFUNCTION("VLOOKUP(A151,IMPORTRANGE(""1QZ5UxyNCwadreQAXnQ7oCoH982DjIA-QnZdO7ZoqkC0/edit#gid=884617569"",""S5 Totals!$A$2:$O$255""),8,FALSE)"),0.0)</f>
        <v>0</v>
      </c>
      <c r="L151" s="147"/>
      <c r="M151" s="16">
        <f>IFERROR(__xludf.DUMMYFUNCTION("VLOOKUP(A151,IMPORTRANGE(""1QZ5UxyNCwadreQAXnQ7oCoH982DjIA-QnZdO7ZoqkC0/edit#gid=884617569"",""S5 Totals!$A$2:$O$255""),10,FALSE)"),0.0)</f>
        <v>0</v>
      </c>
      <c r="N151" s="15">
        <f>IFERROR(__xludf.DUMMYFUNCTION("VLOOKUP(A151,IMPORTRANGE(""1QZ5UxyNCwadreQAXnQ7oCoH982DjIA-QnZdO7ZoqkC0/edit#gid=884617569"",""S5 Totals!$A$2:$O$255""),11,FALSE)"),0.0)</f>
        <v>0</v>
      </c>
      <c r="O151" s="110"/>
      <c r="P151" s="16" t="str">
        <f>IFERROR(__xludf.DUMMYFUNCTION("VLOOKUP(A151,IMPORTRANGE(""1QZ5UxyNCwadreQAXnQ7oCoH982DjIA-QnZdO7ZoqkC0/edit#gid=884617569"",""S5 Totals!$A$2:$O$255""),13,FALSE)"),"")</f>
        <v/>
      </c>
      <c r="Q151" s="15" t="str">
        <f>IFERROR(__xludf.DUMMYFUNCTION("VLOOKUP(A151,IMPORTRANGE(""1QZ5UxyNCwadreQAXnQ7oCoH982DjIA-QnZdO7ZoqkC0/edit#gid=884617569"",""S5 Totals!$A$2:$O$255""),14,FALSE)"),"")</f>
        <v/>
      </c>
      <c r="R151" s="110"/>
    </row>
    <row r="152">
      <c r="A152" s="128" t="s">
        <v>184</v>
      </c>
      <c r="B152" s="16">
        <f>IFERROR(__xludf.DUMMYFUNCTION("VLOOKUP(A152,IMPORTRANGE(""1aFCnJY1qhIj8-JckJhDJ18aqmVo17tofpQmOjcYa3u8/edit#gid=1878241338"",""S5 Totals!$A$2:$O$255""),2,FALSE)"),1.0)</f>
        <v>1</v>
      </c>
      <c r="C152" s="15">
        <f>IFERROR(__xludf.DUMMYFUNCTION("VLOOKUP(A152,IMPORTRANGE(""1aFCnJY1qhIj8-JckJhDJ18aqmVo17tofpQmOjcYa3u8/edit#gid=1878241338"",""S5 Totals!$A$2:$O$255""),3,FALSE)"),0.012048192771084338)</f>
        <v>0.01204819277</v>
      </c>
      <c r="D152" s="16">
        <f>IFERROR(__xludf.DUMMYFUNCTION("VLOOKUP(A152,IMPORTRANGE(""1QZ5UxyNCwadreQAXnQ7oCoH982DjIA-QnZdO7ZoqkC0/edit#gid=884617569"",""S5 Totals!$A$2:$O$255""),2,FALSE)"),3.0)</f>
        <v>3</v>
      </c>
      <c r="E152" s="15">
        <f>IFERROR(__xludf.DUMMYFUNCTION("VLOOKUP(A152,IMPORTRANGE(""1QZ5UxyNCwadreQAXnQ7oCoH982DjIA-QnZdO7ZoqkC0/edit#gid=884617569"",""S5 Totals!$A$2:$O$255""),3,FALSE)"),0.03614457831325301)</f>
        <v>0.03614457831</v>
      </c>
      <c r="F152" s="146">
        <f t="shared" si="1"/>
        <v>-0.02409638554</v>
      </c>
      <c r="G152" s="16">
        <f>IFERROR(__xludf.DUMMYFUNCTION("VLOOKUP(A152,IMPORTRANGE(""1QZ5UxyNCwadreQAXnQ7oCoH982DjIA-QnZdO7ZoqkC0/edit#gid=884617569"",""S5 Totals!$A$2:$O$255""),4,FALSE)"),0.0)</f>
        <v>0</v>
      </c>
      <c r="H152" s="15">
        <f>IFERROR(__xludf.DUMMYFUNCTION("VLOOKUP(A152,IMPORTRANGE(""1QZ5UxyNCwadreQAXnQ7oCoH982DjIA-QnZdO7ZoqkC0/edit#gid=884617569"",""S5 Totals!$A$2:$O$255""),5,FALSE)"),0.0)</f>
        <v>0</v>
      </c>
      <c r="I152" s="143"/>
      <c r="J152" s="16">
        <f>IFERROR(__xludf.DUMMYFUNCTION("VLOOKUP(A152,IMPORTRANGE(""1QZ5UxyNCwadreQAXnQ7oCoH982DjIA-QnZdO7ZoqkC0/edit#gid=884617569"",""S5 Totals!$A$2:$O$255""),7,FALSE)"),1.0)</f>
        <v>1</v>
      </c>
      <c r="K152" s="15">
        <f>IFERROR(__xludf.DUMMYFUNCTION("VLOOKUP(A152,IMPORTRANGE(""1QZ5UxyNCwadreQAXnQ7oCoH982DjIA-QnZdO7ZoqkC0/edit#gid=884617569"",""S5 Totals!$A$2:$O$255""),8,FALSE)"),0.029411764705882353)</f>
        <v>0.02941176471</v>
      </c>
      <c r="L152" s="147"/>
      <c r="M152" s="16" t="str">
        <f>IFERROR(__xludf.DUMMYFUNCTION("VLOOKUP(A152,IMPORTRANGE(""1QZ5UxyNCwadreQAXnQ7oCoH982DjIA-QnZdO7ZoqkC0/edit#gid=884617569"",""S5 Totals!$A$2:$O$255""),10,FALSE)"),"")</f>
        <v/>
      </c>
      <c r="N152" s="15" t="str">
        <f>IFERROR(__xludf.DUMMYFUNCTION("VLOOKUP(A152,IMPORTRANGE(""1QZ5UxyNCwadreQAXnQ7oCoH982DjIA-QnZdO7ZoqkC0/edit#gid=884617569"",""S5 Totals!$A$2:$O$255""),11,FALSE)"),"")</f>
        <v/>
      </c>
      <c r="O152" s="110"/>
      <c r="P152" s="16" t="str">
        <f>IFERROR(__xludf.DUMMYFUNCTION("VLOOKUP(A152,IMPORTRANGE(""1QZ5UxyNCwadreQAXnQ7oCoH982DjIA-QnZdO7ZoqkC0/edit#gid=884617569"",""S5 Totals!$A$2:$O$255""),13,FALSE)"),"")</f>
        <v/>
      </c>
      <c r="Q152" s="15" t="str">
        <f>IFERROR(__xludf.DUMMYFUNCTION("VLOOKUP(A152,IMPORTRANGE(""1QZ5UxyNCwadreQAXnQ7oCoH982DjIA-QnZdO7ZoqkC0/edit#gid=884617569"",""S5 Totals!$A$2:$O$255""),14,FALSE)"),"")</f>
        <v/>
      </c>
      <c r="R152" s="110"/>
    </row>
    <row r="153">
      <c r="A153" s="128" t="s">
        <v>185</v>
      </c>
      <c r="B153" s="16">
        <f>IFERROR(__xludf.DUMMYFUNCTION("VLOOKUP(A153,IMPORTRANGE(""1aFCnJY1qhIj8-JckJhDJ18aqmVo17tofpQmOjcYa3u8/edit#gid=1878241338"",""S5 Totals!$A$2:$O$255""),2,FALSE)"),0.0)</f>
        <v>0</v>
      </c>
      <c r="C153" s="15">
        <f>IFERROR(__xludf.DUMMYFUNCTION("VLOOKUP(A153,IMPORTRANGE(""1aFCnJY1qhIj8-JckJhDJ18aqmVo17tofpQmOjcYa3u8/edit#gid=1878241338"",""S5 Totals!$A$2:$O$255""),3,FALSE)"),0.0)</f>
        <v>0</v>
      </c>
      <c r="D153" s="16">
        <f>IFERROR(__xludf.DUMMYFUNCTION("VLOOKUP(A153,IMPORTRANGE(""1QZ5UxyNCwadreQAXnQ7oCoH982DjIA-QnZdO7ZoqkC0/edit#gid=884617569"",""S5 Totals!$A$2:$O$255""),2,FALSE)"),0.0)</f>
        <v>0</v>
      </c>
      <c r="E153" s="15">
        <f>IFERROR(__xludf.DUMMYFUNCTION("VLOOKUP(A153,IMPORTRANGE(""1QZ5UxyNCwadreQAXnQ7oCoH982DjIA-QnZdO7ZoqkC0/edit#gid=884617569"",""S5 Totals!$A$2:$O$255""),3,FALSE)"),0.0)</f>
        <v>0</v>
      </c>
      <c r="F153" s="146">
        <f t="shared" si="1"/>
        <v>0</v>
      </c>
      <c r="G153" s="16">
        <f>IFERROR(__xludf.DUMMYFUNCTION("VLOOKUP(A153,IMPORTRANGE(""1QZ5UxyNCwadreQAXnQ7oCoH982DjIA-QnZdO7ZoqkC0/edit#gid=884617569"",""S5 Totals!$A$2:$O$255""),4,FALSE)"),0.0)</f>
        <v>0</v>
      </c>
      <c r="H153" s="15">
        <f>IFERROR(__xludf.DUMMYFUNCTION("VLOOKUP(A153,IMPORTRANGE(""1QZ5UxyNCwadreQAXnQ7oCoH982DjIA-QnZdO7ZoqkC0/edit#gid=884617569"",""S5 Totals!$A$2:$O$255""),5,FALSE)"),0.0)</f>
        <v>0</v>
      </c>
      <c r="I153" s="143"/>
      <c r="J153" s="16">
        <f>IFERROR(__xludf.DUMMYFUNCTION("VLOOKUP(A153,IMPORTRANGE(""1QZ5UxyNCwadreQAXnQ7oCoH982DjIA-QnZdO7ZoqkC0/edit#gid=884617569"",""S5 Totals!$A$2:$O$255""),7,FALSE)"),0.0)</f>
        <v>0</v>
      </c>
      <c r="K153" s="15">
        <f>IFERROR(__xludf.DUMMYFUNCTION("VLOOKUP(A153,IMPORTRANGE(""1QZ5UxyNCwadreQAXnQ7oCoH982DjIA-QnZdO7ZoqkC0/edit#gid=884617569"",""S5 Totals!$A$2:$O$255""),8,FALSE)"),0.0)</f>
        <v>0</v>
      </c>
      <c r="L153" s="147"/>
      <c r="M153" s="16" t="str">
        <f>IFERROR(__xludf.DUMMYFUNCTION("VLOOKUP(A153,IMPORTRANGE(""1QZ5UxyNCwadreQAXnQ7oCoH982DjIA-QnZdO7ZoqkC0/edit#gid=884617569"",""S5 Totals!$A$2:$O$255""),10,FALSE)"),"")</f>
        <v/>
      </c>
      <c r="N153" s="15" t="str">
        <f>IFERROR(__xludf.DUMMYFUNCTION("VLOOKUP(A153,IMPORTRANGE(""1QZ5UxyNCwadreQAXnQ7oCoH982DjIA-QnZdO7ZoqkC0/edit#gid=884617569"",""S5 Totals!$A$2:$O$255""),11,FALSE)"),"")</f>
        <v/>
      </c>
      <c r="O153" s="110"/>
      <c r="P153" s="16" t="str">
        <f>IFERROR(__xludf.DUMMYFUNCTION("VLOOKUP(A153,IMPORTRANGE(""1QZ5UxyNCwadreQAXnQ7oCoH982DjIA-QnZdO7ZoqkC0/edit#gid=884617569"",""S5 Totals!$A$2:$O$255""),13,FALSE)"),"")</f>
        <v/>
      </c>
      <c r="Q153" s="15" t="str">
        <f>IFERROR(__xludf.DUMMYFUNCTION("VLOOKUP(A153,IMPORTRANGE(""1QZ5UxyNCwadreQAXnQ7oCoH982DjIA-QnZdO7ZoqkC0/edit#gid=884617569"",""S5 Totals!$A$2:$O$255""),14,FALSE)"),"")</f>
        <v/>
      </c>
      <c r="R153" s="110"/>
    </row>
    <row r="154">
      <c r="A154" s="128" t="s">
        <v>22</v>
      </c>
      <c r="B154" s="16">
        <f>IFERROR(__xludf.DUMMYFUNCTION("VLOOKUP(A154,IMPORTRANGE(""1aFCnJY1qhIj8-JckJhDJ18aqmVo17tofpQmOjcYa3u8/edit#gid=1878241338"",""S5 Totals!$A$2:$O$255""),2,FALSE)"),0.0)</f>
        <v>0</v>
      </c>
      <c r="C154" s="15">
        <f>IFERROR(__xludf.DUMMYFUNCTION("VLOOKUP(A154,IMPORTRANGE(""1aFCnJY1qhIj8-JckJhDJ18aqmVo17tofpQmOjcYa3u8/edit#gid=1878241338"",""S5 Totals!$A$2:$O$255""),3,FALSE)"),0.0)</f>
        <v>0</v>
      </c>
      <c r="D154" s="16">
        <f>IFERROR(__xludf.DUMMYFUNCTION("VLOOKUP(A154,IMPORTRANGE(""1QZ5UxyNCwadreQAXnQ7oCoH982DjIA-QnZdO7ZoqkC0/edit#gid=884617569"",""S5 Totals!$A$2:$O$255""),2,FALSE)"),0.0)</f>
        <v>0</v>
      </c>
      <c r="E154" s="15">
        <f>IFERROR(__xludf.DUMMYFUNCTION("VLOOKUP(A154,IMPORTRANGE(""1QZ5UxyNCwadreQAXnQ7oCoH982DjIA-QnZdO7ZoqkC0/edit#gid=884617569"",""S5 Totals!$A$2:$O$255""),3,FALSE)"),0.0)</f>
        <v>0</v>
      </c>
      <c r="F154" s="146">
        <f t="shared" si="1"/>
        <v>0</v>
      </c>
      <c r="G154" s="16">
        <f>IFERROR(__xludf.DUMMYFUNCTION("VLOOKUP(A154,IMPORTRANGE(""1QZ5UxyNCwadreQAXnQ7oCoH982DjIA-QnZdO7ZoqkC0/edit#gid=884617569"",""S5 Totals!$A$2:$O$255""),4,FALSE)"),0.0)</f>
        <v>0</v>
      </c>
      <c r="H154" s="15">
        <f>IFERROR(__xludf.DUMMYFUNCTION("VLOOKUP(A154,IMPORTRANGE(""1QZ5UxyNCwadreQAXnQ7oCoH982DjIA-QnZdO7ZoqkC0/edit#gid=884617569"",""S5 Totals!$A$2:$O$255""),5,FALSE)"),0.0)</f>
        <v>0</v>
      </c>
      <c r="I154" s="143"/>
      <c r="J154" s="16">
        <f>IFERROR(__xludf.DUMMYFUNCTION("VLOOKUP(A154,IMPORTRANGE(""1QZ5UxyNCwadreQAXnQ7oCoH982DjIA-QnZdO7ZoqkC0/edit#gid=884617569"",""S5 Totals!$A$2:$O$255""),7,FALSE)"),0.0)</f>
        <v>0</v>
      </c>
      <c r="K154" s="15">
        <f>IFERROR(__xludf.DUMMYFUNCTION("VLOOKUP(A154,IMPORTRANGE(""1QZ5UxyNCwadreQAXnQ7oCoH982DjIA-QnZdO7ZoqkC0/edit#gid=884617569"",""S5 Totals!$A$2:$O$255""),8,FALSE)"),0.0)</f>
        <v>0</v>
      </c>
      <c r="L154" s="147"/>
      <c r="M154" s="16">
        <f>IFERROR(__xludf.DUMMYFUNCTION("VLOOKUP(A154,IMPORTRANGE(""1QZ5UxyNCwadreQAXnQ7oCoH982DjIA-QnZdO7ZoqkC0/edit#gid=884617569"",""S5 Totals!$A$2:$O$255""),10,FALSE)"),0.0)</f>
        <v>0</v>
      </c>
      <c r="N154" s="15">
        <f>IFERROR(__xludf.DUMMYFUNCTION("VLOOKUP(A154,IMPORTRANGE(""1QZ5UxyNCwadreQAXnQ7oCoH982DjIA-QnZdO7ZoqkC0/edit#gid=884617569"",""S5 Totals!$A$2:$O$255""),11,FALSE)"),0.0)</f>
        <v>0</v>
      </c>
      <c r="O154" s="110"/>
      <c r="P154" s="16">
        <f>IFERROR(__xludf.DUMMYFUNCTION("VLOOKUP(A154,IMPORTRANGE(""1QZ5UxyNCwadreQAXnQ7oCoH982DjIA-QnZdO7ZoqkC0/edit#gid=884617569"",""S5 Totals!$A$2:$O$255""),13,FALSE)"),0.0)</f>
        <v>0</v>
      </c>
      <c r="Q154" s="15">
        <f>IFERROR(__xludf.DUMMYFUNCTION("VLOOKUP(A154,IMPORTRANGE(""1QZ5UxyNCwadreQAXnQ7oCoH982DjIA-QnZdO7ZoqkC0/edit#gid=884617569"",""S5 Totals!$A$2:$O$255""),14,FALSE)"),0.0)</f>
        <v>0</v>
      </c>
      <c r="R154" s="110"/>
    </row>
    <row r="155">
      <c r="A155" s="128" t="s">
        <v>100</v>
      </c>
      <c r="B155" s="16">
        <f>IFERROR(__xludf.DUMMYFUNCTION("VLOOKUP(A155,IMPORTRANGE(""1aFCnJY1qhIj8-JckJhDJ18aqmVo17tofpQmOjcYa3u8/edit#gid=1878241338"",""S5 Totals!$A$2:$O$255""),2,FALSE)"),6.0)</f>
        <v>6</v>
      </c>
      <c r="C155" s="15">
        <f>IFERROR(__xludf.DUMMYFUNCTION("VLOOKUP(A155,IMPORTRANGE(""1aFCnJY1qhIj8-JckJhDJ18aqmVo17tofpQmOjcYa3u8/edit#gid=1878241338"",""S5 Totals!$A$2:$O$255""),3,FALSE)"),0.07228915662650602)</f>
        <v>0.07228915663</v>
      </c>
      <c r="D155" s="16">
        <f>IFERROR(__xludf.DUMMYFUNCTION("VLOOKUP(A155,IMPORTRANGE(""1QZ5UxyNCwadreQAXnQ7oCoH982DjIA-QnZdO7ZoqkC0/edit#gid=884617569"",""S5 Totals!$A$2:$O$255""),2,FALSE)"),7.0)</f>
        <v>7</v>
      </c>
      <c r="E155" s="15">
        <f>IFERROR(__xludf.DUMMYFUNCTION("VLOOKUP(A155,IMPORTRANGE(""1QZ5UxyNCwadreQAXnQ7oCoH982DjIA-QnZdO7ZoqkC0/edit#gid=884617569"",""S5 Totals!$A$2:$O$255""),3,FALSE)"),0.08433734939759036)</f>
        <v>0.0843373494</v>
      </c>
      <c r="F155" s="146">
        <f t="shared" si="1"/>
        <v>-0.01204819277</v>
      </c>
      <c r="G155" s="16">
        <f>IFERROR(__xludf.DUMMYFUNCTION("VLOOKUP(A155,IMPORTRANGE(""1QZ5UxyNCwadreQAXnQ7oCoH982DjIA-QnZdO7ZoqkC0/edit#gid=884617569"",""S5 Totals!$A$2:$O$255""),4,FALSE)"),0.0)</f>
        <v>0</v>
      </c>
      <c r="H155" s="15">
        <f>IFERROR(__xludf.DUMMYFUNCTION("VLOOKUP(A155,IMPORTRANGE(""1QZ5UxyNCwadreQAXnQ7oCoH982DjIA-QnZdO7ZoqkC0/edit#gid=884617569"",""S5 Totals!$A$2:$O$255""),5,FALSE)"),0.0)</f>
        <v>0</v>
      </c>
      <c r="I155" s="143"/>
      <c r="J155" s="16">
        <f>IFERROR(__xludf.DUMMYFUNCTION("VLOOKUP(A155,IMPORTRANGE(""1QZ5UxyNCwadreQAXnQ7oCoH982DjIA-QnZdO7ZoqkC0/edit#gid=884617569"",""S5 Totals!$A$2:$O$255""),7,FALSE)"),0.0)</f>
        <v>0</v>
      </c>
      <c r="K155" s="15">
        <f>IFERROR(__xludf.DUMMYFUNCTION("VLOOKUP(A155,IMPORTRANGE(""1QZ5UxyNCwadreQAXnQ7oCoH982DjIA-QnZdO7ZoqkC0/edit#gid=884617569"",""S5 Totals!$A$2:$O$255""),8,FALSE)"),0.0)</f>
        <v>0</v>
      </c>
      <c r="L155" s="147"/>
      <c r="M155" s="16">
        <f>IFERROR(__xludf.DUMMYFUNCTION("VLOOKUP(A155,IMPORTRANGE(""1QZ5UxyNCwadreQAXnQ7oCoH982DjIA-QnZdO7ZoqkC0/edit#gid=884617569"",""S5 Totals!$A$2:$O$255""),10,FALSE)"),0.0)</f>
        <v>0</v>
      </c>
      <c r="N155" s="15">
        <f>IFERROR(__xludf.DUMMYFUNCTION("VLOOKUP(A155,IMPORTRANGE(""1QZ5UxyNCwadreQAXnQ7oCoH982DjIA-QnZdO7ZoqkC0/edit#gid=884617569"",""S5 Totals!$A$2:$O$255""),11,FALSE)"),0.0)</f>
        <v>0</v>
      </c>
      <c r="O155" s="110"/>
      <c r="P155" s="16">
        <f>IFERROR(__xludf.DUMMYFUNCTION("VLOOKUP(A155,IMPORTRANGE(""1QZ5UxyNCwadreQAXnQ7oCoH982DjIA-QnZdO7ZoqkC0/edit#gid=884617569"",""S5 Totals!$A$2:$O$255""),13,FALSE)"),0.0)</f>
        <v>0</v>
      </c>
      <c r="Q155" s="15">
        <f>IFERROR(__xludf.DUMMYFUNCTION("VLOOKUP(A155,IMPORTRANGE(""1QZ5UxyNCwadreQAXnQ7oCoH982DjIA-QnZdO7ZoqkC0/edit#gid=884617569"",""S5 Totals!$A$2:$O$255""),14,FALSE)"),0.0)</f>
        <v>0</v>
      </c>
      <c r="R155" s="110"/>
    </row>
    <row r="156">
      <c r="A156" s="128" t="s">
        <v>76</v>
      </c>
      <c r="B156" s="16">
        <f>IFERROR(__xludf.DUMMYFUNCTION("VLOOKUP(A156,IMPORTRANGE(""1aFCnJY1qhIj8-JckJhDJ18aqmVo17tofpQmOjcYa3u8/edit#gid=1878241338"",""S5 Totals!$A$2:$O$255""),2,FALSE)"),16.0)</f>
        <v>16</v>
      </c>
      <c r="C156" s="15">
        <f>IFERROR(__xludf.DUMMYFUNCTION("VLOOKUP(A156,IMPORTRANGE(""1aFCnJY1qhIj8-JckJhDJ18aqmVo17tofpQmOjcYa3u8/edit#gid=1878241338"",""S5 Totals!$A$2:$O$255""),3,FALSE)"),0.1927710843373494)</f>
        <v>0.1927710843</v>
      </c>
      <c r="D156" s="16">
        <f>IFERROR(__xludf.DUMMYFUNCTION("VLOOKUP(A156,IMPORTRANGE(""1QZ5UxyNCwadreQAXnQ7oCoH982DjIA-QnZdO7ZoqkC0/edit#gid=884617569"",""S5 Totals!$A$2:$O$255""),2,FALSE)"),11.0)</f>
        <v>11</v>
      </c>
      <c r="E156" s="15">
        <f>IFERROR(__xludf.DUMMYFUNCTION("VLOOKUP(A156,IMPORTRANGE(""1QZ5UxyNCwadreQAXnQ7oCoH982DjIA-QnZdO7ZoqkC0/edit#gid=884617569"",""S5 Totals!$A$2:$O$255""),3,FALSE)"),0.13253012048192772)</f>
        <v>0.1325301205</v>
      </c>
      <c r="F156" s="146">
        <f t="shared" si="1"/>
        <v>0.06024096386</v>
      </c>
      <c r="G156" s="16">
        <f>IFERROR(__xludf.DUMMYFUNCTION("VLOOKUP(A156,IMPORTRANGE(""1QZ5UxyNCwadreQAXnQ7oCoH982DjIA-QnZdO7ZoqkC0/edit#gid=884617569"",""S5 Totals!$A$2:$O$255""),4,FALSE)"),8.0)</f>
        <v>8</v>
      </c>
      <c r="H156" s="15">
        <f>IFERROR(__xludf.DUMMYFUNCTION("VLOOKUP(A156,IMPORTRANGE(""1QZ5UxyNCwadreQAXnQ7oCoH982DjIA-QnZdO7ZoqkC0/edit#gid=884617569"",""S5 Totals!$A$2:$O$255""),5,FALSE)"),0.16326530612244897)</f>
        <v>0.1632653061</v>
      </c>
      <c r="I156" s="143"/>
      <c r="J156" s="16">
        <f>IFERROR(__xludf.DUMMYFUNCTION("VLOOKUP(A156,IMPORTRANGE(""1QZ5UxyNCwadreQAXnQ7oCoH982DjIA-QnZdO7ZoqkC0/edit#gid=884617569"",""S5 Totals!$A$2:$O$255""),7,FALSE)"),8.0)</f>
        <v>8</v>
      </c>
      <c r="K156" s="15">
        <f>IFERROR(__xludf.DUMMYFUNCTION("VLOOKUP(A156,IMPORTRANGE(""1QZ5UxyNCwadreQAXnQ7oCoH982DjIA-QnZdO7ZoqkC0/edit#gid=884617569"",""S5 Totals!$A$2:$O$255""),8,FALSE)"),0.23529411764705882)</f>
        <v>0.2352941176</v>
      </c>
      <c r="L156" s="147"/>
      <c r="M156" s="16">
        <f>IFERROR(__xludf.DUMMYFUNCTION("VLOOKUP(A156,IMPORTRANGE(""1QZ5UxyNCwadreQAXnQ7oCoH982DjIA-QnZdO7ZoqkC0/edit#gid=884617569"",""S5 Totals!$A$2:$O$255""),10,FALSE)"),2.0)</f>
        <v>2</v>
      </c>
      <c r="N156" s="15">
        <f>IFERROR(__xludf.DUMMYFUNCTION("VLOOKUP(A156,IMPORTRANGE(""1QZ5UxyNCwadreQAXnQ7oCoH982DjIA-QnZdO7ZoqkC0/edit#gid=884617569"",""S5 Totals!$A$2:$O$255""),11,FALSE)"),0.06666666666666667)</f>
        <v>0.06666666667</v>
      </c>
      <c r="O156" s="110"/>
      <c r="P156" s="16">
        <f>IFERROR(__xludf.DUMMYFUNCTION("VLOOKUP(A156,IMPORTRANGE(""1QZ5UxyNCwadreQAXnQ7oCoH982DjIA-QnZdO7ZoqkC0/edit#gid=884617569"",""S5 Totals!$A$2:$O$255""),13,FALSE)"),0.0)</f>
        <v>0</v>
      </c>
      <c r="Q156" s="15">
        <f>IFERROR(__xludf.DUMMYFUNCTION("VLOOKUP(A156,IMPORTRANGE(""1QZ5UxyNCwadreQAXnQ7oCoH982DjIA-QnZdO7ZoqkC0/edit#gid=884617569"",""S5 Totals!$A$2:$O$255""),14,FALSE)"),0.0)</f>
        <v>0</v>
      </c>
      <c r="R156" s="110"/>
    </row>
    <row r="157">
      <c r="A157" s="128" t="s">
        <v>186</v>
      </c>
      <c r="B157" s="16">
        <f>IFERROR(__xludf.DUMMYFUNCTION("VLOOKUP(A157,IMPORTRANGE(""1aFCnJY1qhIj8-JckJhDJ18aqmVo17tofpQmOjcYa3u8/edit#gid=1878241338"",""S5 Totals!$A$2:$O$255""),2,FALSE)"),7.0)</f>
        <v>7</v>
      </c>
      <c r="C157" s="15">
        <f>IFERROR(__xludf.DUMMYFUNCTION("VLOOKUP(A157,IMPORTRANGE(""1aFCnJY1qhIj8-JckJhDJ18aqmVo17tofpQmOjcYa3u8/edit#gid=1878241338"",""S5 Totals!$A$2:$O$255""),3,FALSE)"),0.08433734939759036)</f>
        <v>0.0843373494</v>
      </c>
      <c r="D157" s="16">
        <f>IFERROR(__xludf.DUMMYFUNCTION("VLOOKUP(A157,IMPORTRANGE(""1QZ5UxyNCwadreQAXnQ7oCoH982DjIA-QnZdO7ZoqkC0/edit#gid=884617569"",""S5 Totals!$A$2:$O$255""),2,FALSE)"),10.0)</f>
        <v>10</v>
      </c>
      <c r="E157" s="15">
        <f>IFERROR(__xludf.DUMMYFUNCTION("VLOOKUP(A157,IMPORTRANGE(""1QZ5UxyNCwadreQAXnQ7oCoH982DjIA-QnZdO7ZoqkC0/edit#gid=884617569"",""S5 Totals!$A$2:$O$255""),3,FALSE)"),0.12048192771084337)</f>
        <v>0.1204819277</v>
      </c>
      <c r="F157" s="146">
        <f t="shared" si="1"/>
        <v>-0.03614457831</v>
      </c>
      <c r="G157" s="16">
        <f>IFERROR(__xludf.DUMMYFUNCTION("VLOOKUP(A157,IMPORTRANGE(""1QZ5UxyNCwadreQAXnQ7oCoH982DjIA-QnZdO7ZoqkC0/edit#gid=884617569"",""S5 Totals!$A$2:$O$255""),4,FALSE)"),3.0)</f>
        <v>3</v>
      </c>
      <c r="H157" s="15">
        <f>IFERROR(__xludf.DUMMYFUNCTION("VLOOKUP(A157,IMPORTRANGE(""1QZ5UxyNCwadreQAXnQ7oCoH982DjIA-QnZdO7ZoqkC0/edit#gid=884617569"",""S5 Totals!$A$2:$O$255""),5,FALSE)"),0.061224489795918366)</f>
        <v>0.0612244898</v>
      </c>
      <c r="I157" s="143"/>
      <c r="J157" s="16">
        <f>IFERROR(__xludf.DUMMYFUNCTION("VLOOKUP(A157,IMPORTRANGE(""1QZ5UxyNCwadreQAXnQ7oCoH982DjIA-QnZdO7ZoqkC0/edit#gid=884617569"",""S5 Totals!$A$2:$O$255""),7,FALSE)"),5.0)</f>
        <v>5</v>
      </c>
      <c r="K157" s="15">
        <f>IFERROR(__xludf.DUMMYFUNCTION("VLOOKUP(A157,IMPORTRANGE(""1QZ5UxyNCwadreQAXnQ7oCoH982DjIA-QnZdO7ZoqkC0/edit#gid=884617569"",""S5 Totals!$A$2:$O$255""),8,FALSE)"),0.14705882352941177)</f>
        <v>0.1470588235</v>
      </c>
      <c r="L157" s="147"/>
      <c r="M157" s="16" t="str">
        <f>IFERROR(__xludf.DUMMYFUNCTION("VLOOKUP(A157,IMPORTRANGE(""1QZ5UxyNCwadreQAXnQ7oCoH982DjIA-QnZdO7ZoqkC0/edit#gid=884617569"",""S5 Totals!$A$2:$O$255""),10,FALSE)"),"")</f>
        <v/>
      </c>
      <c r="N157" s="15" t="str">
        <f>IFERROR(__xludf.DUMMYFUNCTION("VLOOKUP(A157,IMPORTRANGE(""1QZ5UxyNCwadreQAXnQ7oCoH982DjIA-QnZdO7ZoqkC0/edit#gid=884617569"",""S5 Totals!$A$2:$O$255""),11,FALSE)"),"")</f>
        <v/>
      </c>
      <c r="O157" s="110"/>
      <c r="P157" s="16" t="str">
        <f>IFERROR(__xludf.DUMMYFUNCTION("VLOOKUP(A157,IMPORTRANGE(""1QZ5UxyNCwadreQAXnQ7oCoH982DjIA-QnZdO7ZoqkC0/edit#gid=884617569"",""S5 Totals!$A$2:$O$255""),13,FALSE)"),"")</f>
        <v/>
      </c>
      <c r="Q157" s="15" t="str">
        <f>IFERROR(__xludf.DUMMYFUNCTION("VLOOKUP(A157,IMPORTRANGE(""1QZ5UxyNCwadreQAXnQ7oCoH982DjIA-QnZdO7ZoqkC0/edit#gid=884617569"",""S5 Totals!$A$2:$O$255""),14,FALSE)"),"")</f>
        <v/>
      </c>
      <c r="R157" s="110"/>
    </row>
    <row r="158">
      <c r="A158" s="128" t="s">
        <v>187</v>
      </c>
      <c r="B158" s="16">
        <f>IFERROR(__xludf.DUMMYFUNCTION("VLOOKUP(A158,IMPORTRANGE(""1aFCnJY1qhIj8-JckJhDJ18aqmVo17tofpQmOjcYa3u8/edit#gid=1878241338"",""S5 Totals!$A$2:$O$255""),2,FALSE)"),11.0)</f>
        <v>11</v>
      </c>
      <c r="C158" s="15">
        <f>IFERROR(__xludf.DUMMYFUNCTION("VLOOKUP(A158,IMPORTRANGE(""1aFCnJY1qhIj8-JckJhDJ18aqmVo17tofpQmOjcYa3u8/edit#gid=1878241338"",""S5 Totals!$A$2:$O$255""),3,FALSE)"),0.13253012048192772)</f>
        <v>0.1325301205</v>
      </c>
      <c r="D158" s="16">
        <f>IFERROR(__xludf.DUMMYFUNCTION("VLOOKUP(A158,IMPORTRANGE(""1QZ5UxyNCwadreQAXnQ7oCoH982DjIA-QnZdO7ZoqkC0/edit#gid=884617569"",""S5 Totals!$A$2:$O$255""),2,FALSE)"),10.0)</f>
        <v>10</v>
      </c>
      <c r="E158" s="15">
        <f>IFERROR(__xludf.DUMMYFUNCTION("VLOOKUP(A158,IMPORTRANGE(""1QZ5UxyNCwadreQAXnQ7oCoH982DjIA-QnZdO7ZoqkC0/edit#gid=884617569"",""S5 Totals!$A$2:$O$255""),3,FALSE)"),0.12048192771084337)</f>
        <v>0.1204819277</v>
      </c>
      <c r="F158" s="146">
        <f t="shared" si="1"/>
        <v>0.01204819277</v>
      </c>
      <c r="G158" s="16">
        <f>IFERROR(__xludf.DUMMYFUNCTION("VLOOKUP(A158,IMPORTRANGE(""1QZ5UxyNCwadreQAXnQ7oCoH982DjIA-QnZdO7ZoqkC0/edit#gid=884617569"",""S5 Totals!$A$2:$O$255""),4,FALSE)"),2.0)</f>
        <v>2</v>
      </c>
      <c r="H158" s="15">
        <f>IFERROR(__xludf.DUMMYFUNCTION("VLOOKUP(A158,IMPORTRANGE(""1QZ5UxyNCwadreQAXnQ7oCoH982DjIA-QnZdO7ZoqkC0/edit#gid=884617569"",""S5 Totals!$A$2:$O$255""),5,FALSE)"),0.04081632653061224)</f>
        <v>0.04081632653</v>
      </c>
      <c r="I158" s="143"/>
      <c r="J158" s="16">
        <f>IFERROR(__xludf.DUMMYFUNCTION("VLOOKUP(A158,IMPORTRANGE(""1QZ5UxyNCwadreQAXnQ7oCoH982DjIA-QnZdO7ZoqkC0/edit#gid=884617569"",""S5 Totals!$A$2:$O$255""),7,FALSE)"),3.0)</f>
        <v>3</v>
      </c>
      <c r="K158" s="15">
        <f>IFERROR(__xludf.DUMMYFUNCTION("VLOOKUP(A158,IMPORTRANGE(""1QZ5UxyNCwadreQAXnQ7oCoH982DjIA-QnZdO7ZoqkC0/edit#gid=884617569"",""S5 Totals!$A$2:$O$255""),8,FALSE)"),0.08823529411764706)</f>
        <v>0.08823529412</v>
      </c>
      <c r="L158" s="147"/>
      <c r="M158" s="16" t="str">
        <f>IFERROR(__xludf.DUMMYFUNCTION("VLOOKUP(A158,IMPORTRANGE(""1QZ5UxyNCwadreQAXnQ7oCoH982DjIA-QnZdO7ZoqkC0/edit#gid=884617569"",""S5 Totals!$A$2:$O$255""),10,FALSE)"),"")</f>
        <v/>
      </c>
      <c r="N158" s="15" t="str">
        <f>IFERROR(__xludf.DUMMYFUNCTION("VLOOKUP(A158,IMPORTRANGE(""1QZ5UxyNCwadreQAXnQ7oCoH982DjIA-QnZdO7ZoqkC0/edit#gid=884617569"",""S5 Totals!$A$2:$O$255""),11,FALSE)"),"")</f>
        <v/>
      </c>
      <c r="O158" s="110"/>
      <c r="P158" s="16" t="str">
        <f>IFERROR(__xludf.DUMMYFUNCTION("VLOOKUP(A158,IMPORTRANGE(""1QZ5UxyNCwadreQAXnQ7oCoH982DjIA-QnZdO7ZoqkC0/edit#gid=884617569"",""S5 Totals!$A$2:$O$255""),13,FALSE)"),"")</f>
        <v/>
      </c>
      <c r="Q158" s="15" t="str">
        <f>IFERROR(__xludf.DUMMYFUNCTION("VLOOKUP(A158,IMPORTRANGE(""1QZ5UxyNCwadreQAXnQ7oCoH982DjIA-QnZdO7ZoqkC0/edit#gid=884617569"",""S5 Totals!$A$2:$O$255""),14,FALSE)"),"")</f>
        <v/>
      </c>
      <c r="R158" s="110"/>
    </row>
    <row r="159">
      <c r="A159" s="128" t="s">
        <v>140</v>
      </c>
      <c r="B159" s="16">
        <f>IFERROR(__xludf.DUMMYFUNCTION("VLOOKUP(A159,IMPORTRANGE(""1aFCnJY1qhIj8-JckJhDJ18aqmVo17tofpQmOjcYa3u8/edit#gid=1878241338"",""S5 Totals!$A$2:$O$255""),2,FALSE)"),9.0)</f>
        <v>9</v>
      </c>
      <c r="C159" s="15">
        <f>IFERROR(__xludf.DUMMYFUNCTION("VLOOKUP(A159,IMPORTRANGE(""1aFCnJY1qhIj8-JckJhDJ18aqmVo17tofpQmOjcYa3u8/edit#gid=1878241338"",""S5 Totals!$A$2:$O$255""),3,FALSE)"),0.10843373493975904)</f>
        <v>0.1084337349</v>
      </c>
      <c r="D159" s="16">
        <f>IFERROR(__xludf.DUMMYFUNCTION("VLOOKUP(A159,IMPORTRANGE(""1QZ5UxyNCwadreQAXnQ7oCoH982DjIA-QnZdO7ZoqkC0/edit#gid=884617569"",""S5 Totals!$A$2:$O$255""),2,FALSE)"),9.0)</f>
        <v>9</v>
      </c>
      <c r="E159" s="15">
        <f>IFERROR(__xludf.DUMMYFUNCTION("VLOOKUP(A159,IMPORTRANGE(""1QZ5UxyNCwadreQAXnQ7oCoH982DjIA-QnZdO7ZoqkC0/edit#gid=884617569"",""S5 Totals!$A$2:$O$255""),3,FALSE)"),0.10843373493975904)</f>
        <v>0.1084337349</v>
      </c>
      <c r="F159" s="146">
        <f t="shared" si="1"/>
        <v>0</v>
      </c>
      <c r="G159" s="16">
        <f>IFERROR(__xludf.DUMMYFUNCTION("VLOOKUP(A159,IMPORTRANGE(""1QZ5UxyNCwadreQAXnQ7oCoH982DjIA-QnZdO7ZoqkC0/edit#gid=884617569"",""S5 Totals!$A$2:$O$255""),4,FALSE)"),5.0)</f>
        <v>5</v>
      </c>
      <c r="H159" s="15">
        <f>IFERROR(__xludf.DUMMYFUNCTION("VLOOKUP(A159,IMPORTRANGE(""1QZ5UxyNCwadreQAXnQ7oCoH982DjIA-QnZdO7ZoqkC0/edit#gid=884617569"",""S5 Totals!$A$2:$O$255""),5,FALSE)"),0.10204081632653061)</f>
        <v>0.1020408163</v>
      </c>
      <c r="I159" s="143"/>
      <c r="J159" s="16">
        <f>IFERROR(__xludf.DUMMYFUNCTION("VLOOKUP(A159,IMPORTRANGE(""1QZ5UxyNCwadreQAXnQ7oCoH982DjIA-QnZdO7ZoqkC0/edit#gid=884617569"",""S5 Totals!$A$2:$O$255""),7,FALSE)"),5.0)</f>
        <v>5</v>
      </c>
      <c r="K159" s="15">
        <f>IFERROR(__xludf.DUMMYFUNCTION("VLOOKUP(A159,IMPORTRANGE(""1QZ5UxyNCwadreQAXnQ7oCoH982DjIA-QnZdO7ZoqkC0/edit#gid=884617569"",""S5 Totals!$A$2:$O$255""),8,FALSE)"),0.14705882352941177)</f>
        <v>0.1470588235</v>
      </c>
      <c r="L159" s="147"/>
      <c r="M159" s="16">
        <f>IFERROR(__xludf.DUMMYFUNCTION("VLOOKUP(A159,IMPORTRANGE(""1QZ5UxyNCwadreQAXnQ7oCoH982DjIA-QnZdO7ZoqkC0/edit#gid=884617569"",""S5 Totals!$A$2:$O$255""),10,FALSE)"),2.0)</f>
        <v>2</v>
      </c>
      <c r="N159" s="15">
        <f>IFERROR(__xludf.DUMMYFUNCTION("VLOOKUP(A159,IMPORTRANGE(""1QZ5UxyNCwadreQAXnQ7oCoH982DjIA-QnZdO7ZoqkC0/edit#gid=884617569"",""S5 Totals!$A$2:$O$255""),11,FALSE)"),0.06666666666666667)</f>
        <v>0.06666666667</v>
      </c>
      <c r="O159" s="110"/>
      <c r="P159" s="16" t="str">
        <f>IFERROR(__xludf.DUMMYFUNCTION("VLOOKUP(A159,IMPORTRANGE(""1QZ5UxyNCwadreQAXnQ7oCoH982DjIA-QnZdO7ZoqkC0/edit#gid=884617569"",""S5 Totals!$A$2:$O$255""),13,FALSE)"),"")</f>
        <v/>
      </c>
      <c r="Q159" s="15" t="str">
        <f>IFERROR(__xludf.DUMMYFUNCTION("VLOOKUP(A159,IMPORTRANGE(""1QZ5UxyNCwadreQAXnQ7oCoH982DjIA-QnZdO7ZoqkC0/edit#gid=884617569"",""S5 Totals!$A$2:$O$255""),14,FALSE)"),"")</f>
        <v/>
      </c>
      <c r="R159" s="110"/>
    </row>
    <row r="160">
      <c r="A160" s="128" t="s">
        <v>244</v>
      </c>
      <c r="B160" s="16">
        <f>IFERROR(__xludf.DUMMYFUNCTION("VLOOKUP(A160,IMPORTRANGE(""1aFCnJY1qhIj8-JckJhDJ18aqmVo17tofpQmOjcYa3u8/edit#gid=1878241338"",""S5 Totals!$A$2:$O$255""),2,FALSE)"),17.0)</f>
        <v>17</v>
      </c>
      <c r="C160" s="15">
        <f>IFERROR(__xludf.DUMMYFUNCTION("VLOOKUP(A160,IMPORTRANGE(""1aFCnJY1qhIj8-JckJhDJ18aqmVo17tofpQmOjcYa3u8/edit#gid=1878241338"",""S5 Totals!$A$2:$O$255""),3,FALSE)"),0.20481927710843373)</f>
        <v>0.2048192771</v>
      </c>
      <c r="D160" s="16">
        <f>IFERROR(__xludf.DUMMYFUNCTION("VLOOKUP(A160,IMPORTRANGE(""1QZ5UxyNCwadreQAXnQ7oCoH982DjIA-QnZdO7ZoqkC0/edit#gid=884617569"",""S5 Totals!$A$2:$O$255""),2,FALSE)"),17.0)</f>
        <v>17</v>
      </c>
      <c r="E160" s="15">
        <f>IFERROR(__xludf.DUMMYFUNCTION("VLOOKUP(A160,IMPORTRANGE(""1QZ5UxyNCwadreQAXnQ7oCoH982DjIA-QnZdO7ZoqkC0/edit#gid=884617569"",""S5 Totals!$A$2:$O$255""),3,FALSE)"),0.20481927710843373)</f>
        <v>0.2048192771</v>
      </c>
      <c r="F160" s="146">
        <f t="shared" si="1"/>
        <v>0</v>
      </c>
      <c r="G160" s="16">
        <f>IFERROR(__xludf.DUMMYFUNCTION("VLOOKUP(A160,IMPORTRANGE(""1QZ5UxyNCwadreQAXnQ7oCoH982DjIA-QnZdO7ZoqkC0/edit#gid=884617569"",""S5 Totals!$A$2:$O$255""),4,FALSE)"),10.0)</f>
        <v>10</v>
      </c>
      <c r="H160" s="15">
        <f>IFERROR(__xludf.DUMMYFUNCTION("VLOOKUP(A160,IMPORTRANGE(""1QZ5UxyNCwadreQAXnQ7oCoH982DjIA-QnZdO7ZoqkC0/edit#gid=884617569"",""S5 Totals!$A$2:$O$255""),5,FALSE)"),0.20408163265306123)</f>
        <v>0.2040816327</v>
      </c>
      <c r="I160" s="143"/>
      <c r="J160" s="16" t="str">
        <f>IFERROR(__xludf.DUMMYFUNCTION("VLOOKUP(A160,IMPORTRANGE(""1QZ5UxyNCwadreQAXnQ7oCoH982DjIA-QnZdO7ZoqkC0/edit#gid=884617569"",""S5 Totals!$A$2:$O$255""),7,FALSE)"),"")</f>
        <v/>
      </c>
      <c r="K160" s="15" t="str">
        <f>IFERROR(__xludf.DUMMYFUNCTION("VLOOKUP(A160,IMPORTRANGE(""1QZ5UxyNCwadreQAXnQ7oCoH982DjIA-QnZdO7ZoqkC0/edit#gid=884617569"",""S5 Totals!$A$2:$O$255""),8,FALSE)"),"")</f>
        <v/>
      </c>
      <c r="L160" s="147"/>
      <c r="M160" s="16" t="str">
        <f>IFERROR(__xludf.DUMMYFUNCTION("VLOOKUP(A160,IMPORTRANGE(""1QZ5UxyNCwadreQAXnQ7oCoH982DjIA-QnZdO7ZoqkC0/edit#gid=884617569"",""S5 Totals!$A$2:$O$255""),10,FALSE)"),"")</f>
        <v/>
      </c>
      <c r="N160" s="15" t="str">
        <f>IFERROR(__xludf.DUMMYFUNCTION("VLOOKUP(A160,IMPORTRANGE(""1QZ5UxyNCwadreQAXnQ7oCoH982DjIA-QnZdO7ZoqkC0/edit#gid=884617569"",""S5 Totals!$A$2:$O$255""),11,FALSE)"),"")</f>
        <v/>
      </c>
      <c r="O160" s="110"/>
      <c r="P160" s="16" t="str">
        <f>IFERROR(__xludf.DUMMYFUNCTION("VLOOKUP(A160,IMPORTRANGE(""1QZ5UxyNCwadreQAXnQ7oCoH982DjIA-QnZdO7ZoqkC0/edit#gid=884617569"",""S5 Totals!$A$2:$O$255""),13,FALSE)"),"")</f>
        <v/>
      </c>
      <c r="Q160" s="15" t="str">
        <f>IFERROR(__xludf.DUMMYFUNCTION("VLOOKUP(A160,IMPORTRANGE(""1QZ5UxyNCwadreQAXnQ7oCoH982DjIA-QnZdO7ZoqkC0/edit#gid=884617569"",""S5 Totals!$A$2:$O$255""),14,FALSE)"),"")</f>
        <v/>
      </c>
      <c r="R160" s="110"/>
    </row>
    <row r="161">
      <c r="A161" s="128" t="s">
        <v>188</v>
      </c>
      <c r="B161" s="16">
        <f>IFERROR(__xludf.DUMMYFUNCTION("VLOOKUP(A161,IMPORTRANGE(""1aFCnJY1qhIj8-JckJhDJ18aqmVo17tofpQmOjcYa3u8/edit#gid=1878241338"",""S5 Totals!$A$2:$O$255""),2,FALSE)"),8.0)</f>
        <v>8</v>
      </c>
      <c r="C161" s="15">
        <f>IFERROR(__xludf.DUMMYFUNCTION("VLOOKUP(A161,IMPORTRANGE(""1aFCnJY1qhIj8-JckJhDJ18aqmVo17tofpQmOjcYa3u8/edit#gid=1878241338"",""S5 Totals!$A$2:$O$255""),3,FALSE)"),0.0963855421686747)</f>
        <v>0.09638554217</v>
      </c>
      <c r="D161" s="16">
        <f>IFERROR(__xludf.DUMMYFUNCTION("VLOOKUP(A161,IMPORTRANGE(""1QZ5UxyNCwadreQAXnQ7oCoH982DjIA-QnZdO7ZoqkC0/edit#gid=884617569"",""S5 Totals!$A$2:$O$255""),2,FALSE)"),8.0)</f>
        <v>8</v>
      </c>
      <c r="E161" s="15">
        <f>IFERROR(__xludf.DUMMYFUNCTION("VLOOKUP(A161,IMPORTRANGE(""1QZ5UxyNCwadreQAXnQ7oCoH982DjIA-QnZdO7ZoqkC0/edit#gid=884617569"",""S5 Totals!$A$2:$O$255""),3,FALSE)"),0.0963855421686747)</f>
        <v>0.09638554217</v>
      </c>
      <c r="F161" s="146">
        <f t="shared" si="1"/>
        <v>0</v>
      </c>
      <c r="G161" s="16">
        <f>IFERROR(__xludf.DUMMYFUNCTION("VLOOKUP(A161,IMPORTRANGE(""1QZ5UxyNCwadreQAXnQ7oCoH982DjIA-QnZdO7ZoqkC0/edit#gid=884617569"",""S5 Totals!$A$2:$O$255""),4,FALSE)"),4.0)</f>
        <v>4</v>
      </c>
      <c r="H161" s="15">
        <f>IFERROR(__xludf.DUMMYFUNCTION("VLOOKUP(A161,IMPORTRANGE(""1QZ5UxyNCwadreQAXnQ7oCoH982DjIA-QnZdO7ZoqkC0/edit#gid=884617569"",""S5 Totals!$A$2:$O$255""),5,FALSE)"),0.08163265306122448)</f>
        <v>0.08163265306</v>
      </c>
      <c r="I161" s="143"/>
      <c r="J161" s="16">
        <f>IFERROR(__xludf.DUMMYFUNCTION("VLOOKUP(A161,IMPORTRANGE(""1QZ5UxyNCwadreQAXnQ7oCoH982DjIA-QnZdO7ZoqkC0/edit#gid=884617569"",""S5 Totals!$A$2:$O$255""),7,FALSE)"),2.0)</f>
        <v>2</v>
      </c>
      <c r="K161" s="15">
        <f>IFERROR(__xludf.DUMMYFUNCTION("VLOOKUP(A161,IMPORTRANGE(""1QZ5UxyNCwadreQAXnQ7oCoH982DjIA-QnZdO7ZoqkC0/edit#gid=884617569"",""S5 Totals!$A$2:$O$255""),8,FALSE)"),0.058823529411764705)</f>
        <v>0.05882352941</v>
      </c>
      <c r="L161" s="147"/>
      <c r="M161" s="16" t="str">
        <f>IFERROR(__xludf.DUMMYFUNCTION("VLOOKUP(A161,IMPORTRANGE(""1QZ5UxyNCwadreQAXnQ7oCoH982DjIA-QnZdO7ZoqkC0/edit#gid=884617569"",""S5 Totals!$A$2:$O$255""),10,FALSE)"),"")</f>
        <v/>
      </c>
      <c r="N161" s="15" t="str">
        <f>IFERROR(__xludf.DUMMYFUNCTION("VLOOKUP(A161,IMPORTRANGE(""1QZ5UxyNCwadreQAXnQ7oCoH982DjIA-QnZdO7ZoqkC0/edit#gid=884617569"",""S5 Totals!$A$2:$O$255""),11,FALSE)"),"")</f>
        <v/>
      </c>
      <c r="O161" s="110"/>
      <c r="P161" s="16" t="str">
        <f>IFERROR(__xludf.DUMMYFUNCTION("VLOOKUP(A161,IMPORTRANGE(""1QZ5UxyNCwadreQAXnQ7oCoH982DjIA-QnZdO7ZoqkC0/edit#gid=884617569"",""S5 Totals!$A$2:$O$255""),13,FALSE)"),"")</f>
        <v/>
      </c>
      <c r="Q161" s="15" t="str">
        <f>IFERROR(__xludf.DUMMYFUNCTION("VLOOKUP(A161,IMPORTRANGE(""1QZ5UxyNCwadreQAXnQ7oCoH982DjIA-QnZdO7ZoqkC0/edit#gid=884617569"",""S5 Totals!$A$2:$O$255""),14,FALSE)"),"")</f>
        <v/>
      </c>
      <c r="R161" s="110"/>
    </row>
    <row r="162">
      <c r="A162" s="128" t="s">
        <v>189</v>
      </c>
      <c r="B162" s="16">
        <f>IFERROR(__xludf.DUMMYFUNCTION("VLOOKUP(A162,IMPORTRANGE(""1aFCnJY1qhIj8-JckJhDJ18aqmVo17tofpQmOjcYa3u8/edit#gid=1878241338"",""S5 Totals!$A$2:$O$255""),2,FALSE)"),17.0)</f>
        <v>17</v>
      </c>
      <c r="C162" s="15">
        <f>IFERROR(__xludf.DUMMYFUNCTION("VLOOKUP(A162,IMPORTRANGE(""1aFCnJY1qhIj8-JckJhDJ18aqmVo17tofpQmOjcYa3u8/edit#gid=1878241338"",""S5 Totals!$A$2:$O$255""),3,FALSE)"),0.20481927710843373)</f>
        <v>0.2048192771</v>
      </c>
      <c r="D162" s="16">
        <f>IFERROR(__xludf.DUMMYFUNCTION("VLOOKUP(A162,IMPORTRANGE(""1QZ5UxyNCwadreQAXnQ7oCoH982DjIA-QnZdO7ZoqkC0/edit#gid=884617569"",""S5 Totals!$A$2:$O$255""),2,FALSE)"),12.0)</f>
        <v>12</v>
      </c>
      <c r="E162" s="15">
        <f>IFERROR(__xludf.DUMMYFUNCTION("VLOOKUP(A162,IMPORTRANGE(""1QZ5UxyNCwadreQAXnQ7oCoH982DjIA-QnZdO7ZoqkC0/edit#gid=884617569"",""S5 Totals!$A$2:$O$255""),3,FALSE)"),0.14457831325301204)</f>
        <v>0.1445783133</v>
      </c>
      <c r="F162" s="146">
        <f t="shared" si="1"/>
        <v>0.06024096386</v>
      </c>
      <c r="G162" s="16">
        <f>IFERROR(__xludf.DUMMYFUNCTION("VLOOKUP(A162,IMPORTRANGE(""1QZ5UxyNCwadreQAXnQ7oCoH982DjIA-QnZdO7ZoqkC0/edit#gid=884617569"",""S5 Totals!$A$2:$O$255""),4,FALSE)"),3.0)</f>
        <v>3</v>
      </c>
      <c r="H162" s="15">
        <f>IFERROR(__xludf.DUMMYFUNCTION("VLOOKUP(A162,IMPORTRANGE(""1QZ5UxyNCwadreQAXnQ7oCoH982DjIA-QnZdO7ZoqkC0/edit#gid=884617569"",""S5 Totals!$A$2:$O$255""),5,FALSE)"),0.061224489795918366)</f>
        <v>0.0612244898</v>
      </c>
      <c r="I162" s="143"/>
      <c r="J162" s="16">
        <f>IFERROR(__xludf.DUMMYFUNCTION("VLOOKUP(A162,IMPORTRANGE(""1QZ5UxyNCwadreQAXnQ7oCoH982DjIA-QnZdO7ZoqkC0/edit#gid=884617569"",""S5 Totals!$A$2:$O$255""),7,FALSE)"),3.0)</f>
        <v>3</v>
      </c>
      <c r="K162" s="15">
        <f>IFERROR(__xludf.DUMMYFUNCTION("VLOOKUP(A162,IMPORTRANGE(""1QZ5UxyNCwadreQAXnQ7oCoH982DjIA-QnZdO7ZoqkC0/edit#gid=884617569"",""S5 Totals!$A$2:$O$255""),8,FALSE)"),0.08823529411764706)</f>
        <v>0.08823529412</v>
      </c>
      <c r="L162" s="147"/>
      <c r="M162" s="16" t="str">
        <f>IFERROR(__xludf.DUMMYFUNCTION("VLOOKUP(A162,IMPORTRANGE(""1QZ5UxyNCwadreQAXnQ7oCoH982DjIA-QnZdO7ZoqkC0/edit#gid=884617569"",""S5 Totals!$A$2:$O$255""),10,FALSE)"),"")</f>
        <v/>
      </c>
      <c r="N162" s="15" t="str">
        <f>IFERROR(__xludf.DUMMYFUNCTION("VLOOKUP(A162,IMPORTRANGE(""1QZ5UxyNCwadreQAXnQ7oCoH982DjIA-QnZdO7ZoqkC0/edit#gid=884617569"",""S5 Totals!$A$2:$O$255""),11,FALSE)"),"")</f>
        <v/>
      </c>
      <c r="O162" s="110"/>
      <c r="P162" s="16" t="str">
        <f>IFERROR(__xludf.DUMMYFUNCTION("VLOOKUP(A162,IMPORTRANGE(""1QZ5UxyNCwadreQAXnQ7oCoH982DjIA-QnZdO7ZoqkC0/edit#gid=884617569"",""S5 Totals!$A$2:$O$255""),13,FALSE)"),"")</f>
        <v/>
      </c>
      <c r="Q162" s="15" t="str">
        <f>IFERROR(__xludf.DUMMYFUNCTION("VLOOKUP(A162,IMPORTRANGE(""1QZ5UxyNCwadreQAXnQ7oCoH982DjIA-QnZdO7ZoqkC0/edit#gid=884617569"",""S5 Totals!$A$2:$O$255""),14,FALSE)"),"")</f>
        <v/>
      </c>
      <c r="R162" s="110"/>
    </row>
    <row r="163">
      <c r="A163" s="128" t="s">
        <v>77</v>
      </c>
      <c r="B163" s="16">
        <f>IFERROR(__xludf.DUMMYFUNCTION("VLOOKUP(A163,IMPORTRANGE(""1aFCnJY1qhIj8-JckJhDJ18aqmVo17tofpQmOjcYa3u8/edit#gid=1878241338"",""S5 Totals!$A$2:$O$255""),2,FALSE)"),19.0)</f>
        <v>19</v>
      </c>
      <c r="C163" s="15">
        <f>IFERROR(__xludf.DUMMYFUNCTION("VLOOKUP(A163,IMPORTRANGE(""1aFCnJY1qhIj8-JckJhDJ18aqmVo17tofpQmOjcYa3u8/edit#gid=1878241338"",""S5 Totals!$A$2:$O$255""),3,FALSE)"),0.2289156626506024)</f>
        <v>0.2289156627</v>
      </c>
      <c r="D163" s="16">
        <f>IFERROR(__xludf.DUMMYFUNCTION("VLOOKUP(A163,IMPORTRANGE(""1QZ5UxyNCwadreQAXnQ7oCoH982DjIA-QnZdO7ZoqkC0/edit#gid=884617569"",""S5 Totals!$A$2:$O$255""),2,FALSE)"),19.0)</f>
        <v>19</v>
      </c>
      <c r="E163" s="15">
        <f>IFERROR(__xludf.DUMMYFUNCTION("VLOOKUP(A163,IMPORTRANGE(""1QZ5UxyNCwadreQAXnQ7oCoH982DjIA-QnZdO7ZoqkC0/edit#gid=884617569"",""S5 Totals!$A$2:$O$255""),3,FALSE)"),0.2289156626506024)</f>
        <v>0.2289156627</v>
      </c>
      <c r="F163" s="146">
        <f t="shared" si="1"/>
        <v>0</v>
      </c>
      <c r="G163" s="16">
        <f>IFERROR(__xludf.DUMMYFUNCTION("VLOOKUP(A163,IMPORTRANGE(""1QZ5UxyNCwadreQAXnQ7oCoH982DjIA-QnZdO7ZoqkC0/edit#gid=884617569"",""S5 Totals!$A$2:$O$255""),4,FALSE)"),16.0)</f>
        <v>16</v>
      </c>
      <c r="H163" s="15">
        <f>IFERROR(__xludf.DUMMYFUNCTION("VLOOKUP(A163,IMPORTRANGE(""1QZ5UxyNCwadreQAXnQ7oCoH982DjIA-QnZdO7ZoqkC0/edit#gid=884617569"",""S5 Totals!$A$2:$O$255""),5,FALSE)"),0.32653061224489793)</f>
        <v>0.3265306122</v>
      </c>
      <c r="I163" s="143"/>
      <c r="J163" s="16">
        <f>IFERROR(__xludf.DUMMYFUNCTION("VLOOKUP(A163,IMPORTRANGE(""1QZ5UxyNCwadreQAXnQ7oCoH982DjIA-QnZdO7ZoqkC0/edit#gid=884617569"",""S5 Totals!$A$2:$O$255""),7,FALSE)"),12.0)</f>
        <v>12</v>
      </c>
      <c r="K163" s="15">
        <f>IFERROR(__xludf.DUMMYFUNCTION("VLOOKUP(A163,IMPORTRANGE(""1QZ5UxyNCwadreQAXnQ7oCoH982DjIA-QnZdO7ZoqkC0/edit#gid=884617569"",""S5 Totals!$A$2:$O$255""),8,FALSE)"),0.35294117647058826)</f>
        <v>0.3529411765</v>
      </c>
      <c r="L163" s="147"/>
      <c r="M163" s="16">
        <f>IFERROR(__xludf.DUMMYFUNCTION("VLOOKUP(A163,IMPORTRANGE(""1QZ5UxyNCwadreQAXnQ7oCoH982DjIA-QnZdO7ZoqkC0/edit#gid=884617569"",""S5 Totals!$A$2:$O$255""),10,FALSE)"),3.0)</f>
        <v>3</v>
      </c>
      <c r="N163" s="15">
        <f>IFERROR(__xludf.DUMMYFUNCTION("VLOOKUP(A163,IMPORTRANGE(""1QZ5UxyNCwadreQAXnQ7oCoH982DjIA-QnZdO7ZoqkC0/edit#gid=884617569"",""S5 Totals!$A$2:$O$255""),11,FALSE)"),0.1)</f>
        <v>0.1</v>
      </c>
      <c r="O163" s="110"/>
      <c r="P163" s="16">
        <f>IFERROR(__xludf.DUMMYFUNCTION("VLOOKUP(A163,IMPORTRANGE(""1QZ5UxyNCwadreQAXnQ7oCoH982DjIA-QnZdO7ZoqkC0/edit#gid=884617569"",""S5 Totals!$A$2:$O$255""),13,FALSE)"),4.0)</f>
        <v>4</v>
      </c>
      <c r="Q163" s="15">
        <f>IFERROR(__xludf.DUMMYFUNCTION("VLOOKUP(A163,IMPORTRANGE(""1QZ5UxyNCwadreQAXnQ7oCoH982DjIA-QnZdO7ZoqkC0/edit#gid=884617569"",""S5 Totals!$A$2:$O$255""),14,FALSE)"),0.14285714285714285)</f>
        <v>0.1428571429</v>
      </c>
      <c r="R163" s="110"/>
    </row>
    <row r="164">
      <c r="A164" s="128" t="s">
        <v>78</v>
      </c>
      <c r="B164" s="16">
        <f>IFERROR(__xludf.DUMMYFUNCTION("VLOOKUP(A164,IMPORTRANGE(""1aFCnJY1qhIj8-JckJhDJ18aqmVo17tofpQmOjcYa3u8/edit#gid=1878241338"",""S5 Totals!$A$2:$O$255""),2,FALSE)"),20.0)</f>
        <v>20</v>
      </c>
      <c r="C164" s="15">
        <f>IFERROR(__xludf.DUMMYFUNCTION("VLOOKUP(A164,IMPORTRANGE(""1aFCnJY1qhIj8-JckJhDJ18aqmVo17tofpQmOjcYa3u8/edit#gid=1878241338"",""S5 Totals!$A$2:$O$255""),3,FALSE)"),0.24096385542168675)</f>
        <v>0.2409638554</v>
      </c>
      <c r="D164" s="16">
        <f>IFERROR(__xludf.DUMMYFUNCTION("VLOOKUP(A164,IMPORTRANGE(""1QZ5UxyNCwadreQAXnQ7oCoH982DjIA-QnZdO7ZoqkC0/edit#gid=884617569"",""S5 Totals!$A$2:$O$255""),2,FALSE)"),15.0)</f>
        <v>15</v>
      </c>
      <c r="E164" s="15">
        <f>IFERROR(__xludf.DUMMYFUNCTION("VLOOKUP(A164,IMPORTRANGE(""1QZ5UxyNCwadreQAXnQ7oCoH982DjIA-QnZdO7ZoqkC0/edit#gid=884617569"",""S5 Totals!$A$2:$O$255""),3,FALSE)"),0.18072289156626506)</f>
        <v>0.1807228916</v>
      </c>
      <c r="F164" s="146">
        <f t="shared" si="1"/>
        <v>0.06024096386</v>
      </c>
      <c r="G164" s="16">
        <f>IFERROR(__xludf.DUMMYFUNCTION("VLOOKUP(A164,IMPORTRANGE(""1QZ5UxyNCwadreQAXnQ7oCoH982DjIA-QnZdO7ZoqkC0/edit#gid=884617569"",""S5 Totals!$A$2:$O$255""),4,FALSE)"),12.0)</f>
        <v>12</v>
      </c>
      <c r="H164" s="15">
        <f>IFERROR(__xludf.DUMMYFUNCTION("VLOOKUP(A164,IMPORTRANGE(""1QZ5UxyNCwadreQAXnQ7oCoH982DjIA-QnZdO7ZoqkC0/edit#gid=884617569"",""S5 Totals!$A$2:$O$255""),5,FALSE)"),0.24489795918367346)</f>
        <v>0.2448979592</v>
      </c>
      <c r="I164" s="143"/>
      <c r="J164" s="16">
        <f>IFERROR(__xludf.DUMMYFUNCTION("VLOOKUP(A164,IMPORTRANGE(""1QZ5UxyNCwadreQAXnQ7oCoH982DjIA-QnZdO7ZoqkC0/edit#gid=884617569"",""S5 Totals!$A$2:$O$255""),7,FALSE)"),7.0)</f>
        <v>7</v>
      </c>
      <c r="K164" s="15">
        <f>IFERROR(__xludf.DUMMYFUNCTION("VLOOKUP(A164,IMPORTRANGE(""1QZ5UxyNCwadreQAXnQ7oCoH982DjIA-QnZdO7ZoqkC0/edit#gid=884617569"",""S5 Totals!$A$2:$O$255""),8,FALSE)"),0.20588235294117646)</f>
        <v>0.2058823529</v>
      </c>
      <c r="L164" s="147"/>
      <c r="M164" s="16">
        <f>IFERROR(__xludf.DUMMYFUNCTION("VLOOKUP(A164,IMPORTRANGE(""1QZ5UxyNCwadreQAXnQ7oCoH982DjIA-QnZdO7ZoqkC0/edit#gid=884617569"",""S5 Totals!$A$2:$O$255""),10,FALSE)"),7.0)</f>
        <v>7</v>
      </c>
      <c r="N164" s="15">
        <f>IFERROR(__xludf.DUMMYFUNCTION("VLOOKUP(A164,IMPORTRANGE(""1QZ5UxyNCwadreQAXnQ7oCoH982DjIA-QnZdO7ZoqkC0/edit#gid=884617569"",""S5 Totals!$A$2:$O$255""),11,FALSE)"),0.23333333333333334)</f>
        <v>0.2333333333</v>
      </c>
      <c r="O164" s="110"/>
      <c r="P164" s="16">
        <f>IFERROR(__xludf.DUMMYFUNCTION("VLOOKUP(A164,IMPORTRANGE(""1QZ5UxyNCwadreQAXnQ7oCoH982DjIA-QnZdO7ZoqkC0/edit#gid=884617569"",""S5 Totals!$A$2:$O$255""),13,FALSE)"),14.0)</f>
        <v>14</v>
      </c>
      <c r="Q164" s="15">
        <f>IFERROR(__xludf.DUMMYFUNCTION("VLOOKUP(A164,IMPORTRANGE(""1QZ5UxyNCwadreQAXnQ7oCoH982DjIA-QnZdO7ZoqkC0/edit#gid=884617569"",""S5 Totals!$A$2:$O$255""),14,FALSE)"),0.5)</f>
        <v>0.5</v>
      </c>
      <c r="R164" s="110"/>
    </row>
    <row r="165">
      <c r="A165" s="128" t="s">
        <v>141</v>
      </c>
      <c r="B165" s="16">
        <f>IFERROR(__xludf.DUMMYFUNCTION("VLOOKUP(A165,IMPORTRANGE(""1aFCnJY1qhIj8-JckJhDJ18aqmVo17tofpQmOjcYa3u8/edit#gid=1878241338"",""S5 Totals!$A$2:$O$255""),2,FALSE)"),0.0)</f>
        <v>0</v>
      </c>
      <c r="C165" s="15">
        <f>IFERROR(__xludf.DUMMYFUNCTION("VLOOKUP(A165,IMPORTRANGE(""1aFCnJY1qhIj8-JckJhDJ18aqmVo17tofpQmOjcYa3u8/edit#gid=1878241338"",""S5 Totals!$A$2:$O$255""),3,FALSE)"),0.0)</f>
        <v>0</v>
      </c>
      <c r="D165" s="16">
        <f>IFERROR(__xludf.DUMMYFUNCTION("VLOOKUP(A165,IMPORTRANGE(""1QZ5UxyNCwadreQAXnQ7oCoH982DjIA-QnZdO7ZoqkC0/edit#gid=884617569"",""S5 Totals!$A$2:$O$255""),2,FALSE)"),0.0)</f>
        <v>0</v>
      </c>
      <c r="E165" s="15">
        <f>IFERROR(__xludf.DUMMYFUNCTION("VLOOKUP(A165,IMPORTRANGE(""1QZ5UxyNCwadreQAXnQ7oCoH982DjIA-QnZdO7ZoqkC0/edit#gid=884617569"",""S5 Totals!$A$2:$O$255""),3,FALSE)"),0.0)</f>
        <v>0</v>
      </c>
      <c r="F165" s="146">
        <f t="shared" si="1"/>
        <v>0</v>
      </c>
      <c r="G165" s="16">
        <f>IFERROR(__xludf.DUMMYFUNCTION("VLOOKUP(A165,IMPORTRANGE(""1QZ5UxyNCwadreQAXnQ7oCoH982DjIA-QnZdO7ZoqkC0/edit#gid=884617569"",""S5 Totals!$A$2:$O$255""),4,FALSE)"),0.0)</f>
        <v>0</v>
      </c>
      <c r="H165" s="15">
        <f>IFERROR(__xludf.DUMMYFUNCTION("VLOOKUP(A165,IMPORTRANGE(""1QZ5UxyNCwadreQAXnQ7oCoH982DjIA-QnZdO7ZoqkC0/edit#gid=884617569"",""S5 Totals!$A$2:$O$255""),5,FALSE)"),0.0)</f>
        <v>0</v>
      </c>
      <c r="I165" s="143"/>
      <c r="J165" s="16">
        <f>IFERROR(__xludf.DUMMYFUNCTION("VLOOKUP(A165,IMPORTRANGE(""1QZ5UxyNCwadreQAXnQ7oCoH982DjIA-QnZdO7ZoqkC0/edit#gid=884617569"",""S5 Totals!$A$2:$O$255""),7,FALSE)"),0.0)</f>
        <v>0</v>
      </c>
      <c r="K165" s="15">
        <f>IFERROR(__xludf.DUMMYFUNCTION("VLOOKUP(A165,IMPORTRANGE(""1QZ5UxyNCwadreQAXnQ7oCoH982DjIA-QnZdO7ZoqkC0/edit#gid=884617569"",""S5 Totals!$A$2:$O$255""),8,FALSE)"),0.0)</f>
        <v>0</v>
      </c>
      <c r="L165" s="147"/>
      <c r="M165" s="16">
        <f>IFERROR(__xludf.DUMMYFUNCTION("VLOOKUP(A165,IMPORTRANGE(""1QZ5UxyNCwadreQAXnQ7oCoH982DjIA-QnZdO7ZoqkC0/edit#gid=884617569"",""S5 Totals!$A$2:$O$255""),10,FALSE)"),0.0)</f>
        <v>0</v>
      </c>
      <c r="N165" s="15">
        <f>IFERROR(__xludf.DUMMYFUNCTION("VLOOKUP(A165,IMPORTRANGE(""1QZ5UxyNCwadreQAXnQ7oCoH982DjIA-QnZdO7ZoqkC0/edit#gid=884617569"",""S5 Totals!$A$2:$O$255""),11,FALSE)"),0.0)</f>
        <v>0</v>
      </c>
      <c r="O165" s="110"/>
      <c r="P165" s="16" t="str">
        <f>IFERROR(__xludf.DUMMYFUNCTION("VLOOKUP(A165,IMPORTRANGE(""1QZ5UxyNCwadreQAXnQ7oCoH982DjIA-QnZdO7ZoqkC0/edit#gid=884617569"",""S5 Totals!$A$2:$O$255""),13,FALSE)"),"")</f>
        <v/>
      </c>
      <c r="Q165" s="15" t="str">
        <f>IFERROR(__xludf.DUMMYFUNCTION("VLOOKUP(A165,IMPORTRANGE(""1QZ5UxyNCwadreQAXnQ7oCoH982DjIA-QnZdO7ZoqkC0/edit#gid=884617569"",""S5 Totals!$A$2:$O$255""),14,FALSE)"),"")</f>
        <v/>
      </c>
      <c r="R165" s="110"/>
    </row>
    <row r="166">
      <c r="A166" s="128" t="s">
        <v>79</v>
      </c>
      <c r="B166" s="16">
        <f>IFERROR(__xludf.DUMMYFUNCTION("VLOOKUP(A166,IMPORTRANGE(""1aFCnJY1qhIj8-JckJhDJ18aqmVo17tofpQmOjcYa3u8/edit#gid=1878241338"",""S5 Totals!$A$2:$O$255""),2,FALSE)"),26.0)</f>
        <v>26</v>
      </c>
      <c r="C166" s="15">
        <f>IFERROR(__xludf.DUMMYFUNCTION("VLOOKUP(A166,IMPORTRANGE(""1aFCnJY1qhIj8-JckJhDJ18aqmVo17tofpQmOjcYa3u8/edit#gid=1878241338"",""S5 Totals!$A$2:$O$255""),3,FALSE)"),0.3132530120481928)</f>
        <v>0.313253012</v>
      </c>
      <c r="D166" s="16">
        <f>IFERROR(__xludf.DUMMYFUNCTION("VLOOKUP(A166,IMPORTRANGE(""1QZ5UxyNCwadreQAXnQ7oCoH982DjIA-QnZdO7ZoqkC0/edit#gid=884617569"",""S5 Totals!$A$2:$O$255""),2,FALSE)"),23.0)</f>
        <v>23</v>
      </c>
      <c r="E166" s="15">
        <f>IFERROR(__xludf.DUMMYFUNCTION("VLOOKUP(A166,IMPORTRANGE(""1QZ5UxyNCwadreQAXnQ7oCoH982DjIA-QnZdO7ZoqkC0/edit#gid=884617569"",""S5 Totals!$A$2:$O$255""),3,FALSE)"),0.27710843373493976)</f>
        <v>0.2771084337</v>
      </c>
      <c r="F166" s="146">
        <f t="shared" si="1"/>
        <v>0.03614457831</v>
      </c>
      <c r="G166" s="16">
        <f>IFERROR(__xludf.DUMMYFUNCTION("VLOOKUP(A166,IMPORTRANGE(""1QZ5UxyNCwadreQAXnQ7oCoH982DjIA-QnZdO7ZoqkC0/edit#gid=884617569"",""S5 Totals!$A$2:$O$255""),4,FALSE)"),14.0)</f>
        <v>14</v>
      </c>
      <c r="H166" s="15">
        <f>IFERROR(__xludf.DUMMYFUNCTION("VLOOKUP(A166,IMPORTRANGE(""1QZ5UxyNCwadreQAXnQ7oCoH982DjIA-QnZdO7ZoqkC0/edit#gid=884617569"",""S5 Totals!$A$2:$O$255""),5,FALSE)"),0.2857142857142857)</f>
        <v>0.2857142857</v>
      </c>
      <c r="I166" s="143"/>
      <c r="J166" s="16">
        <f>IFERROR(__xludf.DUMMYFUNCTION("VLOOKUP(A166,IMPORTRANGE(""1QZ5UxyNCwadreQAXnQ7oCoH982DjIA-QnZdO7ZoqkC0/edit#gid=884617569"",""S5 Totals!$A$2:$O$255""),7,FALSE)"),10.0)</f>
        <v>10</v>
      </c>
      <c r="K166" s="15">
        <f>IFERROR(__xludf.DUMMYFUNCTION("VLOOKUP(A166,IMPORTRANGE(""1QZ5UxyNCwadreQAXnQ7oCoH982DjIA-QnZdO7ZoqkC0/edit#gid=884617569"",""S5 Totals!$A$2:$O$255""),8,FALSE)"),0.29411764705882354)</f>
        <v>0.2941176471</v>
      </c>
      <c r="L166" s="147"/>
      <c r="M166" s="16">
        <f>IFERROR(__xludf.DUMMYFUNCTION("VLOOKUP(A166,IMPORTRANGE(""1QZ5UxyNCwadreQAXnQ7oCoH982DjIA-QnZdO7ZoqkC0/edit#gid=884617569"",""S5 Totals!$A$2:$O$255""),10,FALSE)"),5.0)</f>
        <v>5</v>
      </c>
      <c r="N166" s="15">
        <f>IFERROR(__xludf.DUMMYFUNCTION("VLOOKUP(A166,IMPORTRANGE(""1QZ5UxyNCwadreQAXnQ7oCoH982DjIA-QnZdO7ZoqkC0/edit#gid=884617569"",""S5 Totals!$A$2:$O$255""),11,FALSE)"),0.16666666666666666)</f>
        <v>0.1666666667</v>
      </c>
      <c r="O166" s="110"/>
      <c r="P166" s="16">
        <f>IFERROR(__xludf.DUMMYFUNCTION("VLOOKUP(A166,IMPORTRANGE(""1QZ5UxyNCwadreQAXnQ7oCoH982DjIA-QnZdO7ZoqkC0/edit#gid=884617569"",""S5 Totals!$A$2:$O$255""),13,FALSE)"),4.0)</f>
        <v>4</v>
      </c>
      <c r="Q166" s="15">
        <f>IFERROR(__xludf.DUMMYFUNCTION("VLOOKUP(A166,IMPORTRANGE(""1QZ5UxyNCwadreQAXnQ7oCoH982DjIA-QnZdO7ZoqkC0/edit#gid=884617569"",""S5 Totals!$A$2:$O$255""),14,FALSE)"),0.14285714285714285)</f>
        <v>0.1428571429</v>
      </c>
      <c r="R166" s="110"/>
    </row>
    <row r="167">
      <c r="A167" s="128" t="s">
        <v>80</v>
      </c>
      <c r="B167" s="16">
        <f>IFERROR(__xludf.DUMMYFUNCTION("VLOOKUP(A167,IMPORTRANGE(""1aFCnJY1qhIj8-JckJhDJ18aqmVo17tofpQmOjcYa3u8/edit#gid=1878241338"",""S5 Totals!$A$2:$O$255""),2,FALSE)"),39.0)</f>
        <v>39</v>
      </c>
      <c r="C167" s="15">
        <f>IFERROR(__xludf.DUMMYFUNCTION("VLOOKUP(A167,IMPORTRANGE(""1aFCnJY1qhIj8-JckJhDJ18aqmVo17tofpQmOjcYa3u8/edit#gid=1878241338"",""S5 Totals!$A$2:$O$255""),3,FALSE)"),0.46987951807228917)</f>
        <v>0.4698795181</v>
      </c>
      <c r="D167" s="16">
        <f>IFERROR(__xludf.DUMMYFUNCTION("VLOOKUP(A167,IMPORTRANGE(""1QZ5UxyNCwadreQAXnQ7oCoH982DjIA-QnZdO7ZoqkC0/edit#gid=884617569"",""S5 Totals!$A$2:$O$255""),2,FALSE)"),40.0)</f>
        <v>40</v>
      </c>
      <c r="E167" s="15">
        <f>IFERROR(__xludf.DUMMYFUNCTION("VLOOKUP(A167,IMPORTRANGE(""1QZ5UxyNCwadreQAXnQ7oCoH982DjIA-QnZdO7ZoqkC0/edit#gid=884617569"",""S5 Totals!$A$2:$O$255""),3,FALSE)"),0.4819277108433735)</f>
        <v>0.4819277108</v>
      </c>
      <c r="F167" s="146">
        <f t="shared" si="1"/>
        <v>-0.01204819277</v>
      </c>
      <c r="G167" s="16">
        <f>IFERROR(__xludf.DUMMYFUNCTION("VLOOKUP(A167,IMPORTRANGE(""1QZ5UxyNCwadreQAXnQ7oCoH982DjIA-QnZdO7ZoqkC0/edit#gid=884617569"",""S5 Totals!$A$2:$O$255""),4,FALSE)"),25.0)</f>
        <v>25</v>
      </c>
      <c r="H167" s="15">
        <f>IFERROR(__xludf.DUMMYFUNCTION("VLOOKUP(A167,IMPORTRANGE(""1QZ5UxyNCwadreQAXnQ7oCoH982DjIA-QnZdO7ZoqkC0/edit#gid=884617569"",""S5 Totals!$A$2:$O$255""),5,FALSE)"),0.5102040816326531)</f>
        <v>0.5102040816</v>
      </c>
      <c r="I167" s="143"/>
      <c r="J167" s="16">
        <f>IFERROR(__xludf.DUMMYFUNCTION("VLOOKUP(A167,IMPORTRANGE(""1QZ5UxyNCwadreQAXnQ7oCoH982DjIA-QnZdO7ZoqkC0/edit#gid=884617569"",""S5 Totals!$A$2:$O$255""),7,FALSE)"),15.0)</f>
        <v>15</v>
      </c>
      <c r="K167" s="15">
        <f>IFERROR(__xludf.DUMMYFUNCTION("VLOOKUP(A167,IMPORTRANGE(""1QZ5UxyNCwadreQAXnQ7oCoH982DjIA-QnZdO7ZoqkC0/edit#gid=884617569"",""S5 Totals!$A$2:$O$255""),8,FALSE)"),0.4411764705882353)</f>
        <v>0.4411764706</v>
      </c>
      <c r="L167" s="147"/>
      <c r="M167" s="16">
        <f>IFERROR(__xludf.DUMMYFUNCTION("VLOOKUP(A167,IMPORTRANGE(""1QZ5UxyNCwadreQAXnQ7oCoH982DjIA-QnZdO7ZoqkC0/edit#gid=884617569"",""S5 Totals!$A$2:$O$255""),10,FALSE)"),6.0)</f>
        <v>6</v>
      </c>
      <c r="N167" s="15">
        <f>IFERROR(__xludf.DUMMYFUNCTION("VLOOKUP(A167,IMPORTRANGE(""1QZ5UxyNCwadreQAXnQ7oCoH982DjIA-QnZdO7ZoqkC0/edit#gid=884617569"",""S5 Totals!$A$2:$O$255""),11,FALSE)"),0.2)</f>
        <v>0.2</v>
      </c>
      <c r="O167" s="110"/>
      <c r="P167" s="16">
        <f>IFERROR(__xludf.DUMMYFUNCTION("VLOOKUP(A167,IMPORTRANGE(""1QZ5UxyNCwadreQAXnQ7oCoH982DjIA-QnZdO7ZoqkC0/edit#gid=884617569"",""S5 Totals!$A$2:$O$255""),13,FALSE)"),6.0)</f>
        <v>6</v>
      </c>
      <c r="Q167" s="15">
        <f>IFERROR(__xludf.DUMMYFUNCTION("VLOOKUP(A167,IMPORTRANGE(""1QZ5UxyNCwadreQAXnQ7oCoH982DjIA-QnZdO7ZoqkC0/edit#gid=884617569"",""S5 Totals!$A$2:$O$255""),14,FALSE)"),0.21428571428571427)</f>
        <v>0.2142857143</v>
      </c>
      <c r="R167" s="110"/>
    </row>
    <row r="168">
      <c r="A168" s="128" t="s">
        <v>142</v>
      </c>
      <c r="B168" s="16">
        <f>IFERROR(__xludf.DUMMYFUNCTION("VLOOKUP(A168,IMPORTRANGE(""1aFCnJY1qhIj8-JckJhDJ18aqmVo17tofpQmOjcYa3u8/edit#gid=1878241338"",""S5 Totals!$A$2:$O$255""),2,FALSE)"),0.0)</f>
        <v>0</v>
      </c>
      <c r="C168" s="15">
        <f>IFERROR(__xludf.DUMMYFUNCTION("VLOOKUP(A168,IMPORTRANGE(""1aFCnJY1qhIj8-JckJhDJ18aqmVo17tofpQmOjcYa3u8/edit#gid=1878241338"",""S5 Totals!$A$2:$O$255""),3,FALSE)"),0.0)</f>
        <v>0</v>
      </c>
      <c r="D168" s="16">
        <f>IFERROR(__xludf.DUMMYFUNCTION("VLOOKUP(A168,IMPORTRANGE(""1QZ5UxyNCwadreQAXnQ7oCoH982DjIA-QnZdO7ZoqkC0/edit#gid=884617569"",""S5 Totals!$A$2:$O$255""),2,FALSE)"),0.0)</f>
        <v>0</v>
      </c>
      <c r="E168" s="15">
        <f>IFERROR(__xludf.DUMMYFUNCTION("VLOOKUP(A168,IMPORTRANGE(""1QZ5UxyNCwadreQAXnQ7oCoH982DjIA-QnZdO7ZoqkC0/edit#gid=884617569"",""S5 Totals!$A$2:$O$255""),3,FALSE)"),0.0)</f>
        <v>0</v>
      </c>
      <c r="F168" s="146">
        <f t="shared" si="1"/>
        <v>0</v>
      </c>
      <c r="G168" s="16">
        <f>IFERROR(__xludf.DUMMYFUNCTION("VLOOKUP(A168,IMPORTRANGE(""1QZ5UxyNCwadreQAXnQ7oCoH982DjIA-QnZdO7ZoqkC0/edit#gid=884617569"",""S5 Totals!$A$2:$O$255""),4,FALSE)"),0.0)</f>
        <v>0</v>
      </c>
      <c r="H168" s="15">
        <f>IFERROR(__xludf.DUMMYFUNCTION("VLOOKUP(A168,IMPORTRANGE(""1QZ5UxyNCwadreQAXnQ7oCoH982DjIA-QnZdO7ZoqkC0/edit#gid=884617569"",""S5 Totals!$A$2:$O$255""),5,FALSE)"),0.0)</f>
        <v>0</v>
      </c>
      <c r="I168" s="143"/>
      <c r="J168" s="16">
        <f>IFERROR(__xludf.DUMMYFUNCTION("VLOOKUP(A168,IMPORTRANGE(""1QZ5UxyNCwadreQAXnQ7oCoH982DjIA-QnZdO7ZoqkC0/edit#gid=884617569"",""S5 Totals!$A$2:$O$255""),7,FALSE)"),0.0)</f>
        <v>0</v>
      </c>
      <c r="K168" s="15">
        <f>IFERROR(__xludf.DUMMYFUNCTION("VLOOKUP(A168,IMPORTRANGE(""1QZ5UxyNCwadreQAXnQ7oCoH982DjIA-QnZdO7ZoqkC0/edit#gid=884617569"",""S5 Totals!$A$2:$O$255""),8,FALSE)"),0.0)</f>
        <v>0</v>
      </c>
      <c r="L168" s="147"/>
      <c r="M168" s="16">
        <f>IFERROR(__xludf.DUMMYFUNCTION("VLOOKUP(A168,IMPORTRANGE(""1QZ5UxyNCwadreQAXnQ7oCoH982DjIA-QnZdO7ZoqkC0/edit#gid=884617569"",""S5 Totals!$A$2:$O$255""),10,FALSE)"),0.0)</f>
        <v>0</v>
      </c>
      <c r="N168" s="15">
        <f>IFERROR(__xludf.DUMMYFUNCTION("VLOOKUP(A168,IMPORTRANGE(""1QZ5UxyNCwadreQAXnQ7oCoH982DjIA-QnZdO7ZoqkC0/edit#gid=884617569"",""S5 Totals!$A$2:$O$255""),11,FALSE)"),0.0)</f>
        <v>0</v>
      </c>
      <c r="O168" s="110"/>
      <c r="P168" s="16" t="str">
        <f>IFERROR(__xludf.DUMMYFUNCTION("VLOOKUP(A168,IMPORTRANGE(""1QZ5UxyNCwadreQAXnQ7oCoH982DjIA-QnZdO7ZoqkC0/edit#gid=884617569"",""S5 Totals!$A$2:$O$255""),13,FALSE)"),"")</f>
        <v/>
      </c>
      <c r="Q168" s="15" t="str">
        <f>IFERROR(__xludf.DUMMYFUNCTION("VLOOKUP(A168,IMPORTRANGE(""1QZ5UxyNCwadreQAXnQ7oCoH982DjIA-QnZdO7ZoqkC0/edit#gid=884617569"",""S5 Totals!$A$2:$O$255""),14,FALSE)"),"")</f>
        <v/>
      </c>
      <c r="R168" s="110"/>
    </row>
    <row r="169">
      <c r="A169" s="128" t="s">
        <v>82</v>
      </c>
      <c r="B169" s="16">
        <f>IFERROR(__xludf.DUMMYFUNCTION("VLOOKUP(A169,IMPORTRANGE(""1aFCnJY1qhIj8-JckJhDJ18aqmVo17tofpQmOjcYa3u8/edit#gid=1878241338"",""S5 Totals!$A$2:$O$255""),2,FALSE)"),15.0)</f>
        <v>15</v>
      </c>
      <c r="C169" s="15">
        <f>IFERROR(__xludf.DUMMYFUNCTION("VLOOKUP(A169,IMPORTRANGE(""1aFCnJY1qhIj8-JckJhDJ18aqmVo17tofpQmOjcYa3u8/edit#gid=1878241338"",""S5 Totals!$A$2:$O$255""),3,FALSE)"),0.18072289156626506)</f>
        <v>0.1807228916</v>
      </c>
      <c r="D169" s="16">
        <f>IFERROR(__xludf.DUMMYFUNCTION("VLOOKUP(A169,IMPORTRANGE(""1QZ5UxyNCwadreQAXnQ7oCoH982DjIA-QnZdO7ZoqkC0/edit#gid=884617569"",""S5 Totals!$A$2:$O$255""),2,FALSE)"),19.0)</f>
        <v>19</v>
      </c>
      <c r="E169" s="15">
        <f>IFERROR(__xludf.DUMMYFUNCTION("VLOOKUP(A169,IMPORTRANGE(""1QZ5UxyNCwadreQAXnQ7oCoH982DjIA-QnZdO7ZoqkC0/edit#gid=884617569"",""S5 Totals!$A$2:$O$255""),3,FALSE)"),0.2289156626506024)</f>
        <v>0.2289156627</v>
      </c>
      <c r="F169" s="146">
        <f t="shared" si="1"/>
        <v>-0.04819277108</v>
      </c>
      <c r="G169" s="16">
        <f>IFERROR(__xludf.DUMMYFUNCTION("VLOOKUP(A169,IMPORTRANGE(""1QZ5UxyNCwadreQAXnQ7oCoH982DjIA-QnZdO7ZoqkC0/edit#gid=884617569"",""S5 Totals!$A$2:$O$255""),4,FALSE)"),8.0)</f>
        <v>8</v>
      </c>
      <c r="H169" s="15">
        <f>IFERROR(__xludf.DUMMYFUNCTION("VLOOKUP(A169,IMPORTRANGE(""1QZ5UxyNCwadreQAXnQ7oCoH982DjIA-QnZdO7ZoqkC0/edit#gid=884617569"",""S5 Totals!$A$2:$O$255""),5,FALSE)"),0.16326530612244897)</f>
        <v>0.1632653061</v>
      </c>
      <c r="I169" s="143"/>
      <c r="J169" s="16">
        <f>IFERROR(__xludf.DUMMYFUNCTION("VLOOKUP(A169,IMPORTRANGE(""1QZ5UxyNCwadreQAXnQ7oCoH982DjIA-QnZdO7ZoqkC0/edit#gid=884617569"",""S5 Totals!$A$2:$O$255""),7,FALSE)"),4.0)</f>
        <v>4</v>
      </c>
      <c r="K169" s="15">
        <f>IFERROR(__xludf.DUMMYFUNCTION("VLOOKUP(A169,IMPORTRANGE(""1QZ5UxyNCwadreQAXnQ7oCoH982DjIA-QnZdO7ZoqkC0/edit#gid=884617569"",""S5 Totals!$A$2:$O$255""),8,FALSE)"),0.11764705882352941)</f>
        <v>0.1176470588</v>
      </c>
      <c r="L169" s="147"/>
      <c r="M169" s="16">
        <f>IFERROR(__xludf.DUMMYFUNCTION("VLOOKUP(A169,IMPORTRANGE(""1QZ5UxyNCwadreQAXnQ7oCoH982DjIA-QnZdO7ZoqkC0/edit#gid=884617569"",""S5 Totals!$A$2:$O$255""),10,FALSE)"),3.0)</f>
        <v>3</v>
      </c>
      <c r="N169" s="15">
        <f>IFERROR(__xludf.DUMMYFUNCTION("VLOOKUP(A169,IMPORTRANGE(""1QZ5UxyNCwadreQAXnQ7oCoH982DjIA-QnZdO7ZoqkC0/edit#gid=884617569"",""S5 Totals!$A$2:$O$255""),11,FALSE)"),0.1)</f>
        <v>0.1</v>
      </c>
      <c r="O169" s="110"/>
      <c r="P169" s="16">
        <f>IFERROR(__xludf.DUMMYFUNCTION("VLOOKUP(A169,IMPORTRANGE(""1QZ5UxyNCwadreQAXnQ7oCoH982DjIA-QnZdO7ZoqkC0/edit#gid=884617569"",""S5 Totals!$A$2:$O$255""),13,FALSE)"),0.0)</f>
        <v>0</v>
      </c>
      <c r="Q169" s="15">
        <f>IFERROR(__xludf.DUMMYFUNCTION("VLOOKUP(A169,IMPORTRANGE(""1QZ5UxyNCwadreQAXnQ7oCoH982DjIA-QnZdO7ZoqkC0/edit#gid=884617569"",""S5 Totals!$A$2:$O$255""),14,FALSE)"),0.0)</f>
        <v>0</v>
      </c>
      <c r="R169" s="110"/>
    </row>
    <row r="170">
      <c r="A170" s="128" t="s">
        <v>66</v>
      </c>
      <c r="B170" s="16">
        <f>IFERROR(__xludf.DUMMYFUNCTION("VLOOKUP(A170,IMPORTRANGE(""1aFCnJY1qhIj8-JckJhDJ18aqmVo17tofpQmOjcYa3u8/edit#gid=1878241338"",""S5 Totals!$A$2:$O$255""),2,FALSE)"),27.0)</f>
        <v>27</v>
      </c>
      <c r="C170" s="15">
        <f>IFERROR(__xludf.DUMMYFUNCTION("VLOOKUP(A170,IMPORTRANGE(""1aFCnJY1qhIj8-JckJhDJ18aqmVo17tofpQmOjcYa3u8/edit#gid=1878241338"",""S5 Totals!$A$2:$O$255""),3,FALSE)"),0.3253012048192771)</f>
        <v>0.3253012048</v>
      </c>
      <c r="D170" s="16">
        <f>IFERROR(__xludf.DUMMYFUNCTION("VLOOKUP(A170,IMPORTRANGE(""1QZ5UxyNCwadreQAXnQ7oCoH982DjIA-QnZdO7ZoqkC0/edit#gid=884617569"",""S5 Totals!$A$2:$O$255""),2,FALSE)"),29.0)</f>
        <v>29</v>
      </c>
      <c r="E170" s="15">
        <f>IFERROR(__xludf.DUMMYFUNCTION("VLOOKUP(A170,IMPORTRANGE(""1QZ5UxyNCwadreQAXnQ7oCoH982DjIA-QnZdO7ZoqkC0/edit#gid=884617569"",""S5 Totals!$A$2:$O$255""),3,FALSE)"),0.3493975903614458)</f>
        <v>0.3493975904</v>
      </c>
      <c r="F170" s="146">
        <f t="shared" si="1"/>
        <v>-0.02409638554</v>
      </c>
      <c r="G170" s="16">
        <f>IFERROR(__xludf.DUMMYFUNCTION("VLOOKUP(A170,IMPORTRANGE(""1QZ5UxyNCwadreQAXnQ7oCoH982DjIA-QnZdO7ZoqkC0/edit#gid=884617569"",""S5 Totals!$A$2:$O$255""),4,FALSE)"),16.0)</f>
        <v>16</v>
      </c>
      <c r="H170" s="15">
        <f>IFERROR(__xludf.DUMMYFUNCTION("VLOOKUP(A170,IMPORTRANGE(""1QZ5UxyNCwadreQAXnQ7oCoH982DjIA-QnZdO7ZoqkC0/edit#gid=884617569"",""S5 Totals!$A$2:$O$255""),5,FALSE)"),0.32653061224489793)</f>
        <v>0.3265306122</v>
      </c>
      <c r="I170" s="143"/>
      <c r="J170" s="16">
        <f>IFERROR(__xludf.DUMMYFUNCTION("VLOOKUP(A170,IMPORTRANGE(""1QZ5UxyNCwadreQAXnQ7oCoH982DjIA-QnZdO7ZoqkC0/edit#gid=884617569"",""S5 Totals!$A$2:$O$255""),7,FALSE)"),13.0)</f>
        <v>13</v>
      </c>
      <c r="K170" s="15">
        <f>IFERROR(__xludf.DUMMYFUNCTION("VLOOKUP(A170,IMPORTRANGE(""1QZ5UxyNCwadreQAXnQ7oCoH982DjIA-QnZdO7ZoqkC0/edit#gid=884617569"",""S5 Totals!$A$2:$O$255""),8,FALSE)"),0.38235294117647056)</f>
        <v>0.3823529412</v>
      </c>
      <c r="L170" s="147"/>
      <c r="M170" s="16">
        <f>IFERROR(__xludf.DUMMYFUNCTION("VLOOKUP(A170,IMPORTRANGE(""1QZ5UxyNCwadreQAXnQ7oCoH982DjIA-QnZdO7ZoqkC0/edit#gid=884617569"",""S5 Totals!$A$2:$O$255""),10,FALSE)"),6.0)</f>
        <v>6</v>
      </c>
      <c r="N170" s="15">
        <f>IFERROR(__xludf.DUMMYFUNCTION("VLOOKUP(A170,IMPORTRANGE(""1QZ5UxyNCwadreQAXnQ7oCoH982DjIA-QnZdO7ZoqkC0/edit#gid=884617569"",""S5 Totals!$A$2:$O$255""),11,FALSE)"),0.2)</f>
        <v>0.2</v>
      </c>
      <c r="O170" s="110"/>
      <c r="P170" s="16">
        <f>IFERROR(__xludf.DUMMYFUNCTION("VLOOKUP(A170,IMPORTRANGE(""1QZ5UxyNCwadreQAXnQ7oCoH982DjIA-QnZdO7ZoqkC0/edit#gid=884617569"",""S5 Totals!$A$2:$O$255""),13,FALSE)"),5.0)</f>
        <v>5</v>
      </c>
      <c r="Q170" s="15">
        <f>IFERROR(__xludf.DUMMYFUNCTION("VLOOKUP(A170,IMPORTRANGE(""1QZ5UxyNCwadreQAXnQ7oCoH982DjIA-QnZdO7ZoqkC0/edit#gid=884617569"",""S5 Totals!$A$2:$O$255""),14,FALSE)"),0.17857142857142858)</f>
        <v>0.1785714286</v>
      </c>
      <c r="R170" s="110"/>
    </row>
    <row r="171">
      <c r="A171" s="128" t="s">
        <v>245</v>
      </c>
      <c r="B171" s="16">
        <f>IFERROR(__xludf.DUMMYFUNCTION("VLOOKUP(A171,IMPORTRANGE(""1aFCnJY1qhIj8-JckJhDJ18aqmVo17tofpQmOjcYa3u8/edit#gid=1878241338"",""S5 Totals!$A$2:$O$255""),2,FALSE)"),4.0)</f>
        <v>4</v>
      </c>
      <c r="C171" s="15">
        <f>IFERROR(__xludf.DUMMYFUNCTION("VLOOKUP(A171,IMPORTRANGE(""1aFCnJY1qhIj8-JckJhDJ18aqmVo17tofpQmOjcYa3u8/edit#gid=1878241338"",""S5 Totals!$A$2:$O$255""),3,FALSE)"),0.04819277108433735)</f>
        <v>0.04819277108</v>
      </c>
      <c r="D171" s="16">
        <f>IFERROR(__xludf.DUMMYFUNCTION("VLOOKUP(A171,IMPORTRANGE(""1QZ5UxyNCwadreQAXnQ7oCoH982DjIA-QnZdO7ZoqkC0/edit#gid=884617569"",""S5 Totals!$A$2:$O$255""),2,FALSE)"),6.0)</f>
        <v>6</v>
      </c>
      <c r="E171" s="15">
        <f>IFERROR(__xludf.DUMMYFUNCTION("VLOOKUP(A171,IMPORTRANGE(""1QZ5UxyNCwadreQAXnQ7oCoH982DjIA-QnZdO7ZoqkC0/edit#gid=884617569"",""S5 Totals!$A$2:$O$255""),3,FALSE)"),0.07228915662650602)</f>
        <v>0.07228915663</v>
      </c>
      <c r="F171" s="146">
        <f t="shared" si="1"/>
        <v>-0.02409638554</v>
      </c>
      <c r="G171" s="16">
        <f>IFERROR(__xludf.DUMMYFUNCTION("VLOOKUP(A171,IMPORTRANGE(""1QZ5UxyNCwadreQAXnQ7oCoH982DjIA-QnZdO7ZoqkC0/edit#gid=884617569"",""S5 Totals!$A$2:$O$255""),4,FALSE)"),5.0)</f>
        <v>5</v>
      </c>
      <c r="H171" s="15">
        <f>IFERROR(__xludf.DUMMYFUNCTION("VLOOKUP(A171,IMPORTRANGE(""1QZ5UxyNCwadreQAXnQ7oCoH982DjIA-QnZdO7ZoqkC0/edit#gid=884617569"",""S5 Totals!$A$2:$O$255""),5,FALSE)"),0.10204081632653061)</f>
        <v>0.1020408163</v>
      </c>
      <c r="I171" s="143"/>
      <c r="J171" s="16" t="str">
        <f>IFERROR(__xludf.DUMMYFUNCTION("VLOOKUP(A171,IMPORTRANGE(""1QZ5UxyNCwadreQAXnQ7oCoH982DjIA-QnZdO7ZoqkC0/edit#gid=884617569"",""S5 Totals!$A$2:$O$255""),7,FALSE)"),"")</f>
        <v/>
      </c>
      <c r="K171" s="15" t="str">
        <f>IFERROR(__xludf.DUMMYFUNCTION("VLOOKUP(A171,IMPORTRANGE(""1QZ5UxyNCwadreQAXnQ7oCoH982DjIA-QnZdO7ZoqkC0/edit#gid=884617569"",""S5 Totals!$A$2:$O$255""),8,FALSE)"),"")</f>
        <v/>
      </c>
      <c r="L171" s="147"/>
      <c r="M171" s="16" t="str">
        <f>IFERROR(__xludf.DUMMYFUNCTION("VLOOKUP(A171,IMPORTRANGE(""1QZ5UxyNCwadreQAXnQ7oCoH982DjIA-QnZdO7ZoqkC0/edit#gid=884617569"",""S5 Totals!$A$2:$O$255""),10,FALSE)"),"")</f>
        <v/>
      </c>
      <c r="N171" s="15" t="str">
        <f>IFERROR(__xludf.DUMMYFUNCTION("VLOOKUP(A171,IMPORTRANGE(""1QZ5UxyNCwadreQAXnQ7oCoH982DjIA-QnZdO7ZoqkC0/edit#gid=884617569"",""S5 Totals!$A$2:$O$255""),11,FALSE)"),"")</f>
        <v/>
      </c>
      <c r="O171" s="110"/>
      <c r="P171" s="16" t="str">
        <f>IFERROR(__xludf.DUMMYFUNCTION("VLOOKUP(A171,IMPORTRANGE(""1QZ5UxyNCwadreQAXnQ7oCoH982DjIA-QnZdO7ZoqkC0/edit#gid=884617569"",""S5 Totals!$A$2:$O$255""),13,FALSE)"),"")</f>
        <v/>
      </c>
      <c r="Q171" s="15" t="str">
        <f>IFERROR(__xludf.DUMMYFUNCTION("VLOOKUP(A171,IMPORTRANGE(""1QZ5UxyNCwadreQAXnQ7oCoH982DjIA-QnZdO7ZoqkC0/edit#gid=884617569"",""S5 Totals!$A$2:$O$255""),14,FALSE)"),"")</f>
        <v/>
      </c>
      <c r="R171" s="110"/>
    </row>
    <row r="172">
      <c r="A172" s="128" t="s">
        <v>143</v>
      </c>
      <c r="B172" s="16">
        <f>IFERROR(__xludf.DUMMYFUNCTION("VLOOKUP(A172,IMPORTRANGE(""1aFCnJY1qhIj8-JckJhDJ18aqmVo17tofpQmOjcYa3u8/edit#gid=1878241338"",""S5 Totals!$A$2:$O$255""),2,FALSE)"),56.0)</f>
        <v>56</v>
      </c>
      <c r="C172" s="15">
        <f>IFERROR(__xludf.DUMMYFUNCTION("VLOOKUP(A172,IMPORTRANGE(""1aFCnJY1qhIj8-JckJhDJ18aqmVo17tofpQmOjcYa3u8/edit#gid=1878241338"",""S5 Totals!$A$2:$O$255""),3,FALSE)"),0.6746987951807228)</f>
        <v>0.6746987952</v>
      </c>
      <c r="D172" s="16">
        <f>IFERROR(__xludf.DUMMYFUNCTION("VLOOKUP(A172,IMPORTRANGE(""1QZ5UxyNCwadreQAXnQ7oCoH982DjIA-QnZdO7ZoqkC0/edit#gid=884617569"",""S5 Totals!$A$2:$O$255""),2,FALSE)"),60.0)</f>
        <v>60</v>
      </c>
      <c r="E172" s="15">
        <f>IFERROR(__xludf.DUMMYFUNCTION("VLOOKUP(A172,IMPORTRANGE(""1QZ5UxyNCwadreQAXnQ7oCoH982DjIA-QnZdO7ZoqkC0/edit#gid=884617569"",""S5 Totals!$A$2:$O$255""),3,FALSE)"),0.7228915662650602)</f>
        <v>0.7228915663</v>
      </c>
      <c r="F172" s="146">
        <f t="shared" si="1"/>
        <v>-0.04819277108</v>
      </c>
      <c r="G172" s="16">
        <f>IFERROR(__xludf.DUMMYFUNCTION("VLOOKUP(A172,IMPORTRANGE(""1QZ5UxyNCwadreQAXnQ7oCoH982DjIA-QnZdO7ZoqkC0/edit#gid=884617569"",""S5 Totals!$A$2:$O$255""),4,FALSE)"),12.0)</f>
        <v>12</v>
      </c>
      <c r="H172" s="15">
        <f>IFERROR(__xludf.DUMMYFUNCTION("VLOOKUP(A172,IMPORTRANGE(""1QZ5UxyNCwadreQAXnQ7oCoH982DjIA-QnZdO7ZoqkC0/edit#gid=884617569"",""S5 Totals!$A$2:$O$255""),5,FALSE)"),0.24489795918367346)</f>
        <v>0.2448979592</v>
      </c>
      <c r="I172" s="143"/>
      <c r="J172" s="16">
        <f>IFERROR(__xludf.DUMMYFUNCTION("VLOOKUP(A172,IMPORTRANGE(""1QZ5UxyNCwadreQAXnQ7oCoH982DjIA-QnZdO7ZoqkC0/edit#gid=884617569"",""S5 Totals!$A$2:$O$255""),7,FALSE)"),10.0)</f>
        <v>10</v>
      </c>
      <c r="K172" s="15">
        <f>IFERROR(__xludf.DUMMYFUNCTION("VLOOKUP(A172,IMPORTRANGE(""1QZ5UxyNCwadreQAXnQ7oCoH982DjIA-QnZdO7ZoqkC0/edit#gid=884617569"",""S5 Totals!$A$2:$O$255""),8,FALSE)"),0.29411764705882354)</f>
        <v>0.2941176471</v>
      </c>
      <c r="L172" s="147"/>
      <c r="M172" s="16">
        <f>IFERROR(__xludf.DUMMYFUNCTION("VLOOKUP(A172,IMPORTRANGE(""1QZ5UxyNCwadreQAXnQ7oCoH982DjIA-QnZdO7ZoqkC0/edit#gid=884617569"",""S5 Totals!$A$2:$O$255""),10,FALSE)"),4.0)</f>
        <v>4</v>
      </c>
      <c r="N172" s="15">
        <f>IFERROR(__xludf.DUMMYFUNCTION("VLOOKUP(A172,IMPORTRANGE(""1QZ5UxyNCwadreQAXnQ7oCoH982DjIA-QnZdO7ZoqkC0/edit#gid=884617569"",""S5 Totals!$A$2:$O$255""),11,FALSE)"),0.13333333333333333)</f>
        <v>0.1333333333</v>
      </c>
      <c r="O172" s="110"/>
      <c r="P172" s="16" t="str">
        <f>IFERROR(__xludf.DUMMYFUNCTION("VLOOKUP(A172,IMPORTRANGE(""1QZ5UxyNCwadreQAXnQ7oCoH982DjIA-QnZdO7ZoqkC0/edit#gid=884617569"",""S5 Totals!$A$2:$O$255""),13,FALSE)"),"")</f>
        <v/>
      </c>
      <c r="Q172" s="15" t="str">
        <f>IFERROR(__xludf.DUMMYFUNCTION("VLOOKUP(A172,IMPORTRANGE(""1QZ5UxyNCwadreQAXnQ7oCoH982DjIA-QnZdO7ZoqkC0/edit#gid=884617569"",""S5 Totals!$A$2:$O$255""),14,FALSE)"),"")</f>
        <v/>
      </c>
      <c r="R172" s="110"/>
    </row>
    <row r="173">
      <c r="A173" s="128" t="s">
        <v>269</v>
      </c>
      <c r="B173" s="16">
        <f>IFERROR(__xludf.DUMMYFUNCTION("VLOOKUP(A173,IMPORTRANGE(""1aFCnJY1qhIj8-JckJhDJ18aqmVo17tofpQmOjcYa3u8/edit#gid=1878241338"",""S5 Totals!$A$2:$O$255""),2,FALSE)"),10.0)</f>
        <v>10</v>
      </c>
      <c r="C173" s="15">
        <f>IFERROR(__xludf.DUMMYFUNCTION("VLOOKUP(A173,IMPORTRANGE(""1aFCnJY1qhIj8-JckJhDJ18aqmVo17tofpQmOjcYa3u8/edit#gid=1878241338"",""S5 Totals!$A$2:$O$255""),3,FALSE)"),0.12048192771084337)</f>
        <v>0.1204819277</v>
      </c>
      <c r="D173" s="16" t="str">
        <f>IFERROR(__xludf.DUMMYFUNCTION("VLOOKUP(A173,IMPORTRANGE(""1QZ5UxyNCwadreQAXnQ7oCoH982DjIA-QnZdO7ZoqkC0/edit#gid=884617569"",""S5 Totals!$A$2:$O$255""),2,FALSE)"),"#N/A")</f>
        <v>#N/A</v>
      </c>
      <c r="E173" s="15" t="str">
        <f>IFERROR(__xludf.DUMMYFUNCTION("VLOOKUP(A173,IMPORTRANGE(""1QZ5UxyNCwadreQAXnQ7oCoH982DjIA-QnZdO7ZoqkC0/edit#gid=884617569"",""S5 Totals!$A$2:$O$255""),3,FALSE)"),"#N/A")</f>
        <v>#N/A</v>
      </c>
      <c r="F173" s="146" t="str">
        <f t="shared" si="1"/>
        <v>#N/A</v>
      </c>
      <c r="G173" s="16" t="str">
        <f>IFERROR(__xludf.DUMMYFUNCTION("VLOOKUP(A173,IMPORTRANGE(""1QZ5UxyNCwadreQAXnQ7oCoH982DjIA-QnZdO7ZoqkC0/edit#gid=884617569"",""S5 Totals!$A$2:$O$255""),4,FALSE)"),"#N/A")</f>
        <v>#N/A</v>
      </c>
      <c r="H173" s="15" t="str">
        <f>IFERROR(__xludf.DUMMYFUNCTION("VLOOKUP(A173,IMPORTRANGE(""1QZ5UxyNCwadreQAXnQ7oCoH982DjIA-QnZdO7ZoqkC0/edit#gid=884617569"",""S5 Totals!$A$2:$O$255""),5,FALSE)"),"#N/A")</f>
        <v>#N/A</v>
      </c>
      <c r="I173" s="143"/>
      <c r="J173" s="16" t="str">
        <f>IFERROR(__xludf.DUMMYFUNCTION("VLOOKUP(A173,IMPORTRANGE(""1QZ5UxyNCwadreQAXnQ7oCoH982DjIA-QnZdO7ZoqkC0/edit#gid=884617569"",""S5 Totals!$A$2:$O$255""),7,FALSE)"),"#N/A")</f>
        <v>#N/A</v>
      </c>
      <c r="K173" s="15" t="str">
        <f>IFERROR(__xludf.DUMMYFUNCTION("VLOOKUP(A173,IMPORTRANGE(""1QZ5UxyNCwadreQAXnQ7oCoH982DjIA-QnZdO7ZoqkC0/edit#gid=884617569"",""S5 Totals!$A$2:$O$255""),8,FALSE)"),"#N/A")</f>
        <v>#N/A</v>
      </c>
      <c r="L173" s="147"/>
      <c r="M173" s="16" t="str">
        <f>IFERROR(__xludf.DUMMYFUNCTION("VLOOKUP(A173,IMPORTRANGE(""1QZ5UxyNCwadreQAXnQ7oCoH982DjIA-QnZdO7ZoqkC0/edit#gid=884617569"",""S5 Totals!$A$2:$O$255""),10,FALSE)"),"#N/A")</f>
        <v>#N/A</v>
      </c>
      <c r="N173" s="15" t="str">
        <f>IFERROR(__xludf.DUMMYFUNCTION("VLOOKUP(A173,IMPORTRANGE(""1QZ5UxyNCwadreQAXnQ7oCoH982DjIA-QnZdO7ZoqkC0/edit#gid=884617569"",""S5 Totals!$A$2:$O$255""),11,FALSE)"),"#N/A")</f>
        <v>#N/A</v>
      </c>
      <c r="O173" s="110"/>
      <c r="P173" s="16" t="str">
        <f>IFERROR(__xludf.DUMMYFUNCTION("VLOOKUP(A173,IMPORTRANGE(""1QZ5UxyNCwadreQAXnQ7oCoH982DjIA-QnZdO7ZoqkC0/edit#gid=884617569"",""S5 Totals!$A$2:$O$255""),13,FALSE)"),"#N/A")</f>
        <v>#N/A</v>
      </c>
      <c r="Q173" s="15" t="str">
        <f>IFERROR(__xludf.DUMMYFUNCTION("VLOOKUP(A173,IMPORTRANGE(""1QZ5UxyNCwadreQAXnQ7oCoH982DjIA-QnZdO7ZoqkC0/edit#gid=884617569"",""S5 Totals!$A$2:$O$255""),14,FALSE)"),"#N/A")</f>
        <v>#N/A</v>
      </c>
      <c r="R173" s="110"/>
    </row>
    <row r="174">
      <c r="A174" s="128" t="s">
        <v>190</v>
      </c>
      <c r="B174" s="16">
        <f>IFERROR(__xludf.DUMMYFUNCTION("VLOOKUP(A174,IMPORTRANGE(""1aFCnJY1qhIj8-JckJhDJ18aqmVo17tofpQmOjcYa3u8/edit#gid=1878241338"",""S5 Totals!$A$2:$O$255""),2,FALSE)"),23.0)</f>
        <v>23</v>
      </c>
      <c r="C174" s="15">
        <f>IFERROR(__xludf.DUMMYFUNCTION("VLOOKUP(A174,IMPORTRANGE(""1aFCnJY1qhIj8-JckJhDJ18aqmVo17tofpQmOjcYa3u8/edit#gid=1878241338"",""S5 Totals!$A$2:$O$255""),3,FALSE)"),0.27710843373493976)</f>
        <v>0.2771084337</v>
      </c>
      <c r="D174" s="16">
        <f>IFERROR(__xludf.DUMMYFUNCTION("VLOOKUP(A174,IMPORTRANGE(""1QZ5UxyNCwadreQAXnQ7oCoH982DjIA-QnZdO7ZoqkC0/edit#gid=884617569"",""S5 Totals!$A$2:$O$255""),2,FALSE)"),34.0)</f>
        <v>34</v>
      </c>
      <c r="E174" s="15">
        <f>IFERROR(__xludf.DUMMYFUNCTION("VLOOKUP(A174,IMPORTRANGE(""1QZ5UxyNCwadreQAXnQ7oCoH982DjIA-QnZdO7ZoqkC0/edit#gid=884617569"",""S5 Totals!$A$2:$O$255""),3,FALSE)"),0.40963855421686746)</f>
        <v>0.4096385542</v>
      </c>
      <c r="F174" s="146">
        <f t="shared" si="1"/>
        <v>-0.1325301205</v>
      </c>
      <c r="G174" s="16">
        <f>IFERROR(__xludf.DUMMYFUNCTION("VLOOKUP(A174,IMPORTRANGE(""1QZ5UxyNCwadreQAXnQ7oCoH982DjIA-QnZdO7ZoqkC0/edit#gid=884617569"",""S5 Totals!$A$2:$O$255""),4,FALSE)"),28.0)</f>
        <v>28</v>
      </c>
      <c r="H174" s="15">
        <f>IFERROR(__xludf.DUMMYFUNCTION("VLOOKUP(A174,IMPORTRANGE(""1QZ5UxyNCwadreQAXnQ7oCoH982DjIA-QnZdO7ZoqkC0/edit#gid=884617569"",""S5 Totals!$A$2:$O$255""),5,FALSE)"),0.5714285714285714)</f>
        <v>0.5714285714</v>
      </c>
      <c r="I174" s="143"/>
      <c r="J174" s="16">
        <f>IFERROR(__xludf.DUMMYFUNCTION("VLOOKUP(A174,IMPORTRANGE(""1QZ5UxyNCwadreQAXnQ7oCoH982DjIA-QnZdO7ZoqkC0/edit#gid=884617569"",""S5 Totals!$A$2:$O$255""),7,FALSE)"),20.0)</f>
        <v>20</v>
      </c>
      <c r="K174" s="15">
        <f>IFERROR(__xludf.DUMMYFUNCTION("VLOOKUP(A174,IMPORTRANGE(""1QZ5UxyNCwadreQAXnQ7oCoH982DjIA-QnZdO7ZoqkC0/edit#gid=884617569"",""S5 Totals!$A$2:$O$255""),8,FALSE)"),0.5882352941176471)</f>
        <v>0.5882352941</v>
      </c>
      <c r="L174" s="147"/>
      <c r="M174" s="16" t="str">
        <f>IFERROR(__xludf.DUMMYFUNCTION("VLOOKUP(A174,IMPORTRANGE(""1QZ5UxyNCwadreQAXnQ7oCoH982DjIA-QnZdO7ZoqkC0/edit#gid=884617569"",""S5 Totals!$A$2:$O$255""),10,FALSE)"),"")</f>
        <v/>
      </c>
      <c r="N174" s="15" t="str">
        <f>IFERROR(__xludf.DUMMYFUNCTION("VLOOKUP(A174,IMPORTRANGE(""1QZ5UxyNCwadreQAXnQ7oCoH982DjIA-QnZdO7ZoqkC0/edit#gid=884617569"",""S5 Totals!$A$2:$O$255""),11,FALSE)"),"")</f>
        <v/>
      </c>
      <c r="O174" s="110"/>
      <c r="P174" s="16" t="str">
        <f>IFERROR(__xludf.DUMMYFUNCTION("VLOOKUP(A174,IMPORTRANGE(""1QZ5UxyNCwadreQAXnQ7oCoH982DjIA-QnZdO7ZoqkC0/edit#gid=884617569"",""S5 Totals!$A$2:$O$255""),13,FALSE)"),"")</f>
        <v/>
      </c>
      <c r="Q174" s="15" t="str">
        <f>IFERROR(__xludf.DUMMYFUNCTION("VLOOKUP(A174,IMPORTRANGE(""1QZ5UxyNCwadreQAXnQ7oCoH982DjIA-QnZdO7ZoqkC0/edit#gid=884617569"",""S5 Totals!$A$2:$O$255""),14,FALSE)"),"")</f>
        <v/>
      </c>
      <c r="R174" s="110"/>
    </row>
    <row r="175">
      <c r="A175" s="128" t="s">
        <v>246</v>
      </c>
      <c r="B175" s="16">
        <f>IFERROR(__xludf.DUMMYFUNCTION("VLOOKUP(A175,IMPORTRANGE(""1aFCnJY1qhIj8-JckJhDJ18aqmVo17tofpQmOjcYa3u8/edit#gid=1878241338"",""S5 Totals!$A$2:$O$255""),2,FALSE)"),0.0)</f>
        <v>0</v>
      </c>
      <c r="C175" s="15">
        <f>IFERROR(__xludf.DUMMYFUNCTION("VLOOKUP(A175,IMPORTRANGE(""1aFCnJY1qhIj8-JckJhDJ18aqmVo17tofpQmOjcYa3u8/edit#gid=1878241338"",""S5 Totals!$A$2:$O$255""),3,FALSE)"),0.0)</f>
        <v>0</v>
      </c>
      <c r="D175" s="16">
        <f>IFERROR(__xludf.DUMMYFUNCTION("VLOOKUP(A175,IMPORTRANGE(""1QZ5UxyNCwadreQAXnQ7oCoH982DjIA-QnZdO7ZoqkC0/edit#gid=884617569"",""S5 Totals!$A$2:$O$255""),2,FALSE)"),0.0)</f>
        <v>0</v>
      </c>
      <c r="E175" s="15">
        <f>IFERROR(__xludf.DUMMYFUNCTION("VLOOKUP(A175,IMPORTRANGE(""1QZ5UxyNCwadreQAXnQ7oCoH982DjIA-QnZdO7ZoqkC0/edit#gid=884617569"",""S5 Totals!$A$2:$O$255""),3,FALSE)"),0.0)</f>
        <v>0</v>
      </c>
      <c r="F175" s="146">
        <f t="shared" si="1"/>
        <v>0</v>
      </c>
      <c r="G175" s="16">
        <f>IFERROR(__xludf.DUMMYFUNCTION("VLOOKUP(A175,IMPORTRANGE(""1QZ5UxyNCwadreQAXnQ7oCoH982DjIA-QnZdO7ZoqkC0/edit#gid=884617569"",""S5 Totals!$A$2:$O$255""),4,FALSE)"),0.0)</f>
        <v>0</v>
      </c>
      <c r="H175" s="15">
        <f>IFERROR(__xludf.DUMMYFUNCTION("VLOOKUP(A175,IMPORTRANGE(""1QZ5UxyNCwadreQAXnQ7oCoH982DjIA-QnZdO7ZoqkC0/edit#gid=884617569"",""S5 Totals!$A$2:$O$255""),5,FALSE)"),0.0)</f>
        <v>0</v>
      </c>
      <c r="I175" s="143"/>
      <c r="J175" s="16" t="str">
        <f>IFERROR(__xludf.DUMMYFUNCTION("VLOOKUP(A175,IMPORTRANGE(""1QZ5UxyNCwadreQAXnQ7oCoH982DjIA-QnZdO7ZoqkC0/edit#gid=884617569"",""S5 Totals!$A$2:$O$255""),7,FALSE)"),"")</f>
        <v/>
      </c>
      <c r="K175" s="15" t="str">
        <f>IFERROR(__xludf.DUMMYFUNCTION("VLOOKUP(A175,IMPORTRANGE(""1QZ5UxyNCwadreQAXnQ7oCoH982DjIA-QnZdO7ZoqkC0/edit#gid=884617569"",""S5 Totals!$A$2:$O$255""),8,FALSE)"),"")</f>
        <v/>
      </c>
      <c r="L175" s="147"/>
      <c r="M175" s="16" t="str">
        <f>IFERROR(__xludf.DUMMYFUNCTION("VLOOKUP(A175,IMPORTRANGE(""1QZ5UxyNCwadreQAXnQ7oCoH982DjIA-QnZdO7ZoqkC0/edit#gid=884617569"",""S5 Totals!$A$2:$O$255""),10,FALSE)"),"")</f>
        <v/>
      </c>
      <c r="N175" s="15" t="str">
        <f>IFERROR(__xludf.DUMMYFUNCTION("VLOOKUP(A175,IMPORTRANGE(""1QZ5UxyNCwadreQAXnQ7oCoH982DjIA-QnZdO7ZoqkC0/edit#gid=884617569"",""S5 Totals!$A$2:$O$255""),11,FALSE)"),"")</f>
        <v/>
      </c>
      <c r="O175" s="110"/>
      <c r="P175" s="16" t="str">
        <f>IFERROR(__xludf.DUMMYFUNCTION("VLOOKUP(A175,IMPORTRANGE(""1QZ5UxyNCwadreQAXnQ7oCoH982DjIA-QnZdO7ZoqkC0/edit#gid=884617569"",""S5 Totals!$A$2:$O$255""),13,FALSE)"),"")</f>
        <v/>
      </c>
      <c r="Q175" s="15" t="str">
        <f>IFERROR(__xludf.DUMMYFUNCTION("VLOOKUP(A175,IMPORTRANGE(""1QZ5UxyNCwadreQAXnQ7oCoH982DjIA-QnZdO7ZoqkC0/edit#gid=884617569"",""S5 Totals!$A$2:$O$255""),14,FALSE)"),"")</f>
        <v/>
      </c>
      <c r="R175" s="110"/>
    </row>
    <row r="176">
      <c r="A176" s="128" t="s">
        <v>191</v>
      </c>
      <c r="B176" s="16">
        <f>IFERROR(__xludf.DUMMYFUNCTION("VLOOKUP(A176,IMPORTRANGE(""1aFCnJY1qhIj8-JckJhDJ18aqmVo17tofpQmOjcYa3u8/edit#gid=1878241338"",""S5 Totals!$A$2:$O$255""),2,FALSE)"),16.0)</f>
        <v>16</v>
      </c>
      <c r="C176" s="15">
        <f>IFERROR(__xludf.DUMMYFUNCTION("VLOOKUP(A176,IMPORTRANGE(""1aFCnJY1qhIj8-JckJhDJ18aqmVo17tofpQmOjcYa3u8/edit#gid=1878241338"",""S5 Totals!$A$2:$O$255""),3,FALSE)"),0.1927710843373494)</f>
        <v>0.1927710843</v>
      </c>
      <c r="D176" s="16">
        <f>IFERROR(__xludf.DUMMYFUNCTION("VLOOKUP(A176,IMPORTRANGE(""1QZ5UxyNCwadreQAXnQ7oCoH982DjIA-QnZdO7ZoqkC0/edit#gid=884617569"",""S5 Totals!$A$2:$O$255""),2,FALSE)"),19.0)</f>
        <v>19</v>
      </c>
      <c r="E176" s="15">
        <f>IFERROR(__xludf.DUMMYFUNCTION("VLOOKUP(A176,IMPORTRANGE(""1QZ5UxyNCwadreQAXnQ7oCoH982DjIA-QnZdO7ZoqkC0/edit#gid=884617569"",""S5 Totals!$A$2:$O$255""),3,FALSE)"),0.2289156626506024)</f>
        <v>0.2289156627</v>
      </c>
      <c r="F176" s="146">
        <f t="shared" si="1"/>
        <v>-0.03614457831</v>
      </c>
      <c r="G176" s="16">
        <f>IFERROR(__xludf.DUMMYFUNCTION("VLOOKUP(A176,IMPORTRANGE(""1QZ5UxyNCwadreQAXnQ7oCoH982DjIA-QnZdO7ZoqkC0/edit#gid=884617569"",""S5 Totals!$A$2:$O$255""),4,FALSE)"),1.0)</f>
        <v>1</v>
      </c>
      <c r="H176" s="15">
        <f>IFERROR(__xludf.DUMMYFUNCTION("VLOOKUP(A176,IMPORTRANGE(""1QZ5UxyNCwadreQAXnQ7oCoH982DjIA-QnZdO7ZoqkC0/edit#gid=884617569"",""S5 Totals!$A$2:$O$255""),5,FALSE)"),0.02040816326530612)</f>
        <v>0.02040816327</v>
      </c>
      <c r="I176" s="143"/>
      <c r="J176" s="16">
        <f>IFERROR(__xludf.DUMMYFUNCTION("VLOOKUP(A176,IMPORTRANGE(""1QZ5UxyNCwadreQAXnQ7oCoH982DjIA-QnZdO7ZoqkC0/edit#gid=884617569"",""S5 Totals!$A$2:$O$255""),7,FALSE)"),0.0)</f>
        <v>0</v>
      </c>
      <c r="K176" s="15">
        <f>IFERROR(__xludf.DUMMYFUNCTION("VLOOKUP(A176,IMPORTRANGE(""1QZ5UxyNCwadreQAXnQ7oCoH982DjIA-QnZdO7ZoqkC0/edit#gid=884617569"",""S5 Totals!$A$2:$O$255""),8,FALSE)"),0.0)</f>
        <v>0</v>
      </c>
      <c r="L176" s="147"/>
      <c r="M176" s="16" t="str">
        <f>IFERROR(__xludf.DUMMYFUNCTION("VLOOKUP(A176,IMPORTRANGE(""1QZ5UxyNCwadreQAXnQ7oCoH982DjIA-QnZdO7ZoqkC0/edit#gid=884617569"",""S5 Totals!$A$2:$O$255""),10,FALSE)"),"")</f>
        <v/>
      </c>
      <c r="N176" s="15" t="str">
        <f>IFERROR(__xludf.DUMMYFUNCTION("VLOOKUP(A176,IMPORTRANGE(""1QZ5UxyNCwadreQAXnQ7oCoH982DjIA-QnZdO7ZoqkC0/edit#gid=884617569"",""S5 Totals!$A$2:$O$255""),11,FALSE)"),"")</f>
        <v/>
      </c>
      <c r="O176" s="110"/>
      <c r="P176" s="16" t="str">
        <f>IFERROR(__xludf.DUMMYFUNCTION("VLOOKUP(A176,IMPORTRANGE(""1QZ5UxyNCwadreQAXnQ7oCoH982DjIA-QnZdO7ZoqkC0/edit#gid=884617569"",""S5 Totals!$A$2:$O$255""),13,FALSE)"),"")</f>
        <v/>
      </c>
      <c r="Q176" s="15" t="str">
        <f>IFERROR(__xludf.DUMMYFUNCTION("VLOOKUP(A176,IMPORTRANGE(""1QZ5UxyNCwadreQAXnQ7oCoH982DjIA-QnZdO7ZoqkC0/edit#gid=884617569"",""S5 Totals!$A$2:$O$255""),14,FALSE)"),"")</f>
        <v/>
      </c>
      <c r="R176" s="110"/>
    </row>
    <row r="177">
      <c r="A177" s="128" t="s">
        <v>83</v>
      </c>
      <c r="B177" s="16">
        <f>IFERROR(__xludf.DUMMYFUNCTION("VLOOKUP(A177,IMPORTRANGE(""1aFCnJY1qhIj8-JckJhDJ18aqmVo17tofpQmOjcYa3u8/edit#gid=1878241338"",""S5 Totals!$A$2:$O$255""),2,FALSE)"),16.0)</f>
        <v>16</v>
      </c>
      <c r="C177" s="15">
        <f>IFERROR(__xludf.DUMMYFUNCTION("VLOOKUP(A177,IMPORTRANGE(""1aFCnJY1qhIj8-JckJhDJ18aqmVo17tofpQmOjcYa3u8/edit#gid=1878241338"",""S5 Totals!$A$2:$O$255""),3,FALSE)"),0.1927710843373494)</f>
        <v>0.1927710843</v>
      </c>
      <c r="D177" s="16">
        <f>IFERROR(__xludf.DUMMYFUNCTION("VLOOKUP(A177,IMPORTRANGE(""1QZ5UxyNCwadreQAXnQ7oCoH982DjIA-QnZdO7ZoqkC0/edit#gid=884617569"",""S5 Totals!$A$2:$O$255""),2,FALSE)"),11.0)</f>
        <v>11</v>
      </c>
      <c r="E177" s="15">
        <f>IFERROR(__xludf.DUMMYFUNCTION("VLOOKUP(A177,IMPORTRANGE(""1QZ5UxyNCwadreQAXnQ7oCoH982DjIA-QnZdO7ZoqkC0/edit#gid=884617569"",""S5 Totals!$A$2:$O$255""),3,FALSE)"),0.13253012048192772)</f>
        <v>0.1325301205</v>
      </c>
      <c r="F177" s="146">
        <f t="shared" si="1"/>
        <v>0.06024096386</v>
      </c>
      <c r="G177" s="16">
        <f>IFERROR(__xludf.DUMMYFUNCTION("VLOOKUP(A177,IMPORTRANGE(""1QZ5UxyNCwadreQAXnQ7oCoH982DjIA-QnZdO7ZoqkC0/edit#gid=884617569"",""S5 Totals!$A$2:$O$255""),4,FALSE)"),8.0)</f>
        <v>8</v>
      </c>
      <c r="H177" s="15">
        <f>IFERROR(__xludf.DUMMYFUNCTION("VLOOKUP(A177,IMPORTRANGE(""1QZ5UxyNCwadreQAXnQ7oCoH982DjIA-QnZdO7ZoqkC0/edit#gid=884617569"",""S5 Totals!$A$2:$O$255""),5,FALSE)"),0.16326530612244897)</f>
        <v>0.1632653061</v>
      </c>
      <c r="I177" s="143"/>
      <c r="J177" s="16">
        <f>IFERROR(__xludf.DUMMYFUNCTION("VLOOKUP(A177,IMPORTRANGE(""1QZ5UxyNCwadreQAXnQ7oCoH982DjIA-QnZdO7ZoqkC0/edit#gid=884617569"",""S5 Totals!$A$2:$O$255""),7,FALSE)"),8.0)</f>
        <v>8</v>
      </c>
      <c r="K177" s="15">
        <f>IFERROR(__xludf.DUMMYFUNCTION("VLOOKUP(A177,IMPORTRANGE(""1QZ5UxyNCwadreQAXnQ7oCoH982DjIA-QnZdO7ZoqkC0/edit#gid=884617569"",""S5 Totals!$A$2:$O$255""),8,FALSE)"),0.23529411764705882)</f>
        <v>0.2352941176</v>
      </c>
      <c r="L177" s="147"/>
      <c r="M177" s="16">
        <f>IFERROR(__xludf.DUMMYFUNCTION("VLOOKUP(A177,IMPORTRANGE(""1QZ5UxyNCwadreQAXnQ7oCoH982DjIA-QnZdO7ZoqkC0/edit#gid=884617569"",""S5 Totals!$A$2:$O$255""),10,FALSE)"),2.0)</f>
        <v>2</v>
      </c>
      <c r="N177" s="15">
        <f>IFERROR(__xludf.DUMMYFUNCTION("VLOOKUP(A177,IMPORTRANGE(""1QZ5UxyNCwadreQAXnQ7oCoH982DjIA-QnZdO7ZoqkC0/edit#gid=884617569"",""S5 Totals!$A$2:$O$255""),11,FALSE)"),0.06666666666666667)</f>
        <v>0.06666666667</v>
      </c>
      <c r="O177" s="110"/>
      <c r="P177" s="16">
        <f>IFERROR(__xludf.DUMMYFUNCTION("VLOOKUP(A177,IMPORTRANGE(""1QZ5UxyNCwadreQAXnQ7oCoH982DjIA-QnZdO7ZoqkC0/edit#gid=884617569"",""S5 Totals!$A$2:$O$255""),13,FALSE)"),0.0)</f>
        <v>0</v>
      </c>
      <c r="Q177" s="15">
        <f>IFERROR(__xludf.DUMMYFUNCTION("VLOOKUP(A177,IMPORTRANGE(""1QZ5UxyNCwadreQAXnQ7oCoH982DjIA-QnZdO7ZoqkC0/edit#gid=884617569"",""S5 Totals!$A$2:$O$255""),14,FALSE)"),0.0)</f>
        <v>0</v>
      </c>
      <c r="R177" s="110"/>
    </row>
    <row r="178">
      <c r="A178" s="128" t="s">
        <v>247</v>
      </c>
      <c r="B178" s="16">
        <f>IFERROR(__xludf.DUMMYFUNCTION("VLOOKUP(A178,IMPORTRANGE(""1aFCnJY1qhIj8-JckJhDJ18aqmVo17tofpQmOjcYa3u8/edit#gid=1878241338"",""S5 Totals!$A$2:$O$255""),2,FALSE)"),22.0)</f>
        <v>22</v>
      </c>
      <c r="C178" s="15">
        <f>IFERROR(__xludf.DUMMYFUNCTION("VLOOKUP(A178,IMPORTRANGE(""1aFCnJY1qhIj8-JckJhDJ18aqmVo17tofpQmOjcYa3u8/edit#gid=1878241338"",""S5 Totals!$A$2:$O$255""),3,FALSE)"),0.26506024096385544)</f>
        <v>0.265060241</v>
      </c>
      <c r="D178" s="16">
        <f>IFERROR(__xludf.DUMMYFUNCTION("VLOOKUP(A178,IMPORTRANGE(""1QZ5UxyNCwadreQAXnQ7oCoH982DjIA-QnZdO7ZoqkC0/edit#gid=884617569"",""S5 Totals!$A$2:$O$255""),2,FALSE)"),7.0)</f>
        <v>7</v>
      </c>
      <c r="E178" s="15">
        <f>IFERROR(__xludf.DUMMYFUNCTION("VLOOKUP(A178,IMPORTRANGE(""1QZ5UxyNCwadreQAXnQ7oCoH982DjIA-QnZdO7ZoqkC0/edit#gid=884617569"",""S5 Totals!$A$2:$O$255""),3,FALSE)"),0.08433734939759036)</f>
        <v>0.0843373494</v>
      </c>
      <c r="F178" s="146">
        <f t="shared" si="1"/>
        <v>0.1807228916</v>
      </c>
      <c r="G178" s="16">
        <f>IFERROR(__xludf.DUMMYFUNCTION("VLOOKUP(A178,IMPORTRANGE(""1QZ5UxyNCwadreQAXnQ7oCoH982DjIA-QnZdO7ZoqkC0/edit#gid=884617569"",""S5 Totals!$A$2:$O$255""),4,FALSE)"),4.0)</f>
        <v>4</v>
      </c>
      <c r="H178" s="15">
        <f>IFERROR(__xludf.DUMMYFUNCTION("VLOOKUP(A178,IMPORTRANGE(""1QZ5UxyNCwadreQAXnQ7oCoH982DjIA-QnZdO7ZoqkC0/edit#gid=884617569"",""S5 Totals!$A$2:$O$255""),5,FALSE)"),0.08163265306122448)</f>
        <v>0.08163265306</v>
      </c>
      <c r="I178" s="143"/>
      <c r="J178" s="16" t="str">
        <f>IFERROR(__xludf.DUMMYFUNCTION("VLOOKUP(A178,IMPORTRANGE(""1QZ5UxyNCwadreQAXnQ7oCoH982DjIA-QnZdO7ZoqkC0/edit#gid=884617569"",""S5 Totals!$A$2:$O$255""),7,FALSE)"),"")</f>
        <v/>
      </c>
      <c r="K178" s="15" t="str">
        <f>IFERROR(__xludf.DUMMYFUNCTION("VLOOKUP(A178,IMPORTRANGE(""1QZ5UxyNCwadreQAXnQ7oCoH982DjIA-QnZdO7ZoqkC0/edit#gid=884617569"",""S5 Totals!$A$2:$O$255""),8,FALSE)"),"")</f>
        <v/>
      </c>
      <c r="L178" s="147"/>
      <c r="M178" s="16" t="str">
        <f>IFERROR(__xludf.DUMMYFUNCTION("VLOOKUP(A178,IMPORTRANGE(""1QZ5UxyNCwadreQAXnQ7oCoH982DjIA-QnZdO7ZoqkC0/edit#gid=884617569"",""S5 Totals!$A$2:$O$255""),10,FALSE)"),"")</f>
        <v/>
      </c>
      <c r="N178" s="15" t="str">
        <f>IFERROR(__xludf.DUMMYFUNCTION("VLOOKUP(A178,IMPORTRANGE(""1QZ5UxyNCwadreQAXnQ7oCoH982DjIA-QnZdO7ZoqkC0/edit#gid=884617569"",""S5 Totals!$A$2:$O$255""),11,FALSE)"),"")</f>
        <v/>
      </c>
      <c r="O178" s="110"/>
      <c r="P178" s="16" t="str">
        <f>IFERROR(__xludf.DUMMYFUNCTION("VLOOKUP(A178,IMPORTRANGE(""1QZ5UxyNCwadreQAXnQ7oCoH982DjIA-QnZdO7ZoqkC0/edit#gid=884617569"",""S5 Totals!$A$2:$O$255""),13,FALSE)"),"")</f>
        <v/>
      </c>
      <c r="Q178" s="15" t="str">
        <f>IFERROR(__xludf.DUMMYFUNCTION("VLOOKUP(A178,IMPORTRANGE(""1QZ5UxyNCwadreQAXnQ7oCoH982DjIA-QnZdO7ZoqkC0/edit#gid=884617569"",""S5 Totals!$A$2:$O$255""),14,FALSE)"),"")</f>
        <v/>
      </c>
      <c r="R178" s="110"/>
    </row>
    <row r="179">
      <c r="A179" s="128" t="s">
        <v>84</v>
      </c>
      <c r="B179" s="16">
        <f>IFERROR(__xludf.DUMMYFUNCTION("VLOOKUP(A179,IMPORTRANGE(""1aFCnJY1qhIj8-JckJhDJ18aqmVo17tofpQmOjcYa3u8/edit#gid=1878241338"",""S5 Totals!$A$2:$O$255""),2,FALSE)"),27.0)</f>
        <v>27</v>
      </c>
      <c r="C179" s="15">
        <f>IFERROR(__xludf.DUMMYFUNCTION("VLOOKUP(A179,IMPORTRANGE(""1aFCnJY1qhIj8-JckJhDJ18aqmVo17tofpQmOjcYa3u8/edit#gid=1878241338"",""S5 Totals!$A$2:$O$255""),3,FALSE)"),0.3253012048192771)</f>
        <v>0.3253012048</v>
      </c>
      <c r="D179" s="16">
        <f>IFERROR(__xludf.DUMMYFUNCTION("VLOOKUP(A179,IMPORTRANGE(""1QZ5UxyNCwadreQAXnQ7oCoH982DjIA-QnZdO7ZoqkC0/edit#gid=884617569"",""S5 Totals!$A$2:$O$255""),2,FALSE)"),25.0)</f>
        <v>25</v>
      </c>
      <c r="E179" s="15">
        <f>IFERROR(__xludf.DUMMYFUNCTION("VLOOKUP(A179,IMPORTRANGE(""1QZ5UxyNCwadreQAXnQ7oCoH982DjIA-QnZdO7ZoqkC0/edit#gid=884617569"",""S5 Totals!$A$2:$O$255""),3,FALSE)"),0.30120481927710846)</f>
        <v>0.3012048193</v>
      </c>
      <c r="F179" s="146">
        <f t="shared" si="1"/>
        <v>0.02409638554</v>
      </c>
      <c r="G179" s="16">
        <f>IFERROR(__xludf.DUMMYFUNCTION("VLOOKUP(A179,IMPORTRANGE(""1QZ5UxyNCwadreQAXnQ7oCoH982DjIA-QnZdO7ZoqkC0/edit#gid=884617569"",""S5 Totals!$A$2:$O$255""),4,FALSE)"),16.0)</f>
        <v>16</v>
      </c>
      <c r="H179" s="15">
        <f>IFERROR(__xludf.DUMMYFUNCTION("VLOOKUP(A179,IMPORTRANGE(""1QZ5UxyNCwadreQAXnQ7oCoH982DjIA-QnZdO7ZoqkC0/edit#gid=884617569"",""S5 Totals!$A$2:$O$255""),5,FALSE)"),0.32653061224489793)</f>
        <v>0.3265306122</v>
      </c>
      <c r="I179" s="143"/>
      <c r="J179" s="16">
        <f>IFERROR(__xludf.DUMMYFUNCTION("VLOOKUP(A179,IMPORTRANGE(""1QZ5UxyNCwadreQAXnQ7oCoH982DjIA-QnZdO7ZoqkC0/edit#gid=884617569"",""S5 Totals!$A$2:$O$255""),7,FALSE)"),12.0)</f>
        <v>12</v>
      </c>
      <c r="K179" s="15">
        <f>IFERROR(__xludf.DUMMYFUNCTION("VLOOKUP(A179,IMPORTRANGE(""1QZ5UxyNCwadreQAXnQ7oCoH982DjIA-QnZdO7ZoqkC0/edit#gid=884617569"",""S5 Totals!$A$2:$O$255""),8,FALSE)"),0.35294117647058826)</f>
        <v>0.3529411765</v>
      </c>
      <c r="L179" s="147"/>
      <c r="M179" s="16">
        <f>IFERROR(__xludf.DUMMYFUNCTION("VLOOKUP(A179,IMPORTRANGE(""1QZ5UxyNCwadreQAXnQ7oCoH982DjIA-QnZdO7ZoqkC0/edit#gid=884617569"",""S5 Totals!$A$2:$O$255""),10,FALSE)"),10.0)</f>
        <v>10</v>
      </c>
      <c r="N179" s="15">
        <f>IFERROR(__xludf.DUMMYFUNCTION("VLOOKUP(A179,IMPORTRANGE(""1QZ5UxyNCwadreQAXnQ7oCoH982DjIA-QnZdO7ZoqkC0/edit#gid=884617569"",""S5 Totals!$A$2:$O$255""),11,FALSE)"),0.3333333333333333)</f>
        <v>0.3333333333</v>
      </c>
      <c r="O179" s="110"/>
      <c r="P179" s="16">
        <f>IFERROR(__xludf.DUMMYFUNCTION("VLOOKUP(A179,IMPORTRANGE(""1QZ5UxyNCwadreQAXnQ7oCoH982DjIA-QnZdO7ZoqkC0/edit#gid=884617569"",""S5 Totals!$A$2:$O$255""),13,FALSE)"),5.0)</f>
        <v>5</v>
      </c>
      <c r="Q179" s="15">
        <f>IFERROR(__xludf.DUMMYFUNCTION("VLOOKUP(A179,IMPORTRANGE(""1QZ5UxyNCwadreQAXnQ7oCoH982DjIA-QnZdO7ZoqkC0/edit#gid=884617569"",""S5 Totals!$A$2:$O$255""),14,FALSE)"),0.17857142857142858)</f>
        <v>0.1785714286</v>
      </c>
      <c r="R179" s="110"/>
    </row>
    <row r="180">
      <c r="A180" s="128" t="s">
        <v>192</v>
      </c>
      <c r="B180" s="16">
        <f>IFERROR(__xludf.DUMMYFUNCTION("VLOOKUP(A180,IMPORTRANGE(""1aFCnJY1qhIj8-JckJhDJ18aqmVo17tofpQmOjcYa3u8/edit#gid=1878241338"",""S5 Totals!$A$2:$O$255""),2,FALSE)"),16.0)</f>
        <v>16</v>
      </c>
      <c r="C180" s="15">
        <f>IFERROR(__xludf.DUMMYFUNCTION("VLOOKUP(A180,IMPORTRANGE(""1aFCnJY1qhIj8-JckJhDJ18aqmVo17tofpQmOjcYa3u8/edit#gid=1878241338"",""S5 Totals!$A$2:$O$255""),3,FALSE)"),0.1927710843373494)</f>
        <v>0.1927710843</v>
      </c>
      <c r="D180" s="16">
        <f>IFERROR(__xludf.DUMMYFUNCTION("VLOOKUP(A180,IMPORTRANGE(""1QZ5UxyNCwadreQAXnQ7oCoH982DjIA-QnZdO7ZoqkC0/edit#gid=884617569"",""S5 Totals!$A$2:$O$255""),2,FALSE)"),8.0)</f>
        <v>8</v>
      </c>
      <c r="E180" s="15">
        <f>IFERROR(__xludf.DUMMYFUNCTION("VLOOKUP(A180,IMPORTRANGE(""1QZ5UxyNCwadreQAXnQ7oCoH982DjIA-QnZdO7ZoqkC0/edit#gid=884617569"",""S5 Totals!$A$2:$O$255""),3,FALSE)"),0.0963855421686747)</f>
        <v>0.09638554217</v>
      </c>
      <c r="F180" s="146">
        <f t="shared" si="1"/>
        <v>0.09638554217</v>
      </c>
      <c r="G180" s="16">
        <f>IFERROR(__xludf.DUMMYFUNCTION("VLOOKUP(A180,IMPORTRANGE(""1QZ5UxyNCwadreQAXnQ7oCoH982DjIA-QnZdO7ZoqkC0/edit#gid=884617569"",""S5 Totals!$A$2:$O$255""),4,FALSE)"),11.0)</f>
        <v>11</v>
      </c>
      <c r="H180" s="15">
        <f>IFERROR(__xludf.DUMMYFUNCTION("VLOOKUP(A180,IMPORTRANGE(""1QZ5UxyNCwadreQAXnQ7oCoH982DjIA-QnZdO7ZoqkC0/edit#gid=884617569"",""S5 Totals!$A$2:$O$255""),5,FALSE)"),0.22448979591836735)</f>
        <v>0.2244897959</v>
      </c>
      <c r="I180" s="143"/>
      <c r="J180" s="16">
        <f>IFERROR(__xludf.DUMMYFUNCTION("VLOOKUP(A180,IMPORTRANGE(""1QZ5UxyNCwadreQAXnQ7oCoH982DjIA-QnZdO7ZoqkC0/edit#gid=884617569"",""S5 Totals!$A$2:$O$255""),7,FALSE)"),4.0)</f>
        <v>4</v>
      </c>
      <c r="K180" s="15">
        <f>IFERROR(__xludf.DUMMYFUNCTION("VLOOKUP(A180,IMPORTRANGE(""1QZ5UxyNCwadreQAXnQ7oCoH982DjIA-QnZdO7ZoqkC0/edit#gid=884617569"",""S5 Totals!$A$2:$O$255""),8,FALSE)"),0.11764705882352941)</f>
        <v>0.1176470588</v>
      </c>
      <c r="L180" s="147"/>
      <c r="M180" s="16" t="str">
        <f>IFERROR(__xludf.DUMMYFUNCTION("VLOOKUP(A180,IMPORTRANGE(""1QZ5UxyNCwadreQAXnQ7oCoH982DjIA-QnZdO7ZoqkC0/edit#gid=884617569"",""S5 Totals!$A$2:$O$255""),10,FALSE)"),"")</f>
        <v/>
      </c>
      <c r="N180" s="15" t="str">
        <f>IFERROR(__xludf.DUMMYFUNCTION("VLOOKUP(A180,IMPORTRANGE(""1QZ5UxyNCwadreQAXnQ7oCoH982DjIA-QnZdO7ZoqkC0/edit#gid=884617569"",""S5 Totals!$A$2:$O$255""),11,FALSE)"),"")</f>
        <v/>
      </c>
      <c r="O180" s="110"/>
      <c r="P180" s="16" t="str">
        <f>IFERROR(__xludf.DUMMYFUNCTION("VLOOKUP(A180,IMPORTRANGE(""1QZ5UxyNCwadreQAXnQ7oCoH982DjIA-QnZdO7ZoqkC0/edit#gid=884617569"",""S5 Totals!$A$2:$O$255""),13,FALSE)"),"")</f>
        <v/>
      </c>
      <c r="Q180" s="15" t="str">
        <f>IFERROR(__xludf.DUMMYFUNCTION("VLOOKUP(A180,IMPORTRANGE(""1QZ5UxyNCwadreQAXnQ7oCoH982DjIA-QnZdO7ZoqkC0/edit#gid=884617569"",""S5 Totals!$A$2:$O$255""),14,FALSE)"),"")</f>
        <v/>
      </c>
      <c r="R180" s="110"/>
    </row>
    <row r="181">
      <c r="A181" s="128" t="s">
        <v>85</v>
      </c>
      <c r="B181" s="16">
        <f>IFERROR(__xludf.DUMMYFUNCTION("VLOOKUP(A181,IMPORTRANGE(""1aFCnJY1qhIj8-JckJhDJ18aqmVo17tofpQmOjcYa3u8/edit#gid=1878241338"",""S5 Totals!$A$2:$O$255""),2,FALSE)"),45.0)</f>
        <v>45</v>
      </c>
      <c r="C181" s="15">
        <f>IFERROR(__xludf.DUMMYFUNCTION("VLOOKUP(A181,IMPORTRANGE(""1aFCnJY1qhIj8-JckJhDJ18aqmVo17tofpQmOjcYa3u8/edit#gid=1878241338"",""S5 Totals!$A$2:$O$255""),3,FALSE)"),0.5421686746987951)</f>
        <v>0.5421686747</v>
      </c>
      <c r="D181" s="16">
        <f>IFERROR(__xludf.DUMMYFUNCTION("VLOOKUP(A181,IMPORTRANGE(""1QZ5UxyNCwadreQAXnQ7oCoH982DjIA-QnZdO7ZoqkC0/edit#gid=884617569"",""S5 Totals!$A$2:$O$255""),2,FALSE)"),36.0)</f>
        <v>36</v>
      </c>
      <c r="E181" s="15">
        <f>IFERROR(__xludf.DUMMYFUNCTION("VLOOKUP(A181,IMPORTRANGE(""1QZ5UxyNCwadreQAXnQ7oCoH982DjIA-QnZdO7ZoqkC0/edit#gid=884617569"",""S5 Totals!$A$2:$O$255""),3,FALSE)"),0.43373493975903615)</f>
        <v>0.4337349398</v>
      </c>
      <c r="F181" s="146">
        <f t="shared" si="1"/>
        <v>0.1084337349</v>
      </c>
      <c r="G181" s="16">
        <f>IFERROR(__xludf.DUMMYFUNCTION("VLOOKUP(A181,IMPORTRANGE(""1QZ5UxyNCwadreQAXnQ7oCoH982DjIA-QnZdO7ZoqkC0/edit#gid=884617569"",""S5 Totals!$A$2:$O$255""),4,FALSE)"),22.0)</f>
        <v>22</v>
      </c>
      <c r="H181" s="15">
        <f>IFERROR(__xludf.DUMMYFUNCTION("VLOOKUP(A181,IMPORTRANGE(""1QZ5UxyNCwadreQAXnQ7oCoH982DjIA-QnZdO7ZoqkC0/edit#gid=884617569"",""S5 Totals!$A$2:$O$255""),5,FALSE)"),0.4489795918367347)</f>
        <v>0.4489795918</v>
      </c>
      <c r="I181" s="143"/>
      <c r="J181" s="16">
        <f>IFERROR(__xludf.DUMMYFUNCTION("VLOOKUP(A181,IMPORTRANGE(""1QZ5UxyNCwadreQAXnQ7oCoH982DjIA-QnZdO7ZoqkC0/edit#gid=884617569"",""S5 Totals!$A$2:$O$255""),7,FALSE)"),20.0)</f>
        <v>20</v>
      </c>
      <c r="K181" s="15">
        <f>IFERROR(__xludf.DUMMYFUNCTION("VLOOKUP(A181,IMPORTRANGE(""1QZ5UxyNCwadreQAXnQ7oCoH982DjIA-QnZdO7ZoqkC0/edit#gid=884617569"",""S5 Totals!$A$2:$O$255""),8,FALSE)"),0.5882352941176471)</f>
        <v>0.5882352941</v>
      </c>
      <c r="L181" s="147"/>
      <c r="M181" s="16">
        <f>IFERROR(__xludf.DUMMYFUNCTION("VLOOKUP(A181,IMPORTRANGE(""1QZ5UxyNCwadreQAXnQ7oCoH982DjIA-QnZdO7ZoqkC0/edit#gid=884617569"",""S5 Totals!$A$2:$O$255""),10,FALSE)"),16.0)</f>
        <v>16</v>
      </c>
      <c r="N181" s="15">
        <f>IFERROR(__xludf.DUMMYFUNCTION("VLOOKUP(A181,IMPORTRANGE(""1QZ5UxyNCwadreQAXnQ7oCoH982DjIA-QnZdO7ZoqkC0/edit#gid=884617569"",""S5 Totals!$A$2:$O$255""),11,FALSE)"),0.5333333333333333)</f>
        <v>0.5333333333</v>
      </c>
      <c r="O181" s="110"/>
      <c r="P181" s="16">
        <f>IFERROR(__xludf.DUMMYFUNCTION("VLOOKUP(A181,IMPORTRANGE(""1QZ5UxyNCwadreQAXnQ7oCoH982DjIA-QnZdO7ZoqkC0/edit#gid=884617569"",""S5 Totals!$A$2:$O$255""),13,FALSE)"),9.0)</f>
        <v>9</v>
      </c>
      <c r="Q181" s="15">
        <f>IFERROR(__xludf.DUMMYFUNCTION("VLOOKUP(A181,IMPORTRANGE(""1QZ5UxyNCwadreQAXnQ7oCoH982DjIA-QnZdO7ZoqkC0/edit#gid=884617569"",""S5 Totals!$A$2:$O$255""),14,FALSE)"),0.32142857142857145)</f>
        <v>0.3214285714</v>
      </c>
      <c r="R181" s="110"/>
    </row>
    <row r="182">
      <c r="A182" s="128" t="s">
        <v>86</v>
      </c>
      <c r="B182" s="16">
        <f>IFERROR(__xludf.DUMMYFUNCTION("VLOOKUP(A182,IMPORTRANGE(""1aFCnJY1qhIj8-JckJhDJ18aqmVo17tofpQmOjcYa3u8/edit#gid=1878241338"",""S5 Totals!$A$2:$O$255""),2,FALSE)"),43.0)</f>
        <v>43</v>
      </c>
      <c r="C182" s="15">
        <f>IFERROR(__xludf.DUMMYFUNCTION("VLOOKUP(A182,IMPORTRANGE(""1aFCnJY1qhIj8-JckJhDJ18aqmVo17tofpQmOjcYa3u8/edit#gid=1878241338"",""S5 Totals!$A$2:$O$255""),3,FALSE)"),0.5180722891566265)</f>
        <v>0.5180722892</v>
      </c>
      <c r="D182" s="16">
        <f>IFERROR(__xludf.DUMMYFUNCTION("VLOOKUP(A182,IMPORTRANGE(""1QZ5UxyNCwadreQAXnQ7oCoH982DjIA-QnZdO7ZoqkC0/edit#gid=884617569"",""S5 Totals!$A$2:$O$255""),2,FALSE)"),31.0)</f>
        <v>31</v>
      </c>
      <c r="E182" s="15">
        <f>IFERROR(__xludf.DUMMYFUNCTION("VLOOKUP(A182,IMPORTRANGE(""1QZ5UxyNCwadreQAXnQ7oCoH982DjIA-QnZdO7ZoqkC0/edit#gid=884617569"",""S5 Totals!$A$2:$O$255""),3,FALSE)"),0.37349397590361444)</f>
        <v>0.3734939759</v>
      </c>
      <c r="F182" s="146">
        <f t="shared" si="1"/>
        <v>0.1445783133</v>
      </c>
      <c r="G182" s="16">
        <f>IFERROR(__xludf.DUMMYFUNCTION("VLOOKUP(A182,IMPORTRANGE(""1QZ5UxyNCwadreQAXnQ7oCoH982DjIA-QnZdO7ZoqkC0/edit#gid=884617569"",""S5 Totals!$A$2:$O$255""),4,FALSE)"),21.0)</f>
        <v>21</v>
      </c>
      <c r="H182" s="15">
        <f>IFERROR(__xludf.DUMMYFUNCTION("VLOOKUP(A182,IMPORTRANGE(""1QZ5UxyNCwadreQAXnQ7oCoH982DjIA-QnZdO7ZoqkC0/edit#gid=884617569"",""S5 Totals!$A$2:$O$255""),5,FALSE)"),0.42857142857142855)</f>
        <v>0.4285714286</v>
      </c>
      <c r="I182" s="143"/>
      <c r="J182" s="16">
        <f>IFERROR(__xludf.DUMMYFUNCTION("VLOOKUP(A182,IMPORTRANGE(""1QZ5UxyNCwadreQAXnQ7oCoH982DjIA-QnZdO7ZoqkC0/edit#gid=884617569"",""S5 Totals!$A$2:$O$255""),7,FALSE)"),14.0)</f>
        <v>14</v>
      </c>
      <c r="K182" s="15">
        <f>IFERROR(__xludf.DUMMYFUNCTION("VLOOKUP(A182,IMPORTRANGE(""1QZ5UxyNCwadreQAXnQ7oCoH982DjIA-QnZdO7ZoqkC0/edit#gid=884617569"",""S5 Totals!$A$2:$O$255""),8,FALSE)"),0.4117647058823529)</f>
        <v>0.4117647059</v>
      </c>
      <c r="L182" s="147"/>
      <c r="M182" s="16">
        <f>IFERROR(__xludf.DUMMYFUNCTION("VLOOKUP(A182,IMPORTRANGE(""1QZ5UxyNCwadreQAXnQ7oCoH982DjIA-QnZdO7ZoqkC0/edit#gid=884617569"",""S5 Totals!$A$2:$O$255""),10,FALSE)"),9.0)</f>
        <v>9</v>
      </c>
      <c r="N182" s="15">
        <f>IFERROR(__xludf.DUMMYFUNCTION("VLOOKUP(A182,IMPORTRANGE(""1QZ5UxyNCwadreQAXnQ7oCoH982DjIA-QnZdO7ZoqkC0/edit#gid=884617569"",""S5 Totals!$A$2:$O$255""),11,FALSE)"),0.3)</f>
        <v>0.3</v>
      </c>
      <c r="O182" s="110"/>
      <c r="P182" s="16">
        <f>IFERROR(__xludf.DUMMYFUNCTION("VLOOKUP(A182,IMPORTRANGE(""1QZ5UxyNCwadreQAXnQ7oCoH982DjIA-QnZdO7ZoqkC0/edit#gid=884617569"",""S5 Totals!$A$2:$O$255""),13,FALSE)"),9.0)</f>
        <v>9</v>
      </c>
      <c r="Q182" s="15">
        <f>IFERROR(__xludf.DUMMYFUNCTION("VLOOKUP(A182,IMPORTRANGE(""1QZ5UxyNCwadreQAXnQ7oCoH982DjIA-QnZdO7ZoqkC0/edit#gid=884617569"",""S5 Totals!$A$2:$O$255""),14,FALSE)"),0.32142857142857145)</f>
        <v>0.3214285714</v>
      </c>
      <c r="R182" s="110"/>
    </row>
    <row r="183">
      <c r="A183" s="128" t="s">
        <v>248</v>
      </c>
      <c r="B183" s="16">
        <f>IFERROR(__xludf.DUMMYFUNCTION("VLOOKUP(A183,IMPORTRANGE(""1aFCnJY1qhIj8-JckJhDJ18aqmVo17tofpQmOjcYa3u8/edit#gid=1878241338"",""S5 Totals!$A$2:$O$255""),2,FALSE)"),1.0)</f>
        <v>1</v>
      </c>
      <c r="C183" s="15">
        <f>IFERROR(__xludf.DUMMYFUNCTION("VLOOKUP(A183,IMPORTRANGE(""1aFCnJY1qhIj8-JckJhDJ18aqmVo17tofpQmOjcYa3u8/edit#gid=1878241338"",""S5 Totals!$A$2:$O$255""),3,FALSE)"),0.012048192771084338)</f>
        <v>0.01204819277</v>
      </c>
      <c r="D183" s="16">
        <f>IFERROR(__xludf.DUMMYFUNCTION("VLOOKUP(A183,IMPORTRANGE(""1QZ5UxyNCwadreQAXnQ7oCoH982DjIA-QnZdO7ZoqkC0/edit#gid=884617569"",""S5 Totals!$A$2:$O$255""),2,FALSE)"),0.0)</f>
        <v>0</v>
      </c>
      <c r="E183" s="15">
        <f>IFERROR(__xludf.DUMMYFUNCTION("VLOOKUP(A183,IMPORTRANGE(""1QZ5UxyNCwadreQAXnQ7oCoH982DjIA-QnZdO7ZoqkC0/edit#gid=884617569"",""S5 Totals!$A$2:$O$255""),3,FALSE)"),0.0)</f>
        <v>0</v>
      </c>
      <c r="F183" s="146">
        <f t="shared" si="1"/>
        <v>0.01204819277</v>
      </c>
      <c r="G183" s="16">
        <f>IFERROR(__xludf.DUMMYFUNCTION("VLOOKUP(A183,IMPORTRANGE(""1QZ5UxyNCwadreQAXnQ7oCoH982DjIA-QnZdO7ZoqkC0/edit#gid=884617569"",""S5 Totals!$A$2:$O$255""),4,FALSE)"),0.0)</f>
        <v>0</v>
      </c>
      <c r="H183" s="15">
        <f>IFERROR(__xludf.DUMMYFUNCTION("VLOOKUP(A183,IMPORTRANGE(""1QZ5UxyNCwadreQAXnQ7oCoH982DjIA-QnZdO7ZoqkC0/edit#gid=884617569"",""S5 Totals!$A$2:$O$255""),5,FALSE)"),0.0)</f>
        <v>0</v>
      </c>
      <c r="I183" s="143"/>
      <c r="J183" s="16" t="str">
        <f>IFERROR(__xludf.DUMMYFUNCTION("VLOOKUP(A183,IMPORTRANGE(""1QZ5UxyNCwadreQAXnQ7oCoH982DjIA-QnZdO7ZoqkC0/edit#gid=884617569"",""S5 Totals!$A$2:$O$255""),7,FALSE)"),"")</f>
        <v/>
      </c>
      <c r="K183" s="15" t="str">
        <f>IFERROR(__xludf.DUMMYFUNCTION("VLOOKUP(A183,IMPORTRANGE(""1QZ5UxyNCwadreQAXnQ7oCoH982DjIA-QnZdO7ZoqkC0/edit#gid=884617569"",""S5 Totals!$A$2:$O$255""),8,FALSE)"),"")</f>
        <v/>
      </c>
      <c r="L183" s="147"/>
      <c r="M183" s="16" t="str">
        <f>IFERROR(__xludf.DUMMYFUNCTION("VLOOKUP(A183,IMPORTRANGE(""1QZ5UxyNCwadreQAXnQ7oCoH982DjIA-QnZdO7ZoqkC0/edit#gid=884617569"",""S5 Totals!$A$2:$O$255""),10,FALSE)"),"")</f>
        <v/>
      </c>
      <c r="N183" s="15" t="str">
        <f>IFERROR(__xludf.DUMMYFUNCTION("VLOOKUP(A183,IMPORTRANGE(""1QZ5UxyNCwadreQAXnQ7oCoH982DjIA-QnZdO7ZoqkC0/edit#gid=884617569"",""S5 Totals!$A$2:$O$255""),11,FALSE)"),"")</f>
        <v/>
      </c>
      <c r="O183" s="110"/>
      <c r="P183" s="16" t="str">
        <f>IFERROR(__xludf.DUMMYFUNCTION("VLOOKUP(A183,IMPORTRANGE(""1QZ5UxyNCwadreQAXnQ7oCoH982DjIA-QnZdO7ZoqkC0/edit#gid=884617569"",""S5 Totals!$A$2:$O$255""),13,FALSE)"),"")</f>
        <v/>
      </c>
      <c r="Q183" s="15" t="str">
        <f>IFERROR(__xludf.DUMMYFUNCTION("VLOOKUP(A183,IMPORTRANGE(""1QZ5UxyNCwadreQAXnQ7oCoH982DjIA-QnZdO7ZoqkC0/edit#gid=884617569"",""S5 Totals!$A$2:$O$255""),14,FALSE)"),"")</f>
        <v/>
      </c>
      <c r="R183" s="110"/>
    </row>
    <row r="184">
      <c r="A184" s="128" t="s">
        <v>87</v>
      </c>
      <c r="B184" s="16">
        <f>IFERROR(__xludf.DUMMYFUNCTION("VLOOKUP(A184,IMPORTRANGE(""1aFCnJY1qhIj8-JckJhDJ18aqmVo17tofpQmOjcYa3u8/edit#gid=1878241338"",""S5 Totals!$A$2:$O$255""),2,FALSE)"),38.0)</f>
        <v>38</v>
      </c>
      <c r="C184" s="15">
        <f>IFERROR(__xludf.DUMMYFUNCTION("VLOOKUP(A184,IMPORTRANGE(""1aFCnJY1qhIj8-JckJhDJ18aqmVo17tofpQmOjcYa3u8/edit#gid=1878241338"",""S5 Totals!$A$2:$O$255""),3,FALSE)"),0.4578313253012048)</f>
        <v>0.4578313253</v>
      </c>
      <c r="D184" s="16">
        <f>IFERROR(__xludf.DUMMYFUNCTION("VLOOKUP(A184,IMPORTRANGE(""1QZ5UxyNCwadreQAXnQ7oCoH982DjIA-QnZdO7ZoqkC0/edit#gid=884617569"",""S5 Totals!$A$2:$O$255""),2,FALSE)"),28.0)</f>
        <v>28</v>
      </c>
      <c r="E184" s="15">
        <f>IFERROR(__xludf.DUMMYFUNCTION("VLOOKUP(A184,IMPORTRANGE(""1QZ5UxyNCwadreQAXnQ7oCoH982DjIA-QnZdO7ZoqkC0/edit#gid=884617569"",""S5 Totals!$A$2:$O$255""),3,FALSE)"),0.3373493975903614)</f>
        <v>0.3373493976</v>
      </c>
      <c r="F184" s="146">
        <f t="shared" si="1"/>
        <v>0.1204819277</v>
      </c>
      <c r="G184" s="16">
        <f>IFERROR(__xludf.DUMMYFUNCTION("VLOOKUP(A184,IMPORTRANGE(""1QZ5UxyNCwadreQAXnQ7oCoH982DjIA-QnZdO7ZoqkC0/edit#gid=884617569"",""S5 Totals!$A$2:$O$255""),4,FALSE)"),13.0)</f>
        <v>13</v>
      </c>
      <c r="H184" s="15">
        <f>IFERROR(__xludf.DUMMYFUNCTION("VLOOKUP(A184,IMPORTRANGE(""1QZ5UxyNCwadreQAXnQ7oCoH982DjIA-QnZdO7ZoqkC0/edit#gid=884617569"",""S5 Totals!$A$2:$O$255""),5,FALSE)"),0.2653061224489796)</f>
        <v>0.2653061224</v>
      </c>
      <c r="I184" s="143"/>
      <c r="J184" s="16">
        <f>IFERROR(__xludf.DUMMYFUNCTION("VLOOKUP(A184,IMPORTRANGE(""1QZ5UxyNCwadreQAXnQ7oCoH982DjIA-QnZdO7ZoqkC0/edit#gid=884617569"",""S5 Totals!$A$2:$O$255""),7,FALSE)"),5.0)</f>
        <v>5</v>
      </c>
      <c r="K184" s="15">
        <f>IFERROR(__xludf.DUMMYFUNCTION("VLOOKUP(A184,IMPORTRANGE(""1QZ5UxyNCwadreQAXnQ7oCoH982DjIA-QnZdO7ZoqkC0/edit#gid=884617569"",""S5 Totals!$A$2:$O$255""),8,FALSE)"),0.14705882352941177)</f>
        <v>0.1470588235</v>
      </c>
      <c r="L184" s="147"/>
      <c r="M184" s="16">
        <f>IFERROR(__xludf.DUMMYFUNCTION("VLOOKUP(A184,IMPORTRANGE(""1QZ5UxyNCwadreQAXnQ7oCoH982DjIA-QnZdO7ZoqkC0/edit#gid=884617569"",""S5 Totals!$A$2:$O$255""),10,FALSE)"),0.0)</f>
        <v>0</v>
      </c>
      <c r="N184" s="15">
        <f>IFERROR(__xludf.DUMMYFUNCTION("VLOOKUP(A184,IMPORTRANGE(""1QZ5UxyNCwadreQAXnQ7oCoH982DjIA-QnZdO7ZoqkC0/edit#gid=884617569"",""S5 Totals!$A$2:$O$255""),11,FALSE)"),0.0)</f>
        <v>0</v>
      </c>
      <c r="O184" s="110"/>
      <c r="P184" s="16">
        <f>IFERROR(__xludf.DUMMYFUNCTION("VLOOKUP(A184,IMPORTRANGE(""1QZ5UxyNCwadreQAXnQ7oCoH982DjIA-QnZdO7ZoqkC0/edit#gid=884617569"",""S5 Totals!$A$2:$O$255""),13,FALSE)"),0.0)</f>
        <v>0</v>
      </c>
      <c r="Q184" s="15">
        <f>IFERROR(__xludf.DUMMYFUNCTION("VLOOKUP(A184,IMPORTRANGE(""1QZ5UxyNCwadreQAXnQ7oCoH982DjIA-QnZdO7ZoqkC0/edit#gid=884617569"",""S5 Totals!$A$2:$O$255""),14,FALSE)"),0.0)</f>
        <v>0</v>
      </c>
      <c r="R184" s="110"/>
    </row>
    <row r="185">
      <c r="A185" s="128" t="s">
        <v>62</v>
      </c>
      <c r="B185" s="16">
        <f>IFERROR(__xludf.DUMMYFUNCTION("VLOOKUP(A185,IMPORTRANGE(""1aFCnJY1qhIj8-JckJhDJ18aqmVo17tofpQmOjcYa3u8/edit#gid=1878241338"",""S5 Totals!$A$2:$O$255""),2,FALSE)"),21.0)</f>
        <v>21</v>
      </c>
      <c r="C185" s="15">
        <f>IFERROR(__xludf.DUMMYFUNCTION("VLOOKUP(A185,IMPORTRANGE(""1aFCnJY1qhIj8-JckJhDJ18aqmVo17tofpQmOjcYa3u8/edit#gid=1878241338"",""S5 Totals!$A$2:$O$255""),3,FALSE)"),0.25301204819277107)</f>
        <v>0.2530120482</v>
      </c>
      <c r="D185" s="16">
        <f>IFERROR(__xludf.DUMMYFUNCTION("VLOOKUP(A185,IMPORTRANGE(""1QZ5UxyNCwadreQAXnQ7oCoH982DjIA-QnZdO7ZoqkC0/edit#gid=884617569"",""S5 Totals!$A$2:$O$255""),2,FALSE)"),32.0)</f>
        <v>32</v>
      </c>
      <c r="E185" s="15">
        <f>IFERROR(__xludf.DUMMYFUNCTION("VLOOKUP(A185,IMPORTRANGE(""1QZ5UxyNCwadreQAXnQ7oCoH982DjIA-QnZdO7ZoqkC0/edit#gid=884617569"",""S5 Totals!$A$2:$O$255""),3,FALSE)"),0.3855421686746988)</f>
        <v>0.3855421687</v>
      </c>
      <c r="F185" s="146">
        <f t="shared" si="1"/>
        <v>-0.1325301205</v>
      </c>
      <c r="G185" s="16">
        <f>IFERROR(__xludf.DUMMYFUNCTION("VLOOKUP(A185,IMPORTRANGE(""1QZ5UxyNCwadreQAXnQ7oCoH982DjIA-QnZdO7ZoqkC0/edit#gid=884617569"",""S5 Totals!$A$2:$O$255""),4,FALSE)"),29.0)</f>
        <v>29</v>
      </c>
      <c r="H185" s="15">
        <f>IFERROR(__xludf.DUMMYFUNCTION("VLOOKUP(A185,IMPORTRANGE(""1QZ5UxyNCwadreQAXnQ7oCoH982DjIA-QnZdO7ZoqkC0/edit#gid=884617569"",""S5 Totals!$A$2:$O$255""),5,FALSE)"),0.5918367346938775)</f>
        <v>0.5918367347</v>
      </c>
      <c r="I185" s="143"/>
      <c r="J185" s="16">
        <f>IFERROR(__xludf.DUMMYFUNCTION("VLOOKUP(A185,IMPORTRANGE(""1QZ5UxyNCwadreQAXnQ7oCoH982DjIA-QnZdO7ZoqkC0/edit#gid=884617569"",""S5 Totals!$A$2:$O$255""),7,FALSE)"),20.0)</f>
        <v>20</v>
      </c>
      <c r="K185" s="15">
        <f>IFERROR(__xludf.DUMMYFUNCTION("VLOOKUP(A185,IMPORTRANGE(""1QZ5UxyNCwadreQAXnQ7oCoH982DjIA-QnZdO7ZoqkC0/edit#gid=884617569"",""S5 Totals!$A$2:$O$255""),8,FALSE)"),0.5882352941176471)</f>
        <v>0.5882352941</v>
      </c>
      <c r="L185" s="147"/>
      <c r="M185" s="16">
        <f>IFERROR(__xludf.DUMMYFUNCTION("VLOOKUP(A185,IMPORTRANGE(""1QZ5UxyNCwadreQAXnQ7oCoH982DjIA-QnZdO7ZoqkC0/edit#gid=884617569"",""S5 Totals!$A$2:$O$255""),10,FALSE)"),15.0)</f>
        <v>15</v>
      </c>
      <c r="N185" s="15">
        <f>IFERROR(__xludf.DUMMYFUNCTION("VLOOKUP(A185,IMPORTRANGE(""1QZ5UxyNCwadreQAXnQ7oCoH982DjIA-QnZdO7ZoqkC0/edit#gid=884617569"",""S5 Totals!$A$2:$O$255""),11,FALSE)"),0.5)</f>
        <v>0.5</v>
      </c>
      <c r="O185" s="110"/>
      <c r="P185" s="16">
        <f>IFERROR(__xludf.DUMMYFUNCTION("VLOOKUP(A185,IMPORTRANGE(""1QZ5UxyNCwadreQAXnQ7oCoH982DjIA-QnZdO7ZoqkC0/edit#gid=884617569"",""S5 Totals!$A$2:$O$255""),13,FALSE)"),6.0)</f>
        <v>6</v>
      </c>
      <c r="Q185" s="15">
        <f>IFERROR(__xludf.DUMMYFUNCTION("VLOOKUP(A185,IMPORTRANGE(""1QZ5UxyNCwadreQAXnQ7oCoH982DjIA-QnZdO7ZoqkC0/edit#gid=884617569"",""S5 Totals!$A$2:$O$255""),14,FALSE)"),0.21428571428571427)</f>
        <v>0.2142857143</v>
      </c>
      <c r="R185" s="110"/>
    </row>
    <row r="186">
      <c r="A186" s="128" t="s">
        <v>249</v>
      </c>
      <c r="B186" s="16">
        <f>IFERROR(__xludf.DUMMYFUNCTION("VLOOKUP(A186,IMPORTRANGE(""1aFCnJY1qhIj8-JckJhDJ18aqmVo17tofpQmOjcYa3u8/edit#gid=1878241338"",""S5 Totals!$A$2:$O$255""),2,FALSE)"),9.0)</f>
        <v>9</v>
      </c>
      <c r="C186" s="15">
        <f>IFERROR(__xludf.DUMMYFUNCTION("VLOOKUP(A186,IMPORTRANGE(""1aFCnJY1qhIj8-JckJhDJ18aqmVo17tofpQmOjcYa3u8/edit#gid=1878241338"",""S5 Totals!$A$2:$O$255""),3,FALSE)"),0.10843373493975904)</f>
        <v>0.1084337349</v>
      </c>
      <c r="D186" s="16">
        <f>IFERROR(__xludf.DUMMYFUNCTION("VLOOKUP(A186,IMPORTRANGE(""1QZ5UxyNCwadreQAXnQ7oCoH982DjIA-QnZdO7ZoqkC0/edit#gid=884617569"",""S5 Totals!$A$2:$O$255""),2,FALSE)"),13.0)</f>
        <v>13</v>
      </c>
      <c r="E186" s="15">
        <f>IFERROR(__xludf.DUMMYFUNCTION("VLOOKUP(A186,IMPORTRANGE(""1QZ5UxyNCwadreQAXnQ7oCoH982DjIA-QnZdO7ZoqkC0/edit#gid=884617569"",""S5 Totals!$A$2:$O$255""),3,FALSE)"),0.1566265060240964)</f>
        <v>0.156626506</v>
      </c>
      <c r="F186" s="146">
        <f t="shared" si="1"/>
        <v>-0.04819277108</v>
      </c>
      <c r="G186" s="16">
        <f>IFERROR(__xludf.DUMMYFUNCTION("VLOOKUP(A186,IMPORTRANGE(""1QZ5UxyNCwadreQAXnQ7oCoH982DjIA-QnZdO7ZoqkC0/edit#gid=884617569"",""S5 Totals!$A$2:$O$255""),4,FALSE)"),7.0)</f>
        <v>7</v>
      </c>
      <c r="H186" s="15">
        <f>IFERROR(__xludf.DUMMYFUNCTION("VLOOKUP(A186,IMPORTRANGE(""1QZ5UxyNCwadreQAXnQ7oCoH982DjIA-QnZdO7ZoqkC0/edit#gid=884617569"",""S5 Totals!$A$2:$O$255""),5,FALSE)"),0.14285714285714285)</f>
        <v>0.1428571429</v>
      </c>
      <c r="I186" s="143"/>
      <c r="J186" s="16" t="str">
        <f>IFERROR(__xludf.DUMMYFUNCTION("VLOOKUP(A186,IMPORTRANGE(""1QZ5UxyNCwadreQAXnQ7oCoH982DjIA-QnZdO7ZoqkC0/edit#gid=884617569"",""S5 Totals!$A$2:$O$255""),7,FALSE)"),"")</f>
        <v/>
      </c>
      <c r="K186" s="15" t="str">
        <f>IFERROR(__xludf.DUMMYFUNCTION("VLOOKUP(A186,IMPORTRANGE(""1QZ5UxyNCwadreQAXnQ7oCoH982DjIA-QnZdO7ZoqkC0/edit#gid=884617569"",""S5 Totals!$A$2:$O$255""),8,FALSE)"),"")</f>
        <v/>
      </c>
      <c r="L186" s="147"/>
      <c r="M186" s="16" t="str">
        <f>IFERROR(__xludf.DUMMYFUNCTION("VLOOKUP(A186,IMPORTRANGE(""1QZ5UxyNCwadreQAXnQ7oCoH982DjIA-QnZdO7ZoqkC0/edit#gid=884617569"",""S5 Totals!$A$2:$O$255""),10,FALSE)"),"")</f>
        <v/>
      </c>
      <c r="N186" s="15" t="str">
        <f>IFERROR(__xludf.DUMMYFUNCTION("VLOOKUP(A186,IMPORTRANGE(""1QZ5UxyNCwadreQAXnQ7oCoH982DjIA-QnZdO7ZoqkC0/edit#gid=884617569"",""S5 Totals!$A$2:$O$255""),11,FALSE)"),"")</f>
        <v/>
      </c>
      <c r="O186" s="110"/>
      <c r="P186" s="16" t="str">
        <f>IFERROR(__xludf.DUMMYFUNCTION("VLOOKUP(A186,IMPORTRANGE(""1QZ5UxyNCwadreQAXnQ7oCoH982DjIA-QnZdO7ZoqkC0/edit#gid=884617569"",""S5 Totals!$A$2:$O$255""),13,FALSE)"),"")</f>
        <v/>
      </c>
      <c r="Q186" s="15" t="str">
        <f>IFERROR(__xludf.DUMMYFUNCTION("VLOOKUP(A186,IMPORTRANGE(""1QZ5UxyNCwadreQAXnQ7oCoH982DjIA-QnZdO7ZoqkC0/edit#gid=884617569"",""S5 Totals!$A$2:$O$255""),14,FALSE)"),"")</f>
        <v/>
      </c>
      <c r="R186" s="110"/>
    </row>
    <row r="187">
      <c r="A187" s="128" t="s">
        <v>250</v>
      </c>
      <c r="B187" s="16">
        <f>IFERROR(__xludf.DUMMYFUNCTION("VLOOKUP(A187,IMPORTRANGE(""1aFCnJY1qhIj8-JckJhDJ18aqmVo17tofpQmOjcYa3u8/edit#gid=1878241338"",""S5 Totals!$A$2:$O$255""),2,FALSE)"),2.0)</f>
        <v>2</v>
      </c>
      <c r="C187" s="15">
        <f>IFERROR(__xludf.DUMMYFUNCTION("VLOOKUP(A187,IMPORTRANGE(""1aFCnJY1qhIj8-JckJhDJ18aqmVo17tofpQmOjcYa3u8/edit#gid=1878241338"",""S5 Totals!$A$2:$O$255""),3,FALSE)"),0.024096385542168676)</f>
        <v>0.02409638554</v>
      </c>
      <c r="D187" s="16">
        <f>IFERROR(__xludf.DUMMYFUNCTION("VLOOKUP(A187,IMPORTRANGE(""1QZ5UxyNCwadreQAXnQ7oCoH982DjIA-QnZdO7ZoqkC0/edit#gid=884617569"",""S5 Totals!$A$2:$O$255""),2,FALSE)"),2.0)</f>
        <v>2</v>
      </c>
      <c r="E187" s="15">
        <f>IFERROR(__xludf.DUMMYFUNCTION("VLOOKUP(A187,IMPORTRANGE(""1QZ5UxyNCwadreQAXnQ7oCoH982DjIA-QnZdO7ZoqkC0/edit#gid=884617569"",""S5 Totals!$A$2:$O$255""),3,FALSE)"),0.024096385542168676)</f>
        <v>0.02409638554</v>
      </c>
      <c r="F187" s="146">
        <f t="shared" si="1"/>
        <v>0</v>
      </c>
      <c r="G187" s="16">
        <f>IFERROR(__xludf.DUMMYFUNCTION("VLOOKUP(A187,IMPORTRANGE(""1QZ5UxyNCwadreQAXnQ7oCoH982DjIA-QnZdO7ZoqkC0/edit#gid=884617569"",""S5 Totals!$A$2:$O$255""),4,FALSE)"),4.0)</f>
        <v>4</v>
      </c>
      <c r="H187" s="15">
        <f>IFERROR(__xludf.DUMMYFUNCTION("VLOOKUP(A187,IMPORTRANGE(""1QZ5UxyNCwadreQAXnQ7oCoH982DjIA-QnZdO7ZoqkC0/edit#gid=884617569"",""S5 Totals!$A$2:$O$255""),5,FALSE)"),0.08163265306122448)</f>
        <v>0.08163265306</v>
      </c>
      <c r="I187" s="143"/>
      <c r="J187" s="16" t="str">
        <f>IFERROR(__xludf.DUMMYFUNCTION("VLOOKUP(A187,IMPORTRANGE(""1QZ5UxyNCwadreQAXnQ7oCoH982DjIA-QnZdO7ZoqkC0/edit#gid=884617569"",""S5 Totals!$A$2:$O$255""),7,FALSE)"),"")</f>
        <v/>
      </c>
      <c r="K187" s="15" t="str">
        <f>IFERROR(__xludf.DUMMYFUNCTION("VLOOKUP(A187,IMPORTRANGE(""1QZ5UxyNCwadreQAXnQ7oCoH982DjIA-QnZdO7ZoqkC0/edit#gid=884617569"",""S5 Totals!$A$2:$O$255""),8,FALSE)"),"")</f>
        <v/>
      </c>
      <c r="L187" s="147"/>
      <c r="M187" s="16" t="str">
        <f>IFERROR(__xludf.DUMMYFUNCTION("VLOOKUP(A187,IMPORTRANGE(""1QZ5UxyNCwadreQAXnQ7oCoH982DjIA-QnZdO7ZoqkC0/edit#gid=884617569"",""S5 Totals!$A$2:$O$255""),10,FALSE)"),"")</f>
        <v/>
      </c>
      <c r="N187" s="15" t="str">
        <f>IFERROR(__xludf.DUMMYFUNCTION("VLOOKUP(A187,IMPORTRANGE(""1QZ5UxyNCwadreQAXnQ7oCoH982DjIA-QnZdO7ZoqkC0/edit#gid=884617569"",""S5 Totals!$A$2:$O$255""),11,FALSE)"),"")</f>
        <v/>
      </c>
      <c r="O187" s="110"/>
      <c r="P187" s="16" t="str">
        <f>IFERROR(__xludf.DUMMYFUNCTION("VLOOKUP(A187,IMPORTRANGE(""1QZ5UxyNCwadreQAXnQ7oCoH982DjIA-QnZdO7ZoqkC0/edit#gid=884617569"",""S5 Totals!$A$2:$O$255""),13,FALSE)"),"")</f>
        <v/>
      </c>
      <c r="Q187" s="15" t="str">
        <f>IFERROR(__xludf.DUMMYFUNCTION("VLOOKUP(A187,IMPORTRANGE(""1QZ5UxyNCwadreQAXnQ7oCoH982DjIA-QnZdO7ZoqkC0/edit#gid=884617569"",""S5 Totals!$A$2:$O$255""),14,FALSE)"),"")</f>
        <v/>
      </c>
      <c r="R187" s="110"/>
    </row>
    <row r="188">
      <c r="A188" s="128" t="s">
        <v>251</v>
      </c>
      <c r="B188" s="16">
        <f>IFERROR(__xludf.DUMMYFUNCTION("VLOOKUP(A188,IMPORTRANGE(""1aFCnJY1qhIj8-JckJhDJ18aqmVo17tofpQmOjcYa3u8/edit#gid=1878241338"",""S5 Totals!$A$2:$O$255""),2,FALSE)"),15.0)</f>
        <v>15</v>
      </c>
      <c r="C188" s="15">
        <f>IFERROR(__xludf.DUMMYFUNCTION("VLOOKUP(A188,IMPORTRANGE(""1aFCnJY1qhIj8-JckJhDJ18aqmVo17tofpQmOjcYa3u8/edit#gid=1878241338"",""S5 Totals!$A$2:$O$255""),3,FALSE)"),0.18072289156626506)</f>
        <v>0.1807228916</v>
      </c>
      <c r="D188" s="16">
        <f>IFERROR(__xludf.DUMMYFUNCTION("VLOOKUP(A188,IMPORTRANGE(""1QZ5UxyNCwadreQAXnQ7oCoH982DjIA-QnZdO7ZoqkC0/edit#gid=884617569"",""S5 Totals!$A$2:$O$255""),2,FALSE)"),14.0)</f>
        <v>14</v>
      </c>
      <c r="E188" s="15">
        <f>IFERROR(__xludf.DUMMYFUNCTION("VLOOKUP(A188,IMPORTRANGE(""1QZ5UxyNCwadreQAXnQ7oCoH982DjIA-QnZdO7ZoqkC0/edit#gid=884617569"",""S5 Totals!$A$2:$O$255""),3,FALSE)"),0.1686746987951807)</f>
        <v>0.1686746988</v>
      </c>
      <c r="F188" s="146">
        <f t="shared" si="1"/>
        <v>0.01204819277</v>
      </c>
      <c r="G188" s="16">
        <f>IFERROR(__xludf.DUMMYFUNCTION("VLOOKUP(A188,IMPORTRANGE(""1QZ5UxyNCwadreQAXnQ7oCoH982DjIA-QnZdO7ZoqkC0/edit#gid=884617569"",""S5 Totals!$A$2:$O$255""),4,FALSE)"),9.0)</f>
        <v>9</v>
      </c>
      <c r="H188" s="15">
        <f>IFERROR(__xludf.DUMMYFUNCTION("VLOOKUP(A188,IMPORTRANGE(""1QZ5UxyNCwadreQAXnQ7oCoH982DjIA-QnZdO7ZoqkC0/edit#gid=884617569"",""S5 Totals!$A$2:$O$255""),5,FALSE)"),0.1836734693877551)</f>
        <v>0.1836734694</v>
      </c>
      <c r="I188" s="143"/>
      <c r="J188" s="16" t="str">
        <f>IFERROR(__xludf.DUMMYFUNCTION("VLOOKUP(A188,IMPORTRANGE(""1QZ5UxyNCwadreQAXnQ7oCoH982DjIA-QnZdO7ZoqkC0/edit#gid=884617569"",""S5 Totals!$A$2:$O$255""),7,FALSE)"),"")</f>
        <v/>
      </c>
      <c r="K188" s="15" t="str">
        <f>IFERROR(__xludf.DUMMYFUNCTION("VLOOKUP(A188,IMPORTRANGE(""1QZ5UxyNCwadreQAXnQ7oCoH982DjIA-QnZdO7ZoqkC0/edit#gid=884617569"",""S5 Totals!$A$2:$O$255""),8,FALSE)"),"")</f>
        <v/>
      </c>
      <c r="L188" s="147"/>
      <c r="M188" s="16" t="str">
        <f>IFERROR(__xludf.DUMMYFUNCTION("VLOOKUP(A188,IMPORTRANGE(""1QZ5UxyNCwadreQAXnQ7oCoH982DjIA-QnZdO7ZoqkC0/edit#gid=884617569"",""S5 Totals!$A$2:$O$255""),10,FALSE)"),"")</f>
        <v/>
      </c>
      <c r="N188" s="15" t="str">
        <f>IFERROR(__xludf.DUMMYFUNCTION("VLOOKUP(A188,IMPORTRANGE(""1QZ5UxyNCwadreQAXnQ7oCoH982DjIA-QnZdO7ZoqkC0/edit#gid=884617569"",""S5 Totals!$A$2:$O$255""),11,FALSE)"),"")</f>
        <v/>
      </c>
      <c r="O188" s="110"/>
      <c r="P188" s="16" t="str">
        <f>IFERROR(__xludf.DUMMYFUNCTION("VLOOKUP(A188,IMPORTRANGE(""1QZ5UxyNCwadreQAXnQ7oCoH982DjIA-QnZdO7ZoqkC0/edit#gid=884617569"",""S5 Totals!$A$2:$O$255""),13,FALSE)"),"")</f>
        <v/>
      </c>
      <c r="Q188" s="15" t="str">
        <f>IFERROR(__xludf.DUMMYFUNCTION("VLOOKUP(A188,IMPORTRANGE(""1QZ5UxyNCwadreQAXnQ7oCoH982DjIA-QnZdO7ZoqkC0/edit#gid=884617569"",""S5 Totals!$A$2:$O$255""),14,FALSE)"),"")</f>
        <v/>
      </c>
      <c r="R188" s="110"/>
    </row>
    <row r="189">
      <c r="A189" s="128" t="s">
        <v>193</v>
      </c>
      <c r="B189" s="16">
        <f>IFERROR(__xludf.DUMMYFUNCTION("VLOOKUP(A189,IMPORTRANGE(""1aFCnJY1qhIj8-JckJhDJ18aqmVo17tofpQmOjcYa3u8/edit#gid=1878241338"",""S5 Totals!$A$2:$O$255""),2,FALSE)"),0.0)</f>
        <v>0</v>
      </c>
      <c r="C189" s="15">
        <f>IFERROR(__xludf.DUMMYFUNCTION("VLOOKUP(A189,IMPORTRANGE(""1aFCnJY1qhIj8-JckJhDJ18aqmVo17tofpQmOjcYa3u8/edit#gid=1878241338"",""S5 Totals!$A$2:$O$255""),3,FALSE)"),0.0)</f>
        <v>0</v>
      </c>
      <c r="D189" s="16">
        <f>IFERROR(__xludf.DUMMYFUNCTION("VLOOKUP(A189,IMPORTRANGE(""1QZ5UxyNCwadreQAXnQ7oCoH982DjIA-QnZdO7ZoqkC0/edit#gid=884617569"",""S5 Totals!$A$2:$O$255""),2,FALSE)"),0.0)</f>
        <v>0</v>
      </c>
      <c r="E189" s="15">
        <f>IFERROR(__xludf.DUMMYFUNCTION("VLOOKUP(A189,IMPORTRANGE(""1QZ5UxyNCwadreQAXnQ7oCoH982DjIA-QnZdO7ZoqkC0/edit#gid=884617569"",""S5 Totals!$A$2:$O$255""),3,FALSE)"),0.0)</f>
        <v>0</v>
      </c>
      <c r="F189" s="146">
        <f t="shared" si="1"/>
        <v>0</v>
      </c>
      <c r="G189" s="16">
        <f>IFERROR(__xludf.DUMMYFUNCTION("VLOOKUP(A189,IMPORTRANGE(""1QZ5UxyNCwadreQAXnQ7oCoH982DjIA-QnZdO7ZoqkC0/edit#gid=884617569"",""S5 Totals!$A$2:$O$255""),4,FALSE)"),0.0)</f>
        <v>0</v>
      </c>
      <c r="H189" s="15">
        <f>IFERROR(__xludf.DUMMYFUNCTION("VLOOKUP(A189,IMPORTRANGE(""1QZ5UxyNCwadreQAXnQ7oCoH982DjIA-QnZdO7ZoqkC0/edit#gid=884617569"",""S5 Totals!$A$2:$O$255""),5,FALSE)"),0.0)</f>
        <v>0</v>
      </c>
      <c r="I189" s="143"/>
      <c r="J189" s="16">
        <f>IFERROR(__xludf.DUMMYFUNCTION("VLOOKUP(A189,IMPORTRANGE(""1QZ5UxyNCwadreQAXnQ7oCoH982DjIA-QnZdO7ZoqkC0/edit#gid=884617569"",""S5 Totals!$A$2:$O$255""),7,FALSE)"),0.0)</f>
        <v>0</v>
      </c>
      <c r="K189" s="15">
        <f>IFERROR(__xludf.DUMMYFUNCTION("VLOOKUP(A189,IMPORTRANGE(""1QZ5UxyNCwadreQAXnQ7oCoH982DjIA-QnZdO7ZoqkC0/edit#gid=884617569"",""S5 Totals!$A$2:$O$255""),8,FALSE)"),0.0)</f>
        <v>0</v>
      </c>
      <c r="L189" s="147"/>
      <c r="M189" s="16" t="str">
        <f>IFERROR(__xludf.DUMMYFUNCTION("VLOOKUP(A189,IMPORTRANGE(""1QZ5UxyNCwadreQAXnQ7oCoH982DjIA-QnZdO7ZoqkC0/edit#gid=884617569"",""S5 Totals!$A$2:$O$255""),10,FALSE)"),"")</f>
        <v/>
      </c>
      <c r="N189" s="15" t="str">
        <f>IFERROR(__xludf.DUMMYFUNCTION("VLOOKUP(A189,IMPORTRANGE(""1QZ5UxyNCwadreQAXnQ7oCoH982DjIA-QnZdO7ZoqkC0/edit#gid=884617569"",""S5 Totals!$A$2:$O$255""),11,FALSE)"),"")</f>
        <v/>
      </c>
      <c r="O189" s="110"/>
      <c r="P189" s="16" t="str">
        <f>IFERROR(__xludf.DUMMYFUNCTION("VLOOKUP(A189,IMPORTRANGE(""1QZ5UxyNCwadreQAXnQ7oCoH982DjIA-QnZdO7ZoqkC0/edit#gid=884617569"",""S5 Totals!$A$2:$O$255""),13,FALSE)"),"")</f>
        <v/>
      </c>
      <c r="Q189" s="15" t="str">
        <f>IFERROR(__xludf.DUMMYFUNCTION("VLOOKUP(A189,IMPORTRANGE(""1QZ5UxyNCwadreQAXnQ7oCoH982DjIA-QnZdO7ZoqkC0/edit#gid=884617569"",""S5 Totals!$A$2:$O$255""),14,FALSE)"),"")</f>
        <v/>
      </c>
      <c r="R189" s="110"/>
    </row>
    <row r="190">
      <c r="A190" s="128" t="s">
        <v>194</v>
      </c>
      <c r="B190" s="16">
        <f>IFERROR(__xludf.DUMMYFUNCTION("VLOOKUP(A190,IMPORTRANGE(""1aFCnJY1qhIj8-JckJhDJ18aqmVo17tofpQmOjcYa3u8/edit#gid=1878241338"",""S5 Totals!$A$2:$O$255""),2,FALSE)"),13.0)</f>
        <v>13</v>
      </c>
      <c r="C190" s="15">
        <f>IFERROR(__xludf.DUMMYFUNCTION("VLOOKUP(A190,IMPORTRANGE(""1aFCnJY1qhIj8-JckJhDJ18aqmVo17tofpQmOjcYa3u8/edit#gid=1878241338"",""S5 Totals!$A$2:$O$255""),3,FALSE)"),0.1566265060240964)</f>
        <v>0.156626506</v>
      </c>
      <c r="D190" s="16">
        <f>IFERROR(__xludf.DUMMYFUNCTION("VLOOKUP(A190,IMPORTRANGE(""1QZ5UxyNCwadreQAXnQ7oCoH982DjIA-QnZdO7ZoqkC0/edit#gid=884617569"",""S5 Totals!$A$2:$O$255""),2,FALSE)"),1.0)</f>
        <v>1</v>
      </c>
      <c r="E190" s="15">
        <f>IFERROR(__xludf.DUMMYFUNCTION("VLOOKUP(A190,IMPORTRANGE(""1QZ5UxyNCwadreQAXnQ7oCoH982DjIA-QnZdO7ZoqkC0/edit#gid=884617569"",""S5 Totals!$A$2:$O$255""),3,FALSE)"),0.012048192771084338)</f>
        <v>0.01204819277</v>
      </c>
      <c r="F190" s="146">
        <f t="shared" si="1"/>
        <v>0.1445783133</v>
      </c>
      <c r="G190" s="16">
        <f>IFERROR(__xludf.DUMMYFUNCTION("VLOOKUP(A190,IMPORTRANGE(""1QZ5UxyNCwadreQAXnQ7oCoH982DjIA-QnZdO7ZoqkC0/edit#gid=884617569"",""S5 Totals!$A$2:$O$255""),4,FALSE)"),2.0)</f>
        <v>2</v>
      </c>
      <c r="H190" s="15">
        <f>IFERROR(__xludf.DUMMYFUNCTION("VLOOKUP(A190,IMPORTRANGE(""1QZ5UxyNCwadreQAXnQ7oCoH982DjIA-QnZdO7ZoqkC0/edit#gid=884617569"",""S5 Totals!$A$2:$O$255""),5,FALSE)"),0.04081632653061224)</f>
        <v>0.04081632653</v>
      </c>
      <c r="I190" s="143"/>
      <c r="J190" s="16">
        <f>IFERROR(__xludf.DUMMYFUNCTION("VLOOKUP(A190,IMPORTRANGE(""1QZ5UxyNCwadreQAXnQ7oCoH982DjIA-QnZdO7ZoqkC0/edit#gid=884617569"",""S5 Totals!$A$2:$O$255""),7,FALSE)"),1.0)</f>
        <v>1</v>
      </c>
      <c r="K190" s="15">
        <f>IFERROR(__xludf.DUMMYFUNCTION("VLOOKUP(A190,IMPORTRANGE(""1QZ5UxyNCwadreQAXnQ7oCoH982DjIA-QnZdO7ZoqkC0/edit#gid=884617569"",""S5 Totals!$A$2:$O$255""),8,FALSE)"),0.029411764705882353)</f>
        <v>0.02941176471</v>
      </c>
      <c r="L190" s="147"/>
      <c r="M190" s="16" t="str">
        <f>IFERROR(__xludf.DUMMYFUNCTION("VLOOKUP(A190,IMPORTRANGE(""1QZ5UxyNCwadreQAXnQ7oCoH982DjIA-QnZdO7ZoqkC0/edit#gid=884617569"",""S5 Totals!$A$2:$O$255""),10,FALSE)"),"")</f>
        <v/>
      </c>
      <c r="N190" s="15" t="str">
        <f>IFERROR(__xludf.DUMMYFUNCTION("VLOOKUP(A190,IMPORTRANGE(""1QZ5UxyNCwadreQAXnQ7oCoH982DjIA-QnZdO7ZoqkC0/edit#gid=884617569"",""S5 Totals!$A$2:$O$255""),11,FALSE)"),"")</f>
        <v/>
      </c>
      <c r="O190" s="110"/>
      <c r="P190" s="16" t="str">
        <f>IFERROR(__xludf.DUMMYFUNCTION("VLOOKUP(A190,IMPORTRANGE(""1QZ5UxyNCwadreQAXnQ7oCoH982DjIA-QnZdO7ZoqkC0/edit#gid=884617569"",""S5 Totals!$A$2:$O$255""),13,FALSE)"),"")</f>
        <v/>
      </c>
      <c r="Q190" s="15" t="str">
        <f>IFERROR(__xludf.DUMMYFUNCTION("VLOOKUP(A190,IMPORTRANGE(""1QZ5UxyNCwadreQAXnQ7oCoH982DjIA-QnZdO7ZoqkC0/edit#gid=884617569"",""S5 Totals!$A$2:$O$255""),14,FALSE)"),"")</f>
        <v/>
      </c>
      <c r="R190" s="110"/>
    </row>
    <row r="191">
      <c r="A191" s="134" t="s">
        <v>277</v>
      </c>
      <c r="B191" s="16">
        <f>IFERROR(__xludf.DUMMYFUNCTION("VLOOKUP(A191,IMPORTRANGE(""1aFCnJY1qhIj8-JckJhDJ18aqmVo17tofpQmOjcYa3u8/edit#gid=1878241338"",""S5 Totals!$A$2:$O$255""),2,FALSE)"),0.0)</f>
        <v>0</v>
      </c>
      <c r="C191" s="15">
        <f>IFERROR(__xludf.DUMMYFUNCTION("VLOOKUP(A191,IMPORTRANGE(""1aFCnJY1qhIj8-JckJhDJ18aqmVo17tofpQmOjcYa3u8/edit#gid=1878241338"",""S5 Totals!$A$2:$O$255""),3,FALSE)"),0.0)</f>
        <v>0</v>
      </c>
      <c r="D191" s="16" t="str">
        <f>IFERROR(__xludf.DUMMYFUNCTION("VLOOKUP(A191,IMPORTRANGE(""1QZ5UxyNCwadreQAXnQ7oCoH982DjIA-QnZdO7ZoqkC0/edit#gid=884617569"",""S5 Totals!$A$2:$O$255""),2,FALSE)"),"#N/A")</f>
        <v>#N/A</v>
      </c>
      <c r="E191" s="15" t="str">
        <f>IFERROR(__xludf.DUMMYFUNCTION("VLOOKUP(A191,IMPORTRANGE(""1QZ5UxyNCwadreQAXnQ7oCoH982DjIA-QnZdO7ZoqkC0/edit#gid=884617569"",""S5 Totals!$A$2:$O$255""),3,FALSE)"),"#N/A")</f>
        <v>#N/A</v>
      </c>
      <c r="F191" s="146" t="str">
        <f t="shared" si="1"/>
        <v>#N/A</v>
      </c>
      <c r="G191" s="16" t="str">
        <f>IFERROR(__xludf.DUMMYFUNCTION("VLOOKUP(A191,IMPORTRANGE(""1QZ5UxyNCwadreQAXnQ7oCoH982DjIA-QnZdO7ZoqkC0/edit#gid=884617569"",""S5 Totals!$A$2:$O$255""),4,FALSE)"),"#N/A")</f>
        <v>#N/A</v>
      </c>
      <c r="H191" s="15" t="str">
        <f>IFERROR(__xludf.DUMMYFUNCTION("VLOOKUP(A191,IMPORTRANGE(""1QZ5UxyNCwadreQAXnQ7oCoH982DjIA-QnZdO7ZoqkC0/edit#gid=884617569"",""S5 Totals!$A$2:$O$255""),5,FALSE)"),"#N/A")</f>
        <v>#N/A</v>
      </c>
      <c r="I191" s="143"/>
      <c r="J191" s="16" t="str">
        <f>IFERROR(__xludf.DUMMYFUNCTION("VLOOKUP(A191,IMPORTRANGE(""1QZ5UxyNCwadreQAXnQ7oCoH982DjIA-QnZdO7ZoqkC0/edit#gid=884617569"",""S5 Totals!$A$2:$O$255""),7,FALSE)"),"#N/A")</f>
        <v>#N/A</v>
      </c>
      <c r="K191" s="15" t="str">
        <f>IFERROR(__xludf.DUMMYFUNCTION("VLOOKUP(A191,IMPORTRANGE(""1QZ5UxyNCwadreQAXnQ7oCoH982DjIA-QnZdO7ZoqkC0/edit#gid=884617569"",""S5 Totals!$A$2:$O$255""),8,FALSE)"),"#N/A")</f>
        <v>#N/A</v>
      </c>
      <c r="L191" s="147"/>
      <c r="M191" s="16" t="str">
        <f>IFERROR(__xludf.DUMMYFUNCTION("VLOOKUP(A191,IMPORTRANGE(""1QZ5UxyNCwadreQAXnQ7oCoH982DjIA-QnZdO7ZoqkC0/edit#gid=884617569"",""S5 Totals!$A$2:$O$255""),10,FALSE)"),"#N/A")</f>
        <v>#N/A</v>
      </c>
      <c r="N191" s="15" t="str">
        <f>IFERROR(__xludf.DUMMYFUNCTION("VLOOKUP(A191,IMPORTRANGE(""1QZ5UxyNCwadreQAXnQ7oCoH982DjIA-QnZdO7ZoqkC0/edit#gid=884617569"",""S5 Totals!$A$2:$O$255""),11,FALSE)"),"#N/A")</f>
        <v>#N/A</v>
      </c>
      <c r="O191" s="110"/>
      <c r="P191" s="16" t="str">
        <f>IFERROR(__xludf.DUMMYFUNCTION("VLOOKUP(A191,IMPORTRANGE(""1QZ5UxyNCwadreQAXnQ7oCoH982DjIA-QnZdO7ZoqkC0/edit#gid=884617569"",""S5 Totals!$A$2:$O$255""),13,FALSE)"),"#N/A")</f>
        <v>#N/A</v>
      </c>
      <c r="Q191" s="15" t="str">
        <f>IFERROR(__xludf.DUMMYFUNCTION("VLOOKUP(A191,IMPORTRANGE(""1QZ5UxyNCwadreQAXnQ7oCoH982DjIA-QnZdO7ZoqkC0/edit#gid=884617569"",""S5 Totals!$A$2:$O$255""),14,FALSE)"),"#N/A")</f>
        <v>#N/A</v>
      </c>
      <c r="R191" s="110"/>
    </row>
    <row r="192">
      <c r="A192" s="128" t="s">
        <v>44</v>
      </c>
      <c r="B192" s="16">
        <f>IFERROR(__xludf.DUMMYFUNCTION("VLOOKUP(A192,IMPORTRANGE(""1aFCnJY1qhIj8-JckJhDJ18aqmVo17tofpQmOjcYa3u8/edit#gid=1878241338"",""S5 Totals!$A$2:$O$255""),2,FALSE)"),5.0)</f>
        <v>5</v>
      </c>
      <c r="C192" s="15">
        <f>IFERROR(__xludf.DUMMYFUNCTION("VLOOKUP(A192,IMPORTRANGE(""1aFCnJY1qhIj8-JckJhDJ18aqmVo17tofpQmOjcYa3u8/edit#gid=1878241338"",""S5 Totals!$A$2:$O$255""),3,FALSE)"),0.060240963855421686)</f>
        <v>0.06024096386</v>
      </c>
      <c r="D192" s="16">
        <f>IFERROR(__xludf.DUMMYFUNCTION("VLOOKUP(A192,IMPORTRANGE(""1QZ5UxyNCwadreQAXnQ7oCoH982DjIA-QnZdO7ZoqkC0/edit#gid=884617569"",""S5 Totals!$A$2:$O$255""),2,FALSE)"),1.0)</f>
        <v>1</v>
      </c>
      <c r="E192" s="15">
        <f>IFERROR(__xludf.DUMMYFUNCTION("VLOOKUP(A192,IMPORTRANGE(""1QZ5UxyNCwadreQAXnQ7oCoH982DjIA-QnZdO7ZoqkC0/edit#gid=884617569"",""S5 Totals!$A$2:$O$255""),3,FALSE)"),0.012048192771084338)</f>
        <v>0.01204819277</v>
      </c>
      <c r="F192" s="146">
        <f t="shared" si="1"/>
        <v>0.04819277108</v>
      </c>
      <c r="G192" s="16">
        <f>IFERROR(__xludf.DUMMYFUNCTION("VLOOKUP(A192,IMPORTRANGE(""1QZ5UxyNCwadreQAXnQ7oCoH982DjIA-QnZdO7ZoqkC0/edit#gid=884617569"",""S5 Totals!$A$2:$O$255""),4,FALSE)"),0.0)</f>
        <v>0</v>
      </c>
      <c r="H192" s="15">
        <f>IFERROR(__xludf.DUMMYFUNCTION("VLOOKUP(A192,IMPORTRANGE(""1QZ5UxyNCwadreQAXnQ7oCoH982DjIA-QnZdO7ZoqkC0/edit#gid=884617569"",""S5 Totals!$A$2:$O$255""),5,FALSE)"),0.0)</f>
        <v>0</v>
      </c>
      <c r="I192" s="143"/>
      <c r="J192" s="16">
        <f>IFERROR(__xludf.DUMMYFUNCTION("VLOOKUP(A192,IMPORTRANGE(""1QZ5UxyNCwadreQAXnQ7oCoH982DjIA-QnZdO7ZoqkC0/edit#gid=884617569"",""S5 Totals!$A$2:$O$255""),7,FALSE)"),0.0)</f>
        <v>0</v>
      </c>
      <c r="K192" s="15">
        <f>IFERROR(__xludf.DUMMYFUNCTION("VLOOKUP(A192,IMPORTRANGE(""1QZ5UxyNCwadreQAXnQ7oCoH982DjIA-QnZdO7ZoqkC0/edit#gid=884617569"",""S5 Totals!$A$2:$O$255""),8,FALSE)"),0.0)</f>
        <v>0</v>
      </c>
      <c r="L192" s="147"/>
      <c r="M192" s="16">
        <f>IFERROR(__xludf.DUMMYFUNCTION("VLOOKUP(A192,IMPORTRANGE(""1QZ5UxyNCwadreQAXnQ7oCoH982DjIA-QnZdO7ZoqkC0/edit#gid=884617569"",""S5 Totals!$A$2:$O$255""),10,FALSE)"),1.0)</f>
        <v>1</v>
      </c>
      <c r="N192" s="15">
        <f>IFERROR(__xludf.DUMMYFUNCTION("VLOOKUP(A192,IMPORTRANGE(""1QZ5UxyNCwadreQAXnQ7oCoH982DjIA-QnZdO7ZoqkC0/edit#gid=884617569"",""S5 Totals!$A$2:$O$255""),11,FALSE)"),0.03333333333333333)</f>
        <v>0.03333333333</v>
      </c>
      <c r="O192" s="110"/>
      <c r="P192" s="16">
        <f>IFERROR(__xludf.DUMMYFUNCTION("VLOOKUP(A192,IMPORTRANGE(""1QZ5UxyNCwadreQAXnQ7oCoH982DjIA-QnZdO7ZoqkC0/edit#gid=884617569"",""S5 Totals!$A$2:$O$255""),13,FALSE)"),0.0)</f>
        <v>0</v>
      </c>
      <c r="Q192" s="15">
        <f>IFERROR(__xludf.DUMMYFUNCTION("VLOOKUP(A192,IMPORTRANGE(""1QZ5UxyNCwadreQAXnQ7oCoH982DjIA-QnZdO7ZoqkC0/edit#gid=884617569"",""S5 Totals!$A$2:$O$255""),14,FALSE)"),0.0)</f>
        <v>0</v>
      </c>
      <c r="R192" s="110"/>
    </row>
    <row r="193">
      <c r="A193" s="128" t="s">
        <v>252</v>
      </c>
      <c r="B193" s="16">
        <f>IFERROR(__xludf.DUMMYFUNCTION("VLOOKUP(A193,IMPORTRANGE(""1aFCnJY1qhIj8-JckJhDJ18aqmVo17tofpQmOjcYa3u8/edit#gid=1878241338"",""S5 Totals!$A$2:$O$255""),2,FALSE)"),1.0)</f>
        <v>1</v>
      </c>
      <c r="C193" s="15">
        <f>IFERROR(__xludf.DUMMYFUNCTION("VLOOKUP(A193,IMPORTRANGE(""1aFCnJY1qhIj8-JckJhDJ18aqmVo17tofpQmOjcYa3u8/edit#gid=1878241338"",""S5 Totals!$A$2:$O$255""),3,FALSE)"),0.012048192771084338)</f>
        <v>0.01204819277</v>
      </c>
      <c r="D193" s="16">
        <f>IFERROR(__xludf.DUMMYFUNCTION("VLOOKUP(A193,IMPORTRANGE(""1QZ5UxyNCwadreQAXnQ7oCoH982DjIA-QnZdO7ZoqkC0/edit#gid=884617569"",""S5 Totals!$A$2:$O$255""),2,FALSE)"),0.0)</f>
        <v>0</v>
      </c>
      <c r="E193" s="15">
        <f>IFERROR(__xludf.DUMMYFUNCTION("VLOOKUP(A193,IMPORTRANGE(""1QZ5UxyNCwadreQAXnQ7oCoH982DjIA-QnZdO7ZoqkC0/edit#gid=884617569"",""S5 Totals!$A$2:$O$255""),3,FALSE)"),0.0)</f>
        <v>0</v>
      </c>
      <c r="F193" s="146">
        <f t="shared" si="1"/>
        <v>0.01204819277</v>
      </c>
      <c r="G193" s="16">
        <f>IFERROR(__xludf.DUMMYFUNCTION("VLOOKUP(A193,IMPORTRANGE(""1QZ5UxyNCwadreQAXnQ7oCoH982DjIA-QnZdO7ZoqkC0/edit#gid=884617569"",""S5 Totals!$A$2:$O$255""),4,FALSE)"),0.0)</f>
        <v>0</v>
      </c>
      <c r="H193" s="15">
        <f>IFERROR(__xludf.DUMMYFUNCTION("VLOOKUP(A193,IMPORTRANGE(""1QZ5UxyNCwadreQAXnQ7oCoH982DjIA-QnZdO7ZoqkC0/edit#gid=884617569"",""S5 Totals!$A$2:$O$255""),5,FALSE)"),0.0)</f>
        <v>0</v>
      </c>
      <c r="I193" s="143"/>
      <c r="J193" s="16" t="str">
        <f>IFERROR(__xludf.DUMMYFUNCTION("VLOOKUP(A193,IMPORTRANGE(""1QZ5UxyNCwadreQAXnQ7oCoH982DjIA-QnZdO7ZoqkC0/edit#gid=884617569"",""S5 Totals!$A$2:$O$255""),7,FALSE)"),"")</f>
        <v/>
      </c>
      <c r="K193" s="15" t="str">
        <f>IFERROR(__xludf.DUMMYFUNCTION("VLOOKUP(A193,IMPORTRANGE(""1QZ5UxyNCwadreQAXnQ7oCoH982DjIA-QnZdO7ZoqkC0/edit#gid=884617569"",""S5 Totals!$A$2:$O$255""),8,FALSE)"),"")</f>
        <v/>
      </c>
      <c r="L193" s="147"/>
      <c r="M193" s="16" t="str">
        <f>IFERROR(__xludf.DUMMYFUNCTION("VLOOKUP(A193,IMPORTRANGE(""1QZ5UxyNCwadreQAXnQ7oCoH982DjIA-QnZdO7ZoqkC0/edit#gid=884617569"",""S5 Totals!$A$2:$O$255""),10,FALSE)"),"")</f>
        <v/>
      </c>
      <c r="N193" s="15" t="str">
        <f>IFERROR(__xludf.DUMMYFUNCTION("VLOOKUP(A193,IMPORTRANGE(""1QZ5UxyNCwadreQAXnQ7oCoH982DjIA-QnZdO7ZoqkC0/edit#gid=884617569"",""S5 Totals!$A$2:$O$255""),11,FALSE)"),"")</f>
        <v/>
      </c>
      <c r="O193" s="110"/>
      <c r="P193" s="16" t="str">
        <f>IFERROR(__xludf.DUMMYFUNCTION("VLOOKUP(A193,IMPORTRANGE(""1QZ5UxyNCwadreQAXnQ7oCoH982DjIA-QnZdO7ZoqkC0/edit#gid=884617569"",""S5 Totals!$A$2:$O$255""),13,FALSE)"),"")</f>
        <v/>
      </c>
      <c r="Q193" s="15" t="str">
        <f>IFERROR(__xludf.DUMMYFUNCTION("VLOOKUP(A193,IMPORTRANGE(""1QZ5UxyNCwadreQAXnQ7oCoH982DjIA-QnZdO7ZoqkC0/edit#gid=884617569"",""S5 Totals!$A$2:$O$255""),14,FALSE)"),"")</f>
        <v/>
      </c>
      <c r="R193" s="110"/>
    </row>
    <row r="194">
      <c r="A194" s="128" t="s">
        <v>90</v>
      </c>
      <c r="B194" s="16">
        <f>IFERROR(__xludf.DUMMYFUNCTION("VLOOKUP(A194,IMPORTRANGE(""1aFCnJY1qhIj8-JckJhDJ18aqmVo17tofpQmOjcYa3u8/edit#gid=1878241338"",""S5 Totals!$A$2:$O$255""),2,FALSE)"),26.0)</f>
        <v>26</v>
      </c>
      <c r="C194" s="15">
        <f>IFERROR(__xludf.DUMMYFUNCTION("VLOOKUP(A194,IMPORTRANGE(""1aFCnJY1qhIj8-JckJhDJ18aqmVo17tofpQmOjcYa3u8/edit#gid=1878241338"",""S5 Totals!$A$2:$O$255""),3,FALSE)"),0.3132530120481928)</f>
        <v>0.313253012</v>
      </c>
      <c r="D194" s="16">
        <f>IFERROR(__xludf.DUMMYFUNCTION("VLOOKUP(A194,IMPORTRANGE(""1QZ5UxyNCwadreQAXnQ7oCoH982DjIA-QnZdO7ZoqkC0/edit#gid=884617569"",""S5 Totals!$A$2:$O$255""),2,FALSE)"),21.0)</f>
        <v>21</v>
      </c>
      <c r="E194" s="15">
        <f>IFERROR(__xludf.DUMMYFUNCTION("VLOOKUP(A194,IMPORTRANGE(""1QZ5UxyNCwadreQAXnQ7oCoH982DjIA-QnZdO7ZoqkC0/edit#gid=884617569"",""S5 Totals!$A$2:$O$255""),3,FALSE)"),0.25301204819277107)</f>
        <v>0.2530120482</v>
      </c>
      <c r="F194" s="146">
        <f t="shared" si="1"/>
        <v>0.06024096386</v>
      </c>
      <c r="G194" s="16">
        <f>IFERROR(__xludf.DUMMYFUNCTION("VLOOKUP(A194,IMPORTRANGE(""1QZ5UxyNCwadreQAXnQ7oCoH982DjIA-QnZdO7ZoqkC0/edit#gid=884617569"",""S5 Totals!$A$2:$O$255""),4,FALSE)"),2.0)</f>
        <v>2</v>
      </c>
      <c r="H194" s="15">
        <f>IFERROR(__xludf.DUMMYFUNCTION("VLOOKUP(A194,IMPORTRANGE(""1QZ5UxyNCwadreQAXnQ7oCoH982DjIA-QnZdO7ZoqkC0/edit#gid=884617569"",""S5 Totals!$A$2:$O$255""),5,FALSE)"),0.04081632653061224)</f>
        <v>0.04081632653</v>
      </c>
      <c r="I194" s="143"/>
      <c r="J194" s="16">
        <f>IFERROR(__xludf.DUMMYFUNCTION("VLOOKUP(A194,IMPORTRANGE(""1QZ5UxyNCwadreQAXnQ7oCoH982DjIA-QnZdO7ZoqkC0/edit#gid=884617569"",""S5 Totals!$A$2:$O$255""),7,FALSE)"),0.0)</f>
        <v>0</v>
      </c>
      <c r="K194" s="15">
        <f>IFERROR(__xludf.DUMMYFUNCTION("VLOOKUP(A194,IMPORTRANGE(""1QZ5UxyNCwadreQAXnQ7oCoH982DjIA-QnZdO7ZoqkC0/edit#gid=884617569"",""S5 Totals!$A$2:$O$255""),8,FALSE)"),0.0)</f>
        <v>0</v>
      </c>
      <c r="L194" s="147"/>
      <c r="M194" s="16">
        <f>IFERROR(__xludf.DUMMYFUNCTION("VLOOKUP(A194,IMPORTRANGE(""1QZ5UxyNCwadreQAXnQ7oCoH982DjIA-QnZdO7ZoqkC0/edit#gid=884617569"",""S5 Totals!$A$2:$O$255""),10,FALSE)"),0.0)</f>
        <v>0</v>
      </c>
      <c r="N194" s="15">
        <f>IFERROR(__xludf.DUMMYFUNCTION("VLOOKUP(A194,IMPORTRANGE(""1QZ5UxyNCwadreQAXnQ7oCoH982DjIA-QnZdO7ZoqkC0/edit#gid=884617569"",""S5 Totals!$A$2:$O$255""),11,FALSE)"),0.0)</f>
        <v>0</v>
      </c>
      <c r="O194" s="110"/>
      <c r="P194" s="16">
        <f>IFERROR(__xludf.DUMMYFUNCTION("VLOOKUP(A194,IMPORTRANGE(""1QZ5UxyNCwadreQAXnQ7oCoH982DjIA-QnZdO7ZoqkC0/edit#gid=884617569"",""S5 Totals!$A$2:$O$255""),13,FALSE)"),4.0)</f>
        <v>4</v>
      </c>
      <c r="Q194" s="15">
        <f>IFERROR(__xludf.DUMMYFUNCTION("VLOOKUP(A194,IMPORTRANGE(""1QZ5UxyNCwadreQAXnQ7oCoH982DjIA-QnZdO7ZoqkC0/edit#gid=884617569"",""S5 Totals!$A$2:$O$255""),14,FALSE)"),0.14285714285714285)</f>
        <v>0.1428571429</v>
      </c>
      <c r="R194" s="110"/>
    </row>
    <row r="195">
      <c r="A195" s="128" t="s">
        <v>91</v>
      </c>
      <c r="B195" s="16">
        <f>IFERROR(__xludf.DUMMYFUNCTION("VLOOKUP(A195,IMPORTRANGE(""1aFCnJY1qhIj8-JckJhDJ18aqmVo17tofpQmOjcYa3u8/edit#gid=1878241338"",""S5 Totals!$A$2:$O$255""),2,FALSE)"),7.0)</f>
        <v>7</v>
      </c>
      <c r="C195" s="15">
        <f>IFERROR(__xludf.DUMMYFUNCTION("VLOOKUP(A195,IMPORTRANGE(""1aFCnJY1qhIj8-JckJhDJ18aqmVo17tofpQmOjcYa3u8/edit#gid=1878241338"",""S5 Totals!$A$2:$O$255""),3,FALSE)"),0.08433734939759036)</f>
        <v>0.0843373494</v>
      </c>
      <c r="D195" s="16">
        <f>IFERROR(__xludf.DUMMYFUNCTION("VLOOKUP(A195,IMPORTRANGE(""1QZ5UxyNCwadreQAXnQ7oCoH982DjIA-QnZdO7ZoqkC0/edit#gid=884617569"",""S5 Totals!$A$2:$O$255""),2,FALSE)"),5.0)</f>
        <v>5</v>
      </c>
      <c r="E195" s="15">
        <f>IFERROR(__xludf.DUMMYFUNCTION("VLOOKUP(A195,IMPORTRANGE(""1QZ5UxyNCwadreQAXnQ7oCoH982DjIA-QnZdO7ZoqkC0/edit#gid=884617569"",""S5 Totals!$A$2:$O$255""),3,FALSE)"),0.060240963855421686)</f>
        <v>0.06024096386</v>
      </c>
      <c r="F195" s="146">
        <f t="shared" si="1"/>
        <v>0.02409638554</v>
      </c>
      <c r="G195" s="16">
        <f>IFERROR(__xludf.DUMMYFUNCTION("VLOOKUP(A195,IMPORTRANGE(""1QZ5UxyNCwadreQAXnQ7oCoH982DjIA-QnZdO7ZoqkC0/edit#gid=884617569"",""S5 Totals!$A$2:$O$255""),4,FALSE)"),4.0)</f>
        <v>4</v>
      </c>
      <c r="H195" s="15">
        <f>IFERROR(__xludf.DUMMYFUNCTION("VLOOKUP(A195,IMPORTRANGE(""1QZ5UxyNCwadreQAXnQ7oCoH982DjIA-QnZdO7ZoqkC0/edit#gid=884617569"",""S5 Totals!$A$2:$O$255""),5,FALSE)"),0.08163265306122448)</f>
        <v>0.08163265306</v>
      </c>
      <c r="I195" s="143"/>
      <c r="J195" s="16">
        <f>IFERROR(__xludf.DUMMYFUNCTION("VLOOKUP(A195,IMPORTRANGE(""1QZ5UxyNCwadreQAXnQ7oCoH982DjIA-QnZdO7ZoqkC0/edit#gid=884617569"",""S5 Totals!$A$2:$O$255""),7,FALSE)"),1.0)</f>
        <v>1</v>
      </c>
      <c r="K195" s="15">
        <f>IFERROR(__xludf.DUMMYFUNCTION("VLOOKUP(A195,IMPORTRANGE(""1QZ5UxyNCwadreQAXnQ7oCoH982DjIA-QnZdO7ZoqkC0/edit#gid=884617569"",""S5 Totals!$A$2:$O$255""),8,FALSE)"),0.029411764705882353)</f>
        <v>0.02941176471</v>
      </c>
      <c r="L195" s="147"/>
      <c r="M195" s="16">
        <f>IFERROR(__xludf.DUMMYFUNCTION("VLOOKUP(A195,IMPORTRANGE(""1QZ5UxyNCwadreQAXnQ7oCoH982DjIA-QnZdO7ZoqkC0/edit#gid=884617569"",""S5 Totals!$A$2:$O$255""),10,FALSE)"),0.0)</f>
        <v>0</v>
      </c>
      <c r="N195" s="15">
        <f>IFERROR(__xludf.DUMMYFUNCTION("VLOOKUP(A195,IMPORTRANGE(""1QZ5UxyNCwadreQAXnQ7oCoH982DjIA-QnZdO7ZoqkC0/edit#gid=884617569"",""S5 Totals!$A$2:$O$255""),11,FALSE)"),0.0)</f>
        <v>0</v>
      </c>
      <c r="O195" s="110"/>
      <c r="P195" s="16">
        <f>IFERROR(__xludf.DUMMYFUNCTION("VLOOKUP(A195,IMPORTRANGE(""1QZ5UxyNCwadreQAXnQ7oCoH982DjIA-QnZdO7ZoqkC0/edit#gid=884617569"",""S5 Totals!$A$2:$O$255""),13,FALSE)"),0.0)</f>
        <v>0</v>
      </c>
      <c r="Q195" s="15">
        <f>IFERROR(__xludf.DUMMYFUNCTION("VLOOKUP(A195,IMPORTRANGE(""1QZ5UxyNCwadreQAXnQ7oCoH982DjIA-QnZdO7ZoqkC0/edit#gid=884617569"",""S5 Totals!$A$2:$O$255""),14,FALSE)"),0.0)</f>
        <v>0</v>
      </c>
      <c r="R195" s="110"/>
    </row>
    <row r="196">
      <c r="A196" s="128" t="s">
        <v>144</v>
      </c>
      <c r="B196" s="16">
        <f>IFERROR(__xludf.DUMMYFUNCTION("VLOOKUP(A196,IMPORTRANGE(""1aFCnJY1qhIj8-JckJhDJ18aqmVo17tofpQmOjcYa3u8/edit#gid=1878241338"",""S5 Totals!$A$2:$O$255""),2,FALSE)"),31.0)</f>
        <v>31</v>
      </c>
      <c r="C196" s="15">
        <f>IFERROR(__xludf.DUMMYFUNCTION("VLOOKUP(A196,IMPORTRANGE(""1aFCnJY1qhIj8-JckJhDJ18aqmVo17tofpQmOjcYa3u8/edit#gid=1878241338"",""S5 Totals!$A$2:$O$255""),3,FALSE)"),0.37349397590361444)</f>
        <v>0.3734939759</v>
      </c>
      <c r="D196" s="16">
        <f>IFERROR(__xludf.DUMMYFUNCTION("VLOOKUP(A196,IMPORTRANGE(""1QZ5UxyNCwadreQAXnQ7oCoH982DjIA-QnZdO7ZoqkC0/edit#gid=884617569"",""S5 Totals!$A$2:$O$255""),2,FALSE)"),26.0)</f>
        <v>26</v>
      </c>
      <c r="E196" s="15">
        <f>IFERROR(__xludf.DUMMYFUNCTION("VLOOKUP(A196,IMPORTRANGE(""1QZ5UxyNCwadreQAXnQ7oCoH982DjIA-QnZdO7ZoqkC0/edit#gid=884617569"",""S5 Totals!$A$2:$O$255""),3,FALSE)"),0.3132530120481928)</f>
        <v>0.313253012</v>
      </c>
      <c r="F196" s="146">
        <f t="shared" si="1"/>
        <v>0.06024096386</v>
      </c>
      <c r="G196" s="16">
        <f>IFERROR(__xludf.DUMMYFUNCTION("VLOOKUP(A196,IMPORTRANGE(""1QZ5UxyNCwadreQAXnQ7oCoH982DjIA-QnZdO7ZoqkC0/edit#gid=884617569"",""S5 Totals!$A$2:$O$255""),4,FALSE)"),14.0)</f>
        <v>14</v>
      </c>
      <c r="H196" s="15">
        <f>IFERROR(__xludf.DUMMYFUNCTION("VLOOKUP(A196,IMPORTRANGE(""1QZ5UxyNCwadreQAXnQ7oCoH982DjIA-QnZdO7ZoqkC0/edit#gid=884617569"",""S5 Totals!$A$2:$O$255""),5,FALSE)"),0.2857142857142857)</f>
        <v>0.2857142857</v>
      </c>
      <c r="I196" s="143"/>
      <c r="J196" s="16">
        <f>IFERROR(__xludf.DUMMYFUNCTION("VLOOKUP(A196,IMPORTRANGE(""1QZ5UxyNCwadreQAXnQ7oCoH982DjIA-QnZdO7ZoqkC0/edit#gid=884617569"",""S5 Totals!$A$2:$O$255""),7,FALSE)"),10.0)</f>
        <v>10</v>
      </c>
      <c r="K196" s="15">
        <f>IFERROR(__xludf.DUMMYFUNCTION("VLOOKUP(A196,IMPORTRANGE(""1QZ5UxyNCwadreQAXnQ7oCoH982DjIA-QnZdO7ZoqkC0/edit#gid=884617569"",""S5 Totals!$A$2:$O$255""),8,FALSE)"),0.29411764705882354)</f>
        <v>0.2941176471</v>
      </c>
      <c r="L196" s="147"/>
      <c r="M196" s="16">
        <f>IFERROR(__xludf.DUMMYFUNCTION("VLOOKUP(A196,IMPORTRANGE(""1QZ5UxyNCwadreQAXnQ7oCoH982DjIA-QnZdO7ZoqkC0/edit#gid=884617569"",""S5 Totals!$A$2:$O$255""),10,FALSE)"),4.0)</f>
        <v>4</v>
      </c>
      <c r="N196" s="15">
        <f>IFERROR(__xludf.DUMMYFUNCTION("VLOOKUP(A196,IMPORTRANGE(""1QZ5UxyNCwadreQAXnQ7oCoH982DjIA-QnZdO7ZoqkC0/edit#gid=884617569"",""S5 Totals!$A$2:$O$255""),11,FALSE)"),0.13333333333333333)</f>
        <v>0.1333333333</v>
      </c>
      <c r="O196" s="110"/>
      <c r="P196" s="16" t="str">
        <f>IFERROR(__xludf.DUMMYFUNCTION("VLOOKUP(A196,IMPORTRANGE(""1QZ5UxyNCwadreQAXnQ7oCoH982DjIA-QnZdO7ZoqkC0/edit#gid=884617569"",""S5 Totals!$A$2:$O$255""),13,FALSE)"),"")</f>
        <v/>
      </c>
      <c r="Q196" s="15" t="str">
        <f>IFERROR(__xludf.DUMMYFUNCTION("VLOOKUP(A196,IMPORTRANGE(""1QZ5UxyNCwadreQAXnQ7oCoH982DjIA-QnZdO7ZoqkC0/edit#gid=884617569"",""S5 Totals!$A$2:$O$255""),14,FALSE)"),"")</f>
        <v/>
      </c>
      <c r="R196" s="110"/>
    </row>
    <row r="197">
      <c r="A197" s="128" t="s">
        <v>92</v>
      </c>
      <c r="B197" s="16">
        <f>IFERROR(__xludf.DUMMYFUNCTION("VLOOKUP(A197,IMPORTRANGE(""1aFCnJY1qhIj8-JckJhDJ18aqmVo17tofpQmOjcYa3u8/edit#gid=1878241338"",""S5 Totals!$A$2:$O$255""),2,FALSE)"),44.0)</f>
        <v>44</v>
      </c>
      <c r="C197" s="15">
        <f>IFERROR(__xludf.DUMMYFUNCTION("VLOOKUP(A197,IMPORTRANGE(""1aFCnJY1qhIj8-JckJhDJ18aqmVo17tofpQmOjcYa3u8/edit#gid=1878241338"",""S5 Totals!$A$2:$O$255""),3,FALSE)"),0.5301204819277109)</f>
        <v>0.5301204819</v>
      </c>
      <c r="D197" s="16">
        <f>IFERROR(__xludf.DUMMYFUNCTION("VLOOKUP(A197,IMPORTRANGE(""1QZ5UxyNCwadreQAXnQ7oCoH982DjIA-QnZdO7ZoqkC0/edit#gid=884617569"",""S5 Totals!$A$2:$O$255""),2,FALSE)"),39.0)</f>
        <v>39</v>
      </c>
      <c r="E197" s="15">
        <f>IFERROR(__xludf.DUMMYFUNCTION("VLOOKUP(A197,IMPORTRANGE(""1QZ5UxyNCwadreQAXnQ7oCoH982DjIA-QnZdO7ZoqkC0/edit#gid=884617569"",""S5 Totals!$A$2:$O$255""),3,FALSE)"),0.46987951807228917)</f>
        <v>0.4698795181</v>
      </c>
      <c r="F197" s="146">
        <f t="shared" si="1"/>
        <v>0.06024096386</v>
      </c>
      <c r="G197" s="16">
        <f>IFERROR(__xludf.DUMMYFUNCTION("VLOOKUP(A197,IMPORTRANGE(""1QZ5UxyNCwadreQAXnQ7oCoH982DjIA-QnZdO7ZoqkC0/edit#gid=884617569"",""S5 Totals!$A$2:$O$255""),4,FALSE)"),22.0)</f>
        <v>22</v>
      </c>
      <c r="H197" s="15">
        <f>IFERROR(__xludf.DUMMYFUNCTION("VLOOKUP(A197,IMPORTRANGE(""1QZ5UxyNCwadreQAXnQ7oCoH982DjIA-QnZdO7ZoqkC0/edit#gid=884617569"",""S5 Totals!$A$2:$O$255""),5,FALSE)"),0.4489795918367347)</f>
        <v>0.4489795918</v>
      </c>
      <c r="I197" s="143"/>
      <c r="J197" s="16">
        <f>IFERROR(__xludf.DUMMYFUNCTION("VLOOKUP(A197,IMPORTRANGE(""1QZ5UxyNCwadreQAXnQ7oCoH982DjIA-QnZdO7ZoqkC0/edit#gid=884617569"",""S5 Totals!$A$2:$O$255""),7,FALSE)"),15.0)</f>
        <v>15</v>
      </c>
      <c r="K197" s="15">
        <f>IFERROR(__xludf.DUMMYFUNCTION("VLOOKUP(A197,IMPORTRANGE(""1QZ5UxyNCwadreQAXnQ7oCoH982DjIA-QnZdO7ZoqkC0/edit#gid=884617569"",""S5 Totals!$A$2:$O$255""),8,FALSE)"),0.4411764705882353)</f>
        <v>0.4411764706</v>
      </c>
      <c r="L197" s="147"/>
      <c r="M197" s="16">
        <f>IFERROR(__xludf.DUMMYFUNCTION("VLOOKUP(A197,IMPORTRANGE(""1QZ5UxyNCwadreQAXnQ7oCoH982DjIA-QnZdO7ZoqkC0/edit#gid=884617569"",""S5 Totals!$A$2:$O$255""),10,FALSE)"),8.0)</f>
        <v>8</v>
      </c>
      <c r="N197" s="15">
        <f>IFERROR(__xludf.DUMMYFUNCTION("VLOOKUP(A197,IMPORTRANGE(""1QZ5UxyNCwadreQAXnQ7oCoH982DjIA-QnZdO7ZoqkC0/edit#gid=884617569"",""S5 Totals!$A$2:$O$255""),11,FALSE)"),0.26666666666666666)</f>
        <v>0.2666666667</v>
      </c>
      <c r="O197" s="110"/>
      <c r="P197" s="16">
        <f>IFERROR(__xludf.DUMMYFUNCTION("VLOOKUP(A197,IMPORTRANGE(""1QZ5UxyNCwadreQAXnQ7oCoH982DjIA-QnZdO7ZoqkC0/edit#gid=884617569"",""S5 Totals!$A$2:$O$255""),13,FALSE)"),4.0)</f>
        <v>4</v>
      </c>
      <c r="Q197" s="15">
        <f>IFERROR(__xludf.DUMMYFUNCTION("VLOOKUP(A197,IMPORTRANGE(""1QZ5UxyNCwadreQAXnQ7oCoH982DjIA-QnZdO7ZoqkC0/edit#gid=884617569"",""S5 Totals!$A$2:$O$255""),14,FALSE)"),0.14285714285714285)</f>
        <v>0.1428571429</v>
      </c>
      <c r="R197" s="110"/>
    </row>
    <row r="198">
      <c r="A198" s="128" t="s">
        <v>93</v>
      </c>
      <c r="B198" s="16">
        <f>IFERROR(__xludf.DUMMYFUNCTION("VLOOKUP(A198,IMPORTRANGE(""1aFCnJY1qhIj8-JckJhDJ18aqmVo17tofpQmOjcYa3u8/edit#gid=1878241338"",""S5 Totals!$A$2:$O$255""),2,FALSE)"),5.0)</f>
        <v>5</v>
      </c>
      <c r="C198" s="15">
        <f>IFERROR(__xludf.DUMMYFUNCTION("VLOOKUP(A198,IMPORTRANGE(""1aFCnJY1qhIj8-JckJhDJ18aqmVo17tofpQmOjcYa3u8/edit#gid=1878241338"",""S5 Totals!$A$2:$O$255""),3,FALSE)"),0.060240963855421686)</f>
        <v>0.06024096386</v>
      </c>
      <c r="D198" s="16">
        <f>IFERROR(__xludf.DUMMYFUNCTION("VLOOKUP(A198,IMPORTRANGE(""1QZ5UxyNCwadreQAXnQ7oCoH982DjIA-QnZdO7ZoqkC0/edit#gid=884617569"",""S5 Totals!$A$2:$O$255""),2,FALSE)"),1.0)</f>
        <v>1</v>
      </c>
      <c r="E198" s="15">
        <f>IFERROR(__xludf.DUMMYFUNCTION("VLOOKUP(A198,IMPORTRANGE(""1QZ5UxyNCwadreQAXnQ7oCoH982DjIA-QnZdO7ZoqkC0/edit#gid=884617569"",""S5 Totals!$A$2:$O$255""),3,FALSE)"),0.012048192771084338)</f>
        <v>0.01204819277</v>
      </c>
      <c r="F198" s="146">
        <f t="shared" si="1"/>
        <v>0.04819277108</v>
      </c>
      <c r="G198" s="16">
        <f>IFERROR(__xludf.DUMMYFUNCTION("VLOOKUP(A198,IMPORTRANGE(""1QZ5UxyNCwadreQAXnQ7oCoH982DjIA-QnZdO7ZoqkC0/edit#gid=884617569"",""S5 Totals!$A$2:$O$255""),4,FALSE)"),1.0)</f>
        <v>1</v>
      </c>
      <c r="H198" s="15">
        <f>IFERROR(__xludf.DUMMYFUNCTION("VLOOKUP(A198,IMPORTRANGE(""1QZ5UxyNCwadreQAXnQ7oCoH982DjIA-QnZdO7ZoqkC0/edit#gid=884617569"",""S5 Totals!$A$2:$O$255""),5,FALSE)"),0.02040816326530612)</f>
        <v>0.02040816327</v>
      </c>
      <c r="I198" s="143"/>
      <c r="J198" s="16">
        <f>IFERROR(__xludf.DUMMYFUNCTION("VLOOKUP(A198,IMPORTRANGE(""1QZ5UxyNCwadreQAXnQ7oCoH982DjIA-QnZdO7ZoqkC0/edit#gid=884617569"",""S5 Totals!$A$2:$O$255""),7,FALSE)"),2.0)</f>
        <v>2</v>
      </c>
      <c r="K198" s="15">
        <f>IFERROR(__xludf.DUMMYFUNCTION("VLOOKUP(A198,IMPORTRANGE(""1QZ5UxyNCwadreQAXnQ7oCoH982DjIA-QnZdO7ZoqkC0/edit#gid=884617569"",""S5 Totals!$A$2:$O$255""),8,FALSE)"),0.058823529411764705)</f>
        <v>0.05882352941</v>
      </c>
      <c r="L198" s="147"/>
      <c r="M198" s="16">
        <f>IFERROR(__xludf.DUMMYFUNCTION("VLOOKUP(A198,IMPORTRANGE(""1QZ5UxyNCwadreQAXnQ7oCoH982DjIA-QnZdO7ZoqkC0/edit#gid=884617569"",""S5 Totals!$A$2:$O$255""),10,FALSE)"),0.0)</f>
        <v>0</v>
      </c>
      <c r="N198" s="15">
        <f>IFERROR(__xludf.DUMMYFUNCTION("VLOOKUP(A198,IMPORTRANGE(""1QZ5UxyNCwadreQAXnQ7oCoH982DjIA-QnZdO7ZoqkC0/edit#gid=884617569"",""S5 Totals!$A$2:$O$255""),11,FALSE)"),0.0)</f>
        <v>0</v>
      </c>
      <c r="O198" s="110"/>
      <c r="P198" s="16">
        <f>IFERROR(__xludf.DUMMYFUNCTION("VLOOKUP(A198,IMPORTRANGE(""1QZ5UxyNCwadreQAXnQ7oCoH982DjIA-QnZdO7ZoqkC0/edit#gid=884617569"",""S5 Totals!$A$2:$O$255""),13,FALSE)"),0.0)</f>
        <v>0</v>
      </c>
      <c r="Q198" s="15">
        <f>IFERROR(__xludf.DUMMYFUNCTION("VLOOKUP(A198,IMPORTRANGE(""1QZ5UxyNCwadreQAXnQ7oCoH982DjIA-QnZdO7ZoqkC0/edit#gid=884617569"",""S5 Totals!$A$2:$O$255""),14,FALSE)"),0.0)</f>
        <v>0</v>
      </c>
      <c r="R198" s="110"/>
    </row>
    <row r="199">
      <c r="A199" s="128" t="s">
        <v>145</v>
      </c>
      <c r="B199" s="16">
        <f>IFERROR(__xludf.DUMMYFUNCTION("VLOOKUP(A199,IMPORTRANGE(""1aFCnJY1qhIj8-JckJhDJ18aqmVo17tofpQmOjcYa3u8/edit#gid=1878241338"",""S5 Totals!$A$2:$O$255""),2,FALSE)"),18.0)</f>
        <v>18</v>
      </c>
      <c r="C199" s="15">
        <f>IFERROR(__xludf.DUMMYFUNCTION("VLOOKUP(A199,IMPORTRANGE(""1aFCnJY1qhIj8-JckJhDJ18aqmVo17tofpQmOjcYa3u8/edit#gid=1878241338"",""S5 Totals!$A$2:$O$255""),3,FALSE)"),0.21686746987951808)</f>
        <v>0.2168674699</v>
      </c>
      <c r="D199" s="16">
        <f>IFERROR(__xludf.DUMMYFUNCTION("VLOOKUP(A199,IMPORTRANGE(""1QZ5UxyNCwadreQAXnQ7oCoH982DjIA-QnZdO7ZoqkC0/edit#gid=884617569"",""S5 Totals!$A$2:$O$255""),2,FALSE)"),20.0)</f>
        <v>20</v>
      </c>
      <c r="E199" s="15">
        <f>IFERROR(__xludf.DUMMYFUNCTION("VLOOKUP(A199,IMPORTRANGE(""1QZ5UxyNCwadreQAXnQ7oCoH982DjIA-QnZdO7ZoqkC0/edit#gid=884617569"",""S5 Totals!$A$2:$O$255""),3,FALSE)"),0.24096385542168675)</f>
        <v>0.2409638554</v>
      </c>
      <c r="F199" s="146">
        <f t="shared" si="1"/>
        <v>-0.02409638554</v>
      </c>
      <c r="G199" s="16">
        <f>IFERROR(__xludf.DUMMYFUNCTION("VLOOKUP(A199,IMPORTRANGE(""1QZ5UxyNCwadreQAXnQ7oCoH982DjIA-QnZdO7ZoqkC0/edit#gid=884617569"",""S5 Totals!$A$2:$O$255""),4,FALSE)"),4.0)</f>
        <v>4</v>
      </c>
      <c r="H199" s="15">
        <f>IFERROR(__xludf.DUMMYFUNCTION("VLOOKUP(A199,IMPORTRANGE(""1QZ5UxyNCwadreQAXnQ7oCoH982DjIA-QnZdO7ZoqkC0/edit#gid=884617569"",""S5 Totals!$A$2:$O$255""),5,FALSE)"),0.08163265306122448)</f>
        <v>0.08163265306</v>
      </c>
      <c r="I199" s="143"/>
      <c r="J199" s="16">
        <f>IFERROR(__xludf.DUMMYFUNCTION("VLOOKUP(A199,IMPORTRANGE(""1QZ5UxyNCwadreQAXnQ7oCoH982DjIA-QnZdO7ZoqkC0/edit#gid=884617569"",""S5 Totals!$A$2:$O$255""),7,FALSE)"),6.0)</f>
        <v>6</v>
      </c>
      <c r="K199" s="15">
        <f>IFERROR(__xludf.DUMMYFUNCTION("VLOOKUP(A199,IMPORTRANGE(""1QZ5UxyNCwadreQAXnQ7oCoH982DjIA-QnZdO7ZoqkC0/edit#gid=884617569"",""S5 Totals!$A$2:$O$255""),8,FALSE)"),0.17647058823529413)</f>
        <v>0.1764705882</v>
      </c>
      <c r="L199" s="147"/>
      <c r="M199" s="16">
        <f>IFERROR(__xludf.DUMMYFUNCTION("VLOOKUP(A199,IMPORTRANGE(""1QZ5UxyNCwadreQAXnQ7oCoH982DjIA-QnZdO7ZoqkC0/edit#gid=884617569"",""S5 Totals!$A$2:$O$255""),10,FALSE)"),3.0)</f>
        <v>3</v>
      </c>
      <c r="N199" s="15">
        <f>IFERROR(__xludf.DUMMYFUNCTION("VLOOKUP(A199,IMPORTRANGE(""1QZ5UxyNCwadreQAXnQ7oCoH982DjIA-QnZdO7ZoqkC0/edit#gid=884617569"",""S5 Totals!$A$2:$O$255""),11,FALSE)"),0.1)</f>
        <v>0.1</v>
      </c>
      <c r="O199" s="110"/>
      <c r="P199" s="16" t="str">
        <f>IFERROR(__xludf.DUMMYFUNCTION("VLOOKUP(A199,IMPORTRANGE(""1QZ5UxyNCwadreQAXnQ7oCoH982DjIA-QnZdO7ZoqkC0/edit#gid=884617569"",""S5 Totals!$A$2:$O$255""),13,FALSE)"),"")</f>
        <v/>
      </c>
      <c r="Q199" s="15" t="str">
        <f>IFERROR(__xludf.DUMMYFUNCTION("VLOOKUP(A199,IMPORTRANGE(""1QZ5UxyNCwadreQAXnQ7oCoH982DjIA-QnZdO7ZoqkC0/edit#gid=884617569"",""S5 Totals!$A$2:$O$255""),14,FALSE)"),"")</f>
        <v/>
      </c>
      <c r="R199" s="110"/>
    </row>
    <row r="200">
      <c r="A200" s="128" t="s">
        <v>146</v>
      </c>
      <c r="B200" s="16">
        <f>IFERROR(__xludf.DUMMYFUNCTION("VLOOKUP(A200,IMPORTRANGE(""1aFCnJY1qhIj8-JckJhDJ18aqmVo17tofpQmOjcYa3u8/edit#gid=1878241338"",""S5 Totals!$A$2:$O$255""),2,FALSE)"),4.0)</f>
        <v>4</v>
      </c>
      <c r="C200" s="15">
        <f>IFERROR(__xludf.DUMMYFUNCTION("VLOOKUP(A200,IMPORTRANGE(""1aFCnJY1qhIj8-JckJhDJ18aqmVo17tofpQmOjcYa3u8/edit#gid=1878241338"",""S5 Totals!$A$2:$O$255""),3,FALSE)"),0.04819277108433735)</f>
        <v>0.04819277108</v>
      </c>
      <c r="D200" s="16">
        <f>IFERROR(__xludf.DUMMYFUNCTION("VLOOKUP(A200,IMPORTRANGE(""1QZ5UxyNCwadreQAXnQ7oCoH982DjIA-QnZdO7ZoqkC0/edit#gid=884617569"",""S5 Totals!$A$2:$O$255""),2,FALSE)"),4.0)</f>
        <v>4</v>
      </c>
      <c r="E200" s="15">
        <f>IFERROR(__xludf.DUMMYFUNCTION("VLOOKUP(A200,IMPORTRANGE(""1QZ5UxyNCwadreQAXnQ7oCoH982DjIA-QnZdO7ZoqkC0/edit#gid=884617569"",""S5 Totals!$A$2:$O$255""),3,FALSE)"),0.04819277108433735)</f>
        <v>0.04819277108</v>
      </c>
      <c r="F200" s="146">
        <f t="shared" si="1"/>
        <v>0</v>
      </c>
      <c r="G200" s="16">
        <f>IFERROR(__xludf.DUMMYFUNCTION("VLOOKUP(A200,IMPORTRANGE(""1QZ5UxyNCwadreQAXnQ7oCoH982DjIA-QnZdO7ZoqkC0/edit#gid=884617569"",""S5 Totals!$A$2:$O$255""),4,FALSE)"),3.0)</f>
        <v>3</v>
      </c>
      <c r="H200" s="15">
        <f>IFERROR(__xludf.DUMMYFUNCTION("VLOOKUP(A200,IMPORTRANGE(""1QZ5UxyNCwadreQAXnQ7oCoH982DjIA-QnZdO7ZoqkC0/edit#gid=884617569"",""S5 Totals!$A$2:$O$255""),5,FALSE)"),0.061224489795918366)</f>
        <v>0.0612244898</v>
      </c>
      <c r="I200" s="143"/>
      <c r="J200" s="16">
        <f>IFERROR(__xludf.DUMMYFUNCTION("VLOOKUP(A200,IMPORTRANGE(""1QZ5UxyNCwadreQAXnQ7oCoH982DjIA-QnZdO7ZoqkC0/edit#gid=884617569"",""S5 Totals!$A$2:$O$255""),7,FALSE)"),4.0)</f>
        <v>4</v>
      </c>
      <c r="K200" s="15">
        <f>IFERROR(__xludf.DUMMYFUNCTION("VLOOKUP(A200,IMPORTRANGE(""1QZ5UxyNCwadreQAXnQ7oCoH982DjIA-QnZdO7ZoqkC0/edit#gid=884617569"",""S5 Totals!$A$2:$O$255""),8,FALSE)"),0.11764705882352941)</f>
        <v>0.1176470588</v>
      </c>
      <c r="L200" s="147"/>
      <c r="M200" s="16">
        <f>IFERROR(__xludf.DUMMYFUNCTION("VLOOKUP(A200,IMPORTRANGE(""1QZ5UxyNCwadreQAXnQ7oCoH982DjIA-QnZdO7ZoqkC0/edit#gid=884617569"",""S5 Totals!$A$2:$O$255""),10,FALSE)"),0.0)</f>
        <v>0</v>
      </c>
      <c r="N200" s="15">
        <f>IFERROR(__xludf.DUMMYFUNCTION("VLOOKUP(A200,IMPORTRANGE(""1QZ5UxyNCwadreQAXnQ7oCoH982DjIA-QnZdO7ZoqkC0/edit#gid=884617569"",""S5 Totals!$A$2:$O$255""),11,FALSE)"),0.0)</f>
        <v>0</v>
      </c>
      <c r="O200" s="110"/>
      <c r="P200" s="16" t="str">
        <f>IFERROR(__xludf.DUMMYFUNCTION("VLOOKUP(A200,IMPORTRANGE(""1QZ5UxyNCwadreQAXnQ7oCoH982DjIA-QnZdO7ZoqkC0/edit#gid=884617569"",""S5 Totals!$A$2:$O$255""),13,FALSE)"),"")</f>
        <v/>
      </c>
      <c r="Q200" s="15" t="str">
        <f>IFERROR(__xludf.DUMMYFUNCTION("VLOOKUP(A200,IMPORTRANGE(""1QZ5UxyNCwadreQAXnQ7oCoH982DjIA-QnZdO7ZoqkC0/edit#gid=884617569"",""S5 Totals!$A$2:$O$255""),14,FALSE)"),"")</f>
        <v/>
      </c>
      <c r="R200" s="110"/>
    </row>
    <row r="201">
      <c r="A201" s="128" t="s">
        <v>270</v>
      </c>
      <c r="B201" s="16">
        <f>IFERROR(__xludf.DUMMYFUNCTION("VLOOKUP(A201,IMPORTRANGE(""1aFCnJY1qhIj8-JckJhDJ18aqmVo17tofpQmOjcYa3u8/edit#gid=1878241338"",""S5 Totals!$A$2:$O$255""),2,FALSE)"),0.0)</f>
        <v>0</v>
      </c>
      <c r="C201" s="15">
        <f>IFERROR(__xludf.DUMMYFUNCTION("VLOOKUP(A201,IMPORTRANGE(""1aFCnJY1qhIj8-JckJhDJ18aqmVo17tofpQmOjcYa3u8/edit#gid=1878241338"",""S5 Totals!$A$2:$O$255""),3,FALSE)"),0.0)</f>
        <v>0</v>
      </c>
      <c r="D201" s="16" t="str">
        <f>IFERROR(__xludf.DUMMYFUNCTION("VLOOKUP(A201,IMPORTRANGE(""1QZ5UxyNCwadreQAXnQ7oCoH982DjIA-QnZdO7ZoqkC0/edit#gid=884617569"",""S5 Totals!$A$2:$O$255""),2,FALSE)"),"#N/A")</f>
        <v>#N/A</v>
      </c>
      <c r="E201" s="15" t="str">
        <f>IFERROR(__xludf.DUMMYFUNCTION("VLOOKUP(A201,IMPORTRANGE(""1QZ5UxyNCwadreQAXnQ7oCoH982DjIA-QnZdO7ZoqkC0/edit#gid=884617569"",""S5 Totals!$A$2:$O$255""),3,FALSE)"),"#N/A")</f>
        <v>#N/A</v>
      </c>
      <c r="F201" s="146" t="str">
        <f t="shared" si="1"/>
        <v>#N/A</v>
      </c>
      <c r="G201" s="16" t="str">
        <f>IFERROR(__xludf.DUMMYFUNCTION("VLOOKUP(A201,IMPORTRANGE(""1QZ5UxyNCwadreQAXnQ7oCoH982DjIA-QnZdO7ZoqkC0/edit#gid=884617569"",""S5 Totals!$A$2:$O$255""),4,FALSE)"),"#N/A")</f>
        <v>#N/A</v>
      </c>
      <c r="H201" s="15" t="str">
        <f>IFERROR(__xludf.DUMMYFUNCTION("VLOOKUP(A201,IMPORTRANGE(""1QZ5UxyNCwadreQAXnQ7oCoH982DjIA-QnZdO7ZoqkC0/edit#gid=884617569"",""S5 Totals!$A$2:$O$255""),5,FALSE)"),"#N/A")</f>
        <v>#N/A</v>
      </c>
      <c r="I201" s="143"/>
      <c r="J201" s="16" t="str">
        <f>IFERROR(__xludf.DUMMYFUNCTION("VLOOKUP(A201,IMPORTRANGE(""1QZ5UxyNCwadreQAXnQ7oCoH982DjIA-QnZdO7ZoqkC0/edit#gid=884617569"",""S5 Totals!$A$2:$O$255""),7,FALSE)"),"#N/A")</f>
        <v>#N/A</v>
      </c>
      <c r="K201" s="15" t="str">
        <f>IFERROR(__xludf.DUMMYFUNCTION("VLOOKUP(A201,IMPORTRANGE(""1QZ5UxyNCwadreQAXnQ7oCoH982DjIA-QnZdO7ZoqkC0/edit#gid=884617569"",""S5 Totals!$A$2:$O$255""),8,FALSE)"),"#N/A")</f>
        <v>#N/A</v>
      </c>
      <c r="L201" s="147"/>
      <c r="M201" s="16" t="str">
        <f>IFERROR(__xludf.DUMMYFUNCTION("VLOOKUP(A201,IMPORTRANGE(""1QZ5UxyNCwadreQAXnQ7oCoH982DjIA-QnZdO7ZoqkC0/edit#gid=884617569"",""S5 Totals!$A$2:$O$255""),10,FALSE)"),"#N/A")</f>
        <v>#N/A</v>
      </c>
      <c r="N201" s="15" t="str">
        <f>IFERROR(__xludf.DUMMYFUNCTION("VLOOKUP(A201,IMPORTRANGE(""1QZ5UxyNCwadreQAXnQ7oCoH982DjIA-QnZdO7ZoqkC0/edit#gid=884617569"",""S5 Totals!$A$2:$O$255""),11,FALSE)"),"#N/A")</f>
        <v>#N/A</v>
      </c>
      <c r="O201" s="110"/>
      <c r="P201" s="16" t="str">
        <f>IFERROR(__xludf.DUMMYFUNCTION("VLOOKUP(A201,IMPORTRANGE(""1QZ5UxyNCwadreQAXnQ7oCoH982DjIA-QnZdO7ZoqkC0/edit#gid=884617569"",""S5 Totals!$A$2:$O$255""),13,FALSE)"),"#N/A")</f>
        <v>#N/A</v>
      </c>
      <c r="Q201" s="15" t="str">
        <f>IFERROR(__xludf.DUMMYFUNCTION("VLOOKUP(A201,IMPORTRANGE(""1QZ5UxyNCwadreQAXnQ7oCoH982DjIA-QnZdO7ZoqkC0/edit#gid=884617569"",""S5 Totals!$A$2:$O$255""),14,FALSE)"),"#N/A")</f>
        <v>#N/A</v>
      </c>
      <c r="R201" s="110"/>
    </row>
    <row r="202">
      <c r="A202" s="128" t="s">
        <v>271</v>
      </c>
      <c r="B202" s="16">
        <f>IFERROR(__xludf.DUMMYFUNCTION("VLOOKUP(A202,IMPORTRANGE(""1aFCnJY1qhIj8-JckJhDJ18aqmVo17tofpQmOjcYa3u8/edit#gid=1878241338"",""S5 Totals!$A$2:$O$255""),2,FALSE)"),0.0)</f>
        <v>0</v>
      </c>
      <c r="C202" s="15">
        <f>IFERROR(__xludf.DUMMYFUNCTION("VLOOKUP(A202,IMPORTRANGE(""1aFCnJY1qhIj8-JckJhDJ18aqmVo17tofpQmOjcYa3u8/edit#gid=1878241338"",""S5 Totals!$A$2:$O$255""),3,FALSE)"),0.0)</f>
        <v>0</v>
      </c>
      <c r="D202" s="16" t="str">
        <f>IFERROR(__xludf.DUMMYFUNCTION("VLOOKUP(A202,IMPORTRANGE(""1QZ5UxyNCwadreQAXnQ7oCoH982DjIA-QnZdO7ZoqkC0/edit#gid=884617569"",""S5 Totals!$A$2:$O$255""),2,FALSE)"),"#N/A")</f>
        <v>#N/A</v>
      </c>
      <c r="E202" s="15" t="str">
        <f>IFERROR(__xludf.DUMMYFUNCTION("VLOOKUP(A202,IMPORTRANGE(""1QZ5UxyNCwadreQAXnQ7oCoH982DjIA-QnZdO7ZoqkC0/edit#gid=884617569"",""S5 Totals!$A$2:$O$255""),3,FALSE)"),"#N/A")</f>
        <v>#N/A</v>
      </c>
      <c r="F202" s="146" t="str">
        <f t="shared" si="1"/>
        <v>#N/A</v>
      </c>
      <c r="G202" s="16" t="str">
        <f>IFERROR(__xludf.DUMMYFUNCTION("VLOOKUP(A202,IMPORTRANGE(""1QZ5UxyNCwadreQAXnQ7oCoH982DjIA-QnZdO7ZoqkC0/edit#gid=884617569"",""S5 Totals!$A$2:$O$255""),4,FALSE)"),"#N/A")</f>
        <v>#N/A</v>
      </c>
      <c r="H202" s="15" t="str">
        <f>IFERROR(__xludf.DUMMYFUNCTION("VLOOKUP(A202,IMPORTRANGE(""1QZ5UxyNCwadreQAXnQ7oCoH982DjIA-QnZdO7ZoqkC0/edit#gid=884617569"",""S5 Totals!$A$2:$O$255""),5,FALSE)"),"#N/A")</f>
        <v>#N/A</v>
      </c>
      <c r="I202" s="143"/>
      <c r="J202" s="16" t="str">
        <f>IFERROR(__xludf.DUMMYFUNCTION("VLOOKUP(A202,IMPORTRANGE(""1QZ5UxyNCwadreQAXnQ7oCoH982DjIA-QnZdO7ZoqkC0/edit#gid=884617569"",""S5 Totals!$A$2:$O$255""),7,FALSE)"),"#N/A")</f>
        <v>#N/A</v>
      </c>
      <c r="K202" s="15" t="str">
        <f>IFERROR(__xludf.DUMMYFUNCTION("VLOOKUP(A202,IMPORTRANGE(""1QZ5UxyNCwadreQAXnQ7oCoH982DjIA-QnZdO7ZoqkC0/edit#gid=884617569"",""S5 Totals!$A$2:$O$255""),8,FALSE)"),"#N/A")</f>
        <v>#N/A</v>
      </c>
      <c r="L202" s="147"/>
      <c r="M202" s="16" t="str">
        <f>IFERROR(__xludf.DUMMYFUNCTION("VLOOKUP(A202,IMPORTRANGE(""1QZ5UxyNCwadreQAXnQ7oCoH982DjIA-QnZdO7ZoqkC0/edit#gid=884617569"",""S5 Totals!$A$2:$O$255""),10,FALSE)"),"#N/A")</f>
        <v>#N/A</v>
      </c>
      <c r="N202" s="15" t="str">
        <f>IFERROR(__xludf.DUMMYFUNCTION("VLOOKUP(A202,IMPORTRANGE(""1QZ5UxyNCwadreQAXnQ7oCoH982DjIA-QnZdO7ZoqkC0/edit#gid=884617569"",""S5 Totals!$A$2:$O$255""),11,FALSE)"),"#N/A")</f>
        <v>#N/A</v>
      </c>
      <c r="O202" s="110"/>
      <c r="P202" s="16" t="str">
        <f>IFERROR(__xludf.DUMMYFUNCTION("VLOOKUP(A202,IMPORTRANGE(""1QZ5UxyNCwadreQAXnQ7oCoH982DjIA-QnZdO7ZoqkC0/edit#gid=884617569"",""S5 Totals!$A$2:$O$255""),13,FALSE)"),"#N/A")</f>
        <v>#N/A</v>
      </c>
      <c r="Q202" s="15" t="str">
        <f>IFERROR(__xludf.DUMMYFUNCTION("VLOOKUP(A202,IMPORTRANGE(""1QZ5UxyNCwadreQAXnQ7oCoH982DjIA-QnZdO7ZoqkC0/edit#gid=884617569"",""S5 Totals!$A$2:$O$255""),14,FALSE)"),"#N/A")</f>
        <v>#N/A</v>
      </c>
      <c r="R202" s="110"/>
    </row>
    <row r="203">
      <c r="A203" s="136" t="s">
        <v>278</v>
      </c>
      <c r="B203" s="16">
        <f>IFERROR(__xludf.DUMMYFUNCTION("VLOOKUP(A203,IMPORTRANGE(""1aFCnJY1qhIj8-JckJhDJ18aqmVo17tofpQmOjcYa3u8/edit#gid=1878241338"",""S5 Totals!$A$2:$O$255""),2,FALSE)"),4.0)</f>
        <v>4</v>
      </c>
      <c r="C203" s="15">
        <f>IFERROR(__xludf.DUMMYFUNCTION("VLOOKUP(A203,IMPORTRANGE(""1aFCnJY1qhIj8-JckJhDJ18aqmVo17tofpQmOjcYa3u8/edit#gid=1878241338"",""S5 Totals!$A$2:$O$255""),3,FALSE)"),0.04819277108433735)</f>
        <v>0.04819277108</v>
      </c>
      <c r="D203" s="16" t="str">
        <f>IFERROR(__xludf.DUMMYFUNCTION("VLOOKUP(A203,IMPORTRANGE(""1QZ5UxyNCwadreQAXnQ7oCoH982DjIA-QnZdO7ZoqkC0/edit#gid=884617569"",""S5 Totals!$A$2:$O$255""),2,FALSE)"),"#N/A")</f>
        <v>#N/A</v>
      </c>
      <c r="E203" s="15" t="str">
        <f>IFERROR(__xludf.DUMMYFUNCTION("VLOOKUP(A203,IMPORTRANGE(""1QZ5UxyNCwadreQAXnQ7oCoH982DjIA-QnZdO7ZoqkC0/edit#gid=884617569"",""S5 Totals!$A$2:$O$255""),3,FALSE)"),"#N/A")</f>
        <v>#N/A</v>
      </c>
      <c r="F203" s="146" t="str">
        <f t="shared" si="1"/>
        <v>#N/A</v>
      </c>
      <c r="G203" s="16" t="str">
        <f>IFERROR(__xludf.DUMMYFUNCTION("VLOOKUP(A203,IMPORTRANGE(""1QZ5UxyNCwadreQAXnQ7oCoH982DjIA-QnZdO7ZoqkC0/edit#gid=884617569"",""S5 Totals!$A$2:$O$255""),4,FALSE)"),"#N/A")</f>
        <v>#N/A</v>
      </c>
      <c r="H203" s="15" t="str">
        <f>IFERROR(__xludf.DUMMYFUNCTION("VLOOKUP(A203,IMPORTRANGE(""1QZ5UxyNCwadreQAXnQ7oCoH982DjIA-QnZdO7ZoqkC0/edit#gid=884617569"",""S5 Totals!$A$2:$O$255""),5,FALSE)"),"#N/A")</f>
        <v>#N/A</v>
      </c>
      <c r="I203" s="143"/>
      <c r="J203" s="16" t="str">
        <f>IFERROR(__xludf.DUMMYFUNCTION("VLOOKUP(A203,IMPORTRANGE(""1QZ5UxyNCwadreQAXnQ7oCoH982DjIA-QnZdO7ZoqkC0/edit#gid=884617569"",""S5 Totals!$A$2:$O$255""),7,FALSE)"),"#N/A")</f>
        <v>#N/A</v>
      </c>
      <c r="K203" s="15" t="str">
        <f>IFERROR(__xludf.DUMMYFUNCTION("VLOOKUP(A203,IMPORTRANGE(""1QZ5UxyNCwadreQAXnQ7oCoH982DjIA-QnZdO7ZoqkC0/edit#gid=884617569"",""S5 Totals!$A$2:$O$255""),8,FALSE)"),"#N/A")</f>
        <v>#N/A</v>
      </c>
      <c r="L203" s="147"/>
      <c r="M203" s="16" t="str">
        <f>IFERROR(__xludf.DUMMYFUNCTION("VLOOKUP(A203,IMPORTRANGE(""1QZ5UxyNCwadreQAXnQ7oCoH982DjIA-QnZdO7ZoqkC0/edit#gid=884617569"",""S5 Totals!$A$2:$O$255""),10,FALSE)"),"#N/A")</f>
        <v>#N/A</v>
      </c>
      <c r="N203" s="15" t="str">
        <f>IFERROR(__xludf.DUMMYFUNCTION("VLOOKUP(A203,IMPORTRANGE(""1QZ5UxyNCwadreQAXnQ7oCoH982DjIA-QnZdO7ZoqkC0/edit#gid=884617569"",""S5 Totals!$A$2:$O$255""),11,FALSE)"),"#N/A")</f>
        <v>#N/A</v>
      </c>
      <c r="O203" s="110"/>
      <c r="P203" s="16" t="str">
        <f>IFERROR(__xludf.DUMMYFUNCTION("VLOOKUP(A203,IMPORTRANGE(""1QZ5UxyNCwadreQAXnQ7oCoH982DjIA-QnZdO7ZoqkC0/edit#gid=884617569"",""S5 Totals!$A$2:$O$255""),13,FALSE)"),"#N/A")</f>
        <v>#N/A</v>
      </c>
      <c r="Q203" s="15" t="str">
        <f>IFERROR(__xludf.DUMMYFUNCTION("VLOOKUP(A203,IMPORTRANGE(""1QZ5UxyNCwadreQAXnQ7oCoH982DjIA-QnZdO7ZoqkC0/edit#gid=884617569"",""S5 Totals!$A$2:$O$255""),14,FALSE)"),"#N/A")</f>
        <v>#N/A</v>
      </c>
      <c r="R203" s="110"/>
    </row>
    <row r="204">
      <c r="A204" s="128" t="s">
        <v>195</v>
      </c>
      <c r="B204" s="16">
        <f>IFERROR(__xludf.DUMMYFUNCTION("VLOOKUP(A204,IMPORTRANGE(""1aFCnJY1qhIj8-JckJhDJ18aqmVo17tofpQmOjcYa3u8/edit#gid=1878241338"",""S5 Totals!$A$2:$O$255""),2,FALSE)"),1.0)</f>
        <v>1</v>
      </c>
      <c r="C204" s="15">
        <f>IFERROR(__xludf.DUMMYFUNCTION("VLOOKUP(A204,IMPORTRANGE(""1aFCnJY1qhIj8-JckJhDJ18aqmVo17tofpQmOjcYa3u8/edit#gid=1878241338"",""S5 Totals!$A$2:$O$255""),3,FALSE)"),0.012048192771084338)</f>
        <v>0.01204819277</v>
      </c>
      <c r="D204" s="16">
        <f>IFERROR(__xludf.DUMMYFUNCTION("VLOOKUP(A204,IMPORTRANGE(""1QZ5UxyNCwadreQAXnQ7oCoH982DjIA-QnZdO7ZoqkC0/edit#gid=884617569"",""S5 Totals!$A$2:$O$255""),2,FALSE)"),1.0)</f>
        <v>1</v>
      </c>
      <c r="E204" s="15">
        <f>IFERROR(__xludf.DUMMYFUNCTION("VLOOKUP(A204,IMPORTRANGE(""1QZ5UxyNCwadreQAXnQ7oCoH982DjIA-QnZdO7ZoqkC0/edit#gid=884617569"",""S5 Totals!$A$2:$O$255""),3,FALSE)"),0.012048192771084338)</f>
        <v>0.01204819277</v>
      </c>
      <c r="F204" s="146">
        <f t="shared" si="1"/>
        <v>0</v>
      </c>
      <c r="G204" s="16">
        <f>IFERROR(__xludf.DUMMYFUNCTION("VLOOKUP(A204,IMPORTRANGE(""1QZ5UxyNCwadreQAXnQ7oCoH982DjIA-QnZdO7ZoqkC0/edit#gid=884617569"",""S5 Totals!$A$2:$O$255""),4,FALSE)"),1.0)</f>
        <v>1</v>
      </c>
      <c r="H204" s="15">
        <f>IFERROR(__xludf.DUMMYFUNCTION("VLOOKUP(A204,IMPORTRANGE(""1QZ5UxyNCwadreQAXnQ7oCoH982DjIA-QnZdO7ZoqkC0/edit#gid=884617569"",""S5 Totals!$A$2:$O$255""),5,FALSE)"),0.02040816326530612)</f>
        <v>0.02040816327</v>
      </c>
      <c r="I204" s="143"/>
      <c r="J204" s="16">
        <f>IFERROR(__xludf.DUMMYFUNCTION("VLOOKUP(A204,IMPORTRANGE(""1QZ5UxyNCwadreQAXnQ7oCoH982DjIA-QnZdO7ZoqkC0/edit#gid=884617569"",""S5 Totals!$A$2:$O$255""),7,FALSE)"),1.0)</f>
        <v>1</v>
      </c>
      <c r="K204" s="15">
        <f>IFERROR(__xludf.DUMMYFUNCTION("VLOOKUP(A204,IMPORTRANGE(""1QZ5UxyNCwadreQAXnQ7oCoH982DjIA-QnZdO7ZoqkC0/edit#gid=884617569"",""S5 Totals!$A$2:$O$255""),8,FALSE)"),0.029411764705882353)</f>
        <v>0.02941176471</v>
      </c>
      <c r="L204" s="147"/>
      <c r="M204" s="16" t="str">
        <f>IFERROR(__xludf.DUMMYFUNCTION("VLOOKUP(A204,IMPORTRANGE(""1QZ5UxyNCwadreQAXnQ7oCoH982DjIA-QnZdO7ZoqkC0/edit#gid=884617569"",""S5 Totals!$A$2:$O$255""),10,FALSE)"),"")</f>
        <v/>
      </c>
      <c r="N204" s="15" t="str">
        <f>IFERROR(__xludf.DUMMYFUNCTION("VLOOKUP(A204,IMPORTRANGE(""1QZ5UxyNCwadreQAXnQ7oCoH982DjIA-QnZdO7ZoqkC0/edit#gid=884617569"",""S5 Totals!$A$2:$O$255""),11,FALSE)"),"")</f>
        <v/>
      </c>
      <c r="O204" s="110"/>
      <c r="P204" s="16" t="str">
        <f>IFERROR(__xludf.DUMMYFUNCTION("VLOOKUP(A204,IMPORTRANGE(""1QZ5UxyNCwadreQAXnQ7oCoH982DjIA-QnZdO7ZoqkC0/edit#gid=884617569"",""S5 Totals!$A$2:$O$255""),13,FALSE)"),"")</f>
        <v/>
      </c>
      <c r="Q204" s="15" t="str">
        <f>IFERROR(__xludf.DUMMYFUNCTION("VLOOKUP(A204,IMPORTRANGE(""1QZ5UxyNCwadreQAXnQ7oCoH982DjIA-QnZdO7ZoqkC0/edit#gid=884617569"",""S5 Totals!$A$2:$O$255""),14,FALSE)"),"")</f>
        <v/>
      </c>
      <c r="R204" s="110"/>
    </row>
    <row r="205">
      <c r="A205" s="128" t="s">
        <v>196</v>
      </c>
      <c r="B205" s="16">
        <f>IFERROR(__xludf.DUMMYFUNCTION("VLOOKUP(A205,IMPORTRANGE(""1aFCnJY1qhIj8-JckJhDJ18aqmVo17tofpQmOjcYa3u8/edit#gid=1878241338"",""S5 Totals!$A$2:$O$255""),2,FALSE)"),27.0)</f>
        <v>27</v>
      </c>
      <c r="C205" s="15">
        <f>IFERROR(__xludf.DUMMYFUNCTION("VLOOKUP(A205,IMPORTRANGE(""1aFCnJY1qhIj8-JckJhDJ18aqmVo17tofpQmOjcYa3u8/edit#gid=1878241338"",""S5 Totals!$A$2:$O$255""),3,FALSE)"),0.3253012048192771)</f>
        <v>0.3253012048</v>
      </c>
      <c r="D205" s="16">
        <f>IFERROR(__xludf.DUMMYFUNCTION("VLOOKUP(A205,IMPORTRANGE(""1QZ5UxyNCwadreQAXnQ7oCoH982DjIA-QnZdO7ZoqkC0/edit#gid=884617569"",""S5 Totals!$A$2:$O$255""),2,FALSE)"),36.0)</f>
        <v>36</v>
      </c>
      <c r="E205" s="15">
        <f>IFERROR(__xludf.DUMMYFUNCTION("VLOOKUP(A205,IMPORTRANGE(""1QZ5UxyNCwadreQAXnQ7oCoH982DjIA-QnZdO7ZoqkC0/edit#gid=884617569"",""S5 Totals!$A$2:$O$255""),3,FALSE)"),0.43373493975903615)</f>
        <v>0.4337349398</v>
      </c>
      <c r="F205" s="146">
        <f t="shared" si="1"/>
        <v>-0.1084337349</v>
      </c>
      <c r="G205" s="16">
        <f>IFERROR(__xludf.DUMMYFUNCTION("VLOOKUP(A205,IMPORTRANGE(""1QZ5UxyNCwadreQAXnQ7oCoH982DjIA-QnZdO7ZoqkC0/edit#gid=884617569"",""S5 Totals!$A$2:$O$255""),4,FALSE)"),12.0)</f>
        <v>12</v>
      </c>
      <c r="H205" s="15">
        <f>IFERROR(__xludf.DUMMYFUNCTION("VLOOKUP(A205,IMPORTRANGE(""1QZ5UxyNCwadreQAXnQ7oCoH982DjIA-QnZdO7ZoqkC0/edit#gid=884617569"",""S5 Totals!$A$2:$O$255""),5,FALSE)"),0.24489795918367346)</f>
        <v>0.2448979592</v>
      </c>
      <c r="I205" s="143"/>
      <c r="J205" s="16">
        <f>IFERROR(__xludf.DUMMYFUNCTION("VLOOKUP(A205,IMPORTRANGE(""1QZ5UxyNCwadreQAXnQ7oCoH982DjIA-QnZdO7ZoqkC0/edit#gid=884617569"",""S5 Totals!$A$2:$O$255""),7,FALSE)"),10.0)</f>
        <v>10</v>
      </c>
      <c r="K205" s="15">
        <f>IFERROR(__xludf.DUMMYFUNCTION("VLOOKUP(A205,IMPORTRANGE(""1QZ5UxyNCwadreQAXnQ7oCoH982DjIA-QnZdO7ZoqkC0/edit#gid=884617569"",""S5 Totals!$A$2:$O$255""),8,FALSE)"),0.29411764705882354)</f>
        <v>0.2941176471</v>
      </c>
      <c r="L205" s="147"/>
      <c r="M205" s="16" t="str">
        <f>IFERROR(__xludf.DUMMYFUNCTION("VLOOKUP(A205,IMPORTRANGE(""1QZ5UxyNCwadreQAXnQ7oCoH982DjIA-QnZdO7ZoqkC0/edit#gid=884617569"",""S5 Totals!$A$2:$O$255""),10,FALSE)"),"")</f>
        <v/>
      </c>
      <c r="N205" s="15" t="str">
        <f>IFERROR(__xludf.DUMMYFUNCTION("VLOOKUP(A205,IMPORTRANGE(""1QZ5UxyNCwadreQAXnQ7oCoH982DjIA-QnZdO7ZoqkC0/edit#gid=884617569"",""S5 Totals!$A$2:$O$255""),11,FALSE)"),"")</f>
        <v/>
      </c>
      <c r="O205" s="110"/>
      <c r="P205" s="16" t="str">
        <f>IFERROR(__xludf.DUMMYFUNCTION("VLOOKUP(A205,IMPORTRANGE(""1QZ5UxyNCwadreQAXnQ7oCoH982DjIA-QnZdO7ZoqkC0/edit#gid=884617569"",""S5 Totals!$A$2:$O$255""),13,FALSE)"),"")</f>
        <v/>
      </c>
      <c r="Q205" s="15" t="str">
        <f>IFERROR(__xludf.DUMMYFUNCTION("VLOOKUP(A205,IMPORTRANGE(""1QZ5UxyNCwadreQAXnQ7oCoH982DjIA-QnZdO7ZoqkC0/edit#gid=884617569"",""S5 Totals!$A$2:$O$255""),14,FALSE)"),"")</f>
        <v/>
      </c>
      <c r="R205" s="110"/>
    </row>
    <row r="206">
      <c r="A206" s="128" t="s">
        <v>272</v>
      </c>
      <c r="B206" s="16">
        <f>IFERROR(__xludf.DUMMYFUNCTION("VLOOKUP(A206,IMPORTRANGE(""1aFCnJY1qhIj8-JckJhDJ18aqmVo17tofpQmOjcYa3u8/edit#gid=1878241338"",""S5 Totals!$A$2:$O$255""),2,FALSE)"),0.0)</f>
        <v>0</v>
      </c>
      <c r="C206" s="15">
        <f>IFERROR(__xludf.DUMMYFUNCTION("VLOOKUP(A206,IMPORTRANGE(""1aFCnJY1qhIj8-JckJhDJ18aqmVo17tofpQmOjcYa3u8/edit#gid=1878241338"",""S5 Totals!$A$2:$O$255""),3,FALSE)"),0.0)</f>
        <v>0</v>
      </c>
      <c r="D206" s="16" t="str">
        <f>IFERROR(__xludf.DUMMYFUNCTION("VLOOKUP(A206,IMPORTRANGE(""1QZ5UxyNCwadreQAXnQ7oCoH982DjIA-QnZdO7ZoqkC0/edit#gid=884617569"",""S5 Totals!$A$2:$O$255""),2,FALSE)"),"#N/A")</f>
        <v>#N/A</v>
      </c>
      <c r="E206" s="15" t="str">
        <f>IFERROR(__xludf.DUMMYFUNCTION("VLOOKUP(A206,IMPORTRANGE(""1QZ5UxyNCwadreQAXnQ7oCoH982DjIA-QnZdO7ZoqkC0/edit#gid=884617569"",""S5 Totals!$A$2:$O$255""),3,FALSE)"),"#N/A")</f>
        <v>#N/A</v>
      </c>
      <c r="F206" s="146" t="str">
        <f t="shared" si="1"/>
        <v>#N/A</v>
      </c>
      <c r="G206" s="16" t="str">
        <f>IFERROR(__xludf.DUMMYFUNCTION("VLOOKUP(A206,IMPORTRANGE(""1QZ5UxyNCwadreQAXnQ7oCoH982DjIA-QnZdO7ZoqkC0/edit#gid=884617569"",""S5 Totals!$A$2:$O$255""),4,FALSE)"),"#N/A")</f>
        <v>#N/A</v>
      </c>
      <c r="H206" s="15" t="str">
        <f>IFERROR(__xludf.DUMMYFUNCTION("VLOOKUP(A206,IMPORTRANGE(""1QZ5UxyNCwadreQAXnQ7oCoH982DjIA-QnZdO7ZoqkC0/edit#gid=884617569"",""S5 Totals!$A$2:$O$255""),5,FALSE)"),"#N/A")</f>
        <v>#N/A</v>
      </c>
      <c r="I206" s="143"/>
      <c r="J206" s="16" t="str">
        <f>IFERROR(__xludf.DUMMYFUNCTION("VLOOKUP(A206,IMPORTRANGE(""1QZ5UxyNCwadreQAXnQ7oCoH982DjIA-QnZdO7ZoqkC0/edit#gid=884617569"",""S5 Totals!$A$2:$O$255""),7,FALSE)"),"#N/A")</f>
        <v>#N/A</v>
      </c>
      <c r="K206" s="15" t="str">
        <f>IFERROR(__xludf.DUMMYFUNCTION("VLOOKUP(A206,IMPORTRANGE(""1QZ5UxyNCwadreQAXnQ7oCoH982DjIA-QnZdO7ZoqkC0/edit#gid=884617569"",""S5 Totals!$A$2:$O$255""),8,FALSE)"),"#N/A")</f>
        <v>#N/A</v>
      </c>
      <c r="L206" s="147"/>
      <c r="M206" s="16" t="str">
        <f>IFERROR(__xludf.DUMMYFUNCTION("VLOOKUP(A206,IMPORTRANGE(""1QZ5UxyNCwadreQAXnQ7oCoH982DjIA-QnZdO7ZoqkC0/edit#gid=884617569"",""S5 Totals!$A$2:$O$255""),10,FALSE)"),"#N/A")</f>
        <v>#N/A</v>
      </c>
      <c r="N206" s="15" t="str">
        <f>IFERROR(__xludf.DUMMYFUNCTION("VLOOKUP(A206,IMPORTRANGE(""1QZ5UxyNCwadreQAXnQ7oCoH982DjIA-QnZdO7ZoqkC0/edit#gid=884617569"",""S5 Totals!$A$2:$O$255""),11,FALSE)"),"#N/A")</f>
        <v>#N/A</v>
      </c>
      <c r="O206" s="110"/>
      <c r="P206" s="16" t="str">
        <f>IFERROR(__xludf.DUMMYFUNCTION("VLOOKUP(A206,IMPORTRANGE(""1QZ5UxyNCwadreQAXnQ7oCoH982DjIA-QnZdO7ZoqkC0/edit#gid=884617569"",""S5 Totals!$A$2:$O$255""),13,FALSE)"),"#N/A")</f>
        <v>#N/A</v>
      </c>
      <c r="Q206" s="15" t="str">
        <f>IFERROR(__xludf.DUMMYFUNCTION("VLOOKUP(A206,IMPORTRANGE(""1QZ5UxyNCwadreQAXnQ7oCoH982DjIA-QnZdO7ZoqkC0/edit#gid=884617569"",""S5 Totals!$A$2:$O$255""),14,FALSE)"),"#N/A")</f>
        <v>#N/A</v>
      </c>
      <c r="R206" s="110"/>
    </row>
    <row r="207">
      <c r="A207" s="128" t="s">
        <v>147</v>
      </c>
      <c r="B207" s="16">
        <f>IFERROR(__xludf.DUMMYFUNCTION("VLOOKUP(A207,IMPORTRANGE(""1aFCnJY1qhIj8-JckJhDJ18aqmVo17tofpQmOjcYa3u8/edit#gid=1878241338"",""S5 Totals!$A$2:$O$255""),2,FALSE)"),5.0)</f>
        <v>5</v>
      </c>
      <c r="C207" s="15">
        <f>IFERROR(__xludf.DUMMYFUNCTION("VLOOKUP(A207,IMPORTRANGE(""1aFCnJY1qhIj8-JckJhDJ18aqmVo17tofpQmOjcYa3u8/edit#gid=1878241338"",""S5 Totals!$A$2:$O$255""),3,FALSE)"),0.060240963855421686)</f>
        <v>0.06024096386</v>
      </c>
      <c r="D207" s="16">
        <f>IFERROR(__xludf.DUMMYFUNCTION("VLOOKUP(A207,IMPORTRANGE(""1QZ5UxyNCwadreQAXnQ7oCoH982DjIA-QnZdO7ZoqkC0/edit#gid=884617569"",""S5 Totals!$A$2:$O$255""),2,FALSE)"),4.0)</f>
        <v>4</v>
      </c>
      <c r="E207" s="15">
        <f>IFERROR(__xludf.DUMMYFUNCTION("VLOOKUP(A207,IMPORTRANGE(""1QZ5UxyNCwadreQAXnQ7oCoH982DjIA-QnZdO7ZoqkC0/edit#gid=884617569"",""S5 Totals!$A$2:$O$255""),3,FALSE)"),0.04819277108433735)</f>
        <v>0.04819277108</v>
      </c>
      <c r="F207" s="146">
        <f t="shared" si="1"/>
        <v>0.01204819277</v>
      </c>
      <c r="G207" s="16">
        <f>IFERROR(__xludf.DUMMYFUNCTION("VLOOKUP(A207,IMPORTRANGE(""1QZ5UxyNCwadreQAXnQ7oCoH982DjIA-QnZdO7ZoqkC0/edit#gid=884617569"",""S5 Totals!$A$2:$O$255""),4,FALSE)"),3.0)</f>
        <v>3</v>
      </c>
      <c r="H207" s="15">
        <f>IFERROR(__xludf.DUMMYFUNCTION("VLOOKUP(A207,IMPORTRANGE(""1QZ5UxyNCwadreQAXnQ7oCoH982DjIA-QnZdO7ZoqkC0/edit#gid=884617569"",""S5 Totals!$A$2:$O$255""),5,FALSE)"),0.061224489795918366)</f>
        <v>0.0612244898</v>
      </c>
      <c r="I207" s="143"/>
      <c r="J207" s="16">
        <f>IFERROR(__xludf.DUMMYFUNCTION("VLOOKUP(A207,IMPORTRANGE(""1QZ5UxyNCwadreQAXnQ7oCoH982DjIA-QnZdO7ZoqkC0/edit#gid=884617569"",""S5 Totals!$A$2:$O$255""),7,FALSE)"),3.0)</f>
        <v>3</v>
      </c>
      <c r="K207" s="15">
        <f>IFERROR(__xludf.DUMMYFUNCTION("VLOOKUP(A207,IMPORTRANGE(""1QZ5UxyNCwadreQAXnQ7oCoH982DjIA-QnZdO7ZoqkC0/edit#gid=884617569"",""S5 Totals!$A$2:$O$255""),8,FALSE)"),0.08823529411764706)</f>
        <v>0.08823529412</v>
      </c>
      <c r="L207" s="147"/>
      <c r="M207" s="16">
        <f>IFERROR(__xludf.DUMMYFUNCTION("VLOOKUP(A207,IMPORTRANGE(""1QZ5UxyNCwadreQAXnQ7oCoH982DjIA-QnZdO7ZoqkC0/edit#gid=884617569"",""S5 Totals!$A$2:$O$255""),10,FALSE)"),1.0)</f>
        <v>1</v>
      </c>
      <c r="N207" s="15">
        <f>IFERROR(__xludf.DUMMYFUNCTION("VLOOKUP(A207,IMPORTRANGE(""1QZ5UxyNCwadreQAXnQ7oCoH982DjIA-QnZdO7ZoqkC0/edit#gid=884617569"",""S5 Totals!$A$2:$O$255""),11,FALSE)"),0.03333333333333333)</f>
        <v>0.03333333333</v>
      </c>
      <c r="O207" s="110"/>
      <c r="P207" s="16" t="str">
        <f>IFERROR(__xludf.DUMMYFUNCTION("VLOOKUP(A207,IMPORTRANGE(""1QZ5UxyNCwadreQAXnQ7oCoH982DjIA-QnZdO7ZoqkC0/edit#gid=884617569"",""S5 Totals!$A$2:$O$255""),13,FALSE)"),"")</f>
        <v/>
      </c>
      <c r="Q207" s="15" t="str">
        <f>IFERROR(__xludf.DUMMYFUNCTION("VLOOKUP(A207,IMPORTRANGE(""1QZ5UxyNCwadreQAXnQ7oCoH982DjIA-QnZdO7ZoqkC0/edit#gid=884617569"",""S5 Totals!$A$2:$O$255""),14,FALSE)"),"")</f>
        <v/>
      </c>
      <c r="R207" s="110"/>
    </row>
    <row r="208">
      <c r="A208" s="128" t="s">
        <v>197</v>
      </c>
      <c r="B208" s="16">
        <f>IFERROR(__xludf.DUMMYFUNCTION("VLOOKUP(A208,IMPORTRANGE(""1aFCnJY1qhIj8-JckJhDJ18aqmVo17tofpQmOjcYa3u8/edit#gid=1878241338"",""S5 Totals!$A$2:$O$255""),2,FALSE)"),10.0)</f>
        <v>10</v>
      </c>
      <c r="C208" s="15">
        <f>IFERROR(__xludf.DUMMYFUNCTION("VLOOKUP(A208,IMPORTRANGE(""1aFCnJY1qhIj8-JckJhDJ18aqmVo17tofpQmOjcYa3u8/edit#gid=1878241338"",""S5 Totals!$A$2:$O$255""),3,FALSE)"),0.12048192771084337)</f>
        <v>0.1204819277</v>
      </c>
      <c r="D208" s="16">
        <f>IFERROR(__xludf.DUMMYFUNCTION("VLOOKUP(A208,IMPORTRANGE(""1QZ5UxyNCwadreQAXnQ7oCoH982DjIA-QnZdO7ZoqkC0/edit#gid=884617569"",""S5 Totals!$A$2:$O$255""),2,FALSE)"),7.0)</f>
        <v>7</v>
      </c>
      <c r="E208" s="15">
        <f>IFERROR(__xludf.DUMMYFUNCTION("VLOOKUP(A208,IMPORTRANGE(""1QZ5UxyNCwadreQAXnQ7oCoH982DjIA-QnZdO7ZoqkC0/edit#gid=884617569"",""S5 Totals!$A$2:$O$255""),3,FALSE)"),0.08433734939759036)</f>
        <v>0.0843373494</v>
      </c>
      <c r="F208" s="146">
        <f t="shared" si="1"/>
        <v>0.03614457831</v>
      </c>
      <c r="G208" s="16">
        <f>IFERROR(__xludf.DUMMYFUNCTION("VLOOKUP(A208,IMPORTRANGE(""1QZ5UxyNCwadreQAXnQ7oCoH982DjIA-QnZdO7ZoqkC0/edit#gid=884617569"",""S5 Totals!$A$2:$O$255""),4,FALSE)"),1.0)</f>
        <v>1</v>
      </c>
      <c r="H208" s="15">
        <f>IFERROR(__xludf.DUMMYFUNCTION("VLOOKUP(A208,IMPORTRANGE(""1QZ5UxyNCwadreQAXnQ7oCoH982DjIA-QnZdO7ZoqkC0/edit#gid=884617569"",""S5 Totals!$A$2:$O$255""),5,FALSE)"),0.02040816326530612)</f>
        <v>0.02040816327</v>
      </c>
      <c r="I208" s="143"/>
      <c r="J208" s="16">
        <f>IFERROR(__xludf.DUMMYFUNCTION("VLOOKUP(A208,IMPORTRANGE(""1QZ5UxyNCwadreQAXnQ7oCoH982DjIA-QnZdO7ZoqkC0/edit#gid=884617569"",""S5 Totals!$A$2:$O$255""),7,FALSE)"),0.0)</f>
        <v>0</v>
      </c>
      <c r="K208" s="15">
        <f>IFERROR(__xludf.DUMMYFUNCTION("VLOOKUP(A208,IMPORTRANGE(""1QZ5UxyNCwadreQAXnQ7oCoH982DjIA-QnZdO7ZoqkC0/edit#gid=884617569"",""S5 Totals!$A$2:$O$255""),8,FALSE)"),0.0)</f>
        <v>0</v>
      </c>
      <c r="L208" s="147"/>
      <c r="M208" s="16" t="str">
        <f>IFERROR(__xludf.DUMMYFUNCTION("VLOOKUP(A208,IMPORTRANGE(""1QZ5UxyNCwadreQAXnQ7oCoH982DjIA-QnZdO7ZoqkC0/edit#gid=884617569"",""S5 Totals!$A$2:$O$255""),10,FALSE)"),"")</f>
        <v/>
      </c>
      <c r="N208" s="15" t="str">
        <f>IFERROR(__xludf.DUMMYFUNCTION("VLOOKUP(A208,IMPORTRANGE(""1QZ5UxyNCwadreQAXnQ7oCoH982DjIA-QnZdO7ZoqkC0/edit#gid=884617569"",""S5 Totals!$A$2:$O$255""),11,FALSE)"),"")</f>
        <v/>
      </c>
      <c r="O208" s="110"/>
      <c r="P208" s="16" t="str">
        <f>IFERROR(__xludf.DUMMYFUNCTION("VLOOKUP(A208,IMPORTRANGE(""1QZ5UxyNCwadreQAXnQ7oCoH982DjIA-QnZdO7ZoqkC0/edit#gid=884617569"",""S5 Totals!$A$2:$O$255""),13,FALSE)"),"")</f>
        <v/>
      </c>
      <c r="Q208" s="15" t="str">
        <f>IFERROR(__xludf.DUMMYFUNCTION("VLOOKUP(A208,IMPORTRANGE(""1QZ5UxyNCwadreQAXnQ7oCoH982DjIA-QnZdO7ZoqkC0/edit#gid=884617569"",""S5 Totals!$A$2:$O$255""),14,FALSE)"),"")</f>
        <v/>
      </c>
      <c r="R208" s="110"/>
    </row>
    <row r="209">
      <c r="A209" s="128" t="s">
        <v>148</v>
      </c>
      <c r="B209" s="16">
        <f>IFERROR(__xludf.DUMMYFUNCTION("VLOOKUP(A209,IMPORTRANGE(""1aFCnJY1qhIj8-JckJhDJ18aqmVo17tofpQmOjcYa3u8/edit#gid=1878241338"",""S5 Totals!$A$2:$O$255""),2,FALSE)"),45.0)</f>
        <v>45</v>
      </c>
      <c r="C209" s="15">
        <f>IFERROR(__xludf.DUMMYFUNCTION("VLOOKUP(A209,IMPORTRANGE(""1aFCnJY1qhIj8-JckJhDJ18aqmVo17tofpQmOjcYa3u8/edit#gid=1878241338"",""S5 Totals!$A$2:$O$255""),3,FALSE)"),0.5421686746987951)</f>
        <v>0.5421686747</v>
      </c>
      <c r="D209" s="16">
        <f>IFERROR(__xludf.DUMMYFUNCTION("VLOOKUP(A209,IMPORTRANGE(""1QZ5UxyNCwadreQAXnQ7oCoH982DjIA-QnZdO7ZoqkC0/edit#gid=884617569"",""S5 Totals!$A$2:$O$255""),2,FALSE)"),35.0)</f>
        <v>35</v>
      </c>
      <c r="E209" s="15">
        <f>IFERROR(__xludf.DUMMYFUNCTION("VLOOKUP(A209,IMPORTRANGE(""1QZ5UxyNCwadreQAXnQ7oCoH982DjIA-QnZdO7ZoqkC0/edit#gid=884617569"",""S5 Totals!$A$2:$O$255""),3,FALSE)"),0.42168674698795183)</f>
        <v>0.421686747</v>
      </c>
      <c r="F209" s="146">
        <f t="shared" si="1"/>
        <v>0.1204819277</v>
      </c>
      <c r="G209" s="16">
        <f>IFERROR(__xludf.DUMMYFUNCTION("VLOOKUP(A209,IMPORTRANGE(""1QZ5UxyNCwadreQAXnQ7oCoH982DjIA-QnZdO7ZoqkC0/edit#gid=884617569"",""S5 Totals!$A$2:$O$255""),4,FALSE)"),22.0)</f>
        <v>22</v>
      </c>
      <c r="H209" s="15">
        <f>IFERROR(__xludf.DUMMYFUNCTION("VLOOKUP(A209,IMPORTRANGE(""1QZ5UxyNCwadreQAXnQ7oCoH982DjIA-QnZdO7ZoqkC0/edit#gid=884617569"",""S5 Totals!$A$2:$O$255""),5,FALSE)"),0.4489795918367347)</f>
        <v>0.4489795918</v>
      </c>
      <c r="I209" s="143"/>
      <c r="J209" s="16">
        <f>IFERROR(__xludf.DUMMYFUNCTION("VLOOKUP(A209,IMPORTRANGE(""1QZ5UxyNCwadreQAXnQ7oCoH982DjIA-QnZdO7ZoqkC0/edit#gid=884617569"",""S5 Totals!$A$2:$O$255""),7,FALSE)"),20.0)</f>
        <v>20</v>
      </c>
      <c r="K209" s="15">
        <f>IFERROR(__xludf.DUMMYFUNCTION("VLOOKUP(A209,IMPORTRANGE(""1QZ5UxyNCwadreQAXnQ7oCoH982DjIA-QnZdO7ZoqkC0/edit#gid=884617569"",""S5 Totals!$A$2:$O$255""),8,FALSE)"),0.5882352941176471)</f>
        <v>0.5882352941</v>
      </c>
      <c r="L209" s="147"/>
      <c r="M209" s="16">
        <f>IFERROR(__xludf.DUMMYFUNCTION("VLOOKUP(A209,IMPORTRANGE(""1QZ5UxyNCwadreQAXnQ7oCoH982DjIA-QnZdO7ZoqkC0/edit#gid=884617569"",""S5 Totals!$A$2:$O$255""),10,FALSE)"),16.0)</f>
        <v>16</v>
      </c>
      <c r="N209" s="15">
        <f>IFERROR(__xludf.DUMMYFUNCTION("VLOOKUP(A209,IMPORTRANGE(""1QZ5UxyNCwadreQAXnQ7oCoH982DjIA-QnZdO7ZoqkC0/edit#gid=884617569"",""S5 Totals!$A$2:$O$255""),11,FALSE)"),0.5333333333333333)</f>
        <v>0.5333333333</v>
      </c>
      <c r="O209" s="110"/>
      <c r="P209" s="16" t="str">
        <f>IFERROR(__xludf.DUMMYFUNCTION("VLOOKUP(A209,IMPORTRANGE(""1QZ5UxyNCwadreQAXnQ7oCoH982DjIA-QnZdO7ZoqkC0/edit#gid=884617569"",""S5 Totals!$A$2:$O$255""),13,FALSE)"),"")</f>
        <v/>
      </c>
      <c r="Q209" s="15" t="str">
        <f>IFERROR(__xludf.DUMMYFUNCTION("VLOOKUP(A209,IMPORTRANGE(""1QZ5UxyNCwadreQAXnQ7oCoH982DjIA-QnZdO7ZoqkC0/edit#gid=884617569"",""S5 Totals!$A$2:$O$255""),14,FALSE)"),"")</f>
        <v/>
      </c>
      <c r="R209" s="110"/>
    </row>
    <row r="210">
      <c r="A210" s="128" t="s">
        <v>149</v>
      </c>
      <c r="B210" s="16">
        <f>IFERROR(__xludf.DUMMYFUNCTION("VLOOKUP(A210,IMPORTRANGE(""1aFCnJY1qhIj8-JckJhDJ18aqmVo17tofpQmOjcYa3u8/edit#gid=1878241338"",""S5 Totals!$A$2:$O$255""),2,FALSE)"),43.0)</f>
        <v>43</v>
      </c>
      <c r="C210" s="15">
        <f>IFERROR(__xludf.DUMMYFUNCTION("VLOOKUP(A210,IMPORTRANGE(""1aFCnJY1qhIj8-JckJhDJ18aqmVo17tofpQmOjcYa3u8/edit#gid=1878241338"",""S5 Totals!$A$2:$O$255""),3,FALSE)"),0.5180722891566265)</f>
        <v>0.5180722892</v>
      </c>
      <c r="D210" s="16">
        <f>IFERROR(__xludf.DUMMYFUNCTION("VLOOKUP(A210,IMPORTRANGE(""1QZ5UxyNCwadreQAXnQ7oCoH982DjIA-QnZdO7ZoqkC0/edit#gid=884617569"",""S5 Totals!$A$2:$O$255""),2,FALSE)"),34.0)</f>
        <v>34</v>
      </c>
      <c r="E210" s="15">
        <f>IFERROR(__xludf.DUMMYFUNCTION("VLOOKUP(A210,IMPORTRANGE(""1QZ5UxyNCwadreQAXnQ7oCoH982DjIA-QnZdO7ZoqkC0/edit#gid=884617569"",""S5 Totals!$A$2:$O$255""),3,FALSE)"),0.40963855421686746)</f>
        <v>0.4096385542</v>
      </c>
      <c r="F210" s="146">
        <f t="shared" si="1"/>
        <v>0.1084337349</v>
      </c>
      <c r="G210" s="16">
        <f>IFERROR(__xludf.DUMMYFUNCTION("VLOOKUP(A210,IMPORTRANGE(""1QZ5UxyNCwadreQAXnQ7oCoH982DjIA-QnZdO7ZoqkC0/edit#gid=884617569"",""S5 Totals!$A$2:$O$255""),4,FALSE)"),11.0)</f>
        <v>11</v>
      </c>
      <c r="H210" s="15">
        <f>IFERROR(__xludf.DUMMYFUNCTION("VLOOKUP(A210,IMPORTRANGE(""1QZ5UxyNCwadreQAXnQ7oCoH982DjIA-QnZdO7ZoqkC0/edit#gid=884617569"",""S5 Totals!$A$2:$O$255""),5,FALSE)"),0.22448979591836735)</f>
        <v>0.2244897959</v>
      </c>
      <c r="I210" s="143"/>
      <c r="J210" s="16">
        <f>IFERROR(__xludf.DUMMYFUNCTION("VLOOKUP(A210,IMPORTRANGE(""1QZ5UxyNCwadreQAXnQ7oCoH982DjIA-QnZdO7ZoqkC0/edit#gid=884617569"",""S5 Totals!$A$2:$O$255""),7,FALSE)"),9.0)</f>
        <v>9</v>
      </c>
      <c r="K210" s="15">
        <f>IFERROR(__xludf.DUMMYFUNCTION("VLOOKUP(A210,IMPORTRANGE(""1QZ5UxyNCwadreQAXnQ7oCoH982DjIA-QnZdO7ZoqkC0/edit#gid=884617569"",""S5 Totals!$A$2:$O$255""),8,FALSE)"),0.2647058823529412)</f>
        <v>0.2647058824</v>
      </c>
      <c r="L210" s="147"/>
      <c r="M210" s="16">
        <f>IFERROR(__xludf.DUMMYFUNCTION("VLOOKUP(A210,IMPORTRANGE(""1QZ5UxyNCwadreQAXnQ7oCoH982DjIA-QnZdO7ZoqkC0/edit#gid=884617569"",""S5 Totals!$A$2:$O$255""),10,FALSE)"),4.0)</f>
        <v>4</v>
      </c>
      <c r="N210" s="15">
        <f>IFERROR(__xludf.DUMMYFUNCTION("VLOOKUP(A210,IMPORTRANGE(""1QZ5UxyNCwadreQAXnQ7oCoH982DjIA-QnZdO7ZoqkC0/edit#gid=884617569"",""S5 Totals!$A$2:$O$255""),11,FALSE)"),0.13333333333333333)</f>
        <v>0.1333333333</v>
      </c>
      <c r="O210" s="110"/>
      <c r="P210" s="16" t="str">
        <f>IFERROR(__xludf.DUMMYFUNCTION("VLOOKUP(A210,IMPORTRANGE(""1QZ5UxyNCwadreQAXnQ7oCoH982DjIA-QnZdO7ZoqkC0/edit#gid=884617569"",""S5 Totals!$A$2:$O$255""),13,FALSE)"),"")</f>
        <v/>
      </c>
      <c r="Q210" s="15" t="str">
        <f>IFERROR(__xludf.DUMMYFUNCTION("VLOOKUP(A210,IMPORTRANGE(""1QZ5UxyNCwadreQAXnQ7oCoH982DjIA-QnZdO7ZoqkC0/edit#gid=884617569"",""S5 Totals!$A$2:$O$255""),14,FALSE)"),"")</f>
        <v/>
      </c>
      <c r="R210" s="110"/>
    </row>
    <row r="211">
      <c r="A211" s="128" t="s">
        <v>150</v>
      </c>
      <c r="B211" s="16">
        <f>IFERROR(__xludf.DUMMYFUNCTION("VLOOKUP(A211,IMPORTRANGE(""1aFCnJY1qhIj8-JckJhDJ18aqmVo17tofpQmOjcYa3u8/edit#gid=1878241338"",""S5 Totals!$A$2:$O$255""),2,FALSE)"),5.0)</f>
        <v>5</v>
      </c>
      <c r="C211" s="15">
        <f>IFERROR(__xludf.DUMMYFUNCTION("VLOOKUP(A211,IMPORTRANGE(""1aFCnJY1qhIj8-JckJhDJ18aqmVo17tofpQmOjcYa3u8/edit#gid=1878241338"",""S5 Totals!$A$2:$O$255""),3,FALSE)"),0.060240963855421686)</f>
        <v>0.06024096386</v>
      </c>
      <c r="D211" s="16">
        <f>IFERROR(__xludf.DUMMYFUNCTION("VLOOKUP(A211,IMPORTRANGE(""1QZ5UxyNCwadreQAXnQ7oCoH982DjIA-QnZdO7ZoqkC0/edit#gid=884617569"",""S5 Totals!$A$2:$O$255""),2,FALSE)"),6.0)</f>
        <v>6</v>
      </c>
      <c r="E211" s="15">
        <f>IFERROR(__xludf.DUMMYFUNCTION("VLOOKUP(A211,IMPORTRANGE(""1QZ5UxyNCwadreQAXnQ7oCoH982DjIA-QnZdO7ZoqkC0/edit#gid=884617569"",""S5 Totals!$A$2:$O$255""),3,FALSE)"),0.07228915662650602)</f>
        <v>0.07228915663</v>
      </c>
      <c r="F211" s="146">
        <f t="shared" si="1"/>
        <v>-0.01204819277</v>
      </c>
      <c r="G211" s="16">
        <f>IFERROR(__xludf.DUMMYFUNCTION("VLOOKUP(A211,IMPORTRANGE(""1QZ5UxyNCwadreQAXnQ7oCoH982DjIA-QnZdO7ZoqkC0/edit#gid=884617569"",""S5 Totals!$A$2:$O$255""),4,FALSE)"),3.0)</f>
        <v>3</v>
      </c>
      <c r="H211" s="15">
        <f>IFERROR(__xludf.DUMMYFUNCTION("VLOOKUP(A211,IMPORTRANGE(""1QZ5UxyNCwadreQAXnQ7oCoH982DjIA-QnZdO7ZoqkC0/edit#gid=884617569"",""S5 Totals!$A$2:$O$255""),5,FALSE)"),0.061224489795918366)</f>
        <v>0.0612244898</v>
      </c>
      <c r="I211" s="143"/>
      <c r="J211" s="16">
        <f>IFERROR(__xludf.DUMMYFUNCTION("VLOOKUP(A211,IMPORTRANGE(""1QZ5UxyNCwadreQAXnQ7oCoH982DjIA-QnZdO7ZoqkC0/edit#gid=884617569"",""S5 Totals!$A$2:$O$255""),7,FALSE)"),1.0)</f>
        <v>1</v>
      </c>
      <c r="K211" s="15">
        <f>IFERROR(__xludf.DUMMYFUNCTION("VLOOKUP(A211,IMPORTRANGE(""1QZ5UxyNCwadreQAXnQ7oCoH982DjIA-QnZdO7ZoqkC0/edit#gid=884617569"",""S5 Totals!$A$2:$O$255""),8,FALSE)"),0.029411764705882353)</f>
        <v>0.02941176471</v>
      </c>
      <c r="L211" s="147"/>
      <c r="M211" s="16">
        <f>IFERROR(__xludf.DUMMYFUNCTION("VLOOKUP(A211,IMPORTRANGE(""1QZ5UxyNCwadreQAXnQ7oCoH982DjIA-QnZdO7ZoqkC0/edit#gid=884617569"",""S5 Totals!$A$2:$O$255""),10,FALSE)"),1.0)</f>
        <v>1</v>
      </c>
      <c r="N211" s="15">
        <f>IFERROR(__xludf.DUMMYFUNCTION("VLOOKUP(A211,IMPORTRANGE(""1QZ5UxyNCwadreQAXnQ7oCoH982DjIA-QnZdO7ZoqkC0/edit#gid=884617569"",""S5 Totals!$A$2:$O$255""),11,FALSE)"),0.03333333333333333)</f>
        <v>0.03333333333</v>
      </c>
      <c r="O211" s="110"/>
      <c r="P211" s="16" t="str">
        <f>IFERROR(__xludf.DUMMYFUNCTION("VLOOKUP(A211,IMPORTRANGE(""1QZ5UxyNCwadreQAXnQ7oCoH982DjIA-QnZdO7ZoqkC0/edit#gid=884617569"",""S5 Totals!$A$2:$O$255""),13,FALSE)"),"")</f>
        <v/>
      </c>
      <c r="Q211" s="15" t="str">
        <f>IFERROR(__xludf.DUMMYFUNCTION("VLOOKUP(A211,IMPORTRANGE(""1QZ5UxyNCwadreQAXnQ7oCoH982DjIA-QnZdO7ZoqkC0/edit#gid=884617569"",""S5 Totals!$A$2:$O$255""),14,FALSE)"),"")</f>
        <v/>
      </c>
      <c r="R211" s="110"/>
    </row>
    <row r="212">
      <c r="A212" s="128" t="s">
        <v>81</v>
      </c>
      <c r="B212" s="16">
        <f>IFERROR(__xludf.DUMMYFUNCTION("VLOOKUP(A212,IMPORTRANGE(""1aFCnJY1qhIj8-JckJhDJ18aqmVo17tofpQmOjcYa3u8/edit#gid=1878241338"",""S5 Totals!$A$2:$O$255""),2,FALSE)"),28.0)</f>
        <v>28</v>
      </c>
      <c r="C212" s="15">
        <f>IFERROR(__xludf.DUMMYFUNCTION("VLOOKUP(A212,IMPORTRANGE(""1aFCnJY1qhIj8-JckJhDJ18aqmVo17tofpQmOjcYa3u8/edit#gid=1878241338"",""S5 Totals!$A$2:$O$255""),3,FALSE)"),0.3373493975903614)</f>
        <v>0.3373493976</v>
      </c>
      <c r="D212" s="16">
        <f>IFERROR(__xludf.DUMMYFUNCTION("VLOOKUP(A212,IMPORTRANGE(""1QZ5UxyNCwadreQAXnQ7oCoH982DjIA-QnZdO7ZoqkC0/edit#gid=884617569"",""S5 Totals!$A$2:$O$255""),2,FALSE)"),26.0)</f>
        <v>26</v>
      </c>
      <c r="E212" s="15">
        <f>IFERROR(__xludf.DUMMYFUNCTION("VLOOKUP(A212,IMPORTRANGE(""1QZ5UxyNCwadreQAXnQ7oCoH982DjIA-QnZdO7ZoqkC0/edit#gid=884617569"",""S5 Totals!$A$2:$O$255""),3,FALSE)"),0.3132530120481928)</f>
        <v>0.313253012</v>
      </c>
      <c r="F212" s="146">
        <f t="shared" si="1"/>
        <v>0.02409638554</v>
      </c>
      <c r="G212" s="16">
        <f>IFERROR(__xludf.DUMMYFUNCTION("VLOOKUP(A212,IMPORTRANGE(""1QZ5UxyNCwadreQAXnQ7oCoH982DjIA-QnZdO7ZoqkC0/edit#gid=884617569"",""S5 Totals!$A$2:$O$255""),4,FALSE)"),13.0)</f>
        <v>13</v>
      </c>
      <c r="H212" s="15">
        <f>IFERROR(__xludf.DUMMYFUNCTION("VLOOKUP(A212,IMPORTRANGE(""1QZ5UxyNCwadreQAXnQ7oCoH982DjIA-QnZdO7ZoqkC0/edit#gid=884617569"",""S5 Totals!$A$2:$O$255""),5,FALSE)"),0.2653061224489796)</f>
        <v>0.2653061224</v>
      </c>
      <c r="I212" s="143"/>
      <c r="J212" s="16">
        <f>IFERROR(__xludf.DUMMYFUNCTION("VLOOKUP(A212,IMPORTRANGE(""1QZ5UxyNCwadreQAXnQ7oCoH982DjIA-QnZdO7ZoqkC0/edit#gid=884617569"",""S5 Totals!$A$2:$O$255""),7,FALSE)"),7.0)</f>
        <v>7</v>
      </c>
      <c r="K212" s="15">
        <f>IFERROR(__xludf.DUMMYFUNCTION("VLOOKUP(A212,IMPORTRANGE(""1QZ5UxyNCwadreQAXnQ7oCoH982DjIA-QnZdO7ZoqkC0/edit#gid=884617569"",""S5 Totals!$A$2:$O$255""),8,FALSE)"),0.20588235294117646)</f>
        <v>0.2058823529</v>
      </c>
      <c r="L212" s="147"/>
      <c r="M212" s="16">
        <f>IFERROR(__xludf.DUMMYFUNCTION("VLOOKUP(A212,IMPORTRANGE(""1QZ5UxyNCwadreQAXnQ7oCoH982DjIA-QnZdO7ZoqkC0/edit#gid=884617569"",""S5 Totals!$A$2:$O$255""),10,FALSE)"),3.0)</f>
        <v>3</v>
      </c>
      <c r="N212" s="15">
        <f>IFERROR(__xludf.DUMMYFUNCTION("VLOOKUP(A212,IMPORTRANGE(""1QZ5UxyNCwadreQAXnQ7oCoH982DjIA-QnZdO7ZoqkC0/edit#gid=884617569"",""S5 Totals!$A$2:$O$255""),11,FALSE)"),0.1)</f>
        <v>0.1</v>
      </c>
      <c r="O212" s="110"/>
      <c r="P212" s="16">
        <f>IFERROR(__xludf.DUMMYFUNCTION("VLOOKUP(A212,IMPORTRANGE(""1QZ5UxyNCwadreQAXnQ7oCoH982DjIA-QnZdO7ZoqkC0/edit#gid=884617569"",""S5 Totals!$A$2:$O$255""),13,FALSE)"),5.0)</f>
        <v>5</v>
      </c>
      <c r="Q212" s="15">
        <f>IFERROR(__xludf.DUMMYFUNCTION("VLOOKUP(A212,IMPORTRANGE(""1QZ5UxyNCwadreQAXnQ7oCoH982DjIA-QnZdO7ZoqkC0/edit#gid=884617569"",""S5 Totals!$A$2:$O$255""),14,FALSE)"),0.17857142857142858)</f>
        <v>0.1785714286</v>
      </c>
      <c r="R212" s="110"/>
    </row>
    <row r="213">
      <c r="A213" s="128" t="s">
        <v>253</v>
      </c>
      <c r="B213" s="16">
        <f>IFERROR(__xludf.DUMMYFUNCTION("VLOOKUP(A213,IMPORTRANGE(""1aFCnJY1qhIj8-JckJhDJ18aqmVo17tofpQmOjcYa3u8/edit#gid=1878241338"",""S5 Totals!$A$2:$O$255""),2,FALSE)"),53.0)</f>
        <v>53</v>
      </c>
      <c r="C213" s="15">
        <f>IFERROR(__xludf.DUMMYFUNCTION("VLOOKUP(A213,IMPORTRANGE(""1aFCnJY1qhIj8-JckJhDJ18aqmVo17tofpQmOjcYa3u8/edit#gid=1878241338"",""S5 Totals!$A$2:$O$255""),3,FALSE)"),0.6385542168674698)</f>
        <v>0.6385542169</v>
      </c>
      <c r="D213" s="16">
        <f>IFERROR(__xludf.DUMMYFUNCTION("VLOOKUP(A213,IMPORTRANGE(""1QZ5UxyNCwadreQAXnQ7oCoH982DjIA-QnZdO7ZoqkC0/edit#gid=884617569"",""S5 Totals!$A$2:$O$255""),2,FALSE)"),37.0)</f>
        <v>37</v>
      </c>
      <c r="E213" s="15">
        <f>IFERROR(__xludf.DUMMYFUNCTION("VLOOKUP(A213,IMPORTRANGE(""1QZ5UxyNCwadreQAXnQ7oCoH982DjIA-QnZdO7ZoqkC0/edit#gid=884617569"",""S5 Totals!$A$2:$O$255""),3,FALSE)"),0.4457831325301205)</f>
        <v>0.4457831325</v>
      </c>
      <c r="F213" s="146">
        <f t="shared" si="1"/>
        <v>0.1927710843</v>
      </c>
      <c r="G213" s="16">
        <f>IFERROR(__xludf.DUMMYFUNCTION("VLOOKUP(A213,IMPORTRANGE(""1QZ5UxyNCwadreQAXnQ7oCoH982DjIA-QnZdO7ZoqkC0/edit#gid=884617569"",""S5 Totals!$A$2:$O$255""),4,FALSE)"),10.0)</f>
        <v>10</v>
      </c>
      <c r="H213" s="15">
        <f>IFERROR(__xludf.DUMMYFUNCTION("VLOOKUP(A213,IMPORTRANGE(""1QZ5UxyNCwadreQAXnQ7oCoH982DjIA-QnZdO7ZoqkC0/edit#gid=884617569"",""S5 Totals!$A$2:$O$255""),5,FALSE)"),0.20408163265306123)</f>
        <v>0.2040816327</v>
      </c>
      <c r="I213" s="143"/>
      <c r="J213" s="16" t="str">
        <f>IFERROR(__xludf.DUMMYFUNCTION("VLOOKUP(A213,IMPORTRANGE(""1QZ5UxyNCwadreQAXnQ7oCoH982DjIA-QnZdO7ZoqkC0/edit#gid=884617569"",""S5 Totals!$A$2:$O$255""),7,FALSE)"),"")</f>
        <v/>
      </c>
      <c r="K213" s="15" t="str">
        <f>IFERROR(__xludf.DUMMYFUNCTION("VLOOKUP(A213,IMPORTRANGE(""1QZ5UxyNCwadreQAXnQ7oCoH982DjIA-QnZdO7ZoqkC0/edit#gid=884617569"",""S5 Totals!$A$2:$O$255""),8,FALSE)"),"")</f>
        <v/>
      </c>
      <c r="L213" s="147"/>
      <c r="M213" s="16" t="str">
        <f>IFERROR(__xludf.DUMMYFUNCTION("VLOOKUP(A213,IMPORTRANGE(""1QZ5UxyNCwadreQAXnQ7oCoH982DjIA-QnZdO7ZoqkC0/edit#gid=884617569"",""S5 Totals!$A$2:$O$255""),10,FALSE)"),"")</f>
        <v/>
      </c>
      <c r="N213" s="15" t="str">
        <f>IFERROR(__xludf.DUMMYFUNCTION("VLOOKUP(A213,IMPORTRANGE(""1QZ5UxyNCwadreQAXnQ7oCoH982DjIA-QnZdO7ZoqkC0/edit#gid=884617569"",""S5 Totals!$A$2:$O$255""),11,FALSE)"),"")</f>
        <v/>
      </c>
      <c r="O213" s="110"/>
      <c r="P213" s="16" t="str">
        <f>IFERROR(__xludf.DUMMYFUNCTION("VLOOKUP(A213,IMPORTRANGE(""1QZ5UxyNCwadreQAXnQ7oCoH982DjIA-QnZdO7ZoqkC0/edit#gid=884617569"",""S5 Totals!$A$2:$O$255""),13,FALSE)"),"")</f>
        <v/>
      </c>
      <c r="Q213" s="15" t="str">
        <f>IFERROR(__xludf.DUMMYFUNCTION("VLOOKUP(A213,IMPORTRANGE(""1QZ5UxyNCwadreQAXnQ7oCoH982DjIA-QnZdO7ZoqkC0/edit#gid=884617569"",""S5 Totals!$A$2:$O$255""),14,FALSE)"),"")</f>
        <v/>
      </c>
      <c r="R213" s="110"/>
    </row>
    <row r="214">
      <c r="A214" s="128" t="s">
        <v>151</v>
      </c>
      <c r="B214" s="16">
        <f>IFERROR(__xludf.DUMMYFUNCTION("VLOOKUP(A214,IMPORTRANGE(""1aFCnJY1qhIj8-JckJhDJ18aqmVo17tofpQmOjcYa3u8/edit#gid=1878241338"",""S5 Totals!$A$2:$O$255""),2,FALSE)"),26.0)</f>
        <v>26</v>
      </c>
      <c r="C214" s="15">
        <f>IFERROR(__xludf.DUMMYFUNCTION("VLOOKUP(A214,IMPORTRANGE(""1aFCnJY1qhIj8-JckJhDJ18aqmVo17tofpQmOjcYa3u8/edit#gid=1878241338"",""S5 Totals!$A$2:$O$255""),3,FALSE)"),0.3132530120481928)</f>
        <v>0.313253012</v>
      </c>
      <c r="D214" s="16">
        <f>IFERROR(__xludf.DUMMYFUNCTION("VLOOKUP(A214,IMPORTRANGE(""1QZ5UxyNCwadreQAXnQ7oCoH982DjIA-QnZdO7ZoqkC0/edit#gid=884617569"",""S5 Totals!$A$2:$O$255""),2,FALSE)"),39.0)</f>
        <v>39</v>
      </c>
      <c r="E214" s="15">
        <f>IFERROR(__xludf.DUMMYFUNCTION("VLOOKUP(A214,IMPORTRANGE(""1QZ5UxyNCwadreQAXnQ7oCoH982DjIA-QnZdO7ZoqkC0/edit#gid=884617569"",""S5 Totals!$A$2:$O$255""),3,FALSE)"),0.46987951807228917)</f>
        <v>0.4698795181</v>
      </c>
      <c r="F214" s="146">
        <f t="shared" si="1"/>
        <v>-0.156626506</v>
      </c>
      <c r="G214" s="16">
        <f>IFERROR(__xludf.DUMMYFUNCTION("VLOOKUP(A214,IMPORTRANGE(""1QZ5UxyNCwadreQAXnQ7oCoH982DjIA-QnZdO7ZoqkC0/edit#gid=884617569"",""S5 Totals!$A$2:$O$255""),4,FALSE)"),14.0)</f>
        <v>14</v>
      </c>
      <c r="H214" s="15">
        <f>IFERROR(__xludf.DUMMYFUNCTION("VLOOKUP(A214,IMPORTRANGE(""1QZ5UxyNCwadreQAXnQ7oCoH982DjIA-QnZdO7ZoqkC0/edit#gid=884617569"",""S5 Totals!$A$2:$O$255""),5,FALSE)"),0.2857142857142857)</f>
        <v>0.2857142857</v>
      </c>
      <c r="I214" s="143"/>
      <c r="J214" s="16">
        <f>IFERROR(__xludf.DUMMYFUNCTION("VLOOKUP(A214,IMPORTRANGE(""1QZ5UxyNCwadreQAXnQ7oCoH982DjIA-QnZdO7ZoqkC0/edit#gid=884617569"",""S5 Totals!$A$2:$O$255""),7,FALSE)"),13.0)</f>
        <v>13</v>
      </c>
      <c r="K214" s="15">
        <f>IFERROR(__xludf.DUMMYFUNCTION("VLOOKUP(A214,IMPORTRANGE(""1QZ5UxyNCwadreQAXnQ7oCoH982DjIA-QnZdO7ZoqkC0/edit#gid=884617569"",""S5 Totals!$A$2:$O$255""),8,FALSE)"),0.38235294117647056)</f>
        <v>0.3823529412</v>
      </c>
      <c r="L214" s="147"/>
      <c r="M214" s="16">
        <f>IFERROR(__xludf.DUMMYFUNCTION("VLOOKUP(A214,IMPORTRANGE(""1QZ5UxyNCwadreQAXnQ7oCoH982DjIA-QnZdO7ZoqkC0/edit#gid=884617569"",""S5 Totals!$A$2:$O$255""),10,FALSE)"),12.0)</f>
        <v>12</v>
      </c>
      <c r="N214" s="15">
        <f>IFERROR(__xludf.DUMMYFUNCTION("VLOOKUP(A214,IMPORTRANGE(""1QZ5UxyNCwadreQAXnQ7oCoH982DjIA-QnZdO7ZoqkC0/edit#gid=884617569"",""S5 Totals!$A$2:$O$255""),11,FALSE)"),0.4)</f>
        <v>0.4</v>
      </c>
      <c r="O214" s="110"/>
      <c r="P214" s="16" t="str">
        <f>IFERROR(__xludf.DUMMYFUNCTION("VLOOKUP(A214,IMPORTRANGE(""1QZ5UxyNCwadreQAXnQ7oCoH982DjIA-QnZdO7ZoqkC0/edit#gid=884617569"",""S5 Totals!$A$2:$O$255""),13,FALSE)"),"")</f>
        <v/>
      </c>
      <c r="Q214" s="15" t="str">
        <f>IFERROR(__xludf.DUMMYFUNCTION("VLOOKUP(A214,IMPORTRANGE(""1QZ5UxyNCwadreQAXnQ7oCoH982DjIA-QnZdO7ZoqkC0/edit#gid=884617569"",""S5 Totals!$A$2:$O$255""),14,FALSE)"),"")</f>
        <v/>
      </c>
      <c r="R214" s="110"/>
    </row>
    <row r="215">
      <c r="A215" s="128" t="s">
        <v>198</v>
      </c>
      <c r="B215" s="16">
        <f>IFERROR(__xludf.DUMMYFUNCTION("VLOOKUP(A215,IMPORTRANGE(""1aFCnJY1qhIj8-JckJhDJ18aqmVo17tofpQmOjcYa3u8/edit#gid=1878241338"",""S5 Totals!$A$2:$O$255""),2,FALSE)"),17.0)</f>
        <v>17</v>
      </c>
      <c r="C215" s="15">
        <f>IFERROR(__xludf.DUMMYFUNCTION("VLOOKUP(A215,IMPORTRANGE(""1aFCnJY1qhIj8-JckJhDJ18aqmVo17tofpQmOjcYa3u8/edit#gid=1878241338"",""S5 Totals!$A$2:$O$255""),3,FALSE)"),0.20481927710843373)</f>
        <v>0.2048192771</v>
      </c>
      <c r="D215" s="16">
        <f>IFERROR(__xludf.DUMMYFUNCTION("VLOOKUP(A215,IMPORTRANGE(""1QZ5UxyNCwadreQAXnQ7oCoH982DjIA-QnZdO7ZoqkC0/edit#gid=884617569"",""S5 Totals!$A$2:$O$255""),2,FALSE)"),10.0)</f>
        <v>10</v>
      </c>
      <c r="E215" s="15">
        <f>IFERROR(__xludf.DUMMYFUNCTION("VLOOKUP(A215,IMPORTRANGE(""1QZ5UxyNCwadreQAXnQ7oCoH982DjIA-QnZdO7ZoqkC0/edit#gid=884617569"",""S5 Totals!$A$2:$O$255""),3,FALSE)"),0.12048192771084337)</f>
        <v>0.1204819277</v>
      </c>
      <c r="F215" s="146">
        <f t="shared" si="1"/>
        <v>0.0843373494</v>
      </c>
      <c r="G215" s="16">
        <f>IFERROR(__xludf.DUMMYFUNCTION("VLOOKUP(A215,IMPORTRANGE(""1QZ5UxyNCwadreQAXnQ7oCoH982DjIA-QnZdO7ZoqkC0/edit#gid=884617569"",""S5 Totals!$A$2:$O$255""),4,FALSE)"),6.0)</f>
        <v>6</v>
      </c>
      <c r="H215" s="15">
        <f>IFERROR(__xludf.DUMMYFUNCTION("VLOOKUP(A215,IMPORTRANGE(""1QZ5UxyNCwadreQAXnQ7oCoH982DjIA-QnZdO7ZoqkC0/edit#gid=884617569"",""S5 Totals!$A$2:$O$255""),5,FALSE)"),0.12244897959183673)</f>
        <v>0.1224489796</v>
      </c>
      <c r="I215" s="143"/>
      <c r="J215" s="16">
        <f>IFERROR(__xludf.DUMMYFUNCTION("VLOOKUP(A215,IMPORTRANGE(""1QZ5UxyNCwadreQAXnQ7oCoH982DjIA-QnZdO7ZoqkC0/edit#gid=884617569"",""S5 Totals!$A$2:$O$255""),7,FALSE)"),6.0)</f>
        <v>6</v>
      </c>
      <c r="K215" s="15">
        <f>IFERROR(__xludf.DUMMYFUNCTION("VLOOKUP(A215,IMPORTRANGE(""1QZ5UxyNCwadreQAXnQ7oCoH982DjIA-QnZdO7ZoqkC0/edit#gid=884617569"",""S5 Totals!$A$2:$O$255""),8,FALSE)"),0.17647058823529413)</f>
        <v>0.1764705882</v>
      </c>
      <c r="L215" s="147"/>
      <c r="M215" s="16" t="str">
        <f>IFERROR(__xludf.DUMMYFUNCTION("VLOOKUP(A215,IMPORTRANGE(""1QZ5UxyNCwadreQAXnQ7oCoH982DjIA-QnZdO7ZoqkC0/edit#gid=884617569"",""S5 Totals!$A$2:$O$255""),10,FALSE)"),"")</f>
        <v/>
      </c>
      <c r="N215" s="15" t="str">
        <f>IFERROR(__xludf.DUMMYFUNCTION("VLOOKUP(A215,IMPORTRANGE(""1QZ5UxyNCwadreQAXnQ7oCoH982DjIA-QnZdO7ZoqkC0/edit#gid=884617569"",""S5 Totals!$A$2:$O$255""),11,FALSE)"),"")</f>
        <v/>
      </c>
      <c r="O215" s="110"/>
      <c r="P215" s="16" t="str">
        <f>IFERROR(__xludf.DUMMYFUNCTION("VLOOKUP(A215,IMPORTRANGE(""1QZ5UxyNCwadreQAXnQ7oCoH982DjIA-QnZdO7ZoqkC0/edit#gid=884617569"",""S5 Totals!$A$2:$O$255""),13,FALSE)"),"")</f>
        <v/>
      </c>
      <c r="Q215" s="15" t="str">
        <f>IFERROR(__xludf.DUMMYFUNCTION("VLOOKUP(A215,IMPORTRANGE(""1QZ5UxyNCwadreQAXnQ7oCoH982DjIA-QnZdO7ZoqkC0/edit#gid=884617569"",""S5 Totals!$A$2:$O$255""),14,FALSE)"),"")</f>
        <v/>
      </c>
      <c r="R215" s="110"/>
    </row>
    <row r="216">
      <c r="A216" s="128" t="s">
        <v>95</v>
      </c>
      <c r="B216" s="16">
        <f>IFERROR(__xludf.DUMMYFUNCTION("VLOOKUP(A216,IMPORTRANGE(""1aFCnJY1qhIj8-JckJhDJ18aqmVo17tofpQmOjcYa3u8/edit#gid=1878241338"",""S5 Totals!$A$2:$O$255""),2,FALSE)"),21.0)</f>
        <v>21</v>
      </c>
      <c r="C216" s="15">
        <f>IFERROR(__xludf.DUMMYFUNCTION("VLOOKUP(A216,IMPORTRANGE(""1aFCnJY1qhIj8-JckJhDJ18aqmVo17tofpQmOjcYa3u8/edit#gid=1878241338"",""S5 Totals!$A$2:$O$255""),3,FALSE)"),0.25301204819277107)</f>
        <v>0.2530120482</v>
      </c>
      <c r="D216" s="16">
        <f>IFERROR(__xludf.DUMMYFUNCTION("VLOOKUP(A216,IMPORTRANGE(""1QZ5UxyNCwadreQAXnQ7oCoH982DjIA-QnZdO7ZoqkC0/edit#gid=884617569"",""S5 Totals!$A$2:$O$255""),2,FALSE)"),15.0)</f>
        <v>15</v>
      </c>
      <c r="E216" s="15">
        <f>IFERROR(__xludf.DUMMYFUNCTION("VLOOKUP(A216,IMPORTRANGE(""1QZ5UxyNCwadreQAXnQ7oCoH982DjIA-QnZdO7ZoqkC0/edit#gid=884617569"",""S5 Totals!$A$2:$O$255""),3,FALSE)"),0.18072289156626506)</f>
        <v>0.1807228916</v>
      </c>
      <c r="F216" s="146">
        <f t="shared" si="1"/>
        <v>0.07228915663</v>
      </c>
      <c r="G216" s="16">
        <f>IFERROR(__xludf.DUMMYFUNCTION("VLOOKUP(A216,IMPORTRANGE(""1QZ5UxyNCwadreQAXnQ7oCoH982DjIA-QnZdO7ZoqkC0/edit#gid=884617569"",""S5 Totals!$A$2:$O$255""),4,FALSE)"),17.0)</f>
        <v>17</v>
      </c>
      <c r="H216" s="15">
        <f>IFERROR(__xludf.DUMMYFUNCTION("VLOOKUP(A216,IMPORTRANGE(""1QZ5UxyNCwadreQAXnQ7oCoH982DjIA-QnZdO7ZoqkC0/edit#gid=884617569"",""S5 Totals!$A$2:$O$255""),5,FALSE)"),0.3469387755102041)</f>
        <v>0.3469387755</v>
      </c>
      <c r="I216" s="143"/>
      <c r="J216" s="16">
        <f>IFERROR(__xludf.DUMMYFUNCTION("VLOOKUP(A216,IMPORTRANGE(""1QZ5UxyNCwadreQAXnQ7oCoH982DjIA-QnZdO7ZoqkC0/edit#gid=884617569"",""S5 Totals!$A$2:$O$255""),7,FALSE)"),13.0)</f>
        <v>13</v>
      </c>
      <c r="K216" s="15">
        <f>IFERROR(__xludf.DUMMYFUNCTION("VLOOKUP(A216,IMPORTRANGE(""1QZ5UxyNCwadreQAXnQ7oCoH982DjIA-QnZdO7ZoqkC0/edit#gid=884617569"",""S5 Totals!$A$2:$O$255""),8,FALSE)"),0.38235294117647056)</f>
        <v>0.3823529412</v>
      </c>
      <c r="L216" s="147"/>
      <c r="M216" s="16">
        <f>IFERROR(__xludf.DUMMYFUNCTION("VLOOKUP(A216,IMPORTRANGE(""1QZ5UxyNCwadreQAXnQ7oCoH982DjIA-QnZdO7ZoqkC0/edit#gid=884617569"",""S5 Totals!$A$2:$O$255""),10,FALSE)"),5.0)</f>
        <v>5</v>
      </c>
      <c r="N216" s="15">
        <f>IFERROR(__xludf.DUMMYFUNCTION("VLOOKUP(A216,IMPORTRANGE(""1QZ5UxyNCwadreQAXnQ7oCoH982DjIA-QnZdO7ZoqkC0/edit#gid=884617569"",""S5 Totals!$A$2:$O$255""),11,FALSE)"),0.16666666666666666)</f>
        <v>0.1666666667</v>
      </c>
      <c r="O216" s="110"/>
      <c r="P216" s="16">
        <f>IFERROR(__xludf.DUMMYFUNCTION("VLOOKUP(A216,IMPORTRANGE(""1QZ5UxyNCwadreQAXnQ7oCoH982DjIA-QnZdO7ZoqkC0/edit#gid=884617569"",""S5 Totals!$A$2:$O$255""),13,FALSE)"),4.0)</f>
        <v>4</v>
      </c>
      <c r="Q216" s="15">
        <f>IFERROR(__xludf.DUMMYFUNCTION("VLOOKUP(A216,IMPORTRANGE(""1QZ5UxyNCwadreQAXnQ7oCoH982DjIA-QnZdO7ZoqkC0/edit#gid=884617569"",""S5 Totals!$A$2:$O$255""),14,FALSE)"),0.14285714285714285)</f>
        <v>0.1428571429</v>
      </c>
      <c r="R216" s="110"/>
    </row>
    <row r="217">
      <c r="A217" s="128" t="s">
        <v>199</v>
      </c>
      <c r="B217" s="16">
        <f>IFERROR(__xludf.DUMMYFUNCTION("VLOOKUP(A217,IMPORTRANGE(""1aFCnJY1qhIj8-JckJhDJ18aqmVo17tofpQmOjcYa3u8/edit#gid=1878241338"",""S5 Totals!$A$2:$O$255""),2,FALSE)"),34.0)</f>
        <v>34</v>
      </c>
      <c r="C217" s="15">
        <f>IFERROR(__xludf.DUMMYFUNCTION("VLOOKUP(A217,IMPORTRANGE(""1aFCnJY1qhIj8-JckJhDJ18aqmVo17tofpQmOjcYa3u8/edit#gid=1878241338"",""S5 Totals!$A$2:$O$255""),3,FALSE)"),0.40963855421686746)</f>
        <v>0.4096385542</v>
      </c>
      <c r="D217" s="16">
        <f>IFERROR(__xludf.DUMMYFUNCTION("VLOOKUP(A217,IMPORTRANGE(""1QZ5UxyNCwadreQAXnQ7oCoH982DjIA-QnZdO7ZoqkC0/edit#gid=884617569"",""S5 Totals!$A$2:$O$255""),2,FALSE)"),9.0)</f>
        <v>9</v>
      </c>
      <c r="E217" s="15">
        <f>IFERROR(__xludf.DUMMYFUNCTION("VLOOKUP(A217,IMPORTRANGE(""1QZ5UxyNCwadreQAXnQ7oCoH982DjIA-QnZdO7ZoqkC0/edit#gid=884617569"",""S5 Totals!$A$2:$O$255""),3,FALSE)"),0.10843373493975904)</f>
        <v>0.1084337349</v>
      </c>
      <c r="F217" s="146">
        <f t="shared" si="1"/>
        <v>0.3012048193</v>
      </c>
      <c r="G217" s="16">
        <f>IFERROR(__xludf.DUMMYFUNCTION("VLOOKUP(A217,IMPORTRANGE(""1QZ5UxyNCwadreQAXnQ7oCoH982DjIA-QnZdO7ZoqkC0/edit#gid=884617569"",""S5 Totals!$A$2:$O$255""),4,FALSE)"),2.0)</f>
        <v>2</v>
      </c>
      <c r="H217" s="15">
        <f>IFERROR(__xludf.DUMMYFUNCTION("VLOOKUP(A217,IMPORTRANGE(""1QZ5UxyNCwadreQAXnQ7oCoH982DjIA-QnZdO7ZoqkC0/edit#gid=884617569"",""S5 Totals!$A$2:$O$255""),5,FALSE)"),0.04081632653061224)</f>
        <v>0.04081632653</v>
      </c>
      <c r="I217" s="143"/>
      <c r="J217" s="16">
        <f>IFERROR(__xludf.DUMMYFUNCTION("VLOOKUP(A217,IMPORTRANGE(""1QZ5UxyNCwadreQAXnQ7oCoH982DjIA-QnZdO7ZoqkC0/edit#gid=884617569"",""S5 Totals!$A$2:$O$255""),7,FALSE)"),0.0)</f>
        <v>0</v>
      </c>
      <c r="K217" s="15">
        <f>IFERROR(__xludf.DUMMYFUNCTION("VLOOKUP(A217,IMPORTRANGE(""1QZ5UxyNCwadreQAXnQ7oCoH982DjIA-QnZdO7ZoqkC0/edit#gid=884617569"",""S5 Totals!$A$2:$O$255""),8,FALSE)"),0.0)</f>
        <v>0</v>
      </c>
      <c r="L217" s="147"/>
      <c r="M217" s="16" t="str">
        <f>IFERROR(__xludf.DUMMYFUNCTION("VLOOKUP(A217,IMPORTRANGE(""1QZ5UxyNCwadreQAXnQ7oCoH982DjIA-QnZdO7ZoqkC0/edit#gid=884617569"",""S5 Totals!$A$2:$O$255""),10,FALSE)"),"")</f>
        <v/>
      </c>
      <c r="N217" s="15" t="str">
        <f>IFERROR(__xludf.DUMMYFUNCTION("VLOOKUP(A217,IMPORTRANGE(""1QZ5UxyNCwadreQAXnQ7oCoH982DjIA-QnZdO7ZoqkC0/edit#gid=884617569"",""S5 Totals!$A$2:$O$255""),11,FALSE)"),"")</f>
        <v/>
      </c>
      <c r="O217" s="110"/>
      <c r="P217" s="16" t="str">
        <f>IFERROR(__xludf.DUMMYFUNCTION("VLOOKUP(A217,IMPORTRANGE(""1QZ5UxyNCwadreQAXnQ7oCoH982DjIA-QnZdO7ZoqkC0/edit#gid=884617569"",""S5 Totals!$A$2:$O$255""),13,FALSE)"),"")</f>
        <v/>
      </c>
      <c r="Q217" s="15" t="str">
        <f>IFERROR(__xludf.DUMMYFUNCTION("VLOOKUP(A217,IMPORTRANGE(""1QZ5UxyNCwadreQAXnQ7oCoH982DjIA-QnZdO7ZoqkC0/edit#gid=884617569"",""S5 Totals!$A$2:$O$255""),14,FALSE)"),"")</f>
        <v/>
      </c>
      <c r="R217" s="110"/>
    </row>
    <row r="218">
      <c r="A218" s="128" t="s">
        <v>254</v>
      </c>
      <c r="B218" s="16">
        <f>IFERROR(__xludf.DUMMYFUNCTION("VLOOKUP(A218,IMPORTRANGE(""1aFCnJY1qhIj8-JckJhDJ18aqmVo17tofpQmOjcYa3u8/edit#gid=1878241338"",""S5 Totals!$A$2:$O$255""),2,FALSE)"),2.0)</f>
        <v>2</v>
      </c>
      <c r="C218" s="15">
        <f>IFERROR(__xludf.DUMMYFUNCTION("VLOOKUP(A218,IMPORTRANGE(""1aFCnJY1qhIj8-JckJhDJ18aqmVo17tofpQmOjcYa3u8/edit#gid=1878241338"",""S5 Totals!$A$2:$O$255""),3,FALSE)"),0.024096385542168676)</f>
        <v>0.02409638554</v>
      </c>
      <c r="D218" s="16">
        <f>IFERROR(__xludf.DUMMYFUNCTION("VLOOKUP(A218,IMPORTRANGE(""1QZ5UxyNCwadreQAXnQ7oCoH982DjIA-QnZdO7ZoqkC0/edit#gid=884617569"",""S5 Totals!$A$2:$O$255""),2,FALSE)"),3.0)</f>
        <v>3</v>
      </c>
      <c r="E218" s="15">
        <f>IFERROR(__xludf.DUMMYFUNCTION("VLOOKUP(A218,IMPORTRANGE(""1QZ5UxyNCwadreQAXnQ7oCoH982DjIA-QnZdO7ZoqkC0/edit#gid=884617569"",""S5 Totals!$A$2:$O$255""),3,FALSE)"),0.03614457831325301)</f>
        <v>0.03614457831</v>
      </c>
      <c r="F218" s="146">
        <f t="shared" si="1"/>
        <v>-0.01204819277</v>
      </c>
      <c r="G218" s="16">
        <f>IFERROR(__xludf.DUMMYFUNCTION("VLOOKUP(A218,IMPORTRANGE(""1QZ5UxyNCwadreQAXnQ7oCoH982DjIA-QnZdO7ZoqkC0/edit#gid=884617569"",""S5 Totals!$A$2:$O$255""),4,FALSE)"),0.0)</f>
        <v>0</v>
      </c>
      <c r="H218" s="15">
        <f>IFERROR(__xludf.DUMMYFUNCTION("VLOOKUP(A218,IMPORTRANGE(""1QZ5UxyNCwadreQAXnQ7oCoH982DjIA-QnZdO7ZoqkC0/edit#gid=884617569"",""S5 Totals!$A$2:$O$255""),5,FALSE)"),0.0)</f>
        <v>0</v>
      </c>
      <c r="I218" s="143"/>
      <c r="J218" s="16" t="str">
        <f>IFERROR(__xludf.DUMMYFUNCTION("VLOOKUP(A218,IMPORTRANGE(""1QZ5UxyNCwadreQAXnQ7oCoH982DjIA-QnZdO7ZoqkC0/edit#gid=884617569"",""S5 Totals!$A$2:$O$255""),7,FALSE)"),"")</f>
        <v/>
      </c>
      <c r="K218" s="15" t="str">
        <f>IFERROR(__xludf.DUMMYFUNCTION("VLOOKUP(A218,IMPORTRANGE(""1QZ5UxyNCwadreQAXnQ7oCoH982DjIA-QnZdO7ZoqkC0/edit#gid=884617569"",""S5 Totals!$A$2:$O$255""),8,FALSE)"),"")</f>
        <v/>
      </c>
      <c r="L218" s="147"/>
      <c r="M218" s="16" t="str">
        <f>IFERROR(__xludf.DUMMYFUNCTION("VLOOKUP(A218,IMPORTRANGE(""1QZ5UxyNCwadreQAXnQ7oCoH982DjIA-QnZdO7ZoqkC0/edit#gid=884617569"",""S5 Totals!$A$2:$O$255""),10,FALSE)"),"")</f>
        <v/>
      </c>
      <c r="N218" s="15" t="str">
        <f>IFERROR(__xludf.DUMMYFUNCTION("VLOOKUP(A218,IMPORTRANGE(""1QZ5UxyNCwadreQAXnQ7oCoH982DjIA-QnZdO7ZoqkC0/edit#gid=884617569"",""S5 Totals!$A$2:$O$255""),11,FALSE)"),"")</f>
        <v/>
      </c>
      <c r="O218" s="110"/>
      <c r="P218" s="16" t="str">
        <f>IFERROR(__xludf.DUMMYFUNCTION("VLOOKUP(A218,IMPORTRANGE(""1QZ5UxyNCwadreQAXnQ7oCoH982DjIA-QnZdO7ZoqkC0/edit#gid=884617569"",""S5 Totals!$A$2:$O$255""),13,FALSE)"),"")</f>
        <v/>
      </c>
      <c r="Q218" s="15" t="str">
        <f>IFERROR(__xludf.DUMMYFUNCTION("VLOOKUP(A218,IMPORTRANGE(""1QZ5UxyNCwadreQAXnQ7oCoH982DjIA-QnZdO7ZoqkC0/edit#gid=884617569"",""S5 Totals!$A$2:$O$255""),14,FALSE)"),"")</f>
        <v/>
      </c>
      <c r="R218" s="110"/>
    </row>
    <row r="219">
      <c r="A219" s="128" t="s">
        <v>96</v>
      </c>
      <c r="B219" s="16">
        <f>IFERROR(__xludf.DUMMYFUNCTION("VLOOKUP(A219,IMPORTRANGE(""1aFCnJY1qhIj8-JckJhDJ18aqmVo17tofpQmOjcYa3u8/edit#gid=1878241338"",""S5 Totals!$A$2:$O$255""),2,FALSE)"),39.0)</f>
        <v>39</v>
      </c>
      <c r="C219" s="15">
        <f>IFERROR(__xludf.DUMMYFUNCTION("VLOOKUP(A219,IMPORTRANGE(""1aFCnJY1qhIj8-JckJhDJ18aqmVo17tofpQmOjcYa3u8/edit#gid=1878241338"",""S5 Totals!$A$2:$O$255""),3,FALSE)"),0.46987951807228917)</f>
        <v>0.4698795181</v>
      </c>
      <c r="D219" s="16">
        <f>IFERROR(__xludf.DUMMYFUNCTION("VLOOKUP(A219,IMPORTRANGE(""1QZ5UxyNCwadreQAXnQ7oCoH982DjIA-QnZdO7ZoqkC0/edit#gid=884617569"",""S5 Totals!$A$2:$O$255""),2,FALSE)"),39.0)</f>
        <v>39</v>
      </c>
      <c r="E219" s="15">
        <f>IFERROR(__xludf.DUMMYFUNCTION("VLOOKUP(A219,IMPORTRANGE(""1QZ5UxyNCwadreQAXnQ7oCoH982DjIA-QnZdO7ZoqkC0/edit#gid=884617569"",""S5 Totals!$A$2:$O$255""),3,FALSE)"),0.46987951807228917)</f>
        <v>0.4698795181</v>
      </c>
      <c r="F219" s="146">
        <f t="shared" si="1"/>
        <v>0</v>
      </c>
      <c r="G219" s="16">
        <f>IFERROR(__xludf.DUMMYFUNCTION("VLOOKUP(A219,IMPORTRANGE(""1QZ5UxyNCwadreQAXnQ7oCoH982DjIA-QnZdO7ZoqkC0/edit#gid=884617569"",""S5 Totals!$A$2:$O$255""),4,FALSE)"),18.0)</f>
        <v>18</v>
      </c>
      <c r="H219" s="15">
        <f>IFERROR(__xludf.DUMMYFUNCTION("VLOOKUP(A219,IMPORTRANGE(""1QZ5UxyNCwadreQAXnQ7oCoH982DjIA-QnZdO7ZoqkC0/edit#gid=884617569"",""S5 Totals!$A$2:$O$255""),5,FALSE)"),0.3673469387755102)</f>
        <v>0.3673469388</v>
      </c>
      <c r="I219" s="143"/>
      <c r="J219" s="16">
        <f>IFERROR(__xludf.DUMMYFUNCTION("VLOOKUP(A219,IMPORTRANGE(""1QZ5UxyNCwadreQAXnQ7oCoH982DjIA-QnZdO7ZoqkC0/edit#gid=884617569"",""S5 Totals!$A$2:$O$255""),7,FALSE)"),14.0)</f>
        <v>14</v>
      </c>
      <c r="K219" s="15">
        <f>IFERROR(__xludf.DUMMYFUNCTION("VLOOKUP(A219,IMPORTRANGE(""1QZ5UxyNCwadreQAXnQ7oCoH982DjIA-QnZdO7ZoqkC0/edit#gid=884617569"",""S5 Totals!$A$2:$O$255""),8,FALSE)"),0.4117647058823529)</f>
        <v>0.4117647059</v>
      </c>
      <c r="L219" s="147"/>
      <c r="M219" s="16">
        <f>IFERROR(__xludf.DUMMYFUNCTION("VLOOKUP(A219,IMPORTRANGE(""1QZ5UxyNCwadreQAXnQ7oCoH982DjIA-QnZdO7ZoqkC0/edit#gid=884617569"",""S5 Totals!$A$2:$O$255""),10,FALSE)"),7.0)</f>
        <v>7</v>
      </c>
      <c r="N219" s="15">
        <f>IFERROR(__xludf.DUMMYFUNCTION("VLOOKUP(A219,IMPORTRANGE(""1QZ5UxyNCwadreQAXnQ7oCoH982DjIA-QnZdO7ZoqkC0/edit#gid=884617569"",""S5 Totals!$A$2:$O$255""),11,FALSE)"),0.23333333333333334)</f>
        <v>0.2333333333</v>
      </c>
      <c r="O219" s="110"/>
      <c r="P219" s="16">
        <f>IFERROR(__xludf.DUMMYFUNCTION("VLOOKUP(A219,IMPORTRANGE(""1QZ5UxyNCwadreQAXnQ7oCoH982DjIA-QnZdO7ZoqkC0/edit#gid=884617569"",""S5 Totals!$A$2:$O$255""),13,FALSE)"),0.0)</f>
        <v>0</v>
      </c>
      <c r="Q219" s="15">
        <f>IFERROR(__xludf.DUMMYFUNCTION("VLOOKUP(A219,IMPORTRANGE(""1QZ5UxyNCwadreQAXnQ7oCoH982DjIA-QnZdO7ZoqkC0/edit#gid=884617569"",""S5 Totals!$A$2:$O$255""),14,FALSE)"),0.0)</f>
        <v>0</v>
      </c>
      <c r="R219" s="110"/>
    </row>
    <row r="220">
      <c r="A220" s="128" t="s">
        <v>255</v>
      </c>
      <c r="B220" s="16">
        <f>IFERROR(__xludf.DUMMYFUNCTION("VLOOKUP(A220,IMPORTRANGE(""1aFCnJY1qhIj8-JckJhDJ18aqmVo17tofpQmOjcYa3u8/edit#gid=1878241338"",""S5 Totals!$A$2:$O$255""),2,FALSE)"),8.0)</f>
        <v>8</v>
      </c>
      <c r="C220" s="15">
        <f>IFERROR(__xludf.DUMMYFUNCTION("VLOOKUP(A220,IMPORTRANGE(""1aFCnJY1qhIj8-JckJhDJ18aqmVo17tofpQmOjcYa3u8/edit#gid=1878241338"",""S5 Totals!$A$2:$O$255""),3,FALSE)"),0.0963855421686747)</f>
        <v>0.09638554217</v>
      </c>
      <c r="D220" s="16">
        <f>IFERROR(__xludf.DUMMYFUNCTION("VLOOKUP(A220,IMPORTRANGE(""1QZ5UxyNCwadreQAXnQ7oCoH982DjIA-QnZdO7ZoqkC0/edit#gid=884617569"",""S5 Totals!$A$2:$O$255""),2,FALSE)"),9.0)</f>
        <v>9</v>
      </c>
      <c r="E220" s="15">
        <f>IFERROR(__xludf.DUMMYFUNCTION("VLOOKUP(A220,IMPORTRANGE(""1QZ5UxyNCwadreQAXnQ7oCoH982DjIA-QnZdO7ZoqkC0/edit#gid=884617569"",""S5 Totals!$A$2:$O$255""),3,FALSE)"),0.10843373493975904)</f>
        <v>0.1084337349</v>
      </c>
      <c r="F220" s="146">
        <f t="shared" si="1"/>
        <v>-0.01204819277</v>
      </c>
      <c r="G220" s="16">
        <f>IFERROR(__xludf.DUMMYFUNCTION("VLOOKUP(A220,IMPORTRANGE(""1QZ5UxyNCwadreQAXnQ7oCoH982DjIA-QnZdO7ZoqkC0/edit#gid=884617569"",""S5 Totals!$A$2:$O$255""),4,FALSE)"),9.0)</f>
        <v>9</v>
      </c>
      <c r="H220" s="15">
        <f>IFERROR(__xludf.DUMMYFUNCTION("VLOOKUP(A220,IMPORTRANGE(""1QZ5UxyNCwadreQAXnQ7oCoH982DjIA-QnZdO7ZoqkC0/edit#gid=884617569"",""S5 Totals!$A$2:$O$255""),5,FALSE)"),0.1836734693877551)</f>
        <v>0.1836734694</v>
      </c>
      <c r="I220" s="143"/>
      <c r="J220" s="16" t="str">
        <f>IFERROR(__xludf.DUMMYFUNCTION("VLOOKUP(A220,IMPORTRANGE(""1QZ5UxyNCwadreQAXnQ7oCoH982DjIA-QnZdO7ZoqkC0/edit#gid=884617569"",""S5 Totals!$A$2:$O$255""),7,FALSE)"),"")</f>
        <v/>
      </c>
      <c r="K220" s="15" t="str">
        <f>IFERROR(__xludf.DUMMYFUNCTION("VLOOKUP(A220,IMPORTRANGE(""1QZ5UxyNCwadreQAXnQ7oCoH982DjIA-QnZdO7ZoqkC0/edit#gid=884617569"",""S5 Totals!$A$2:$O$255""),8,FALSE)"),"")</f>
        <v/>
      </c>
      <c r="L220" s="147"/>
      <c r="M220" s="16" t="str">
        <f>IFERROR(__xludf.DUMMYFUNCTION("VLOOKUP(A220,IMPORTRANGE(""1QZ5UxyNCwadreQAXnQ7oCoH982DjIA-QnZdO7ZoqkC0/edit#gid=884617569"",""S5 Totals!$A$2:$O$255""),10,FALSE)"),"")</f>
        <v/>
      </c>
      <c r="N220" s="15" t="str">
        <f>IFERROR(__xludf.DUMMYFUNCTION("VLOOKUP(A220,IMPORTRANGE(""1QZ5UxyNCwadreQAXnQ7oCoH982DjIA-QnZdO7ZoqkC0/edit#gid=884617569"",""S5 Totals!$A$2:$O$255""),11,FALSE)"),"")</f>
        <v/>
      </c>
      <c r="O220" s="110"/>
      <c r="P220" s="16" t="str">
        <f>IFERROR(__xludf.DUMMYFUNCTION("VLOOKUP(A220,IMPORTRANGE(""1QZ5UxyNCwadreQAXnQ7oCoH982DjIA-QnZdO7ZoqkC0/edit#gid=884617569"",""S5 Totals!$A$2:$O$255""),13,FALSE)"),"")</f>
        <v/>
      </c>
      <c r="Q220" s="15" t="str">
        <f>IFERROR(__xludf.DUMMYFUNCTION("VLOOKUP(A220,IMPORTRANGE(""1QZ5UxyNCwadreQAXnQ7oCoH982DjIA-QnZdO7ZoqkC0/edit#gid=884617569"",""S5 Totals!$A$2:$O$255""),14,FALSE)"),"")</f>
        <v/>
      </c>
      <c r="R220" s="110"/>
    </row>
    <row r="221">
      <c r="A221" s="128" t="s">
        <v>97</v>
      </c>
      <c r="B221" s="16">
        <f>IFERROR(__xludf.DUMMYFUNCTION("VLOOKUP(A221,IMPORTRANGE(""1aFCnJY1qhIj8-JckJhDJ18aqmVo17tofpQmOjcYa3u8/edit#gid=1878241338"",""S5 Totals!$A$2:$O$255""),2,FALSE)"),39.0)</f>
        <v>39</v>
      </c>
      <c r="C221" s="15">
        <f>IFERROR(__xludf.DUMMYFUNCTION("VLOOKUP(A221,IMPORTRANGE(""1aFCnJY1qhIj8-JckJhDJ18aqmVo17tofpQmOjcYa3u8/edit#gid=1878241338"",""S5 Totals!$A$2:$O$255""),3,FALSE)"),0.46987951807228917)</f>
        <v>0.4698795181</v>
      </c>
      <c r="D221" s="16">
        <f>IFERROR(__xludf.DUMMYFUNCTION("VLOOKUP(A221,IMPORTRANGE(""1QZ5UxyNCwadreQAXnQ7oCoH982DjIA-QnZdO7ZoqkC0/edit#gid=884617569"",""S5 Totals!$A$2:$O$255""),2,FALSE)"),39.0)</f>
        <v>39</v>
      </c>
      <c r="E221" s="15">
        <f>IFERROR(__xludf.DUMMYFUNCTION("VLOOKUP(A221,IMPORTRANGE(""1QZ5UxyNCwadreQAXnQ7oCoH982DjIA-QnZdO7ZoqkC0/edit#gid=884617569"",""S5 Totals!$A$2:$O$255""),3,FALSE)"),0.46987951807228917)</f>
        <v>0.4698795181</v>
      </c>
      <c r="F221" s="146">
        <f t="shared" si="1"/>
        <v>0</v>
      </c>
      <c r="G221" s="16">
        <f>IFERROR(__xludf.DUMMYFUNCTION("VLOOKUP(A221,IMPORTRANGE(""1QZ5UxyNCwadreQAXnQ7oCoH982DjIA-QnZdO7ZoqkC0/edit#gid=884617569"",""S5 Totals!$A$2:$O$255""),4,FALSE)"),18.0)</f>
        <v>18</v>
      </c>
      <c r="H221" s="15">
        <f>IFERROR(__xludf.DUMMYFUNCTION("VLOOKUP(A221,IMPORTRANGE(""1QZ5UxyNCwadreQAXnQ7oCoH982DjIA-QnZdO7ZoqkC0/edit#gid=884617569"",""S5 Totals!$A$2:$O$255""),5,FALSE)"),0.3673469387755102)</f>
        <v>0.3673469388</v>
      </c>
      <c r="I221" s="143"/>
      <c r="J221" s="16">
        <f>IFERROR(__xludf.DUMMYFUNCTION("VLOOKUP(A221,IMPORTRANGE(""1QZ5UxyNCwadreQAXnQ7oCoH982DjIA-QnZdO7ZoqkC0/edit#gid=884617569"",""S5 Totals!$A$2:$O$255""),7,FALSE)"),14.0)</f>
        <v>14</v>
      </c>
      <c r="K221" s="15">
        <f>IFERROR(__xludf.DUMMYFUNCTION("VLOOKUP(A221,IMPORTRANGE(""1QZ5UxyNCwadreQAXnQ7oCoH982DjIA-QnZdO7ZoqkC0/edit#gid=884617569"",""S5 Totals!$A$2:$O$255""),8,FALSE)"),0.4117647058823529)</f>
        <v>0.4117647059</v>
      </c>
      <c r="L221" s="147"/>
      <c r="M221" s="16">
        <f>IFERROR(__xludf.DUMMYFUNCTION("VLOOKUP(A221,IMPORTRANGE(""1QZ5UxyNCwadreQAXnQ7oCoH982DjIA-QnZdO7ZoqkC0/edit#gid=884617569"",""S5 Totals!$A$2:$O$255""),10,FALSE)"),7.0)</f>
        <v>7</v>
      </c>
      <c r="N221" s="15">
        <f>IFERROR(__xludf.DUMMYFUNCTION("VLOOKUP(A221,IMPORTRANGE(""1QZ5UxyNCwadreQAXnQ7oCoH982DjIA-QnZdO7ZoqkC0/edit#gid=884617569"",""S5 Totals!$A$2:$O$255""),11,FALSE)"),0.23333333333333334)</f>
        <v>0.2333333333</v>
      </c>
      <c r="O221" s="110"/>
      <c r="P221" s="16">
        <f>IFERROR(__xludf.DUMMYFUNCTION("VLOOKUP(A221,IMPORTRANGE(""1QZ5UxyNCwadreQAXnQ7oCoH982DjIA-QnZdO7ZoqkC0/edit#gid=884617569"",""S5 Totals!$A$2:$O$255""),13,FALSE)"),0.0)</f>
        <v>0</v>
      </c>
      <c r="Q221" s="15">
        <f>IFERROR(__xludf.DUMMYFUNCTION("VLOOKUP(A221,IMPORTRANGE(""1QZ5UxyNCwadreQAXnQ7oCoH982DjIA-QnZdO7ZoqkC0/edit#gid=884617569"",""S5 Totals!$A$2:$O$255""),14,FALSE)"),0.0)</f>
        <v>0</v>
      </c>
      <c r="R221" s="110"/>
    </row>
    <row r="222">
      <c r="A222" s="128" t="s">
        <v>30</v>
      </c>
      <c r="B222" s="16">
        <f>IFERROR(__xludf.DUMMYFUNCTION("VLOOKUP(A222,IMPORTRANGE(""1aFCnJY1qhIj8-JckJhDJ18aqmVo17tofpQmOjcYa3u8/edit#gid=1878241338"",""S5 Totals!$A$2:$O$255""),2,FALSE)"),7.0)</f>
        <v>7</v>
      </c>
      <c r="C222" s="15">
        <f>IFERROR(__xludf.DUMMYFUNCTION("VLOOKUP(A222,IMPORTRANGE(""1aFCnJY1qhIj8-JckJhDJ18aqmVo17tofpQmOjcYa3u8/edit#gid=1878241338"",""S5 Totals!$A$2:$O$255""),3,FALSE)"),0.08433734939759036)</f>
        <v>0.0843373494</v>
      </c>
      <c r="D222" s="16">
        <f>IFERROR(__xludf.DUMMYFUNCTION("VLOOKUP(A222,IMPORTRANGE(""1QZ5UxyNCwadreQAXnQ7oCoH982DjIA-QnZdO7ZoqkC0/edit#gid=884617569"",""S5 Totals!$A$2:$O$255""),2,FALSE)"),7.0)</f>
        <v>7</v>
      </c>
      <c r="E222" s="15">
        <f>IFERROR(__xludf.DUMMYFUNCTION("VLOOKUP(A222,IMPORTRANGE(""1QZ5UxyNCwadreQAXnQ7oCoH982DjIA-QnZdO7ZoqkC0/edit#gid=884617569"",""S5 Totals!$A$2:$O$255""),3,FALSE)"),0.08433734939759036)</f>
        <v>0.0843373494</v>
      </c>
      <c r="F222" s="146">
        <f t="shared" si="1"/>
        <v>0</v>
      </c>
      <c r="G222" s="16">
        <f>IFERROR(__xludf.DUMMYFUNCTION("VLOOKUP(A222,IMPORTRANGE(""1QZ5UxyNCwadreQAXnQ7oCoH982DjIA-QnZdO7ZoqkC0/edit#gid=884617569"",""S5 Totals!$A$2:$O$255""),4,FALSE)"),4.0)</f>
        <v>4</v>
      </c>
      <c r="H222" s="15">
        <f>IFERROR(__xludf.DUMMYFUNCTION("VLOOKUP(A222,IMPORTRANGE(""1QZ5UxyNCwadreQAXnQ7oCoH982DjIA-QnZdO7ZoqkC0/edit#gid=884617569"",""S5 Totals!$A$2:$O$255""),5,FALSE)"),0.08163265306122448)</f>
        <v>0.08163265306</v>
      </c>
      <c r="I222" s="143"/>
      <c r="J222" s="16">
        <f>IFERROR(__xludf.DUMMYFUNCTION("VLOOKUP(A222,IMPORTRANGE(""1QZ5UxyNCwadreQAXnQ7oCoH982DjIA-QnZdO7ZoqkC0/edit#gid=884617569"",""S5 Totals!$A$2:$O$255""),7,FALSE)"),5.0)</f>
        <v>5</v>
      </c>
      <c r="K222" s="15">
        <f>IFERROR(__xludf.DUMMYFUNCTION("VLOOKUP(A222,IMPORTRANGE(""1QZ5UxyNCwadreQAXnQ7oCoH982DjIA-QnZdO7ZoqkC0/edit#gid=884617569"",""S5 Totals!$A$2:$O$255""),8,FALSE)"),0.14705882352941177)</f>
        <v>0.1470588235</v>
      </c>
      <c r="L222" s="147"/>
      <c r="M222" s="16">
        <f>IFERROR(__xludf.DUMMYFUNCTION("VLOOKUP(A222,IMPORTRANGE(""1QZ5UxyNCwadreQAXnQ7oCoH982DjIA-QnZdO7ZoqkC0/edit#gid=884617569"",""S5 Totals!$A$2:$O$255""),10,FALSE)"),2.0)</f>
        <v>2</v>
      </c>
      <c r="N222" s="15">
        <f>IFERROR(__xludf.DUMMYFUNCTION("VLOOKUP(A222,IMPORTRANGE(""1QZ5UxyNCwadreQAXnQ7oCoH982DjIA-QnZdO7ZoqkC0/edit#gid=884617569"",""S5 Totals!$A$2:$O$255""),11,FALSE)"),0.06666666666666667)</f>
        <v>0.06666666667</v>
      </c>
      <c r="O222" s="110"/>
      <c r="P222" s="16">
        <f>IFERROR(__xludf.DUMMYFUNCTION("VLOOKUP(A222,IMPORTRANGE(""1QZ5UxyNCwadreQAXnQ7oCoH982DjIA-QnZdO7ZoqkC0/edit#gid=884617569"",""S5 Totals!$A$2:$O$255""),13,FALSE)"),0.0)</f>
        <v>0</v>
      </c>
      <c r="Q222" s="15">
        <f>IFERROR(__xludf.DUMMYFUNCTION("VLOOKUP(A222,IMPORTRANGE(""1QZ5UxyNCwadreQAXnQ7oCoH982DjIA-QnZdO7ZoqkC0/edit#gid=884617569"",""S5 Totals!$A$2:$O$255""),14,FALSE)"),0.0)</f>
        <v>0</v>
      </c>
      <c r="R222" s="110"/>
    </row>
    <row r="223">
      <c r="A223" s="128" t="s">
        <v>200</v>
      </c>
      <c r="B223" s="16">
        <f>IFERROR(__xludf.DUMMYFUNCTION("VLOOKUP(A223,IMPORTRANGE(""1aFCnJY1qhIj8-JckJhDJ18aqmVo17tofpQmOjcYa3u8/edit#gid=1878241338"",""S5 Totals!$A$2:$O$255""),2,FALSE)"),5.0)</f>
        <v>5</v>
      </c>
      <c r="C223" s="15">
        <f>IFERROR(__xludf.DUMMYFUNCTION("VLOOKUP(A223,IMPORTRANGE(""1aFCnJY1qhIj8-JckJhDJ18aqmVo17tofpQmOjcYa3u8/edit#gid=1878241338"",""S5 Totals!$A$2:$O$255""),3,FALSE)"),0.060240963855421686)</f>
        <v>0.06024096386</v>
      </c>
      <c r="D223" s="16">
        <f>IFERROR(__xludf.DUMMYFUNCTION("VLOOKUP(A223,IMPORTRANGE(""1QZ5UxyNCwadreQAXnQ7oCoH982DjIA-QnZdO7ZoqkC0/edit#gid=884617569"",""S5 Totals!$A$2:$O$255""),2,FALSE)"),11.0)</f>
        <v>11</v>
      </c>
      <c r="E223" s="15">
        <f>IFERROR(__xludf.DUMMYFUNCTION("VLOOKUP(A223,IMPORTRANGE(""1QZ5UxyNCwadreQAXnQ7oCoH982DjIA-QnZdO7ZoqkC0/edit#gid=884617569"",""S5 Totals!$A$2:$O$255""),3,FALSE)"),0.13253012048192772)</f>
        <v>0.1325301205</v>
      </c>
      <c r="F223" s="146">
        <f t="shared" si="1"/>
        <v>-0.07228915663</v>
      </c>
      <c r="G223" s="16">
        <f>IFERROR(__xludf.DUMMYFUNCTION("VLOOKUP(A223,IMPORTRANGE(""1QZ5UxyNCwadreQAXnQ7oCoH982DjIA-QnZdO7ZoqkC0/edit#gid=884617569"",""S5 Totals!$A$2:$O$255""),4,FALSE)"),10.0)</f>
        <v>10</v>
      </c>
      <c r="H223" s="15">
        <f>IFERROR(__xludf.DUMMYFUNCTION("VLOOKUP(A223,IMPORTRANGE(""1QZ5UxyNCwadreQAXnQ7oCoH982DjIA-QnZdO7ZoqkC0/edit#gid=884617569"",""S5 Totals!$A$2:$O$255""),5,FALSE)"),0.20408163265306123)</f>
        <v>0.2040816327</v>
      </c>
      <c r="I223" s="143"/>
      <c r="J223" s="16">
        <f>IFERROR(__xludf.DUMMYFUNCTION("VLOOKUP(A223,IMPORTRANGE(""1QZ5UxyNCwadreQAXnQ7oCoH982DjIA-QnZdO7ZoqkC0/edit#gid=884617569"",""S5 Totals!$A$2:$O$255""),7,FALSE)"),6.0)</f>
        <v>6</v>
      </c>
      <c r="K223" s="15">
        <f>IFERROR(__xludf.DUMMYFUNCTION("VLOOKUP(A223,IMPORTRANGE(""1QZ5UxyNCwadreQAXnQ7oCoH982DjIA-QnZdO7ZoqkC0/edit#gid=884617569"",""S5 Totals!$A$2:$O$255""),8,FALSE)"),0.17647058823529413)</f>
        <v>0.1764705882</v>
      </c>
      <c r="L223" s="147"/>
      <c r="M223" s="16" t="str">
        <f>IFERROR(__xludf.DUMMYFUNCTION("VLOOKUP(A223,IMPORTRANGE(""1QZ5UxyNCwadreQAXnQ7oCoH982DjIA-QnZdO7ZoqkC0/edit#gid=884617569"",""S5 Totals!$A$2:$O$255""),10,FALSE)"),"")</f>
        <v/>
      </c>
      <c r="N223" s="15" t="str">
        <f>IFERROR(__xludf.DUMMYFUNCTION("VLOOKUP(A223,IMPORTRANGE(""1QZ5UxyNCwadreQAXnQ7oCoH982DjIA-QnZdO7ZoqkC0/edit#gid=884617569"",""S5 Totals!$A$2:$O$255""),11,FALSE)"),"")</f>
        <v/>
      </c>
      <c r="O223" s="110"/>
      <c r="P223" s="16" t="str">
        <f>IFERROR(__xludf.DUMMYFUNCTION("VLOOKUP(A223,IMPORTRANGE(""1QZ5UxyNCwadreQAXnQ7oCoH982DjIA-QnZdO7ZoqkC0/edit#gid=884617569"",""S5 Totals!$A$2:$O$255""),13,FALSE)"),"")</f>
        <v/>
      </c>
      <c r="Q223" s="15" t="str">
        <f>IFERROR(__xludf.DUMMYFUNCTION("VLOOKUP(A223,IMPORTRANGE(""1QZ5UxyNCwadreQAXnQ7oCoH982DjIA-QnZdO7ZoqkC0/edit#gid=884617569"",""S5 Totals!$A$2:$O$255""),14,FALSE)"),"")</f>
        <v/>
      </c>
      <c r="R223" s="110"/>
    </row>
    <row r="224">
      <c r="A224" s="128" t="s">
        <v>201</v>
      </c>
      <c r="B224" s="16">
        <f>IFERROR(__xludf.DUMMYFUNCTION("VLOOKUP(A224,IMPORTRANGE(""1aFCnJY1qhIj8-JckJhDJ18aqmVo17tofpQmOjcYa3u8/edit#gid=1878241338"",""S5 Totals!$A$2:$O$255""),2,FALSE)"),0.0)</f>
        <v>0</v>
      </c>
      <c r="C224" s="15">
        <f>IFERROR(__xludf.DUMMYFUNCTION("VLOOKUP(A224,IMPORTRANGE(""1aFCnJY1qhIj8-JckJhDJ18aqmVo17tofpQmOjcYa3u8/edit#gid=1878241338"",""S5 Totals!$A$2:$O$255""),3,FALSE)"),0.0)</f>
        <v>0</v>
      </c>
      <c r="D224" s="16">
        <f>IFERROR(__xludf.DUMMYFUNCTION("VLOOKUP(A224,IMPORTRANGE(""1QZ5UxyNCwadreQAXnQ7oCoH982DjIA-QnZdO7ZoqkC0/edit#gid=884617569"",""S5 Totals!$A$2:$O$255""),2,FALSE)"),0.0)</f>
        <v>0</v>
      </c>
      <c r="E224" s="15">
        <f>IFERROR(__xludf.DUMMYFUNCTION("VLOOKUP(A224,IMPORTRANGE(""1QZ5UxyNCwadreQAXnQ7oCoH982DjIA-QnZdO7ZoqkC0/edit#gid=884617569"",""S5 Totals!$A$2:$O$255""),3,FALSE)"),0.0)</f>
        <v>0</v>
      </c>
      <c r="F224" s="146">
        <f t="shared" si="1"/>
        <v>0</v>
      </c>
      <c r="G224" s="16">
        <f>IFERROR(__xludf.DUMMYFUNCTION("VLOOKUP(A224,IMPORTRANGE(""1QZ5UxyNCwadreQAXnQ7oCoH982DjIA-QnZdO7ZoqkC0/edit#gid=884617569"",""S5 Totals!$A$2:$O$255""),4,FALSE)"),0.0)</f>
        <v>0</v>
      </c>
      <c r="H224" s="15">
        <f>IFERROR(__xludf.DUMMYFUNCTION("VLOOKUP(A224,IMPORTRANGE(""1QZ5UxyNCwadreQAXnQ7oCoH982DjIA-QnZdO7ZoqkC0/edit#gid=884617569"",""S5 Totals!$A$2:$O$255""),5,FALSE)"),0.0)</f>
        <v>0</v>
      </c>
      <c r="I224" s="143"/>
      <c r="J224" s="16">
        <f>IFERROR(__xludf.DUMMYFUNCTION("VLOOKUP(A224,IMPORTRANGE(""1QZ5UxyNCwadreQAXnQ7oCoH982DjIA-QnZdO7ZoqkC0/edit#gid=884617569"",""S5 Totals!$A$2:$O$255""),7,FALSE)"),0.0)</f>
        <v>0</v>
      </c>
      <c r="K224" s="15">
        <f>IFERROR(__xludf.DUMMYFUNCTION("VLOOKUP(A224,IMPORTRANGE(""1QZ5UxyNCwadreQAXnQ7oCoH982DjIA-QnZdO7ZoqkC0/edit#gid=884617569"",""S5 Totals!$A$2:$O$255""),8,FALSE)"),0.0)</f>
        <v>0</v>
      </c>
      <c r="L224" s="147"/>
      <c r="M224" s="16" t="str">
        <f>IFERROR(__xludf.DUMMYFUNCTION("VLOOKUP(A224,IMPORTRANGE(""1QZ5UxyNCwadreQAXnQ7oCoH982DjIA-QnZdO7ZoqkC0/edit#gid=884617569"",""S5 Totals!$A$2:$O$255""),10,FALSE)"),"")</f>
        <v/>
      </c>
      <c r="N224" s="15" t="str">
        <f>IFERROR(__xludf.DUMMYFUNCTION("VLOOKUP(A224,IMPORTRANGE(""1QZ5UxyNCwadreQAXnQ7oCoH982DjIA-QnZdO7ZoqkC0/edit#gid=884617569"",""S5 Totals!$A$2:$O$255""),11,FALSE)"),"")</f>
        <v/>
      </c>
      <c r="O224" s="110"/>
      <c r="P224" s="16" t="str">
        <f>IFERROR(__xludf.DUMMYFUNCTION("VLOOKUP(A224,IMPORTRANGE(""1QZ5UxyNCwadreQAXnQ7oCoH982DjIA-QnZdO7ZoqkC0/edit#gid=884617569"",""S5 Totals!$A$2:$O$255""),13,FALSE)"),"")</f>
        <v/>
      </c>
      <c r="Q224" s="15" t="str">
        <f>IFERROR(__xludf.DUMMYFUNCTION("VLOOKUP(A224,IMPORTRANGE(""1QZ5UxyNCwadreQAXnQ7oCoH982DjIA-QnZdO7ZoqkC0/edit#gid=884617569"",""S5 Totals!$A$2:$O$255""),14,FALSE)"),"")</f>
        <v/>
      </c>
      <c r="R224" s="110"/>
    </row>
    <row r="225">
      <c r="A225" s="128" t="s">
        <v>202</v>
      </c>
      <c r="B225" s="16">
        <f>IFERROR(__xludf.DUMMYFUNCTION("VLOOKUP(A225,IMPORTRANGE(""1aFCnJY1qhIj8-JckJhDJ18aqmVo17tofpQmOjcYa3u8/edit#gid=1878241338"",""S5 Totals!$A$2:$O$255""),2,FALSE)"),22.0)</f>
        <v>22</v>
      </c>
      <c r="C225" s="15">
        <f>IFERROR(__xludf.DUMMYFUNCTION("VLOOKUP(A225,IMPORTRANGE(""1aFCnJY1qhIj8-JckJhDJ18aqmVo17tofpQmOjcYa3u8/edit#gid=1878241338"",""S5 Totals!$A$2:$O$255""),3,FALSE)"),0.26506024096385544)</f>
        <v>0.265060241</v>
      </c>
      <c r="D225" s="16">
        <f>IFERROR(__xludf.DUMMYFUNCTION("VLOOKUP(A225,IMPORTRANGE(""1QZ5UxyNCwadreQAXnQ7oCoH982DjIA-QnZdO7ZoqkC0/edit#gid=884617569"",""S5 Totals!$A$2:$O$255""),2,FALSE)"),15.0)</f>
        <v>15</v>
      </c>
      <c r="E225" s="15">
        <f>IFERROR(__xludf.DUMMYFUNCTION("VLOOKUP(A225,IMPORTRANGE(""1QZ5UxyNCwadreQAXnQ7oCoH982DjIA-QnZdO7ZoqkC0/edit#gid=884617569"",""S5 Totals!$A$2:$O$255""),3,FALSE)"),0.18072289156626506)</f>
        <v>0.1807228916</v>
      </c>
      <c r="F225" s="146">
        <f t="shared" si="1"/>
        <v>0.0843373494</v>
      </c>
      <c r="G225" s="16">
        <f>IFERROR(__xludf.DUMMYFUNCTION("VLOOKUP(A225,IMPORTRANGE(""1QZ5UxyNCwadreQAXnQ7oCoH982DjIA-QnZdO7ZoqkC0/edit#gid=884617569"",""S5 Totals!$A$2:$O$255""),4,FALSE)"),3.0)</f>
        <v>3</v>
      </c>
      <c r="H225" s="15">
        <f>IFERROR(__xludf.DUMMYFUNCTION("VLOOKUP(A225,IMPORTRANGE(""1QZ5UxyNCwadreQAXnQ7oCoH982DjIA-QnZdO7ZoqkC0/edit#gid=884617569"",""S5 Totals!$A$2:$O$255""),5,FALSE)"),0.061224489795918366)</f>
        <v>0.0612244898</v>
      </c>
      <c r="I225" s="143"/>
      <c r="J225" s="16">
        <f>IFERROR(__xludf.DUMMYFUNCTION("VLOOKUP(A225,IMPORTRANGE(""1QZ5UxyNCwadreQAXnQ7oCoH982DjIA-QnZdO7ZoqkC0/edit#gid=884617569"",""S5 Totals!$A$2:$O$255""),7,FALSE)"),3.0)</f>
        <v>3</v>
      </c>
      <c r="K225" s="15">
        <f>IFERROR(__xludf.DUMMYFUNCTION("VLOOKUP(A225,IMPORTRANGE(""1QZ5UxyNCwadreQAXnQ7oCoH982DjIA-QnZdO7ZoqkC0/edit#gid=884617569"",""S5 Totals!$A$2:$O$255""),8,FALSE)"),0.08823529411764706)</f>
        <v>0.08823529412</v>
      </c>
      <c r="L225" s="147"/>
      <c r="M225" s="16" t="str">
        <f>IFERROR(__xludf.DUMMYFUNCTION("VLOOKUP(A225,IMPORTRANGE(""1QZ5UxyNCwadreQAXnQ7oCoH982DjIA-QnZdO7ZoqkC0/edit#gid=884617569"",""S5 Totals!$A$2:$O$255""),10,FALSE)"),"")</f>
        <v/>
      </c>
      <c r="N225" s="15" t="str">
        <f>IFERROR(__xludf.DUMMYFUNCTION("VLOOKUP(A225,IMPORTRANGE(""1QZ5UxyNCwadreQAXnQ7oCoH982DjIA-QnZdO7ZoqkC0/edit#gid=884617569"",""S5 Totals!$A$2:$O$255""),11,FALSE)"),"")</f>
        <v/>
      </c>
      <c r="O225" s="110"/>
      <c r="P225" s="16" t="str">
        <f>IFERROR(__xludf.DUMMYFUNCTION("VLOOKUP(A225,IMPORTRANGE(""1QZ5UxyNCwadreQAXnQ7oCoH982DjIA-QnZdO7ZoqkC0/edit#gid=884617569"",""S5 Totals!$A$2:$O$255""),13,FALSE)"),"")</f>
        <v/>
      </c>
      <c r="Q225" s="15" t="str">
        <f>IFERROR(__xludf.DUMMYFUNCTION("VLOOKUP(A225,IMPORTRANGE(""1QZ5UxyNCwadreQAXnQ7oCoH982DjIA-QnZdO7ZoqkC0/edit#gid=884617569"",""S5 Totals!$A$2:$O$255""),14,FALSE)"),"")</f>
        <v/>
      </c>
      <c r="R225" s="110"/>
    </row>
    <row r="226">
      <c r="A226" s="128" t="s">
        <v>203</v>
      </c>
      <c r="B226" s="16">
        <f>IFERROR(__xludf.DUMMYFUNCTION("VLOOKUP(A226,IMPORTRANGE(""1aFCnJY1qhIj8-JckJhDJ18aqmVo17tofpQmOjcYa3u8/edit#gid=1878241338"",""S5 Totals!$A$2:$O$255""),2,FALSE)"),2.0)</f>
        <v>2</v>
      </c>
      <c r="C226" s="15">
        <f>IFERROR(__xludf.DUMMYFUNCTION("VLOOKUP(A226,IMPORTRANGE(""1aFCnJY1qhIj8-JckJhDJ18aqmVo17tofpQmOjcYa3u8/edit#gid=1878241338"",""S5 Totals!$A$2:$O$255""),3,FALSE)"),0.024096385542168676)</f>
        <v>0.02409638554</v>
      </c>
      <c r="D226" s="16">
        <f>IFERROR(__xludf.DUMMYFUNCTION("VLOOKUP(A226,IMPORTRANGE(""1QZ5UxyNCwadreQAXnQ7oCoH982DjIA-QnZdO7ZoqkC0/edit#gid=884617569"",""S5 Totals!$A$2:$O$255""),2,FALSE)"),2.0)</f>
        <v>2</v>
      </c>
      <c r="E226" s="15">
        <f>IFERROR(__xludf.DUMMYFUNCTION("VLOOKUP(A226,IMPORTRANGE(""1QZ5UxyNCwadreQAXnQ7oCoH982DjIA-QnZdO7ZoqkC0/edit#gid=884617569"",""S5 Totals!$A$2:$O$255""),3,FALSE)"),0.024096385542168676)</f>
        <v>0.02409638554</v>
      </c>
      <c r="F226" s="146">
        <f t="shared" si="1"/>
        <v>0</v>
      </c>
      <c r="G226" s="16">
        <f>IFERROR(__xludf.DUMMYFUNCTION("VLOOKUP(A226,IMPORTRANGE(""1QZ5UxyNCwadreQAXnQ7oCoH982DjIA-QnZdO7ZoqkC0/edit#gid=884617569"",""S5 Totals!$A$2:$O$255""),4,FALSE)"),2.0)</f>
        <v>2</v>
      </c>
      <c r="H226" s="15">
        <f>IFERROR(__xludf.DUMMYFUNCTION("VLOOKUP(A226,IMPORTRANGE(""1QZ5UxyNCwadreQAXnQ7oCoH982DjIA-QnZdO7ZoqkC0/edit#gid=884617569"",""S5 Totals!$A$2:$O$255""),5,FALSE)"),0.04081632653061224)</f>
        <v>0.04081632653</v>
      </c>
      <c r="I226" s="143"/>
      <c r="J226" s="16">
        <f>IFERROR(__xludf.DUMMYFUNCTION("VLOOKUP(A226,IMPORTRANGE(""1QZ5UxyNCwadreQAXnQ7oCoH982DjIA-QnZdO7ZoqkC0/edit#gid=884617569"",""S5 Totals!$A$2:$O$255""),7,FALSE)"),0.0)</f>
        <v>0</v>
      </c>
      <c r="K226" s="15">
        <f>IFERROR(__xludf.DUMMYFUNCTION("VLOOKUP(A226,IMPORTRANGE(""1QZ5UxyNCwadreQAXnQ7oCoH982DjIA-QnZdO7ZoqkC0/edit#gid=884617569"",""S5 Totals!$A$2:$O$255""),8,FALSE)"),0.0)</f>
        <v>0</v>
      </c>
      <c r="L226" s="147"/>
      <c r="M226" s="16" t="str">
        <f>IFERROR(__xludf.DUMMYFUNCTION("VLOOKUP(A226,IMPORTRANGE(""1QZ5UxyNCwadreQAXnQ7oCoH982DjIA-QnZdO7ZoqkC0/edit#gid=884617569"",""S5 Totals!$A$2:$O$255""),10,FALSE)"),"")</f>
        <v/>
      </c>
      <c r="N226" s="15" t="str">
        <f>IFERROR(__xludf.DUMMYFUNCTION("VLOOKUP(A226,IMPORTRANGE(""1QZ5UxyNCwadreQAXnQ7oCoH982DjIA-QnZdO7ZoqkC0/edit#gid=884617569"",""S5 Totals!$A$2:$O$255""),11,FALSE)"),"")</f>
        <v/>
      </c>
      <c r="O226" s="110"/>
      <c r="P226" s="16" t="str">
        <f>IFERROR(__xludf.DUMMYFUNCTION("VLOOKUP(A226,IMPORTRANGE(""1QZ5UxyNCwadreQAXnQ7oCoH982DjIA-QnZdO7ZoqkC0/edit#gid=884617569"",""S5 Totals!$A$2:$O$255""),13,FALSE)"),"")</f>
        <v/>
      </c>
      <c r="Q226" s="15" t="str">
        <f>IFERROR(__xludf.DUMMYFUNCTION("VLOOKUP(A226,IMPORTRANGE(""1QZ5UxyNCwadreQAXnQ7oCoH982DjIA-QnZdO7ZoqkC0/edit#gid=884617569"",""S5 Totals!$A$2:$O$255""),14,FALSE)"),"")</f>
        <v/>
      </c>
      <c r="R226" s="110"/>
    </row>
    <row r="227">
      <c r="A227" s="128" t="s">
        <v>99</v>
      </c>
      <c r="B227" s="16">
        <f>IFERROR(__xludf.DUMMYFUNCTION("VLOOKUP(A227,IMPORTRANGE(""1aFCnJY1qhIj8-JckJhDJ18aqmVo17tofpQmOjcYa3u8/edit#gid=1878241338"",""S5 Totals!$A$2:$O$255""),2,FALSE)"),29.0)</f>
        <v>29</v>
      </c>
      <c r="C227" s="15">
        <f>IFERROR(__xludf.DUMMYFUNCTION("VLOOKUP(A227,IMPORTRANGE(""1aFCnJY1qhIj8-JckJhDJ18aqmVo17tofpQmOjcYa3u8/edit#gid=1878241338"",""S5 Totals!$A$2:$O$255""),3,FALSE)"),0.3493975903614458)</f>
        <v>0.3493975904</v>
      </c>
      <c r="D227" s="16">
        <f>IFERROR(__xludf.DUMMYFUNCTION("VLOOKUP(A227,IMPORTRANGE(""1QZ5UxyNCwadreQAXnQ7oCoH982DjIA-QnZdO7ZoqkC0/edit#gid=884617569"",""S5 Totals!$A$2:$O$255""),2,FALSE)"),35.0)</f>
        <v>35</v>
      </c>
      <c r="E227" s="15">
        <f>IFERROR(__xludf.DUMMYFUNCTION("VLOOKUP(A227,IMPORTRANGE(""1QZ5UxyNCwadreQAXnQ7oCoH982DjIA-QnZdO7ZoqkC0/edit#gid=884617569"",""S5 Totals!$A$2:$O$255""),3,FALSE)"),0.42168674698795183)</f>
        <v>0.421686747</v>
      </c>
      <c r="F227" s="146">
        <f t="shared" si="1"/>
        <v>-0.07228915663</v>
      </c>
      <c r="G227" s="16">
        <f>IFERROR(__xludf.DUMMYFUNCTION("VLOOKUP(A227,IMPORTRANGE(""1QZ5UxyNCwadreQAXnQ7oCoH982DjIA-QnZdO7ZoqkC0/edit#gid=884617569"",""S5 Totals!$A$2:$O$255""),4,FALSE)"),23.0)</f>
        <v>23</v>
      </c>
      <c r="H227" s="15">
        <f>IFERROR(__xludf.DUMMYFUNCTION("VLOOKUP(A227,IMPORTRANGE(""1QZ5UxyNCwadreQAXnQ7oCoH982DjIA-QnZdO7ZoqkC0/edit#gid=884617569"",""S5 Totals!$A$2:$O$255""),5,FALSE)"),0.46938775510204084)</f>
        <v>0.4693877551</v>
      </c>
      <c r="I227" s="143"/>
      <c r="J227" s="16">
        <f>IFERROR(__xludf.DUMMYFUNCTION("VLOOKUP(A227,IMPORTRANGE(""1QZ5UxyNCwadreQAXnQ7oCoH982DjIA-QnZdO7ZoqkC0/edit#gid=884617569"",""S5 Totals!$A$2:$O$255""),7,FALSE)"),11.0)</f>
        <v>11</v>
      </c>
      <c r="K227" s="15">
        <f>IFERROR(__xludf.DUMMYFUNCTION("VLOOKUP(A227,IMPORTRANGE(""1QZ5UxyNCwadreQAXnQ7oCoH982DjIA-QnZdO7ZoqkC0/edit#gid=884617569"",""S5 Totals!$A$2:$O$255""),8,FALSE)"),0.3235294117647059)</f>
        <v>0.3235294118</v>
      </c>
      <c r="L227" s="147"/>
      <c r="M227" s="16">
        <f>IFERROR(__xludf.DUMMYFUNCTION("VLOOKUP(A227,IMPORTRANGE(""1QZ5UxyNCwadreQAXnQ7oCoH982DjIA-QnZdO7ZoqkC0/edit#gid=884617569"",""S5 Totals!$A$2:$O$255""),10,FALSE)"),6.0)</f>
        <v>6</v>
      </c>
      <c r="N227" s="15">
        <f>IFERROR(__xludf.DUMMYFUNCTION("VLOOKUP(A227,IMPORTRANGE(""1QZ5UxyNCwadreQAXnQ7oCoH982DjIA-QnZdO7ZoqkC0/edit#gid=884617569"",""S5 Totals!$A$2:$O$255""),11,FALSE)"),0.2)</f>
        <v>0.2</v>
      </c>
      <c r="O227" s="110"/>
      <c r="P227" s="16">
        <f>IFERROR(__xludf.DUMMYFUNCTION("VLOOKUP(A227,IMPORTRANGE(""1QZ5UxyNCwadreQAXnQ7oCoH982DjIA-QnZdO7ZoqkC0/edit#gid=884617569"",""S5 Totals!$A$2:$O$255""),13,FALSE)"),6.0)</f>
        <v>6</v>
      </c>
      <c r="Q227" s="15">
        <f>IFERROR(__xludf.DUMMYFUNCTION("VLOOKUP(A227,IMPORTRANGE(""1QZ5UxyNCwadreQAXnQ7oCoH982DjIA-QnZdO7ZoqkC0/edit#gid=884617569"",""S5 Totals!$A$2:$O$255""),14,FALSE)"),0.21428571428571427)</f>
        <v>0.2142857143</v>
      </c>
      <c r="R227" s="110"/>
    </row>
    <row r="228">
      <c r="A228" s="128" t="s">
        <v>204</v>
      </c>
      <c r="B228" s="16">
        <f>IFERROR(__xludf.DUMMYFUNCTION("VLOOKUP(A228,IMPORTRANGE(""1aFCnJY1qhIj8-JckJhDJ18aqmVo17tofpQmOjcYa3u8/edit#gid=1878241338"",""S5 Totals!$A$2:$O$255""),2,FALSE)"),12.0)</f>
        <v>12</v>
      </c>
      <c r="C228" s="15">
        <f>IFERROR(__xludf.DUMMYFUNCTION("VLOOKUP(A228,IMPORTRANGE(""1aFCnJY1qhIj8-JckJhDJ18aqmVo17tofpQmOjcYa3u8/edit#gid=1878241338"",""S5 Totals!$A$2:$O$255""),3,FALSE)"),0.14457831325301204)</f>
        <v>0.1445783133</v>
      </c>
      <c r="D228" s="16">
        <f>IFERROR(__xludf.DUMMYFUNCTION("VLOOKUP(A228,IMPORTRANGE(""1QZ5UxyNCwadreQAXnQ7oCoH982DjIA-QnZdO7ZoqkC0/edit#gid=884617569"",""S5 Totals!$A$2:$O$255""),2,FALSE)"),10.0)</f>
        <v>10</v>
      </c>
      <c r="E228" s="15">
        <f>IFERROR(__xludf.DUMMYFUNCTION("VLOOKUP(A228,IMPORTRANGE(""1QZ5UxyNCwadreQAXnQ7oCoH982DjIA-QnZdO7ZoqkC0/edit#gid=884617569"",""S5 Totals!$A$2:$O$255""),3,FALSE)"),0.12048192771084337)</f>
        <v>0.1204819277</v>
      </c>
      <c r="F228" s="146">
        <f t="shared" si="1"/>
        <v>0.02409638554</v>
      </c>
      <c r="G228" s="16">
        <f>IFERROR(__xludf.DUMMYFUNCTION("VLOOKUP(A228,IMPORTRANGE(""1QZ5UxyNCwadreQAXnQ7oCoH982DjIA-QnZdO7ZoqkC0/edit#gid=884617569"",""S5 Totals!$A$2:$O$255""),4,FALSE)"),9.0)</f>
        <v>9</v>
      </c>
      <c r="H228" s="15">
        <f>IFERROR(__xludf.DUMMYFUNCTION("VLOOKUP(A228,IMPORTRANGE(""1QZ5UxyNCwadreQAXnQ7oCoH982DjIA-QnZdO7ZoqkC0/edit#gid=884617569"",""S5 Totals!$A$2:$O$255""),5,FALSE)"),0.1836734693877551)</f>
        <v>0.1836734694</v>
      </c>
      <c r="I228" s="143"/>
      <c r="J228" s="16">
        <f>IFERROR(__xludf.DUMMYFUNCTION("VLOOKUP(A228,IMPORTRANGE(""1QZ5UxyNCwadreQAXnQ7oCoH982DjIA-QnZdO7ZoqkC0/edit#gid=884617569"",""S5 Totals!$A$2:$O$255""),7,FALSE)"),4.0)</f>
        <v>4</v>
      </c>
      <c r="K228" s="15">
        <f>IFERROR(__xludf.DUMMYFUNCTION("VLOOKUP(A228,IMPORTRANGE(""1QZ5UxyNCwadreQAXnQ7oCoH982DjIA-QnZdO7ZoqkC0/edit#gid=884617569"",""S5 Totals!$A$2:$O$255""),8,FALSE)"),0.11764705882352941)</f>
        <v>0.1176470588</v>
      </c>
      <c r="L228" s="147"/>
      <c r="M228" s="16" t="str">
        <f>IFERROR(__xludf.DUMMYFUNCTION("VLOOKUP(A228,IMPORTRANGE(""1QZ5UxyNCwadreQAXnQ7oCoH982DjIA-QnZdO7ZoqkC0/edit#gid=884617569"",""S5 Totals!$A$2:$O$255""),10,FALSE)"),"")</f>
        <v/>
      </c>
      <c r="N228" s="15" t="str">
        <f>IFERROR(__xludf.DUMMYFUNCTION("VLOOKUP(A228,IMPORTRANGE(""1QZ5UxyNCwadreQAXnQ7oCoH982DjIA-QnZdO7ZoqkC0/edit#gid=884617569"",""S5 Totals!$A$2:$O$255""),11,FALSE)"),"")</f>
        <v/>
      </c>
      <c r="O228" s="110"/>
      <c r="P228" s="16" t="str">
        <f>IFERROR(__xludf.DUMMYFUNCTION("VLOOKUP(A228,IMPORTRANGE(""1QZ5UxyNCwadreQAXnQ7oCoH982DjIA-QnZdO7ZoqkC0/edit#gid=884617569"",""S5 Totals!$A$2:$O$255""),13,FALSE)"),"")</f>
        <v/>
      </c>
      <c r="Q228" s="15" t="str">
        <f>IFERROR(__xludf.DUMMYFUNCTION("VLOOKUP(A228,IMPORTRANGE(""1QZ5UxyNCwadreQAXnQ7oCoH982DjIA-QnZdO7ZoqkC0/edit#gid=884617569"",""S5 Totals!$A$2:$O$255""),14,FALSE)"),"")</f>
        <v/>
      </c>
      <c r="R228" s="110"/>
    </row>
    <row r="229">
      <c r="A229" s="128" t="s">
        <v>152</v>
      </c>
      <c r="B229" s="16">
        <f>IFERROR(__xludf.DUMMYFUNCTION("VLOOKUP(A229,IMPORTRANGE(""1aFCnJY1qhIj8-JckJhDJ18aqmVo17tofpQmOjcYa3u8/edit#gid=1878241338"",""S5 Totals!$A$2:$O$255""),2,FALSE)"),0.0)</f>
        <v>0</v>
      </c>
      <c r="C229" s="15">
        <f>IFERROR(__xludf.DUMMYFUNCTION("VLOOKUP(A229,IMPORTRANGE(""1aFCnJY1qhIj8-JckJhDJ18aqmVo17tofpQmOjcYa3u8/edit#gid=1878241338"",""S5 Totals!$A$2:$O$255""),3,FALSE)"),0.0)</f>
        <v>0</v>
      </c>
      <c r="D229" s="16">
        <f>IFERROR(__xludf.DUMMYFUNCTION("VLOOKUP(A229,IMPORTRANGE(""1QZ5UxyNCwadreQAXnQ7oCoH982DjIA-QnZdO7ZoqkC0/edit#gid=884617569"",""S5 Totals!$A$2:$O$255""),2,FALSE)"),0.0)</f>
        <v>0</v>
      </c>
      <c r="E229" s="15">
        <f>IFERROR(__xludf.DUMMYFUNCTION("VLOOKUP(A229,IMPORTRANGE(""1QZ5UxyNCwadreQAXnQ7oCoH982DjIA-QnZdO7ZoqkC0/edit#gid=884617569"",""S5 Totals!$A$2:$O$255""),3,FALSE)"),0.0)</f>
        <v>0</v>
      </c>
      <c r="F229" s="146">
        <f t="shared" si="1"/>
        <v>0</v>
      </c>
      <c r="G229" s="16">
        <f>IFERROR(__xludf.DUMMYFUNCTION("VLOOKUP(A229,IMPORTRANGE(""1QZ5UxyNCwadreQAXnQ7oCoH982DjIA-QnZdO7ZoqkC0/edit#gid=884617569"",""S5 Totals!$A$2:$O$255""),4,FALSE)"),0.0)</f>
        <v>0</v>
      </c>
      <c r="H229" s="15">
        <f>IFERROR(__xludf.DUMMYFUNCTION("VLOOKUP(A229,IMPORTRANGE(""1QZ5UxyNCwadreQAXnQ7oCoH982DjIA-QnZdO7ZoqkC0/edit#gid=884617569"",""S5 Totals!$A$2:$O$255""),5,FALSE)"),0.0)</f>
        <v>0</v>
      </c>
      <c r="I229" s="143"/>
      <c r="J229" s="16">
        <f>IFERROR(__xludf.DUMMYFUNCTION("VLOOKUP(A229,IMPORTRANGE(""1QZ5UxyNCwadreQAXnQ7oCoH982DjIA-QnZdO7ZoqkC0/edit#gid=884617569"",""S5 Totals!$A$2:$O$255""),7,FALSE)"),0.0)</f>
        <v>0</v>
      </c>
      <c r="K229" s="15">
        <f>IFERROR(__xludf.DUMMYFUNCTION("VLOOKUP(A229,IMPORTRANGE(""1QZ5UxyNCwadreQAXnQ7oCoH982DjIA-QnZdO7ZoqkC0/edit#gid=884617569"",""S5 Totals!$A$2:$O$255""),8,FALSE)"),0.0)</f>
        <v>0</v>
      </c>
      <c r="L229" s="147"/>
      <c r="M229" s="16">
        <f>IFERROR(__xludf.DUMMYFUNCTION("VLOOKUP(A229,IMPORTRANGE(""1QZ5UxyNCwadreQAXnQ7oCoH982DjIA-QnZdO7ZoqkC0/edit#gid=884617569"",""S5 Totals!$A$2:$O$255""),10,FALSE)"),0.0)</f>
        <v>0</v>
      </c>
      <c r="N229" s="15">
        <f>IFERROR(__xludf.DUMMYFUNCTION("VLOOKUP(A229,IMPORTRANGE(""1QZ5UxyNCwadreQAXnQ7oCoH982DjIA-QnZdO7ZoqkC0/edit#gid=884617569"",""S5 Totals!$A$2:$O$255""),11,FALSE)"),0.0)</f>
        <v>0</v>
      </c>
      <c r="O229" s="110"/>
      <c r="P229" s="16" t="str">
        <f>IFERROR(__xludf.DUMMYFUNCTION("VLOOKUP(A229,IMPORTRANGE(""1QZ5UxyNCwadreQAXnQ7oCoH982DjIA-QnZdO7ZoqkC0/edit#gid=884617569"",""S5 Totals!$A$2:$O$255""),13,FALSE)"),"")</f>
        <v/>
      </c>
      <c r="Q229" s="15" t="str">
        <f>IFERROR(__xludf.DUMMYFUNCTION("VLOOKUP(A229,IMPORTRANGE(""1QZ5UxyNCwadreQAXnQ7oCoH982DjIA-QnZdO7ZoqkC0/edit#gid=884617569"",""S5 Totals!$A$2:$O$255""),14,FALSE)"),"")</f>
        <v/>
      </c>
      <c r="R229" s="110"/>
    </row>
    <row r="230">
      <c r="A230" s="128" t="s">
        <v>49</v>
      </c>
      <c r="B230" s="16">
        <f>IFERROR(__xludf.DUMMYFUNCTION("VLOOKUP(A230,IMPORTRANGE(""1aFCnJY1qhIj8-JckJhDJ18aqmVo17tofpQmOjcYa3u8/edit#gid=1878241338"",""S5 Totals!$A$2:$O$255""),2,FALSE)"),1.0)</f>
        <v>1</v>
      </c>
      <c r="C230" s="15">
        <f>IFERROR(__xludf.DUMMYFUNCTION("VLOOKUP(A230,IMPORTRANGE(""1aFCnJY1qhIj8-JckJhDJ18aqmVo17tofpQmOjcYa3u8/edit#gid=1878241338"",""S5 Totals!$A$2:$O$255""),3,FALSE)"),0.012048192771084338)</f>
        <v>0.01204819277</v>
      </c>
      <c r="D230" s="16">
        <f>IFERROR(__xludf.DUMMYFUNCTION("VLOOKUP(A230,IMPORTRANGE(""1QZ5UxyNCwadreQAXnQ7oCoH982DjIA-QnZdO7ZoqkC0/edit#gid=884617569"",""S5 Totals!$A$2:$O$255""),2,FALSE)"),0.0)</f>
        <v>0</v>
      </c>
      <c r="E230" s="15">
        <f>IFERROR(__xludf.DUMMYFUNCTION("VLOOKUP(A230,IMPORTRANGE(""1QZ5UxyNCwadreQAXnQ7oCoH982DjIA-QnZdO7ZoqkC0/edit#gid=884617569"",""S5 Totals!$A$2:$O$255""),3,FALSE)"),0.0)</f>
        <v>0</v>
      </c>
      <c r="F230" s="146">
        <f t="shared" si="1"/>
        <v>0.01204819277</v>
      </c>
      <c r="G230" s="16">
        <f>IFERROR(__xludf.DUMMYFUNCTION("VLOOKUP(A230,IMPORTRANGE(""1QZ5UxyNCwadreQAXnQ7oCoH982DjIA-QnZdO7ZoqkC0/edit#gid=884617569"",""S5 Totals!$A$2:$O$255""),4,FALSE)"),1.0)</f>
        <v>1</v>
      </c>
      <c r="H230" s="15">
        <f>IFERROR(__xludf.DUMMYFUNCTION("VLOOKUP(A230,IMPORTRANGE(""1QZ5UxyNCwadreQAXnQ7oCoH982DjIA-QnZdO7ZoqkC0/edit#gid=884617569"",""S5 Totals!$A$2:$O$255""),5,FALSE)"),0.02040816326530612)</f>
        <v>0.02040816327</v>
      </c>
      <c r="I230" s="143"/>
      <c r="J230" s="16">
        <f>IFERROR(__xludf.DUMMYFUNCTION("VLOOKUP(A230,IMPORTRANGE(""1QZ5UxyNCwadreQAXnQ7oCoH982DjIA-QnZdO7ZoqkC0/edit#gid=884617569"",""S5 Totals!$A$2:$O$255""),7,FALSE)"),0.0)</f>
        <v>0</v>
      </c>
      <c r="K230" s="15">
        <f>IFERROR(__xludf.DUMMYFUNCTION("VLOOKUP(A230,IMPORTRANGE(""1QZ5UxyNCwadreQAXnQ7oCoH982DjIA-QnZdO7ZoqkC0/edit#gid=884617569"",""S5 Totals!$A$2:$O$255""),8,FALSE)"),0.0)</f>
        <v>0</v>
      </c>
      <c r="L230" s="147"/>
      <c r="M230" s="16">
        <f>IFERROR(__xludf.DUMMYFUNCTION("VLOOKUP(A230,IMPORTRANGE(""1QZ5UxyNCwadreQAXnQ7oCoH982DjIA-QnZdO7ZoqkC0/edit#gid=884617569"",""S5 Totals!$A$2:$O$255""),10,FALSE)"),0.0)</f>
        <v>0</v>
      </c>
      <c r="N230" s="15">
        <f>IFERROR(__xludf.DUMMYFUNCTION("VLOOKUP(A230,IMPORTRANGE(""1QZ5UxyNCwadreQAXnQ7oCoH982DjIA-QnZdO7ZoqkC0/edit#gid=884617569"",""S5 Totals!$A$2:$O$255""),11,FALSE)"),0.0)</f>
        <v>0</v>
      </c>
      <c r="O230" s="110"/>
      <c r="P230" s="16">
        <f>IFERROR(__xludf.DUMMYFUNCTION("VLOOKUP(A230,IMPORTRANGE(""1QZ5UxyNCwadreQAXnQ7oCoH982DjIA-QnZdO7ZoqkC0/edit#gid=884617569"",""S5 Totals!$A$2:$O$255""),13,FALSE)"),0.0)</f>
        <v>0</v>
      </c>
      <c r="Q230" s="15">
        <f>IFERROR(__xludf.DUMMYFUNCTION("VLOOKUP(A230,IMPORTRANGE(""1QZ5UxyNCwadreQAXnQ7oCoH982DjIA-QnZdO7ZoqkC0/edit#gid=884617569"",""S5 Totals!$A$2:$O$255""),14,FALSE)"),0.0)</f>
        <v>0</v>
      </c>
      <c r="R230" s="110"/>
    </row>
    <row r="231">
      <c r="A231" s="128" t="s">
        <v>256</v>
      </c>
      <c r="B231" s="16">
        <f>IFERROR(__xludf.DUMMYFUNCTION("VLOOKUP(A231,IMPORTRANGE(""1aFCnJY1qhIj8-JckJhDJ18aqmVo17tofpQmOjcYa3u8/edit#gid=1878241338"",""S5 Totals!$A$2:$O$255""),2,FALSE)"),4.0)</f>
        <v>4</v>
      </c>
      <c r="C231" s="15">
        <f>IFERROR(__xludf.DUMMYFUNCTION("VLOOKUP(A231,IMPORTRANGE(""1aFCnJY1qhIj8-JckJhDJ18aqmVo17tofpQmOjcYa3u8/edit#gid=1878241338"",""S5 Totals!$A$2:$O$255""),3,FALSE)"),0.04819277108433735)</f>
        <v>0.04819277108</v>
      </c>
      <c r="D231" s="16">
        <f>IFERROR(__xludf.DUMMYFUNCTION("VLOOKUP(A231,IMPORTRANGE(""1QZ5UxyNCwadreQAXnQ7oCoH982DjIA-QnZdO7ZoqkC0/edit#gid=884617569"",""S5 Totals!$A$2:$O$255""),2,FALSE)"),5.0)</f>
        <v>5</v>
      </c>
      <c r="E231" s="15">
        <f>IFERROR(__xludf.DUMMYFUNCTION("VLOOKUP(A231,IMPORTRANGE(""1QZ5UxyNCwadreQAXnQ7oCoH982DjIA-QnZdO7ZoqkC0/edit#gid=884617569"",""S5 Totals!$A$2:$O$255""),3,FALSE)"),0.060240963855421686)</f>
        <v>0.06024096386</v>
      </c>
      <c r="F231" s="146">
        <f t="shared" si="1"/>
        <v>-0.01204819277</v>
      </c>
      <c r="G231" s="16">
        <f>IFERROR(__xludf.DUMMYFUNCTION("VLOOKUP(A231,IMPORTRANGE(""1QZ5UxyNCwadreQAXnQ7oCoH982DjIA-QnZdO7ZoqkC0/edit#gid=884617569"",""S5 Totals!$A$2:$O$255""),4,FALSE)"),6.0)</f>
        <v>6</v>
      </c>
      <c r="H231" s="15">
        <f>IFERROR(__xludf.DUMMYFUNCTION("VLOOKUP(A231,IMPORTRANGE(""1QZ5UxyNCwadreQAXnQ7oCoH982DjIA-QnZdO7ZoqkC0/edit#gid=884617569"",""S5 Totals!$A$2:$O$255""),5,FALSE)"),0.12244897959183673)</f>
        <v>0.1224489796</v>
      </c>
      <c r="I231" s="143"/>
      <c r="J231" s="16" t="str">
        <f>IFERROR(__xludf.DUMMYFUNCTION("VLOOKUP(A231,IMPORTRANGE(""1QZ5UxyNCwadreQAXnQ7oCoH982DjIA-QnZdO7ZoqkC0/edit#gid=884617569"",""S5 Totals!$A$2:$O$255""),7,FALSE)"),"")</f>
        <v/>
      </c>
      <c r="K231" s="15" t="str">
        <f>IFERROR(__xludf.DUMMYFUNCTION("VLOOKUP(A231,IMPORTRANGE(""1QZ5UxyNCwadreQAXnQ7oCoH982DjIA-QnZdO7ZoqkC0/edit#gid=884617569"",""S5 Totals!$A$2:$O$255""),8,FALSE)"),"")</f>
        <v/>
      </c>
      <c r="L231" s="147"/>
      <c r="M231" s="16" t="str">
        <f>IFERROR(__xludf.DUMMYFUNCTION("VLOOKUP(A231,IMPORTRANGE(""1QZ5UxyNCwadreQAXnQ7oCoH982DjIA-QnZdO7ZoqkC0/edit#gid=884617569"",""S5 Totals!$A$2:$O$255""),10,FALSE)"),"")</f>
        <v/>
      </c>
      <c r="N231" s="15" t="str">
        <f>IFERROR(__xludf.DUMMYFUNCTION("VLOOKUP(A231,IMPORTRANGE(""1QZ5UxyNCwadreQAXnQ7oCoH982DjIA-QnZdO7ZoqkC0/edit#gid=884617569"",""S5 Totals!$A$2:$O$255""),11,FALSE)"),"")</f>
        <v/>
      </c>
      <c r="O231" s="110"/>
      <c r="P231" s="16" t="str">
        <f>IFERROR(__xludf.DUMMYFUNCTION("VLOOKUP(A231,IMPORTRANGE(""1QZ5UxyNCwadreQAXnQ7oCoH982DjIA-QnZdO7ZoqkC0/edit#gid=884617569"",""S5 Totals!$A$2:$O$255""),13,FALSE)"),"")</f>
        <v/>
      </c>
      <c r="Q231" s="15" t="str">
        <f>IFERROR(__xludf.DUMMYFUNCTION("VLOOKUP(A231,IMPORTRANGE(""1QZ5UxyNCwadreQAXnQ7oCoH982DjIA-QnZdO7ZoqkC0/edit#gid=884617569"",""S5 Totals!$A$2:$O$255""),14,FALSE)"),"")</f>
        <v/>
      </c>
      <c r="R231" s="110"/>
    </row>
    <row r="232">
      <c r="A232" s="128" t="s">
        <v>205</v>
      </c>
      <c r="B232" s="16">
        <f>IFERROR(__xludf.DUMMYFUNCTION("VLOOKUP(A232,IMPORTRANGE(""1aFCnJY1qhIj8-JckJhDJ18aqmVo17tofpQmOjcYa3u8/edit#gid=1878241338"",""S5 Totals!$A$2:$O$255""),2,FALSE)"),34.0)</f>
        <v>34</v>
      </c>
      <c r="C232" s="15">
        <f>IFERROR(__xludf.DUMMYFUNCTION("VLOOKUP(A232,IMPORTRANGE(""1aFCnJY1qhIj8-JckJhDJ18aqmVo17tofpQmOjcYa3u8/edit#gid=1878241338"",""S5 Totals!$A$2:$O$255""),3,FALSE)"),0.40963855421686746)</f>
        <v>0.4096385542</v>
      </c>
      <c r="D232" s="16">
        <f>IFERROR(__xludf.DUMMYFUNCTION("VLOOKUP(A232,IMPORTRANGE(""1QZ5UxyNCwadreQAXnQ7oCoH982DjIA-QnZdO7ZoqkC0/edit#gid=884617569"",""S5 Totals!$A$2:$O$255""),2,FALSE)"),27.0)</f>
        <v>27</v>
      </c>
      <c r="E232" s="15">
        <f>IFERROR(__xludf.DUMMYFUNCTION("VLOOKUP(A232,IMPORTRANGE(""1QZ5UxyNCwadreQAXnQ7oCoH982DjIA-QnZdO7ZoqkC0/edit#gid=884617569"",""S5 Totals!$A$2:$O$255""),3,FALSE)"),0.3253012048192771)</f>
        <v>0.3253012048</v>
      </c>
      <c r="F232" s="146">
        <f t="shared" si="1"/>
        <v>0.0843373494</v>
      </c>
      <c r="G232" s="16">
        <f>IFERROR(__xludf.DUMMYFUNCTION("VLOOKUP(A232,IMPORTRANGE(""1QZ5UxyNCwadreQAXnQ7oCoH982DjIA-QnZdO7ZoqkC0/edit#gid=884617569"",""S5 Totals!$A$2:$O$255""),4,FALSE)"),5.0)</f>
        <v>5</v>
      </c>
      <c r="H232" s="15">
        <f>IFERROR(__xludf.DUMMYFUNCTION("VLOOKUP(A232,IMPORTRANGE(""1QZ5UxyNCwadreQAXnQ7oCoH982DjIA-QnZdO7ZoqkC0/edit#gid=884617569"",""S5 Totals!$A$2:$O$255""),5,FALSE)"),0.10204081632653061)</f>
        <v>0.1020408163</v>
      </c>
      <c r="I232" s="143"/>
      <c r="J232" s="16">
        <f>IFERROR(__xludf.DUMMYFUNCTION("VLOOKUP(A232,IMPORTRANGE(""1QZ5UxyNCwadreQAXnQ7oCoH982DjIA-QnZdO7ZoqkC0/edit#gid=884617569"",""S5 Totals!$A$2:$O$255""),7,FALSE)"),5.0)</f>
        <v>5</v>
      </c>
      <c r="K232" s="15">
        <f>IFERROR(__xludf.DUMMYFUNCTION("VLOOKUP(A232,IMPORTRANGE(""1QZ5UxyNCwadreQAXnQ7oCoH982DjIA-QnZdO7ZoqkC0/edit#gid=884617569"",""S5 Totals!$A$2:$O$255""),8,FALSE)"),0.14705882352941177)</f>
        <v>0.1470588235</v>
      </c>
      <c r="L232" s="147"/>
      <c r="M232" s="16" t="str">
        <f>IFERROR(__xludf.DUMMYFUNCTION("VLOOKUP(A232,IMPORTRANGE(""1QZ5UxyNCwadreQAXnQ7oCoH982DjIA-QnZdO7ZoqkC0/edit#gid=884617569"",""S5 Totals!$A$2:$O$255""),10,FALSE)"),"")</f>
        <v/>
      </c>
      <c r="N232" s="15" t="str">
        <f>IFERROR(__xludf.DUMMYFUNCTION("VLOOKUP(A232,IMPORTRANGE(""1QZ5UxyNCwadreQAXnQ7oCoH982DjIA-QnZdO7ZoqkC0/edit#gid=884617569"",""S5 Totals!$A$2:$O$255""),11,FALSE)"),"")</f>
        <v/>
      </c>
      <c r="O232" s="110"/>
      <c r="P232" s="16" t="str">
        <f>IFERROR(__xludf.DUMMYFUNCTION("VLOOKUP(A232,IMPORTRANGE(""1QZ5UxyNCwadreQAXnQ7oCoH982DjIA-QnZdO7ZoqkC0/edit#gid=884617569"",""S5 Totals!$A$2:$O$255""),13,FALSE)"),"")</f>
        <v/>
      </c>
      <c r="Q232" s="15" t="str">
        <f>IFERROR(__xludf.DUMMYFUNCTION("VLOOKUP(A232,IMPORTRANGE(""1QZ5UxyNCwadreQAXnQ7oCoH982DjIA-QnZdO7ZoqkC0/edit#gid=884617569"",""S5 Totals!$A$2:$O$255""),14,FALSE)"),"")</f>
        <v/>
      </c>
      <c r="R232" s="110"/>
    </row>
    <row r="233">
      <c r="A233" s="128" t="s">
        <v>101</v>
      </c>
      <c r="B233" s="16">
        <f>IFERROR(__xludf.DUMMYFUNCTION("VLOOKUP(A233,IMPORTRANGE(""1aFCnJY1qhIj8-JckJhDJ18aqmVo17tofpQmOjcYa3u8/edit#gid=1878241338"",""S5 Totals!$A$2:$O$255""),2,FALSE)"),6.0)</f>
        <v>6</v>
      </c>
      <c r="C233" s="15">
        <f>IFERROR(__xludf.DUMMYFUNCTION("VLOOKUP(A233,IMPORTRANGE(""1aFCnJY1qhIj8-JckJhDJ18aqmVo17tofpQmOjcYa3u8/edit#gid=1878241338"",""S5 Totals!$A$2:$O$255""),3,FALSE)"),0.07228915662650602)</f>
        <v>0.07228915663</v>
      </c>
      <c r="D233" s="16">
        <f>IFERROR(__xludf.DUMMYFUNCTION("VLOOKUP(A233,IMPORTRANGE(""1QZ5UxyNCwadreQAXnQ7oCoH982DjIA-QnZdO7ZoqkC0/edit#gid=884617569"",""S5 Totals!$A$2:$O$255""),2,FALSE)"),6.0)</f>
        <v>6</v>
      </c>
      <c r="E233" s="15">
        <f>IFERROR(__xludf.DUMMYFUNCTION("VLOOKUP(A233,IMPORTRANGE(""1QZ5UxyNCwadreQAXnQ7oCoH982DjIA-QnZdO7ZoqkC0/edit#gid=884617569"",""S5 Totals!$A$2:$O$255""),3,FALSE)"),0.07228915662650602)</f>
        <v>0.07228915663</v>
      </c>
      <c r="F233" s="146">
        <f t="shared" si="1"/>
        <v>0</v>
      </c>
      <c r="G233" s="16">
        <f>IFERROR(__xludf.DUMMYFUNCTION("VLOOKUP(A233,IMPORTRANGE(""1QZ5UxyNCwadreQAXnQ7oCoH982DjIA-QnZdO7ZoqkC0/edit#gid=884617569"",""S5 Totals!$A$2:$O$255""),4,FALSE)"),5.0)</f>
        <v>5</v>
      </c>
      <c r="H233" s="15">
        <f>IFERROR(__xludf.DUMMYFUNCTION("VLOOKUP(A233,IMPORTRANGE(""1QZ5UxyNCwadreQAXnQ7oCoH982DjIA-QnZdO7ZoqkC0/edit#gid=884617569"",""S5 Totals!$A$2:$O$255""),5,FALSE)"),0.10204081632653061)</f>
        <v>0.1020408163</v>
      </c>
      <c r="I233" s="143"/>
      <c r="J233" s="16">
        <f>IFERROR(__xludf.DUMMYFUNCTION("VLOOKUP(A233,IMPORTRANGE(""1QZ5UxyNCwadreQAXnQ7oCoH982DjIA-QnZdO7ZoqkC0/edit#gid=884617569"",""S5 Totals!$A$2:$O$255""),7,FALSE)"),5.0)</f>
        <v>5</v>
      </c>
      <c r="K233" s="15">
        <f>IFERROR(__xludf.DUMMYFUNCTION("VLOOKUP(A233,IMPORTRANGE(""1QZ5UxyNCwadreQAXnQ7oCoH982DjIA-QnZdO7ZoqkC0/edit#gid=884617569"",""S5 Totals!$A$2:$O$255""),8,FALSE)"),0.14705882352941177)</f>
        <v>0.1470588235</v>
      </c>
      <c r="L233" s="147"/>
      <c r="M233" s="16">
        <f>IFERROR(__xludf.DUMMYFUNCTION("VLOOKUP(A233,IMPORTRANGE(""1QZ5UxyNCwadreQAXnQ7oCoH982DjIA-QnZdO7ZoqkC0/edit#gid=884617569"",""S5 Totals!$A$2:$O$255""),10,FALSE)"),1.0)</f>
        <v>1</v>
      </c>
      <c r="N233" s="15">
        <f>IFERROR(__xludf.DUMMYFUNCTION("VLOOKUP(A233,IMPORTRANGE(""1QZ5UxyNCwadreQAXnQ7oCoH982DjIA-QnZdO7ZoqkC0/edit#gid=884617569"",""S5 Totals!$A$2:$O$255""),11,FALSE)"),0.03333333333333333)</f>
        <v>0.03333333333</v>
      </c>
      <c r="O233" s="110"/>
      <c r="P233" s="16">
        <f>IFERROR(__xludf.DUMMYFUNCTION("VLOOKUP(A233,IMPORTRANGE(""1QZ5UxyNCwadreQAXnQ7oCoH982DjIA-QnZdO7ZoqkC0/edit#gid=884617569"",""S5 Totals!$A$2:$O$255""),13,FALSE)"),4.0)</f>
        <v>4</v>
      </c>
      <c r="Q233" s="15">
        <f>IFERROR(__xludf.DUMMYFUNCTION("VLOOKUP(A233,IMPORTRANGE(""1QZ5UxyNCwadreQAXnQ7oCoH982DjIA-QnZdO7ZoqkC0/edit#gid=884617569"",""S5 Totals!$A$2:$O$255""),14,FALSE)"),0.14285714285714285)</f>
        <v>0.1428571429</v>
      </c>
      <c r="R233" s="110"/>
    </row>
    <row r="234">
      <c r="A234" s="128" t="s">
        <v>102</v>
      </c>
      <c r="B234" s="16">
        <f>IFERROR(__xludf.DUMMYFUNCTION("VLOOKUP(A234,IMPORTRANGE(""1aFCnJY1qhIj8-JckJhDJ18aqmVo17tofpQmOjcYa3u8/edit#gid=1878241338"",""S5 Totals!$A$2:$O$255""),2,FALSE)"),40.0)</f>
        <v>40</v>
      </c>
      <c r="C234" s="15">
        <f>IFERROR(__xludf.DUMMYFUNCTION("VLOOKUP(A234,IMPORTRANGE(""1aFCnJY1qhIj8-JckJhDJ18aqmVo17tofpQmOjcYa3u8/edit#gid=1878241338"",""S5 Totals!$A$2:$O$255""),3,FALSE)"),0.4819277108433735)</f>
        <v>0.4819277108</v>
      </c>
      <c r="D234" s="16">
        <f>IFERROR(__xludf.DUMMYFUNCTION("VLOOKUP(A234,IMPORTRANGE(""1QZ5UxyNCwadreQAXnQ7oCoH982DjIA-QnZdO7ZoqkC0/edit#gid=884617569"",""S5 Totals!$A$2:$O$255""),2,FALSE)"),27.0)</f>
        <v>27</v>
      </c>
      <c r="E234" s="15">
        <f>IFERROR(__xludf.DUMMYFUNCTION("VLOOKUP(A234,IMPORTRANGE(""1QZ5UxyNCwadreQAXnQ7oCoH982DjIA-QnZdO7ZoqkC0/edit#gid=884617569"",""S5 Totals!$A$2:$O$255""),3,FALSE)"),0.3253012048192771)</f>
        <v>0.3253012048</v>
      </c>
      <c r="F234" s="146">
        <f t="shared" si="1"/>
        <v>0.156626506</v>
      </c>
      <c r="G234" s="16">
        <f>IFERROR(__xludf.DUMMYFUNCTION("VLOOKUP(A234,IMPORTRANGE(""1QZ5UxyNCwadreQAXnQ7oCoH982DjIA-QnZdO7ZoqkC0/edit#gid=884617569"",""S5 Totals!$A$2:$O$255""),4,FALSE)"),17.0)</f>
        <v>17</v>
      </c>
      <c r="H234" s="15">
        <f>IFERROR(__xludf.DUMMYFUNCTION("VLOOKUP(A234,IMPORTRANGE(""1QZ5UxyNCwadreQAXnQ7oCoH982DjIA-QnZdO7ZoqkC0/edit#gid=884617569"",""S5 Totals!$A$2:$O$255""),5,FALSE)"),0.3469387755102041)</f>
        <v>0.3469387755</v>
      </c>
      <c r="I234" s="143"/>
      <c r="J234" s="16">
        <f>IFERROR(__xludf.DUMMYFUNCTION("VLOOKUP(A234,IMPORTRANGE(""1QZ5UxyNCwadreQAXnQ7oCoH982DjIA-QnZdO7ZoqkC0/edit#gid=884617569"",""S5 Totals!$A$2:$O$255""),7,FALSE)"),9.0)</f>
        <v>9</v>
      </c>
      <c r="K234" s="15">
        <f>IFERROR(__xludf.DUMMYFUNCTION("VLOOKUP(A234,IMPORTRANGE(""1QZ5UxyNCwadreQAXnQ7oCoH982DjIA-QnZdO7ZoqkC0/edit#gid=884617569"",""S5 Totals!$A$2:$O$255""),8,FALSE)"),0.2647058823529412)</f>
        <v>0.2647058824</v>
      </c>
      <c r="L234" s="147"/>
      <c r="M234" s="16">
        <f>IFERROR(__xludf.DUMMYFUNCTION("VLOOKUP(A234,IMPORTRANGE(""1QZ5UxyNCwadreQAXnQ7oCoH982DjIA-QnZdO7ZoqkC0/edit#gid=884617569"",""S5 Totals!$A$2:$O$255""),10,FALSE)"),4.0)</f>
        <v>4</v>
      </c>
      <c r="N234" s="15">
        <f>IFERROR(__xludf.DUMMYFUNCTION("VLOOKUP(A234,IMPORTRANGE(""1QZ5UxyNCwadreQAXnQ7oCoH982DjIA-QnZdO7ZoqkC0/edit#gid=884617569"",""S5 Totals!$A$2:$O$255""),11,FALSE)"),0.13333333333333333)</f>
        <v>0.1333333333</v>
      </c>
      <c r="O234" s="110"/>
      <c r="P234" s="16">
        <f>IFERROR(__xludf.DUMMYFUNCTION("VLOOKUP(A234,IMPORTRANGE(""1QZ5UxyNCwadreQAXnQ7oCoH982DjIA-QnZdO7ZoqkC0/edit#gid=884617569"",""S5 Totals!$A$2:$O$255""),13,FALSE)"),4.0)</f>
        <v>4</v>
      </c>
      <c r="Q234" s="15">
        <f>IFERROR(__xludf.DUMMYFUNCTION("VLOOKUP(A234,IMPORTRANGE(""1QZ5UxyNCwadreQAXnQ7oCoH982DjIA-QnZdO7ZoqkC0/edit#gid=884617569"",""S5 Totals!$A$2:$O$255""),14,FALSE)"),0.14285714285714285)</f>
        <v>0.1428571429</v>
      </c>
      <c r="R234" s="110"/>
    </row>
    <row r="235">
      <c r="A235" s="128" t="s">
        <v>257</v>
      </c>
      <c r="B235" s="16">
        <f>IFERROR(__xludf.DUMMYFUNCTION("VLOOKUP(A235,IMPORTRANGE(""1aFCnJY1qhIj8-JckJhDJ18aqmVo17tofpQmOjcYa3u8/edit#gid=1878241338"",""S5 Totals!$A$2:$O$255""),2,FALSE)"),5.0)</f>
        <v>5</v>
      </c>
      <c r="C235" s="15">
        <f>IFERROR(__xludf.DUMMYFUNCTION("VLOOKUP(A235,IMPORTRANGE(""1aFCnJY1qhIj8-JckJhDJ18aqmVo17tofpQmOjcYa3u8/edit#gid=1878241338"",""S5 Totals!$A$2:$O$255""),3,FALSE)"),0.060240963855421686)</f>
        <v>0.06024096386</v>
      </c>
      <c r="D235" s="16">
        <f>IFERROR(__xludf.DUMMYFUNCTION("VLOOKUP(A235,IMPORTRANGE(""1QZ5UxyNCwadreQAXnQ7oCoH982DjIA-QnZdO7ZoqkC0/edit#gid=884617569"",""S5 Totals!$A$2:$O$255""),2,FALSE)"),5.0)</f>
        <v>5</v>
      </c>
      <c r="E235" s="15">
        <f>IFERROR(__xludf.DUMMYFUNCTION("VLOOKUP(A235,IMPORTRANGE(""1QZ5UxyNCwadreQAXnQ7oCoH982DjIA-QnZdO7ZoqkC0/edit#gid=884617569"",""S5 Totals!$A$2:$O$255""),3,FALSE)"),0.060240963855421686)</f>
        <v>0.06024096386</v>
      </c>
      <c r="F235" s="146">
        <f t="shared" si="1"/>
        <v>0</v>
      </c>
      <c r="G235" s="16">
        <f>IFERROR(__xludf.DUMMYFUNCTION("VLOOKUP(A235,IMPORTRANGE(""1QZ5UxyNCwadreQAXnQ7oCoH982DjIA-QnZdO7ZoqkC0/edit#gid=884617569"",""S5 Totals!$A$2:$O$255""),4,FALSE)"),2.0)</f>
        <v>2</v>
      </c>
      <c r="H235" s="15">
        <f>IFERROR(__xludf.DUMMYFUNCTION("VLOOKUP(A235,IMPORTRANGE(""1QZ5UxyNCwadreQAXnQ7oCoH982DjIA-QnZdO7ZoqkC0/edit#gid=884617569"",""S5 Totals!$A$2:$O$255""),5,FALSE)"),0.04081632653061224)</f>
        <v>0.04081632653</v>
      </c>
      <c r="I235" s="143"/>
      <c r="J235" s="16" t="str">
        <f>IFERROR(__xludf.DUMMYFUNCTION("VLOOKUP(A235,IMPORTRANGE(""1QZ5UxyNCwadreQAXnQ7oCoH982DjIA-QnZdO7ZoqkC0/edit#gid=884617569"",""S5 Totals!$A$2:$O$255""),7,FALSE)"),"")</f>
        <v/>
      </c>
      <c r="K235" s="15" t="str">
        <f>IFERROR(__xludf.DUMMYFUNCTION("VLOOKUP(A235,IMPORTRANGE(""1QZ5UxyNCwadreQAXnQ7oCoH982DjIA-QnZdO7ZoqkC0/edit#gid=884617569"",""S5 Totals!$A$2:$O$255""),8,FALSE)"),"")</f>
        <v/>
      </c>
      <c r="L235" s="147"/>
      <c r="M235" s="16" t="str">
        <f>IFERROR(__xludf.DUMMYFUNCTION("VLOOKUP(A235,IMPORTRANGE(""1QZ5UxyNCwadreQAXnQ7oCoH982DjIA-QnZdO7ZoqkC0/edit#gid=884617569"",""S5 Totals!$A$2:$O$255""),10,FALSE)"),"")</f>
        <v/>
      </c>
      <c r="N235" s="15" t="str">
        <f>IFERROR(__xludf.DUMMYFUNCTION("VLOOKUP(A235,IMPORTRANGE(""1QZ5UxyNCwadreQAXnQ7oCoH982DjIA-QnZdO7ZoqkC0/edit#gid=884617569"",""S5 Totals!$A$2:$O$255""),11,FALSE)"),"")</f>
        <v/>
      </c>
      <c r="O235" s="110"/>
      <c r="P235" s="16" t="str">
        <f>IFERROR(__xludf.DUMMYFUNCTION("VLOOKUP(A235,IMPORTRANGE(""1QZ5UxyNCwadreQAXnQ7oCoH982DjIA-QnZdO7ZoqkC0/edit#gid=884617569"",""S5 Totals!$A$2:$O$255""),13,FALSE)"),"")</f>
        <v/>
      </c>
      <c r="Q235" s="15" t="str">
        <f>IFERROR(__xludf.DUMMYFUNCTION("VLOOKUP(A235,IMPORTRANGE(""1QZ5UxyNCwadreQAXnQ7oCoH982DjIA-QnZdO7ZoqkC0/edit#gid=884617569"",""S5 Totals!$A$2:$O$255""),14,FALSE)"),"")</f>
        <v/>
      </c>
      <c r="R235" s="110"/>
    </row>
    <row r="236">
      <c r="A236" s="128" t="s">
        <v>103</v>
      </c>
      <c r="B236" s="16">
        <f>IFERROR(__xludf.DUMMYFUNCTION("VLOOKUP(A236,IMPORTRANGE(""1aFCnJY1qhIj8-JckJhDJ18aqmVo17tofpQmOjcYa3u8/edit#gid=1878241338"",""S5 Totals!$A$2:$O$255""),2,FALSE)"),34.0)</f>
        <v>34</v>
      </c>
      <c r="C236" s="15">
        <f>IFERROR(__xludf.DUMMYFUNCTION("VLOOKUP(A236,IMPORTRANGE(""1aFCnJY1qhIj8-JckJhDJ18aqmVo17tofpQmOjcYa3u8/edit#gid=1878241338"",""S5 Totals!$A$2:$O$255""),3,FALSE)"),0.40963855421686746)</f>
        <v>0.4096385542</v>
      </c>
      <c r="D236" s="16">
        <f>IFERROR(__xludf.DUMMYFUNCTION("VLOOKUP(A236,IMPORTRANGE(""1QZ5UxyNCwadreQAXnQ7oCoH982DjIA-QnZdO7ZoqkC0/edit#gid=884617569"",""S5 Totals!$A$2:$O$255""),2,FALSE)"),31.0)</f>
        <v>31</v>
      </c>
      <c r="E236" s="15">
        <f>IFERROR(__xludf.DUMMYFUNCTION("VLOOKUP(A236,IMPORTRANGE(""1QZ5UxyNCwadreQAXnQ7oCoH982DjIA-QnZdO7ZoqkC0/edit#gid=884617569"",""S5 Totals!$A$2:$O$255""),3,FALSE)"),0.37349397590361444)</f>
        <v>0.3734939759</v>
      </c>
      <c r="F236" s="146">
        <f t="shared" si="1"/>
        <v>0.03614457831</v>
      </c>
      <c r="G236" s="16">
        <f>IFERROR(__xludf.DUMMYFUNCTION("VLOOKUP(A236,IMPORTRANGE(""1QZ5UxyNCwadreQAXnQ7oCoH982DjIA-QnZdO7ZoqkC0/edit#gid=884617569"",""S5 Totals!$A$2:$O$255""),4,FALSE)"),10.0)</f>
        <v>10</v>
      </c>
      <c r="H236" s="15">
        <f>IFERROR(__xludf.DUMMYFUNCTION("VLOOKUP(A236,IMPORTRANGE(""1QZ5UxyNCwadreQAXnQ7oCoH982DjIA-QnZdO7ZoqkC0/edit#gid=884617569"",""S5 Totals!$A$2:$O$255""),5,FALSE)"),0.20408163265306123)</f>
        <v>0.2040816327</v>
      </c>
      <c r="I236" s="143"/>
      <c r="J236" s="16">
        <f>IFERROR(__xludf.DUMMYFUNCTION("VLOOKUP(A236,IMPORTRANGE(""1QZ5UxyNCwadreQAXnQ7oCoH982DjIA-QnZdO7ZoqkC0/edit#gid=884617569"",""S5 Totals!$A$2:$O$255""),7,FALSE)"),9.0)</f>
        <v>9</v>
      </c>
      <c r="K236" s="15">
        <f>IFERROR(__xludf.DUMMYFUNCTION("VLOOKUP(A236,IMPORTRANGE(""1QZ5UxyNCwadreQAXnQ7oCoH982DjIA-QnZdO7ZoqkC0/edit#gid=884617569"",""S5 Totals!$A$2:$O$255""),8,FALSE)"),0.2647058823529412)</f>
        <v>0.2647058824</v>
      </c>
      <c r="L236" s="147"/>
      <c r="M236" s="16">
        <f>IFERROR(__xludf.DUMMYFUNCTION("VLOOKUP(A236,IMPORTRANGE(""1QZ5UxyNCwadreQAXnQ7oCoH982DjIA-QnZdO7ZoqkC0/edit#gid=884617569"",""S5 Totals!$A$2:$O$255""),10,FALSE)"),4.0)</f>
        <v>4</v>
      </c>
      <c r="N236" s="15">
        <f>IFERROR(__xludf.DUMMYFUNCTION("VLOOKUP(A236,IMPORTRANGE(""1QZ5UxyNCwadreQAXnQ7oCoH982DjIA-QnZdO7ZoqkC0/edit#gid=884617569"",""S5 Totals!$A$2:$O$255""),11,FALSE)"),0.13333333333333333)</f>
        <v>0.1333333333</v>
      </c>
      <c r="O236" s="110"/>
      <c r="P236" s="16">
        <f>IFERROR(__xludf.DUMMYFUNCTION("VLOOKUP(A236,IMPORTRANGE(""1QZ5UxyNCwadreQAXnQ7oCoH982DjIA-QnZdO7ZoqkC0/edit#gid=884617569"",""S5 Totals!$A$2:$O$255""),13,FALSE)"),0.0)</f>
        <v>0</v>
      </c>
      <c r="Q236" s="15">
        <f>IFERROR(__xludf.DUMMYFUNCTION("VLOOKUP(A236,IMPORTRANGE(""1QZ5UxyNCwadreQAXnQ7oCoH982DjIA-QnZdO7ZoqkC0/edit#gid=884617569"",""S5 Totals!$A$2:$O$255""),14,FALSE)"),0.0)</f>
        <v>0</v>
      </c>
      <c r="R236" s="110"/>
    </row>
    <row r="237">
      <c r="A237" s="128" t="s">
        <v>104</v>
      </c>
      <c r="B237" s="16">
        <f>IFERROR(__xludf.DUMMYFUNCTION("VLOOKUP(A237,IMPORTRANGE(""1aFCnJY1qhIj8-JckJhDJ18aqmVo17tofpQmOjcYa3u8/edit#gid=1878241338"",""S5 Totals!$A$2:$O$255""),2,FALSE)"),14.0)</f>
        <v>14</v>
      </c>
      <c r="C237" s="15">
        <f>IFERROR(__xludf.DUMMYFUNCTION("VLOOKUP(A237,IMPORTRANGE(""1aFCnJY1qhIj8-JckJhDJ18aqmVo17tofpQmOjcYa3u8/edit#gid=1878241338"",""S5 Totals!$A$2:$O$255""),3,FALSE)"),0.1686746987951807)</f>
        <v>0.1686746988</v>
      </c>
      <c r="D237" s="16">
        <f>IFERROR(__xludf.DUMMYFUNCTION("VLOOKUP(A237,IMPORTRANGE(""1QZ5UxyNCwadreQAXnQ7oCoH982DjIA-QnZdO7ZoqkC0/edit#gid=884617569"",""S5 Totals!$A$2:$O$255""),2,FALSE)"),15.0)</f>
        <v>15</v>
      </c>
      <c r="E237" s="15">
        <f>IFERROR(__xludf.DUMMYFUNCTION("VLOOKUP(A237,IMPORTRANGE(""1QZ5UxyNCwadreQAXnQ7oCoH982DjIA-QnZdO7ZoqkC0/edit#gid=884617569"",""S5 Totals!$A$2:$O$255""),3,FALSE)"),0.18072289156626506)</f>
        <v>0.1807228916</v>
      </c>
      <c r="F237" s="146">
        <f t="shared" si="1"/>
        <v>-0.01204819277</v>
      </c>
      <c r="G237" s="16">
        <f>IFERROR(__xludf.DUMMYFUNCTION("VLOOKUP(A237,IMPORTRANGE(""1QZ5UxyNCwadreQAXnQ7oCoH982DjIA-QnZdO7ZoqkC0/edit#gid=884617569"",""S5 Totals!$A$2:$O$255""),4,FALSE)"),3.0)</f>
        <v>3</v>
      </c>
      <c r="H237" s="15">
        <f>IFERROR(__xludf.DUMMYFUNCTION("VLOOKUP(A237,IMPORTRANGE(""1QZ5UxyNCwadreQAXnQ7oCoH982DjIA-QnZdO7ZoqkC0/edit#gid=884617569"",""S5 Totals!$A$2:$O$255""),5,FALSE)"),0.061224489795918366)</f>
        <v>0.0612244898</v>
      </c>
      <c r="I237" s="143"/>
      <c r="J237" s="16">
        <f>IFERROR(__xludf.DUMMYFUNCTION("VLOOKUP(A237,IMPORTRANGE(""1QZ5UxyNCwadreQAXnQ7oCoH982DjIA-QnZdO7ZoqkC0/edit#gid=884617569"",""S5 Totals!$A$2:$O$255""),7,FALSE)"),0.0)</f>
        <v>0</v>
      </c>
      <c r="K237" s="15">
        <f>IFERROR(__xludf.DUMMYFUNCTION("VLOOKUP(A237,IMPORTRANGE(""1QZ5UxyNCwadreQAXnQ7oCoH982DjIA-QnZdO7ZoqkC0/edit#gid=884617569"",""S5 Totals!$A$2:$O$255""),8,FALSE)"),0.0)</f>
        <v>0</v>
      </c>
      <c r="L237" s="147"/>
      <c r="M237" s="16">
        <f>IFERROR(__xludf.DUMMYFUNCTION("VLOOKUP(A237,IMPORTRANGE(""1QZ5UxyNCwadreQAXnQ7oCoH982DjIA-QnZdO7ZoqkC0/edit#gid=884617569"",""S5 Totals!$A$2:$O$255""),10,FALSE)"),0.0)</f>
        <v>0</v>
      </c>
      <c r="N237" s="15">
        <f>IFERROR(__xludf.DUMMYFUNCTION("VLOOKUP(A237,IMPORTRANGE(""1QZ5UxyNCwadreQAXnQ7oCoH982DjIA-QnZdO7ZoqkC0/edit#gid=884617569"",""S5 Totals!$A$2:$O$255""),11,FALSE)"),0.0)</f>
        <v>0</v>
      </c>
      <c r="O237" s="110"/>
      <c r="P237" s="16">
        <f>IFERROR(__xludf.DUMMYFUNCTION("VLOOKUP(A237,IMPORTRANGE(""1QZ5UxyNCwadreQAXnQ7oCoH982DjIA-QnZdO7ZoqkC0/edit#gid=884617569"",""S5 Totals!$A$2:$O$255""),13,FALSE)"),0.0)</f>
        <v>0</v>
      </c>
      <c r="Q237" s="15">
        <f>IFERROR(__xludf.DUMMYFUNCTION("VLOOKUP(A237,IMPORTRANGE(""1QZ5UxyNCwadreQAXnQ7oCoH982DjIA-QnZdO7ZoqkC0/edit#gid=884617569"",""S5 Totals!$A$2:$O$255""),14,FALSE)"),0.0)</f>
        <v>0</v>
      </c>
      <c r="R237" s="110"/>
    </row>
    <row r="238">
      <c r="A238" s="128" t="s">
        <v>153</v>
      </c>
      <c r="B238" s="16">
        <f>IFERROR(__xludf.DUMMYFUNCTION("VLOOKUP(A238,IMPORTRANGE(""1aFCnJY1qhIj8-JckJhDJ18aqmVo17tofpQmOjcYa3u8/edit#gid=1878241338"",""S5 Totals!$A$2:$O$255""),2,FALSE)"),0.0)</f>
        <v>0</v>
      </c>
      <c r="C238" s="15">
        <f>IFERROR(__xludf.DUMMYFUNCTION("VLOOKUP(A238,IMPORTRANGE(""1aFCnJY1qhIj8-JckJhDJ18aqmVo17tofpQmOjcYa3u8/edit#gid=1878241338"",""S5 Totals!$A$2:$O$255""),3,FALSE)"),0.0)</f>
        <v>0</v>
      </c>
      <c r="D238" s="16">
        <f>IFERROR(__xludf.DUMMYFUNCTION("VLOOKUP(A238,IMPORTRANGE(""1QZ5UxyNCwadreQAXnQ7oCoH982DjIA-QnZdO7ZoqkC0/edit#gid=884617569"",""S5 Totals!$A$2:$O$255""),2,FALSE)"),2.0)</f>
        <v>2</v>
      </c>
      <c r="E238" s="15">
        <f>IFERROR(__xludf.DUMMYFUNCTION("VLOOKUP(A238,IMPORTRANGE(""1QZ5UxyNCwadreQAXnQ7oCoH982DjIA-QnZdO7ZoqkC0/edit#gid=884617569"",""S5 Totals!$A$2:$O$255""),3,FALSE)"),0.024096385542168676)</f>
        <v>0.02409638554</v>
      </c>
      <c r="F238" s="146">
        <f t="shared" si="1"/>
        <v>-0.02409638554</v>
      </c>
      <c r="G238" s="16">
        <f>IFERROR(__xludf.DUMMYFUNCTION("VLOOKUP(A238,IMPORTRANGE(""1QZ5UxyNCwadreQAXnQ7oCoH982DjIA-QnZdO7ZoqkC0/edit#gid=884617569"",""S5 Totals!$A$2:$O$255""),4,FALSE)"),2.0)</f>
        <v>2</v>
      </c>
      <c r="H238" s="15">
        <f>IFERROR(__xludf.DUMMYFUNCTION("VLOOKUP(A238,IMPORTRANGE(""1QZ5UxyNCwadreQAXnQ7oCoH982DjIA-QnZdO7ZoqkC0/edit#gid=884617569"",""S5 Totals!$A$2:$O$255""),5,FALSE)"),0.04081632653061224)</f>
        <v>0.04081632653</v>
      </c>
      <c r="I238" s="143"/>
      <c r="J238" s="16">
        <f>IFERROR(__xludf.DUMMYFUNCTION("VLOOKUP(A238,IMPORTRANGE(""1QZ5UxyNCwadreQAXnQ7oCoH982DjIA-QnZdO7ZoqkC0/edit#gid=884617569"",""S5 Totals!$A$2:$O$255""),7,FALSE)"),1.0)</f>
        <v>1</v>
      </c>
      <c r="K238" s="15">
        <f>IFERROR(__xludf.DUMMYFUNCTION("VLOOKUP(A238,IMPORTRANGE(""1QZ5UxyNCwadreQAXnQ7oCoH982DjIA-QnZdO7ZoqkC0/edit#gid=884617569"",""S5 Totals!$A$2:$O$255""),8,FALSE)"),0.029411764705882353)</f>
        <v>0.02941176471</v>
      </c>
      <c r="L238" s="147"/>
      <c r="M238" s="16">
        <f>IFERROR(__xludf.DUMMYFUNCTION("VLOOKUP(A238,IMPORTRANGE(""1QZ5UxyNCwadreQAXnQ7oCoH982DjIA-QnZdO7ZoqkC0/edit#gid=884617569"",""S5 Totals!$A$2:$O$255""),10,FALSE)"),0.0)</f>
        <v>0</v>
      </c>
      <c r="N238" s="15">
        <f>IFERROR(__xludf.DUMMYFUNCTION("VLOOKUP(A238,IMPORTRANGE(""1QZ5UxyNCwadreQAXnQ7oCoH982DjIA-QnZdO7ZoqkC0/edit#gid=884617569"",""S5 Totals!$A$2:$O$255""),11,FALSE)"),0.0)</f>
        <v>0</v>
      </c>
      <c r="O238" s="110"/>
      <c r="P238" s="16" t="str">
        <f>IFERROR(__xludf.DUMMYFUNCTION("VLOOKUP(A238,IMPORTRANGE(""1QZ5UxyNCwadreQAXnQ7oCoH982DjIA-QnZdO7ZoqkC0/edit#gid=884617569"",""S5 Totals!$A$2:$O$255""),13,FALSE)"),"")</f>
        <v/>
      </c>
      <c r="Q238" s="15" t="str">
        <f>IFERROR(__xludf.DUMMYFUNCTION("VLOOKUP(A238,IMPORTRANGE(""1QZ5UxyNCwadreQAXnQ7oCoH982DjIA-QnZdO7ZoqkC0/edit#gid=884617569"",""S5 Totals!$A$2:$O$255""),14,FALSE)"),"")</f>
        <v/>
      </c>
      <c r="R238" s="110"/>
    </row>
    <row r="239">
      <c r="A239" s="128" t="s">
        <v>154</v>
      </c>
      <c r="B239" s="16">
        <f>IFERROR(__xludf.DUMMYFUNCTION("VLOOKUP(A239,IMPORTRANGE(""1aFCnJY1qhIj8-JckJhDJ18aqmVo17tofpQmOjcYa3u8/edit#gid=1878241338"",""S5 Totals!$A$2:$O$255""),2,FALSE)"),0.0)</f>
        <v>0</v>
      </c>
      <c r="C239" s="15">
        <f>IFERROR(__xludf.DUMMYFUNCTION("VLOOKUP(A239,IMPORTRANGE(""1aFCnJY1qhIj8-JckJhDJ18aqmVo17tofpQmOjcYa3u8/edit#gid=1878241338"",""S5 Totals!$A$2:$O$255""),3,FALSE)"),0.0)</f>
        <v>0</v>
      </c>
      <c r="D239" s="16">
        <f>IFERROR(__xludf.DUMMYFUNCTION("VLOOKUP(A239,IMPORTRANGE(""1QZ5UxyNCwadreQAXnQ7oCoH982DjIA-QnZdO7ZoqkC0/edit#gid=884617569"",""S5 Totals!$A$2:$O$255""),2,FALSE)"),35.0)</f>
        <v>35</v>
      </c>
      <c r="E239" s="15">
        <f>IFERROR(__xludf.DUMMYFUNCTION("VLOOKUP(A239,IMPORTRANGE(""1QZ5UxyNCwadreQAXnQ7oCoH982DjIA-QnZdO7ZoqkC0/edit#gid=884617569"",""S5 Totals!$A$2:$O$255""),3,FALSE)"),0.42168674698795183)</f>
        <v>0.421686747</v>
      </c>
      <c r="F239" s="146">
        <f t="shared" si="1"/>
        <v>-0.421686747</v>
      </c>
      <c r="G239" s="16">
        <f>IFERROR(__xludf.DUMMYFUNCTION("VLOOKUP(A239,IMPORTRANGE(""1QZ5UxyNCwadreQAXnQ7oCoH982DjIA-QnZdO7ZoqkC0/edit#gid=884617569"",""S5 Totals!$A$2:$O$255""),4,FALSE)"),23.0)</f>
        <v>23</v>
      </c>
      <c r="H239" s="15">
        <f>IFERROR(__xludf.DUMMYFUNCTION("VLOOKUP(A239,IMPORTRANGE(""1QZ5UxyNCwadreQAXnQ7oCoH982DjIA-QnZdO7ZoqkC0/edit#gid=884617569"",""S5 Totals!$A$2:$O$255""),5,FALSE)"),0.46938775510204084)</f>
        <v>0.4693877551</v>
      </c>
      <c r="I239" s="143"/>
      <c r="J239" s="16">
        <f>IFERROR(__xludf.DUMMYFUNCTION("VLOOKUP(A239,IMPORTRANGE(""1QZ5UxyNCwadreQAXnQ7oCoH982DjIA-QnZdO7ZoqkC0/edit#gid=884617569"",""S5 Totals!$A$2:$O$255""),7,FALSE)"),11.0)</f>
        <v>11</v>
      </c>
      <c r="K239" s="15">
        <f>IFERROR(__xludf.DUMMYFUNCTION("VLOOKUP(A239,IMPORTRANGE(""1QZ5UxyNCwadreQAXnQ7oCoH982DjIA-QnZdO7ZoqkC0/edit#gid=884617569"",""S5 Totals!$A$2:$O$255""),8,FALSE)"),0.3235294117647059)</f>
        <v>0.3235294118</v>
      </c>
      <c r="L239" s="147"/>
      <c r="M239" s="16">
        <f>IFERROR(__xludf.DUMMYFUNCTION("VLOOKUP(A239,IMPORTRANGE(""1QZ5UxyNCwadreQAXnQ7oCoH982DjIA-QnZdO7ZoqkC0/edit#gid=884617569"",""S5 Totals!$A$2:$O$255""),10,FALSE)"),6.0)</f>
        <v>6</v>
      </c>
      <c r="N239" s="15">
        <f>IFERROR(__xludf.DUMMYFUNCTION("VLOOKUP(A239,IMPORTRANGE(""1QZ5UxyNCwadreQAXnQ7oCoH982DjIA-QnZdO7ZoqkC0/edit#gid=884617569"",""S5 Totals!$A$2:$O$255""),11,FALSE)"),0.2)</f>
        <v>0.2</v>
      </c>
      <c r="O239" s="110"/>
      <c r="P239" s="16" t="str">
        <f>IFERROR(__xludf.DUMMYFUNCTION("VLOOKUP(A239,IMPORTRANGE(""1QZ5UxyNCwadreQAXnQ7oCoH982DjIA-QnZdO7ZoqkC0/edit#gid=884617569"",""S5 Totals!$A$2:$O$255""),13,FALSE)"),"")</f>
        <v/>
      </c>
      <c r="Q239" s="15" t="str">
        <f>IFERROR(__xludf.DUMMYFUNCTION("VLOOKUP(A239,IMPORTRANGE(""1QZ5UxyNCwadreQAXnQ7oCoH982DjIA-QnZdO7ZoqkC0/edit#gid=884617569"",""S5 Totals!$A$2:$O$255""),14,FALSE)"),"")</f>
        <v/>
      </c>
      <c r="R239" s="110"/>
    </row>
    <row r="240">
      <c r="A240" s="128" t="s">
        <v>155</v>
      </c>
      <c r="B240" s="16">
        <f>IFERROR(__xludf.DUMMYFUNCTION("VLOOKUP(A240,IMPORTRANGE(""1aFCnJY1qhIj8-JckJhDJ18aqmVo17tofpQmOjcYa3u8/edit#gid=1878241338"",""S5 Totals!$A$2:$O$255""),2,FALSE)"),36.0)</f>
        <v>36</v>
      </c>
      <c r="C240" s="15">
        <f>IFERROR(__xludf.DUMMYFUNCTION("VLOOKUP(A240,IMPORTRANGE(""1aFCnJY1qhIj8-JckJhDJ18aqmVo17tofpQmOjcYa3u8/edit#gid=1878241338"",""S5 Totals!$A$2:$O$255""),3,FALSE)"),0.43373493975903615)</f>
        <v>0.4337349398</v>
      </c>
      <c r="D240" s="16">
        <f>IFERROR(__xludf.DUMMYFUNCTION("VLOOKUP(A240,IMPORTRANGE(""1QZ5UxyNCwadreQAXnQ7oCoH982DjIA-QnZdO7ZoqkC0/edit#gid=884617569"",""S5 Totals!$A$2:$O$255""),2,FALSE)"),37.0)</f>
        <v>37</v>
      </c>
      <c r="E240" s="15">
        <f>IFERROR(__xludf.DUMMYFUNCTION("VLOOKUP(A240,IMPORTRANGE(""1QZ5UxyNCwadreQAXnQ7oCoH982DjIA-QnZdO7ZoqkC0/edit#gid=884617569"",""S5 Totals!$A$2:$O$255""),3,FALSE)"),0.4457831325301205)</f>
        <v>0.4457831325</v>
      </c>
      <c r="F240" s="146">
        <f t="shared" si="1"/>
        <v>-0.01204819277</v>
      </c>
      <c r="G240" s="16">
        <f>IFERROR(__xludf.DUMMYFUNCTION("VLOOKUP(A240,IMPORTRANGE(""1QZ5UxyNCwadreQAXnQ7oCoH982DjIA-QnZdO7ZoqkC0/edit#gid=884617569"",""S5 Totals!$A$2:$O$255""),4,FALSE)"),18.0)</f>
        <v>18</v>
      </c>
      <c r="H240" s="15">
        <f>IFERROR(__xludf.DUMMYFUNCTION("VLOOKUP(A240,IMPORTRANGE(""1QZ5UxyNCwadreQAXnQ7oCoH982DjIA-QnZdO7ZoqkC0/edit#gid=884617569"",""S5 Totals!$A$2:$O$255""),5,FALSE)"),0.3673469387755102)</f>
        <v>0.3673469388</v>
      </c>
      <c r="I240" s="143"/>
      <c r="J240" s="16">
        <f>IFERROR(__xludf.DUMMYFUNCTION("VLOOKUP(A240,IMPORTRANGE(""1QZ5UxyNCwadreQAXnQ7oCoH982DjIA-QnZdO7ZoqkC0/edit#gid=884617569"",""S5 Totals!$A$2:$O$255""),7,FALSE)"),14.0)</f>
        <v>14</v>
      </c>
      <c r="K240" s="15">
        <f>IFERROR(__xludf.DUMMYFUNCTION("VLOOKUP(A240,IMPORTRANGE(""1QZ5UxyNCwadreQAXnQ7oCoH982DjIA-QnZdO7ZoqkC0/edit#gid=884617569"",""S5 Totals!$A$2:$O$255""),8,FALSE)"),0.4117647058823529)</f>
        <v>0.4117647059</v>
      </c>
      <c r="L240" s="147"/>
      <c r="M240" s="16">
        <f>IFERROR(__xludf.DUMMYFUNCTION("VLOOKUP(A240,IMPORTRANGE(""1QZ5UxyNCwadreQAXnQ7oCoH982DjIA-QnZdO7ZoqkC0/edit#gid=884617569"",""S5 Totals!$A$2:$O$255""),10,FALSE)"),7.0)</f>
        <v>7</v>
      </c>
      <c r="N240" s="15">
        <f>IFERROR(__xludf.DUMMYFUNCTION("VLOOKUP(A240,IMPORTRANGE(""1QZ5UxyNCwadreQAXnQ7oCoH982DjIA-QnZdO7ZoqkC0/edit#gid=884617569"",""S5 Totals!$A$2:$O$255""),11,FALSE)"),0.23333333333333334)</f>
        <v>0.2333333333</v>
      </c>
      <c r="O240" s="110"/>
      <c r="P240" s="16" t="str">
        <f>IFERROR(__xludf.DUMMYFUNCTION("VLOOKUP(A240,IMPORTRANGE(""1QZ5UxyNCwadreQAXnQ7oCoH982DjIA-QnZdO7ZoqkC0/edit#gid=884617569"",""S5 Totals!$A$2:$O$255""),13,FALSE)"),"")</f>
        <v/>
      </c>
      <c r="Q240" s="15" t="str">
        <f>IFERROR(__xludf.DUMMYFUNCTION("VLOOKUP(A240,IMPORTRANGE(""1QZ5UxyNCwadreQAXnQ7oCoH982DjIA-QnZdO7ZoqkC0/edit#gid=884617569"",""S5 Totals!$A$2:$O$255""),14,FALSE)"),"")</f>
        <v/>
      </c>
      <c r="R240" s="110"/>
    </row>
    <row r="241">
      <c r="A241" s="128" t="s">
        <v>156</v>
      </c>
      <c r="B241" s="16">
        <f>IFERROR(__xludf.DUMMYFUNCTION("VLOOKUP(A241,IMPORTRANGE(""1aFCnJY1qhIj8-JckJhDJ18aqmVo17tofpQmOjcYa3u8/edit#gid=1878241338"",""S5 Totals!$A$2:$O$255""),2,FALSE)"),25.0)</f>
        <v>25</v>
      </c>
      <c r="C241" s="15">
        <f>IFERROR(__xludf.DUMMYFUNCTION("VLOOKUP(A241,IMPORTRANGE(""1aFCnJY1qhIj8-JckJhDJ18aqmVo17tofpQmOjcYa3u8/edit#gid=1878241338"",""S5 Totals!$A$2:$O$255""),3,FALSE)"),0.30120481927710846)</f>
        <v>0.3012048193</v>
      </c>
      <c r="D241" s="16">
        <f>IFERROR(__xludf.DUMMYFUNCTION("VLOOKUP(A241,IMPORTRANGE(""1QZ5UxyNCwadreQAXnQ7oCoH982DjIA-QnZdO7ZoqkC0/edit#gid=884617569"",""S5 Totals!$A$2:$O$255""),2,FALSE)"),13.0)</f>
        <v>13</v>
      </c>
      <c r="E241" s="15">
        <f>IFERROR(__xludf.DUMMYFUNCTION("VLOOKUP(A241,IMPORTRANGE(""1QZ5UxyNCwadreQAXnQ7oCoH982DjIA-QnZdO7ZoqkC0/edit#gid=884617569"",""S5 Totals!$A$2:$O$255""),3,FALSE)"),0.1566265060240964)</f>
        <v>0.156626506</v>
      </c>
      <c r="F241" s="146">
        <f t="shared" si="1"/>
        <v>0.1445783133</v>
      </c>
      <c r="G241" s="16">
        <f>IFERROR(__xludf.DUMMYFUNCTION("VLOOKUP(A241,IMPORTRANGE(""1QZ5UxyNCwadreQAXnQ7oCoH982DjIA-QnZdO7ZoqkC0/edit#gid=884617569"",""S5 Totals!$A$2:$O$255""),4,FALSE)"),8.0)</f>
        <v>8</v>
      </c>
      <c r="H241" s="15">
        <f>IFERROR(__xludf.DUMMYFUNCTION("VLOOKUP(A241,IMPORTRANGE(""1QZ5UxyNCwadreQAXnQ7oCoH982DjIA-QnZdO7ZoqkC0/edit#gid=884617569"",""S5 Totals!$A$2:$O$255""),5,FALSE)"),0.16326530612244897)</f>
        <v>0.1632653061</v>
      </c>
      <c r="I241" s="149"/>
      <c r="J241" s="16">
        <f>IFERROR(__xludf.DUMMYFUNCTION("VLOOKUP(A241,IMPORTRANGE(""1QZ5UxyNCwadreQAXnQ7oCoH982DjIA-QnZdO7ZoqkC0/edit#gid=884617569"",""S5 Totals!$A$2:$O$255""),7,FALSE)"),10.0)</f>
        <v>10</v>
      </c>
      <c r="K241" s="15">
        <f>IFERROR(__xludf.DUMMYFUNCTION("VLOOKUP(A241,IMPORTRANGE(""1QZ5UxyNCwadreQAXnQ7oCoH982DjIA-QnZdO7ZoqkC0/edit#gid=884617569"",""S5 Totals!$A$2:$O$255""),8,FALSE)"),0.29411764705882354)</f>
        <v>0.2941176471</v>
      </c>
      <c r="L241" s="149"/>
      <c r="M241" s="16">
        <f>IFERROR(__xludf.DUMMYFUNCTION("VLOOKUP(A241,IMPORTRANGE(""1QZ5UxyNCwadreQAXnQ7oCoH982DjIA-QnZdO7ZoqkC0/edit#gid=884617569"",""S5 Totals!$A$2:$O$255""),10,FALSE)"),3.0)</f>
        <v>3</v>
      </c>
      <c r="N241" s="15">
        <f>IFERROR(__xludf.DUMMYFUNCTION("VLOOKUP(A241,IMPORTRANGE(""1QZ5UxyNCwadreQAXnQ7oCoH982DjIA-QnZdO7ZoqkC0/edit#gid=884617569"",""S5 Totals!$A$2:$O$255""),11,FALSE)"),0.1)</f>
        <v>0.1</v>
      </c>
      <c r="O241" s="149"/>
      <c r="P241" s="16" t="str">
        <f>IFERROR(__xludf.DUMMYFUNCTION("VLOOKUP(A241,IMPORTRANGE(""1QZ5UxyNCwadreQAXnQ7oCoH982DjIA-QnZdO7ZoqkC0/edit#gid=884617569"",""S5 Totals!$A$2:$O$255""),13,FALSE)"),"")</f>
        <v/>
      </c>
      <c r="Q241" s="15" t="str">
        <f>IFERROR(__xludf.DUMMYFUNCTION("VLOOKUP(A241,IMPORTRANGE(""1QZ5UxyNCwadreQAXnQ7oCoH982DjIA-QnZdO7ZoqkC0/edit#gid=884617569"",""S5 Totals!$A$2:$O$255""),14,FALSE)"),"")</f>
        <v/>
      </c>
      <c r="R241" s="149"/>
    </row>
    <row r="242">
      <c r="A242" s="128" t="s">
        <v>157</v>
      </c>
      <c r="B242" s="16">
        <f>IFERROR(__xludf.DUMMYFUNCTION("VLOOKUP(A242,IMPORTRANGE(""1aFCnJY1qhIj8-JckJhDJ18aqmVo17tofpQmOjcYa3u8/edit#gid=1878241338"",""S5 Totals!$A$2:$O$255""),2,FALSE)"),6.0)</f>
        <v>6</v>
      </c>
      <c r="C242" s="15">
        <f>IFERROR(__xludf.DUMMYFUNCTION("VLOOKUP(A242,IMPORTRANGE(""1aFCnJY1qhIj8-JckJhDJ18aqmVo17tofpQmOjcYa3u8/edit#gid=1878241338"",""S5 Totals!$A$2:$O$255""),3,FALSE)"),0.07228915662650602)</f>
        <v>0.07228915663</v>
      </c>
      <c r="D242" s="16">
        <f>IFERROR(__xludf.DUMMYFUNCTION("VLOOKUP(A242,IMPORTRANGE(""1QZ5UxyNCwadreQAXnQ7oCoH982DjIA-QnZdO7ZoqkC0/edit#gid=884617569"",""S5 Totals!$A$2:$O$255""),2,FALSE)"),7.0)</f>
        <v>7</v>
      </c>
      <c r="E242" s="15">
        <f>IFERROR(__xludf.DUMMYFUNCTION("VLOOKUP(A242,IMPORTRANGE(""1QZ5UxyNCwadreQAXnQ7oCoH982DjIA-QnZdO7ZoqkC0/edit#gid=884617569"",""S5 Totals!$A$2:$O$255""),3,FALSE)"),0.08433734939759036)</f>
        <v>0.0843373494</v>
      </c>
      <c r="F242" s="146">
        <f t="shared" si="1"/>
        <v>-0.01204819277</v>
      </c>
      <c r="G242" s="16">
        <f>IFERROR(__xludf.DUMMYFUNCTION("VLOOKUP(A242,IMPORTRANGE(""1QZ5UxyNCwadreQAXnQ7oCoH982DjIA-QnZdO7ZoqkC0/edit#gid=884617569"",""S5 Totals!$A$2:$O$255""),4,FALSE)"),0.0)</f>
        <v>0</v>
      </c>
      <c r="H242" s="15">
        <f>IFERROR(__xludf.DUMMYFUNCTION("VLOOKUP(A242,IMPORTRANGE(""1QZ5UxyNCwadreQAXnQ7oCoH982DjIA-QnZdO7ZoqkC0/edit#gid=884617569"",""S5 Totals!$A$2:$O$255""),5,FALSE)"),0.0)</f>
        <v>0</v>
      </c>
      <c r="I242" s="112"/>
      <c r="J242" s="16">
        <f>IFERROR(__xludf.DUMMYFUNCTION("VLOOKUP(A242,IMPORTRANGE(""1QZ5UxyNCwadreQAXnQ7oCoH982DjIA-QnZdO7ZoqkC0/edit#gid=884617569"",""S5 Totals!$A$2:$O$255""),7,FALSE)"),0.0)</f>
        <v>0</v>
      </c>
      <c r="K242" s="15">
        <f>IFERROR(__xludf.DUMMYFUNCTION("VLOOKUP(A242,IMPORTRANGE(""1QZ5UxyNCwadreQAXnQ7oCoH982DjIA-QnZdO7ZoqkC0/edit#gid=884617569"",""S5 Totals!$A$2:$O$255""),8,FALSE)"),0.0)</f>
        <v>0</v>
      </c>
      <c r="L242" s="112"/>
      <c r="M242" s="16">
        <f>IFERROR(__xludf.DUMMYFUNCTION("VLOOKUP(A242,IMPORTRANGE(""1QZ5UxyNCwadreQAXnQ7oCoH982DjIA-QnZdO7ZoqkC0/edit#gid=884617569"",""S5 Totals!$A$2:$O$255""),10,FALSE)"),0.0)</f>
        <v>0</v>
      </c>
      <c r="N242" s="15">
        <f>IFERROR(__xludf.DUMMYFUNCTION("VLOOKUP(A242,IMPORTRANGE(""1QZ5UxyNCwadreQAXnQ7oCoH982DjIA-QnZdO7ZoqkC0/edit#gid=884617569"",""S5 Totals!$A$2:$O$255""),11,FALSE)"),0.0)</f>
        <v>0</v>
      </c>
      <c r="O242" s="112"/>
      <c r="P242" s="16" t="str">
        <f>IFERROR(__xludf.DUMMYFUNCTION("VLOOKUP(A242,IMPORTRANGE(""1QZ5UxyNCwadreQAXnQ7oCoH982DjIA-QnZdO7ZoqkC0/edit#gid=884617569"",""S5 Totals!$A$2:$O$255""),13,FALSE)"),"")</f>
        <v/>
      </c>
      <c r="Q242" s="15" t="str">
        <f>IFERROR(__xludf.DUMMYFUNCTION("VLOOKUP(A242,IMPORTRANGE(""1QZ5UxyNCwadreQAXnQ7oCoH982DjIA-QnZdO7ZoqkC0/edit#gid=884617569"",""S5 Totals!$A$2:$O$255""),14,FALSE)"),"")</f>
        <v/>
      </c>
      <c r="R242" s="112"/>
    </row>
    <row r="243">
      <c r="A243" s="128" t="s">
        <v>206</v>
      </c>
      <c r="B243" s="16">
        <f>IFERROR(__xludf.DUMMYFUNCTION("VLOOKUP(A243,IMPORTRANGE(""1aFCnJY1qhIj8-JckJhDJ18aqmVo17tofpQmOjcYa3u8/edit#gid=1878241338"",""S5 Totals!$A$2:$O$255""),2,FALSE)"),7.0)</f>
        <v>7</v>
      </c>
      <c r="C243" s="15">
        <f>IFERROR(__xludf.DUMMYFUNCTION("VLOOKUP(A243,IMPORTRANGE(""1aFCnJY1qhIj8-JckJhDJ18aqmVo17tofpQmOjcYa3u8/edit#gid=1878241338"",""S5 Totals!$A$2:$O$255""),3,FALSE)"),0.08433734939759036)</f>
        <v>0.0843373494</v>
      </c>
      <c r="D243" s="16">
        <f>IFERROR(__xludf.DUMMYFUNCTION("VLOOKUP(A243,IMPORTRANGE(""1QZ5UxyNCwadreQAXnQ7oCoH982DjIA-QnZdO7ZoqkC0/edit#gid=884617569"",""S5 Totals!$A$2:$O$255""),2,FALSE)"),9.0)</f>
        <v>9</v>
      </c>
      <c r="E243" s="15">
        <f>IFERROR(__xludf.DUMMYFUNCTION("VLOOKUP(A243,IMPORTRANGE(""1QZ5UxyNCwadreQAXnQ7oCoH982DjIA-QnZdO7ZoqkC0/edit#gid=884617569"",""S5 Totals!$A$2:$O$255""),3,FALSE)"),0.10843373493975904)</f>
        <v>0.1084337349</v>
      </c>
      <c r="F243" s="146">
        <f t="shared" si="1"/>
        <v>-0.02409638554</v>
      </c>
      <c r="G243" s="16">
        <f>IFERROR(__xludf.DUMMYFUNCTION("VLOOKUP(A243,IMPORTRANGE(""1QZ5UxyNCwadreQAXnQ7oCoH982DjIA-QnZdO7ZoqkC0/edit#gid=884617569"",""S5 Totals!$A$2:$O$255""),4,FALSE)"),4.0)</f>
        <v>4</v>
      </c>
      <c r="H243" s="15">
        <f>IFERROR(__xludf.DUMMYFUNCTION("VLOOKUP(A243,IMPORTRANGE(""1QZ5UxyNCwadreQAXnQ7oCoH982DjIA-QnZdO7ZoqkC0/edit#gid=884617569"",""S5 Totals!$A$2:$O$255""),5,FALSE)"),0.08163265306122448)</f>
        <v>0.08163265306</v>
      </c>
      <c r="I243" s="112"/>
      <c r="J243" s="16">
        <f>IFERROR(__xludf.DUMMYFUNCTION("VLOOKUP(A243,IMPORTRANGE(""1QZ5UxyNCwadreQAXnQ7oCoH982DjIA-QnZdO7ZoqkC0/edit#gid=884617569"",""S5 Totals!$A$2:$O$255""),7,FALSE)"),3.0)</f>
        <v>3</v>
      </c>
      <c r="K243" s="15">
        <f>IFERROR(__xludf.DUMMYFUNCTION("VLOOKUP(A243,IMPORTRANGE(""1QZ5UxyNCwadreQAXnQ7oCoH982DjIA-QnZdO7ZoqkC0/edit#gid=884617569"",""S5 Totals!$A$2:$O$255""),8,FALSE)"),0.08823529411764706)</f>
        <v>0.08823529412</v>
      </c>
      <c r="L243" s="112"/>
      <c r="M243" s="16" t="str">
        <f>IFERROR(__xludf.DUMMYFUNCTION("VLOOKUP(A243,IMPORTRANGE(""1QZ5UxyNCwadreQAXnQ7oCoH982DjIA-QnZdO7ZoqkC0/edit#gid=884617569"",""S5 Totals!$A$2:$O$255""),10,FALSE)"),"")</f>
        <v/>
      </c>
      <c r="N243" s="15" t="str">
        <f>IFERROR(__xludf.DUMMYFUNCTION("VLOOKUP(A243,IMPORTRANGE(""1QZ5UxyNCwadreQAXnQ7oCoH982DjIA-QnZdO7ZoqkC0/edit#gid=884617569"",""S5 Totals!$A$2:$O$255""),11,FALSE)"),"")</f>
        <v/>
      </c>
      <c r="O243" s="112"/>
      <c r="P243" s="16" t="str">
        <f>IFERROR(__xludf.DUMMYFUNCTION("VLOOKUP(A243,IMPORTRANGE(""1QZ5UxyNCwadreQAXnQ7oCoH982DjIA-QnZdO7ZoqkC0/edit#gid=884617569"",""S5 Totals!$A$2:$O$255""),13,FALSE)"),"")</f>
        <v/>
      </c>
      <c r="Q243" s="15" t="str">
        <f>IFERROR(__xludf.DUMMYFUNCTION("VLOOKUP(A243,IMPORTRANGE(""1QZ5UxyNCwadreQAXnQ7oCoH982DjIA-QnZdO7ZoqkC0/edit#gid=884617569"",""S5 Totals!$A$2:$O$255""),14,FALSE)"),"")</f>
        <v/>
      </c>
      <c r="R243" s="112"/>
    </row>
    <row r="244">
      <c r="A244" s="128" t="s">
        <v>105</v>
      </c>
      <c r="B244" s="16">
        <f>IFERROR(__xludf.DUMMYFUNCTION("VLOOKUP(A244,IMPORTRANGE(""1aFCnJY1qhIj8-JckJhDJ18aqmVo17tofpQmOjcYa3u8/edit#gid=1878241338"",""S5 Totals!$A$2:$O$255""),2,FALSE)"),3.0)</f>
        <v>3</v>
      </c>
      <c r="C244" s="15">
        <f>IFERROR(__xludf.DUMMYFUNCTION("VLOOKUP(A244,IMPORTRANGE(""1aFCnJY1qhIj8-JckJhDJ18aqmVo17tofpQmOjcYa3u8/edit#gid=1878241338"",""S5 Totals!$A$2:$O$255""),3,FALSE)"),0.03614457831325301)</f>
        <v>0.03614457831</v>
      </c>
      <c r="D244" s="16">
        <f>IFERROR(__xludf.DUMMYFUNCTION("VLOOKUP(A244,IMPORTRANGE(""1QZ5UxyNCwadreQAXnQ7oCoH982DjIA-QnZdO7ZoqkC0/edit#gid=884617569"",""S5 Totals!$A$2:$O$255""),2,FALSE)"),4.0)</f>
        <v>4</v>
      </c>
      <c r="E244" s="15">
        <f>IFERROR(__xludf.DUMMYFUNCTION("VLOOKUP(A244,IMPORTRANGE(""1QZ5UxyNCwadreQAXnQ7oCoH982DjIA-QnZdO7ZoqkC0/edit#gid=884617569"",""S5 Totals!$A$2:$O$255""),3,FALSE)"),0.04819277108433735)</f>
        <v>0.04819277108</v>
      </c>
      <c r="F244" s="146">
        <f t="shared" si="1"/>
        <v>-0.01204819277</v>
      </c>
      <c r="G244" s="16">
        <f>IFERROR(__xludf.DUMMYFUNCTION("VLOOKUP(A244,IMPORTRANGE(""1QZ5UxyNCwadreQAXnQ7oCoH982DjIA-QnZdO7ZoqkC0/edit#gid=884617569"",""S5 Totals!$A$2:$O$255""),4,FALSE)"),6.0)</f>
        <v>6</v>
      </c>
      <c r="H244" s="15">
        <f>IFERROR(__xludf.DUMMYFUNCTION("VLOOKUP(A244,IMPORTRANGE(""1QZ5UxyNCwadreQAXnQ7oCoH982DjIA-QnZdO7ZoqkC0/edit#gid=884617569"",""S5 Totals!$A$2:$O$255""),5,FALSE)"),0.12244897959183673)</f>
        <v>0.1224489796</v>
      </c>
      <c r="I244" s="112"/>
      <c r="J244" s="16">
        <f>IFERROR(__xludf.DUMMYFUNCTION("VLOOKUP(A244,IMPORTRANGE(""1QZ5UxyNCwadreQAXnQ7oCoH982DjIA-QnZdO7ZoqkC0/edit#gid=884617569"",""S5 Totals!$A$2:$O$255""),7,FALSE)"),3.0)</f>
        <v>3</v>
      </c>
      <c r="K244" s="15">
        <f>IFERROR(__xludf.DUMMYFUNCTION("VLOOKUP(A244,IMPORTRANGE(""1QZ5UxyNCwadreQAXnQ7oCoH982DjIA-QnZdO7ZoqkC0/edit#gid=884617569"",""S5 Totals!$A$2:$O$255""),8,FALSE)"),0.08823529411764706)</f>
        <v>0.08823529412</v>
      </c>
      <c r="L244" s="112"/>
      <c r="M244" s="16">
        <f>IFERROR(__xludf.DUMMYFUNCTION("VLOOKUP(A244,IMPORTRANGE(""1QZ5UxyNCwadreQAXnQ7oCoH982DjIA-QnZdO7ZoqkC0/edit#gid=884617569"",""S5 Totals!$A$2:$O$255""),10,FALSE)"),1.0)</f>
        <v>1</v>
      </c>
      <c r="N244" s="15">
        <f>IFERROR(__xludf.DUMMYFUNCTION("VLOOKUP(A244,IMPORTRANGE(""1QZ5UxyNCwadreQAXnQ7oCoH982DjIA-QnZdO7ZoqkC0/edit#gid=884617569"",""S5 Totals!$A$2:$O$255""),11,FALSE)"),0.03333333333333333)</f>
        <v>0.03333333333</v>
      </c>
      <c r="O244" s="112"/>
      <c r="P244" s="16">
        <f>IFERROR(__xludf.DUMMYFUNCTION("VLOOKUP(A244,IMPORTRANGE(""1QZ5UxyNCwadreQAXnQ7oCoH982DjIA-QnZdO7ZoqkC0/edit#gid=884617569"",""S5 Totals!$A$2:$O$255""),13,FALSE)"),0.0)</f>
        <v>0</v>
      </c>
      <c r="Q244" s="15">
        <f>IFERROR(__xludf.DUMMYFUNCTION("VLOOKUP(A244,IMPORTRANGE(""1QZ5UxyNCwadreQAXnQ7oCoH982DjIA-QnZdO7ZoqkC0/edit#gid=884617569"",""S5 Totals!$A$2:$O$255""),14,FALSE)"),0.0)</f>
        <v>0</v>
      </c>
      <c r="R244" s="112"/>
    </row>
    <row r="245">
      <c r="A245" s="128" t="s">
        <v>56</v>
      </c>
      <c r="B245" s="16">
        <f>IFERROR(__xludf.DUMMYFUNCTION("VLOOKUP(A245,IMPORTRANGE(""1aFCnJY1qhIj8-JckJhDJ18aqmVo17tofpQmOjcYa3u8/edit#gid=1878241338"",""S5 Totals!$A$2:$O$255""),2,FALSE)"),18.0)</f>
        <v>18</v>
      </c>
      <c r="C245" s="15">
        <f>IFERROR(__xludf.DUMMYFUNCTION("VLOOKUP(A245,IMPORTRANGE(""1aFCnJY1qhIj8-JckJhDJ18aqmVo17tofpQmOjcYa3u8/edit#gid=1878241338"",""S5 Totals!$A$2:$O$255""),3,FALSE)"),0.21686746987951808)</f>
        <v>0.2168674699</v>
      </c>
      <c r="D245" s="16">
        <f>IFERROR(__xludf.DUMMYFUNCTION("VLOOKUP(A245,IMPORTRANGE(""1QZ5UxyNCwadreQAXnQ7oCoH982DjIA-QnZdO7ZoqkC0/edit#gid=884617569"",""S5 Totals!$A$2:$O$255""),2,FALSE)"),15.0)</f>
        <v>15</v>
      </c>
      <c r="E245" s="15">
        <f>IFERROR(__xludf.DUMMYFUNCTION("VLOOKUP(A245,IMPORTRANGE(""1QZ5UxyNCwadreQAXnQ7oCoH982DjIA-QnZdO7ZoqkC0/edit#gid=884617569"",""S5 Totals!$A$2:$O$255""),3,FALSE)"),0.18072289156626506)</f>
        <v>0.1807228916</v>
      </c>
      <c r="F245" s="146">
        <f t="shared" si="1"/>
        <v>0.03614457831</v>
      </c>
      <c r="G245" s="16">
        <f>IFERROR(__xludf.DUMMYFUNCTION("VLOOKUP(A245,IMPORTRANGE(""1QZ5UxyNCwadreQAXnQ7oCoH982DjIA-QnZdO7ZoqkC0/edit#gid=884617569"",""S5 Totals!$A$2:$O$255""),4,FALSE)"),8.0)</f>
        <v>8</v>
      </c>
      <c r="H245" s="15">
        <f>IFERROR(__xludf.DUMMYFUNCTION("VLOOKUP(A245,IMPORTRANGE(""1QZ5UxyNCwadreQAXnQ7oCoH982DjIA-QnZdO7ZoqkC0/edit#gid=884617569"",""S5 Totals!$A$2:$O$255""),5,FALSE)"),0.16326530612244897)</f>
        <v>0.1632653061</v>
      </c>
      <c r="I245" s="108"/>
      <c r="J245" s="16">
        <f>IFERROR(__xludf.DUMMYFUNCTION("VLOOKUP(A245,IMPORTRANGE(""1QZ5UxyNCwadreQAXnQ7oCoH982DjIA-QnZdO7ZoqkC0/edit#gid=884617569"",""S5 Totals!$A$2:$O$255""),7,FALSE)"),8.0)</f>
        <v>8</v>
      </c>
      <c r="K245" s="15">
        <f>IFERROR(__xludf.DUMMYFUNCTION("VLOOKUP(A245,IMPORTRANGE(""1QZ5UxyNCwadreQAXnQ7oCoH982DjIA-QnZdO7ZoqkC0/edit#gid=884617569"",""S5 Totals!$A$2:$O$255""),8,FALSE)"),0.23529411764705882)</f>
        <v>0.2352941176</v>
      </c>
      <c r="L245" s="112"/>
      <c r="M245" s="16">
        <f>IFERROR(__xludf.DUMMYFUNCTION("VLOOKUP(A245,IMPORTRANGE(""1QZ5UxyNCwadreQAXnQ7oCoH982DjIA-QnZdO7ZoqkC0/edit#gid=884617569"",""S5 Totals!$A$2:$O$255""),10,FALSE)"),4.0)</f>
        <v>4</v>
      </c>
      <c r="N245" s="15">
        <f>IFERROR(__xludf.DUMMYFUNCTION("VLOOKUP(A245,IMPORTRANGE(""1QZ5UxyNCwadreQAXnQ7oCoH982DjIA-QnZdO7ZoqkC0/edit#gid=884617569"",""S5 Totals!$A$2:$O$255""),11,FALSE)"),0.13333333333333333)</f>
        <v>0.1333333333</v>
      </c>
      <c r="O245" s="112"/>
      <c r="P245" s="16">
        <f>IFERROR(__xludf.DUMMYFUNCTION("VLOOKUP(A245,IMPORTRANGE(""1QZ5UxyNCwadreQAXnQ7oCoH982DjIA-QnZdO7ZoqkC0/edit#gid=884617569"",""S5 Totals!$A$2:$O$255""),13,FALSE)"),0.0)</f>
        <v>0</v>
      </c>
      <c r="Q245" s="15">
        <f>IFERROR(__xludf.DUMMYFUNCTION("VLOOKUP(A245,IMPORTRANGE(""1QZ5UxyNCwadreQAXnQ7oCoH982DjIA-QnZdO7ZoqkC0/edit#gid=884617569"",""S5 Totals!$A$2:$O$255""),14,FALSE)"),0.0)</f>
        <v>0</v>
      </c>
      <c r="R245" s="112"/>
    </row>
    <row r="246">
      <c r="A246" s="128" t="s">
        <v>258</v>
      </c>
      <c r="B246" s="16">
        <f>IFERROR(__xludf.DUMMYFUNCTION("VLOOKUP(A246,IMPORTRANGE(""1aFCnJY1qhIj8-JckJhDJ18aqmVo17tofpQmOjcYa3u8/edit#gid=1878241338"",""S5 Totals!$A$2:$O$255""),2,FALSE)"),17.0)</f>
        <v>17</v>
      </c>
      <c r="C246" s="15">
        <f>IFERROR(__xludf.DUMMYFUNCTION("VLOOKUP(A246,IMPORTRANGE(""1aFCnJY1qhIj8-JckJhDJ18aqmVo17tofpQmOjcYa3u8/edit#gid=1878241338"",""S5 Totals!$A$2:$O$255""),3,FALSE)"),0.20481927710843373)</f>
        <v>0.2048192771</v>
      </c>
      <c r="D246" s="16">
        <f>IFERROR(__xludf.DUMMYFUNCTION("VLOOKUP(A246,IMPORTRANGE(""1QZ5UxyNCwadreQAXnQ7oCoH982DjIA-QnZdO7ZoqkC0/edit#gid=884617569"",""S5 Totals!$A$2:$O$255""),2,FALSE)"),19.0)</f>
        <v>19</v>
      </c>
      <c r="E246" s="15">
        <f>IFERROR(__xludf.DUMMYFUNCTION("VLOOKUP(A246,IMPORTRANGE(""1QZ5UxyNCwadreQAXnQ7oCoH982DjIA-QnZdO7ZoqkC0/edit#gid=884617569"",""S5 Totals!$A$2:$O$255""),3,FALSE)"),0.2289156626506024)</f>
        <v>0.2289156627</v>
      </c>
      <c r="F246" s="146">
        <f t="shared" si="1"/>
        <v>-0.02409638554</v>
      </c>
      <c r="G246" s="16">
        <f>IFERROR(__xludf.DUMMYFUNCTION("VLOOKUP(A246,IMPORTRANGE(""1QZ5UxyNCwadreQAXnQ7oCoH982DjIA-QnZdO7ZoqkC0/edit#gid=884617569"",""S5 Totals!$A$2:$O$255""),4,FALSE)"),10.0)</f>
        <v>10</v>
      </c>
      <c r="H246" s="15">
        <f>IFERROR(__xludf.DUMMYFUNCTION("VLOOKUP(A246,IMPORTRANGE(""1QZ5UxyNCwadreQAXnQ7oCoH982DjIA-QnZdO7ZoqkC0/edit#gid=884617569"",""S5 Totals!$A$2:$O$255""),5,FALSE)"),0.20408163265306123)</f>
        <v>0.2040816327</v>
      </c>
      <c r="I246" s="108"/>
      <c r="J246" s="16" t="str">
        <f>IFERROR(__xludf.DUMMYFUNCTION("VLOOKUP(A246,IMPORTRANGE(""1QZ5UxyNCwadreQAXnQ7oCoH982DjIA-QnZdO7ZoqkC0/edit#gid=884617569"",""S5 Totals!$A$2:$O$255""),7,FALSE)"),"")</f>
        <v/>
      </c>
      <c r="K246" s="15" t="str">
        <f>IFERROR(__xludf.DUMMYFUNCTION("VLOOKUP(A246,IMPORTRANGE(""1QZ5UxyNCwadreQAXnQ7oCoH982DjIA-QnZdO7ZoqkC0/edit#gid=884617569"",""S5 Totals!$A$2:$O$255""),8,FALSE)"),"")</f>
        <v/>
      </c>
      <c r="L246" s="112"/>
      <c r="M246" s="16" t="str">
        <f>IFERROR(__xludf.DUMMYFUNCTION("VLOOKUP(A246,IMPORTRANGE(""1QZ5UxyNCwadreQAXnQ7oCoH982DjIA-QnZdO7ZoqkC0/edit#gid=884617569"",""S5 Totals!$A$2:$O$255""),10,FALSE)"),"")</f>
        <v/>
      </c>
      <c r="N246" s="15" t="str">
        <f>IFERROR(__xludf.DUMMYFUNCTION("VLOOKUP(A246,IMPORTRANGE(""1QZ5UxyNCwadreQAXnQ7oCoH982DjIA-QnZdO7ZoqkC0/edit#gid=884617569"",""S5 Totals!$A$2:$O$255""),11,FALSE)"),"")</f>
        <v/>
      </c>
      <c r="O246" s="112"/>
      <c r="P246" s="16" t="str">
        <f>IFERROR(__xludf.DUMMYFUNCTION("VLOOKUP(A246,IMPORTRANGE(""1QZ5UxyNCwadreQAXnQ7oCoH982DjIA-QnZdO7ZoqkC0/edit#gid=884617569"",""S5 Totals!$A$2:$O$255""),13,FALSE)"),"")</f>
        <v/>
      </c>
      <c r="Q246" s="15" t="str">
        <f>IFERROR(__xludf.DUMMYFUNCTION("VLOOKUP(A246,IMPORTRANGE(""1QZ5UxyNCwadreQAXnQ7oCoH982DjIA-QnZdO7ZoqkC0/edit#gid=884617569"",""S5 Totals!$A$2:$O$255""),14,FALSE)"),"")</f>
        <v/>
      </c>
      <c r="R246" s="112"/>
    </row>
    <row r="247">
      <c r="A247" s="128" t="s">
        <v>107</v>
      </c>
      <c r="B247" s="16">
        <f>IFERROR(__xludf.DUMMYFUNCTION("VLOOKUP(A247,IMPORTRANGE(""1aFCnJY1qhIj8-JckJhDJ18aqmVo17tofpQmOjcYa3u8/edit#gid=1878241338"",""S5 Totals!$A$2:$O$255""),2,FALSE)"),27.0)</f>
        <v>27</v>
      </c>
      <c r="C247" s="15">
        <f>IFERROR(__xludf.DUMMYFUNCTION("VLOOKUP(A247,IMPORTRANGE(""1aFCnJY1qhIj8-JckJhDJ18aqmVo17tofpQmOjcYa3u8/edit#gid=1878241338"",""S5 Totals!$A$2:$O$255""),3,FALSE)"),0.3253012048192771)</f>
        <v>0.3253012048</v>
      </c>
      <c r="D247" s="16">
        <f>IFERROR(__xludf.DUMMYFUNCTION("VLOOKUP(A247,IMPORTRANGE(""1QZ5UxyNCwadreQAXnQ7oCoH982DjIA-QnZdO7ZoqkC0/edit#gid=884617569"",""S5 Totals!$A$2:$O$255""),2,FALSE)"),19.0)</f>
        <v>19</v>
      </c>
      <c r="E247" s="15">
        <f>IFERROR(__xludf.DUMMYFUNCTION("VLOOKUP(A247,IMPORTRANGE(""1QZ5UxyNCwadreQAXnQ7oCoH982DjIA-QnZdO7ZoqkC0/edit#gid=884617569"",""S5 Totals!$A$2:$O$255""),3,FALSE)"),0.2289156626506024)</f>
        <v>0.2289156627</v>
      </c>
      <c r="F247" s="146">
        <f t="shared" si="1"/>
        <v>0.09638554217</v>
      </c>
      <c r="G247" s="16">
        <f>IFERROR(__xludf.DUMMYFUNCTION("VLOOKUP(A247,IMPORTRANGE(""1QZ5UxyNCwadreQAXnQ7oCoH982DjIA-QnZdO7ZoqkC0/edit#gid=884617569"",""S5 Totals!$A$2:$O$255""),4,FALSE)"),18.0)</f>
        <v>18</v>
      </c>
      <c r="H247" s="15">
        <f>IFERROR(__xludf.DUMMYFUNCTION("VLOOKUP(A247,IMPORTRANGE(""1QZ5UxyNCwadreQAXnQ7oCoH982DjIA-QnZdO7ZoqkC0/edit#gid=884617569"",""S5 Totals!$A$2:$O$255""),5,FALSE)"),0.3673469387755102)</f>
        <v>0.3673469388</v>
      </c>
      <c r="I247" s="112"/>
      <c r="J247" s="16">
        <f>IFERROR(__xludf.DUMMYFUNCTION("VLOOKUP(A247,IMPORTRANGE(""1QZ5UxyNCwadreQAXnQ7oCoH982DjIA-QnZdO7ZoqkC0/edit#gid=884617569"",""S5 Totals!$A$2:$O$255""),7,FALSE)"),14.0)</f>
        <v>14</v>
      </c>
      <c r="K247" s="15">
        <f>IFERROR(__xludf.DUMMYFUNCTION("VLOOKUP(A247,IMPORTRANGE(""1QZ5UxyNCwadreQAXnQ7oCoH982DjIA-QnZdO7ZoqkC0/edit#gid=884617569"",""S5 Totals!$A$2:$O$255""),8,FALSE)"),0.4117647058823529)</f>
        <v>0.4117647059</v>
      </c>
      <c r="L247" s="112"/>
      <c r="M247" s="16">
        <f>IFERROR(__xludf.DUMMYFUNCTION("VLOOKUP(A247,IMPORTRANGE(""1QZ5UxyNCwadreQAXnQ7oCoH982DjIA-QnZdO7ZoqkC0/edit#gid=884617569"",""S5 Totals!$A$2:$O$255""),10,FALSE)"),7.0)</f>
        <v>7</v>
      </c>
      <c r="N247" s="15">
        <f>IFERROR(__xludf.DUMMYFUNCTION("VLOOKUP(A247,IMPORTRANGE(""1QZ5UxyNCwadreQAXnQ7oCoH982DjIA-QnZdO7ZoqkC0/edit#gid=884617569"",""S5 Totals!$A$2:$O$255""),11,FALSE)"),0.23333333333333334)</f>
        <v>0.2333333333</v>
      </c>
      <c r="O247" s="112"/>
      <c r="P247" s="16">
        <f>IFERROR(__xludf.DUMMYFUNCTION("VLOOKUP(A247,IMPORTRANGE(""1QZ5UxyNCwadreQAXnQ7oCoH982DjIA-QnZdO7ZoqkC0/edit#gid=884617569"",""S5 Totals!$A$2:$O$255""),13,FALSE)"),0.0)</f>
        <v>0</v>
      </c>
      <c r="Q247" s="15">
        <f>IFERROR(__xludf.DUMMYFUNCTION("VLOOKUP(A247,IMPORTRANGE(""1QZ5UxyNCwadreQAXnQ7oCoH982DjIA-QnZdO7ZoqkC0/edit#gid=884617569"",""S5 Totals!$A$2:$O$255""),14,FALSE)"),0.0)</f>
        <v>0</v>
      </c>
      <c r="R247" s="112"/>
    </row>
    <row r="248">
      <c r="A248" s="128" t="s">
        <v>158</v>
      </c>
      <c r="B248" s="16">
        <f>IFERROR(__xludf.DUMMYFUNCTION("VLOOKUP(A248,IMPORTRANGE(""1aFCnJY1qhIj8-JckJhDJ18aqmVo17tofpQmOjcYa3u8/edit#gid=1878241338"",""S5 Totals!$A$2:$O$255""),2,FALSE)"),0.0)</f>
        <v>0</v>
      </c>
      <c r="C248" s="15">
        <f>IFERROR(__xludf.DUMMYFUNCTION("VLOOKUP(A248,IMPORTRANGE(""1aFCnJY1qhIj8-JckJhDJ18aqmVo17tofpQmOjcYa3u8/edit#gid=1878241338"",""S5 Totals!$A$2:$O$255""),3,FALSE)"),0.0)</f>
        <v>0</v>
      </c>
      <c r="D248" s="16">
        <f>IFERROR(__xludf.DUMMYFUNCTION("VLOOKUP(A248,IMPORTRANGE(""1QZ5UxyNCwadreQAXnQ7oCoH982DjIA-QnZdO7ZoqkC0/edit#gid=884617569"",""S5 Totals!$A$2:$O$255""),2,FALSE)"),0.0)</f>
        <v>0</v>
      </c>
      <c r="E248" s="15">
        <f>IFERROR(__xludf.DUMMYFUNCTION("VLOOKUP(A248,IMPORTRANGE(""1QZ5UxyNCwadreQAXnQ7oCoH982DjIA-QnZdO7ZoqkC0/edit#gid=884617569"",""S5 Totals!$A$2:$O$255""),3,FALSE)"),0.2289156626506024)</f>
        <v>0.2289156627</v>
      </c>
      <c r="F248" s="146">
        <f t="shared" si="1"/>
        <v>-0.2289156627</v>
      </c>
      <c r="G248" s="16">
        <f>IFERROR(__xludf.DUMMYFUNCTION("VLOOKUP(A248,IMPORTRANGE(""1QZ5UxyNCwadreQAXnQ7oCoH982DjIA-QnZdO7ZoqkC0/edit#gid=884617569"",""S5 Totals!$A$2:$O$255""),4,FALSE)"),0.0)</f>
        <v>0</v>
      </c>
      <c r="H248" s="15">
        <f>IFERROR(__xludf.DUMMYFUNCTION("VLOOKUP(A248,IMPORTRANGE(""1QZ5UxyNCwadreQAXnQ7oCoH982DjIA-QnZdO7ZoqkC0/edit#gid=884617569"",""S5 Totals!$A$2:$O$255""),5,FALSE)"),0.0)</f>
        <v>0</v>
      </c>
      <c r="I248" s="112"/>
      <c r="J248" s="16">
        <f>IFERROR(__xludf.DUMMYFUNCTION("VLOOKUP(A248,IMPORTRANGE(""1QZ5UxyNCwadreQAXnQ7oCoH982DjIA-QnZdO7ZoqkC0/edit#gid=884617569"",""S5 Totals!$A$2:$O$255""),7,FALSE)"),0.0)</f>
        <v>0</v>
      </c>
      <c r="K248" s="15">
        <f>IFERROR(__xludf.DUMMYFUNCTION("VLOOKUP(A248,IMPORTRANGE(""1QZ5UxyNCwadreQAXnQ7oCoH982DjIA-QnZdO7ZoqkC0/edit#gid=884617569"",""S5 Totals!$A$2:$O$255""),8,FALSE)"),0.0)</f>
        <v>0</v>
      </c>
      <c r="L248" s="112"/>
      <c r="M248" s="16">
        <f>IFERROR(__xludf.DUMMYFUNCTION("VLOOKUP(A248,IMPORTRANGE(""1QZ5UxyNCwadreQAXnQ7oCoH982DjIA-QnZdO7ZoqkC0/edit#gid=884617569"",""S5 Totals!$A$2:$O$255""),10,FALSE)"),0.0)</f>
        <v>0</v>
      </c>
      <c r="N248" s="15">
        <f>IFERROR(__xludf.DUMMYFUNCTION("VLOOKUP(A248,IMPORTRANGE(""1QZ5UxyNCwadreQAXnQ7oCoH982DjIA-QnZdO7ZoqkC0/edit#gid=884617569"",""S5 Totals!$A$2:$O$255""),11,FALSE)"),0.0)</f>
        <v>0</v>
      </c>
      <c r="O248" s="112"/>
      <c r="P248" s="16" t="str">
        <f>IFERROR(__xludf.DUMMYFUNCTION("VLOOKUP(A248,IMPORTRANGE(""1QZ5UxyNCwadreQAXnQ7oCoH982DjIA-QnZdO7ZoqkC0/edit#gid=884617569"",""S5 Totals!$A$2:$O$255""),13,FALSE)"),"")</f>
        <v/>
      </c>
      <c r="Q248" s="15" t="str">
        <f>IFERROR(__xludf.DUMMYFUNCTION("VLOOKUP(A248,IMPORTRANGE(""1QZ5UxyNCwadreQAXnQ7oCoH982DjIA-QnZdO7ZoqkC0/edit#gid=884617569"",""S5 Totals!$A$2:$O$255""),14,FALSE)"),"")</f>
        <v/>
      </c>
      <c r="R248" s="112"/>
    </row>
    <row r="249">
      <c r="A249" s="128" t="s">
        <v>108</v>
      </c>
      <c r="B249" s="16">
        <f>IFERROR(__xludf.DUMMYFUNCTION("VLOOKUP(A249,IMPORTRANGE(""1aFCnJY1qhIj8-JckJhDJ18aqmVo17tofpQmOjcYa3u8/edit#gid=1878241338"",""S5 Totals!$A$2:$O$255""),2,FALSE)"),30.0)</f>
        <v>30</v>
      </c>
      <c r="C249" s="15">
        <f>IFERROR(__xludf.DUMMYFUNCTION("VLOOKUP(A249,IMPORTRANGE(""1aFCnJY1qhIj8-JckJhDJ18aqmVo17tofpQmOjcYa3u8/edit#gid=1878241338"",""S5 Totals!$A$2:$O$255""),3,FALSE)"),0.3614457831325301)</f>
        <v>0.3614457831</v>
      </c>
      <c r="D249" s="16">
        <f>IFERROR(__xludf.DUMMYFUNCTION("VLOOKUP(A249,IMPORTRANGE(""1QZ5UxyNCwadreQAXnQ7oCoH982DjIA-QnZdO7ZoqkC0/edit#gid=884617569"",""S5 Totals!$A$2:$O$255""),2,FALSE)"),28.0)</f>
        <v>28</v>
      </c>
      <c r="E249" s="15">
        <f>IFERROR(__xludf.DUMMYFUNCTION("VLOOKUP(A249,IMPORTRANGE(""1QZ5UxyNCwadreQAXnQ7oCoH982DjIA-QnZdO7ZoqkC0/edit#gid=884617569"",""S5 Totals!$A$2:$O$255""),3,FALSE)"),0.3373493975903614)</f>
        <v>0.3373493976</v>
      </c>
      <c r="F249" s="146">
        <f t="shared" si="1"/>
        <v>0.02409638554</v>
      </c>
      <c r="G249" s="16">
        <f>IFERROR(__xludf.DUMMYFUNCTION("VLOOKUP(A249,IMPORTRANGE(""1QZ5UxyNCwadreQAXnQ7oCoH982DjIA-QnZdO7ZoqkC0/edit#gid=884617569"",""S5 Totals!$A$2:$O$255""),4,FALSE)"),14.0)</f>
        <v>14</v>
      </c>
      <c r="H249" s="15">
        <f>IFERROR(__xludf.DUMMYFUNCTION("VLOOKUP(A249,IMPORTRANGE(""1QZ5UxyNCwadreQAXnQ7oCoH982DjIA-QnZdO7ZoqkC0/edit#gid=884617569"",""S5 Totals!$A$2:$O$255""),5,FALSE)"),0.2857142857142857)</f>
        <v>0.2857142857</v>
      </c>
      <c r="I249" s="112"/>
      <c r="J249" s="16">
        <f>IFERROR(__xludf.DUMMYFUNCTION("VLOOKUP(A249,IMPORTRANGE(""1QZ5UxyNCwadreQAXnQ7oCoH982DjIA-QnZdO7ZoqkC0/edit#gid=884617569"",""S5 Totals!$A$2:$O$255""),7,FALSE)"),12.0)</f>
        <v>12</v>
      </c>
      <c r="K249" s="15">
        <f>IFERROR(__xludf.DUMMYFUNCTION("VLOOKUP(A249,IMPORTRANGE(""1QZ5UxyNCwadreQAXnQ7oCoH982DjIA-QnZdO7ZoqkC0/edit#gid=884617569"",""S5 Totals!$A$2:$O$255""),8,FALSE)"),0.35294117647058826)</f>
        <v>0.3529411765</v>
      </c>
      <c r="L249" s="112"/>
      <c r="M249" s="16">
        <f>IFERROR(__xludf.DUMMYFUNCTION("VLOOKUP(A249,IMPORTRANGE(""1QZ5UxyNCwadreQAXnQ7oCoH982DjIA-QnZdO7ZoqkC0/edit#gid=884617569"",""S5 Totals!$A$2:$O$255""),10,FALSE)"),3.0)</f>
        <v>3</v>
      </c>
      <c r="N249" s="15">
        <f>IFERROR(__xludf.DUMMYFUNCTION("VLOOKUP(A249,IMPORTRANGE(""1QZ5UxyNCwadreQAXnQ7oCoH982DjIA-QnZdO7ZoqkC0/edit#gid=884617569"",""S5 Totals!$A$2:$O$255""),11,FALSE)"),0.1)</f>
        <v>0.1</v>
      </c>
      <c r="O249" s="112"/>
      <c r="P249" s="16">
        <f>IFERROR(__xludf.DUMMYFUNCTION("VLOOKUP(A249,IMPORTRANGE(""1QZ5UxyNCwadreQAXnQ7oCoH982DjIA-QnZdO7ZoqkC0/edit#gid=884617569"",""S5 Totals!$A$2:$O$255""),13,FALSE)"),0.0)</f>
        <v>0</v>
      </c>
      <c r="Q249" s="15">
        <f>IFERROR(__xludf.DUMMYFUNCTION("VLOOKUP(A249,IMPORTRANGE(""1QZ5UxyNCwadreQAXnQ7oCoH982DjIA-QnZdO7ZoqkC0/edit#gid=884617569"",""S5 Totals!$A$2:$O$255""),14,FALSE)"),0.0)</f>
        <v>0</v>
      </c>
      <c r="R249" s="112"/>
    </row>
    <row r="250">
      <c r="A250" s="128" t="s">
        <v>109</v>
      </c>
      <c r="B250" s="16">
        <f>IFERROR(__xludf.DUMMYFUNCTION("VLOOKUP(A250,IMPORTRANGE(""1aFCnJY1qhIj8-JckJhDJ18aqmVo17tofpQmOjcYa3u8/edit#gid=1878241338"",""S5 Totals!$A$2:$O$255""),2,FALSE)"),45.0)</f>
        <v>45</v>
      </c>
      <c r="C250" s="15">
        <f>IFERROR(__xludf.DUMMYFUNCTION("VLOOKUP(A250,IMPORTRANGE(""1aFCnJY1qhIj8-JckJhDJ18aqmVo17tofpQmOjcYa3u8/edit#gid=1878241338"",""S5 Totals!$A$2:$O$255""),3,FALSE)"),0.5421686746987951)</f>
        <v>0.5421686747</v>
      </c>
      <c r="D250" s="16">
        <f>IFERROR(__xludf.DUMMYFUNCTION("VLOOKUP(A250,IMPORTRANGE(""1QZ5UxyNCwadreQAXnQ7oCoH982DjIA-QnZdO7ZoqkC0/edit#gid=884617569"",""S5 Totals!$A$2:$O$255""),2,FALSE)"),35.0)</f>
        <v>35</v>
      </c>
      <c r="E250" s="15">
        <f>IFERROR(__xludf.DUMMYFUNCTION("VLOOKUP(A250,IMPORTRANGE(""1QZ5UxyNCwadreQAXnQ7oCoH982DjIA-QnZdO7ZoqkC0/edit#gid=884617569"",""S5 Totals!$A$2:$O$255""),3,FALSE)"),0.42168674698795183)</f>
        <v>0.421686747</v>
      </c>
      <c r="F250" s="146">
        <f t="shared" si="1"/>
        <v>0.1204819277</v>
      </c>
      <c r="G250" s="16">
        <f>IFERROR(__xludf.DUMMYFUNCTION("VLOOKUP(A250,IMPORTRANGE(""1QZ5UxyNCwadreQAXnQ7oCoH982DjIA-QnZdO7ZoqkC0/edit#gid=884617569"",""S5 Totals!$A$2:$O$255""),4,FALSE)"),22.0)</f>
        <v>22</v>
      </c>
      <c r="H250" s="15">
        <f>IFERROR(__xludf.DUMMYFUNCTION("VLOOKUP(A250,IMPORTRANGE(""1QZ5UxyNCwadreQAXnQ7oCoH982DjIA-QnZdO7ZoqkC0/edit#gid=884617569"",""S5 Totals!$A$2:$O$255""),5,FALSE)"),0.4489795918367347)</f>
        <v>0.4489795918</v>
      </c>
      <c r="I250" s="112"/>
      <c r="J250" s="16">
        <f>IFERROR(__xludf.DUMMYFUNCTION("VLOOKUP(A250,IMPORTRANGE(""1QZ5UxyNCwadreQAXnQ7oCoH982DjIA-QnZdO7ZoqkC0/edit#gid=884617569"",""S5 Totals!$A$2:$O$255""),7,FALSE)"),20.0)</f>
        <v>20</v>
      </c>
      <c r="K250" s="15">
        <f>IFERROR(__xludf.DUMMYFUNCTION("VLOOKUP(A250,IMPORTRANGE(""1QZ5UxyNCwadreQAXnQ7oCoH982DjIA-QnZdO7ZoqkC0/edit#gid=884617569"",""S5 Totals!$A$2:$O$255""),8,FALSE)"),0.5882352941176471)</f>
        <v>0.5882352941</v>
      </c>
      <c r="L250" s="112"/>
      <c r="M250" s="16">
        <f>IFERROR(__xludf.DUMMYFUNCTION("VLOOKUP(A250,IMPORTRANGE(""1QZ5UxyNCwadreQAXnQ7oCoH982DjIA-QnZdO7ZoqkC0/edit#gid=884617569"",""S5 Totals!$A$2:$O$255""),10,FALSE)"),16.0)</f>
        <v>16</v>
      </c>
      <c r="N250" s="15">
        <f>IFERROR(__xludf.DUMMYFUNCTION("VLOOKUP(A250,IMPORTRANGE(""1QZ5UxyNCwadreQAXnQ7oCoH982DjIA-QnZdO7ZoqkC0/edit#gid=884617569"",""S5 Totals!$A$2:$O$255""),11,FALSE)"),0.5333333333333333)</f>
        <v>0.5333333333</v>
      </c>
      <c r="O250" s="112"/>
      <c r="P250" s="16">
        <f>IFERROR(__xludf.DUMMYFUNCTION("VLOOKUP(A250,IMPORTRANGE(""1QZ5UxyNCwadreQAXnQ7oCoH982DjIA-QnZdO7ZoqkC0/edit#gid=884617569"",""S5 Totals!$A$2:$O$255""),13,FALSE)"),9.0)</f>
        <v>9</v>
      </c>
      <c r="Q250" s="15">
        <f>IFERROR(__xludf.DUMMYFUNCTION("VLOOKUP(A250,IMPORTRANGE(""1QZ5UxyNCwadreQAXnQ7oCoH982DjIA-QnZdO7ZoqkC0/edit#gid=884617569"",""S5 Totals!$A$2:$O$255""),14,FALSE)"),0.32142857142857145)</f>
        <v>0.3214285714</v>
      </c>
      <c r="R250" s="112"/>
    </row>
    <row r="251">
      <c r="A251" s="128" t="s">
        <v>259</v>
      </c>
      <c r="B251" s="16">
        <f>IFERROR(__xludf.DUMMYFUNCTION("VLOOKUP(A251,IMPORTRANGE(""1aFCnJY1qhIj8-JckJhDJ18aqmVo17tofpQmOjcYa3u8/edit#gid=1878241338"",""S5 Totals!$A$2:$O$255""),2,FALSE)"),29.0)</f>
        <v>29</v>
      </c>
      <c r="C251" s="15">
        <f>IFERROR(__xludf.DUMMYFUNCTION("VLOOKUP(A251,IMPORTRANGE(""1aFCnJY1qhIj8-JckJhDJ18aqmVo17tofpQmOjcYa3u8/edit#gid=1878241338"",""S5 Totals!$A$2:$O$255""),3,FALSE)"),0.3493975903614458)</f>
        <v>0.3493975904</v>
      </c>
      <c r="D251" s="16">
        <f>IFERROR(__xludf.DUMMYFUNCTION("VLOOKUP(A251,IMPORTRANGE(""1QZ5UxyNCwadreQAXnQ7oCoH982DjIA-QnZdO7ZoqkC0/edit#gid=884617569"",""S5 Totals!$A$2:$O$255""),2,FALSE)"),19.0)</f>
        <v>19</v>
      </c>
      <c r="E251" s="15">
        <f>IFERROR(__xludf.DUMMYFUNCTION("VLOOKUP(A251,IMPORTRANGE(""1QZ5UxyNCwadreQAXnQ7oCoH982DjIA-QnZdO7ZoqkC0/edit#gid=884617569"",""S5 Totals!$A$2:$O$255""),3,FALSE)"),0.2289156626506024)</f>
        <v>0.2289156627</v>
      </c>
      <c r="F251" s="146">
        <f t="shared" si="1"/>
        <v>0.1204819277</v>
      </c>
      <c r="G251" s="16">
        <f>IFERROR(__xludf.DUMMYFUNCTION("VLOOKUP(A251,IMPORTRANGE(""1QZ5UxyNCwadreQAXnQ7oCoH982DjIA-QnZdO7ZoqkC0/edit#gid=884617569"",""S5 Totals!$A$2:$O$255""),4,FALSE)"),9.0)</f>
        <v>9</v>
      </c>
      <c r="H251" s="15">
        <f>IFERROR(__xludf.DUMMYFUNCTION("VLOOKUP(A251,IMPORTRANGE(""1QZ5UxyNCwadreQAXnQ7oCoH982DjIA-QnZdO7ZoqkC0/edit#gid=884617569"",""S5 Totals!$A$2:$O$255""),5,FALSE)"),0.1836734693877551)</f>
        <v>0.1836734694</v>
      </c>
      <c r="I251" s="112"/>
      <c r="J251" s="16" t="str">
        <f>IFERROR(__xludf.DUMMYFUNCTION("VLOOKUP(A251,IMPORTRANGE(""1QZ5UxyNCwadreQAXnQ7oCoH982DjIA-QnZdO7ZoqkC0/edit#gid=884617569"",""S5 Totals!$A$2:$O$255""),7,FALSE)"),"")</f>
        <v/>
      </c>
      <c r="K251" s="15" t="str">
        <f>IFERROR(__xludf.DUMMYFUNCTION("VLOOKUP(A251,IMPORTRANGE(""1QZ5UxyNCwadreQAXnQ7oCoH982DjIA-QnZdO7ZoqkC0/edit#gid=884617569"",""S5 Totals!$A$2:$O$255""),8,FALSE)"),"")</f>
        <v/>
      </c>
      <c r="L251" s="112"/>
      <c r="M251" s="16" t="str">
        <f>IFERROR(__xludf.DUMMYFUNCTION("VLOOKUP(A251,IMPORTRANGE(""1QZ5UxyNCwadreQAXnQ7oCoH982DjIA-QnZdO7ZoqkC0/edit#gid=884617569"",""S5 Totals!$A$2:$O$255""),10,FALSE)"),"")</f>
        <v/>
      </c>
      <c r="N251" s="15" t="str">
        <f>IFERROR(__xludf.DUMMYFUNCTION("VLOOKUP(A251,IMPORTRANGE(""1QZ5UxyNCwadreQAXnQ7oCoH982DjIA-QnZdO7ZoqkC0/edit#gid=884617569"",""S5 Totals!$A$2:$O$255""),11,FALSE)"),"")</f>
        <v/>
      </c>
      <c r="O251" s="112"/>
      <c r="P251" s="16" t="str">
        <f>IFERROR(__xludf.DUMMYFUNCTION("VLOOKUP(A251,IMPORTRANGE(""1QZ5UxyNCwadreQAXnQ7oCoH982DjIA-QnZdO7ZoqkC0/edit#gid=884617569"",""S5 Totals!$A$2:$O$255""),13,FALSE)"),"")</f>
        <v/>
      </c>
      <c r="Q251" s="15" t="str">
        <f>IFERROR(__xludf.DUMMYFUNCTION("VLOOKUP(A251,IMPORTRANGE(""1QZ5UxyNCwadreQAXnQ7oCoH982DjIA-QnZdO7ZoqkC0/edit#gid=884617569"",""S5 Totals!$A$2:$O$255""),14,FALSE)"),"")</f>
        <v/>
      </c>
      <c r="R251" s="112"/>
    </row>
    <row r="252">
      <c r="A252" s="153"/>
      <c r="B252" s="154"/>
      <c r="C252" s="155"/>
      <c r="D252" s="154"/>
      <c r="E252" s="155"/>
      <c r="F252" s="156"/>
      <c r="G252" s="157"/>
      <c r="H252" s="158"/>
      <c r="I252" s="158"/>
      <c r="J252" s="157"/>
      <c r="K252" s="158"/>
      <c r="L252" s="158"/>
      <c r="M252" s="157"/>
      <c r="N252" s="158"/>
      <c r="O252" s="158"/>
      <c r="P252" s="157"/>
      <c r="Q252" s="158"/>
      <c r="R252" s="158"/>
      <c r="S252" s="159"/>
      <c r="T252" s="160"/>
      <c r="U252" s="160"/>
      <c r="V252" s="160"/>
      <c r="W252" s="160"/>
      <c r="X252" s="160"/>
      <c r="Y252" s="160"/>
      <c r="Z252" s="160"/>
      <c r="AA252" s="160"/>
      <c r="AB252" s="161"/>
      <c r="AC252" s="161"/>
      <c r="AD252" s="161"/>
      <c r="AE252" s="161"/>
      <c r="AF252" s="161"/>
    </row>
    <row r="253">
      <c r="A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>
      <c r="A254" s="36"/>
      <c r="F254" s="36"/>
      <c r="G254" s="35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>
      <c r="A255" s="36"/>
      <c r="F255" s="36"/>
      <c r="G255" s="35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>
      <c r="A256" s="36"/>
      <c r="F256" s="36"/>
      <c r="G256" s="35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>
      <c r="A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>
      <c r="A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>
      <c r="A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>
      <c r="A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>
      <c r="A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>
      <c r="A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>
      <c r="A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>
      <c r="A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>
      <c r="A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>
      <c r="A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>
      <c r="A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>
      <c r="A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>
      <c r="A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>
      <c r="A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>
      <c r="A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>
      <c r="A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>
      <c r="A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>
      <c r="A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>
      <c r="A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>
      <c r="A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>
      <c r="A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>
      <c r="A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>
      <c r="A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>
      <c r="A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>
      <c r="A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>
      <c r="A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>
      <c r="A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>
      <c r="A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>
      <c r="A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>
      <c r="A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>
      <c r="A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>
      <c r="A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>
      <c r="A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>
      <c r="A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>
      <c r="A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>
      <c r="A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>
      <c r="A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>
      <c r="A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>
      <c r="A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>
      <c r="A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>
      <c r="A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>
      <c r="A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>
      <c r="A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>
      <c r="A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>
      <c r="A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>
      <c r="A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>
      <c r="A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>
      <c r="A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>
      <c r="A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>
      <c r="A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>
      <c r="A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>
      <c r="A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>
      <c r="A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>
      <c r="A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>
      <c r="A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>
      <c r="A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>
      <c r="A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>
      <c r="A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>
      <c r="A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>
      <c r="A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>
      <c r="A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>
      <c r="A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>
      <c r="A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>
      <c r="A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>
      <c r="A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>
      <c r="A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>
      <c r="A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>
      <c r="A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>
      <c r="A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>
      <c r="A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>
      <c r="A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>
      <c r="A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>
      <c r="A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>
      <c r="A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>
      <c r="A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>
      <c r="A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>
      <c r="A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>
      <c r="A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>
      <c r="A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>
      <c r="A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>
      <c r="A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>
      <c r="A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>
      <c r="A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>
      <c r="A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>
      <c r="A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>
      <c r="A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>
      <c r="A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>
      <c r="A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>
      <c r="A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>
      <c r="A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>
      <c r="A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>
      <c r="A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>
      <c r="A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>
      <c r="A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>
      <c r="A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>
      <c r="A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>
      <c r="A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>
      <c r="A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>
      <c r="A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>
      <c r="A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>
      <c r="A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>
      <c r="A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>
      <c r="A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>
      <c r="A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>
      <c r="A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>
      <c r="A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>
      <c r="A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>
      <c r="A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>
      <c r="A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>
      <c r="A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>
      <c r="A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>
      <c r="A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>
      <c r="A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>
      <c r="A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>
      <c r="A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>
      <c r="A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>
      <c r="A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>
      <c r="A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>
      <c r="A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>
      <c r="A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>
      <c r="A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>
      <c r="A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>
      <c r="A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>
      <c r="A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>
      <c r="A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>
      <c r="A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>
      <c r="A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>
      <c r="A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>
      <c r="A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>
      <c r="A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>
      <c r="A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>
      <c r="A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>
      <c r="A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>
      <c r="A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>
      <c r="A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>
      <c r="A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>
      <c r="A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>
      <c r="A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>
      <c r="A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>
      <c r="A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>
      <c r="A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>
      <c r="A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>
      <c r="A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>
      <c r="A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>
      <c r="A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>
      <c r="A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>
      <c r="A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>
      <c r="A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>
      <c r="A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>
      <c r="A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>
      <c r="A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>
      <c r="A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>
      <c r="A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>
      <c r="A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>
      <c r="A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>
      <c r="A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>
      <c r="A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>
      <c r="A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>
      <c r="A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>
      <c r="A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>
      <c r="A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>
      <c r="A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>
      <c r="A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>
      <c r="A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>
      <c r="A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>
      <c r="A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>
      <c r="A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>
      <c r="A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>
      <c r="A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>
      <c r="A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>
      <c r="A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>
      <c r="A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>
      <c r="A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>
      <c r="A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>
      <c r="A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>
      <c r="A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>
      <c r="A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>
      <c r="A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>
      <c r="A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>
      <c r="A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>
      <c r="A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>
      <c r="A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>
      <c r="A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>
      <c r="A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>
      <c r="A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>
      <c r="A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>
      <c r="A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>
      <c r="A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>
      <c r="A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>
      <c r="A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>
      <c r="A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>
      <c r="A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>
      <c r="A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>
      <c r="A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>
      <c r="A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>
      <c r="A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>
      <c r="A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>
      <c r="A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>
      <c r="A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>
      <c r="A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>
      <c r="A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>
      <c r="A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>
      <c r="A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>
      <c r="A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>
      <c r="A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>
      <c r="A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>
      <c r="A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>
      <c r="A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>
      <c r="A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>
      <c r="A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>
      <c r="A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>
      <c r="A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>
      <c r="A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>
      <c r="A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>
      <c r="A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>
      <c r="A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>
      <c r="A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>
      <c r="A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>
      <c r="A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>
      <c r="A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>
      <c r="A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>
      <c r="A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>
      <c r="A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>
      <c r="A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>
      <c r="A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>
      <c r="A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>
      <c r="A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>
      <c r="A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>
      <c r="A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>
      <c r="A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>
      <c r="A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>
      <c r="A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>
      <c r="A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>
      <c r="A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>
      <c r="A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>
      <c r="A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>
      <c r="A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>
      <c r="A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>
      <c r="A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>
      <c r="A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>
      <c r="A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>
      <c r="A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>
      <c r="A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>
      <c r="A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>
      <c r="A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>
      <c r="A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>
      <c r="A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>
      <c r="A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>
      <c r="A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>
      <c r="A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>
      <c r="A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>
      <c r="A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>
      <c r="A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>
      <c r="A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>
      <c r="A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>
      <c r="A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>
      <c r="A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>
      <c r="A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>
      <c r="A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>
      <c r="A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>
      <c r="A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>
      <c r="A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>
      <c r="A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>
      <c r="A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>
      <c r="A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>
      <c r="A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>
      <c r="A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>
      <c r="A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>
      <c r="A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>
      <c r="A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>
      <c r="A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>
      <c r="A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>
      <c r="A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>
      <c r="A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>
      <c r="A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>
      <c r="A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>
      <c r="A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>
      <c r="A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>
      <c r="A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>
      <c r="A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>
      <c r="A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>
      <c r="A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>
      <c r="A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>
      <c r="A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>
      <c r="A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>
      <c r="A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>
      <c r="A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>
      <c r="A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>
      <c r="A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>
      <c r="A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>
      <c r="A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>
      <c r="A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>
      <c r="A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>
      <c r="A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>
      <c r="A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>
      <c r="A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>
      <c r="A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>
      <c r="A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>
      <c r="A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>
      <c r="A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>
      <c r="A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>
      <c r="A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>
      <c r="A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>
      <c r="A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>
      <c r="A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>
      <c r="A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>
      <c r="A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>
      <c r="A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>
      <c r="A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>
      <c r="A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>
      <c r="A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>
      <c r="A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>
      <c r="A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>
      <c r="A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>
      <c r="A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>
      <c r="A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>
      <c r="A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>
      <c r="A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>
      <c r="A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>
      <c r="A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>
      <c r="A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>
      <c r="A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>
      <c r="A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>
      <c r="A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>
      <c r="A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>
      <c r="A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>
      <c r="A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>
      <c r="A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>
      <c r="A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>
      <c r="A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>
      <c r="A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>
      <c r="A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>
      <c r="A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>
      <c r="A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>
      <c r="A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>
      <c r="A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>
      <c r="A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>
      <c r="A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>
      <c r="A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>
      <c r="A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>
      <c r="A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>
      <c r="A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>
      <c r="A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>
      <c r="A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>
      <c r="A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>
      <c r="A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>
      <c r="A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>
      <c r="A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>
      <c r="A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>
      <c r="A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>
      <c r="A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>
      <c r="A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>
      <c r="A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>
      <c r="A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>
      <c r="A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>
      <c r="A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>
      <c r="A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>
      <c r="A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>
      <c r="A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>
      <c r="A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>
      <c r="A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>
      <c r="A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>
      <c r="A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>
      <c r="A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>
      <c r="A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>
      <c r="A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>
      <c r="A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>
      <c r="A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>
      <c r="A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>
      <c r="A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>
      <c r="A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>
      <c r="A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>
      <c r="A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>
      <c r="A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>
      <c r="A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>
      <c r="A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>
      <c r="A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>
      <c r="A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>
      <c r="A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>
      <c r="A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>
      <c r="A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>
      <c r="A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>
      <c r="A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>
      <c r="A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>
      <c r="A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>
      <c r="A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>
      <c r="A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>
      <c r="A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>
      <c r="A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>
      <c r="A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>
      <c r="A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>
      <c r="A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>
      <c r="A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>
      <c r="A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>
      <c r="A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>
      <c r="A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>
      <c r="A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>
      <c r="A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>
      <c r="A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>
      <c r="A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>
      <c r="A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>
      <c r="A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>
      <c r="A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>
      <c r="A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>
      <c r="A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>
      <c r="A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>
      <c r="A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>
      <c r="A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>
      <c r="A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>
      <c r="A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>
      <c r="A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>
      <c r="A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>
      <c r="A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>
      <c r="A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>
      <c r="A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>
      <c r="A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>
      <c r="A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>
      <c r="A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>
      <c r="A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>
      <c r="A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>
      <c r="A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>
      <c r="A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>
      <c r="A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>
      <c r="A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>
      <c r="A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>
      <c r="A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>
      <c r="A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>
      <c r="A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>
      <c r="A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>
      <c r="A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>
      <c r="A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>
      <c r="A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>
      <c r="A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>
      <c r="A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>
      <c r="A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>
      <c r="A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>
      <c r="A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>
      <c r="A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>
      <c r="A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>
      <c r="A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>
      <c r="A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>
      <c r="A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>
      <c r="A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>
      <c r="A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>
      <c r="A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>
      <c r="A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>
      <c r="A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>
      <c r="A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>
      <c r="A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>
      <c r="A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>
      <c r="A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>
      <c r="A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>
      <c r="A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>
      <c r="A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>
      <c r="A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>
      <c r="A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>
      <c r="A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>
      <c r="A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>
      <c r="A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>
      <c r="A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>
      <c r="A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>
      <c r="A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>
      <c r="A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>
      <c r="A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>
      <c r="A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>
      <c r="A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>
      <c r="A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>
      <c r="A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>
      <c r="A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>
      <c r="A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>
      <c r="A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>
      <c r="A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>
      <c r="A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>
      <c r="A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>
      <c r="A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>
      <c r="A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>
      <c r="A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>
      <c r="A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>
      <c r="A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>
      <c r="A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>
      <c r="A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>
      <c r="A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>
      <c r="A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>
      <c r="A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>
      <c r="A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>
      <c r="A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>
      <c r="A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>
      <c r="A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>
      <c r="A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>
      <c r="A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>
      <c r="A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>
      <c r="A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>
      <c r="A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>
      <c r="A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>
      <c r="A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>
      <c r="A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>
      <c r="A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>
      <c r="A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>
      <c r="A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>
      <c r="A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>
      <c r="A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>
      <c r="A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>
      <c r="A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>
      <c r="A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>
      <c r="A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>
      <c r="A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>
      <c r="A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>
      <c r="A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>
      <c r="A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>
      <c r="A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>
      <c r="A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>
      <c r="A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>
      <c r="A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>
      <c r="A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>
      <c r="A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>
      <c r="A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>
      <c r="A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>
      <c r="A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>
      <c r="A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>
      <c r="A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>
      <c r="A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>
      <c r="A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>
      <c r="A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>
      <c r="A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>
      <c r="A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>
      <c r="A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>
      <c r="A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>
      <c r="A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>
      <c r="A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>
      <c r="A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>
      <c r="A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>
      <c r="A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>
      <c r="A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>
      <c r="A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>
      <c r="A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>
      <c r="A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>
      <c r="A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>
      <c r="A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>
      <c r="A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>
      <c r="A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>
      <c r="A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>
      <c r="A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>
      <c r="A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>
      <c r="A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>
      <c r="A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>
      <c r="A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>
      <c r="A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>
      <c r="A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>
      <c r="A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>
      <c r="A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>
      <c r="A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>
      <c r="A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>
      <c r="A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>
      <c r="A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>
      <c r="A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>
      <c r="A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>
      <c r="A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>
      <c r="A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>
      <c r="A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>
      <c r="A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>
      <c r="A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>
      <c r="A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>
      <c r="A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>
      <c r="A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>
      <c r="A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>
      <c r="A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>
      <c r="A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>
      <c r="A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>
      <c r="A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>
      <c r="A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>
      <c r="A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>
      <c r="A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>
      <c r="A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>
      <c r="A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>
      <c r="A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>
      <c r="A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>
      <c r="A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>
      <c r="A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>
      <c r="A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>
      <c r="A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>
      <c r="A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>
      <c r="A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>
      <c r="A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>
      <c r="A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>
      <c r="A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>
      <c r="A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>
      <c r="A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>
      <c r="A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>
      <c r="A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>
      <c r="A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>
      <c r="A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>
      <c r="A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>
      <c r="A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>
      <c r="A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>
      <c r="A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>
      <c r="A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>
      <c r="A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>
      <c r="A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>
      <c r="A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>
      <c r="A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>
      <c r="A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>
      <c r="A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>
      <c r="A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>
      <c r="A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>
      <c r="A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>
      <c r="A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>
      <c r="A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>
      <c r="A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>
      <c r="A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>
      <c r="A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>
      <c r="A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>
      <c r="A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>
      <c r="A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>
      <c r="A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>
      <c r="A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>
      <c r="A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>
      <c r="A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>
      <c r="A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>
      <c r="A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>
      <c r="A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>
      <c r="A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>
      <c r="A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>
      <c r="A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>
      <c r="A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>
      <c r="A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>
      <c r="A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>
      <c r="A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>
      <c r="A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>
      <c r="A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>
      <c r="A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>
      <c r="A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>
      <c r="A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>
      <c r="A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>
      <c r="A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>
      <c r="A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>
      <c r="A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>
      <c r="A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>
      <c r="A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>
      <c r="A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>
      <c r="A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>
      <c r="A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>
      <c r="A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>
      <c r="A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>
      <c r="A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>
      <c r="A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>
      <c r="A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>
      <c r="A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>
      <c r="A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>
      <c r="A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>
      <c r="A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>
      <c r="A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>
      <c r="A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>
      <c r="A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>
      <c r="A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>
      <c r="A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>
      <c r="A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>
      <c r="A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>
      <c r="A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>
      <c r="A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>
      <c r="A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>
      <c r="A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>
      <c r="A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>
      <c r="A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>
      <c r="A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>
      <c r="A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>
      <c r="A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>
      <c r="A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>
      <c r="A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>
      <c r="A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>
      <c r="A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>
      <c r="A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>
      <c r="A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>
      <c r="A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>
      <c r="A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  <row r="931">
      <c r="A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</row>
    <row r="932">
      <c r="A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</row>
    <row r="933">
      <c r="A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</row>
    <row r="934">
      <c r="A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</row>
    <row r="935">
      <c r="A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</row>
    <row r="936">
      <c r="A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</row>
    <row r="937">
      <c r="A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</row>
    <row r="938">
      <c r="A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</row>
    <row r="939">
      <c r="A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</row>
    <row r="940">
      <c r="A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</row>
    <row r="941">
      <c r="A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</row>
    <row r="942">
      <c r="A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</row>
    <row r="943">
      <c r="A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</row>
    <row r="944">
      <c r="A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</row>
    <row r="945">
      <c r="A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</row>
    <row r="946">
      <c r="A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</row>
    <row r="947">
      <c r="A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</row>
    <row r="948">
      <c r="A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</row>
    <row r="949">
      <c r="A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</row>
    <row r="950">
      <c r="A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</row>
    <row r="951">
      <c r="A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</row>
    <row r="952">
      <c r="A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</row>
    <row r="953">
      <c r="A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</row>
    <row r="954">
      <c r="A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</row>
    <row r="955">
      <c r="A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</row>
    <row r="956">
      <c r="A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</row>
    <row r="957">
      <c r="A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</row>
    <row r="958">
      <c r="A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</row>
    <row r="959">
      <c r="A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</row>
    <row r="960">
      <c r="A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</row>
    <row r="961">
      <c r="A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</row>
    <row r="962">
      <c r="A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</row>
    <row r="963">
      <c r="A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</row>
    <row r="964">
      <c r="A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</row>
    <row r="965">
      <c r="A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</row>
    <row r="966">
      <c r="A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</row>
    <row r="967">
      <c r="A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</row>
    <row r="968">
      <c r="A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</row>
    <row r="969">
      <c r="A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</row>
    <row r="970">
      <c r="A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</row>
    <row r="971">
      <c r="A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</row>
    <row r="972">
      <c r="A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</row>
    <row r="973">
      <c r="A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</row>
    <row r="974">
      <c r="A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</row>
    <row r="975">
      <c r="A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</row>
    <row r="976">
      <c r="A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</row>
    <row r="977">
      <c r="A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</row>
    <row r="978">
      <c r="A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</row>
    <row r="979">
      <c r="A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</row>
    <row r="980">
      <c r="A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</row>
    <row r="981">
      <c r="A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</row>
    <row r="982">
      <c r="A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</row>
    <row r="983">
      <c r="A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</row>
    <row r="984">
      <c r="A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</row>
    <row r="985">
      <c r="A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</row>
    <row r="986">
      <c r="A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</row>
    <row r="987">
      <c r="A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</row>
    <row r="988">
      <c r="A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</row>
    <row r="989">
      <c r="A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</row>
    <row r="990">
      <c r="A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</row>
    <row r="991">
      <c r="A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</row>
    <row r="992">
      <c r="A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</row>
    <row r="993">
      <c r="A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</row>
    <row r="994">
      <c r="A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</row>
    <row r="995">
      <c r="A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</row>
    <row r="996">
      <c r="A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</row>
    <row r="997">
      <c r="A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</row>
    <row r="998">
      <c r="A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</row>
    <row r="999">
      <c r="A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</row>
    <row r="1000">
      <c r="A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</row>
  </sheetData>
  <drawing r:id="rId1"/>
</worksheet>
</file>